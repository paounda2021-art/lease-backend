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หนี้ มิย.69 ส่งให้พี่หนี้\ไฟล์ส่ง พี่หนิง\"/>
    </mc:Choice>
  </mc:AlternateContent>
  <xr:revisionPtr revIDLastSave="0" documentId="8_{9F23EC42-5C0C-4228-8CD9-088B79C4B68F}" xr6:coauthVersionLast="47" xr6:coauthVersionMax="47" xr10:uidLastSave="{00000000-0000-0000-0000-000000000000}"/>
  <bookViews>
    <workbookView xWindow="-108" yWindow="-108" windowWidth="23256" windowHeight="12456" xr2:uid="{C5127748-13B8-4067-A414-57EB05D175D3}"/>
  </bookViews>
  <sheets>
    <sheet name="มิย.69" sheetId="34" r:id="rId1"/>
    <sheet name="รับชำระ มิย.69" sheetId="35" r:id="rId2"/>
    <sheet name="แนบ มิย.69" sheetId="36" r:id="rId3"/>
    <sheet name="เรียง มิย.69" sheetId="37" r:id="rId4"/>
    <sheet name="พค.69" sheetId="30" r:id="rId5"/>
    <sheet name="รับชำระ พค.69" sheetId="31" r:id="rId6"/>
    <sheet name="แนบ พค.69" sheetId="32" r:id="rId7"/>
    <sheet name="เรียง พค.69" sheetId="33" r:id="rId8"/>
    <sheet name="เมย.69" sheetId="26" r:id="rId9"/>
    <sheet name="รับชำระ เมย.69" sheetId="27" r:id="rId10"/>
    <sheet name="แนบ เมย.69" sheetId="28" r:id="rId11"/>
    <sheet name="เรียง เมย.69" sheetId="29" r:id="rId12"/>
    <sheet name="มีค.69" sheetId="22" r:id="rId13"/>
    <sheet name="รับชำระ มีค.69" sheetId="23" r:id="rId14"/>
    <sheet name="แนบ มีค.69" sheetId="24" r:id="rId15"/>
    <sheet name="เรียง มีค.69" sheetId="25" r:id="rId16"/>
    <sheet name="กพ.69" sheetId="18" r:id="rId17"/>
    <sheet name="รับชำระกพ.69" sheetId="19" r:id="rId18"/>
    <sheet name="แนบ กพ.69" sheetId="20" r:id="rId19"/>
    <sheet name="เรียง กพ.69" sheetId="21" r:id="rId20"/>
    <sheet name="มค.69" sheetId="14" r:id="rId21"/>
    <sheet name="รับชำระ มค.69" sheetId="15" r:id="rId22"/>
    <sheet name="แนบ มค.69" sheetId="16" r:id="rId23"/>
    <sheet name="เรียง มค.69" sheetId="17" r:id="rId24"/>
    <sheet name="ธค.68" sheetId="10" r:id="rId25"/>
    <sheet name="รับชำระ ธค.68" sheetId="11" r:id="rId26"/>
    <sheet name="แนบ ธค.68" sheetId="12" r:id="rId27"/>
    <sheet name="เรียง ธค.68" sheetId="13" r:id="rId28"/>
    <sheet name="พย.68" sheetId="6" r:id="rId29"/>
    <sheet name="รับชำระ พย.68" sheetId="7" r:id="rId30"/>
    <sheet name="แนบ พย.68" sheetId="8" r:id="rId31"/>
    <sheet name="เรียง พย.68" sheetId="9" r:id="rId32"/>
    <sheet name="ตค.68" sheetId="2" r:id="rId33"/>
    <sheet name="รับชำระ ตค.68" sheetId="3" r:id="rId34"/>
    <sheet name="แนบ ตค.68" sheetId="4" r:id="rId35"/>
    <sheet name="เรียง ตค.68" sheetId="5" r:id="rId36"/>
    <sheet name="กย.68" sheetId="1" r:id="rId37"/>
  </sheets>
  <definedNames>
    <definedName name="ษมาคม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37" l="1"/>
  <c r="F20" i="36"/>
  <c r="R108" i="34"/>
  <c r="P108" i="34" s="1"/>
  <c r="Q108" i="34" s="1"/>
  <c r="M108" i="34"/>
  <c r="J108" i="34"/>
  <c r="D108" i="34"/>
  <c r="R107" i="34"/>
  <c r="Q107" i="34"/>
  <c r="P107" i="34"/>
  <c r="I107" i="34"/>
  <c r="H107" i="34"/>
  <c r="H108" i="34" s="1"/>
  <c r="A107" i="34"/>
  <c r="R106" i="34"/>
  <c r="P106" i="34" s="1"/>
  <c r="Q106" i="34" s="1"/>
  <c r="I106" i="34"/>
  <c r="A106" i="34"/>
  <c r="R105" i="34"/>
  <c r="P105" i="34"/>
  <c r="Q105" i="34" s="1"/>
  <c r="I105" i="34"/>
  <c r="I108" i="34" s="1"/>
  <c r="R103" i="34"/>
  <c r="P103" i="34" s="1"/>
  <c r="Q103" i="34" s="1"/>
  <c r="M103" i="34"/>
  <c r="J103" i="34"/>
  <c r="D103" i="34"/>
  <c r="R102" i="34"/>
  <c r="P102" i="34"/>
  <c r="Q102" i="34" s="1"/>
  <c r="H102" i="34"/>
  <c r="H103" i="34" s="1"/>
  <c r="A102" i="34"/>
  <c r="R101" i="34"/>
  <c r="P101" i="34"/>
  <c r="Q101" i="34" s="1"/>
  <c r="I101" i="34"/>
  <c r="A101" i="34"/>
  <c r="R100" i="34"/>
  <c r="P100" i="34"/>
  <c r="Q100" i="34" s="1"/>
  <c r="I100" i="34"/>
  <c r="M98" i="34"/>
  <c r="J98" i="34"/>
  <c r="I98" i="34"/>
  <c r="D98" i="34"/>
  <c r="R97" i="34"/>
  <c r="P97" i="34"/>
  <c r="Q97" i="34" s="1"/>
  <c r="I97" i="34"/>
  <c r="H97" i="34"/>
  <c r="H98" i="34" s="1"/>
  <c r="A97" i="34"/>
  <c r="R96" i="34"/>
  <c r="R98" i="34" s="1"/>
  <c r="P98" i="34" s="1"/>
  <c r="Q98" i="34" s="1"/>
  <c r="I96" i="34"/>
  <c r="A96" i="34"/>
  <c r="R95" i="34"/>
  <c r="P95" i="34"/>
  <c r="Q95" i="34" s="1"/>
  <c r="I95" i="34"/>
  <c r="M93" i="34"/>
  <c r="J93" i="34"/>
  <c r="H93" i="34"/>
  <c r="D93" i="34"/>
  <c r="R92" i="34"/>
  <c r="P92" i="34"/>
  <c r="Q92" i="34" s="1"/>
  <c r="H92" i="34"/>
  <c r="I92" i="34" s="1"/>
  <c r="R91" i="34"/>
  <c r="R93" i="34" s="1"/>
  <c r="P93" i="34" s="1"/>
  <c r="Q93" i="34" s="1"/>
  <c r="I91" i="34"/>
  <c r="I93" i="34" s="1"/>
  <c r="A91" i="34"/>
  <c r="A92" i="34" s="1"/>
  <c r="R90" i="34"/>
  <c r="P90" i="34"/>
  <c r="Q90" i="34" s="1"/>
  <c r="I90" i="34"/>
  <c r="M88" i="34"/>
  <c r="J88" i="34"/>
  <c r="H88" i="34"/>
  <c r="D88" i="34"/>
  <c r="R87" i="34"/>
  <c r="P87" i="34"/>
  <c r="Q87" i="34" s="1"/>
  <c r="H87" i="34"/>
  <c r="I87" i="34" s="1"/>
  <c r="A87" i="34"/>
  <c r="R86" i="34"/>
  <c r="Q86" i="34"/>
  <c r="P86" i="34"/>
  <c r="I86" i="34"/>
  <c r="I88" i="34" s="1"/>
  <c r="A86" i="34"/>
  <c r="R85" i="34"/>
  <c r="P85" i="34" s="1"/>
  <c r="Q85" i="34" s="1"/>
  <c r="I85" i="34"/>
  <c r="M83" i="34"/>
  <c r="H83" i="34"/>
  <c r="D83" i="34"/>
  <c r="I82" i="34"/>
  <c r="J82" i="34" s="1"/>
  <c r="R82" i="34" s="1"/>
  <c r="P82" i="34" s="1"/>
  <c r="Q82" i="34" s="1"/>
  <c r="J81" i="34"/>
  <c r="R81" i="34" s="1"/>
  <c r="P81" i="34" s="1"/>
  <c r="Q81" i="34" s="1"/>
  <c r="I81" i="34"/>
  <c r="I83" i="34" s="1"/>
  <c r="R80" i="34"/>
  <c r="R83" i="34" s="1"/>
  <c r="P80" i="34"/>
  <c r="P83" i="34" s="1"/>
  <c r="J80" i="34"/>
  <c r="I80" i="34"/>
  <c r="M78" i="34"/>
  <c r="J78" i="34"/>
  <c r="I78" i="34"/>
  <c r="H78" i="34"/>
  <c r="D78" i="34"/>
  <c r="R77" i="34"/>
  <c r="P77" i="34" s="1"/>
  <c r="Q77" i="34" s="1"/>
  <c r="I77" i="34"/>
  <c r="R76" i="34"/>
  <c r="Q76" i="34"/>
  <c r="I76" i="34"/>
  <c r="A76" i="34"/>
  <c r="A77" i="34" s="1"/>
  <c r="R75" i="34"/>
  <c r="R78" i="34" s="1"/>
  <c r="I75" i="34"/>
  <c r="I74" i="34"/>
  <c r="H74" i="34"/>
  <c r="M73" i="34"/>
  <c r="J73" i="34"/>
  <c r="H73" i="34"/>
  <c r="D73" i="34"/>
  <c r="R72" i="34"/>
  <c r="P72" i="34"/>
  <c r="Q72" i="34" s="1"/>
  <c r="I72" i="34"/>
  <c r="H72" i="34"/>
  <c r="R71" i="34"/>
  <c r="P71" i="34"/>
  <c r="Q71" i="34" s="1"/>
  <c r="I71" i="34"/>
  <c r="A71" i="34"/>
  <c r="A72" i="34" s="1"/>
  <c r="R70" i="34"/>
  <c r="R73" i="34" s="1"/>
  <c r="P73" i="34" s="1"/>
  <c r="Q73" i="34" s="1"/>
  <c r="I70" i="34"/>
  <c r="I73" i="34" s="1"/>
  <c r="Q68" i="34"/>
  <c r="M68" i="34"/>
  <c r="I68" i="34"/>
  <c r="H68" i="34"/>
  <c r="D68" i="34"/>
  <c r="R63" i="34"/>
  <c r="P63" i="34"/>
  <c r="P68" i="34" s="1"/>
  <c r="J63" i="34"/>
  <c r="J68" i="34" s="1"/>
  <c r="A63" i="34"/>
  <c r="P59" i="34"/>
  <c r="J59" i="34"/>
  <c r="R59" i="34" s="1"/>
  <c r="R68" i="34" s="1"/>
  <c r="M57" i="34"/>
  <c r="J57" i="34"/>
  <c r="H57" i="34"/>
  <c r="D57" i="34"/>
  <c r="R56" i="34"/>
  <c r="P56" i="34" s="1"/>
  <c r="Q56" i="34" s="1"/>
  <c r="H56" i="34"/>
  <c r="I56" i="34" s="1"/>
  <c r="R55" i="34"/>
  <c r="P55" i="34"/>
  <c r="Q55" i="34" s="1"/>
  <c r="I55" i="34"/>
  <c r="A55" i="34"/>
  <c r="A56" i="34" s="1"/>
  <c r="R54" i="34"/>
  <c r="P54" i="34" s="1"/>
  <c r="Q54" i="34" s="1"/>
  <c r="I54" i="34"/>
  <c r="M52" i="34"/>
  <c r="J52" i="34"/>
  <c r="H52" i="34"/>
  <c r="D52" i="34"/>
  <c r="R51" i="34"/>
  <c r="P51" i="34" s="1"/>
  <c r="Q51" i="34" s="1"/>
  <c r="H51" i="34"/>
  <c r="I51" i="34" s="1"/>
  <c r="R50" i="34"/>
  <c r="Q50" i="34"/>
  <c r="P50" i="34"/>
  <c r="I50" i="34"/>
  <c r="A50" i="34"/>
  <c r="A51" i="34" s="1"/>
  <c r="R49" i="34"/>
  <c r="R52" i="34" s="1"/>
  <c r="P52" i="34" s="1"/>
  <c r="Q52" i="34" s="1"/>
  <c r="P49" i="34"/>
  <c r="Q49" i="34" s="1"/>
  <c r="I49" i="34"/>
  <c r="M47" i="34"/>
  <c r="J47" i="34"/>
  <c r="H47" i="34"/>
  <c r="D47" i="34"/>
  <c r="R46" i="34"/>
  <c r="P46" i="34"/>
  <c r="Q46" i="34" s="1"/>
  <c r="H46" i="34"/>
  <c r="I46" i="34" s="1"/>
  <c r="R45" i="34"/>
  <c r="P45" i="34"/>
  <c r="Q45" i="34" s="1"/>
  <c r="I45" i="34"/>
  <c r="A45" i="34"/>
  <c r="A46" i="34" s="1"/>
  <c r="R44" i="34"/>
  <c r="R47" i="34" s="1"/>
  <c r="P47" i="34" s="1"/>
  <c r="Q47" i="34" s="1"/>
  <c r="I44" i="34"/>
  <c r="I47" i="34" s="1"/>
  <c r="M42" i="34"/>
  <c r="H42" i="34"/>
  <c r="D42" i="34"/>
  <c r="J41" i="34"/>
  <c r="R41" i="34" s="1"/>
  <c r="P41" i="34" s="1"/>
  <c r="Q41" i="34" s="1"/>
  <c r="I41" i="34"/>
  <c r="I40" i="34"/>
  <c r="I42" i="34" s="1"/>
  <c r="J39" i="34"/>
  <c r="I39" i="34"/>
  <c r="R37" i="34"/>
  <c r="P37" i="34" s="1"/>
  <c r="Q37" i="34" s="1"/>
  <c r="M37" i="34"/>
  <c r="J37" i="34"/>
  <c r="D37" i="34"/>
  <c r="R36" i="34"/>
  <c r="P36" i="34" s="1"/>
  <c r="Q36" i="34" s="1"/>
  <c r="H36" i="34"/>
  <c r="H37" i="34" s="1"/>
  <c r="R34" i="34"/>
  <c r="P34" i="34"/>
  <c r="Q34" i="34" s="1"/>
  <c r="I34" i="34"/>
  <c r="M32" i="34"/>
  <c r="J32" i="34"/>
  <c r="H32" i="34"/>
  <c r="D32" i="34"/>
  <c r="D109" i="34" s="1"/>
  <c r="R31" i="34"/>
  <c r="P31" i="34"/>
  <c r="Q31" i="34" s="1"/>
  <c r="H31" i="34"/>
  <c r="I31" i="34" s="1"/>
  <c r="R30" i="34"/>
  <c r="P30" i="34"/>
  <c r="Q30" i="34" s="1"/>
  <c r="R29" i="34"/>
  <c r="R32" i="34" s="1"/>
  <c r="P32" i="34" s="1"/>
  <c r="Q32" i="34" s="1"/>
  <c r="I29" i="34"/>
  <c r="I32" i="34" s="1"/>
  <c r="A29" i="34"/>
  <c r="M26" i="34"/>
  <c r="J26" i="34"/>
  <c r="H26" i="34"/>
  <c r="D26" i="34"/>
  <c r="R25" i="34"/>
  <c r="P25" i="34"/>
  <c r="Q25" i="34" s="1"/>
  <c r="I25" i="34"/>
  <c r="R24" i="34"/>
  <c r="P24" i="34"/>
  <c r="Q24" i="34" s="1"/>
  <c r="I24" i="34"/>
  <c r="A24" i="34"/>
  <c r="A25" i="34" s="1"/>
  <c r="R23" i="34"/>
  <c r="R26" i="34" s="1"/>
  <c r="P26" i="34" s="1"/>
  <c r="Q26" i="34" s="1"/>
  <c r="I23" i="34"/>
  <c r="I26" i="34" s="1"/>
  <c r="R21" i="34"/>
  <c r="P21" i="34" s="1"/>
  <c r="Q21" i="34" s="1"/>
  <c r="M21" i="34"/>
  <c r="J21" i="34"/>
  <c r="D21" i="34"/>
  <c r="R20" i="34"/>
  <c r="P20" i="34" s="1"/>
  <c r="Q20" i="34" s="1"/>
  <c r="H20" i="34"/>
  <c r="H21" i="34" s="1"/>
  <c r="R19" i="34"/>
  <c r="P19" i="34"/>
  <c r="Q19" i="34" s="1"/>
  <c r="I19" i="34"/>
  <c r="A19" i="34"/>
  <c r="A20" i="34" s="1"/>
  <c r="R18" i="34"/>
  <c r="Q18" i="34"/>
  <c r="P18" i="34"/>
  <c r="I18" i="34"/>
  <c r="M16" i="34"/>
  <c r="H16" i="34"/>
  <c r="D16" i="34"/>
  <c r="J15" i="34"/>
  <c r="R15" i="34" s="1"/>
  <c r="P15" i="34" s="1"/>
  <c r="Q15" i="34" s="1"/>
  <c r="I15" i="34"/>
  <c r="A15" i="34"/>
  <c r="I14" i="34"/>
  <c r="J14" i="34" s="1"/>
  <c r="R14" i="34" s="1"/>
  <c r="P14" i="34" s="1"/>
  <c r="Q14" i="34" s="1"/>
  <c r="I13" i="34"/>
  <c r="I16" i="34" s="1"/>
  <c r="M11" i="34"/>
  <c r="M109" i="34" s="1"/>
  <c r="J11" i="34"/>
  <c r="D11" i="34"/>
  <c r="R10" i="34"/>
  <c r="Q10" i="34"/>
  <c r="P10" i="34"/>
  <c r="I10" i="34"/>
  <c r="H10" i="34"/>
  <c r="H11" i="34" s="1"/>
  <c r="A10" i="34"/>
  <c r="R9" i="34"/>
  <c r="P9" i="34"/>
  <c r="Q9" i="34" s="1"/>
  <c r="I9" i="34"/>
  <c r="A9" i="34"/>
  <c r="R8" i="34"/>
  <c r="R11" i="34" s="1"/>
  <c r="P8" i="34"/>
  <c r="Q8" i="34" s="1"/>
  <c r="I8" i="34"/>
  <c r="I11" i="34" s="1"/>
  <c r="E20" i="33"/>
  <c r="F20" i="32"/>
  <c r="M108" i="30"/>
  <c r="J108" i="30"/>
  <c r="D108" i="30"/>
  <c r="R107" i="30"/>
  <c r="P107" i="30" s="1"/>
  <c r="Q107" i="30" s="1"/>
  <c r="H107" i="30"/>
  <c r="H108" i="30" s="1"/>
  <c r="R106" i="30"/>
  <c r="P106" i="30" s="1"/>
  <c r="Q106" i="30" s="1"/>
  <c r="I106" i="30"/>
  <c r="A106" i="30"/>
  <c r="A107" i="30" s="1"/>
  <c r="R105" i="30"/>
  <c r="P105" i="30" s="1"/>
  <c r="Q105" i="30" s="1"/>
  <c r="I105" i="30"/>
  <c r="M103" i="30"/>
  <c r="J103" i="30"/>
  <c r="D103" i="30"/>
  <c r="R102" i="30"/>
  <c r="P102" i="30" s="1"/>
  <c r="Q102" i="30" s="1"/>
  <c r="H102" i="30"/>
  <c r="H103" i="30" s="1"/>
  <c r="A102" i="30"/>
  <c r="R101" i="30"/>
  <c r="P101" i="30"/>
  <c r="Q101" i="30" s="1"/>
  <c r="I101" i="30"/>
  <c r="A101" i="30"/>
  <c r="R100" i="30"/>
  <c r="P100" i="30" s="1"/>
  <c r="Q100" i="30" s="1"/>
  <c r="I100" i="30"/>
  <c r="M98" i="30"/>
  <c r="J98" i="30"/>
  <c r="H98" i="30"/>
  <c r="D98" i="30"/>
  <c r="R97" i="30"/>
  <c r="P97" i="30" s="1"/>
  <c r="Q97" i="30" s="1"/>
  <c r="H97" i="30"/>
  <c r="I97" i="30" s="1"/>
  <c r="R96" i="30"/>
  <c r="P96" i="30"/>
  <c r="Q96" i="30" s="1"/>
  <c r="I96" i="30"/>
  <c r="I98" i="30" s="1"/>
  <c r="A96" i="30"/>
  <c r="A97" i="30" s="1"/>
  <c r="R95" i="30"/>
  <c r="P95" i="30" s="1"/>
  <c r="Q95" i="30" s="1"/>
  <c r="I95" i="30"/>
  <c r="M93" i="30"/>
  <c r="J93" i="30"/>
  <c r="H93" i="30"/>
  <c r="D93" i="30"/>
  <c r="R92" i="30"/>
  <c r="P92" i="30" s="1"/>
  <c r="Q92" i="30" s="1"/>
  <c r="I92" i="30"/>
  <c r="H92" i="30"/>
  <c r="R91" i="30"/>
  <c r="P91" i="30" s="1"/>
  <c r="Q91" i="30" s="1"/>
  <c r="I91" i="30"/>
  <c r="I93" i="30" s="1"/>
  <c r="A91" i="30"/>
  <c r="A92" i="30" s="1"/>
  <c r="R90" i="30"/>
  <c r="P90" i="30" s="1"/>
  <c r="Q90" i="30" s="1"/>
  <c r="I90" i="30"/>
  <c r="M88" i="30"/>
  <c r="J88" i="30"/>
  <c r="H88" i="30"/>
  <c r="D88" i="30"/>
  <c r="R87" i="30"/>
  <c r="P87" i="30" s="1"/>
  <c r="Q87" i="30" s="1"/>
  <c r="H87" i="30"/>
  <c r="I87" i="30" s="1"/>
  <c r="R86" i="30"/>
  <c r="P86" i="30"/>
  <c r="Q86" i="30" s="1"/>
  <c r="I86" i="30"/>
  <c r="A86" i="30"/>
  <c r="A87" i="30" s="1"/>
  <c r="R85" i="30"/>
  <c r="P85" i="30" s="1"/>
  <c r="Q85" i="30" s="1"/>
  <c r="I85" i="30"/>
  <c r="I88" i="30" s="1"/>
  <c r="M83" i="30"/>
  <c r="H83" i="30"/>
  <c r="D83" i="30"/>
  <c r="R82" i="30"/>
  <c r="P82" i="30" s="1"/>
  <c r="Q82" i="30" s="1"/>
  <c r="J82" i="30"/>
  <c r="I82" i="30"/>
  <c r="I81" i="30"/>
  <c r="J81" i="30" s="1"/>
  <c r="R81" i="30" s="1"/>
  <c r="P81" i="30" s="1"/>
  <c r="Q81" i="30" s="1"/>
  <c r="J80" i="30"/>
  <c r="J83" i="30" s="1"/>
  <c r="I80" i="30"/>
  <c r="M78" i="30"/>
  <c r="J78" i="30"/>
  <c r="H78" i="30"/>
  <c r="D78" i="30"/>
  <c r="R77" i="30"/>
  <c r="P77" i="30" s="1"/>
  <c r="Q77" i="30" s="1"/>
  <c r="I77" i="30"/>
  <c r="A77" i="30"/>
  <c r="R76" i="30"/>
  <c r="Q76" i="30"/>
  <c r="I76" i="30"/>
  <c r="A76" i="30"/>
  <c r="R75" i="30"/>
  <c r="R78" i="30" s="1"/>
  <c r="I75" i="30"/>
  <c r="I78" i="30" s="1"/>
  <c r="H74" i="30"/>
  <c r="I74" i="30" s="1"/>
  <c r="M73" i="30"/>
  <c r="J73" i="30"/>
  <c r="H73" i="30"/>
  <c r="D73" i="30"/>
  <c r="R72" i="30"/>
  <c r="P72" i="30"/>
  <c r="Q72" i="30" s="1"/>
  <c r="I72" i="30"/>
  <c r="H72" i="30"/>
  <c r="R71" i="30"/>
  <c r="P71" i="30"/>
  <c r="Q71" i="30" s="1"/>
  <c r="I71" i="30"/>
  <c r="A71" i="30"/>
  <c r="A72" i="30" s="1"/>
  <c r="R70" i="30"/>
  <c r="R73" i="30" s="1"/>
  <c r="P73" i="30" s="1"/>
  <c r="Q73" i="30" s="1"/>
  <c r="P70" i="30"/>
  <c r="Q70" i="30" s="1"/>
  <c r="I70" i="30"/>
  <c r="I73" i="30" s="1"/>
  <c r="Q68" i="30"/>
  <c r="P68" i="30"/>
  <c r="M68" i="30"/>
  <c r="I68" i="30"/>
  <c r="H68" i="30"/>
  <c r="D68" i="30"/>
  <c r="P63" i="30"/>
  <c r="J63" i="30"/>
  <c r="R63" i="30" s="1"/>
  <c r="A63" i="30"/>
  <c r="R59" i="30"/>
  <c r="R68" i="30" s="1"/>
  <c r="P59" i="30"/>
  <c r="J59" i="30"/>
  <c r="J68" i="30" s="1"/>
  <c r="M57" i="30"/>
  <c r="J57" i="30"/>
  <c r="D57" i="30"/>
  <c r="R56" i="30"/>
  <c r="P56" i="30" s="1"/>
  <c r="Q56" i="30" s="1"/>
  <c r="I56" i="30"/>
  <c r="H56" i="30"/>
  <c r="H57" i="30" s="1"/>
  <c r="R55" i="30"/>
  <c r="P55" i="30" s="1"/>
  <c r="Q55" i="30" s="1"/>
  <c r="I55" i="30"/>
  <c r="I57" i="30" s="1"/>
  <c r="A55" i="30"/>
  <c r="A56" i="30" s="1"/>
  <c r="R54" i="30"/>
  <c r="R57" i="30" s="1"/>
  <c r="P57" i="30" s="1"/>
  <c r="Q57" i="30" s="1"/>
  <c r="P54" i="30"/>
  <c r="Q54" i="30" s="1"/>
  <c r="I54" i="30"/>
  <c r="M52" i="30"/>
  <c r="J52" i="30"/>
  <c r="H52" i="30"/>
  <c r="D52" i="30"/>
  <c r="R51" i="30"/>
  <c r="R52" i="30" s="1"/>
  <c r="P52" i="30" s="1"/>
  <c r="Q52" i="30" s="1"/>
  <c r="P51" i="30"/>
  <c r="Q51" i="30" s="1"/>
  <c r="H51" i="30"/>
  <c r="I51" i="30" s="1"/>
  <c r="R50" i="30"/>
  <c r="P50" i="30" s="1"/>
  <c r="Q50" i="30" s="1"/>
  <c r="I50" i="30"/>
  <c r="A50" i="30"/>
  <c r="A51" i="30" s="1"/>
  <c r="R49" i="30"/>
  <c r="P49" i="30"/>
  <c r="Q49" i="30" s="1"/>
  <c r="I49" i="30"/>
  <c r="M47" i="30"/>
  <c r="J47" i="30"/>
  <c r="H47" i="30"/>
  <c r="D47" i="30"/>
  <c r="R46" i="30"/>
  <c r="P46" i="30"/>
  <c r="Q46" i="30" s="1"/>
  <c r="I46" i="30"/>
  <c r="H46" i="30"/>
  <c r="R45" i="30"/>
  <c r="P45" i="30"/>
  <c r="Q45" i="30" s="1"/>
  <c r="I45" i="30"/>
  <c r="A45" i="30"/>
  <c r="A46" i="30" s="1"/>
  <c r="R44" i="30"/>
  <c r="R47" i="30" s="1"/>
  <c r="P47" i="30" s="1"/>
  <c r="Q47" i="30" s="1"/>
  <c r="P44" i="30"/>
  <c r="Q44" i="30" s="1"/>
  <c r="I44" i="30"/>
  <c r="I47" i="30" s="1"/>
  <c r="M42" i="30"/>
  <c r="H42" i="30"/>
  <c r="D42" i="30"/>
  <c r="I41" i="30"/>
  <c r="J41" i="30" s="1"/>
  <c r="R41" i="30" s="1"/>
  <c r="P41" i="30" s="1"/>
  <c r="Q41" i="30" s="1"/>
  <c r="I40" i="30"/>
  <c r="J40" i="30" s="1"/>
  <c r="R40" i="30" s="1"/>
  <c r="P40" i="30" s="1"/>
  <c r="Q40" i="30" s="1"/>
  <c r="I39" i="30"/>
  <c r="I42" i="30" s="1"/>
  <c r="M37" i="30"/>
  <c r="J37" i="30"/>
  <c r="D37" i="30"/>
  <c r="R36" i="30"/>
  <c r="P36" i="30" s="1"/>
  <c r="Q36" i="30" s="1"/>
  <c r="H36" i="30"/>
  <c r="H37" i="30" s="1"/>
  <c r="R34" i="30"/>
  <c r="P34" i="30" s="1"/>
  <c r="Q34" i="30" s="1"/>
  <c r="I34" i="30"/>
  <c r="M32" i="30"/>
  <c r="J32" i="30"/>
  <c r="H32" i="30"/>
  <c r="D32" i="30"/>
  <c r="R31" i="30"/>
  <c r="P31" i="30" s="1"/>
  <c r="Q31" i="30" s="1"/>
  <c r="H31" i="30"/>
  <c r="I31" i="30" s="1"/>
  <c r="R30" i="30"/>
  <c r="P30" i="30" s="1"/>
  <c r="Q30" i="30" s="1"/>
  <c r="R29" i="30"/>
  <c r="R32" i="30" s="1"/>
  <c r="P32" i="30" s="1"/>
  <c r="Q32" i="30" s="1"/>
  <c r="P29" i="30"/>
  <c r="Q29" i="30" s="1"/>
  <c r="I29" i="30"/>
  <c r="A29" i="30"/>
  <c r="M26" i="30"/>
  <c r="J26" i="30"/>
  <c r="H26" i="30"/>
  <c r="D26" i="30"/>
  <c r="R25" i="30"/>
  <c r="P25" i="30"/>
  <c r="Q25" i="30" s="1"/>
  <c r="I25" i="30"/>
  <c r="R24" i="30"/>
  <c r="P24" i="30" s="1"/>
  <c r="Q24" i="30" s="1"/>
  <c r="I24" i="30"/>
  <c r="A24" i="30"/>
  <c r="A25" i="30" s="1"/>
  <c r="R23" i="30"/>
  <c r="R26" i="30" s="1"/>
  <c r="P26" i="30" s="1"/>
  <c r="Q26" i="30" s="1"/>
  <c r="I23" i="30"/>
  <c r="I26" i="30" s="1"/>
  <c r="R21" i="30"/>
  <c r="P21" i="30" s="1"/>
  <c r="Q21" i="30" s="1"/>
  <c r="M21" i="30"/>
  <c r="J21" i="30"/>
  <c r="D21" i="30"/>
  <c r="R20" i="30"/>
  <c r="P20" i="30"/>
  <c r="Q20" i="30" s="1"/>
  <c r="H20" i="30"/>
  <c r="H21" i="30" s="1"/>
  <c r="A20" i="30"/>
  <c r="R19" i="30"/>
  <c r="P19" i="30" s="1"/>
  <c r="Q19" i="30" s="1"/>
  <c r="I19" i="30"/>
  <c r="A19" i="30"/>
  <c r="R18" i="30"/>
  <c r="P18" i="30"/>
  <c r="Q18" i="30" s="1"/>
  <c r="I18" i="30"/>
  <c r="M16" i="30"/>
  <c r="H16" i="30"/>
  <c r="D16" i="30"/>
  <c r="J15" i="30"/>
  <c r="R15" i="30" s="1"/>
  <c r="P15" i="30" s="1"/>
  <c r="Q15" i="30" s="1"/>
  <c r="I15" i="30"/>
  <c r="A15" i="30"/>
  <c r="I14" i="30"/>
  <c r="J14" i="30" s="1"/>
  <c r="R14" i="30" s="1"/>
  <c r="P14" i="30" s="1"/>
  <c r="Q14" i="30" s="1"/>
  <c r="I13" i="30"/>
  <c r="I16" i="30" s="1"/>
  <c r="M11" i="30"/>
  <c r="M109" i="30" s="1"/>
  <c r="J11" i="30"/>
  <c r="D11" i="30"/>
  <c r="D109" i="30" s="1"/>
  <c r="R10" i="30"/>
  <c r="P10" i="30"/>
  <c r="Q10" i="30" s="1"/>
  <c r="I10" i="30"/>
  <c r="H10" i="30"/>
  <c r="H11" i="30" s="1"/>
  <c r="A10" i="30"/>
  <c r="R9" i="30"/>
  <c r="P9" i="30" s="1"/>
  <c r="Q9" i="30" s="1"/>
  <c r="I9" i="30"/>
  <c r="A9" i="30"/>
  <c r="R8" i="30"/>
  <c r="P8" i="30" s="1"/>
  <c r="Q8" i="30" s="1"/>
  <c r="I8" i="30"/>
  <c r="I11" i="30" s="1"/>
  <c r="E20" i="29"/>
  <c r="F20" i="28"/>
  <c r="M108" i="26"/>
  <c r="J108" i="26"/>
  <c r="D108" i="26"/>
  <c r="R107" i="26"/>
  <c r="P107" i="26"/>
  <c r="Q107" i="26" s="1"/>
  <c r="H107" i="26"/>
  <c r="R106" i="26"/>
  <c r="P106" i="26"/>
  <c r="Q106" i="26" s="1"/>
  <c r="I106" i="26"/>
  <c r="A106" i="26"/>
  <c r="A107" i="26" s="1"/>
  <c r="R105" i="26"/>
  <c r="R108" i="26" s="1"/>
  <c r="P108" i="26" s="1"/>
  <c r="Q108" i="26" s="1"/>
  <c r="P105" i="26"/>
  <c r="Q105" i="26" s="1"/>
  <c r="I105" i="26"/>
  <c r="M103" i="26"/>
  <c r="J103" i="26"/>
  <c r="H103" i="26"/>
  <c r="D103" i="26"/>
  <c r="R102" i="26"/>
  <c r="P102" i="26" s="1"/>
  <c r="Q102" i="26" s="1"/>
  <c r="H102" i="26"/>
  <c r="I102" i="26" s="1"/>
  <c r="R101" i="26"/>
  <c r="P101" i="26" s="1"/>
  <c r="Q101" i="26" s="1"/>
  <c r="I101" i="26"/>
  <c r="A101" i="26"/>
  <c r="A102" i="26" s="1"/>
  <c r="R100" i="26"/>
  <c r="I100" i="26"/>
  <c r="I103" i="26" s="1"/>
  <c r="M98" i="26"/>
  <c r="J98" i="26"/>
  <c r="D98" i="26"/>
  <c r="R97" i="26"/>
  <c r="P97" i="26" s="1"/>
  <c r="Q97" i="26" s="1"/>
  <c r="H97" i="26"/>
  <c r="R96" i="26"/>
  <c r="P96" i="26" s="1"/>
  <c r="Q96" i="26" s="1"/>
  <c r="I96" i="26"/>
  <c r="A96" i="26"/>
  <c r="A97" i="26" s="1"/>
  <c r="R95" i="26"/>
  <c r="I95" i="26"/>
  <c r="M93" i="26"/>
  <c r="J93" i="26"/>
  <c r="D93" i="26"/>
  <c r="R92" i="26"/>
  <c r="P92" i="26"/>
  <c r="Q92" i="26" s="1"/>
  <c r="H92" i="26"/>
  <c r="R91" i="26"/>
  <c r="P91" i="26" s="1"/>
  <c r="Q91" i="26" s="1"/>
  <c r="I91" i="26"/>
  <c r="A91" i="26"/>
  <c r="A92" i="26" s="1"/>
  <c r="R90" i="26"/>
  <c r="R93" i="26" s="1"/>
  <c r="P93" i="26" s="1"/>
  <c r="Q93" i="26" s="1"/>
  <c r="P90" i="26"/>
  <c r="Q90" i="26" s="1"/>
  <c r="I90" i="26"/>
  <c r="M88" i="26"/>
  <c r="J88" i="26"/>
  <c r="D88" i="26"/>
  <c r="R87" i="26"/>
  <c r="P87" i="26"/>
  <c r="Q87" i="26" s="1"/>
  <c r="H87" i="26"/>
  <c r="R86" i="26"/>
  <c r="P86" i="26"/>
  <c r="Q86" i="26" s="1"/>
  <c r="I86" i="26"/>
  <c r="A86" i="26"/>
  <c r="A87" i="26" s="1"/>
  <c r="R85" i="26"/>
  <c r="I85" i="26"/>
  <c r="M83" i="26"/>
  <c r="H83" i="26"/>
  <c r="D83" i="26"/>
  <c r="I82" i="26"/>
  <c r="J82" i="26" s="1"/>
  <c r="R82" i="26" s="1"/>
  <c r="P82" i="26" s="1"/>
  <c r="Q82" i="26" s="1"/>
  <c r="J81" i="26"/>
  <c r="R81" i="26" s="1"/>
  <c r="P81" i="26" s="1"/>
  <c r="Q81" i="26" s="1"/>
  <c r="I81" i="26"/>
  <c r="I80" i="26"/>
  <c r="M78" i="26"/>
  <c r="J78" i="26"/>
  <c r="H78" i="26"/>
  <c r="D78" i="26"/>
  <c r="R77" i="26"/>
  <c r="P77" i="26" s="1"/>
  <c r="Q77" i="26" s="1"/>
  <c r="I77" i="26"/>
  <c r="R76" i="26"/>
  <c r="Q76" i="26"/>
  <c r="I76" i="26"/>
  <c r="A76" i="26"/>
  <c r="A77" i="26" s="1"/>
  <c r="R75" i="26"/>
  <c r="I75" i="26"/>
  <c r="I78" i="26" s="1"/>
  <c r="H74" i="26"/>
  <c r="I74" i="26" s="1"/>
  <c r="M73" i="26"/>
  <c r="J73" i="26"/>
  <c r="D73" i="26"/>
  <c r="R72" i="26"/>
  <c r="P72" i="26"/>
  <c r="Q72" i="26" s="1"/>
  <c r="H72" i="26"/>
  <c r="R71" i="26"/>
  <c r="P71" i="26"/>
  <c r="Q71" i="26" s="1"/>
  <c r="I71" i="26"/>
  <c r="A71" i="26"/>
  <c r="A72" i="26" s="1"/>
  <c r="R70" i="26"/>
  <c r="R73" i="26" s="1"/>
  <c r="P73" i="26" s="1"/>
  <c r="Q73" i="26" s="1"/>
  <c r="P70" i="26"/>
  <c r="Q70" i="26" s="1"/>
  <c r="I70" i="26"/>
  <c r="Q68" i="26"/>
  <c r="M68" i="26"/>
  <c r="I68" i="26"/>
  <c r="H68" i="26"/>
  <c r="D68" i="26"/>
  <c r="P63" i="26"/>
  <c r="J63" i="26"/>
  <c r="R63" i="26" s="1"/>
  <c r="A63" i="26"/>
  <c r="P59" i="26"/>
  <c r="P68" i="26" s="1"/>
  <c r="J59" i="26"/>
  <c r="M57" i="26"/>
  <c r="J57" i="26"/>
  <c r="D57" i="26"/>
  <c r="R56" i="26"/>
  <c r="P56" i="26"/>
  <c r="Q56" i="26" s="1"/>
  <c r="H56" i="26"/>
  <c r="R55" i="26"/>
  <c r="P55" i="26"/>
  <c r="Q55" i="26" s="1"/>
  <c r="I55" i="26"/>
  <c r="A55" i="26"/>
  <c r="A56" i="26" s="1"/>
  <c r="R54" i="26"/>
  <c r="R57" i="26" s="1"/>
  <c r="P57" i="26" s="1"/>
  <c r="Q57" i="26" s="1"/>
  <c r="P54" i="26"/>
  <c r="Q54" i="26" s="1"/>
  <c r="I54" i="26"/>
  <c r="M52" i="26"/>
  <c r="J52" i="26"/>
  <c r="D52" i="26"/>
  <c r="R51" i="26"/>
  <c r="P51" i="26"/>
  <c r="Q51" i="26" s="1"/>
  <c r="H51" i="26"/>
  <c r="R50" i="26"/>
  <c r="P50" i="26"/>
  <c r="Q50" i="26" s="1"/>
  <c r="I50" i="26"/>
  <c r="A50" i="26"/>
  <c r="A51" i="26" s="1"/>
  <c r="R49" i="26"/>
  <c r="R52" i="26" s="1"/>
  <c r="P52" i="26" s="1"/>
  <c r="Q52" i="26" s="1"/>
  <c r="P49" i="26"/>
  <c r="Q49" i="26" s="1"/>
  <c r="I49" i="26"/>
  <c r="M47" i="26"/>
  <c r="J47" i="26"/>
  <c r="D47" i="26"/>
  <c r="R46" i="26"/>
  <c r="P46" i="26"/>
  <c r="Q46" i="26" s="1"/>
  <c r="H46" i="26"/>
  <c r="R45" i="26"/>
  <c r="P45" i="26"/>
  <c r="Q45" i="26" s="1"/>
  <c r="I45" i="26"/>
  <c r="A45" i="26"/>
  <c r="A46" i="26" s="1"/>
  <c r="R44" i="26"/>
  <c r="R47" i="26" s="1"/>
  <c r="P47" i="26" s="1"/>
  <c r="Q47" i="26" s="1"/>
  <c r="P44" i="26"/>
  <c r="Q44" i="26" s="1"/>
  <c r="I44" i="26"/>
  <c r="M42" i="26"/>
  <c r="H42" i="26"/>
  <c r="D42" i="26"/>
  <c r="I41" i="26"/>
  <c r="J41" i="26" s="1"/>
  <c r="R41" i="26" s="1"/>
  <c r="P41" i="26" s="1"/>
  <c r="Q41" i="26" s="1"/>
  <c r="I40" i="26"/>
  <c r="J40" i="26" s="1"/>
  <c r="R40" i="26" s="1"/>
  <c r="P40" i="26" s="1"/>
  <c r="Q40" i="26" s="1"/>
  <c r="I39" i="26"/>
  <c r="M37" i="26"/>
  <c r="J37" i="26"/>
  <c r="D37" i="26"/>
  <c r="R36" i="26"/>
  <c r="P36" i="26"/>
  <c r="Q36" i="26" s="1"/>
  <c r="H36" i="26"/>
  <c r="R34" i="26"/>
  <c r="I34" i="26"/>
  <c r="M32" i="26"/>
  <c r="J32" i="26"/>
  <c r="D32" i="26"/>
  <c r="R31" i="26"/>
  <c r="P31" i="26" s="1"/>
  <c r="Q31" i="26" s="1"/>
  <c r="H31" i="26"/>
  <c r="R30" i="26"/>
  <c r="P30" i="26" s="1"/>
  <c r="Q30" i="26" s="1"/>
  <c r="R29" i="26"/>
  <c r="R32" i="26" s="1"/>
  <c r="P32" i="26" s="1"/>
  <c r="Q32" i="26" s="1"/>
  <c r="P29" i="26"/>
  <c r="Q29" i="26" s="1"/>
  <c r="I29" i="26"/>
  <c r="A29" i="26"/>
  <c r="M26" i="26"/>
  <c r="J26" i="26"/>
  <c r="H26" i="26"/>
  <c r="D26" i="26"/>
  <c r="R25" i="26"/>
  <c r="P25" i="26" s="1"/>
  <c r="Q25" i="26" s="1"/>
  <c r="I25" i="26"/>
  <c r="R24" i="26"/>
  <c r="P24" i="26"/>
  <c r="Q24" i="26" s="1"/>
  <c r="I24" i="26"/>
  <c r="A24" i="26"/>
  <c r="A25" i="26" s="1"/>
  <c r="R23" i="26"/>
  <c r="R26" i="26" s="1"/>
  <c r="P26" i="26" s="1"/>
  <c r="Q26" i="26" s="1"/>
  <c r="P23" i="26"/>
  <c r="Q23" i="26" s="1"/>
  <c r="I23" i="26"/>
  <c r="I26" i="26" s="1"/>
  <c r="M21" i="26"/>
  <c r="J21" i="26"/>
  <c r="D21" i="26"/>
  <c r="R20" i="26"/>
  <c r="P20" i="26"/>
  <c r="Q20" i="26" s="1"/>
  <c r="H20" i="26"/>
  <c r="R19" i="26"/>
  <c r="P19" i="26"/>
  <c r="Q19" i="26" s="1"/>
  <c r="I19" i="26"/>
  <c r="A19" i="26"/>
  <c r="A20" i="26" s="1"/>
  <c r="R18" i="26"/>
  <c r="R21" i="26" s="1"/>
  <c r="P21" i="26" s="1"/>
  <c r="Q21" i="26" s="1"/>
  <c r="P18" i="26"/>
  <c r="Q18" i="26" s="1"/>
  <c r="I18" i="26"/>
  <c r="M16" i="26"/>
  <c r="H16" i="26"/>
  <c r="D16" i="26"/>
  <c r="I15" i="26"/>
  <c r="J15" i="26" s="1"/>
  <c r="R15" i="26" s="1"/>
  <c r="P15" i="26" s="1"/>
  <c r="Q15" i="26" s="1"/>
  <c r="A15" i="26"/>
  <c r="I14" i="26"/>
  <c r="J14" i="26" s="1"/>
  <c r="R14" i="26" s="1"/>
  <c r="P14" i="26" s="1"/>
  <c r="Q14" i="26" s="1"/>
  <c r="J13" i="26"/>
  <c r="I13" i="26"/>
  <c r="I16" i="26" s="1"/>
  <c r="M11" i="26"/>
  <c r="M109" i="26" s="1"/>
  <c r="J11" i="26"/>
  <c r="D11" i="26"/>
  <c r="D109" i="26" s="1"/>
  <c r="R10" i="26"/>
  <c r="P10" i="26"/>
  <c r="Q10" i="26" s="1"/>
  <c r="H10" i="26"/>
  <c r="R9" i="26"/>
  <c r="P9" i="26"/>
  <c r="Q9" i="26" s="1"/>
  <c r="I9" i="26"/>
  <c r="A9" i="26"/>
  <c r="A10" i="26" s="1"/>
  <c r="R8" i="26"/>
  <c r="R11" i="26" s="1"/>
  <c r="P8" i="26"/>
  <c r="Q8" i="26" s="1"/>
  <c r="I8" i="26"/>
  <c r="E20" i="25"/>
  <c r="F20" i="24"/>
  <c r="M108" i="22"/>
  <c r="J108" i="22"/>
  <c r="D108" i="22"/>
  <c r="R107" i="22"/>
  <c r="P107" i="22"/>
  <c r="Q107" i="22" s="1"/>
  <c r="I107" i="22"/>
  <c r="H107" i="22"/>
  <c r="H108" i="22" s="1"/>
  <c r="A107" i="22"/>
  <c r="R106" i="22"/>
  <c r="P106" i="22" s="1"/>
  <c r="Q106" i="22" s="1"/>
  <c r="I106" i="22"/>
  <c r="A106" i="22"/>
  <c r="R105" i="22"/>
  <c r="P105" i="22"/>
  <c r="Q105" i="22" s="1"/>
  <c r="I105" i="22"/>
  <c r="I108" i="22" s="1"/>
  <c r="R103" i="22"/>
  <c r="P103" i="22" s="1"/>
  <c r="Q103" i="22" s="1"/>
  <c r="M103" i="22"/>
  <c r="J103" i="22"/>
  <c r="D103" i="22"/>
  <c r="R102" i="22"/>
  <c r="P102" i="22"/>
  <c r="Q102" i="22" s="1"/>
  <c r="I102" i="22"/>
  <c r="H102" i="22"/>
  <c r="H103" i="22" s="1"/>
  <c r="A102" i="22"/>
  <c r="R101" i="22"/>
  <c r="P101" i="22"/>
  <c r="Q101" i="22" s="1"/>
  <c r="I101" i="22"/>
  <c r="A101" i="22"/>
  <c r="R100" i="22"/>
  <c r="P100" i="22"/>
  <c r="Q100" i="22" s="1"/>
  <c r="I100" i="22"/>
  <c r="I103" i="22" s="1"/>
  <c r="R98" i="22"/>
  <c r="P98" i="22" s="1"/>
  <c r="Q98" i="22" s="1"/>
  <c r="M98" i="22"/>
  <c r="J98" i="22"/>
  <c r="D98" i="22"/>
  <c r="R97" i="22"/>
  <c r="P97" i="22"/>
  <c r="Q97" i="22" s="1"/>
  <c r="I97" i="22"/>
  <c r="H97" i="22"/>
  <c r="H98" i="22" s="1"/>
  <c r="A97" i="22"/>
  <c r="R96" i="22"/>
  <c r="P96" i="22"/>
  <c r="Q96" i="22" s="1"/>
  <c r="I96" i="22"/>
  <c r="I98" i="22" s="1"/>
  <c r="A96" i="22"/>
  <c r="R95" i="22"/>
  <c r="P95" i="22" s="1"/>
  <c r="Q95" i="22" s="1"/>
  <c r="I95" i="22"/>
  <c r="R93" i="22"/>
  <c r="P93" i="22" s="1"/>
  <c r="Q93" i="22" s="1"/>
  <c r="M93" i="22"/>
  <c r="J93" i="22"/>
  <c r="D93" i="22"/>
  <c r="R92" i="22"/>
  <c r="P92" i="22" s="1"/>
  <c r="Q92" i="22" s="1"/>
  <c r="H92" i="22"/>
  <c r="I92" i="22" s="1"/>
  <c r="A92" i="22"/>
  <c r="R91" i="22"/>
  <c r="P91" i="22" s="1"/>
  <c r="Q91" i="22" s="1"/>
  <c r="I91" i="22"/>
  <c r="I93" i="22" s="1"/>
  <c r="A91" i="22"/>
  <c r="R90" i="22"/>
  <c r="P90" i="22" s="1"/>
  <c r="Q90" i="22" s="1"/>
  <c r="I90" i="22"/>
  <c r="M88" i="22"/>
  <c r="J88" i="22"/>
  <c r="D88" i="22"/>
  <c r="R87" i="22"/>
  <c r="P87" i="22" s="1"/>
  <c r="Q87" i="22" s="1"/>
  <c r="H87" i="22"/>
  <c r="I87" i="22" s="1"/>
  <c r="A87" i="22"/>
  <c r="R86" i="22"/>
  <c r="P86" i="22" s="1"/>
  <c r="Q86" i="22" s="1"/>
  <c r="I86" i="22"/>
  <c r="I88" i="22" s="1"/>
  <c r="A86" i="22"/>
  <c r="R85" i="22"/>
  <c r="P85" i="22" s="1"/>
  <c r="Q85" i="22" s="1"/>
  <c r="I85" i="22"/>
  <c r="M83" i="22"/>
  <c r="H83" i="22"/>
  <c r="D83" i="22"/>
  <c r="R82" i="22"/>
  <c r="P82" i="22" s="1"/>
  <c r="J82" i="22"/>
  <c r="I82" i="22"/>
  <c r="R81" i="22"/>
  <c r="Q81" i="22"/>
  <c r="P81" i="22"/>
  <c r="J81" i="22"/>
  <c r="J83" i="22" s="1"/>
  <c r="I81" i="22"/>
  <c r="I83" i="22" s="1"/>
  <c r="R80" i="22"/>
  <c r="R83" i="22" s="1"/>
  <c r="P80" i="22"/>
  <c r="Q80" i="22" s="1"/>
  <c r="J80" i="22"/>
  <c r="I80" i="22"/>
  <c r="M78" i="22"/>
  <c r="J78" i="22"/>
  <c r="H78" i="22"/>
  <c r="D78" i="22"/>
  <c r="R77" i="22"/>
  <c r="P77" i="22" s="1"/>
  <c r="Q77" i="22" s="1"/>
  <c r="I77" i="22"/>
  <c r="R76" i="22"/>
  <c r="Q76" i="22"/>
  <c r="I76" i="22"/>
  <c r="A76" i="22"/>
  <c r="A77" i="22" s="1"/>
  <c r="R75" i="22"/>
  <c r="R78" i="22" s="1"/>
  <c r="I75" i="22"/>
  <c r="I78" i="22" s="1"/>
  <c r="I74" i="22"/>
  <c r="H74" i="22"/>
  <c r="M73" i="22"/>
  <c r="J73" i="22"/>
  <c r="H73" i="22"/>
  <c r="D73" i="22"/>
  <c r="R72" i="22"/>
  <c r="P72" i="22"/>
  <c r="Q72" i="22" s="1"/>
  <c r="I72" i="22"/>
  <c r="H72" i="22"/>
  <c r="R71" i="22"/>
  <c r="P71" i="22"/>
  <c r="Q71" i="22" s="1"/>
  <c r="I71" i="22"/>
  <c r="I73" i="22" s="1"/>
  <c r="A71" i="22"/>
  <c r="A72" i="22" s="1"/>
  <c r="R70" i="22"/>
  <c r="R73" i="22" s="1"/>
  <c r="P73" i="22" s="1"/>
  <c r="Q73" i="22" s="1"/>
  <c r="P70" i="22"/>
  <c r="Q70" i="22" s="1"/>
  <c r="I70" i="22"/>
  <c r="Q68" i="22"/>
  <c r="M68" i="22"/>
  <c r="J68" i="22"/>
  <c r="I68" i="22"/>
  <c r="H68" i="22"/>
  <c r="D68" i="22"/>
  <c r="P63" i="22"/>
  <c r="J63" i="22"/>
  <c r="R63" i="22" s="1"/>
  <c r="A63" i="22"/>
  <c r="R59" i="22"/>
  <c r="P59" i="22"/>
  <c r="P68" i="22" s="1"/>
  <c r="J59" i="22"/>
  <c r="M57" i="22"/>
  <c r="J57" i="22"/>
  <c r="H57" i="22"/>
  <c r="D57" i="22"/>
  <c r="R56" i="22"/>
  <c r="P56" i="22" s="1"/>
  <c r="Q56" i="22" s="1"/>
  <c r="H56" i="22"/>
  <c r="I56" i="22" s="1"/>
  <c r="A56" i="22"/>
  <c r="R55" i="22"/>
  <c r="P55" i="22" s="1"/>
  <c r="Q55" i="22" s="1"/>
  <c r="I55" i="22"/>
  <c r="A55" i="22"/>
  <c r="R54" i="22"/>
  <c r="P54" i="22" s="1"/>
  <c r="Q54" i="22" s="1"/>
  <c r="I54" i="22"/>
  <c r="M52" i="22"/>
  <c r="J52" i="22"/>
  <c r="H52" i="22"/>
  <c r="D52" i="22"/>
  <c r="R51" i="22"/>
  <c r="P51" i="22" s="1"/>
  <c r="Q51" i="22" s="1"/>
  <c r="H51" i="22"/>
  <c r="I51" i="22" s="1"/>
  <c r="R50" i="22"/>
  <c r="Q50" i="22"/>
  <c r="P50" i="22"/>
  <c r="I50" i="22"/>
  <c r="A50" i="22"/>
  <c r="A51" i="22" s="1"/>
  <c r="R49" i="22"/>
  <c r="R52" i="22" s="1"/>
  <c r="P52" i="22" s="1"/>
  <c r="Q52" i="22" s="1"/>
  <c r="P49" i="22"/>
  <c r="Q49" i="22" s="1"/>
  <c r="I49" i="22"/>
  <c r="M47" i="22"/>
  <c r="J47" i="22"/>
  <c r="H47" i="22"/>
  <c r="D47" i="22"/>
  <c r="R46" i="22"/>
  <c r="P46" i="22"/>
  <c r="Q46" i="22" s="1"/>
  <c r="I46" i="22"/>
  <c r="H46" i="22"/>
  <c r="R45" i="22"/>
  <c r="P45" i="22"/>
  <c r="Q45" i="22" s="1"/>
  <c r="I45" i="22"/>
  <c r="I47" i="22" s="1"/>
  <c r="A45" i="22"/>
  <c r="A46" i="22" s="1"/>
  <c r="R44" i="22"/>
  <c r="R47" i="22" s="1"/>
  <c r="P47" i="22" s="1"/>
  <c r="Q47" i="22" s="1"/>
  <c r="P44" i="22"/>
  <c r="Q44" i="22" s="1"/>
  <c r="I44" i="22"/>
  <c r="M42" i="22"/>
  <c r="H42" i="22"/>
  <c r="D42" i="22"/>
  <c r="J41" i="22"/>
  <c r="R41" i="22" s="1"/>
  <c r="P41" i="22" s="1"/>
  <c r="Q41" i="22" s="1"/>
  <c r="I41" i="22"/>
  <c r="I40" i="22"/>
  <c r="J40" i="22" s="1"/>
  <c r="R40" i="22" s="1"/>
  <c r="P40" i="22" s="1"/>
  <c r="Q40" i="22" s="1"/>
  <c r="I39" i="22"/>
  <c r="J39" i="22" s="1"/>
  <c r="R37" i="22"/>
  <c r="P37" i="22" s="1"/>
  <c r="Q37" i="22" s="1"/>
  <c r="M37" i="22"/>
  <c r="J37" i="22"/>
  <c r="H37" i="22"/>
  <c r="D37" i="22"/>
  <c r="R36" i="22"/>
  <c r="P36" i="22" s="1"/>
  <c r="Q36" i="22" s="1"/>
  <c r="H36" i="22"/>
  <c r="I36" i="22" s="1"/>
  <c r="I37" i="22" s="1"/>
  <c r="R34" i="22"/>
  <c r="P34" i="22" s="1"/>
  <c r="Q34" i="22" s="1"/>
  <c r="I34" i="22"/>
  <c r="M32" i="22"/>
  <c r="J32" i="22"/>
  <c r="H32" i="22"/>
  <c r="D32" i="22"/>
  <c r="R31" i="22"/>
  <c r="P31" i="22"/>
  <c r="Q31" i="22" s="1"/>
  <c r="H31" i="22"/>
  <c r="I31" i="22" s="1"/>
  <c r="R30" i="22"/>
  <c r="R32" i="22" s="1"/>
  <c r="P32" i="22" s="1"/>
  <c r="Q32" i="22" s="1"/>
  <c r="R29" i="22"/>
  <c r="P29" i="22"/>
  <c r="Q29" i="22" s="1"/>
  <c r="I29" i="22"/>
  <c r="A29" i="22"/>
  <c r="M26" i="22"/>
  <c r="J26" i="22"/>
  <c r="H26" i="22"/>
  <c r="D26" i="22"/>
  <c r="R25" i="22"/>
  <c r="P25" i="22"/>
  <c r="Q25" i="22" s="1"/>
  <c r="I25" i="22"/>
  <c r="R24" i="22"/>
  <c r="P24" i="22"/>
  <c r="Q24" i="22" s="1"/>
  <c r="I24" i="22"/>
  <c r="I26" i="22" s="1"/>
  <c r="A24" i="22"/>
  <c r="A25" i="22" s="1"/>
  <c r="R23" i="22"/>
  <c r="R26" i="22" s="1"/>
  <c r="P26" i="22" s="1"/>
  <c r="Q26" i="22" s="1"/>
  <c r="I23" i="22"/>
  <c r="M21" i="22"/>
  <c r="J21" i="22"/>
  <c r="H21" i="22"/>
  <c r="D21" i="22"/>
  <c r="R20" i="22"/>
  <c r="P20" i="22" s="1"/>
  <c r="Q20" i="22" s="1"/>
  <c r="H20" i="22"/>
  <c r="I20" i="22" s="1"/>
  <c r="R19" i="22"/>
  <c r="P19" i="22" s="1"/>
  <c r="Q19" i="22" s="1"/>
  <c r="I19" i="22"/>
  <c r="A19" i="22"/>
  <c r="A20" i="22" s="1"/>
  <c r="R18" i="22"/>
  <c r="P18" i="22" s="1"/>
  <c r="Q18" i="22" s="1"/>
  <c r="I18" i="22"/>
  <c r="M16" i="22"/>
  <c r="H16" i="22"/>
  <c r="D16" i="22"/>
  <c r="I15" i="22"/>
  <c r="J15" i="22" s="1"/>
  <c r="R15" i="22" s="1"/>
  <c r="P15" i="22" s="1"/>
  <c r="Q15" i="22" s="1"/>
  <c r="A15" i="22"/>
  <c r="I14" i="22"/>
  <c r="J14" i="22" s="1"/>
  <c r="R14" i="22" s="1"/>
  <c r="P14" i="22" s="1"/>
  <c r="Q14" i="22" s="1"/>
  <c r="I13" i="22"/>
  <c r="I16" i="22" s="1"/>
  <c r="M11" i="22"/>
  <c r="M109" i="22" s="1"/>
  <c r="J11" i="22"/>
  <c r="D11" i="22"/>
  <c r="D109" i="22" s="1"/>
  <c r="R10" i="22"/>
  <c r="P10" i="22" s="1"/>
  <c r="Q10" i="22" s="1"/>
  <c r="H10" i="22"/>
  <c r="H11" i="22" s="1"/>
  <c r="A10" i="22"/>
  <c r="R9" i="22"/>
  <c r="P9" i="22"/>
  <c r="Q9" i="22" s="1"/>
  <c r="I9" i="22"/>
  <c r="A9" i="22"/>
  <c r="R8" i="22"/>
  <c r="P8" i="22" s="1"/>
  <c r="Q8" i="22" s="1"/>
  <c r="I8" i="22"/>
  <c r="E20" i="21"/>
  <c r="F20" i="20"/>
  <c r="M108" i="18"/>
  <c r="J108" i="18"/>
  <c r="D108" i="18"/>
  <c r="R107" i="18"/>
  <c r="P107" i="18"/>
  <c r="Q107" i="18" s="1"/>
  <c r="I107" i="18"/>
  <c r="H107" i="18"/>
  <c r="H108" i="18" s="1"/>
  <c r="A107" i="18"/>
  <c r="R106" i="18"/>
  <c r="P106" i="18" s="1"/>
  <c r="Q106" i="18" s="1"/>
  <c r="I106" i="18"/>
  <c r="A106" i="18"/>
  <c r="R105" i="18"/>
  <c r="P105" i="18"/>
  <c r="Q105" i="18" s="1"/>
  <c r="I105" i="18"/>
  <c r="I108" i="18" s="1"/>
  <c r="R103" i="18"/>
  <c r="P103" i="18" s="1"/>
  <c r="Q103" i="18" s="1"/>
  <c r="M103" i="18"/>
  <c r="J103" i="18"/>
  <c r="D103" i="18"/>
  <c r="R102" i="18"/>
  <c r="P102" i="18"/>
  <c r="Q102" i="18" s="1"/>
  <c r="I102" i="18"/>
  <c r="H102" i="18"/>
  <c r="H103" i="18" s="1"/>
  <c r="A102" i="18"/>
  <c r="R101" i="18"/>
  <c r="P101" i="18"/>
  <c r="Q101" i="18" s="1"/>
  <c r="I101" i="18"/>
  <c r="A101" i="18"/>
  <c r="R100" i="18"/>
  <c r="P100" i="18"/>
  <c r="Q100" i="18" s="1"/>
  <c r="I100" i="18"/>
  <c r="I103" i="18" s="1"/>
  <c r="R98" i="18"/>
  <c r="P98" i="18" s="1"/>
  <c r="Q98" i="18" s="1"/>
  <c r="M98" i="18"/>
  <c r="J98" i="18"/>
  <c r="D98" i="18"/>
  <c r="R97" i="18"/>
  <c r="P97" i="18"/>
  <c r="Q97" i="18" s="1"/>
  <c r="I97" i="18"/>
  <c r="H97" i="18"/>
  <c r="H98" i="18" s="1"/>
  <c r="A97" i="18"/>
  <c r="R96" i="18"/>
  <c r="P96" i="18"/>
  <c r="Q96" i="18" s="1"/>
  <c r="I96" i="18"/>
  <c r="A96" i="18"/>
  <c r="R95" i="18"/>
  <c r="P95" i="18" s="1"/>
  <c r="Q95" i="18" s="1"/>
  <c r="I95" i="18"/>
  <c r="I98" i="18" s="1"/>
  <c r="R93" i="18"/>
  <c r="P93" i="18" s="1"/>
  <c r="Q93" i="18" s="1"/>
  <c r="M93" i="18"/>
  <c r="J93" i="18"/>
  <c r="D93" i="18"/>
  <c r="R92" i="18"/>
  <c r="P92" i="18" s="1"/>
  <c r="Q92" i="18" s="1"/>
  <c r="H92" i="18"/>
  <c r="I92" i="18" s="1"/>
  <c r="A92" i="18"/>
  <c r="R91" i="18"/>
  <c r="P91" i="18" s="1"/>
  <c r="Q91" i="18" s="1"/>
  <c r="I91" i="18"/>
  <c r="I93" i="18" s="1"/>
  <c r="A91" i="18"/>
  <c r="R90" i="18"/>
  <c r="P90" i="18"/>
  <c r="Q90" i="18" s="1"/>
  <c r="I90" i="18"/>
  <c r="M88" i="18"/>
  <c r="J88" i="18"/>
  <c r="D88" i="18"/>
  <c r="R87" i="18"/>
  <c r="P87" i="18"/>
  <c r="Q87" i="18" s="1"/>
  <c r="H87" i="18"/>
  <c r="I87" i="18" s="1"/>
  <c r="A87" i="18"/>
  <c r="R86" i="18"/>
  <c r="P86" i="18" s="1"/>
  <c r="Q86" i="18" s="1"/>
  <c r="I86" i="18"/>
  <c r="I88" i="18" s="1"/>
  <c r="A86" i="18"/>
  <c r="R85" i="18"/>
  <c r="P85" i="18" s="1"/>
  <c r="Q85" i="18" s="1"/>
  <c r="I85" i="18"/>
  <c r="M83" i="18"/>
  <c r="H83" i="18"/>
  <c r="D83" i="18"/>
  <c r="R82" i="18"/>
  <c r="P82" i="18" s="1"/>
  <c r="Q82" i="18" s="1"/>
  <c r="J82" i="18"/>
  <c r="I82" i="18"/>
  <c r="R81" i="18"/>
  <c r="P81" i="18"/>
  <c r="Q81" i="18" s="1"/>
  <c r="J81" i="18"/>
  <c r="I81" i="18"/>
  <c r="I83" i="18" s="1"/>
  <c r="I80" i="18"/>
  <c r="J80" i="18" s="1"/>
  <c r="M78" i="18"/>
  <c r="J78" i="18"/>
  <c r="H78" i="18"/>
  <c r="D78" i="18"/>
  <c r="R77" i="18"/>
  <c r="P77" i="18" s="1"/>
  <c r="Q77" i="18" s="1"/>
  <c r="I77" i="18"/>
  <c r="R76" i="18"/>
  <c r="Q76" i="18"/>
  <c r="I76" i="18"/>
  <c r="I78" i="18" s="1"/>
  <c r="A76" i="18"/>
  <c r="A77" i="18" s="1"/>
  <c r="R75" i="18"/>
  <c r="R78" i="18" s="1"/>
  <c r="I75" i="18"/>
  <c r="I74" i="18"/>
  <c r="H74" i="18"/>
  <c r="M73" i="18"/>
  <c r="J73" i="18"/>
  <c r="H73" i="18"/>
  <c r="D73" i="18"/>
  <c r="R72" i="18"/>
  <c r="P72" i="18"/>
  <c r="Q72" i="18" s="1"/>
  <c r="H72" i="18"/>
  <c r="I72" i="18" s="1"/>
  <c r="R71" i="18"/>
  <c r="P71" i="18"/>
  <c r="Q71" i="18" s="1"/>
  <c r="I71" i="18"/>
  <c r="I73" i="18" s="1"/>
  <c r="A71" i="18"/>
  <c r="A72" i="18" s="1"/>
  <c r="R70" i="18"/>
  <c r="R73" i="18" s="1"/>
  <c r="P73" i="18" s="1"/>
  <c r="Q73" i="18" s="1"/>
  <c r="P70" i="18"/>
  <c r="Q70" i="18" s="1"/>
  <c r="I70" i="18"/>
  <c r="Q68" i="18"/>
  <c r="M68" i="18"/>
  <c r="J68" i="18"/>
  <c r="I68" i="18"/>
  <c r="H68" i="18"/>
  <c r="D68" i="18"/>
  <c r="P63" i="18"/>
  <c r="P68" i="18" s="1"/>
  <c r="J63" i="18"/>
  <c r="R63" i="18" s="1"/>
  <c r="A63" i="18"/>
  <c r="P59" i="18"/>
  <c r="J59" i="18"/>
  <c r="R59" i="18" s="1"/>
  <c r="R68" i="18" s="1"/>
  <c r="M57" i="18"/>
  <c r="J57" i="18"/>
  <c r="H57" i="18"/>
  <c r="D57" i="18"/>
  <c r="R56" i="18"/>
  <c r="P56" i="18" s="1"/>
  <c r="Q56" i="18" s="1"/>
  <c r="I56" i="18"/>
  <c r="H56" i="18"/>
  <c r="A56" i="18"/>
  <c r="R55" i="18"/>
  <c r="P55" i="18" s="1"/>
  <c r="Q55" i="18" s="1"/>
  <c r="I55" i="18"/>
  <c r="I57" i="18" s="1"/>
  <c r="A55" i="18"/>
  <c r="R54" i="18"/>
  <c r="P54" i="18" s="1"/>
  <c r="Q54" i="18" s="1"/>
  <c r="I54" i="18"/>
  <c r="M52" i="18"/>
  <c r="J52" i="18"/>
  <c r="H52" i="18"/>
  <c r="D52" i="18"/>
  <c r="R51" i="18"/>
  <c r="P51" i="18" s="1"/>
  <c r="Q51" i="18" s="1"/>
  <c r="H51" i="18"/>
  <c r="I51" i="18" s="1"/>
  <c r="R50" i="18"/>
  <c r="P50" i="18"/>
  <c r="Q50" i="18" s="1"/>
  <c r="I50" i="18"/>
  <c r="I52" i="18" s="1"/>
  <c r="A50" i="18"/>
  <c r="A51" i="18" s="1"/>
  <c r="R49" i="18"/>
  <c r="R52" i="18" s="1"/>
  <c r="P52" i="18" s="1"/>
  <c r="Q52" i="18" s="1"/>
  <c r="P49" i="18"/>
  <c r="Q49" i="18" s="1"/>
  <c r="I49" i="18"/>
  <c r="M47" i="18"/>
  <c r="J47" i="18"/>
  <c r="H47" i="18"/>
  <c r="D47" i="18"/>
  <c r="R46" i="18"/>
  <c r="P46" i="18"/>
  <c r="Q46" i="18" s="1"/>
  <c r="H46" i="18"/>
  <c r="I46" i="18" s="1"/>
  <c r="R45" i="18"/>
  <c r="P45" i="18"/>
  <c r="Q45" i="18" s="1"/>
  <c r="I45" i="18"/>
  <c r="I47" i="18" s="1"/>
  <c r="A45" i="18"/>
  <c r="A46" i="18" s="1"/>
  <c r="R44" i="18"/>
  <c r="R47" i="18" s="1"/>
  <c r="P47" i="18" s="1"/>
  <c r="Q47" i="18" s="1"/>
  <c r="P44" i="18"/>
  <c r="Q44" i="18" s="1"/>
  <c r="I44" i="18"/>
  <c r="M42" i="18"/>
  <c r="H42" i="18"/>
  <c r="D42" i="18"/>
  <c r="J41" i="18"/>
  <c r="R41" i="18" s="1"/>
  <c r="P41" i="18" s="1"/>
  <c r="Q41" i="18" s="1"/>
  <c r="I41" i="18"/>
  <c r="I40" i="18"/>
  <c r="J40" i="18" s="1"/>
  <c r="R40" i="18" s="1"/>
  <c r="P40" i="18" s="1"/>
  <c r="Q40" i="18" s="1"/>
  <c r="I39" i="18"/>
  <c r="J39" i="18" s="1"/>
  <c r="R37" i="18"/>
  <c r="P37" i="18" s="1"/>
  <c r="Q37" i="18" s="1"/>
  <c r="M37" i="18"/>
  <c r="J37" i="18"/>
  <c r="H37" i="18"/>
  <c r="D37" i="18"/>
  <c r="R36" i="18"/>
  <c r="P36" i="18" s="1"/>
  <c r="Q36" i="18" s="1"/>
  <c r="H36" i="18"/>
  <c r="I36" i="18" s="1"/>
  <c r="I37" i="18" s="1"/>
  <c r="R34" i="18"/>
  <c r="P34" i="18"/>
  <c r="Q34" i="18" s="1"/>
  <c r="I34" i="18"/>
  <c r="M32" i="18"/>
  <c r="J32" i="18"/>
  <c r="D32" i="18"/>
  <c r="R31" i="18"/>
  <c r="P31" i="18"/>
  <c r="Q31" i="18" s="1"/>
  <c r="H31" i="18"/>
  <c r="I31" i="18" s="1"/>
  <c r="R30" i="18"/>
  <c r="R32" i="18" s="1"/>
  <c r="P32" i="18" s="1"/>
  <c r="Q32" i="18" s="1"/>
  <c r="R29" i="18"/>
  <c r="P29" i="18"/>
  <c r="Q29" i="18" s="1"/>
  <c r="I29" i="18"/>
  <c r="I32" i="18" s="1"/>
  <c r="A29" i="18"/>
  <c r="M26" i="18"/>
  <c r="J26" i="18"/>
  <c r="H26" i="18"/>
  <c r="D26" i="18"/>
  <c r="R25" i="18"/>
  <c r="P25" i="18"/>
  <c r="Q25" i="18" s="1"/>
  <c r="I25" i="18"/>
  <c r="R24" i="18"/>
  <c r="P24" i="18" s="1"/>
  <c r="Q24" i="18" s="1"/>
  <c r="I24" i="18"/>
  <c r="I26" i="18" s="1"/>
  <c r="A24" i="18"/>
  <c r="A25" i="18" s="1"/>
  <c r="R23" i="18"/>
  <c r="R26" i="18" s="1"/>
  <c r="P26" i="18" s="1"/>
  <c r="Q26" i="18" s="1"/>
  <c r="I23" i="18"/>
  <c r="M21" i="18"/>
  <c r="J21" i="18"/>
  <c r="H21" i="18"/>
  <c r="D21" i="18"/>
  <c r="R20" i="18"/>
  <c r="P20" i="18" s="1"/>
  <c r="Q20" i="18" s="1"/>
  <c r="H20" i="18"/>
  <c r="I20" i="18" s="1"/>
  <c r="R19" i="18"/>
  <c r="Q19" i="18"/>
  <c r="P19" i="18"/>
  <c r="I19" i="18"/>
  <c r="I21" i="18" s="1"/>
  <c r="A19" i="18"/>
  <c r="A20" i="18" s="1"/>
  <c r="R18" i="18"/>
  <c r="P18" i="18" s="1"/>
  <c r="Q18" i="18" s="1"/>
  <c r="I18" i="18"/>
  <c r="M16" i="18"/>
  <c r="H16" i="18"/>
  <c r="D16" i="18"/>
  <c r="I15" i="18"/>
  <c r="J15" i="18" s="1"/>
  <c r="R15" i="18" s="1"/>
  <c r="P15" i="18" s="1"/>
  <c r="Q15" i="18" s="1"/>
  <c r="A15" i="18"/>
  <c r="I14" i="18"/>
  <c r="I16" i="18" s="1"/>
  <c r="I13" i="18"/>
  <c r="J13" i="18" s="1"/>
  <c r="M11" i="18"/>
  <c r="M109" i="18" s="1"/>
  <c r="J11" i="18"/>
  <c r="H11" i="18"/>
  <c r="D11" i="18"/>
  <c r="D109" i="18" s="1"/>
  <c r="R10" i="18"/>
  <c r="P10" i="18" s="1"/>
  <c r="Q10" i="18" s="1"/>
  <c r="H10" i="18"/>
  <c r="I10" i="18" s="1"/>
  <c r="R9" i="18"/>
  <c r="P9" i="18"/>
  <c r="Q9" i="18" s="1"/>
  <c r="I9" i="18"/>
  <c r="A9" i="18"/>
  <c r="A10" i="18" s="1"/>
  <c r="R8" i="18"/>
  <c r="P8" i="18" s="1"/>
  <c r="Q8" i="18" s="1"/>
  <c r="I8" i="18"/>
  <c r="E20" i="17"/>
  <c r="F20" i="16"/>
  <c r="M108" i="14"/>
  <c r="J108" i="14"/>
  <c r="D108" i="14"/>
  <c r="R107" i="14"/>
  <c r="P107" i="14"/>
  <c r="Q107" i="14" s="1"/>
  <c r="H107" i="14"/>
  <c r="H108" i="14" s="1"/>
  <c r="A107" i="14"/>
  <c r="R106" i="14"/>
  <c r="P106" i="14" s="1"/>
  <c r="Q106" i="14" s="1"/>
  <c r="I106" i="14"/>
  <c r="A106" i="14"/>
  <c r="R105" i="14"/>
  <c r="P105" i="14" s="1"/>
  <c r="Q105" i="14" s="1"/>
  <c r="I105" i="14"/>
  <c r="M103" i="14"/>
  <c r="J103" i="14"/>
  <c r="D103" i="14"/>
  <c r="R102" i="14"/>
  <c r="P102" i="14" s="1"/>
  <c r="Q102" i="14" s="1"/>
  <c r="I102" i="14"/>
  <c r="H102" i="14"/>
  <c r="H103" i="14" s="1"/>
  <c r="A102" i="14"/>
  <c r="R101" i="14"/>
  <c r="P101" i="14" s="1"/>
  <c r="Q101" i="14" s="1"/>
  <c r="I101" i="14"/>
  <c r="I103" i="14" s="1"/>
  <c r="A101" i="14"/>
  <c r="R100" i="14"/>
  <c r="P100" i="14" s="1"/>
  <c r="Q100" i="14" s="1"/>
  <c r="I100" i="14"/>
  <c r="R98" i="14"/>
  <c r="P98" i="14" s="1"/>
  <c r="Q98" i="14" s="1"/>
  <c r="M98" i="14"/>
  <c r="J98" i="14"/>
  <c r="D98" i="14"/>
  <c r="R97" i="14"/>
  <c r="P97" i="14" s="1"/>
  <c r="Q97" i="14" s="1"/>
  <c r="H97" i="14"/>
  <c r="H98" i="14" s="1"/>
  <c r="A97" i="14"/>
  <c r="R96" i="14"/>
  <c r="P96" i="14"/>
  <c r="Q96" i="14" s="1"/>
  <c r="I96" i="14"/>
  <c r="A96" i="14"/>
  <c r="R95" i="14"/>
  <c r="P95" i="14" s="1"/>
  <c r="Q95" i="14" s="1"/>
  <c r="I95" i="14"/>
  <c r="M93" i="14"/>
  <c r="J93" i="14"/>
  <c r="D93" i="14"/>
  <c r="R92" i="14"/>
  <c r="P92" i="14" s="1"/>
  <c r="Q92" i="14" s="1"/>
  <c r="H92" i="14"/>
  <c r="I92" i="14" s="1"/>
  <c r="I93" i="14" s="1"/>
  <c r="A92" i="14"/>
  <c r="R91" i="14"/>
  <c r="P91" i="14"/>
  <c r="Q91" i="14" s="1"/>
  <c r="I91" i="14"/>
  <c r="A91" i="14"/>
  <c r="R90" i="14"/>
  <c r="R93" i="14" s="1"/>
  <c r="P93" i="14" s="1"/>
  <c r="Q93" i="14" s="1"/>
  <c r="P90" i="14"/>
  <c r="Q90" i="14" s="1"/>
  <c r="I90" i="14"/>
  <c r="M88" i="14"/>
  <c r="J88" i="14"/>
  <c r="H88" i="14"/>
  <c r="D88" i="14"/>
  <c r="R87" i="14"/>
  <c r="P87" i="14"/>
  <c r="Q87" i="14" s="1"/>
  <c r="H87" i="14"/>
  <c r="I87" i="14" s="1"/>
  <c r="R86" i="14"/>
  <c r="P86" i="14" s="1"/>
  <c r="Q86" i="14" s="1"/>
  <c r="I86" i="14"/>
  <c r="I88" i="14" s="1"/>
  <c r="A86" i="14"/>
  <c r="A87" i="14" s="1"/>
  <c r="R85" i="14"/>
  <c r="R88" i="14" s="1"/>
  <c r="P88" i="14" s="1"/>
  <c r="Q88" i="14" s="1"/>
  <c r="P85" i="14"/>
  <c r="Q85" i="14" s="1"/>
  <c r="I85" i="14"/>
  <c r="M83" i="14"/>
  <c r="H83" i="14"/>
  <c r="D83" i="14"/>
  <c r="J82" i="14"/>
  <c r="R82" i="14" s="1"/>
  <c r="P82" i="14" s="1"/>
  <c r="Q82" i="14" s="1"/>
  <c r="I82" i="14"/>
  <c r="I81" i="14"/>
  <c r="J81" i="14" s="1"/>
  <c r="R81" i="14" s="1"/>
  <c r="P81" i="14" s="1"/>
  <c r="Q81" i="14" s="1"/>
  <c r="I80" i="14"/>
  <c r="J80" i="14" s="1"/>
  <c r="M78" i="14"/>
  <c r="J78" i="14"/>
  <c r="H78" i="14"/>
  <c r="D78" i="14"/>
  <c r="R77" i="14"/>
  <c r="P77" i="14" s="1"/>
  <c r="Q77" i="14" s="1"/>
  <c r="I77" i="14"/>
  <c r="R76" i="14"/>
  <c r="Q76" i="14"/>
  <c r="I76" i="14"/>
  <c r="A76" i="14"/>
  <c r="A77" i="14" s="1"/>
  <c r="R75" i="14"/>
  <c r="P75" i="14"/>
  <c r="P78" i="14" s="1"/>
  <c r="I75" i="14"/>
  <c r="I78" i="14" s="1"/>
  <c r="H74" i="14"/>
  <c r="I74" i="14" s="1"/>
  <c r="M73" i="14"/>
  <c r="J73" i="14"/>
  <c r="D73" i="14"/>
  <c r="R72" i="14"/>
  <c r="R73" i="14" s="1"/>
  <c r="P73" i="14" s="1"/>
  <c r="Q73" i="14" s="1"/>
  <c r="H72" i="14"/>
  <c r="I72" i="14" s="1"/>
  <c r="A72" i="14"/>
  <c r="R71" i="14"/>
  <c r="P71" i="14"/>
  <c r="Q71" i="14" s="1"/>
  <c r="I71" i="14"/>
  <c r="I73" i="14" s="1"/>
  <c r="A71" i="14"/>
  <c r="R70" i="14"/>
  <c r="P70" i="14"/>
  <c r="Q70" i="14" s="1"/>
  <c r="I70" i="14"/>
  <c r="Q68" i="14"/>
  <c r="M68" i="14"/>
  <c r="I68" i="14"/>
  <c r="H68" i="14"/>
  <c r="D68" i="14"/>
  <c r="P63" i="14"/>
  <c r="P68" i="14" s="1"/>
  <c r="J63" i="14"/>
  <c r="R63" i="14" s="1"/>
  <c r="A63" i="14"/>
  <c r="P59" i="14"/>
  <c r="J59" i="14"/>
  <c r="R59" i="14" s="1"/>
  <c r="R68" i="14" s="1"/>
  <c r="M57" i="14"/>
  <c r="J57" i="14"/>
  <c r="H57" i="14"/>
  <c r="D57" i="14"/>
  <c r="R56" i="14"/>
  <c r="P56" i="14"/>
  <c r="Q56" i="14" s="1"/>
  <c r="I56" i="14"/>
  <c r="H56" i="14"/>
  <c r="R55" i="14"/>
  <c r="P55" i="14" s="1"/>
  <c r="Q55" i="14" s="1"/>
  <c r="I55" i="14"/>
  <c r="A55" i="14"/>
  <c r="A56" i="14" s="1"/>
  <c r="R54" i="14"/>
  <c r="P54" i="14" s="1"/>
  <c r="Q54" i="14" s="1"/>
  <c r="I54" i="14"/>
  <c r="I57" i="14" s="1"/>
  <c r="M52" i="14"/>
  <c r="J52" i="14"/>
  <c r="D52" i="14"/>
  <c r="R51" i="14"/>
  <c r="P51" i="14" s="1"/>
  <c r="Q51" i="14" s="1"/>
  <c r="H51" i="14"/>
  <c r="I51" i="14" s="1"/>
  <c r="R50" i="14"/>
  <c r="P50" i="14"/>
  <c r="Q50" i="14" s="1"/>
  <c r="I50" i="14"/>
  <c r="I52" i="14" s="1"/>
  <c r="A50" i="14"/>
  <c r="A51" i="14" s="1"/>
  <c r="R49" i="14"/>
  <c r="R52" i="14" s="1"/>
  <c r="P52" i="14" s="1"/>
  <c r="Q52" i="14" s="1"/>
  <c r="I49" i="14"/>
  <c r="M47" i="14"/>
  <c r="J47" i="14"/>
  <c r="D47" i="14"/>
  <c r="R46" i="14"/>
  <c r="R47" i="14" s="1"/>
  <c r="P47" i="14" s="1"/>
  <c r="Q47" i="14" s="1"/>
  <c r="H46" i="14"/>
  <c r="I46" i="14" s="1"/>
  <c r="A46" i="14"/>
  <c r="R45" i="14"/>
  <c r="P45" i="14"/>
  <c r="Q45" i="14" s="1"/>
  <c r="I45" i="14"/>
  <c r="I47" i="14" s="1"/>
  <c r="A45" i="14"/>
  <c r="R44" i="14"/>
  <c r="P44" i="14"/>
  <c r="Q44" i="14" s="1"/>
  <c r="I44" i="14"/>
  <c r="M42" i="14"/>
  <c r="H42" i="14"/>
  <c r="D42" i="14"/>
  <c r="I41" i="14"/>
  <c r="J41" i="14" s="1"/>
  <c r="R41" i="14" s="1"/>
  <c r="P41" i="14" s="1"/>
  <c r="Q41" i="14" s="1"/>
  <c r="I40" i="14"/>
  <c r="J40" i="14" s="1"/>
  <c r="R40" i="14" s="1"/>
  <c r="P40" i="14" s="1"/>
  <c r="Q40" i="14" s="1"/>
  <c r="I39" i="14"/>
  <c r="J39" i="14" s="1"/>
  <c r="M37" i="14"/>
  <c r="J37" i="14"/>
  <c r="H37" i="14"/>
  <c r="D37" i="14"/>
  <c r="R36" i="14"/>
  <c r="P36" i="14"/>
  <c r="Q36" i="14" s="1"/>
  <c r="I36" i="14"/>
  <c r="H36" i="14"/>
  <c r="R34" i="14"/>
  <c r="R37" i="14" s="1"/>
  <c r="P37" i="14" s="1"/>
  <c r="Q37" i="14" s="1"/>
  <c r="P34" i="14"/>
  <c r="Q34" i="14" s="1"/>
  <c r="I34" i="14"/>
  <c r="I37" i="14" s="1"/>
  <c r="M32" i="14"/>
  <c r="J32" i="14"/>
  <c r="H32" i="14"/>
  <c r="D32" i="14"/>
  <c r="R31" i="14"/>
  <c r="P31" i="14"/>
  <c r="Q31" i="14" s="1"/>
  <c r="H31" i="14"/>
  <c r="I31" i="14" s="1"/>
  <c r="I32" i="14" s="1"/>
  <c r="R30" i="14"/>
  <c r="P30" i="14" s="1"/>
  <c r="Q30" i="14" s="1"/>
  <c r="R29" i="14"/>
  <c r="R32" i="14" s="1"/>
  <c r="P32" i="14" s="1"/>
  <c r="Q32" i="14" s="1"/>
  <c r="P29" i="14"/>
  <c r="Q29" i="14" s="1"/>
  <c r="I29" i="14"/>
  <c r="A29" i="14"/>
  <c r="M26" i="14"/>
  <c r="J26" i="14"/>
  <c r="H26" i="14"/>
  <c r="D26" i="14"/>
  <c r="R25" i="14"/>
  <c r="P25" i="14" s="1"/>
  <c r="Q25" i="14" s="1"/>
  <c r="I25" i="14"/>
  <c r="R24" i="14"/>
  <c r="R26" i="14" s="1"/>
  <c r="P26" i="14" s="1"/>
  <c r="Q26" i="14" s="1"/>
  <c r="I24" i="14"/>
  <c r="A24" i="14"/>
  <c r="A25" i="14" s="1"/>
  <c r="R23" i="14"/>
  <c r="P23" i="14"/>
  <c r="Q23" i="14" s="1"/>
  <c r="I23" i="14"/>
  <c r="I26" i="14" s="1"/>
  <c r="M21" i="14"/>
  <c r="J21" i="14"/>
  <c r="H21" i="14"/>
  <c r="D21" i="14"/>
  <c r="R20" i="14"/>
  <c r="P20" i="14"/>
  <c r="Q20" i="14" s="1"/>
  <c r="I20" i="14"/>
  <c r="H20" i="14"/>
  <c r="R19" i="14"/>
  <c r="P19" i="14" s="1"/>
  <c r="Q19" i="14" s="1"/>
  <c r="I19" i="14"/>
  <c r="A19" i="14"/>
  <c r="A20" i="14" s="1"/>
  <c r="R18" i="14"/>
  <c r="P18" i="14" s="1"/>
  <c r="Q18" i="14" s="1"/>
  <c r="I18" i="14"/>
  <c r="I21" i="14" s="1"/>
  <c r="M16" i="14"/>
  <c r="H16" i="14"/>
  <c r="D16" i="14"/>
  <c r="I15" i="14"/>
  <c r="J15" i="14" s="1"/>
  <c r="R15" i="14" s="1"/>
  <c r="P15" i="14" s="1"/>
  <c r="Q15" i="14" s="1"/>
  <c r="A15" i="14"/>
  <c r="I14" i="14"/>
  <c r="J14" i="14" s="1"/>
  <c r="R14" i="14" s="1"/>
  <c r="P14" i="14" s="1"/>
  <c r="Q14" i="14" s="1"/>
  <c r="I13" i="14"/>
  <c r="I16" i="14" s="1"/>
  <c r="R11" i="14"/>
  <c r="M11" i="14"/>
  <c r="M109" i="14" s="1"/>
  <c r="J11" i="14"/>
  <c r="D11" i="14"/>
  <c r="D109" i="14" s="1"/>
  <c r="R10" i="14"/>
  <c r="P10" i="14" s="1"/>
  <c r="Q10" i="14" s="1"/>
  <c r="H10" i="14"/>
  <c r="H11" i="14" s="1"/>
  <c r="R9" i="14"/>
  <c r="P9" i="14"/>
  <c r="Q9" i="14" s="1"/>
  <c r="I9" i="14"/>
  <c r="A9" i="14"/>
  <c r="A10" i="14" s="1"/>
  <c r="R8" i="14"/>
  <c r="P8" i="14" s="1"/>
  <c r="Q8" i="14" s="1"/>
  <c r="I8" i="14"/>
  <c r="E20" i="13"/>
  <c r="F20" i="12"/>
  <c r="M108" i="10"/>
  <c r="J108" i="10"/>
  <c r="D108" i="10"/>
  <c r="R107" i="10"/>
  <c r="P107" i="10"/>
  <c r="Q107" i="10" s="1"/>
  <c r="H107" i="10"/>
  <c r="H108" i="10" s="1"/>
  <c r="A107" i="10"/>
  <c r="R106" i="10"/>
  <c r="P106" i="10" s="1"/>
  <c r="Q106" i="10" s="1"/>
  <c r="I106" i="10"/>
  <c r="A106" i="10"/>
  <c r="R105" i="10"/>
  <c r="R108" i="10" s="1"/>
  <c r="P108" i="10" s="1"/>
  <c r="Q108" i="10" s="1"/>
  <c r="P105" i="10"/>
  <c r="Q105" i="10" s="1"/>
  <c r="I105" i="10"/>
  <c r="M103" i="10"/>
  <c r="J103" i="10"/>
  <c r="H103" i="10"/>
  <c r="D103" i="10"/>
  <c r="R102" i="10"/>
  <c r="P102" i="10"/>
  <c r="Q102" i="10" s="1"/>
  <c r="I102" i="10"/>
  <c r="H102" i="10"/>
  <c r="R101" i="10"/>
  <c r="R103" i="10" s="1"/>
  <c r="P103" i="10" s="1"/>
  <c r="Q103" i="10" s="1"/>
  <c r="P101" i="10"/>
  <c r="Q101" i="10" s="1"/>
  <c r="I101" i="10"/>
  <c r="A101" i="10"/>
  <c r="A102" i="10" s="1"/>
  <c r="R100" i="10"/>
  <c r="P100" i="10"/>
  <c r="Q100" i="10" s="1"/>
  <c r="I100" i="10"/>
  <c r="I103" i="10" s="1"/>
  <c r="R98" i="10"/>
  <c r="P98" i="10" s="1"/>
  <c r="Q98" i="10" s="1"/>
  <c r="M98" i="10"/>
  <c r="J98" i="10"/>
  <c r="D98" i="10"/>
  <c r="R97" i="10"/>
  <c r="P97" i="10"/>
  <c r="Q97" i="10" s="1"/>
  <c r="H97" i="10"/>
  <c r="H98" i="10" s="1"/>
  <c r="R96" i="10"/>
  <c r="P96" i="10"/>
  <c r="Q96" i="10" s="1"/>
  <c r="I96" i="10"/>
  <c r="A96" i="10"/>
  <c r="A97" i="10" s="1"/>
  <c r="R95" i="10"/>
  <c r="P95" i="10" s="1"/>
  <c r="Q95" i="10" s="1"/>
  <c r="I95" i="10"/>
  <c r="R93" i="10"/>
  <c r="P93" i="10" s="1"/>
  <c r="Q93" i="10" s="1"/>
  <c r="M93" i="10"/>
  <c r="J93" i="10"/>
  <c r="H93" i="10"/>
  <c r="D93" i="10"/>
  <c r="R92" i="10"/>
  <c r="P92" i="10" s="1"/>
  <c r="Q92" i="10" s="1"/>
  <c r="H92" i="10"/>
  <c r="I92" i="10" s="1"/>
  <c r="A92" i="10"/>
  <c r="R91" i="10"/>
  <c r="P91" i="10"/>
  <c r="Q91" i="10" s="1"/>
  <c r="I91" i="10"/>
  <c r="A91" i="10"/>
  <c r="R90" i="10"/>
  <c r="P90" i="10" s="1"/>
  <c r="Q90" i="10" s="1"/>
  <c r="I90" i="10"/>
  <c r="M88" i="10"/>
  <c r="J88" i="10"/>
  <c r="H88" i="10"/>
  <c r="D88" i="10"/>
  <c r="R87" i="10"/>
  <c r="P87" i="10" s="1"/>
  <c r="Q87" i="10" s="1"/>
  <c r="H87" i="10"/>
  <c r="I87" i="10" s="1"/>
  <c r="A87" i="10"/>
  <c r="R86" i="10"/>
  <c r="P86" i="10" s="1"/>
  <c r="Q86" i="10" s="1"/>
  <c r="I86" i="10"/>
  <c r="I88" i="10" s="1"/>
  <c r="A86" i="10"/>
  <c r="R85" i="10"/>
  <c r="P85" i="10" s="1"/>
  <c r="Q85" i="10" s="1"/>
  <c r="I85" i="10"/>
  <c r="M83" i="10"/>
  <c r="H83" i="10"/>
  <c r="D83" i="10"/>
  <c r="I82" i="10"/>
  <c r="J82" i="10" s="1"/>
  <c r="R82" i="10" s="1"/>
  <c r="P82" i="10" s="1"/>
  <c r="Q82" i="10" s="1"/>
  <c r="I81" i="10"/>
  <c r="J81" i="10" s="1"/>
  <c r="R81" i="10" s="1"/>
  <c r="P81" i="10" s="1"/>
  <c r="Q81" i="10" s="1"/>
  <c r="J80" i="10"/>
  <c r="I80" i="10"/>
  <c r="I83" i="10" s="1"/>
  <c r="M78" i="10"/>
  <c r="J78" i="10"/>
  <c r="H78" i="10"/>
  <c r="D78" i="10"/>
  <c r="R77" i="10"/>
  <c r="P77" i="10" s="1"/>
  <c r="I77" i="10"/>
  <c r="R76" i="10"/>
  <c r="Q76" i="10"/>
  <c r="I76" i="10"/>
  <c r="A76" i="10"/>
  <c r="A77" i="10" s="1"/>
  <c r="R75" i="10"/>
  <c r="R78" i="10" s="1"/>
  <c r="P75" i="10"/>
  <c r="Q75" i="10" s="1"/>
  <c r="I75" i="10"/>
  <c r="I78" i="10" s="1"/>
  <c r="I74" i="10"/>
  <c r="H74" i="10"/>
  <c r="R73" i="10"/>
  <c r="P73" i="10" s="1"/>
  <c r="Q73" i="10" s="1"/>
  <c r="M73" i="10"/>
  <c r="J73" i="10"/>
  <c r="D73" i="10"/>
  <c r="R72" i="10"/>
  <c r="P72" i="10"/>
  <c r="Q72" i="10" s="1"/>
  <c r="I72" i="10"/>
  <c r="H72" i="10"/>
  <c r="H73" i="10" s="1"/>
  <c r="R71" i="10"/>
  <c r="P71" i="10"/>
  <c r="Q71" i="10" s="1"/>
  <c r="I71" i="10"/>
  <c r="I73" i="10" s="1"/>
  <c r="A71" i="10"/>
  <c r="A72" i="10" s="1"/>
  <c r="R70" i="10"/>
  <c r="P70" i="10"/>
  <c r="Q70" i="10" s="1"/>
  <c r="I70" i="10"/>
  <c r="Q68" i="10"/>
  <c r="M68" i="10"/>
  <c r="I68" i="10"/>
  <c r="H68" i="10"/>
  <c r="D68" i="10"/>
  <c r="P63" i="10"/>
  <c r="J63" i="10"/>
  <c r="J68" i="10" s="1"/>
  <c r="A63" i="10"/>
  <c r="R59" i="10"/>
  <c r="P59" i="10"/>
  <c r="P68" i="10" s="1"/>
  <c r="J59" i="10"/>
  <c r="M57" i="10"/>
  <c r="J57" i="10"/>
  <c r="H57" i="10"/>
  <c r="D57" i="10"/>
  <c r="R56" i="10"/>
  <c r="P56" i="10" s="1"/>
  <c r="Q56" i="10" s="1"/>
  <c r="H56" i="10"/>
  <c r="I56" i="10" s="1"/>
  <c r="A56" i="10"/>
  <c r="R55" i="10"/>
  <c r="P55" i="10" s="1"/>
  <c r="Q55" i="10" s="1"/>
  <c r="I55" i="10"/>
  <c r="A55" i="10"/>
  <c r="R54" i="10"/>
  <c r="P54" i="10" s="1"/>
  <c r="Q54" i="10" s="1"/>
  <c r="I54" i="10"/>
  <c r="I57" i="10" s="1"/>
  <c r="M52" i="10"/>
  <c r="J52" i="10"/>
  <c r="H52" i="10"/>
  <c r="D52" i="10"/>
  <c r="R51" i="10"/>
  <c r="P51" i="10" s="1"/>
  <c r="Q51" i="10" s="1"/>
  <c r="I51" i="10"/>
  <c r="H51" i="10"/>
  <c r="A51" i="10"/>
  <c r="R50" i="10"/>
  <c r="P50" i="10"/>
  <c r="Q50" i="10" s="1"/>
  <c r="I50" i="10"/>
  <c r="A50" i="10"/>
  <c r="R49" i="10"/>
  <c r="R52" i="10" s="1"/>
  <c r="P52" i="10" s="1"/>
  <c r="Q52" i="10" s="1"/>
  <c r="P49" i="10"/>
  <c r="Q49" i="10" s="1"/>
  <c r="I49" i="10"/>
  <c r="I52" i="10" s="1"/>
  <c r="R47" i="10"/>
  <c r="P47" i="10" s="1"/>
  <c r="Q47" i="10" s="1"/>
  <c r="M47" i="10"/>
  <c r="J47" i="10"/>
  <c r="D47" i="10"/>
  <c r="R46" i="10"/>
  <c r="P46" i="10"/>
  <c r="Q46" i="10" s="1"/>
  <c r="I46" i="10"/>
  <c r="H46" i="10"/>
  <c r="H47" i="10" s="1"/>
  <c r="R45" i="10"/>
  <c r="P45" i="10"/>
  <c r="Q45" i="10" s="1"/>
  <c r="I45" i="10"/>
  <c r="I47" i="10" s="1"/>
  <c r="A45" i="10"/>
  <c r="A46" i="10" s="1"/>
  <c r="R44" i="10"/>
  <c r="P44" i="10"/>
  <c r="Q44" i="10" s="1"/>
  <c r="I44" i="10"/>
  <c r="M42" i="10"/>
  <c r="H42" i="10"/>
  <c r="D42" i="10"/>
  <c r="J41" i="10"/>
  <c r="R41" i="10" s="1"/>
  <c r="P41" i="10" s="1"/>
  <c r="Q41" i="10" s="1"/>
  <c r="I41" i="10"/>
  <c r="I40" i="10"/>
  <c r="J40" i="10" s="1"/>
  <c r="R40" i="10" s="1"/>
  <c r="P40" i="10" s="1"/>
  <c r="Q40" i="10" s="1"/>
  <c r="I39" i="10"/>
  <c r="J39" i="10" s="1"/>
  <c r="R37" i="10"/>
  <c r="P37" i="10" s="1"/>
  <c r="Q37" i="10" s="1"/>
  <c r="M37" i="10"/>
  <c r="J37" i="10"/>
  <c r="D37" i="10"/>
  <c r="R36" i="10"/>
  <c r="P36" i="10"/>
  <c r="Q36" i="10" s="1"/>
  <c r="H36" i="10"/>
  <c r="H37" i="10" s="1"/>
  <c r="R34" i="10"/>
  <c r="P34" i="10" s="1"/>
  <c r="Q34" i="10" s="1"/>
  <c r="I34" i="10"/>
  <c r="M32" i="10"/>
  <c r="J32" i="10"/>
  <c r="H32" i="10"/>
  <c r="D32" i="10"/>
  <c r="R31" i="10"/>
  <c r="P31" i="10" s="1"/>
  <c r="Q31" i="10" s="1"/>
  <c r="H31" i="10"/>
  <c r="I31" i="10" s="1"/>
  <c r="R30" i="10"/>
  <c r="R32" i="10" s="1"/>
  <c r="P32" i="10" s="1"/>
  <c r="Q32" i="10" s="1"/>
  <c r="R29" i="10"/>
  <c r="P29" i="10"/>
  <c r="Q29" i="10" s="1"/>
  <c r="I29" i="10"/>
  <c r="A29" i="10"/>
  <c r="M26" i="10"/>
  <c r="J26" i="10"/>
  <c r="I26" i="10"/>
  <c r="H26" i="10"/>
  <c r="D26" i="10"/>
  <c r="R25" i="10"/>
  <c r="R26" i="10" s="1"/>
  <c r="P26" i="10" s="1"/>
  <c r="Q26" i="10" s="1"/>
  <c r="P25" i="10"/>
  <c r="Q25" i="10" s="1"/>
  <c r="I25" i="10"/>
  <c r="R24" i="10"/>
  <c r="P24" i="10"/>
  <c r="Q24" i="10" s="1"/>
  <c r="I24" i="10"/>
  <c r="A24" i="10"/>
  <c r="A25" i="10" s="1"/>
  <c r="R23" i="10"/>
  <c r="P23" i="10"/>
  <c r="Q23" i="10" s="1"/>
  <c r="I23" i="10"/>
  <c r="M21" i="10"/>
  <c r="J21" i="10"/>
  <c r="D21" i="10"/>
  <c r="R20" i="10"/>
  <c r="P20" i="10"/>
  <c r="Q20" i="10" s="1"/>
  <c r="H20" i="10"/>
  <c r="H21" i="10" s="1"/>
  <c r="R19" i="10"/>
  <c r="P19" i="10" s="1"/>
  <c r="Q19" i="10" s="1"/>
  <c r="I19" i="10"/>
  <c r="A19" i="10"/>
  <c r="A20" i="10" s="1"/>
  <c r="R18" i="10"/>
  <c r="P18" i="10" s="1"/>
  <c r="Q18" i="10" s="1"/>
  <c r="I18" i="10"/>
  <c r="M16" i="10"/>
  <c r="H16" i="10"/>
  <c r="D16" i="10"/>
  <c r="I15" i="10"/>
  <c r="J15" i="10" s="1"/>
  <c r="R15" i="10" s="1"/>
  <c r="P15" i="10" s="1"/>
  <c r="Q15" i="10" s="1"/>
  <c r="A15" i="10"/>
  <c r="I14" i="10"/>
  <c r="J14" i="10" s="1"/>
  <c r="R14" i="10" s="1"/>
  <c r="P14" i="10" s="1"/>
  <c r="Q14" i="10" s="1"/>
  <c r="I13" i="10"/>
  <c r="I16" i="10" s="1"/>
  <c r="M11" i="10"/>
  <c r="M109" i="10" s="1"/>
  <c r="J11" i="10"/>
  <c r="D11" i="10"/>
  <c r="D109" i="10" s="1"/>
  <c r="R10" i="10"/>
  <c r="P10" i="10" s="1"/>
  <c r="Q10" i="10" s="1"/>
  <c r="H10" i="10"/>
  <c r="H11" i="10" s="1"/>
  <c r="A10" i="10"/>
  <c r="R9" i="10"/>
  <c r="P9" i="10" s="1"/>
  <c r="Q9" i="10" s="1"/>
  <c r="I9" i="10"/>
  <c r="A9" i="10"/>
  <c r="R8" i="10"/>
  <c r="P8" i="10" s="1"/>
  <c r="Q8" i="10" s="1"/>
  <c r="I8" i="10"/>
  <c r="E20" i="9"/>
  <c r="F20" i="8"/>
  <c r="M108" i="6"/>
  <c r="J108" i="6"/>
  <c r="D108" i="6"/>
  <c r="R107" i="6"/>
  <c r="P107" i="6"/>
  <c r="Q107" i="6" s="1"/>
  <c r="H107" i="6"/>
  <c r="I107" i="6" s="1"/>
  <c r="A107" i="6"/>
  <c r="R106" i="6"/>
  <c r="I106" i="6"/>
  <c r="A106" i="6"/>
  <c r="R105" i="6"/>
  <c r="P105" i="6"/>
  <c r="Q105" i="6" s="1"/>
  <c r="I105" i="6"/>
  <c r="P103" i="6"/>
  <c r="Q103" i="6" s="1"/>
  <c r="M103" i="6"/>
  <c r="J103" i="6"/>
  <c r="D103" i="6"/>
  <c r="R102" i="6"/>
  <c r="P102" i="6"/>
  <c r="Q102" i="6" s="1"/>
  <c r="H102" i="6"/>
  <c r="I102" i="6" s="1"/>
  <c r="A102" i="6"/>
  <c r="R101" i="6"/>
  <c r="R103" i="6" s="1"/>
  <c r="P101" i="6"/>
  <c r="Q101" i="6" s="1"/>
  <c r="I101" i="6"/>
  <c r="A101" i="6"/>
  <c r="R100" i="6"/>
  <c r="P100" i="6"/>
  <c r="Q100" i="6" s="1"/>
  <c r="I100" i="6"/>
  <c r="M98" i="6"/>
  <c r="J98" i="6"/>
  <c r="D98" i="6"/>
  <c r="R97" i="6"/>
  <c r="P97" i="6"/>
  <c r="Q97" i="6" s="1"/>
  <c r="H97" i="6"/>
  <c r="H98" i="6" s="1"/>
  <c r="A97" i="6"/>
  <c r="R96" i="6"/>
  <c r="R98" i="6" s="1"/>
  <c r="P98" i="6" s="1"/>
  <c r="Q98" i="6" s="1"/>
  <c r="P96" i="6"/>
  <c r="Q96" i="6" s="1"/>
  <c r="I96" i="6"/>
  <c r="A96" i="6"/>
  <c r="R95" i="6"/>
  <c r="P95" i="6"/>
  <c r="Q95" i="6" s="1"/>
  <c r="I95" i="6"/>
  <c r="M93" i="6"/>
  <c r="J93" i="6"/>
  <c r="H93" i="6"/>
  <c r="D93" i="6"/>
  <c r="R92" i="6"/>
  <c r="P92" i="6"/>
  <c r="Q92" i="6" s="1"/>
  <c r="H92" i="6"/>
  <c r="I92" i="6" s="1"/>
  <c r="R91" i="6"/>
  <c r="R93" i="6" s="1"/>
  <c r="P93" i="6" s="1"/>
  <c r="Q93" i="6" s="1"/>
  <c r="P91" i="6"/>
  <c r="Q91" i="6" s="1"/>
  <c r="I91" i="6"/>
  <c r="I93" i="6" s="1"/>
  <c r="A91" i="6"/>
  <c r="A92" i="6" s="1"/>
  <c r="R90" i="6"/>
  <c r="P90" i="6"/>
  <c r="Q90" i="6" s="1"/>
  <c r="I90" i="6"/>
  <c r="M88" i="6"/>
  <c r="J88" i="6"/>
  <c r="H88" i="6"/>
  <c r="D88" i="6"/>
  <c r="R87" i="6"/>
  <c r="P87" i="6"/>
  <c r="Q87" i="6" s="1"/>
  <c r="H87" i="6"/>
  <c r="I87" i="6" s="1"/>
  <c r="I88" i="6" s="1"/>
  <c r="R86" i="6"/>
  <c r="P86" i="6"/>
  <c r="Q86" i="6" s="1"/>
  <c r="I86" i="6"/>
  <c r="A86" i="6"/>
  <c r="A87" i="6" s="1"/>
  <c r="R85" i="6"/>
  <c r="I85" i="6"/>
  <c r="M83" i="6"/>
  <c r="H83" i="6"/>
  <c r="D83" i="6"/>
  <c r="I82" i="6"/>
  <c r="J82" i="6" s="1"/>
  <c r="R82" i="6" s="1"/>
  <c r="P82" i="6" s="1"/>
  <c r="Q82" i="6" s="1"/>
  <c r="I81" i="6"/>
  <c r="R80" i="6"/>
  <c r="I80" i="6"/>
  <c r="J80" i="6" s="1"/>
  <c r="M78" i="6"/>
  <c r="J78" i="6"/>
  <c r="H78" i="6"/>
  <c r="D78" i="6"/>
  <c r="R77" i="6"/>
  <c r="P77" i="6" s="1"/>
  <c r="Q77" i="6"/>
  <c r="I77" i="6"/>
  <c r="R76" i="6"/>
  <c r="Q76" i="6"/>
  <c r="I76" i="6"/>
  <c r="A76" i="6"/>
  <c r="A77" i="6" s="1"/>
  <c r="R75" i="6"/>
  <c r="P75" i="6"/>
  <c r="I75" i="6"/>
  <c r="I78" i="6" s="1"/>
  <c r="I74" i="6"/>
  <c r="H74" i="6"/>
  <c r="M73" i="6"/>
  <c r="J73" i="6"/>
  <c r="H73" i="6"/>
  <c r="D73" i="6"/>
  <c r="R72" i="6"/>
  <c r="P72" i="6"/>
  <c r="Q72" i="6" s="1"/>
  <c r="I72" i="6"/>
  <c r="H72" i="6"/>
  <c r="R71" i="6"/>
  <c r="P71" i="6"/>
  <c r="Q71" i="6" s="1"/>
  <c r="I71" i="6"/>
  <c r="A71" i="6"/>
  <c r="A72" i="6" s="1"/>
  <c r="R70" i="6"/>
  <c r="R73" i="6" s="1"/>
  <c r="P73" i="6" s="1"/>
  <c r="Q73" i="6" s="1"/>
  <c r="P70" i="6"/>
  <c r="Q70" i="6" s="1"/>
  <c r="I70" i="6"/>
  <c r="I73" i="6" s="1"/>
  <c r="Q68" i="6"/>
  <c r="M68" i="6"/>
  <c r="I68" i="6"/>
  <c r="H68" i="6"/>
  <c r="D68" i="6"/>
  <c r="P63" i="6"/>
  <c r="P68" i="6" s="1"/>
  <c r="J63" i="6"/>
  <c r="J68" i="6" s="1"/>
  <c r="A63" i="6"/>
  <c r="P59" i="6"/>
  <c r="J59" i="6"/>
  <c r="R59" i="6" s="1"/>
  <c r="M57" i="6"/>
  <c r="J57" i="6"/>
  <c r="H57" i="6"/>
  <c r="D57" i="6"/>
  <c r="R56" i="6"/>
  <c r="P56" i="6" s="1"/>
  <c r="Q56" i="6" s="1"/>
  <c r="H56" i="6"/>
  <c r="I56" i="6" s="1"/>
  <c r="R55" i="6"/>
  <c r="P55" i="6"/>
  <c r="Q55" i="6" s="1"/>
  <c r="I55" i="6"/>
  <c r="I57" i="6" s="1"/>
  <c r="A55" i="6"/>
  <c r="A56" i="6" s="1"/>
  <c r="R54" i="6"/>
  <c r="I54" i="6"/>
  <c r="M52" i="6"/>
  <c r="J52" i="6"/>
  <c r="H52" i="6"/>
  <c r="D52" i="6"/>
  <c r="R51" i="6"/>
  <c r="P51" i="6" s="1"/>
  <c r="Q51" i="6"/>
  <c r="H51" i="6"/>
  <c r="I51" i="6" s="1"/>
  <c r="R50" i="6"/>
  <c r="P50" i="6"/>
  <c r="Q50" i="6" s="1"/>
  <c r="I50" i="6"/>
  <c r="I52" i="6" s="1"/>
  <c r="A50" i="6"/>
  <c r="A51" i="6" s="1"/>
  <c r="R49" i="6"/>
  <c r="P49" i="6"/>
  <c r="Q49" i="6" s="1"/>
  <c r="I49" i="6"/>
  <c r="M47" i="6"/>
  <c r="J47" i="6"/>
  <c r="H47" i="6"/>
  <c r="D47" i="6"/>
  <c r="R46" i="6"/>
  <c r="P46" i="6"/>
  <c r="Q46" i="6" s="1"/>
  <c r="I46" i="6"/>
  <c r="H46" i="6"/>
  <c r="R45" i="6"/>
  <c r="P45" i="6"/>
  <c r="Q45" i="6" s="1"/>
  <c r="I45" i="6"/>
  <c r="A45" i="6"/>
  <c r="A46" i="6" s="1"/>
  <c r="R44" i="6"/>
  <c r="P44" i="6"/>
  <c r="Q44" i="6" s="1"/>
  <c r="I44" i="6"/>
  <c r="I47" i="6" s="1"/>
  <c r="M42" i="6"/>
  <c r="H42" i="6"/>
  <c r="D42" i="6"/>
  <c r="J41" i="6"/>
  <c r="R41" i="6" s="1"/>
  <c r="P41" i="6" s="1"/>
  <c r="Q41" i="6" s="1"/>
  <c r="I41" i="6"/>
  <c r="I40" i="6"/>
  <c r="J40" i="6" s="1"/>
  <c r="R40" i="6" s="1"/>
  <c r="P40" i="6" s="1"/>
  <c r="Q40" i="6" s="1"/>
  <c r="I39" i="6"/>
  <c r="I42" i="6" s="1"/>
  <c r="R37" i="6"/>
  <c r="P37" i="6" s="1"/>
  <c r="Q37" i="6" s="1"/>
  <c r="M37" i="6"/>
  <c r="J37" i="6"/>
  <c r="D37" i="6"/>
  <c r="R36" i="6"/>
  <c r="P36" i="6"/>
  <c r="Q36" i="6" s="1"/>
  <c r="H36" i="6"/>
  <c r="H37" i="6" s="1"/>
  <c r="R34" i="6"/>
  <c r="P34" i="6"/>
  <c r="Q34" i="6" s="1"/>
  <c r="I34" i="6"/>
  <c r="M32" i="6"/>
  <c r="J32" i="6"/>
  <c r="H32" i="6"/>
  <c r="D32" i="6"/>
  <c r="R31" i="6"/>
  <c r="P31" i="6"/>
  <c r="Q31" i="6" s="1"/>
  <c r="H31" i="6"/>
  <c r="I31" i="6" s="1"/>
  <c r="R30" i="6"/>
  <c r="P30" i="6"/>
  <c r="Q30" i="6" s="1"/>
  <c r="R29" i="6"/>
  <c r="R32" i="6" s="1"/>
  <c r="P32" i="6" s="1"/>
  <c r="Q32" i="6" s="1"/>
  <c r="P29" i="6"/>
  <c r="Q29" i="6" s="1"/>
  <c r="I29" i="6"/>
  <c r="I32" i="6" s="1"/>
  <c r="A29" i="6"/>
  <c r="M26" i="6"/>
  <c r="J26" i="6"/>
  <c r="H26" i="6"/>
  <c r="D26" i="6"/>
  <c r="R25" i="6"/>
  <c r="P25" i="6"/>
  <c r="Q25" i="6" s="1"/>
  <c r="I25" i="6"/>
  <c r="R24" i="6"/>
  <c r="P24" i="6"/>
  <c r="Q24" i="6" s="1"/>
  <c r="I24" i="6"/>
  <c r="A24" i="6"/>
  <c r="A25" i="6" s="1"/>
  <c r="R23" i="6"/>
  <c r="P23" i="6"/>
  <c r="Q23" i="6" s="1"/>
  <c r="I23" i="6"/>
  <c r="I26" i="6" s="1"/>
  <c r="R21" i="6"/>
  <c r="P21" i="6" s="1"/>
  <c r="Q21" i="6" s="1"/>
  <c r="M21" i="6"/>
  <c r="J21" i="6"/>
  <c r="D21" i="6"/>
  <c r="R20" i="6"/>
  <c r="P20" i="6"/>
  <c r="Q20" i="6" s="1"/>
  <c r="H20" i="6"/>
  <c r="H21" i="6" s="1"/>
  <c r="R19" i="6"/>
  <c r="P19" i="6"/>
  <c r="Q19" i="6" s="1"/>
  <c r="I19" i="6"/>
  <c r="A19" i="6"/>
  <c r="A20" i="6" s="1"/>
  <c r="R18" i="6"/>
  <c r="P18" i="6"/>
  <c r="Q18" i="6" s="1"/>
  <c r="I18" i="6"/>
  <c r="M16" i="6"/>
  <c r="H16" i="6"/>
  <c r="D16" i="6"/>
  <c r="I15" i="6"/>
  <c r="J15" i="6" s="1"/>
  <c r="R15" i="6" s="1"/>
  <c r="P15" i="6" s="1"/>
  <c r="Q15" i="6" s="1"/>
  <c r="A15" i="6"/>
  <c r="I14" i="6"/>
  <c r="J14" i="6" s="1"/>
  <c r="R14" i="6" s="1"/>
  <c r="P14" i="6" s="1"/>
  <c r="Q14" i="6" s="1"/>
  <c r="I13" i="6"/>
  <c r="I16" i="6" s="1"/>
  <c r="R11" i="6"/>
  <c r="M11" i="6"/>
  <c r="J11" i="6"/>
  <c r="D11" i="6"/>
  <c r="R10" i="6"/>
  <c r="P10" i="6"/>
  <c r="Q10" i="6" s="1"/>
  <c r="H10" i="6"/>
  <c r="H11" i="6" s="1"/>
  <c r="A10" i="6"/>
  <c r="R9" i="6"/>
  <c r="P9" i="6"/>
  <c r="Q9" i="6" s="1"/>
  <c r="I9" i="6"/>
  <c r="A9" i="6"/>
  <c r="R8" i="6"/>
  <c r="P8" i="6"/>
  <c r="Q8" i="6" s="1"/>
  <c r="I8" i="6"/>
  <c r="E20" i="5"/>
  <c r="F20" i="4"/>
  <c r="M108" i="2"/>
  <c r="J108" i="2"/>
  <c r="H108" i="2"/>
  <c r="D108" i="2"/>
  <c r="R107" i="2"/>
  <c r="P107" i="2"/>
  <c r="Q107" i="2" s="1"/>
  <c r="I107" i="2"/>
  <c r="H107" i="2"/>
  <c r="R106" i="2"/>
  <c r="P106" i="2" s="1"/>
  <c r="Q106" i="2"/>
  <c r="I106" i="2"/>
  <c r="A106" i="2"/>
  <c r="A107" i="2" s="1"/>
  <c r="R105" i="2"/>
  <c r="I105" i="2"/>
  <c r="I108" i="2" s="1"/>
  <c r="M103" i="2"/>
  <c r="J103" i="2"/>
  <c r="D103" i="2"/>
  <c r="R102" i="2"/>
  <c r="P102" i="2" s="1"/>
  <c r="Q102" i="2" s="1"/>
  <c r="H102" i="2"/>
  <c r="R101" i="2"/>
  <c r="P101" i="2"/>
  <c r="Q101" i="2" s="1"/>
  <c r="I101" i="2"/>
  <c r="A101" i="2"/>
  <c r="A102" i="2" s="1"/>
  <c r="R100" i="2"/>
  <c r="P100" i="2" s="1"/>
  <c r="Q100" i="2"/>
  <c r="I100" i="2"/>
  <c r="M98" i="2"/>
  <c r="J98" i="2"/>
  <c r="D98" i="2"/>
  <c r="R97" i="2"/>
  <c r="P97" i="2" s="1"/>
  <c r="Q97" i="2"/>
  <c r="H97" i="2"/>
  <c r="H98" i="2" s="1"/>
  <c r="A97" i="2"/>
  <c r="R96" i="2"/>
  <c r="P96" i="2"/>
  <c r="Q96" i="2" s="1"/>
  <c r="I96" i="2"/>
  <c r="A96" i="2"/>
  <c r="R95" i="2"/>
  <c r="P95" i="2"/>
  <c r="Q95" i="2" s="1"/>
  <c r="I95" i="2"/>
  <c r="M93" i="2"/>
  <c r="J93" i="2"/>
  <c r="H93" i="2"/>
  <c r="D93" i="2"/>
  <c r="R92" i="2"/>
  <c r="P92" i="2"/>
  <c r="Q92" i="2" s="1"/>
  <c r="H92" i="2"/>
  <c r="I92" i="2" s="1"/>
  <c r="R91" i="2"/>
  <c r="P91" i="2" s="1"/>
  <c r="Q91" i="2" s="1"/>
  <c r="I91" i="2"/>
  <c r="A91" i="2"/>
  <c r="A92" i="2" s="1"/>
  <c r="R90" i="2"/>
  <c r="P90" i="2"/>
  <c r="Q90" i="2" s="1"/>
  <c r="I90" i="2"/>
  <c r="I93" i="2" s="1"/>
  <c r="M88" i="2"/>
  <c r="J88" i="2"/>
  <c r="H88" i="2"/>
  <c r="D88" i="2"/>
  <c r="R87" i="2"/>
  <c r="P87" i="2"/>
  <c r="Q87" i="2" s="1"/>
  <c r="I87" i="2"/>
  <c r="H87" i="2"/>
  <c r="R86" i="2"/>
  <c r="P86" i="2" s="1"/>
  <c r="Q86" i="2" s="1"/>
  <c r="I86" i="2"/>
  <c r="A86" i="2"/>
  <c r="A87" i="2" s="1"/>
  <c r="R85" i="2"/>
  <c r="I85" i="2"/>
  <c r="M83" i="2"/>
  <c r="H83" i="2"/>
  <c r="D83" i="2"/>
  <c r="I82" i="2"/>
  <c r="J82" i="2" s="1"/>
  <c r="J83" i="2" s="1"/>
  <c r="J81" i="2"/>
  <c r="R81" i="2" s="1"/>
  <c r="P81" i="2" s="1"/>
  <c r="Q81" i="2" s="1"/>
  <c r="I81" i="2"/>
  <c r="J80" i="2"/>
  <c r="R80" i="2" s="1"/>
  <c r="I80" i="2"/>
  <c r="M78" i="2"/>
  <c r="J78" i="2"/>
  <c r="I78" i="2"/>
  <c r="H78" i="2"/>
  <c r="D78" i="2"/>
  <c r="R77" i="2"/>
  <c r="P77" i="2" s="1"/>
  <c r="Q77" i="2" s="1"/>
  <c r="I77" i="2"/>
  <c r="R76" i="2"/>
  <c r="Q76" i="2"/>
  <c r="I76" i="2"/>
  <c r="A76" i="2"/>
  <c r="A77" i="2" s="1"/>
  <c r="R75" i="2"/>
  <c r="I75" i="2"/>
  <c r="I74" i="2"/>
  <c r="H74" i="2"/>
  <c r="M73" i="2"/>
  <c r="J73" i="2"/>
  <c r="H73" i="2"/>
  <c r="D73" i="2"/>
  <c r="R72" i="2"/>
  <c r="P72" i="2"/>
  <c r="Q72" i="2" s="1"/>
  <c r="I72" i="2"/>
  <c r="H72" i="2"/>
  <c r="R71" i="2"/>
  <c r="P71" i="2" s="1"/>
  <c r="Q71" i="2" s="1"/>
  <c r="I71" i="2"/>
  <c r="A71" i="2"/>
  <c r="A72" i="2" s="1"/>
  <c r="R70" i="2"/>
  <c r="P70" i="2"/>
  <c r="Q70" i="2" s="1"/>
  <c r="I70" i="2"/>
  <c r="I73" i="2" s="1"/>
  <c r="Q68" i="2"/>
  <c r="P68" i="2"/>
  <c r="M68" i="2"/>
  <c r="I68" i="2"/>
  <c r="H68" i="2"/>
  <c r="D68" i="2"/>
  <c r="P63" i="2"/>
  <c r="J63" i="2"/>
  <c r="R63" i="2" s="1"/>
  <c r="A63" i="2"/>
  <c r="P59" i="2"/>
  <c r="J59" i="2"/>
  <c r="J68" i="2" s="1"/>
  <c r="M57" i="2"/>
  <c r="J57" i="2"/>
  <c r="D57" i="2"/>
  <c r="R56" i="2"/>
  <c r="P56" i="2" s="1"/>
  <c r="Q56" i="2" s="1"/>
  <c r="H56" i="2"/>
  <c r="A56" i="2"/>
  <c r="R55" i="2"/>
  <c r="P55" i="2"/>
  <c r="Q55" i="2" s="1"/>
  <c r="I55" i="2"/>
  <c r="A55" i="2"/>
  <c r="R54" i="2"/>
  <c r="P54" i="2" s="1"/>
  <c r="Q54" i="2" s="1"/>
  <c r="I54" i="2"/>
  <c r="M52" i="2"/>
  <c r="J52" i="2"/>
  <c r="D52" i="2"/>
  <c r="R51" i="2"/>
  <c r="P51" i="2" s="1"/>
  <c r="Q51" i="2" s="1"/>
  <c r="H51" i="2"/>
  <c r="H52" i="2" s="1"/>
  <c r="A51" i="2"/>
  <c r="R50" i="2"/>
  <c r="P50" i="2"/>
  <c r="Q50" i="2" s="1"/>
  <c r="I50" i="2"/>
  <c r="A50" i="2"/>
  <c r="R49" i="2"/>
  <c r="P49" i="2"/>
  <c r="Q49" i="2" s="1"/>
  <c r="I49" i="2"/>
  <c r="M47" i="2"/>
  <c r="J47" i="2"/>
  <c r="H47" i="2"/>
  <c r="D47" i="2"/>
  <c r="R46" i="2"/>
  <c r="P46" i="2"/>
  <c r="Q46" i="2" s="1"/>
  <c r="I46" i="2"/>
  <c r="H46" i="2"/>
  <c r="R45" i="2"/>
  <c r="P45" i="2" s="1"/>
  <c r="Q45" i="2" s="1"/>
  <c r="I45" i="2"/>
  <c r="A45" i="2"/>
  <c r="A46" i="2" s="1"/>
  <c r="R44" i="2"/>
  <c r="P44" i="2"/>
  <c r="Q44" i="2" s="1"/>
  <c r="I44" i="2"/>
  <c r="I47" i="2" s="1"/>
  <c r="M42" i="2"/>
  <c r="H42" i="2"/>
  <c r="D42" i="2"/>
  <c r="J41" i="2"/>
  <c r="R41" i="2" s="1"/>
  <c r="P41" i="2" s="1"/>
  <c r="Q41" i="2" s="1"/>
  <c r="I41" i="2"/>
  <c r="J40" i="2"/>
  <c r="R40" i="2" s="1"/>
  <c r="P40" i="2" s="1"/>
  <c r="Q40" i="2" s="1"/>
  <c r="I40" i="2"/>
  <c r="I39" i="2"/>
  <c r="I42" i="2" s="1"/>
  <c r="M37" i="2"/>
  <c r="J37" i="2"/>
  <c r="D37" i="2"/>
  <c r="R36" i="2"/>
  <c r="P36" i="2" s="1"/>
  <c r="Q36" i="2" s="1"/>
  <c r="H36" i="2"/>
  <c r="R34" i="2"/>
  <c r="P34" i="2"/>
  <c r="Q34" i="2" s="1"/>
  <c r="I34" i="2"/>
  <c r="M32" i="2"/>
  <c r="J32" i="2"/>
  <c r="H32" i="2"/>
  <c r="D32" i="2"/>
  <c r="R31" i="2"/>
  <c r="P31" i="2"/>
  <c r="Q31" i="2" s="1"/>
  <c r="I31" i="2"/>
  <c r="H31" i="2"/>
  <c r="R30" i="2"/>
  <c r="P30" i="2"/>
  <c r="Q30" i="2" s="1"/>
  <c r="R29" i="2"/>
  <c r="R32" i="2" s="1"/>
  <c r="P32" i="2" s="1"/>
  <c r="Q32" i="2" s="1"/>
  <c r="P29" i="2"/>
  <c r="Q29" i="2" s="1"/>
  <c r="I29" i="2"/>
  <c r="A29" i="2"/>
  <c r="M26" i="2"/>
  <c r="J26" i="2"/>
  <c r="H26" i="2"/>
  <c r="D26" i="2"/>
  <c r="R25" i="2"/>
  <c r="P25" i="2"/>
  <c r="Q25" i="2" s="1"/>
  <c r="I25" i="2"/>
  <c r="R24" i="2"/>
  <c r="P24" i="2" s="1"/>
  <c r="Q24" i="2"/>
  <c r="I24" i="2"/>
  <c r="A24" i="2"/>
  <c r="A25" i="2" s="1"/>
  <c r="R23" i="2"/>
  <c r="I23" i="2"/>
  <c r="I26" i="2" s="1"/>
  <c r="M21" i="2"/>
  <c r="M109" i="2" s="1"/>
  <c r="J21" i="2"/>
  <c r="D21" i="2"/>
  <c r="D109" i="2" s="1"/>
  <c r="R20" i="2"/>
  <c r="P20" i="2" s="1"/>
  <c r="Q20" i="2" s="1"/>
  <c r="H20" i="2"/>
  <c r="H21" i="2" s="1"/>
  <c r="R19" i="2"/>
  <c r="Q19" i="2"/>
  <c r="P19" i="2"/>
  <c r="I19" i="2"/>
  <c r="A19" i="2"/>
  <c r="A20" i="2" s="1"/>
  <c r="R18" i="2"/>
  <c r="P18" i="2" s="1"/>
  <c r="Q18" i="2" s="1"/>
  <c r="I18" i="2"/>
  <c r="M16" i="2"/>
  <c r="I16" i="2"/>
  <c r="H16" i="2"/>
  <c r="D16" i="2"/>
  <c r="R15" i="2"/>
  <c r="P15" i="2" s="1"/>
  <c r="Q15" i="2"/>
  <c r="I15" i="2"/>
  <c r="J15" i="2" s="1"/>
  <c r="A15" i="2"/>
  <c r="J14" i="2"/>
  <c r="R14" i="2" s="1"/>
  <c r="P14" i="2" s="1"/>
  <c r="Q14" i="2" s="1"/>
  <c r="I14" i="2"/>
  <c r="I13" i="2"/>
  <c r="J13" i="2" s="1"/>
  <c r="R13" i="2" s="1"/>
  <c r="P13" i="2" s="1"/>
  <c r="Q13" i="2" s="1"/>
  <c r="M11" i="2"/>
  <c r="J11" i="2"/>
  <c r="D11" i="2"/>
  <c r="R10" i="2"/>
  <c r="P10" i="2" s="1"/>
  <c r="Q10" i="2"/>
  <c r="H10" i="2"/>
  <c r="A10" i="2"/>
  <c r="R9" i="2"/>
  <c r="P9" i="2"/>
  <c r="Q9" i="2" s="1"/>
  <c r="I9" i="2"/>
  <c r="A9" i="2"/>
  <c r="R8" i="2"/>
  <c r="Q8" i="2"/>
  <c r="P8" i="2"/>
  <c r="I8" i="2"/>
  <c r="M108" i="1"/>
  <c r="J108" i="1"/>
  <c r="H108" i="1"/>
  <c r="D108" i="1"/>
  <c r="R107" i="1"/>
  <c r="P107" i="1"/>
  <c r="Q107" i="1" s="1"/>
  <c r="I107" i="1"/>
  <c r="H107" i="1"/>
  <c r="R106" i="1"/>
  <c r="P106" i="1" s="1"/>
  <c r="Q106" i="1" s="1"/>
  <c r="I106" i="1"/>
  <c r="A106" i="1"/>
  <c r="A107" i="1" s="1"/>
  <c r="R105" i="1"/>
  <c r="R108" i="1" s="1"/>
  <c r="P108" i="1" s="1"/>
  <c r="Q108" i="1" s="1"/>
  <c r="I105" i="1"/>
  <c r="I108" i="1" s="1"/>
  <c r="M103" i="1"/>
  <c r="J103" i="1"/>
  <c r="D103" i="1"/>
  <c r="R102" i="1"/>
  <c r="H102" i="1"/>
  <c r="H103" i="1" s="1"/>
  <c r="A102" i="1"/>
  <c r="R101" i="1"/>
  <c r="P101" i="1"/>
  <c r="Q101" i="1" s="1"/>
  <c r="I101" i="1"/>
  <c r="A101" i="1"/>
  <c r="R100" i="1"/>
  <c r="P100" i="1" s="1"/>
  <c r="Q100" i="1" s="1"/>
  <c r="I100" i="1"/>
  <c r="M98" i="1"/>
  <c r="J98" i="1"/>
  <c r="D98" i="1"/>
  <c r="R97" i="1"/>
  <c r="P97" i="1" s="1"/>
  <c r="Q97" i="1" s="1"/>
  <c r="H97" i="1"/>
  <c r="H98" i="1" s="1"/>
  <c r="A97" i="1"/>
  <c r="R96" i="1"/>
  <c r="P96" i="1"/>
  <c r="Q96" i="1" s="1"/>
  <c r="I96" i="1"/>
  <c r="A96" i="1"/>
  <c r="R95" i="1"/>
  <c r="P95" i="1"/>
  <c r="Q95" i="1" s="1"/>
  <c r="I95" i="1"/>
  <c r="M93" i="1"/>
  <c r="J93" i="1"/>
  <c r="H93" i="1"/>
  <c r="D93" i="1"/>
  <c r="R92" i="1"/>
  <c r="P92" i="1"/>
  <c r="Q92" i="1" s="1"/>
  <c r="I92" i="1"/>
  <c r="H92" i="1"/>
  <c r="R91" i="1"/>
  <c r="P91" i="1" s="1"/>
  <c r="Q91" i="1" s="1"/>
  <c r="I91" i="1"/>
  <c r="A91" i="1"/>
  <c r="A92" i="1" s="1"/>
  <c r="R90" i="1"/>
  <c r="P90" i="1"/>
  <c r="Q90" i="1" s="1"/>
  <c r="I90" i="1"/>
  <c r="I93" i="1" s="1"/>
  <c r="M88" i="1"/>
  <c r="J88" i="1"/>
  <c r="H88" i="1"/>
  <c r="D88" i="1"/>
  <c r="R87" i="1"/>
  <c r="P87" i="1"/>
  <c r="Q87" i="1" s="1"/>
  <c r="I87" i="1"/>
  <c r="H87" i="1"/>
  <c r="R86" i="1"/>
  <c r="P86" i="1" s="1"/>
  <c r="Q86" i="1"/>
  <c r="I86" i="1"/>
  <c r="A86" i="1"/>
  <c r="A87" i="1" s="1"/>
  <c r="R85" i="1"/>
  <c r="I85" i="1"/>
  <c r="M83" i="1"/>
  <c r="H83" i="1"/>
  <c r="D83" i="1"/>
  <c r="I82" i="1"/>
  <c r="J82" i="1" s="1"/>
  <c r="R82" i="1" s="1"/>
  <c r="J81" i="1"/>
  <c r="R81" i="1" s="1"/>
  <c r="P81" i="1" s="1"/>
  <c r="Q81" i="1" s="1"/>
  <c r="I81" i="1"/>
  <c r="I83" i="1" s="1"/>
  <c r="J80" i="1"/>
  <c r="R80" i="1" s="1"/>
  <c r="P80" i="1" s="1"/>
  <c r="I80" i="1"/>
  <c r="M78" i="1"/>
  <c r="J78" i="1"/>
  <c r="I78" i="1"/>
  <c r="H78" i="1"/>
  <c r="D78" i="1"/>
  <c r="R77" i="1"/>
  <c r="P77" i="1" s="1"/>
  <c r="Q77" i="1"/>
  <c r="I77" i="1"/>
  <c r="R76" i="1"/>
  <c r="Q76" i="1"/>
  <c r="I76" i="1"/>
  <c r="A76" i="1"/>
  <c r="A77" i="1" s="1"/>
  <c r="R75" i="1"/>
  <c r="I75" i="1"/>
  <c r="I74" i="1"/>
  <c r="H74" i="1"/>
  <c r="M73" i="1"/>
  <c r="J73" i="1"/>
  <c r="H73" i="1"/>
  <c r="D73" i="1"/>
  <c r="R72" i="1"/>
  <c r="P72" i="1"/>
  <c r="Q72" i="1" s="1"/>
  <c r="I72" i="1"/>
  <c r="H72" i="1"/>
  <c r="R71" i="1"/>
  <c r="P71" i="1" s="1"/>
  <c r="Q71" i="1" s="1"/>
  <c r="I71" i="1"/>
  <c r="A71" i="1"/>
  <c r="A72" i="1" s="1"/>
  <c r="R70" i="1"/>
  <c r="P70" i="1"/>
  <c r="Q70" i="1" s="1"/>
  <c r="I70" i="1"/>
  <c r="I73" i="1" s="1"/>
  <c r="Q68" i="1"/>
  <c r="P68" i="1"/>
  <c r="M68" i="1"/>
  <c r="I68" i="1"/>
  <c r="H68" i="1"/>
  <c r="D68" i="1"/>
  <c r="P63" i="1"/>
  <c r="J63" i="1"/>
  <c r="R63" i="1" s="1"/>
  <c r="A63" i="1"/>
  <c r="P59" i="1"/>
  <c r="J59" i="1"/>
  <c r="J68" i="1" s="1"/>
  <c r="M57" i="1"/>
  <c r="J57" i="1"/>
  <c r="D57" i="1"/>
  <c r="R56" i="1"/>
  <c r="P56" i="1" s="1"/>
  <c r="Q56" i="1" s="1"/>
  <c r="H56" i="1"/>
  <c r="A56" i="1"/>
  <c r="R55" i="1"/>
  <c r="P55" i="1"/>
  <c r="Q55" i="1" s="1"/>
  <c r="I55" i="1"/>
  <c r="A55" i="1"/>
  <c r="R54" i="1"/>
  <c r="P54" i="1" s="1"/>
  <c r="Q54" i="1"/>
  <c r="I54" i="1"/>
  <c r="M52" i="1"/>
  <c r="J52" i="1"/>
  <c r="D52" i="1"/>
  <c r="R51" i="1"/>
  <c r="P51" i="1" s="1"/>
  <c r="Q51" i="1"/>
  <c r="H51" i="1"/>
  <c r="H52" i="1" s="1"/>
  <c r="A51" i="1"/>
  <c r="R50" i="1"/>
  <c r="P50" i="1"/>
  <c r="Q50" i="1" s="1"/>
  <c r="I50" i="1"/>
  <c r="A50" i="1"/>
  <c r="R49" i="1"/>
  <c r="P49" i="1"/>
  <c r="Q49" i="1" s="1"/>
  <c r="I49" i="1"/>
  <c r="M47" i="1"/>
  <c r="J47" i="1"/>
  <c r="H47" i="1"/>
  <c r="D47" i="1"/>
  <c r="R46" i="1"/>
  <c r="P46" i="1"/>
  <c r="Q46" i="1" s="1"/>
  <c r="I46" i="1"/>
  <c r="H46" i="1"/>
  <c r="R45" i="1"/>
  <c r="P45" i="1" s="1"/>
  <c r="Q45" i="1" s="1"/>
  <c r="I45" i="1"/>
  <c r="A45" i="1"/>
  <c r="A46" i="1" s="1"/>
  <c r="R44" i="1"/>
  <c r="P44" i="1"/>
  <c r="Q44" i="1" s="1"/>
  <c r="I44" i="1"/>
  <c r="I47" i="1" s="1"/>
  <c r="M42" i="1"/>
  <c r="H42" i="1"/>
  <c r="D42" i="1"/>
  <c r="J41" i="1"/>
  <c r="R41" i="1" s="1"/>
  <c r="P41" i="1" s="1"/>
  <c r="Q41" i="1" s="1"/>
  <c r="I41" i="1"/>
  <c r="J40" i="1"/>
  <c r="R40" i="1" s="1"/>
  <c r="P40" i="1" s="1"/>
  <c r="Q40" i="1" s="1"/>
  <c r="I40" i="1"/>
  <c r="I39" i="1"/>
  <c r="I42" i="1" s="1"/>
  <c r="M37" i="1"/>
  <c r="J37" i="1"/>
  <c r="D37" i="1"/>
  <c r="R36" i="1"/>
  <c r="P36" i="1" s="1"/>
  <c r="Q36" i="1" s="1"/>
  <c r="H36" i="1"/>
  <c r="R34" i="1"/>
  <c r="P34" i="1"/>
  <c r="Q34" i="1" s="1"/>
  <c r="I34" i="1"/>
  <c r="M32" i="1"/>
  <c r="J32" i="1"/>
  <c r="H32" i="1"/>
  <c r="D32" i="1"/>
  <c r="D109" i="1" s="1"/>
  <c r="R31" i="1"/>
  <c r="P31" i="1"/>
  <c r="Q31" i="1" s="1"/>
  <c r="I31" i="1"/>
  <c r="H31" i="1"/>
  <c r="R30" i="1"/>
  <c r="P30" i="1"/>
  <c r="Q30" i="1" s="1"/>
  <c r="R29" i="1"/>
  <c r="R32" i="1" s="1"/>
  <c r="P32" i="1" s="1"/>
  <c r="Q32" i="1" s="1"/>
  <c r="P29" i="1"/>
  <c r="Q29" i="1" s="1"/>
  <c r="I29" i="1"/>
  <c r="I32" i="1" s="1"/>
  <c r="A29" i="1"/>
  <c r="M26" i="1"/>
  <c r="J26" i="1"/>
  <c r="H26" i="1"/>
  <c r="D26" i="1"/>
  <c r="R25" i="1"/>
  <c r="P25" i="1"/>
  <c r="Q25" i="1" s="1"/>
  <c r="I25" i="1"/>
  <c r="R24" i="1"/>
  <c r="P24" i="1" s="1"/>
  <c r="Q24" i="1"/>
  <c r="I24" i="1"/>
  <c r="A24" i="1"/>
  <c r="A25" i="1" s="1"/>
  <c r="R23" i="1"/>
  <c r="I23" i="1"/>
  <c r="I26" i="1" s="1"/>
  <c r="M21" i="1"/>
  <c r="J21" i="1"/>
  <c r="D21" i="1"/>
  <c r="R20" i="1"/>
  <c r="P20" i="1" s="1"/>
  <c r="Q20" i="1" s="1"/>
  <c r="H20" i="1"/>
  <c r="A20" i="1"/>
  <c r="R19" i="1"/>
  <c r="P19" i="1"/>
  <c r="Q19" i="1" s="1"/>
  <c r="I19" i="1"/>
  <c r="A19" i="1"/>
  <c r="R18" i="1"/>
  <c r="P18" i="1" s="1"/>
  <c r="Q18" i="1"/>
  <c r="I18" i="1"/>
  <c r="M16" i="1"/>
  <c r="I16" i="1"/>
  <c r="H16" i="1"/>
  <c r="D16" i="1"/>
  <c r="I15" i="1"/>
  <c r="J15" i="1" s="1"/>
  <c r="R15" i="1" s="1"/>
  <c r="P15" i="1" s="1"/>
  <c r="Q15" i="1" s="1"/>
  <c r="A15" i="1"/>
  <c r="J14" i="1"/>
  <c r="I14" i="1"/>
  <c r="J13" i="1"/>
  <c r="R13" i="1" s="1"/>
  <c r="I13" i="1"/>
  <c r="M11" i="1"/>
  <c r="J11" i="1"/>
  <c r="D11" i="1"/>
  <c r="R10" i="1"/>
  <c r="P10" i="1" s="1"/>
  <c r="Q10" i="1"/>
  <c r="H10" i="1"/>
  <c r="H11" i="1" s="1"/>
  <c r="A10" i="1"/>
  <c r="R9" i="1"/>
  <c r="P9" i="1"/>
  <c r="Q9" i="1" s="1"/>
  <c r="I9" i="1"/>
  <c r="A9" i="1"/>
  <c r="R8" i="1"/>
  <c r="P8" i="1"/>
  <c r="Q8" i="1" s="1"/>
  <c r="I8" i="1"/>
  <c r="H109" i="34" l="1"/>
  <c r="I52" i="34"/>
  <c r="P11" i="34"/>
  <c r="I57" i="34"/>
  <c r="I20" i="34"/>
  <c r="I21" i="34" s="1"/>
  <c r="P29" i="34"/>
  <c r="Q29" i="34" s="1"/>
  <c r="I36" i="34"/>
  <c r="I37" i="34" s="1"/>
  <c r="P44" i="34"/>
  <c r="Q44" i="34" s="1"/>
  <c r="P70" i="34"/>
  <c r="Q70" i="34" s="1"/>
  <c r="Q80" i="34"/>
  <c r="Q83" i="34" s="1"/>
  <c r="P96" i="34"/>
  <c r="Q96" i="34" s="1"/>
  <c r="P23" i="34"/>
  <c r="Q23" i="34" s="1"/>
  <c r="P75" i="34"/>
  <c r="P91" i="34"/>
  <c r="Q91" i="34" s="1"/>
  <c r="J13" i="34"/>
  <c r="J83" i="34"/>
  <c r="R39" i="34"/>
  <c r="I102" i="34"/>
  <c r="I103" i="34" s="1"/>
  <c r="J40" i="34"/>
  <c r="R40" i="34" s="1"/>
  <c r="P40" i="34" s="1"/>
  <c r="Q40" i="34" s="1"/>
  <c r="R88" i="34"/>
  <c r="P88" i="34" s="1"/>
  <c r="Q88" i="34" s="1"/>
  <c r="R57" i="34"/>
  <c r="P57" i="34" s="1"/>
  <c r="Q57" i="34" s="1"/>
  <c r="H109" i="30"/>
  <c r="I32" i="30"/>
  <c r="I52" i="30"/>
  <c r="R11" i="30"/>
  <c r="I20" i="30"/>
  <c r="I21" i="30" s="1"/>
  <c r="I36" i="30"/>
  <c r="I37" i="30" s="1"/>
  <c r="R37" i="30"/>
  <c r="P37" i="30" s="1"/>
  <c r="Q37" i="30" s="1"/>
  <c r="P23" i="30"/>
  <c r="Q23" i="30" s="1"/>
  <c r="J39" i="30"/>
  <c r="P75" i="30"/>
  <c r="R80" i="30"/>
  <c r="J13" i="30"/>
  <c r="I83" i="30"/>
  <c r="R108" i="30"/>
  <c r="P108" i="30" s="1"/>
  <c r="Q108" i="30" s="1"/>
  <c r="R103" i="30"/>
  <c r="P103" i="30" s="1"/>
  <c r="Q103" i="30" s="1"/>
  <c r="I107" i="30"/>
  <c r="I108" i="30" s="1"/>
  <c r="R98" i="30"/>
  <c r="P98" i="30" s="1"/>
  <c r="Q98" i="30" s="1"/>
  <c r="I102" i="30"/>
  <c r="I103" i="30" s="1"/>
  <c r="R93" i="30"/>
  <c r="P93" i="30" s="1"/>
  <c r="Q93" i="30" s="1"/>
  <c r="R88" i="30"/>
  <c r="P88" i="30" s="1"/>
  <c r="Q88" i="30" s="1"/>
  <c r="H108" i="26"/>
  <c r="I107" i="26"/>
  <c r="I108" i="26" s="1"/>
  <c r="R103" i="26"/>
  <c r="P103" i="26" s="1"/>
  <c r="Q103" i="26" s="1"/>
  <c r="P100" i="26"/>
  <c r="Q100" i="26" s="1"/>
  <c r="I97" i="26"/>
  <c r="I98" i="26" s="1"/>
  <c r="H98" i="26"/>
  <c r="P95" i="26"/>
  <c r="Q95" i="26" s="1"/>
  <c r="R98" i="26"/>
  <c r="P98" i="26" s="1"/>
  <c r="Q98" i="26" s="1"/>
  <c r="H93" i="26"/>
  <c r="I92" i="26"/>
  <c r="I93" i="26" s="1"/>
  <c r="H88" i="26"/>
  <c r="I87" i="26"/>
  <c r="I88" i="26" s="1"/>
  <c r="R88" i="26"/>
  <c r="P88" i="26" s="1"/>
  <c r="Q88" i="26" s="1"/>
  <c r="P85" i="26"/>
  <c r="Q85" i="26" s="1"/>
  <c r="J80" i="26"/>
  <c r="I83" i="26"/>
  <c r="P75" i="26"/>
  <c r="R78" i="26"/>
  <c r="H73" i="26"/>
  <c r="I72" i="26"/>
  <c r="I73" i="26" s="1"/>
  <c r="R59" i="26"/>
  <c r="R68" i="26" s="1"/>
  <c r="J68" i="26"/>
  <c r="I56" i="26"/>
  <c r="I57" i="26" s="1"/>
  <c r="H57" i="26"/>
  <c r="I51" i="26"/>
  <c r="I52" i="26" s="1"/>
  <c r="H52" i="26"/>
  <c r="H47" i="26"/>
  <c r="I46" i="26"/>
  <c r="I47" i="26" s="1"/>
  <c r="J39" i="26"/>
  <c r="I42" i="26"/>
  <c r="I36" i="26"/>
  <c r="I37" i="26" s="1"/>
  <c r="H37" i="26"/>
  <c r="R37" i="26"/>
  <c r="P37" i="26" s="1"/>
  <c r="Q37" i="26" s="1"/>
  <c r="P34" i="26"/>
  <c r="Q34" i="26" s="1"/>
  <c r="H32" i="26"/>
  <c r="I31" i="26"/>
  <c r="I32" i="26" s="1"/>
  <c r="I20" i="26"/>
  <c r="I21" i="26" s="1"/>
  <c r="H21" i="26"/>
  <c r="R13" i="26"/>
  <c r="J16" i="26"/>
  <c r="H11" i="26"/>
  <c r="H109" i="26" s="1"/>
  <c r="I10" i="26"/>
  <c r="I11" i="26" s="1"/>
  <c r="I109" i="26" s="1"/>
  <c r="P11" i="26"/>
  <c r="I32" i="22"/>
  <c r="Q82" i="22"/>
  <c r="P83" i="22"/>
  <c r="I21" i="22"/>
  <c r="Q83" i="22"/>
  <c r="I11" i="22"/>
  <c r="J42" i="22"/>
  <c r="R39" i="22"/>
  <c r="I52" i="22"/>
  <c r="R68" i="22"/>
  <c r="H109" i="22"/>
  <c r="I57" i="22"/>
  <c r="R21" i="22"/>
  <c r="P21" i="22" s="1"/>
  <c r="Q21" i="22" s="1"/>
  <c r="H93" i="22"/>
  <c r="I10" i="22"/>
  <c r="P23" i="22"/>
  <c r="Q23" i="22" s="1"/>
  <c r="P75" i="22"/>
  <c r="R11" i="22"/>
  <c r="H88" i="22"/>
  <c r="J13" i="22"/>
  <c r="R108" i="22"/>
  <c r="P108" i="22" s="1"/>
  <c r="Q108" i="22" s="1"/>
  <c r="P30" i="22"/>
  <c r="Q30" i="22" s="1"/>
  <c r="I42" i="22"/>
  <c r="R57" i="22"/>
  <c r="P57" i="22" s="1"/>
  <c r="Q57" i="22" s="1"/>
  <c r="R88" i="22"/>
  <c r="P88" i="22" s="1"/>
  <c r="Q88" i="22" s="1"/>
  <c r="J42" i="18"/>
  <c r="R39" i="18"/>
  <c r="J83" i="18"/>
  <c r="R80" i="18"/>
  <c r="R13" i="18"/>
  <c r="I11" i="18"/>
  <c r="I109" i="18" s="1"/>
  <c r="R21" i="18"/>
  <c r="P21" i="18" s="1"/>
  <c r="Q21" i="18" s="1"/>
  <c r="H93" i="18"/>
  <c r="P75" i="18"/>
  <c r="H88" i="18"/>
  <c r="P23" i="18"/>
  <c r="Q23" i="18" s="1"/>
  <c r="R108" i="18"/>
  <c r="P108" i="18" s="1"/>
  <c r="Q108" i="18" s="1"/>
  <c r="R11" i="18"/>
  <c r="H32" i="18"/>
  <c r="H109" i="18" s="1"/>
  <c r="P30" i="18"/>
  <c r="Q30" i="18" s="1"/>
  <c r="I42" i="18"/>
  <c r="R88" i="18"/>
  <c r="P88" i="18" s="1"/>
  <c r="Q88" i="18" s="1"/>
  <c r="J14" i="18"/>
  <c r="R14" i="18" s="1"/>
  <c r="P14" i="18" s="1"/>
  <c r="Q14" i="18" s="1"/>
  <c r="R57" i="18"/>
  <c r="P57" i="18" s="1"/>
  <c r="Q57" i="18" s="1"/>
  <c r="J42" i="14"/>
  <c r="R39" i="14"/>
  <c r="J83" i="14"/>
  <c r="R80" i="14"/>
  <c r="I11" i="14"/>
  <c r="I98" i="14"/>
  <c r="R21" i="14"/>
  <c r="P21" i="14" s="1"/>
  <c r="Q21" i="14" s="1"/>
  <c r="P46" i="14"/>
  <c r="Q46" i="14" s="1"/>
  <c r="P49" i="14"/>
  <c r="Q49" i="14" s="1"/>
  <c r="P72" i="14"/>
  <c r="Q72" i="14" s="1"/>
  <c r="H93" i="14"/>
  <c r="J13" i="14"/>
  <c r="H52" i="14"/>
  <c r="Q75" i="14"/>
  <c r="Q78" i="14" s="1"/>
  <c r="I83" i="14"/>
  <c r="R108" i="14"/>
  <c r="P108" i="14" s="1"/>
  <c r="Q108" i="14" s="1"/>
  <c r="H47" i="14"/>
  <c r="H109" i="14" s="1"/>
  <c r="H73" i="14"/>
  <c r="R103" i="14"/>
  <c r="P103" i="14" s="1"/>
  <c r="Q103" i="14" s="1"/>
  <c r="I107" i="14"/>
  <c r="I108" i="14" s="1"/>
  <c r="I10" i="14"/>
  <c r="I42" i="14"/>
  <c r="I97" i="14"/>
  <c r="P24" i="14"/>
  <c r="Q24" i="14" s="1"/>
  <c r="J68" i="14"/>
  <c r="R57" i="14"/>
  <c r="P57" i="14" s="1"/>
  <c r="Q57" i="14" s="1"/>
  <c r="R78" i="14"/>
  <c r="P11" i="14"/>
  <c r="I11" i="10"/>
  <c r="J42" i="10"/>
  <c r="R39" i="10"/>
  <c r="P78" i="10"/>
  <c r="Q77" i="10"/>
  <c r="I32" i="10"/>
  <c r="Q78" i="10"/>
  <c r="I98" i="10"/>
  <c r="H109" i="10"/>
  <c r="I93" i="10"/>
  <c r="J83" i="10"/>
  <c r="I108" i="10"/>
  <c r="I10" i="10"/>
  <c r="R80" i="10"/>
  <c r="R21" i="10"/>
  <c r="P21" i="10" s="1"/>
  <c r="Q21" i="10" s="1"/>
  <c r="I20" i="10"/>
  <c r="I21" i="10" s="1"/>
  <c r="I36" i="10"/>
  <c r="I37" i="10" s="1"/>
  <c r="J13" i="10"/>
  <c r="R63" i="10"/>
  <c r="R68" i="10" s="1"/>
  <c r="R11" i="10"/>
  <c r="P30" i="10"/>
  <c r="Q30" i="10" s="1"/>
  <c r="I107" i="10"/>
  <c r="R88" i="10"/>
  <c r="P88" i="10" s="1"/>
  <c r="Q88" i="10" s="1"/>
  <c r="R57" i="10"/>
  <c r="P57" i="10" s="1"/>
  <c r="Q57" i="10" s="1"/>
  <c r="I42" i="10"/>
  <c r="I97" i="10"/>
  <c r="P54" i="6"/>
  <c r="Q54" i="6" s="1"/>
  <c r="R57" i="6"/>
  <c r="P57" i="6" s="1"/>
  <c r="Q57" i="6" s="1"/>
  <c r="J81" i="6"/>
  <c r="R81" i="6" s="1"/>
  <c r="P81" i="6" s="1"/>
  <c r="Q81" i="6" s="1"/>
  <c r="I83" i="6"/>
  <c r="P11" i="6"/>
  <c r="P106" i="6"/>
  <c r="Q106" i="6" s="1"/>
  <c r="R108" i="6"/>
  <c r="P108" i="6" s="1"/>
  <c r="Q108" i="6" s="1"/>
  <c r="I21" i="6"/>
  <c r="J39" i="6"/>
  <c r="J13" i="6"/>
  <c r="I103" i="6"/>
  <c r="R47" i="6"/>
  <c r="P47" i="6" s="1"/>
  <c r="Q47" i="6" s="1"/>
  <c r="R63" i="6"/>
  <c r="R68" i="6" s="1"/>
  <c r="I36" i="6"/>
  <c r="I37" i="6" s="1"/>
  <c r="I10" i="6"/>
  <c r="I11" i="6" s="1"/>
  <c r="I109" i="6" s="1"/>
  <c r="D109" i="6"/>
  <c r="P78" i="6"/>
  <c r="Q75" i="6"/>
  <c r="Q78" i="6" s="1"/>
  <c r="R88" i="6"/>
  <c r="P88" i="6" s="1"/>
  <c r="Q88" i="6" s="1"/>
  <c r="P85" i="6"/>
  <c r="Q85" i="6" s="1"/>
  <c r="I108" i="6"/>
  <c r="R78" i="6"/>
  <c r="R26" i="6"/>
  <c r="P26" i="6" s="1"/>
  <c r="Q26" i="6" s="1"/>
  <c r="M109" i="6"/>
  <c r="R52" i="6"/>
  <c r="P52" i="6" s="1"/>
  <c r="Q52" i="6" s="1"/>
  <c r="P80" i="6"/>
  <c r="I20" i="6"/>
  <c r="H108" i="6"/>
  <c r="H103" i="6"/>
  <c r="H109" i="6" s="1"/>
  <c r="I97" i="6"/>
  <c r="I98" i="6" s="1"/>
  <c r="I11" i="2"/>
  <c r="R83" i="2"/>
  <c r="R16" i="2"/>
  <c r="P16" i="2" s="1"/>
  <c r="Q16" i="2" s="1"/>
  <c r="R37" i="2"/>
  <c r="P37" i="2" s="1"/>
  <c r="Q37" i="2" s="1"/>
  <c r="R47" i="2"/>
  <c r="P47" i="2" s="1"/>
  <c r="Q47" i="2" s="1"/>
  <c r="R73" i="2"/>
  <c r="P73" i="2" s="1"/>
  <c r="Q73" i="2" s="1"/>
  <c r="P75" i="2"/>
  <c r="R78" i="2"/>
  <c r="P80" i="2"/>
  <c r="R82" i="2"/>
  <c r="P82" i="2" s="1"/>
  <c r="Q82" i="2" s="1"/>
  <c r="R108" i="2"/>
  <c r="P108" i="2" s="1"/>
  <c r="Q108" i="2" s="1"/>
  <c r="P105" i="2"/>
  <c r="Q105" i="2" s="1"/>
  <c r="I20" i="2"/>
  <c r="I21" i="2" s="1"/>
  <c r="H57" i="2"/>
  <c r="I56" i="2"/>
  <c r="I57" i="2" s="1"/>
  <c r="H103" i="2"/>
  <c r="I102" i="2"/>
  <c r="R88" i="2"/>
  <c r="P88" i="2" s="1"/>
  <c r="Q88" i="2" s="1"/>
  <c r="P85" i="2"/>
  <c r="Q85" i="2" s="1"/>
  <c r="J16" i="2"/>
  <c r="R26" i="2"/>
  <c r="P26" i="2" s="1"/>
  <c r="Q26" i="2" s="1"/>
  <c r="P23" i="2"/>
  <c r="Q23" i="2" s="1"/>
  <c r="H11" i="2"/>
  <c r="I10" i="2"/>
  <c r="R11" i="2"/>
  <c r="R21" i="2"/>
  <c r="P21" i="2" s="1"/>
  <c r="Q21" i="2" s="1"/>
  <c r="I32" i="2"/>
  <c r="H37" i="2"/>
  <c r="I36" i="2"/>
  <c r="I37" i="2" s="1"/>
  <c r="R57" i="2"/>
  <c r="P57" i="2" s="1"/>
  <c r="Q57" i="2" s="1"/>
  <c r="I83" i="2"/>
  <c r="I88" i="2"/>
  <c r="R93" i="2"/>
  <c r="P93" i="2" s="1"/>
  <c r="Q93" i="2" s="1"/>
  <c r="I103" i="2"/>
  <c r="R103" i="2"/>
  <c r="P103" i="2" s="1"/>
  <c r="Q103" i="2" s="1"/>
  <c r="R52" i="2"/>
  <c r="P52" i="2" s="1"/>
  <c r="Q52" i="2" s="1"/>
  <c r="R98" i="2"/>
  <c r="P98" i="2" s="1"/>
  <c r="Q98" i="2" s="1"/>
  <c r="J39" i="2"/>
  <c r="I51" i="2"/>
  <c r="I52" i="2" s="1"/>
  <c r="I97" i="2"/>
  <c r="I98" i="2" s="1"/>
  <c r="R59" i="2"/>
  <c r="R68" i="2" s="1"/>
  <c r="P82" i="1"/>
  <c r="Q82" i="1" s="1"/>
  <c r="R83" i="1"/>
  <c r="Q80" i="1"/>
  <c r="P83" i="1"/>
  <c r="I20" i="1"/>
  <c r="I21" i="1" s="1"/>
  <c r="H21" i="1"/>
  <c r="H109" i="1" s="1"/>
  <c r="I57" i="1"/>
  <c r="I56" i="1"/>
  <c r="H57" i="1"/>
  <c r="R21" i="1"/>
  <c r="P21" i="1" s="1"/>
  <c r="Q21" i="1" s="1"/>
  <c r="M109" i="1"/>
  <c r="I36" i="1"/>
  <c r="H37" i="1"/>
  <c r="I37" i="1"/>
  <c r="R37" i="1"/>
  <c r="P37" i="1" s="1"/>
  <c r="Q37" i="1" s="1"/>
  <c r="J83" i="1"/>
  <c r="R88" i="1"/>
  <c r="P88" i="1" s="1"/>
  <c r="Q88" i="1" s="1"/>
  <c r="P85" i="1"/>
  <c r="Q85" i="1" s="1"/>
  <c r="P13" i="1"/>
  <c r="Q13" i="1" s="1"/>
  <c r="R57" i="1"/>
  <c r="P57" i="1" s="1"/>
  <c r="Q57" i="1" s="1"/>
  <c r="I88" i="1"/>
  <c r="R93" i="1"/>
  <c r="P93" i="1" s="1"/>
  <c r="Q93" i="1" s="1"/>
  <c r="R14" i="1"/>
  <c r="P14" i="1" s="1"/>
  <c r="Q14" i="1" s="1"/>
  <c r="J16" i="1"/>
  <c r="R26" i="1"/>
  <c r="P26" i="1" s="1"/>
  <c r="Q26" i="1" s="1"/>
  <c r="P23" i="1"/>
  <c r="Q23" i="1" s="1"/>
  <c r="R47" i="1"/>
  <c r="P47" i="1" s="1"/>
  <c r="Q47" i="1" s="1"/>
  <c r="R73" i="1"/>
  <c r="P73" i="1" s="1"/>
  <c r="Q73" i="1" s="1"/>
  <c r="R78" i="1"/>
  <c r="P75" i="1"/>
  <c r="R103" i="1"/>
  <c r="P103" i="1" s="1"/>
  <c r="Q103" i="1" s="1"/>
  <c r="P102" i="1"/>
  <c r="Q102" i="1" s="1"/>
  <c r="R11" i="1"/>
  <c r="R52" i="1"/>
  <c r="P52" i="1" s="1"/>
  <c r="Q52" i="1" s="1"/>
  <c r="R98" i="1"/>
  <c r="P98" i="1" s="1"/>
  <c r="Q98" i="1" s="1"/>
  <c r="I102" i="1"/>
  <c r="I103" i="1" s="1"/>
  <c r="I10" i="1"/>
  <c r="I11" i="1" s="1"/>
  <c r="J39" i="1"/>
  <c r="I51" i="1"/>
  <c r="I52" i="1" s="1"/>
  <c r="I97" i="1"/>
  <c r="I98" i="1" s="1"/>
  <c r="P105" i="1"/>
  <c r="Q105" i="1" s="1"/>
  <c r="R59" i="1"/>
  <c r="R68" i="1" s="1"/>
  <c r="I109" i="34" l="1"/>
  <c r="J42" i="34"/>
  <c r="Q11" i="34"/>
  <c r="R42" i="34"/>
  <c r="P39" i="34"/>
  <c r="J16" i="34"/>
  <c r="J109" i="34" s="1"/>
  <c r="R13" i="34"/>
  <c r="P78" i="34"/>
  <c r="Q75" i="34"/>
  <c r="Q78" i="34" s="1"/>
  <c r="I109" i="30"/>
  <c r="J16" i="30"/>
  <c r="R13" i="30"/>
  <c r="P11" i="30"/>
  <c r="P78" i="30"/>
  <c r="Q75" i="30"/>
  <c r="Q78" i="30" s="1"/>
  <c r="J42" i="30"/>
  <c r="R39" i="30"/>
  <c r="R83" i="30"/>
  <c r="P80" i="30"/>
  <c r="R80" i="26"/>
  <c r="J83" i="26"/>
  <c r="Q75" i="26"/>
  <c r="Q78" i="26" s="1"/>
  <c r="P78" i="26"/>
  <c r="R39" i="26"/>
  <c r="J42" i="26"/>
  <c r="J109" i="26" s="1"/>
  <c r="R16" i="26"/>
  <c r="P13" i="26"/>
  <c r="Q13" i="26" s="1"/>
  <c r="Q11" i="26"/>
  <c r="R42" i="22"/>
  <c r="P39" i="22"/>
  <c r="P11" i="22"/>
  <c r="I109" i="22"/>
  <c r="J16" i="22"/>
  <c r="J109" i="22" s="1"/>
  <c r="R13" i="22"/>
  <c r="P78" i="22"/>
  <c r="Q75" i="22"/>
  <c r="Q78" i="22" s="1"/>
  <c r="P78" i="18"/>
  <c r="Q75" i="18"/>
  <c r="Q78" i="18" s="1"/>
  <c r="J16" i="18"/>
  <c r="J109" i="18" s="1"/>
  <c r="R83" i="18"/>
  <c r="P80" i="18"/>
  <c r="R42" i="18"/>
  <c r="P39" i="18"/>
  <c r="P13" i="18"/>
  <c r="Q13" i="18" s="1"/>
  <c r="R16" i="18"/>
  <c r="P16" i="18" s="1"/>
  <c r="Q16" i="18" s="1"/>
  <c r="R109" i="18"/>
  <c r="P11" i="18"/>
  <c r="R83" i="14"/>
  <c r="P80" i="14"/>
  <c r="J16" i="14"/>
  <c r="J109" i="14" s="1"/>
  <c r="R13" i="14"/>
  <c r="Q11" i="14"/>
  <c r="I109" i="14"/>
  <c r="R42" i="14"/>
  <c r="P39" i="14"/>
  <c r="P11" i="10"/>
  <c r="J16" i="10"/>
  <c r="J109" i="10" s="1"/>
  <c r="R13" i="10"/>
  <c r="I109" i="10"/>
  <c r="R83" i="10"/>
  <c r="P80" i="10"/>
  <c r="R42" i="10"/>
  <c r="P39" i="10"/>
  <c r="J42" i="6"/>
  <c r="R39" i="6"/>
  <c r="P83" i="6"/>
  <c r="Q80" i="6"/>
  <c r="Q83" i="6" s="1"/>
  <c r="Q11" i="6"/>
  <c r="R83" i="6"/>
  <c r="J83" i="6"/>
  <c r="J16" i="6"/>
  <c r="J109" i="6" s="1"/>
  <c r="R13" i="6"/>
  <c r="P11" i="2"/>
  <c r="P78" i="2"/>
  <c r="Q75" i="2"/>
  <c r="Q78" i="2" s="1"/>
  <c r="J42" i="2"/>
  <c r="J109" i="2" s="1"/>
  <c r="R39" i="2"/>
  <c r="P83" i="2"/>
  <c r="Q80" i="2"/>
  <c r="Q83" i="2" s="1"/>
  <c r="I109" i="2"/>
  <c r="H109" i="2"/>
  <c r="I109" i="1"/>
  <c r="J42" i="1"/>
  <c r="J109" i="1" s="1"/>
  <c r="R39" i="1"/>
  <c r="P78" i="1"/>
  <c r="Q75" i="1"/>
  <c r="Q78" i="1" s="1"/>
  <c r="Q83" i="1"/>
  <c r="P11" i="1"/>
  <c r="R16" i="1"/>
  <c r="P16" i="1" s="1"/>
  <c r="Q16" i="1" s="1"/>
  <c r="P13" i="34" l="1"/>
  <c r="Q13" i="34" s="1"/>
  <c r="R16" i="34"/>
  <c r="P42" i="34"/>
  <c r="Q39" i="34"/>
  <c r="Q42" i="34" s="1"/>
  <c r="R42" i="30"/>
  <c r="P39" i="30"/>
  <c r="P13" i="30"/>
  <c r="Q13" i="30" s="1"/>
  <c r="R16" i="30"/>
  <c r="P83" i="30"/>
  <c r="Q80" i="30"/>
  <c r="Q83" i="30" s="1"/>
  <c r="Q11" i="30"/>
  <c r="J109" i="30"/>
  <c r="R83" i="26"/>
  <c r="P80" i="26"/>
  <c r="R42" i="26"/>
  <c r="P39" i="26"/>
  <c r="R109" i="26"/>
  <c r="P16" i="26"/>
  <c r="P13" i="22"/>
  <c r="Q13" i="22" s="1"/>
  <c r="R16" i="22"/>
  <c r="Q11" i="22"/>
  <c r="P42" i="22"/>
  <c r="Q39" i="22"/>
  <c r="Q42" i="22" s="1"/>
  <c r="Q11" i="18"/>
  <c r="P42" i="18"/>
  <c r="P109" i="18" s="1"/>
  <c r="Q39" i="18"/>
  <c r="Q42" i="18" s="1"/>
  <c r="P83" i="18"/>
  <c r="Q80" i="18"/>
  <c r="Q83" i="18" s="1"/>
  <c r="P42" i="14"/>
  <c r="Q39" i="14"/>
  <c r="Q42" i="14" s="1"/>
  <c r="R16" i="14"/>
  <c r="P13" i="14"/>
  <c r="Q13" i="14" s="1"/>
  <c r="P83" i="14"/>
  <c r="Q80" i="14"/>
  <c r="Q83" i="14" s="1"/>
  <c r="Q11" i="10"/>
  <c r="P42" i="10"/>
  <c r="Q39" i="10"/>
  <c r="Q42" i="10" s="1"/>
  <c r="P83" i="10"/>
  <c r="Q80" i="10"/>
  <c r="Q83" i="10" s="1"/>
  <c r="P13" i="10"/>
  <c r="Q13" i="10" s="1"/>
  <c r="R16" i="10"/>
  <c r="R42" i="6"/>
  <c r="P39" i="6"/>
  <c r="P13" i="6"/>
  <c r="Q13" i="6" s="1"/>
  <c r="R16" i="6"/>
  <c r="R42" i="2"/>
  <c r="R109" i="2" s="1"/>
  <c r="P39" i="2"/>
  <c r="Q11" i="2"/>
  <c r="R42" i="1"/>
  <c r="R109" i="1" s="1"/>
  <c r="P39" i="1"/>
  <c r="Q11" i="1"/>
  <c r="P16" i="34" l="1"/>
  <c r="R109" i="34"/>
  <c r="P16" i="30"/>
  <c r="R109" i="30"/>
  <c r="P42" i="30"/>
  <c r="Q39" i="30"/>
  <c r="Q42" i="30" s="1"/>
  <c r="P83" i="26"/>
  <c r="Q80" i="26"/>
  <c r="Q83" i="26" s="1"/>
  <c r="Q39" i="26"/>
  <c r="Q42" i="26" s="1"/>
  <c r="P42" i="26"/>
  <c r="P109" i="26"/>
  <c r="Q16" i="26"/>
  <c r="Q109" i="26" s="1"/>
  <c r="P16" i="22"/>
  <c r="R109" i="22"/>
  <c r="Q109" i="18"/>
  <c r="P16" i="14"/>
  <c r="R109" i="14"/>
  <c r="P16" i="10"/>
  <c r="R109" i="10"/>
  <c r="P16" i="6"/>
  <c r="R109" i="6"/>
  <c r="P42" i="6"/>
  <c r="Q39" i="6"/>
  <c r="Q42" i="6" s="1"/>
  <c r="P42" i="2"/>
  <c r="P109" i="2" s="1"/>
  <c r="Q39" i="2"/>
  <c r="Q42" i="2" s="1"/>
  <c r="Q109" i="2" s="1"/>
  <c r="P42" i="1"/>
  <c r="P109" i="1" s="1"/>
  <c r="Q39" i="1"/>
  <c r="Q42" i="1" s="1"/>
  <c r="Q109" i="1" s="1"/>
  <c r="Q16" i="34" l="1"/>
  <c r="Q109" i="34" s="1"/>
  <c r="P109" i="34"/>
  <c r="Q16" i="30"/>
  <c r="Q109" i="30" s="1"/>
  <c r="P109" i="30"/>
  <c r="Q16" i="22"/>
  <c r="Q109" i="22" s="1"/>
  <c r="P109" i="22"/>
  <c r="Q16" i="14"/>
  <c r="Q109" i="14" s="1"/>
  <c r="P109" i="14"/>
  <c r="Q16" i="10"/>
  <c r="Q109" i="10" s="1"/>
  <c r="P109" i="10"/>
  <c r="Q16" i="6"/>
  <c r="Q109" i="6" s="1"/>
  <c r="P109" i="6"/>
</calcChain>
</file>

<file path=xl/sharedStrings.xml><?xml version="1.0" encoding="utf-8"?>
<sst xmlns="http://schemas.openxmlformats.org/spreadsheetml/2006/main" count="1551" uniqueCount="68">
  <si>
    <t>สำนักงานท่าเทียบเรือประมงสุราษฎร์ธานี</t>
  </si>
  <si>
    <t>รายละเอียดหนี้ค้างชำระค่าเช่าอาคารและที่ดิน</t>
  </si>
  <si>
    <t>ประจำเดือน กันยายน 2568</t>
  </si>
  <si>
    <t>ลำดับ</t>
  </si>
  <si>
    <t>รายชื่อ</t>
  </si>
  <si>
    <t>สถานที่ตั้ง</t>
  </si>
  <si>
    <t>อัตราค่าเช่า/ค่าธรรมเนียม ยอดรวมVAT</t>
  </si>
  <si>
    <t>ค้างชำระยกมา</t>
  </si>
  <si>
    <t>รับชำระ</t>
  </si>
  <si>
    <t>ค้างชำระยกไป</t>
  </si>
  <si>
    <t>ค้างตั้งแต่</t>
  </si>
  <si>
    <t>งวด</t>
  </si>
  <si>
    <t>เดือน</t>
  </si>
  <si>
    <t>ยอดหนี้</t>
  </si>
  <si>
    <t>ว/ด/ป</t>
  </si>
  <si>
    <t>เลขที่ใบเสร็จ</t>
  </si>
  <si>
    <r>
      <t>จำนวนเงิน รวม</t>
    </r>
    <r>
      <rPr>
        <b/>
        <sz val="12"/>
        <color indexed="10"/>
        <rFont val="TH SarabunPSK"/>
        <family val="2"/>
      </rPr>
      <t>VAT</t>
    </r>
  </si>
  <si>
    <t>ก่อน VAT</t>
  </si>
  <si>
    <t>VAT</t>
  </si>
  <si>
    <t>รวม</t>
  </si>
  <si>
    <t>ค่าบริการสัตว์น้ำ 4600100</t>
  </si>
  <si>
    <t>ไม่มี</t>
  </si>
  <si>
    <t>ค่าธรรมเนียมสัตว์น้ำผ่านท่า 4600200</t>
  </si>
  <si>
    <t>ค่าธรรมเนียมรถผ่านท่า 4600300</t>
  </si>
  <si>
    <t>ค่าธรรมเนียมน้ำแข็งผ่านท่า 4600400</t>
  </si>
  <si>
    <t>ค่าธรรมเนียมน้ำมันผ่านท่า 4600500</t>
  </si>
  <si>
    <t>ค่าธรรมเนียมใช้เครื่องชั่ง 4600600</t>
  </si>
  <si>
    <t>ค่าธรรมเนียมใช้สถานที่ 4600700</t>
  </si>
  <si>
    <t>ค่าธรรมเนียมอื่น ๆ 4600800</t>
  </si>
  <si>
    <t>ค่าเช่าที่จำหน่ายน้ำแข็งและตั้งเครื่องโม่ 4601100</t>
  </si>
  <si>
    <t>ค่าธรรมเนียมใช้เครน 4601300</t>
  </si>
  <si>
    <t>ค่าเช่าอาคารและที่ดิน 4700400</t>
  </si>
  <si>
    <t>บจก.เอส.พี.เอ็ม.โกลด์ โดย นส.พรปวีณ์ ทองคำ</t>
  </si>
  <si>
    <t>ตามมติ</t>
  </si>
  <si>
    <t>ตามมติ คกอ.พค.62</t>
  </si>
  <si>
    <t>เริ่มชำระเดือน พ.ค.62-เม.ย.63</t>
  </si>
  <si>
    <t>ที่ประชุม</t>
  </si>
  <si>
    <t>เดือนละ 194,281.31 บาท</t>
  </si>
  <si>
    <t>*(ยังไม่มีการชำระ)*</t>
  </si>
  <si>
    <t>รวมสัญญา</t>
  </si>
  <si>
    <t>ม.ค.62</t>
  </si>
  <si>
    <t>*รับชำระ 16/5/62=200,000.-</t>
  </si>
  <si>
    <t>-เม.ย.63</t>
  </si>
  <si>
    <t>*แจ้งยกเลิกสัญญาหยุดคิดค่าเช่า</t>
  </si>
  <si>
    <t>เดือน เม.ย.63</t>
  </si>
  <si>
    <t>ค่าเช่าที่อื่น ๆ 4700700</t>
  </si>
  <si>
    <t>ค่าจำหน่ายน้ำประปา 4700200</t>
  </si>
  <si>
    <t>ค่าจำหน่ายไฟฟ้า 4700300</t>
  </si>
  <si>
    <t>ค่าต่ออายุสัญญา/สิทธิการเช่าโอนเป็นรายได้ 4700900</t>
  </si>
  <si>
    <t>รายได้เบ็ดเตล็ด 4701600</t>
  </si>
  <si>
    <t>ค่าภาษีโรงเรือน</t>
  </si>
  <si>
    <t>ค่าประกันอัคคีภัย</t>
  </si>
  <si>
    <t>หนี้ดำเนินคดี/ศาลพิพากษา</t>
  </si>
  <si>
    <t>รวมเป็นเงินทั้งสิ้น</t>
  </si>
  <si>
    <t>...................................................................</t>
  </si>
  <si>
    <t>หัวหน้าสำนักงาน</t>
  </si>
  <si>
    <t>ประจำเดือน ตุลาคม 2568</t>
  </si>
  <si>
    <t>ไม่มีรับชำระ</t>
  </si>
  <si>
    <t>รับล่วงหน้า</t>
  </si>
  <si>
    <t>ไม่มีหนี้ค้างชำระ</t>
  </si>
  <si>
    <t>ประจำเดือน พฤศจิกายน 2568</t>
  </si>
  <si>
    <t>ประจำเดือน ธันวาคม 2568</t>
  </si>
  <si>
    <t>ประจำเดือน มกราคม 2569</t>
  </si>
  <si>
    <t>ประจำเดือน กุมภาพันธ์ 2569</t>
  </si>
  <si>
    <t>ประจำเดือน มีนาคม 2569</t>
  </si>
  <si>
    <t>ประจำเดือน เมษายน 2569</t>
  </si>
  <si>
    <t>ประจำเดือน พฤษภาคม 2569</t>
  </si>
  <si>
    <t>ประจำเดือน มิถุนายน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</si>
</sst>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#,##0.000;\-#,##0.000"/>
    <numFmt numFmtId="166" formatCode="[$-107041E]d\ mmm\ yy;@"/>
    <numFmt numFmtId="167" formatCode="0_);\(0\)"/>
  </numFmts>
  <fonts count="15">
    <font>
      <sz val="14"/>
      <name val="Cordia New"/>
      <charset val="222"/>
    </font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b/>
      <sz val="12"/>
      <name val="TH SarabunPSK"/>
      <family val="2"/>
    </font>
    <font>
      <b/>
      <sz val="9"/>
      <name val="TH SarabunPSK"/>
      <family val="2"/>
    </font>
    <font>
      <b/>
      <sz val="12"/>
      <color indexed="10"/>
      <name val="TH SarabunPSK"/>
      <family val="2"/>
    </font>
    <font>
      <b/>
      <sz val="11"/>
      <name val="TH SarabunPSK"/>
      <family val="2"/>
    </font>
    <font>
      <b/>
      <sz val="10"/>
      <name val="TH SarabunPSK"/>
      <family val="2"/>
    </font>
    <font>
      <b/>
      <u/>
      <sz val="12"/>
      <name val="TH SarabunPSK"/>
      <family val="2"/>
    </font>
    <font>
      <b/>
      <sz val="8"/>
      <name val="TH SarabunPSK"/>
      <family val="2"/>
    </font>
    <font>
      <b/>
      <sz val="12"/>
      <color theme="1"/>
      <name val="TH SarabunPSK"/>
      <family val="2"/>
    </font>
    <font>
      <b/>
      <sz val="12"/>
      <color indexed="8"/>
      <name val="TH SarabunPSK"/>
      <family val="2"/>
    </font>
    <font>
      <b/>
      <sz val="12"/>
      <color rgb="FFFF0000"/>
      <name val="TH SarabunPSK"/>
      <family val="2"/>
    </font>
    <font>
      <b/>
      <sz val="14"/>
      <name val="TH SarabunPSK"/>
      <family val="2"/>
    </font>
    <font>
      <b/>
      <sz val="14"/>
      <color indexed="8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2">
    <xf numFmtId="0" fontId="0" fillId="0" borderId="0" xfId="0"/>
    <xf numFmtId="0" fontId="2" fillId="0" borderId="0" xfId="0" applyFont="1"/>
    <xf numFmtId="1" fontId="3" fillId="3" borderId="5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1" fontId="6" fillId="3" borderId="7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</xf>
    <xf numFmtId="167" fontId="3" fillId="0" borderId="9" xfId="0" quotePrefix="1" applyNumberFormat="1" applyFont="1" applyBorder="1" applyAlignment="1">
      <alignment horizontal="center" vertical="center"/>
    </xf>
    <xf numFmtId="0" fontId="8" fillId="3" borderId="10" xfId="0" applyFont="1" applyFill="1" applyBorder="1" applyAlignment="1">
      <alignment vertical="center"/>
    </xf>
    <xf numFmtId="49" fontId="3" fillId="3" borderId="11" xfId="0" applyNumberFormat="1" applyFont="1" applyFill="1" applyBorder="1" applyAlignment="1">
      <alignment vertical="center"/>
    </xf>
    <xf numFmtId="164" fontId="3" fillId="3" borderId="6" xfId="0" applyNumberFormat="1" applyFont="1" applyFill="1" applyBorder="1" applyAlignment="1">
      <alignment horizontal="right" vertical="center"/>
    </xf>
    <xf numFmtId="39" fontId="3" fillId="3" borderId="6" xfId="0" applyNumberFormat="1" applyFont="1" applyFill="1" applyBorder="1" applyAlignment="1">
      <alignment horizontal="left" vertical="center"/>
    </xf>
    <xf numFmtId="1" fontId="3" fillId="3" borderId="6" xfId="0" applyNumberFormat="1" applyFont="1" applyFill="1" applyBorder="1" applyAlignment="1">
      <alignment horizontal="center" vertical="center"/>
    </xf>
    <xf numFmtId="164" fontId="3" fillId="3" borderId="11" xfId="1" applyFont="1" applyFill="1" applyBorder="1" applyAlignment="1">
      <alignment horizontal="center" vertical="center"/>
    </xf>
    <xf numFmtId="164" fontId="3" fillId="3" borderId="2" xfId="1" applyFont="1" applyFill="1" applyBorder="1" applyAlignment="1">
      <alignment horizontal="center" vertical="center"/>
    </xf>
    <xf numFmtId="166" fontId="7" fillId="4" borderId="6" xfId="0" applyNumberFormat="1" applyFont="1" applyFill="1" applyBorder="1" applyAlignment="1">
      <alignment horizontal="right" vertical="center"/>
    </xf>
    <xf numFmtId="0" fontId="7" fillId="4" borderId="6" xfId="0" applyFont="1" applyFill="1" applyBorder="1" applyAlignment="1">
      <alignment horizontal="right" vertical="center"/>
    </xf>
    <xf numFmtId="164" fontId="3" fillId="4" borderId="6" xfId="0" applyNumberFormat="1" applyFont="1" applyFill="1" applyBorder="1" applyAlignment="1">
      <alignment horizontal="right" vertical="center"/>
    </xf>
    <xf numFmtId="166" fontId="3" fillId="3" borderId="6" xfId="0" applyNumberFormat="1" applyFont="1" applyFill="1" applyBorder="1" applyAlignment="1">
      <alignment horizontal="center" vertical="center"/>
    </xf>
    <xf numFmtId="43" fontId="3" fillId="3" borderId="12" xfId="0" applyNumberFormat="1" applyFont="1" applyFill="1" applyBorder="1" applyAlignment="1">
      <alignment horizontal="right" vertical="center"/>
    </xf>
    <xf numFmtId="49" fontId="3" fillId="3" borderId="13" xfId="0" applyNumberFormat="1" applyFont="1" applyFill="1" applyBorder="1" applyAlignment="1">
      <alignment horizontal="left" vertical="center"/>
    </xf>
    <xf numFmtId="0" fontId="9" fillId="3" borderId="14" xfId="0" applyFont="1" applyFill="1" applyBorder="1" applyAlignment="1">
      <alignment vertical="center"/>
    </xf>
    <xf numFmtId="164" fontId="3" fillId="3" borderId="9" xfId="0" applyNumberFormat="1" applyFont="1" applyFill="1" applyBorder="1" applyAlignment="1">
      <alignment horizontal="right" vertical="center"/>
    </xf>
    <xf numFmtId="39" fontId="3" fillId="3" borderId="9" xfId="0" applyNumberFormat="1" applyFont="1" applyFill="1" applyBorder="1" applyAlignment="1">
      <alignment horizontal="left" vertical="center"/>
    </xf>
    <xf numFmtId="1" fontId="3" fillId="3" borderId="9" xfId="0" applyNumberFormat="1" applyFont="1" applyFill="1" applyBorder="1" applyAlignment="1">
      <alignment horizontal="center" vertical="center"/>
    </xf>
    <xf numFmtId="164" fontId="3" fillId="3" borderId="15" xfId="1" applyFont="1" applyFill="1" applyBorder="1" applyAlignment="1">
      <alignment horizontal="center" vertical="center"/>
    </xf>
    <xf numFmtId="164" fontId="3" fillId="3" borderId="9" xfId="1" applyFont="1" applyFill="1" applyBorder="1" applyAlignment="1">
      <alignment horizontal="center" vertical="center"/>
    </xf>
    <xf numFmtId="166" fontId="7" fillId="4" borderId="9" xfId="0" applyNumberFormat="1" applyFont="1" applyFill="1" applyBorder="1" applyAlignment="1">
      <alignment horizontal="right" vertical="center"/>
    </xf>
    <xf numFmtId="0" fontId="7" fillId="4" borderId="9" xfId="0" applyFont="1" applyFill="1" applyBorder="1" applyAlignment="1">
      <alignment horizontal="right" vertical="center"/>
    </xf>
    <xf numFmtId="164" fontId="3" fillId="4" borderId="9" xfId="1" applyFont="1" applyFill="1" applyBorder="1" applyAlignment="1">
      <alignment horizontal="right" vertical="center"/>
    </xf>
    <xf numFmtId="166" fontId="3" fillId="3" borderId="9" xfId="0" applyNumberFormat="1" applyFont="1" applyFill="1" applyBorder="1" applyAlignment="1">
      <alignment horizontal="center" vertical="center"/>
    </xf>
    <xf numFmtId="43" fontId="3" fillId="3" borderId="14" xfId="0" applyNumberFormat="1" applyFont="1" applyFill="1" applyBorder="1" applyAlignment="1">
      <alignment horizontal="right" vertical="center"/>
    </xf>
    <xf numFmtId="0" fontId="3" fillId="3" borderId="13" xfId="0" applyFont="1" applyFill="1" applyBorder="1" applyAlignment="1">
      <alignment horizontal="center" vertical="center"/>
    </xf>
    <xf numFmtId="164" fontId="3" fillId="3" borderId="16" xfId="1" applyFont="1" applyFill="1" applyBorder="1" applyAlignment="1">
      <alignment horizontal="center" vertical="center"/>
    </xf>
    <xf numFmtId="164" fontId="3" fillId="3" borderId="6" xfId="1" applyFont="1" applyFill="1" applyBorder="1" applyAlignment="1">
      <alignment horizontal="center" vertical="center"/>
    </xf>
    <xf numFmtId="164" fontId="10" fillId="3" borderId="9" xfId="0" applyNumberFormat="1" applyFont="1" applyFill="1" applyBorder="1" applyAlignment="1">
      <alignment horizontal="right" vertical="center"/>
    </xf>
    <xf numFmtId="0" fontId="3" fillId="3" borderId="13" xfId="0" applyFont="1" applyFill="1" applyBorder="1" applyAlignment="1">
      <alignment horizontal="left" vertical="center"/>
    </xf>
    <xf numFmtId="39" fontId="3" fillId="3" borderId="16" xfId="0" applyNumberFormat="1" applyFont="1" applyFill="1" applyBorder="1" applyAlignment="1">
      <alignment horizontal="left" vertical="center"/>
    </xf>
    <xf numFmtId="1" fontId="3" fillId="3" borderId="17" xfId="0" applyNumberFormat="1" applyFont="1" applyFill="1" applyBorder="1" applyAlignment="1">
      <alignment horizontal="center" vertical="center"/>
    </xf>
    <xf numFmtId="164" fontId="3" fillId="3" borderId="17" xfId="1" applyFont="1" applyFill="1" applyBorder="1" applyAlignment="1">
      <alignment horizontal="center" vertical="center"/>
    </xf>
    <xf numFmtId="164" fontId="10" fillId="3" borderId="17" xfId="0" applyNumberFormat="1" applyFont="1" applyFill="1" applyBorder="1" applyAlignment="1">
      <alignment horizontal="right" vertical="center"/>
    </xf>
    <xf numFmtId="167" fontId="3" fillId="2" borderId="9" xfId="0" quotePrefix="1" applyNumberFormat="1" applyFont="1" applyFill="1" applyBorder="1" applyAlignment="1">
      <alignment horizontal="center" vertical="center"/>
    </xf>
    <xf numFmtId="164" fontId="3" fillId="3" borderId="18" xfId="0" applyNumberFormat="1" applyFont="1" applyFill="1" applyBorder="1" applyAlignment="1">
      <alignment horizontal="right" vertical="center"/>
    </xf>
    <xf numFmtId="164" fontId="3" fillId="3" borderId="19" xfId="0" applyNumberFormat="1" applyFont="1" applyFill="1" applyBorder="1" applyAlignment="1">
      <alignment horizontal="right" vertical="center"/>
    </xf>
    <xf numFmtId="166" fontId="7" fillId="4" borderId="18" xfId="0" applyNumberFormat="1" applyFont="1" applyFill="1" applyBorder="1" applyAlignment="1">
      <alignment horizontal="right" vertical="center"/>
    </xf>
    <xf numFmtId="0" fontId="7" fillId="4" borderId="18" xfId="0" applyFont="1" applyFill="1" applyBorder="1" applyAlignment="1">
      <alignment horizontal="right" vertical="center"/>
    </xf>
    <xf numFmtId="164" fontId="3" fillId="4" borderId="18" xfId="0" applyNumberFormat="1" applyFont="1" applyFill="1" applyBorder="1" applyAlignment="1">
      <alignment horizontal="right" vertical="center"/>
    </xf>
    <xf numFmtId="164" fontId="3" fillId="3" borderId="18" xfId="0" applyNumberFormat="1" applyFont="1" applyFill="1" applyBorder="1" applyAlignment="1">
      <alignment horizontal="center" vertical="center"/>
    </xf>
    <xf numFmtId="164" fontId="3" fillId="3" borderId="18" xfId="1" applyFont="1" applyFill="1" applyBorder="1" applyAlignment="1">
      <alignment horizontal="center" vertical="center"/>
    </xf>
    <xf numFmtId="164" fontId="3" fillId="3" borderId="20" xfId="0" applyNumberFormat="1" applyFont="1" applyFill="1" applyBorder="1" applyAlignment="1">
      <alignment horizontal="right" vertical="center"/>
    </xf>
    <xf numFmtId="0" fontId="8" fillId="3" borderId="6" xfId="0" applyFont="1" applyFill="1" applyBorder="1" applyAlignment="1">
      <alignment vertical="center"/>
    </xf>
    <xf numFmtId="49" fontId="3" fillId="3" borderId="16" xfId="0" applyNumberFormat="1" applyFont="1" applyFill="1" applyBorder="1" applyAlignment="1">
      <alignment vertical="center"/>
    </xf>
    <xf numFmtId="1" fontId="3" fillId="3" borderId="21" xfId="0" applyNumberFormat="1" applyFont="1" applyFill="1" applyBorder="1" applyAlignment="1">
      <alignment horizontal="center" vertical="center"/>
    </xf>
    <xf numFmtId="39" fontId="3" fillId="3" borderId="9" xfId="0" applyNumberFormat="1" applyFont="1" applyFill="1" applyBorder="1" applyAlignment="1">
      <alignment horizontal="center" vertical="center"/>
    </xf>
    <xf numFmtId="164" fontId="3" fillId="4" borderId="9" xfId="0" applyNumberFormat="1" applyFont="1" applyFill="1" applyBorder="1" applyAlignment="1">
      <alignment horizontal="right" vertical="center"/>
    </xf>
    <xf numFmtId="166" fontId="3" fillId="4" borderId="9" xfId="0" applyNumberFormat="1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164" fontId="3" fillId="4" borderId="9" xfId="0" applyNumberFormat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left" vertical="center" wrapText="1"/>
    </xf>
    <xf numFmtId="14" fontId="3" fillId="4" borderId="9" xfId="0" applyNumberFormat="1" applyFont="1" applyFill="1" applyBorder="1" applyAlignment="1">
      <alignment horizontal="center" vertical="center" wrapText="1"/>
    </xf>
    <xf numFmtId="164" fontId="3" fillId="3" borderId="12" xfId="1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left" vertical="center"/>
    </xf>
    <xf numFmtId="0" fontId="9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left" vertical="center"/>
    </xf>
    <xf numFmtId="164" fontId="3" fillId="3" borderId="17" xfId="0" applyNumberFormat="1" applyFont="1" applyFill="1" applyBorder="1" applyAlignment="1">
      <alignment horizontal="right" vertical="center"/>
    </xf>
    <xf numFmtId="0" fontId="8" fillId="3" borderId="22" xfId="0" applyFont="1" applyFill="1" applyBorder="1" applyAlignment="1">
      <alignment vertical="center"/>
    </xf>
    <xf numFmtId="49" fontId="3" fillId="3" borderId="9" xfId="0" applyNumberFormat="1" applyFont="1" applyFill="1" applyBorder="1" applyAlignment="1">
      <alignment vertical="center"/>
    </xf>
    <xf numFmtId="164" fontId="3" fillId="3" borderId="22" xfId="0" applyNumberFormat="1" applyFont="1" applyFill="1" applyBorder="1" applyAlignment="1">
      <alignment horizontal="right" vertical="center"/>
    </xf>
    <xf numFmtId="39" fontId="3" fillId="3" borderId="22" xfId="0" applyNumberFormat="1" applyFont="1" applyFill="1" applyBorder="1" applyAlignment="1">
      <alignment horizontal="left" vertical="center"/>
    </xf>
    <xf numFmtId="1" fontId="3" fillId="3" borderId="23" xfId="0" applyNumberFormat="1" applyFont="1" applyFill="1" applyBorder="1" applyAlignment="1">
      <alignment horizontal="center" vertical="center"/>
    </xf>
    <xf numFmtId="164" fontId="3" fillId="3" borderId="24" xfId="1" applyFont="1" applyFill="1" applyBorder="1" applyAlignment="1">
      <alignment horizontal="center" vertical="center"/>
    </xf>
    <xf numFmtId="164" fontId="3" fillId="3" borderId="25" xfId="1" applyFont="1" applyFill="1" applyBorder="1" applyAlignment="1">
      <alignment horizontal="center" vertical="center"/>
    </xf>
    <xf numFmtId="166" fontId="7" fillId="4" borderId="22" xfId="0" applyNumberFormat="1" applyFont="1" applyFill="1" applyBorder="1" applyAlignment="1">
      <alignment horizontal="right" vertical="center"/>
    </xf>
    <xf numFmtId="0" fontId="7" fillId="4" borderId="22" xfId="0" applyFont="1" applyFill="1" applyBorder="1" applyAlignment="1">
      <alignment horizontal="right" vertical="center"/>
    </xf>
    <xf numFmtId="164" fontId="3" fillId="4" borderId="22" xfId="0" applyNumberFormat="1" applyFont="1" applyFill="1" applyBorder="1" applyAlignment="1">
      <alignment horizontal="right" vertical="center"/>
    </xf>
    <xf numFmtId="166" fontId="3" fillId="3" borderId="22" xfId="0" applyNumberFormat="1" applyFont="1" applyFill="1" applyBorder="1" applyAlignment="1">
      <alignment horizontal="center" vertical="center"/>
    </xf>
    <xf numFmtId="1" fontId="3" fillId="3" borderId="22" xfId="0" applyNumberFormat="1" applyFont="1" applyFill="1" applyBorder="1" applyAlignment="1">
      <alignment horizontal="center" vertical="center"/>
    </xf>
    <xf numFmtId="43" fontId="3" fillId="3" borderId="26" xfId="0" applyNumberFormat="1" applyFont="1" applyFill="1" applyBorder="1" applyAlignment="1">
      <alignment horizontal="right" vertical="center"/>
    </xf>
    <xf numFmtId="0" fontId="8" fillId="3" borderId="9" xfId="0" applyFont="1" applyFill="1" applyBorder="1" applyAlignment="1">
      <alignment vertical="center"/>
    </xf>
    <xf numFmtId="164" fontId="3" fillId="3" borderId="14" xfId="1" applyFont="1" applyFill="1" applyBorder="1" applyAlignment="1">
      <alignment horizontal="center" vertical="center"/>
    </xf>
    <xf numFmtId="166" fontId="3" fillId="4" borderId="9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" fontId="3" fillId="3" borderId="16" xfId="0" applyNumberFormat="1" applyFont="1" applyFill="1" applyBorder="1" applyAlignment="1">
      <alignment horizontal="center" vertical="center"/>
    </xf>
    <xf numFmtId="164" fontId="3" fillId="3" borderId="22" xfId="1" applyFont="1" applyFill="1" applyBorder="1" applyAlignment="1">
      <alignment horizontal="center" vertical="center"/>
    </xf>
    <xf numFmtId="164" fontId="10" fillId="3" borderId="16" xfId="0" applyNumberFormat="1" applyFont="1" applyFill="1" applyBorder="1" applyAlignment="1">
      <alignment horizontal="right" vertical="center"/>
    </xf>
    <xf numFmtId="0" fontId="3" fillId="3" borderId="14" xfId="0" applyFont="1" applyFill="1" applyBorder="1" applyAlignment="1">
      <alignment vertical="center"/>
    </xf>
    <xf numFmtId="0" fontId="8" fillId="3" borderId="16" xfId="0" applyFont="1" applyFill="1" applyBorder="1" applyAlignment="1">
      <alignment horizontal="left" vertical="center"/>
    </xf>
    <xf numFmtId="43" fontId="3" fillId="3" borderId="6" xfId="0" applyNumberFormat="1" applyFont="1" applyFill="1" applyBorder="1" applyAlignment="1">
      <alignment horizontal="right" vertical="center"/>
    </xf>
    <xf numFmtId="164" fontId="3" fillId="0" borderId="9" xfId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43" fontId="3" fillId="3" borderId="9" xfId="0" applyNumberFormat="1" applyFont="1" applyFill="1" applyBorder="1" applyAlignment="1">
      <alignment horizontal="right" vertical="center"/>
    </xf>
    <xf numFmtId="167" fontId="3" fillId="2" borderId="22" xfId="0" quotePrefix="1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vertical="center"/>
    </xf>
    <xf numFmtId="0" fontId="8" fillId="3" borderId="9" xfId="0" applyFont="1" applyFill="1" applyBorder="1" applyAlignment="1">
      <alignment horizontal="left" vertical="center"/>
    </xf>
    <xf numFmtId="43" fontId="3" fillId="3" borderId="22" xfId="0" applyNumberFormat="1" applyFont="1" applyFill="1" applyBorder="1" applyAlignment="1">
      <alignment horizontal="right" vertical="center"/>
    </xf>
    <xf numFmtId="0" fontId="11" fillId="3" borderId="9" xfId="0" applyFont="1" applyFill="1" applyBorder="1" applyAlignment="1">
      <alignment horizontal="left" vertical="center"/>
    </xf>
    <xf numFmtId="164" fontId="3" fillId="3" borderId="9" xfId="0" applyNumberFormat="1" applyFont="1" applyFill="1" applyBorder="1" applyAlignment="1">
      <alignment horizontal="center" vertical="center"/>
    </xf>
    <xf numFmtId="164" fontId="3" fillId="3" borderId="9" xfId="1" applyFont="1" applyFill="1" applyBorder="1" applyAlignment="1">
      <alignment horizontal="right" vertical="center"/>
    </xf>
    <xf numFmtId="49" fontId="12" fillId="0" borderId="9" xfId="0" applyNumberFormat="1" applyFont="1" applyBorder="1" applyAlignment="1">
      <alignment horizontal="left" vertical="center"/>
    </xf>
    <xf numFmtId="49" fontId="11" fillId="3" borderId="9" xfId="0" applyNumberFormat="1" applyFont="1" applyFill="1" applyBorder="1" applyAlignment="1">
      <alignment vertical="center"/>
    </xf>
    <xf numFmtId="49" fontId="3" fillId="0" borderId="9" xfId="0" applyNumberFormat="1" applyFont="1" applyBorder="1" applyAlignment="1">
      <alignment horizontal="left" vertical="center"/>
    </xf>
    <xf numFmtId="49" fontId="12" fillId="0" borderId="27" xfId="0" applyNumberFormat="1" applyFont="1" applyBorder="1" applyAlignment="1">
      <alignment horizontal="left" vertical="center"/>
    </xf>
    <xf numFmtId="49" fontId="11" fillId="3" borderId="26" xfId="0" applyNumberFormat="1" applyFont="1" applyFill="1" applyBorder="1" applyAlignment="1">
      <alignment vertical="center"/>
    </xf>
    <xf numFmtId="167" fontId="13" fillId="0" borderId="9" xfId="0" quotePrefix="1" applyNumberFormat="1" applyFont="1" applyBorder="1" applyAlignment="1">
      <alignment horizontal="center" vertical="center"/>
    </xf>
    <xf numFmtId="4" fontId="3" fillId="3" borderId="18" xfId="0" applyNumberFormat="1" applyFont="1" applyFill="1" applyBorder="1" applyAlignment="1">
      <alignment horizontal="right" vertical="center"/>
    </xf>
    <xf numFmtId="4" fontId="3" fillId="4" borderId="18" xfId="0" applyNumberFormat="1" applyFont="1" applyFill="1" applyBorder="1" applyAlignment="1">
      <alignment horizontal="right" vertical="center"/>
    </xf>
    <xf numFmtId="4" fontId="3" fillId="3" borderId="18" xfId="0" applyNumberFormat="1" applyFont="1" applyFill="1" applyBorder="1" applyAlignment="1">
      <alignment horizontal="center" vertical="center"/>
    </xf>
    <xf numFmtId="49" fontId="8" fillId="3" borderId="22" xfId="0" applyNumberFormat="1" applyFont="1" applyFill="1" applyBorder="1" applyAlignment="1">
      <alignment horizontal="left" vertical="center"/>
    </xf>
    <xf numFmtId="49" fontId="7" fillId="3" borderId="22" xfId="0" applyNumberFormat="1" applyFont="1" applyFill="1" applyBorder="1" applyAlignment="1">
      <alignment vertical="center"/>
    </xf>
    <xf numFmtId="164" fontId="3" fillId="3" borderId="26" xfId="0" applyNumberFormat="1" applyFont="1" applyFill="1" applyBorder="1" applyAlignment="1">
      <alignment horizontal="right" vertical="center"/>
    </xf>
    <xf numFmtId="49" fontId="7" fillId="3" borderId="9" xfId="0" applyNumberFormat="1" applyFont="1" applyFill="1" applyBorder="1" applyAlignment="1">
      <alignment vertical="center"/>
    </xf>
    <xf numFmtId="49" fontId="3" fillId="3" borderId="9" xfId="0" applyNumberFormat="1" applyFont="1" applyFill="1" applyBorder="1" applyAlignment="1">
      <alignment horizontal="center" vertical="center"/>
    </xf>
    <xf numFmtId="4" fontId="7" fillId="4" borderId="18" xfId="0" applyNumberFormat="1" applyFont="1" applyFill="1" applyBorder="1" applyAlignment="1">
      <alignment horizontal="right" vertical="center"/>
    </xf>
    <xf numFmtId="164" fontId="8" fillId="3" borderId="6" xfId="0" applyNumberFormat="1" applyFont="1" applyFill="1" applyBorder="1" applyAlignment="1">
      <alignment horizontal="left" vertical="center"/>
    </xf>
    <xf numFmtId="1" fontId="3" fillId="3" borderId="26" xfId="0" applyNumberFormat="1" applyFont="1" applyFill="1" applyBorder="1" applyAlignment="1">
      <alignment horizontal="center" vertical="center"/>
    </xf>
    <xf numFmtId="166" fontId="3" fillId="4" borderId="9" xfId="0" applyNumberFormat="1" applyFont="1" applyFill="1" applyBorder="1" applyAlignment="1">
      <alignment horizontal="center" vertical="center" shrinkToFit="1"/>
    </xf>
    <xf numFmtId="164" fontId="3" fillId="3" borderId="14" xfId="0" applyNumberFormat="1" applyFont="1" applyFill="1" applyBorder="1" applyAlignment="1">
      <alignment horizontal="right" vertical="center"/>
    </xf>
    <xf numFmtId="164" fontId="7" fillId="4" borderId="18" xfId="0" applyNumberFormat="1" applyFont="1" applyFill="1" applyBorder="1" applyAlignment="1">
      <alignment horizontal="right" vertical="center"/>
    </xf>
    <xf numFmtId="40" fontId="3" fillId="0" borderId="0" xfId="0" applyNumberFormat="1" applyFont="1" applyAlignment="1">
      <alignment vertical="center"/>
    </xf>
    <xf numFmtId="40" fontId="3" fillId="3" borderId="0" xfId="0" applyNumberFormat="1" applyFont="1" applyFill="1" applyAlignment="1">
      <alignment vertical="center"/>
    </xf>
    <xf numFmtId="166" fontId="3" fillId="4" borderId="0" xfId="0" applyNumberFormat="1" applyFont="1" applyFill="1" applyAlignment="1">
      <alignment vertical="center"/>
    </xf>
    <xf numFmtId="0" fontId="3" fillId="4" borderId="0" xfId="0" applyFont="1" applyFill="1" applyAlignment="1">
      <alignment vertical="center"/>
    </xf>
    <xf numFmtId="40" fontId="3" fillId="4" borderId="0" xfId="0" applyNumberFormat="1" applyFont="1" applyFill="1" applyAlignment="1">
      <alignment vertical="center"/>
    </xf>
    <xf numFmtId="166" fontId="3" fillId="3" borderId="0" xfId="0" applyNumberFormat="1" applyFont="1" applyFill="1" applyAlignment="1">
      <alignment horizontal="center" vertical="center"/>
    </xf>
    <xf numFmtId="43" fontId="3" fillId="3" borderId="0" xfId="0" applyNumberFormat="1" applyFont="1" applyFill="1" applyAlignment="1">
      <alignment vertical="center"/>
    </xf>
    <xf numFmtId="40" fontId="3" fillId="3" borderId="0" xfId="0" applyNumberFormat="1" applyFont="1" applyFill="1" applyAlignment="1">
      <alignment horizontal="right" vertical="center"/>
    </xf>
    <xf numFmtId="40" fontId="3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43" fontId="3" fillId="4" borderId="0" xfId="0" applyNumberFormat="1" applyFont="1" applyFill="1" applyAlignment="1">
      <alignment vertical="center"/>
    </xf>
    <xf numFmtId="166" fontId="3" fillId="0" borderId="0" xfId="0" applyNumberFormat="1" applyFont="1" applyAlignment="1">
      <alignment horizontal="center" vertical="center"/>
    </xf>
    <xf numFmtId="43" fontId="3" fillId="0" borderId="0" xfId="0" applyNumberFormat="1" applyFont="1" applyAlignment="1">
      <alignment vertical="center"/>
    </xf>
    <xf numFmtId="0" fontId="2" fillId="4" borderId="0" xfId="0" applyFont="1" applyFill="1"/>
    <xf numFmtId="0" fontId="3" fillId="3" borderId="8" xfId="0" applyFont="1" applyFill="1" applyBorder="1" applyAlignment="1">
      <alignment horizontal="center" vertical="center"/>
    </xf>
    <xf numFmtId="49" fontId="3" fillId="3" borderId="8" xfId="0" applyNumberFormat="1" applyFont="1" applyFill="1" applyBorder="1" applyAlignment="1">
      <alignment horizontal="center" vertical="center"/>
    </xf>
    <xf numFmtId="166" fontId="3" fillId="4" borderId="8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43" fontId="3" fillId="4" borderId="8" xfId="0" applyNumberFormat="1" applyFont="1" applyFill="1" applyBorder="1" applyAlignment="1">
      <alignment horizontal="center" vertical="center" wrapText="1"/>
    </xf>
    <xf numFmtId="4" fontId="3" fillId="3" borderId="20" xfId="0" applyNumberFormat="1" applyFont="1" applyFill="1" applyBorder="1" applyAlignment="1">
      <alignment horizontal="center" vertical="center"/>
    </xf>
    <xf numFmtId="49" fontId="3" fillId="3" borderId="10" xfId="0" applyNumberFormat="1" applyFont="1" applyFill="1" applyBorder="1" applyAlignment="1">
      <alignment horizontal="center" vertical="center"/>
    </xf>
    <xf numFmtId="49" fontId="3" fillId="3" borderId="22" xfId="0" applyNumberFormat="1" applyFont="1" applyFill="1" applyBorder="1" applyAlignment="1">
      <alignment vertical="center"/>
    </xf>
    <xf numFmtId="167" fontId="3" fillId="0" borderId="16" xfId="0" quotePrefix="1" applyNumberFormat="1" applyFont="1" applyBorder="1" applyAlignment="1">
      <alignment horizontal="center" vertical="center"/>
    </xf>
    <xf numFmtId="49" fontId="12" fillId="0" borderId="28" xfId="0" applyNumberFormat="1" applyFont="1" applyBorder="1" applyAlignment="1">
      <alignment horizontal="left" vertical="center"/>
    </xf>
    <xf numFmtId="166" fontId="3" fillId="3" borderId="16" xfId="0" applyNumberFormat="1" applyFont="1" applyFill="1" applyBorder="1" applyAlignment="1">
      <alignment horizontal="center" vertical="center"/>
    </xf>
    <xf numFmtId="167" fontId="3" fillId="0" borderId="22" xfId="0" quotePrefix="1" applyNumberFormat="1" applyFont="1" applyBorder="1" applyAlignment="1">
      <alignment horizontal="center" vertical="center"/>
    </xf>
    <xf numFmtId="40" fontId="3" fillId="0" borderId="29" xfId="0" applyNumberFormat="1" applyFont="1" applyBorder="1" applyAlignment="1">
      <alignment vertical="center"/>
    </xf>
    <xf numFmtId="49" fontId="12" fillId="0" borderId="13" xfId="0" applyNumberFormat="1" applyFont="1" applyBorder="1" applyAlignment="1">
      <alignment horizontal="left" vertical="center"/>
    </xf>
    <xf numFmtId="49" fontId="11" fillId="3" borderId="7" xfId="0" applyNumberFormat="1" applyFont="1" applyFill="1" applyBorder="1" applyAlignment="1">
      <alignment vertical="center"/>
    </xf>
    <xf numFmtId="0" fontId="8" fillId="3" borderId="22" xfId="0" applyFont="1" applyFill="1" applyBorder="1" applyAlignment="1">
      <alignment horizontal="left" vertical="center"/>
    </xf>
    <xf numFmtId="0" fontId="3" fillId="3" borderId="25" xfId="0" applyFont="1" applyFill="1" applyBorder="1" applyAlignment="1">
      <alignment horizontal="center" vertical="center"/>
    </xf>
    <xf numFmtId="49" fontId="3" fillId="3" borderId="25" xfId="0" applyNumberFormat="1" applyFont="1" applyFill="1" applyBorder="1" applyAlignment="1">
      <alignment horizontal="center" vertical="center"/>
    </xf>
    <xf numFmtId="166" fontId="3" fillId="3" borderId="25" xfId="0" applyNumberFormat="1" applyFont="1" applyFill="1" applyBorder="1" applyAlignment="1">
      <alignment horizontal="center" vertical="center"/>
    </xf>
    <xf numFmtId="1" fontId="3" fillId="3" borderId="25" xfId="0" applyNumberFormat="1" applyFont="1" applyFill="1" applyBorder="1" applyAlignment="1">
      <alignment horizontal="center" vertical="center"/>
    </xf>
    <xf numFmtId="164" fontId="6" fillId="3" borderId="25" xfId="0" applyNumberFormat="1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49" fontId="3" fillId="3" borderId="22" xfId="0" applyNumberFormat="1" applyFont="1" applyFill="1" applyBorder="1" applyAlignment="1">
      <alignment horizontal="center" vertical="center"/>
    </xf>
    <xf numFmtId="164" fontId="6" fillId="3" borderId="22" xfId="0" applyNumberFormat="1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49" fontId="3" fillId="3" borderId="16" xfId="0" applyNumberFormat="1" applyFont="1" applyFill="1" applyBorder="1" applyAlignment="1">
      <alignment horizontal="center" vertical="center"/>
    </xf>
    <xf numFmtId="164" fontId="6" fillId="3" borderId="16" xfId="0" applyNumberFormat="1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49" fontId="3" fillId="3" borderId="18" xfId="0" applyNumberFormat="1" applyFont="1" applyFill="1" applyBorder="1" applyAlignment="1">
      <alignment horizontal="center" vertical="center"/>
    </xf>
    <xf numFmtId="166" fontId="3" fillId="3" borderId="18" xfId="0" applyNumberFormat="1" applyFont="1" applyFill="1" applyBorder="1" applyAlignment="1">
      <alignment horizontal="center" vertical="center"/>
    </xf>
    <xf numFmtId="1" fontId="3" fillId="3" borderId="18" xfId="0" applyNumberFormat="1" applyFont="1" applyFill="1" applyBorder="1" applyAlignment="1">
      <alignment horizontal="center" vertical="center"/>
    </xf>
    <xf numFmtId="164" fontId="6" fillId="3" borderId="18" xfId="0" applyNumberFormat="1" applyFont="1" applyFill="1" applyBorder="1" applyAlignment="1">
      <alignment horizontal="center" vertical="center"/>
    </xf>
    <xf numFmtId="4" fontId="3" fillId="3" borderId="30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39" fontId="3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39" fontId="3" fillId="2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1" fontId="3" fillId="3" borderId="5" xfId="0" applyNumberFormat="1" applyFont="1" applyFill="1" applyBorder="1" applyAlignment="1">
      <alignment horizontal="center" vertical="center"/>
    </xf>
    <xf numFmtId="166" fontId="3" fillId="3" borderId="2" xfId="0" applyNumberFormat="1" applyFont="1" applyFill="1" applyBorder="1" applyAlignment="1">
      <alignment horizontal="center" vertical="center"/>
    </xf>
    <xf numFmtId="166" fontId="3" fillId="3" borderId="7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1" fontId="3" fillId="3" borderId="7" xfId="0" applyNumberFormat="1" applyFont="1" applyFill="1" applyBorder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40" fontId="3" fillId="3" borderId="0" xfId="0" applyNumberFormat="1" applyFont="1" applyFill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4" fontId="3" fillId="3" borderId="13" xfId="0" applyNumberFormat="1" applyFont="1" applyFill="1" applyBorder="1" applyAlignment="1">
      <alignment horizontal="center" vertical="center"/>
    </xf>
    <xf numFmtId="4" fontId="3" fillId="3" borderId="14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49" fontId="3" fillId="3" borderId="13" xfId="0" applyNumberFormat="1" applyFont="1" applyFill="1" applyBorder="1" applyAlignment="1">
      <alignment horizontal="left" vertical="center" wrapText="1"/>
    </xf>
    <xf numFmtId="49" fontId="3" fillId="3" borderId="14" xfId="0" applyNumberFormat="1" applyFont="1" applyFill="1" applyBorder="1" applyAlignment="1">
      <alignment horizontal="left" vertical="center" wrapText="1"/>
    </xf>
    <xf numFmtId="43" fontId="3" fillId="4" borderId="2" xfId="0" applyNumberFormat="1" applyFont="1" applyFill="1" applyBorder="1" applyAlignment="1">
      <alignment horizontal="center" vertical="center" wrapText="1"/>
    </xf>
    <xf numFmtId="43" fontId="3" fillId="4" borderId="7" xfId="0" applyNumberFormat="1" applyFont="1" applyFill="1" applyBorder="1" applyAlignment="1">
      <alignment horizontal="center" vertical="center" wrapText="1"/>
    </xf>
    <xf numFmtId="166" fontId="3" fillId="4" borderId="2" xfId="0" applyNumberFormat="1" applyFont="1" applyFill="1" applyBorder="1" applyAlignment="1">
      <alignment horizontal="center" vertical="center"/>
    </xf>
    <xf numFmtId="166" fontId="3" fillId="4" borderId="7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4" fontId="4" fillId="3" borderId="2" xfId="0" applyNumberFormat="1" applyFont="1" applyFill="1" applyBorder="1" applyAlignment="1">
      <alignment horizontal="center" vertical="center" wrapText="1"/>
    </xf>
    <xf numFmtId="4" fontId="4" fillId="3" borderId="6" xfId="0" applyNumberFormat="1" applyFont="1" applyFill="1" applyBorder="1" applyAlignment="1">
      <alignment horizontal="center" vertical="center" wrapText="1"/>
    </xf>
    <xf numFmtId="4" fontId="4" fillId="3" borderId="7" xfId="0" applyNumberFormat="1" applyFont="1" applyFill="1" applyBorder="1" applyAlignment="1">
      <alignment horizontal="center" vertical="center" wrapText="1"/>
    </xf>
    <xf numFmtId="43" fontId="3" fillId="4" borderId="3" xfId="0" applyNumberFormat="1" applyFont="1" applyFill="1" applyBorder="1" applyAlignment="1">
      <alignment horizontal="center" vertical="center"/>
    </xf>
    <xf numFmtId="43" fontId="3" fillId="4" borderId="4" xfId="0" applyNumberFormat="1" applyFont="1" applyFill="1" applyBorder="1" applyAlignment="1">
      <alignment horizontal="center" vertical="center"/>
    </xf>
    <xf numFmtId="43" fontId="3" fillId="4" borderId="5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4" fontId="3" fillId="3" borderId="29" xfId="0" applyNumberFormat="1" applyFont="1" applyFill="1" applyBorder="1" applyAlignment="1">
      <alignment horizontal="center" vertical="center"/>
    </xf>
    <xf numFmtId="4" fontId="3" fillId="3" borderId="20" xfId="0" applyNumberFormat="1" applyFont="1" applyFill="1" applyBorder="1" applyAlignment="1">
      <alignment horizontal="center" vertical="center"/>
    </xf>
  </cellXfs>
  <cellStyles count="2">
    <cellStyle name="Normal" xfId="0" builtinId="0"/>
    <cellStyle name="จุลภาค 3" xfId="1" xr:uid="{A5D7BAF3-7C8D-403E-B92C-7F42518CD3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E716A-6E61-4779-B752-AEDD36357600}">
  <sheetPr>
    <tabColor rgb="FF00B0F0"/>
  </sheetPr>
  <dimension ref="A1:R114"/>
  <sheetViews>
    <sheetView tabSelected="1" workbookViewId="0">
      <pane ySplit="6" topLeftCell="A51" activePane="bottomLeft" state="frozen"/>
      <selection pane="bottomLeft" activeCell="K55" sqref="K55"/>
    </sheetView>
  </sheetViews>
  <sheetFormatPr defaultColWidth="10.375" defaultRowHeight="14.4"/>
  <cols>
    <col min="1" max="1" width="10.375" style="1"/>
    <col min="2" max="2" width="33.25" style="1" customWidth="1"/>
    <col min="3" max="7" width="10.375" style="1"/>
    <col min="8" max="8" width="13.625" style="1" customWidth="1"/>
    <col min="9" max="9" width="10.375" style="1"/>
    <col min="10" max="10" width="14.375" style="1" customWidth="1"/>
    <col min="11" max="11" width="10.375" style="139"/>
    <col min="12" max="12" width="11.625" style="139" bestFit="1" customWidth="1"/>
    <col min="13" max="13" width="10.375" style="139"/>
    <col min="14" max="15" width="10.375" style="1"/>
    <col min="16" max="16" width="12.875" style="1" customWidth="1"/>
    <col min="17" max="17" width="10.375" style="1"/>
    <col min="18" max="18" width="13" style="1" customWidth="1"/>
    <col min="19" max="257" width="10.375" style="1"/>
    <col min="258" max="258" width="33.25" style="1" customWidth="1"/>
    <col min="259" max="263" width="10.375" style="1"/>
    <col min="264" max="264" width="13.625" style="1" customWidth="1"/>
    <col min="265" max="265" width="10.375" style="1"/>
    <col min="266" max="266" width="14.375" style="1" customWidth="1"/>
    <col min="267" max="267" width="10.375" style="1"/>
    <col min="268" max="268" width="11.625" style="1" bestFit="1" customWidth="1"/>
    <col min="269" max="271" width="10.375" style="1"/>
    <col min="272" max="272" width="12.875" style="1" customWidth="1"/>
    <col min="273" max="273" width="10.375" style="1"/>
    <col min="274" max="274" width="13" style="1" customWidth="1"/>
    <col min="275" max="513" width="10.375" style="1"/>
    <col min="514" max="514" width="33.25" style="1" customWidth="1"/>
    <col min="515" max="519" width="10.375" style="1"/>
    <col min="520" max="520" width="13.625" style="1" customWidth="1"/>
    <col min="521" max="521" width="10.375" style="1"/>
    <col min="522" max="522" width="14.375" style="1" customWidth="1"/>
    <col min="523" max="523" width="10.375" style="1"/>
    <col min="524" max="524" width="11.625" style="1" bestFit="1" customWidth="1"/>
    <col min="525" max="527" width="10.375" style="1"/>
    <col min="528" max="528" width="12.875" style="1" customWidth="1"/>
    <col min="529" max="529" width="10.375" style="1"/>
    <col min="530" max="530" width="13" style="1" customWidth="1"/>
    <col min="531" max="769" width="10.375" style="1"/>
    <col min="770" max="770" width="33.25" style="1" customWidth="1"/>
    <col min="771" max="775" width="10.375" style="1"/>
    <col min="776" max="776" width="13.625" style="1" customWidth="1"/>
    <col min="777" max="777" width="10.375" style="1"/>
    <col min="778" max="778" width="14.375" style="1" customWidth="1"/>
    <col min="779" max="779" width="10.375" style="1"/>
    <col min="780" max="780" width="11.625" style="1" bestFit="1" customWidth="1"/>
    <col min="781" max="783" width="10.375" style="1"/>
    <col min="784" max="784" width="12.875" style="1" customWidth="1"/>
    <col min="785" max="785" width="10.375" style="1"/>
    <col min="786" max="786" width="13" style="1" customWidth="1"/>
    <col min="787" max="1025" width="10.375" style="1"/>
    <col min="1026" max="1026" width="33.25" style="1" customWidth="1"/>
    <col min="1027" max="1031" width="10.375" style="1"/>
    <col min="1032" max="1032" width="13.625" style="1" customWidth="1"/>
    <col min="1033" max="1033" width="10.375" style="1"/>
    <col min="1034" max="1034" width="14.375" style="1" customWidth="1"/>
    <col min="1035" max="1035" width="10.375" style="1"/>
    <col min="1036" max="1036" width="11.625" style="1" bestFit="1" customWidth="1"/>
    <col min="1037" max="1039" width="10.375" style="1"/>
    <col min="1040" max="1040" width="12.875" style="1" customWidth="1"/>
    <col min="1041" max="1041" width="10.375" style="1"/>
    <col min="1042" max="1042" width="13" style="1" customWidth="1"/>
    <col min="1043" max="1281" width="10.375" style="1"/>
    <col min="1282" max="1282" width="33.25" style="1" customWidth="1"/>
    <col min="1283" max="1287" width="10.375" style="1"/>
    <col min="1288" max="1288" width="13.625" style="1" customWidth="1"/>
    <col min="1289" max="1289" width="10.375" style="1"/>
    <col min="1290" max="1290" width="14.375" style="1" customWidth="1"/>
    <col min="1291" max="1291" width="10.375" style="1"/>
    <col min="1292" max="1292" width="11.625" style="1" bestFit="1" customWidth="1"/>
    <col min="1293" max="1295" width="10.375" style="1"/>
    <col min="1296" max="1296" width="12.875" style="1" customWidth="1"/>
    <col min="1297" max="1297" width="10.375" style="1"/>
    <col min="1298" max="1298" width="13" style="1" customWidth="1"/>
    <col min="1299" max="1537" width="10.375" style="1"/>
    <col min="1538" max="1538" width="33.25" style="1" customWidth="1"/>
    <col min="1539" max="1543" width="10.375" style="1"/>
    <col min="1544" max="1544" width="13.625" style="1" customWidth="1"/>
    <col min="1545" max="1545" width="10.375" style="1"/>
    <col min="1546" max="1546" width="14.375" style="1" customWidth="1"/>
    <col min="1547" max="1547" width="10.375" style="1"/>
    <col min="1548" max="1548" width="11.625" style="1" bestFit="1" customWidth="1"/>
    <col min="1549" max="1551" width="10.375" style="1"/>
    <col min="1552" max="1552" width="12.875" style="1" customWidth="1"/>
    <col min="1553" max="1553" width="10.375" style="1"/>
    <col min="1554" max="1554" width="13" style="1" customWidth="1"/>
    <col min="1555" max="1793" width="10.375" style="1"/>
    <col min="1794" max="1794" width="33.25" style="1" customWidth="1"/>
    <col min="1795" max="1799" width="10.375" style="1"/>
    <col min="1800" max="1800" width="13.625" style="1" customWidth="1"/>
    <col min="1801" max="1801" width="10.375" style="1"/>
    <col min="1802" max="1802" width="14.375" style="1" customWidth="1"/>
    <col min="1803" max="1803" width="10.375" style="1"/>
    <col min="1804" max="1804" width="11.625" style="1" bestFit="1" customWidth="1"/>
    <col min="1805" max="1807" width="10.375" style="1"/>
    <col min="1808" max="1808" width="12.875" style="1" customWidth="1"/>
    <col min="1809" max="1809" width="10.375" style="1"/>
    <col min="1810" max="1810" width="13" style="1" customWidth="1"/>
    <col min="1811" max="2049" width="10.375" style="1"/>
    <col min="2050" max="2050" width="33.25" style="1" customWidth="1"/>
    <col min="2051" max="2055" width="10.375" style="1"/>
    <col min="2056" max="2056" width="13.625" style="1" customWidth="1"/>
    <col min="2057" max="2057" width="10.375" style="1"/>
    <col min="2058" max="2058" width="14.375" style="1" customWidth="1"/>
    <col min="2059" max="2059" width="10.375" style="1"/>
    <col min="2060" max="2060" width="11.625" style="1" bestFit="1" customWidth="1"/>
    <col min="2061" max="2063" width="10.375" style="1"/>
    <col min="2064" max="2064" width="12.875" style="1" customWidth="1"/>
    <col min="2065" max="2065" width="10.375" style="1"/>
    <col min="2066" max="2066" width="13" style="1" customWidth="1"/>
    <col min="2067" max="2305" width="10.375" style="1"/>
    <col min="2306" max="2306" width="33.25" style="1" customWidth="1"/>
    <col min="2307" max="2311" width="10.375" style="1"/>
    <col min="2312" max="2312" width="13.625" style="1" customWidth="1"/>
    <col min="2313" max="2313" width="10.375" style="1"/>
    <col min="2314" max="2314" width="14.375" style="1" customWidth="1"/>
    <col min="2315" max="2315" width="10.375" style="1"/>
    <col min="2316" max="2316" width="11.625" style="1" bestFit="1" customWidth="1"/>
    <col min="2317" max="2319" width="10.375" style="1"/>
    <col min="2320" max="2320" width="12.875" style="1" customWidth="1"/>
    <col min="2321" max="2321" width="10.375" style="1"/>
    <col min="2322" max="2322" width="13" style="1" customWidth="1"/>
    <col min="2323" max="2561" width="10.375" style="1"/>
    <col min="2562" max="2562" width="33.25" style="1" customWidth="1"/>
    <col min="2563" max="2567" width="10.375" style="1"/>
    <col min="2568" max="2568" width="13.625" style="1" customWidth="1"/>
    <col min="2569" max="2569" width="10.375" style="1"/>
    <col min="2570" max="2570" width="14.375" style="1" customWidth="1"/>
    <col min="2571" max="2571" width="10.375" style="1"/>
    <col min="2572" max="2572" width="11.625" style="1" bestFit="1" customWidth="1"/>
    <col min="2573" max="2575" width="10.375" style="1"/>
    <col min="2576" max="2576" width="12.875" style="1" customWidth="1"/>
    <col min="2577" max="2577" width="10.375" style="1"/>
    <col min="2578" max="2578" width="13" style="1" customWidth="1"/>
    <col min="2579" max="2817" width="10.375" style="1"/>
    <col min="2818" max="2818" width="33.25" style="1" customWidth="1"/>
    <col min="2819" max="2823" width="10.375" style="1"/>
    <col min="2824" max="2824" width="13.625" style="1" customWidth="1"/>
    <col min="2825" max="2825" width="10.375" style="1"/>
    <col min="2826" max="2826" width="14.375" style="1" customWidth="1"/>
    <col min="2827" max="2827" width="10.375" style="1"/>
    <col min="2828" max="2828" width="11.625" style="1" bestFit="1" customWidth="1"/>
    <col min="2829" max="2831" width="10.375" style="1"/>
    <col min="2832" max="2832" width="12.875" style="1" customWidth="1"/>
    <col min="2833" max="2833" width="10.375" style="1"/>
    <col min="2834" max="2834" width="13" style="1" customWidth="1"/>
    <col min="2835" max="3073" width="10.375" style="1"/>
    <col min="3074" max="3074" width="33.25" style="1" customWidth="1"/>
    <col min="3075" max="3079" width="10.375" style="1"/>
    <col min="3080" max="3080" width="13.625" style="1" customWidth="1"/>
    <col min="3081" max="3081" width="10.375" style="1"/>
    <col min="3082" max="3082" width="14.375" style="1" customWidth="1"/>
    <col min="3083" max="3083" width="10.375" style="1"/>
    <col min="3084" max="3084" width="11.625" style="1" bestFit="1" customWidth="1"/>
    <col min="3085" max="3087" width="10.375" style="1"/>
    <col min="3088" max="3088" width="12.875" style="1" customWidth="1"/>
    <col min="3089" max="3089" width="10.375" style="1"/>
    <col min="3090" max="3090" width="13" style="1" customWidth="1"/>
    <col min="3091" max="3329" width="10.375" style="1"/>
    <col min="3330" max="3330" width="33.25" style="1" customWidth="1"/>
    <col min="3331" max="3335" width="10.375" style="1"/>
    <col min="3336" max="3336" width="13.625" style="1" customWidth="1"/>
    <col min="3337" max="3337" width="10.375" style="1"/>
    <col min="3338" max="3338" width="14.375" style="1" customWidth="1"/>
    <col min="3339" max="3339" width="10.375" style="1"/>
    <col min="3340" max="3340" width="11.625" style="1" bestFit="1" customWidth="1"/>
    <col min="3341" max="3343" width="10.375" style="1"/>
    <col min="3344" max="3344" width="12.875" style="1" customWidth="1"/>
    <col min="3345" max="3345" width="10.375" style="1"/>
    <col min="3346" max="3346" width="13" style="1" customWidth="1"/>
    <col min="3347" max="3585" width="10.375" style="1"/>
    <col min="3586" max="3586" width="33.25" style="1" customWidth="1"/>
    <col min="3587" max="3591" width="10.375" style="1"/>
    <col min="3592" max="3592" width="13.625" style="1" customWidth="1"/>
    <col min="3593" max="3593" width="10.375" style="1"/>
    <col min="3594" max="3594" width="14.375" style="1" customWidth="1"/>
    <col min="3595" max="3595" width="10.375" style="1"/>
    <col min="3596" max="3596" width="11.625" style="1" bestFit="1" customWidth="1"/>
    <col min="3597" max="3599" width="10.375" style="1"/>
    <col min="3600" max="3600" width="12.875" style="1" customWidth="1"/>
    <col min="3601" max="3601" width="10.375" style="1"/>
    <col min="3602" max="3602" width="13" style="1" customWidth="1"/>
    <col min="3603" max="3841" width="10.375" style="1"/>
    <col min="3842" max="3842" width="33.25" style="1" customWidth="1"/>
    <col min="3843" max="3847" width="10.375" style="1"/>
    <col min="3848" max="3848" width="13.625" style="1" customWidth="1"/>
    <col min="3849" max="3849" width="10.375" style="1"/>
    <col min="3850" max="3850" width="14.375" style="1" customWidth="1"/>
    <col min="3851" max="3851" width="10.375" style="1"/>
    <col min="3852" max="3852" width="11.625" style="1" bestFit="1" customWidth="1"/>
    <col min="3853" max="3855" width="10.375" style="1"/>
    <col min="3856" max="3856" width="12.875" style="1" customWidth="1"/>
    <col min="3857" max="3857" width="10.375" style="1"/>
    <col min="3858" max="3858" width="13" style="1" customWidth="1"/>
    <col min="3859" max="4097" width="10.375" style="1"/>
    <col min="4098" max="4098" width="33.25" style="1" customWidth="1"/>
    <col min="4099" max="4103" width="10.375" style="1"/>
    <col min="4104" max="4104" width="13.625" style="1" customWidth="1"/>
    <col min="4105" max="4105" width="10.375" style="1"/>
    <col min="4106" max="4106" width="14.375" style="1" customWidth="1"/>
    <col min="4107" max="4107" width="10.375" style="1"/>
    <col min="4108" max="4108" width="11.625" style="1" bestFit="1" customWidth="1"/>
    <col min="4109" max="4111" width="10.375" style="1"/>
    <col min="4112" max="4112" width="12.875" style="1" customWidth="1"/>
    <col min="4113" max="4113" width="10.375" style="1"/>
    <col min="4114" max="4114" width="13" style="1" customWidth="1"/>
    <col min="4115" max="4353" width="10.375" style="1"/>
    <col min="4354" max="4354" width="33.25" style="1" customWidth="1"/>
    <col min="4355" max="4359" width="10.375" style="1"/>
    <col min="4360" max="4360" width="13.625" style="1" customWidth="1"/>
    <col min="4361" max="4361" width="10.375" style="1"/>
    <col min="4362" max="4362" width="14.375" style="1" customWidth="1"/>
    <col min="4363" max="4363" width="10.375" style="1"/>
    <col min="4364" max="4364" width="11.625" style="1" bestFit="1" customWidth="1"/>
    <col min="4365" max="4367" width="10.375" style="1"/>
    <col min="4368" max="4368" width="12.875" style="1" customWidth="1"/>
    <col min="4369" max="4369" width="10.375" style="1"/>
    <col min="4370" max="4370" width="13" style="1" customWidth="1"/>
    <col min="4371" max="4609" width="10.375" style="1"/>
    <col min="4610" max="4610" width="33.25" style="1" customWidth="1"/>
    <col min="4611" max="4615" width="10.375" style="1"/>
    <col min="4616" max="4616" width="13.625" style="1" customWidth="1"/>
    <col min="4617" max="4617" width="10.375" style="1"/>
    <col min="4618" max="4618" width="14.375" style="1" customWidth="1"/>
    <col min="4619" max="4619" width="10.375" style="1"/>
    <col min="4620" max="4620" width="11.625" style="1" bestFit="1" customWidth="1"/>
    <col min="4621" max="4623" width="10.375" style="1"/>
    <col min="4624" max="4624" width="12.875" style="1" customWidth="1"/>
    <col min="4625" max="4625" width="10.375" style="1"/>
    <col min="4626" max="4626" width="13" style="1" customWidth="1"/>
    <col min="4627" max="4865" width="10.375" style="1"/>
    <col min="4866" max="4866" width="33.25" style="1" customWidth="1"/>
    <col min="4867" max="4871" width="10.375" style="1"/>
    <col min="4872" max="4872" width="13.625" style="1" customWidth="1"/>
    <col min="4873" max="4873" width="10.375" style="1"/>
    <col min="4874" max="4874" width="14.375" style="1" customWidth="1"/>
    <col min="4875" max="4875" width="10.375" style="1"/>
    <col min="4876" max="4876" width="11.625" style="1" bestFit="1" customWidth="1"/>
    <col min="4877" max="4879" width="10.375" style="1"/>
    <col min="4880" max="4880" width="12.875" style="1" customWidth="1"/>
    <col min="4881" max="4881" width="10.375" style="1"/>
    <col min="4882" max="4882" width="13" style="1" customWidth="1"/>
    <col min="4883" max="5121" width="10.375" style="1"/>
    <col min="5122" max="5122" width="33.25" style="1" customWidth="1"/>
    <col min="5123" max="5127" width="10.375" style="1"/>
    <col min="5128" max="5128" width="13.625" style="1" customWidth="1"/>
    <col min="5129" max="5129" width="10.375" style="1"/>
    <col min="5130" max="5130" width="14.375" style="1" customWidth="1"/>
    <col min="5131" max="5131" width="10.375" style="1"/>
    <col min="5132" max="5132" width="11.625" style="1" bestFit="1" customWidth="1"/>
    <col min="5133" max="5135" width="10.375" style="1"/>
    <col min="5136" max="5136" width="12.875" style="1" customWidth="1"/>
    <col min="5137" max="5137" width="10.375" style="1"/>
    <col min="5138" max="5138" width="13" style="1" customWidth="1"/>
    <col min="5139" max="5377" width="10.375" style="1"/>
    <col min="5378" max="5378" width="33.25" style="1" customWidth="1"/>
    <col min="5379" max="5383" width="10.375" style="1"/>
    <col min="5384" max="5384" width="13.625" style="1" customWidth="1"/>
    <col min="5385" max="5385" width="10.375" style="1"/>
    <col min="5386" max="5386" width="14.375" style="1" customWidth="1"/>
    <col min="5387" max="5387" width="10.375" style="1"/>
    <col min="5388" max="5388" width="11.625" style="1" bestFit="1" customWidth="1"/>
    <col min="5389" max="5391" width="10.375" style="1"/>
    <col min="5392" max="5392" width="12.875" style="1" customWidth="1"/>
    <col min="5393" max="5393" width="10.375" style="1"/>
    <col min="5394" max="5394" width="13" style="1" customWidth="1"/>
    <col min="5395" max="5633" width="10.375" style="1"/>
    <col min="5634" max="5634" width="33.25" style="1" customWidth="1"/>
    <col min="5635" max="5639" width="10.375" style="1"/>
    <col min="5640" max="5640" width="13.625" style="1" customWidth="1"/>
    <col min="5641" max="5641" width="10.375" style="1"/>
    <col min="5642" max="5642" width="14.375" style="1" customWidth="1"/>
    <col min="5643" max="5643" width="10.375" style="1"/>
    <col min="5644" max="5644" width="11.625" style="1" bestFit="1" customWidth="1"/>
    <col min="5645" max="5647" width="10.375" style="1"/>
    <col min="5648" max="5648" width="12.875" style="1" customWidth="1"/>
    <col min="5649" max="5649" width="10.375" style="1"/>
    <col min="5650" max="5650" width="13" style="1" customWidth="1"/>
    <col min="5651" max="5889" width="10.375" style="1"/>
    <col min="5890" max="5890" width="33.25" style="1" customWidth="1"/>
    <col min="5891" max="5895" width="10.375" style="1"/>
    <col min="5896" max="5896" width="13.625" style="1" customWidth="1"/>
    <col min="5897" max="5897" width="10.375" style="1"/>
    <col min="5898" max="5898" width="14.375" style="1" customWidth="1"/>
    <col min="5899" max="5899" width="10.375" style="1"/>
    <col min="5900" max="5900" width="11.625" style="1" bestFit="1" customWidth="1"/>
    <col min="5901" max="5903" width="10.375" style="1"/>
    <col min="5904" max="5904" width="12.875" style="1" customWidth="1"/>
    <col min="5905" max="5905" width="10.375" style="1"/>
    <col min="5906" max="5906" width="13" style="1" customWidth="1"/>
    <col min="5907" max="6145" width="10.375" style="1"/>
    <col min="6146" max="6146" width="33.25" style="1" customWidth="1"/>
    <col min="6147" max="6151" width="10.375" style="1"/>
    <col min="6152" max="6152" width="13.625" style="1" customWidth="1"/>
    <col min="6153" max="6153" width="10.375" style="1"/>
    <col min="6154" max="6154" width="14.375" style="1" customWidth="1"/>
    <col min="6155" max="6155" width="10.375" style="1"/>
    <col min="6156" max="6156" width="11.625" style="1" bestFit="1" customWidth="1"/>
    <col min="6157" max="6159" width="10.375" style="1"/>
    <col min="6160" max="6160" width="12.875" style="1" customWidth="1"/>
    <col min="6161" max="6161" width="10.375" style="1"/>
    <col min="6162" max="6162" width="13" style="1" customWidth="1"/>
    <col min="6163" max="6401" width="10.375" style="1"/>
    <col min="6402" max="6402" width="33.25" style="1" customWidth="1"/>
    <col min="6403" max="6407" width="10.375" style="1"/>
    <col min="6408" max="6408" width="13.625" style="1" customWidth="1"/>
    <col min="6409" max="6409" width="10.375" style="1"/>
    <col min="6410" max="6410" width="14.375" style="1" customWidth="1"/>
    <col min="6411" max="6411" width="10.375" style="1"/>
    <col min="6412" max="6412" width="11.625" style="1" bestFit="1" customWidth="1"/>
    <col min="6413" max="6415" width="10.375" style="1"/>
    <col min="6416" max="6416" width="12.875" style="1" customWidth="1"/>
    <col min="6417" max="6417" width="10.375" style="1"/>
    <col min="6418" max="6418" width="13" style="1" customWidth="1"/>
    <col min="6419" max="6657" width="10.375" style="1"/>
    <col min="6658" max="6658" width="33.25" style="1" customWidth="1"/>
    <col min="6659" max="6663" width="10.375" style="1"/>
    <col min="6664" max="6664" width="13.625" style="1" customWidth="1"/>
    <col min="6665" max="6665" width="10.375" style="1"/>
    <col min="6666" max="6666" width="14.375" style="1" customWidth="1"/>
    <col min="6667" max="6667" width="10.375" style="1"/>
    <col min="6668" max="6668" width="11.625" style="1" bestFit="1" customWidth="1"/>
    <col min="6669" max="6671" width="10.375" style="1"/>
    <col min="6672" max="6672" width="12.875" style="1" customWidth="1"/>
    <col min="6673" max="6673" width="10.375" style="1"/>
    <col min="6674" max="6674" width="13" style="1" customWidth="1"/>
    <col min="6675" max="6913" width="10.375" style="1"/>
    <col min="6914" max="6914" width="33.25" style="1" customWidth="1"/>
    <col min="6915" max="6919" width="10.375" style="1"/>
    <col min="6920" max="6920" width="13.625" style="1" customWidth="1"/>
    <col min="6921" max="6921" width="10.375" style="1"/>
    <col min="6922" max="6922" width="14.375" style="1" customWidth="1"/>
    <col min="6923" max="6923" width="10.375" style="1"/>
    <col min="6924" max="6924" width="11.625" style="1" bestFit="1" customWidth="1"/>
    <col min="6925" max="6927" width="10.375" style="1"/>
    <col min="6928" max="6928" width="12.875" style="1" customWidth="1"/>
    <col min="6929" max="6929" width="10.375" style="1"/>
    <col min="6930" max="6930" width="13" style="1" customWidth="1"/>
    <col min="6931" max="7169" width="10.375" style="1"/>
    <col min="7170" max="7170" width="33.25" style="1" customWidth="1"/>
    <col min="7171" max="7175" width="10.375" style="1"/>
    <col min="7176" max="7176" width="13.625" style="1" customWidth="1"/>
    <col min="7177" max="7177" width="10.375" style="1"/>
    <col min="7178" max="7178" width="14.375" style="1" customWidth="1"/>
    <col min="7179" max="7179" width="10.375" style="1"/>
    <col min="7180" max="7180" width="11.625" style="1" bestFit="1" customWidth="1"/>
    <col min="7181" max="7183" width="10.375" style="1"/>
    <col min="7184" max="7184" width="12.875" style="1" customWidth="1"/>
    <col min="7185" max="7185" width="10.375" style="1"/>
    <col min="7186" max="7186" width="13" style="1" customWidth="1"/>
    <col min="7187" max="7425" width="10.375" style="1"/>
    <col min="7426" max="7426" width="33.25" style="1" customWidth="1"/>
    <col min="7427" max="7431" width="10.375" style="1"/>
    <col min="7432" max="7432" width="13.625" style="1" customWidth="1"/>
    <col min="7433" max="7433" width="10.375" style="1"/>
    <col min="7434" max="7434" width="14.375" style="1" customWidth="1"/>
    <col min="7435" max="7435" width="10.375" style="1"/>
    <col min="7436" max="7436" width="11.625" style="1" bestFit="1" customWidth="1"/>
    <col min="7437" max="7439" width="10.375" style="1"/>
    <col min="7440" max="7440" width="12.875" style="1" customWidth="1"/>
    <col min="7441" max="7441" width="10.375" style="1"/>
    <col min="7442" max="7442" width="13" style="1" customWidth="1"/>
    <col min="7443" max="7681" width="10.375" style="1"/>
    <col min="7682" max="7682" width="33.25" style="1" customWidth="1"/>
    <col min="7683" max="7687" width="10.375" style="1"/>
    <col min="7688" max="7688" width="13.625" style="1" customWidth="1"/>
    <col min="7689" max="7689" width="10.375" style="1"/>
    <col min="7690" max="7690" width="14.375" style="1" customWidth="1"/>
    <col min="7691" max="7691" width="10.375" style="1"/>
    <col min="7692" max="7692" width="11.625" style="1" bestFit="1" customWidth="1"/>
    <col min="7693" max="7695" width="10.375" style="1"/>
    <col min="7696" max="7696" width="12.875" style="1" customWidth="1"/>
    <col min="7697" max="7697" width="10.375" style="1"/>
    <col min="7698" max="7698" width="13" style="1" customWidth="1"/>
    <col min="7699" max="7937" width="10.375" style="1"/>
    <col min="7938" max="7938" width="33.25" style="1" customWidth="1"/>
    <col min="7939" max="7943" width="10.375" style="1"/>
    <col min="7944" max="7944" width="13.625" style="1" customWidth="1"/>
    <col min="7945" max="7945" width="10.375" style="1"/>
    <col min="7946" max="7946" width="14.375" style="1" customWidth="1"/>
    <col min="7947" max="7947" width="10.375" style="1"/>
    <col min="7948" max="7948" width="11.625" style="1" bestFit="1" customWidth="1"/>
    <col min="7949" max="7951" width="10.375" style="1"/>
    <col min="7952" max="7952" width="12.875" style="1" customWidth="1"/>
    <col min="7953" max="7953" width="10.375" style="1"/>
    <col min="7954" max="7954" width="13" style="1" customWidth="1"/>
    <col min="7955" max="8193" width="10.375" style="1"/>
    <col min="8194" max="8194" width="33.25" style="1" customWidth="1"/>
    <col min="8195" max="8199" width="10.375" style="1"/>
    <col min="8200" max="8200" width="13.625" style="1" customWidth="1"/>
    <col min="8201" max="8201" width="10.375" style="1"/>
    <col min="8202" max="8202" width="14.375" style="1" customWidth="1"/>
    <col min="8203" max="8203" width="10.375" style="1"/>
    <col min="8204" max="8204" width="11.625" style="1" bestFit="1" customWidth="1"/>
    <col min="8205" max="8207" width="10.375" style="1"/>
    <col min="8208" max="8208" width="12.875" style="1" customWidth="1"/>
    <col min="8209" max="8209" width="10.375" style="1"/>
    <col min="8210" max="8210" width="13" style="1" customWidth="1"/>
    <col min="8211" max="8449" width="10.375" style="1"/>
    <col min="8450" max="8450" width="33.25" style="1" customWidth="1"/>
    <col min="8451" max="8455" width="10.375" style="1"/>
    <col min="8456" max="8456" width="13.625" style="1" customWidth="1"/>
    <col min="8457" max="8457" width="10.375" style="1"/>
    <col min="8458" max="8458" width="14.375" style="1" customWidth="1"/>
    <col min="8459" max="8459" width="10.375" style="1"/>
    <col min="8460" max="8460" width="11.625" style="1" bestFit="1" customWidth="1"/>
    <col min="8461" max="8463" width="10.375" style="1"/>
    <col min="8464" max="8464" width="12.875" style="1" customWidth="1"/>
    <col min="8465" max="8465" width="10.375" style="1"/>
    <col min="8466" max="8466" width="13" style="1" customWidth="1"/>
    <col min="8467" max="8705" width="10.375" style="1"/>
    <col min="8706" max="8706" width="33.25" style="1" customWidth="1"/>
    <col min="8707" max="8711" width="10.375" style="1"/>
    <col min="8712" max="8712" width="13.625" style="1" customWidth="1"/>
    <col min="8713" max="8713" width="10.375" style="1"/>
    <col min="8714" max="8714" width="14.375" style="1" customWidth="1"/>
    <col min="8715" max="8715" width="10.375" style="1"/>
    <col min="8716" max="8716" width="11.625" style="1" bestFit="1" customWidth="1"/>
    <col min="8717" max="8719" width="10.375" style="1"/>
    <col min="8720" max="8720" width="12.875" style="1" customWidth="1"/>
    <col min="8721" max="8721" width="10.375" style="1"/>
    <col min="8722" max="8722" width="13" style="1" customWidth="1"/>
    <col min="8723" max="8961" width="10.375" style="1"/>
    <col min="8962" max="8962" width="33.25" style="1" customWidth="1"/>
    <col min="8963" max="8967" width="10.375" style="1"/>
    <col min="8968" max="8968" width="13.625" style="1" customWidth="1"/>
    <col min="8969" max="8969" width="10.375" style="1"/>
    <col min="8970" max="8970" width="14.375" style="1" customWidth="1"/>
    <col min="8971" max="8971" width="10.375" style="1"/>
    <col min="8972" max="8972" width="11.625" style="1" bestFit="1" customWidth="1"/>
    <col min="8973" max="8975" width="10.375" style="1"/>
    <col min="8976" max="8976" width="12.875" style="1" customWidth="1"/>
    <col min="8977" max="8977" width="10.375" style="1"/>
    <col min="8978" max="8978" width="13" style="1" customWidth="1"/>
    <col min="8979" max="9217" width="10.375" style="1"/>
    <col min="9218" max="9218" width="33.25" style="1" customWidth="1"/>
    <col min="9219" max="9223" width="10.375" style="1"/>
    <col min="9224" max="9224" width="13.625" style="1" customWidth="1"/>
    <col min="9225" max="9225" width="10.375" style="1"/>
    <col min="9226" max="9226" width="14.375" style="1" customWidth="1"/>
    <col min="9227" max="9227" width="10.375" style="1"/>
    <col min="9228" max="9228" width="11.625" style="1" bestFit="1" customWidth="1"/>
    <col min="9229" max="9231" width="10.375" style="1"/>
    <col min="9232" max="9232" width="12.875" style="1" customWidth="1"/>
    <col min="9233" max="9233" width="10.375" style="1"/>
    <col min="9234" max="9234" width="13" style="1" customWidth="1"/>
    <col min="9235" max="9473" width="10.375" style="1"/>
    <col min="9474" max="9474" width="33.25" style="1" customWidth="1"/>
    <col min="9475" max="9479" width="10.375" style="1"/>
    <col min="9480" max="9480" width="13.625" style="1" customWidth="1"/>
    <col min="9481" max="9481" width="10.375" style="1"/>
    <col min="9482" max="9482" width="14.375" style="1" customWidth="1"/>
    <col min="9483" max="9483" width="10.375" style="1"/>
    <col min="9484" max="9484" width="11.625" style="1" bestFit="1" customWidth="1"/>
    <col min="9485" max="9487" width="10.375" style="1"/>
    <col min="9488" max="9488" width="12.875" style="1" customWidth="1"/>
    <col min="9489" max="9489" width="10.375" style="1"/>
    <col min="9490" max="9490" width="13" style="1" customWidth="1"/>
    <col min="9491" max="9729" width="10.375" style="1"/>
    <col min="9730" max="9730" width="33.25" style="1" customWidth="1"/>
    <col min="9731" max="9735" width="10.375" style="1"/>
    <col min="9736" max="9736" width="13.625" style="1" customWidth="1"/>
    <col min="9737" max="9737" width="10.375" style="1"/>
    <col min="9738" max="9738" width="14.375" style="1" customWidth="1"/>
    <col min="9739" max="9739" width="10.375" style="1"/>
    <col min="9740" max="9740" width="11.625" style="1" bestFit="1" customWidth="1"/>
    <col min="9741" max="9743" width="10.375" style="1"/>
    <col min="9744" max="9744" width="12.875" style="1" customWidth="1"/>
    <col min="9745" max="9745" width="10.375" style="1"/>
    <col min="9746" max="9746" width="13" style="1" customWidth="1"/>
    <col min="9747" max="9985" width="10.375" style="1"/>
    <col min="9986" max="9986" width="33.25" style="1" customWidth="1"/>
    <col min="9987" max="9991" width="10.375" style="1"/>
    <col min="9992" max="9992" width="13.625" style="1" customWidth="1"/>
    <col min="9993" max="9993" width="10.375" style="1"/>
    <col min="9994" max="9994" width="14.375" style="1" customWidth="1"/>
    <col min="9995" max="9995" width="10.375" style="1"/>
    <col min="9996" max="9996" width="11.625" style="1" bestFit="1" customWidth="1"/>
    <col min="9997" max="9999" width="10.375" style="1"/>
    <col min="10000" max="10000" width="12.875" style="1" customWidth="1"/>
    <col min="10001" max="10001" width="10.375" style="1"/>
    <col min="10002" max="10002" width="13" style="1" customWidth="1"/>
    <col min="10003" max="10241" width="10.375" style="1"/>
    <col min="10242" max="10242" width="33.25" style="1" customWidth="1"/>
    <col min="10243" max="10247" width="10.375" style="1"/>
    <col min="10248" max="10248" width="13.625" style="1" customWidth="1"/>
    <col min="10249" max="10249" width="10.375" style="1"/>
    <col min="10250" max="10250" width="14.375" style="1" customWidth="1"/>
    <col min="10251" max="10251" width="10.375" style="1"/>
    <col min="10252" max="10252" width="11.625" style="1" bestFit="1" customWidth="1"/>
    <col min="10253" max="10255" width="10.375" style="1"/>
    <col min="10256" max="10256" width="12.875" style="1" customWidth="1"/>
    <col min="10257" max="10257" width="10.375" style="1"/>
    <col min="10258" max="10258" width="13" style="1" customWidth="1"/>
    <col min="10259" max="10497" width="10.375" style="1"/>
    <col min="10498" max="10498" width="33.25" style="1" customWidth="1"/>
    <col min="10499" max="10503" width="10.375" style="1"/>
    <col min="10504" max="10504" width="13.625" style="1" customWidth="1"/>
    <col min="10505" max="10505" width="10.375" style="1"/>
    <col min="10506" max="10506" width="14.375" style="1" customWidth="1"/>
    <col min="10507" max="10507" width="10.375" style="1"/>
    <col min="10508" max="10508" width="11.625" style="1" bestFit="1" customWidth="1"/>
    <col min="10509" max="10511" width="10.375" style="1"/>
    <col min="10512" max="10512" width="12.875" style="1" customWidth="1"/>
    <col min="10513" max="10513" width="10.375" style="1"/>
    <col min="10514" max="10514" width="13" style="1" customWidth="1"/>
    <col min="10515" max="10753" width="10.375" style="1"/>
    <col min="10754" max="10754" width="33.25" style="1" customWidth="1"/>
    <col min="10755" max="10759" width="10.375" style="1"/>
    <col min="10760" max="10760" width="13.625" style="1" customWidth="1"/>
    <col min="10761" max="10761" width="10.375" style="1"/>
    <col min="10762" max="10762" width="14.375" style="1" customWidth="1"/>
    <col min="10763" max="10763" width="10.375" style="1"/>
    <col min="10764" max="10764" width="11.625" style="1" bestFit="1" customWidth="1"/>
    <col min="10765" max="10767" width="10.375" style="1"/>
    <col min="10768" max="10768" width="12.875" style="1" customWidth="1"/>
    <col min="10769" max="10769" width="10.375" style="1"/>
    <col min="10770" max="10770" width="13" style="1" customWidth="1"/>
    <col min="10771" max="11009" width="10.375" style="1"/>
    <col min="11010" max="11010" width="33.25" style="1" customWidth="1"/>
    <col min="11011" max="11015" width="10.375" style="1"/>
    <col min="11016" max="11016" width="13.625" style="1" customWidth="1"/>
    <col min="11017" max="11017" width="10.375" style="1"/>
    <col min="11018" max="11018" width="14.375" style="1" customWidth="1"/>
    <col min="11019" max="11019" width="10.375" style="1"/>
    <col min="11020" max="11020" width="11.625" style="1" bestFit="1" customWidth="1"/>
    <col min="11021" max="11023" width="10.375" style="1"/>
    <col min="11024" max="11024" width="12.875" style="1" customWidth="1"/>
    <col min="11025" max="11025" width="10.375" style="1"/>
    <col min="11026" max="11026" width="13" style="1" customWidth="1"/>
    <col min="11027" max="11265" width="10.375" style="1"/>
    <col min="11266" max="11266" width="33.25" style="1" customWidth="1"/>
    <col min="11267" max="11271" width="10.375" style="1"/>
    <col min="11272" max="11272" width="13.625" style="1" customWidth="1"/>
    <col min="11273" max="11273" width="10.375" style="1"/>
    <col min="11274" max="11274" width="14.375" style="1" customWidth="1"/>
    <col min="11275" max="11275" width="10.375" style="1"/>
    <col min="11276" max="11276" width="11.625" style="1" bestFit="1" customWidth="1"/>
    <col min="11277" max="11279" width="10.375" style="1"/>
    <col min="11280" max="11280" width="12.875" style="1" customWidth="1"/>
    <col min="11281" max="11281" width="10.375" style="1"/>
    <col min="11282" max="11282" width="13" style="1" customWidth="1"/>
    <col min="11283" max="11521" width="10.375" style="1"/>
    <col min="11522" max="11522" width="33.25" style="1" customWidth="1"/>
    <col min="11523" max="11527" width="10.375" style="1"/>
    <col min="11528" max="11528" width="13.625" style="1" customWidth="1"/>
    <col min="11529" max="11529" width="10.375" style="1"/>
    <col min="11530" max="11530" width="14.375" style="1" customWidth="1"/>
    <col min="11531" max="11531" width="10.375" style="1"/>
    <col min="11532" max="11532" width="11.625" style="1" bestFit="1" customWidth="1"/>
    <col min="11533" max="11535" width="10.375" style="1"/>
    <col min="11536" max="11536" width="12.875" style="1" customWidth="1"/>
    <col min="11537" max="11537" width="10.375" style="1"/>
    <col min="11538" max="11538" width="13" style="1" customWidth="1"/>
    <col min="11539" max="11777" width="10.375" style="1"/>
    <col min="11778" max="11778" width="33.25" style="1" customWidth="1"/>
    <col min="11779" max="11783" width="10.375" style="1"/>
    <col min="11784" max="11784" width="13.625" style="1" customWidth="1"/>
    <col min="11785" max="11785" width="10.375" style="1"/>
    <col min="11786" max="11786" width="14.375" style="1" customWidth="1"/>
    <col min="11787" max="11787" width="10.375" style="1"/>
    <col min="11788" max="11788" width="11.625" style="1" bestFit="1" customWidth="1"/>
    <col min="11789" max="11791" width="10.375" style="1"/>
    <col min="11792" max="11792" width="12.875" style="1" customWidth="1"/>
    <col min="11793" max="11793" width="10.375" style="1"/>
    <col min="11794" max="11794" width="13" style="1" customWidth="1"/>
    <col min="11795" max="12033" width="10.375" style="1"/>
    <col min="12034" max="12034" width="33.25" style="1" customWidth="1"/>
    <col min="12035" max="12039" width="10.375" style="1"/>
    <col min="12040" max="12040" width="13.625" style="1" customWidth="1"/>
    <col min="12041" max="12041" width="10.375" style="1"/>
    <col min="12042" max="12042" width="14.375" style="1" customWidth="1"/>
    <col min="12043" max="12043" width="10.375" style="1"/>
    <col min="12044" max="12044" width="11.625" style="1" bestFit="1" customWidth="1"/>
    <col min="12045" max="12047" width="10.375" style="1"/>
    <col min="12048" max="12048" width="12.875" style="1" customWidth="1"/>
    <col min="12049" max="12049" width="10.375" style="1"/>
    <col min="12050" max="12050" width="13" style="1" customWidth="1"/>
    <col min="12051" max="12289" width="10.375" style="1"/>
    <col min="12290" max="12290" width="33.25" style="1" customWidth="1"/>
    <col min="12291" max="12295" width="10.375" style="1"/>
    <col min="12296" max="12296" width="13.625" style="1" customWidth="1"/>
    <col min="12297" max="12297" width="10.375" style="1"/>
    <col min="12298" max="12298" width="14.375" style="1" customWidth="1"/>
    <col min="12299" max="12299" width="10.375" style="1"/>
    <col min="12300" max="12300" width="11.625" style="1" bestFit="1" customWidth="1"/>
    <col min="12301" max="12303" width="10.375" style="1"/>
    <col min="12304" max="12304" width="12.875" style="1" customWidth="1"/>
    <col min="12305" max="12305" width="10.375" style="1"/>
    <col min="12306" max="12306" width="13" style="1" customWidth="1"/>
    <col min="12307" max="12545" width="10.375" style="1"/>
    <col min="12546" max="12546" width="33.25" style="1" customWidth="1"/>
    <col min="12547" max="12551" width="10.375" style="1"/>
    <col min="12552" max="12552" width="13.625" style="1" customWidth="1"/>
    <col min="12553" max="12553" width="10.375" style="1"/>
    <col min="12554" max="12554" width="14.375" style="1" customWidth="1"/>
    <col min="12555" max="12555" width="10.375" style="1"/>
    <col min="12556" max="12556" width="11.625" style="1" bestFit="1" customWidth="1"/>
    <col min="12557" max="12559" width="10.375" style="1"/>
    <col min="12560" max="12560" width="12.875" style="1" customWidth="1"/>
    <col min="12561" max="12561" width="10.375" style="1"/>
    <col min="12562" max="12562" width="13" style="1" customWidth="1"/>
    <col min="12563" max="12801" width="10.375" style="1"/>
    <col min="12802" max="12802" width="33.25" style="1" customWidth="1"/>
    <col min="12803" max="12807" width="10.375" style="1"/>
    <col min="12808" max="12808" width="13.625" style="1" customWidth="1"/>
    <col min="12809" max="12809" width="10.375" style="1"/>
    <col min="12810" max="12810" width="14.375" style="1" customWidth="1"/>
    <col min="12811" max="12811" width="10.375" style="1"/>
    <col min="12812" max="12812" width="11.625" style="1" bestFit="1" customWidth="1"/>
    <col min="12813" max="12815" width="10.375" style="1"/>
    <col min="12816" max="12816" width="12.875" style="1" customWidth="1"/>
    <col min="12817" max="12817" width="10.375" style="1"/>
    <col min="12818" max="12818" width="13" style="1" customWidth="1"/>
    <col min="12819" max="13057" width="10.375" style="1"/>
    <col min="13058" max="13058" width="33.25" style="1" customWidth="1"/>
    <col min="13059" max="13063" width="10.375" style="1"/>
    <col min="13064" max="13064" width="13.625" style="1" customWidth="1"/>
    <col min="13065" max="13065" width="10.375" style="1"/>
    <col min="13066" max="13066" width="14.375" style="1" customWidth="1"/>
    <col min="13067" max="13067" width="10.375" style="1"/>
    <col min="13068" max="13068" width="11.625" style="1" bestFit="1" customWidth="1"/>
    <col min="13069" max="13071" width="10.375" style="1"/>
    <col min="13072" max="13072" width="12.875" style="1" customWidth="1"/>
    <col min="13073" max="13073" width="10.375" style="1"/>
    <col min="13074" max="13074" width="13" style="1" customWidth="1"/>
    <col min="13075" max="13313" width="10.375" style="1"/>
    <col min="13314" max="13314" width="33.25" style="1" customWidth="1"/>
    <col min="13315" max="13319" width="10.375" style="1"/>
    <col min="13320" max="13320" width="13.625" style="1" customWidth="1"/>
    <col min="13321" max="13321" width="10.375" style="1"/>
    <col min="13322" max="13322" width="14.375" style="1" customWidth="1"/>
    <col min="13323" max="13323" width="10.375" style="1"/>
    <col min="13324" max="13324" width="11.625" style="1" bestFit="1" customWidth="1"/>
    <col min="13325" max="13327" width="10.375" style="1"/>
    <col min="13328" max="13328" width="12.875" style="1" customWidth="1"/>
    <col min="13329" max="13329" width="10.375" style="1"/>
    <col min="13330" max="13330" width="13" style="1" customWidth="1"/>
    <col min="13331" max="13569" width="10.375" style="1"/>
    <col min="13570" max="13570" width="33.25" style="1" customWidth="1"/>
    <col min="13571" max="13575" width="10.375" style="1"/>
    <col min="13576" max="13576" width="13.625" style="1" customWidth="1"/>
    <col min="13577" max="13577" width="10.375" style="1"/>
    <col min="13578" max="13578" width="14.375" style="1" customWidth="1"/>
    <col min="13579" max="13579" width="10.375" style="1"/>
    <col min="13580" max="13580" width="11.625" style="1" bestFit="1" customWidth="1"/>
    <col min="13581" max="13583" width="10.375" style="1"/>
    <col min="13584" max="13584" width="12.875" style="1" customWidth="1"/>
    <col min="13585" max="13585" width="10.375" style="1"/>
    <col min="13586" max="13586" width="13" style="1" customWidth="1"/>
    <col min="13587" max="13825" width="10.375" style="1"/>
    <col min="13826" max="13826" width="33.25" style="1" customWidth="1"/>
    <col min="13827" max="13831" width="10.375" style="1"/>
    <col min="13832" max="13832" width="13.625" style="1" customWidth="1"/>
    <col min="13833" max="13833" width="10.375" style="1"/>
    <col min="13834" max="13834" width="14.375" style="1" customWidth="1"/>
    <col min="13835" max="13835" width="10.375" style="1"/>
    <col min="13836" max="13836" width="11.625" style="1" bestFit="1" customWidth="1"/>
    <col min="13837" max="13839" width="10.375" style="1"/>
    <col min="13840" max="13840" width="12.875" style="1" customWidth="1"/>
    <col min="13841" max="13841" width="10.375" style="1"/>
    <col min="13842" max="13842" width="13" style="1" customWidth="1"/>
    <col min="13843" max="14081" width="10.375" style="1"/>
    <col min="14082" max="14082" width="33.25" style="1" customWidth="1"/>
    <col min="14083" max="14087" width="10.375" style="1"/>
    <col min="14088" max="14088" width="13.625" style="1" customWidth="1"/>
    <col min="14089" max="14089" width="10.375" style="1"/>
    <col min="14090" max="14090" width="14.375" style="1" customWidth="1"/>
    <col min="14091" max="14091" width="10.375" style="1"/>
    <col min="14092" max="14092" width="11.625" style="1" bestFit="1" customWidth="1"/>
    <col min="14093" max="14095" width="10.375" style="1"/>
    <col min="14096" max="14096" width="12.875" style="1" customWidth="1"/>
    <col min="14097" max="14097" width="10.375" style="1"/>
    <col min="14098" max="14098" width="13" style="1" customWidth="1"/>
    <col min="14099" max="14337" width="10.375" style="1"/>
    <col min="14338" max="14338" width="33.25" style="1" customWidth="1"/>
    <col min="14339" max="14343" width="10.375" style="1"/>
    <col min="14344" max="14344" width="13.625" style="1" customWidth="1"/>
    <col min="14345" max="14345" width="10.375" style="1"/>
    <col min="14346" max="14346" width="14.375" style="1" customWidth="1"/>
    <col min="14347" max="14347" width="10.375" style="1"/>
    <col min="14348" max="14348" width="11.625" style="1" bestFit="1" customWidth="1"/>
    <col min="14349" max="14351" width="10.375" style="1"/>
    <col min="14352" max="14352" width="12.875" style="1" customWidth="1"/>
    <col min="14353" max="14353" width="10.375" style="1"/>
    <col min="14354" max="14354" width="13" style="1" customWidth="1"/>
    <col min="14355" max="14593" width="10.375" style="1"/>
    <col min="14594" max="14594" width="33.25" style="1" customWidth="1"/>
    <col min="14595" max="14599" width="10.375" style="1"/>
    <col min="14600" max="14600" width="13.625" style="1" customWidth="1"/>
    <col min="14601" max="14601" width="10.375" style="1"/>
    <col min="14602" max="14602" width="14.375" style="1" customWidth="1"/>
    <col min="14603" max="14603" width="10.375" style="1"/>
    <col min="14604" max="14604" width="11.625" style="1" bestFit="1" customWidth="1"/>
    <col min="14605" max="14607" width="10.375" style="1"/>
    <col min="14608" max="14608" width="12.875" style="1" customWidth="1"/>
    <col min="14609" max="14609" width="10.375" style="1"/>
    <col min="14610" max="14610" width="13" style="1" customWidth="1"/>
    <col min="14611" max="14849" width="10.375" style="1"/>
    <col min="14850" max="14850" width="33.25" style="1" customWidth="1"/>
    <col min="14851" max="14855" width="10.375" style="1"/>
    <col min="14856" max="14856" width="13.625" style="1" customWidth="1"/>
    <col min="14857" max="14857" width="10.375" style="1"/>
    <col min="14858" max="14858" width="14.375" style="1" customWidth="1"/>
    <col min="14859" max="14859" width="10.375" style="1"/>
    <col min="14860" max="14860" width="11.625" style="1" bestFit="1" customWidth="1"/>
    <col min="14861" max="14863" width="10.375" style="1"/>
    <col min="14864" max="14864" width="12.875" style="1" customWidth="1"/>
    <col min="14865" max="14865" width="10.375" style="1"/>
    <col min="14866" max="14866" width="13" style="1" customWidth="1"/>
    <col min="14867" max="15105" width="10.375" style="1"/>
    <col min="15106" max="15106" width="33.25" style="1" customWidth="1"/>
    <col min="15107" max="15111" width="10.375" style="1"/>
    <col min="15112" max="15112" width="13.625" style="1" customWidth="1"/>
    <col min="15113" max="15113" width="10.375" style="1"/>
    <col min="15114" max="15114" width="14.375" style="1" customWidth="1"/>
    <col min="15115" max="15115" width="10.375" style="1"/>
    <col min="15116" max="15116" width="11.625" style="1" bestFit="1" customWidth="1"/>
    <col min="15117" max="15119" width="10.375" style="1"/>
    <col min="15120" max="15120" width="12.875" style="1" customWidth="1"/>
    <col min="15121" max="15121" width="10.375" style="1"/>
    <col min="15122" max="15122" width="13" style="1" customWidth="1"/>
    <col min="15123" max="15361" width="10.375" style="1"/>
    <col min="15362" max="15362" width="33.25" style="1" customWidth="1"/>
    <col min="15363" max="15367" width="10.375" style="1"/>
    <col min="15368" max="15368" width="13.625" style="1" customWidth="1"/>
    <col min="15369" max="15369" width="10.375" style="1"/>
    <col min="15370" max="15370" width="14.375" style="1" customWidth="1"/>
    <col min="15371" max="15371" width="10.375" style="1"/>
    <col min="15372" max="15372" width="11.625" style="1" bestFit="1" customWidth="1"/>
    <col min="15373" max="15375" width="10.375" style="1"/>
    <col min="15376" max="15376" width="12.875" style="1" customWidth="1"/>
    <col min="15377" max="15377" width="10.375" style="1"/>
    <col min="15378" max="15378" width="13" style="1" customWidth="1"/>
    <col min="15379" max="15617" width="10.375" style="1"/>
    <col min="15618" max="15618" width="33.25" style="1" customWidth="1"/>
    <col min="15619" max="15623" width="10.375" style="1"/>
    <col min="15624" max="15624" width="13.625" style="1" customWidth="1"/>
    <col min="15625" max="15625" width="10.375" style="1"/>
    <col min="15626" max="15626" width="14.375" style="1" customWidth="1"/>
    <col min="15627" max="15627" width="10.375" style="1"/>
    <col min="15628" max="15628" width="11.625" style="1" bestFit="1" customWidth="1"/>
    <col min="15629" max="15631" width="10.375" style="1"/>
    <col min="15632" max="15632" width="12.875" style="1" customWidth="1"/>
    <col min="15633" max="15633" width="10.375" style="1"/>
    <col min="15634" max="15634" width="13" style="1" customWidth="1"/>
    <col min="15635" max="15873" width="10.375" style="1"/>
    <col min="15874" max="15874" width="33.25" style="1" customWidth="1"/>
    <col min="15875" max="15879" width="10.375" style="1"/>
    <col min="15880" max="15880" width="13.625" style="1" customWidth="1"/>
    <col min="15881" max="15881" width="10.375" style="1"/>
    <col min="15882" max="15882" width="14.375" style="1" customWidth="1"/>
    <col min="15883" max="15883" width="10.375" style="1"/>
    <col min="15884" max="15884" width="11.625" style="1" bestFit="1" customWidth="1"/>
    <col min="15885" max="15887" width="10.375" style="1"/>
    <col min="15888" max="15888" width="12.875" style="1" customWidth="1"/>
    <col min="15889" max="15889" width="10.375" style="1"/>
    <col min="15890" max="15890" width="13" style="1" customWidth="1"/>
    <col min="15891" max="16129" width="10.375" style="1"/>
    <col min="16130" max="16130" width="33.25" style="1" customWidth="1"/>
    <col min="16131" max="16135" width="10.375" style="1"/>
    <col min="16136" max="16136" width="13.625" style="1" customWidth="1"/>
    <col min="16137" max="16137" width="10.375" style="1"/>
    <col min="16138" max="16138" width="14.375" style="1" customWidth="1"/>
    <col min="16139" max="16139" width="10.375" style="1"/>
    <col min="16140" max="16140" width="11.625" style="1" bestFit="1" customWidth="1"/>
    <col min="16141" max="16143" width="10.375" style="1"/>
    <col min="16144" max="16144" width="12.875" style="1" customWidth="1"/>
    <col min="16145" max="16145" width="10.375" style="1"/>
    <col min="16146" max="16146" width="13" style="1" customWidth="1"/>
    <col min="16147" max="16384" width="10.375" style="1"/>
  </cols>
  <sheetData>
    <row r="1" spans="1:18" ht="18.600000000000001">
      <c r="A1" s="175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</row>
    <row r="2" spans="1:18" ht="18.600000000000001">
      <c r="A2" s="176" t="s">
        <v>1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</row>
    <row r="3" spans="1:18" ht="18.600000000000001">
      <c r="A3" s="177" t="s">
        <v>67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</row>
    <row r="4" spans="1:18" ht="18.600000000000001">
      <c r="A4" s="178" t="s">
        <v>3</v>
      </c>
      <c r="B4" s="173" t="s">
        <v>4</v>
      </c>
      <c r="C4" s="173" t="s">
        <v>5</v>
      </c>
      <c r="D4" s="211" t="s">
        <v>6</v>
      </c>
      <c r="E4" s="182" t="s">
        <v>7</v>
      </c>
      <c r="F4" s="183"/>
      <c r="G4" s="183"/>
      <c r="H4" s="183"/>
      <c r="I4" s="183"/>
      <c r="J4" s="184"/>
      <c r="K4" s="214" t="s">
        <v>8</v>
      </c>
      <c r="L4" s="215"/>
      <c r="M4" s="216"/>
      <c r="N4" s="182" t="s">
        <v>9</v>
      </c>
      <c r="O4" s="183"/>
      <c r="P4" s="183"/>
      <c r="Q4" s="183"/>
      <c r="R4" s="184"/>
    </row>
    <row r="5" spans="1:18" ht="18.600000000000001">
      <c r="A5" s="179"/>
      <c r="B5" s="181"/>
      <c r="C5" s="181"/>
      <c r="D5" s="212"/>
      <c r="E5" s="178" t="s">
        <v>10</v>
      </c>
      <c r="F5" s="187" t="s">
        <v>11</v>
      </c>
      <c r="G5" s="187" t="s">
        <v>12</v>
      </c>
      <c r="H5" s="182" t="s">
        <v>13</v>
      </c>
      <c r="I5" s="183"/>
      <c r="J5" s="184"/>
      <c r="K5" s="207" t="s">
        <v>14</v>
      </c>
      <c r="L5" s="209" t="s">
        <v>15</v>
      </c>
      <c r="M5" s="205" t="s">
        <v>16</v>
      </c>
      <c r="N5" s="185" t="s">
        <v>10</v>
      </c>
      <c r="O5" s="187" t="s">
        <v>12</v>
      </c>
      <c r="P5" s="182" t="s">
        <v>13</v>
      </c>
      <c r="Q5" s="183"/>
      <c r="R5" s="184"/>
    </row>
    <row r="6" spans="1:18" ht="16.8">
      <c r="A6" s="180"/>
      <c r="B6" s="174"/>
      <c r="C6" s="174"/>
      <c r="D6" s="213"/>
      <c r="E6" s="180"/>
      <c r="F6" s="188"/>
      <c r="G6" s="188"/>
      <c r="H6" s="5" t="s">
        <v>17</v>
      </c>
      <c r="I6" s="6" t="s">
        <v>18</v>
      </c>
      <c r="J6" s="7" t="s">
        <v>19</v>
      </c>
      <c r="K6" s="208"/>
      <c r="L6" s="210"/>
      <c r="M6" s="206"/>
      <c r="N6" s="186"/>
      <c r="O6" s="188"/>
      <c r="P6" s="5" t="s">
        <v>17</v>
      </c>
      <c r="Q6" s="6" t="s">
        <v>18</v>
      </c>
      <c r="R6" s="7" t="s">
        <v>19</v>
      </c>
    </row>
    <row r="7" spans="1:18" ht="18.600000000000001">
      <c r="A7" s="8"/>
      <c r="B7" s="9" t="s">
        <v>20</v>
      </c>
      <c r="C7" s="10"/>
      <c r="D7" s="11"/>
      <c r="E7" s="12"/>
      <c r="F7" s="12"/>
      <c r="G7" s="13"/>
      <c r="H7" s="14"/>
      <c r="I7" s="15"/>
      <c r="J7" s="11"/>
      <c r="K7" s="16"/>
      <c r="L7" s="17"/>
      <c r="M7" s="18"/>
      <c r="N7" s="19"/>
      <c r="O7" s="13"/>
      <c r="P7" s="13"/>
      <c r="Q7" s="13"/>
      <c r="R7" s="20"/>
    </row>
    <row r="8" spans="1:18" ht="18.600000000000001">
      <c r="A8" s="8">
        <v>1</v>
      </c>
      <c r="B8" s="21"/>
      <c r="C8" s="22"/>
      <c r="D8" s="23">
        <v>0</v>
      </c>
      <c r="E8" s="24"/>
      <c r="F8" s="24"/>
      <c r="G8" s="25"/>
      <c r="H8" s="26">
        <v>0</v>
      </c>
      <c r="I8" s="27">
        <f>H8*0.07</f>
        <v>0</v>
      </c>
      <c r="J8" s="23">
        <v>0</v>
      </c>
      <c r="K8" s="28"/>
      <c r="L8" s="29"/>
      <c r="M8" s="30">
        <v>0</v>
      </c>
      <c r="N8" s="31"/>
      <c r="O8" s="25"/>
      <c r="P8" s="27">
        <f>ROUND(R8*100/107,2)</f>
        <v>0</v>
      </c>
      <c r="Q8" s="27">
        <f>P8*0.07</f>
        <v>0</v>
      </c>
      <c r="R8" s="32">
        <f>D8+J8-M8</f>
        <v>0</v>
      </c>
    </row>
    <row r="9" spans="1:18" ht="18.600000000000001">
      <c r="A9" s="8">
        <f>+A8+1</f>
        <v>2</v>
      </c>
      <c r="B9" s="33" t="s">
        <v>21</v>
      </c>
      <c r="C9" s="22"/>
      <c r="D9" s="23">
        <v>0</v>
      </c>
      <c r="E9" s="24"/>
      <c r="F9" s="24"/>
      <c r="G9" s="25"/>
      <c r="H9" s="34">
        <v>0</v>
      </c>
      <c r="I9" s="35">
        <f>H9*0.07</f>
        <v>0</v>
      </c>
      <c r="J9" s="36">
        <v>0</v>
      </c>
      <c r="K9" s="28"/>
      <c r="L9" s="29"/>
      <c r="M9" s="30">
        <v>0</v>
      </c>
      <c r="N9" s="31"/>
      <c r="O9" s="25"/>
      <c r="P9" s="27">
        <f>ROUND(R9*100/107,2)</f>
        <v>0</v>
      </c>
      <c r="Q9" s="27">
        <f>P9*0.07</f>
        <v>0</v>
      </c>
      <c r="R9" s="32">
        <f>D9+J9-M9</f>
        <v>0</v>
      </c>
    </row>
    <row r="10" spans="1:18" ht="18.600000000000001">
      <c r="A10" s="8">
        <f>+A9+1</f>
        <v>3</v>
      </c>
      <c r="B10" s="37"/>
      <c r="C10" s="22"/>
      <c r="D10" s="23">
        <v>0</v>
      </c>
      <c r="E10" s="24"/>
      <c r="F10" s="38"/>
      <c r="G10" s="39"/>
      <c r="H10" s="40">
        <f>J10*100/107</f>
        <v>0</v>
      </c>
      <c r="I10" s="40">
        <f>H10*0.07</f>
        <v>0</v>
      </c>
      <c r="J10" s="41">
        <v>0</v>
      </c>
      <c r="K10" s="28"/>
      <c r="L10" s="29"/>
      <c r="M10" s="30">
        <v>0</v>
      </c>
      <c r="N10" s="31"/>
      <c r="O10" s="25"/>
      <c r="P10" s="27">
        <f>ROUND(R10*100/107,2)</f>
        <v>0</v>
      </c>
      <c r="Q10" s="27">
        <f>P10*0.07</f>
        <v>0</v>
      </c>
      <c r="R10" s="32">
        <f>D10+J10-M10</f>
        <v>0</v>
      </c>
    </row>
    <row r="11" spans="1:18" ht="19.2" thickBot="1">
      <c r="A11" s="42"/>
      <c r="B11" s="191" t="s">
        <v>19</v>
      </c>
      <c r="C11" s="192"/>
      <c r="D11" s="43">
        <f>SUM(D8:D10)</f>
        <v>0</v>
      </c>
      <c r="E11" s="43"/>
      <c r="F11" s="43"/>
      <c r="G11" s="44"/>
      <c r="H11" s="44">
        <f>SUM(H8:H10)</f>
        <v>0</v>
      </c>
      <c r="I11" s="44">
        <f>SUM(I8:I10)</f>
        <v>0</v>
      </c>
      <c r="J11" s="44">
        <f>SUM(J8:J10)</f>
        <v>0</v>
      </c>
      <c r="K11" s="45"/>
      <c r="L11" s="46"/>
      <c r="M11" s="47">
        <f>SUM(M8:M10)</f>
        <v>0</v>
      </c>
      <c r="N11" s="48"/>
      <c r="O11" s="43"/>
      <c r="P11" s="49">
        <f>ROUND(R11*100/107,2)</f>
        <v>0</v>
      </c>
      <c r="Q11" s="49">
        <f>P11*0.07</f>
        <v>0</v>
      </c>
      <c r="R11" s="50">
        <f>SUM(R8:R10)</f>
        <v>0</v>
      </c>
    </row>
    <row r="12" spans="1:18" ht="19.2" thickTop="1">
      <c r="A12" s="8"/>
      <c r="B12" s="51" t="s">
        <v>22</v>
      </c>
      <c r="C12" s="52"/>
      <c r="D12" s="11"/>
      <c r="E12" s="12"/>
      <c r="F12" s="12"/>
      <c r="G12" s="53"/>
      <c r="H12" s="14"/>
      <c r="I12" s="15"/>
      <c r="J12" s="11"/>
      <c r="K12" s="16"/>
      <c r="L12" s="17"/>
      <c r="M12" s="18"/>
      <c r="N12" s="19"/>
      <c r="O12" s="13"/>
      <c r="P12" s="13"/>
      <c r="Q12" s="13"/>
      <c r="R12" s="20"/>
    </row>
    <row r="13" spans="1:18" ht="34.5" customHeight="1">
      <c r="A13" s="8">
        <v>1</v>
      </c>
      <c r="B13" s="203"/>
      <c r="C13" s="204"/>
      <c r="D13" s="23">
        <v>0</v>
      </c>
      <c r="E13" s="54"/>
      <c r="F13" s="54"/>
      <c r="G13" s="25"/>
      <c r="H13" s="26">
        <v>0</v>
      </c>
      <c r="I13" s="27">
        <f>H13*0.07</f>
        <v>0</v>
      </c>
      <c r="J13" s="23">
        <f>SUM(H13:I13)</f>
        <v>0</v>
      </c>
      <c r="K13" s="55">
        <v>0</v>
      </c>
      <c r="L13" s="56"/>
      <c r="M13" s="55">
        <v>0</v>
      </c>
      <c r="N13" s="31"/>
      <c r="O13" s="25"/>
      <c r="P13" s="27">
        <f>ROUND(R13*100/107,2)</f>
        <v>0</v>
      </c>
      <c r="Q13" s="27">
        <f>P13*0.07</f>
        <v>0</v>
      </c>
      <c r="R13" s="32">
        <f>D13+J13-M13</f>
        <v>0</v>
      </c>
    </row>
    <row r="14" spans="1:18" ht="29.25" customHeight="1">
      <c r="A14" s="8">
        <v>2</v>
      </c>
      <c r="B14" s="197" t="s">
        <v>21</v>
      </c>
      <c r="C14" s="198"/>
      <c r="D14" s="23">
        <v>0</v>
      </c>
      <c r="E14" s="31"/>
      <c r="F14" s="31"/>
      <c r="G14" s="25"/>
      <c r="H14" s="34">
        <v>0</v>
      </c>
      <c r="I14" s="27">
        <f>H14*0.07</f>
        <v>0</v>
      </c>
      <c r="J14" s="23">
        <f>SUM(H14:I14)</f>
        <v>0</v>
      </c>
      <c r="K14" s="58">
        <v>0</v>
      </c>
      <c r="L14" s="56"/>
      <c r="M14" s="55">
        <v>0</v>
      </c>
      <c r="N14" s="31"/>
      <c r="O14" s="25"/>
      <c r="P14" s="27">
        <f>ROUND(R14*100/107,2)</f>
        <v>0</v>
      </c>
      <c r="Q14" s="27">
        <f>P14*0.07</f>
        <v>0</v>
      </c>
      <c r="R14" s="32">
        <f>D14+J14-M14</f>
        <v>0</v>
      </c>
    </row>
    <row r="15" spans="1:18" ht="28.5" customHeight="1">
      <c r="A15" s="8">
        <f>+A14+1</f>
        <v>3</v>
      </c>
      <c r="B15" s="195"/>
      <c r="C15" s="196"/>
      <c r="D15" s="23">
        <v>0</v>
      </c>
      <c r="E15" s="24"/>
      <c r="F15" s="24"/>
      <c r="G15" s="25"/>
      <c r="H15" s="34">
        <v>0</v>
      </c>
      <c r="I15" s="27">
        <f>H15*0.07</f>
        <v>0</v>
      </c>
      <c r="J15" s="23">
        <f>SUM(H15:I15)</f>
        <v>0</v>
      </c>
      <c r="K15" s="55">
        <v>0</v>
      </c>
      <c r="L15" s="60"/>
      <c r="M15" s="55">
        <v>0</v>
      </c>
      <c r="N15" s="31"/>
      <c r="O15" s="25"/>
      <c r="P15" s="27">
        <f>ROUND(R15*100/107,2)</f>
        <v>0</v>
      </c>
      <c r="Q15" s="27">
        <f>P15*0.07</f>
        <v>0</v>
      </c>
      <c r="R15" s="32">
        <f>D15+J15-M15</f>
        <v>0</v>
      </c>
    </row>
    <row r="16" spans="1:18" ht="19.2" thickBot="1">
      <c r="A16" s="42"/>
      <c r="B16" s="191" t="s">
        <v>19</v>
      </c>
      <c r="C16" s="192"/>
      <c r="D16" s="43">
        <f>SUM(D13:D15)</f>
        <v>0</v>
      </c>
      <c r="E16" s="43"/>
      <c r="F16" s="43"/>
      <c r="G16" s="43"/>
      <c r="H16" s="43">
        <f>SUM(H13:H15)</f>
        <v>0</v>
      </c>
      <c r="I16" s="43">
        <f>SUM(I13:I15)</f>
        <v>0</v>
      </c>
      <c r="J16" s="43">
        <f>SUM(J13:J15)</f>
        <v>0</v>
      </c>
      <c r="K16" s="45"/>
      <c r="L16" s="46"/>
      <c r="M16" s="47">
        <f>SUM(M13:M15)</f>
        <v>0</v>
      </c>
      <c r="N16" s="48"/>
      <c r="O16" s="43"/>
      <c r="P16" s="49">
        <f>ROUND(R16*100/107,2)</f>
        <v>0</v>
      </c>
      <c r="Q16" s="49">
        <f>P16*0.07</f>
        <v>0</v>
      </c>
      <c r="R16" s="50">
        <f>SUM(R13:R15)</f>
        <v>0</v>
      </c>
    </row>
    <row r="17" spans="1:18" ht="19.2" thickTop="1">
      <c r="A17" s="8"/>
      <c r="B17" s="51" t="s">
        <v>23</v>
      </c>
      <c r="C17" s="52"/>
      <c r="D17" s="11"/>
      <c r="E17" s="12"/>
      <c r="F17" s="12"/>
      <c r="G17" s="13"/>
      <c r="H17" s="61"/>
      <c r="I17" s="35"/>
      <c r="J17" s="11"/>
      <c r="K17" s="16"/>
      <c r="L17" s="17"/>
      <c r="M17" s="18"/>
      <c r="N17" s="19"/>
      <c r="O17" s="13"/>
      <c r="P17" s="13"/>
      <c r="Q17" s="13"/>
      <c r="R17" s="20"/>
    </row>
    <row r="18" spans="1:18" ht="18.600000000000001">
      <c r="A18" s="8">
        <v>1</v>
      </c>
      <c r="B18" s="62"/>
      <c r="C18" s="63"/>
      <c r="D18" s="23">
        <v>0</v>
      </c>
      <c r="E18" s="24"/>
      <c r="F18" s="24"/>
      <c r="G18" s="25"/>
      <c r="H18" s="26">
        <v>0</v>
      </c>
      <c r="I18" s="27">
        <f>H18*0.07</f>
        <v>0</v>
      </c>
      <c r="J18" s="23">
        <v>0</v>
      </c>
      <c r="K18" s="28"/>
      <c r="L18" s="29"/>
      <c r="M18" s="30">
        <v>0</v>
      </c>
      <c r="N18" s="31"/>
      <c r="O18" s="25"/>
      <c r="P18" s="27">
        <f>ROUND(R18*100/107,2)</f>
        <v>0</v>
      </c>
      <c r="Q18" s="27">
        <f>P18*0.07</f>
        <v>0</v>
      </c>
      <c r="R18" s="32">
        <f>D18+J18-M18</f>
        <v>0</v>
      </c>
    </row>
    <row r="19" spans="1:18" ht="18.600000000000001">
      <c r="A19" s="8">
        <f>+A18+1</f>
        <v>2</v>
      </c>
      <c r="B19" s="64" t="s">
        <v>21</v>
      </c>
      <c r="C19" s="63"/>
      <c r="D19" s="23">
        <v>0</v>
      </c>
      <c r="E19" s="24"/>
      <c r="F19" s="24"/>
      <c r="G19" s="25"/>
      <c r="H19" s="34">
        <v>0</v>
      </c>
      <c r="I19" s="35">
        <f>H19*0.07</f>
        <v>0</v>
      </c>
      <c r="J19" s="36">
        <v>0</v>
      </c>
      <c r="K19" s="28"/>
      <c r="L19" s="29"/>
      <c r="M19" s="30">
        <v>0</v>
      </c>
      <c r="N19" s="31"/>
      <c r="O19" s="25"/>
      <c r="P19" s="27">
        <f>ROUND(R19*100/107,2)</f>
        <v>0</v>
      </c>
      <c r="Q19" s="27">
        <f>P19*0.07</f>
        <v>0</v>
      </c>
      <c r="R19" s="32">
        <f>D19+J19-M19</f>
        <v>0</v>
      </c>
    </row>
    <row r="20" spans="1:18" ht="18.600000000000001">
      <c r="A20" s="8">
        <f>+A19+1</f>
        <v>3</v>
      </c>
      <c r="B20" s="65"/>
      <c r="C20" s="63"/>
      <c r="D20" s="23">
        <v>0</v>
      </c>
      <c r="E20" s="24"/>
      <c r="F20" s="38"/>
      <c r="G20" s="39"/>
      <c r="H20" s="40">
        <f>J20*100/107</f>
        <v>0</v>
      </c>
      <c r="I20" s="40">
        <f>H20*0.07</f>
        <v>0</v>
      </c>
      <c r="J20" s="41">
        <v>0</v>
      </c>
      <c r="K20" s="28"/>
      <c r="L20" s="29"/>
      <c r="M20" s="30">
        <v>0</v>
      </c>
      <c r="N20" s="31"/>
      <c r="O20" s="25"/>
      <c r="P20" s="27">
        <f>ROUND(R20*100/107,2)</f>
        <v>0</v>
      </c>
      <c r="Q20" s="27">
        <f>P20*0.07</f>
        <v>0</v>
      </c>
      <c r="R20" s="32">
        <f>D20+J20-M20</f>
        <v>0</v>
      </c>
    </row>
    <row r="21" spans="1:18" ht="19.2" thickBot="1">
      <c r="A21" s="42"/>
      <c r="B21" s="191" t="s">
        <v>19</v>
      </c>
      <c r="C21" s="192"/>
      <c r="D21" s="43">
        <f>SUM(D18:D20)</f>
        <v>0</v>
      </c>
      <c r="E21" s="43"/>
      <c r="F21" s="43"/>
      <c r="G21" s="44"/>
      <c r="H21" s="44">
        <f>SUM(H18:H20)</f>
        <v>0</v>
      </c>
      <c r="I21" s="44">
        <f>SUM(I18:I20)</f>
        <v>0</v>
      </c>
      <c r="J21" s="44">
        <f>SUM(J18:J20)</f>
        <v>0</v>
      </c>
      <c r="K21" s="45"/>
      <c r="L21" s="46"/>
      <c r="M21" s="47">
        <f>SUM(M18:M20)</f>
        <v>0</v>
      </c>
      <c r="N21" s="48"/>
      <c r="O21" s="43"/>
      <c r="P21" s="49">
        <f>ROUND(R21*100/107,2)</f>
        <v>0</v>
      </c>
      <c r="Q21" s="49">
        <f>P21*0.07</f>
        <v>0</v>
      </c>
      <c r="R21" s="50">
        <f>SUM(R18:R20)</f>
        <v>0</v>
      </c>
    </row>
    <row r="22" spans="1:18" ht="19.2" thickTop="1">
      <c r="A22" s="8"/>
      <c r="B22" s="51" t="s">
        <v>24</v>
      </c>
      <c r="C22" s="52"/>
      <c r="D22" s="11"/>
      <c r="E22" s="12"/>
      <c r="F22" s="12"/>
      <c r="G22" s="53"/>
      <c r="H22" s="14"/>
      <c r="I22" s="15"/>
      <c r="J22" s="11"/>
      <c r="K22" s="16"/>
      <c r="L22" s="17"/>
      <c r="M22" s="18"/>
      <c r="N22" s="19"/>
      <c r="O22" s="13"/>
      <c r="P22" s="13"/>
      <c r="Q22" s="13"/>
      <c r="R22" s="20"/>
    </row>
    <row r="23" spans="1:18" ht="18.600000000000001">
      <c r="A23" s="8">
        <v>1</v>
      </c>
      <c r="B23" s="62"/>
      <c r="C23" s="63"/>
      <c r="D23" s="23"/>
      <c r="E23" s="24"/>
      <c r="F23" s="24"/>
      <c r="G23" s="25"/>
      <c r="H23" s="26">
        <v>0</v>
      </c>
      <c r="I23" s="27">
        <f>H23*0.07</f>
        <v>0</v>
      </c>
      <c r="J23" s="23">
        <v>0</v>
      </c>
      <c r="K23" s="28"/>
      <c r="L23" s="29"/>
      <c r="M23" s="30">
        <v>0</v>
      </c>
      <c r="N23" s="31"/>
      <c r="O23" s="25"/>
      <c r="P23" s="27">
        <f>ROUND(R23*100/107,2)</f>
        <v>0</v>
      </c>
      <c r="Q23" s="27">
        <f>P23*0.07</f>
        <v>0</v>
      </c>
      <c r="R23" s="32">
        <f>D23+J23-M23</f>
        <v>0</v>
      </c>
    </row>
    <row r="24" spans="1:18" ht="18.600000000000001">
      <c r="A24" s="8">
        <f>+A23+1</f>
        <v>2</v>
      </c>
      <c r="B24" s="64" t="s">
        <v>21</v>
      </c>
      <c r="C24" s="63"/>
      <c r="D24" s="23"/>
      <c r="E24" s="24"/>
      <c r="F24" s="24"/>
      <c r="G24" s="25"/>
      <c r="H24" s="26">
        <v>0</v>
      </c>
      <c r="I24" s="27">
        <f>H24*0.07</f>
        <v>0</v>
      </c>
      <c r="J24" s="23">
        <v>0</v>
      </c>
      <c r="K24" s="28"/>
      <c r="L24" s="29"/>
      <c r="M24" s="55">
        <v>0</v>
      </c>
      <c r="N24" s="31"/>
      <c r="O24" s="25"/>
      <c r="P24" s="27">
        <f>ROUND(R24*100/107,2)</f>
        <v>0</v>
      </c>
      <c r="Q24" s="27">
        <f>P24*0.07</f>
        <v>0</v>
      </c>
      <c r="R24" s="32">
        <f>D24+J24-M24</f>
        <v>0</v>
      </c>
    </row>
    <row r="25" spans="1:18" ht="18.600000000000001">
      <c r="A25" s="8">
        <f>+A24+1</f>
        <v>3</v>
      </c>
      <c r="B25" s="65"/>
      <c r="C25" s="63"/>
      <c r="D25" s="23"/>
      <c r="E25" s="24"/>
      <c r="F25" s="38"/>
      <c r="G25" s="39"/>
      <c r="H25" s="40">
        <v>0</v>
      </c>
      <c r="I25" s="40">
        <f>H25*0.07</f>
        <v>0</v>
      </c>
      <c r="J25" s="66">
        <v>0</v>
      </c>
      <c r="K25" s="28"/>
      <c r="L25" s="29"/>
      <c r="M25" s="55">
        <v>0</v>
      </c>
      <c r="N25" s="31"/>
      <c r="O25" s="25"/>
      <c r="P25" s="27">
        <f>ROUND(R25*100/107,2)</f>
        <v>0</v>
      </c>
      <c r="Q25" s="27">
        <f>P25*0.07</f>
        <v>0</v>
      </c>
      <c r="R25" s="32">
        <f>D25+J25-M25</f>
        <v>0</v>
      </c>
    </row>
    <row r="26" spans="1:18" ht="19.2" thickBot="1">
      <c r="A26" s="42"/>
      <c r="B26" s="191" t="s">
        <v>19</v>
      </c>
      <c r="C26" s="192"/>
      <c r="D26" s="43">
        <f>SUM(D23:D25)</f>
        <v>0</v>
      </c>
      <c r="E26" s="43"/>
      <c r="F26" s="43"/>
      <c r="G26" s="44"/>
      <c r="H26" s="44">
        <f>SUM(H23:H25)</f>
        <v>0</v>
      </c>
      <c r="I26" s="44">
        <f>SUM(I23:I25)</f>
        <v>0</v>
      </c>
      <c r="J26" s="44">
        <f>SUM(J23:J25)</f>
        <v>0</v>
      </c>
      <c r="K26" s="45"/>
      <c r="L26" s="46"/>
      <c r="M26" s="47">
        <f>SUM(M23:M25)</f>
        <v>0</v>
      </c>
      <c r="N26" s="48"/>
      <c r="O26" s="43"/>
      <c r="P26" s="49">
        <f>ROUND(R26*100/107,2)</f>
        <v>0</v>
      </c>
      <c r="Q26" s="49">
        <f>P26*0.07</f>
        <v>0</v>
      </c>
      <c r="R26" s="50">
        <f>SUM(R23:R25)</f>
        <v>0</v>
      </c>
    </row>
    <row r="27" spans="1:18" ht="19.2" thickTop="1">
      <c r="A27" s="8"/>
      <c r="B27" s="67"/>
      <c r="C27" s="68"/>
      <c r="D27" s="69"/>
      <c r="E27" s="70"/>
      <c r="F27" s="70"/>
      <c r="G27" s="71"/>
      <c r="H27" s="72"/>
      <c r="I27" s="73"/>
      <c r="J27" s="69"/>
      <c r="K27" s="74"/>
      <c r="L27" s="75"/>
      <c r="M27" s="76"/>
      <c r="N27" s="77"/>
      <c r="O27" s="78"/>
      <c r="P27" s="78"/>
      <c r="Q27" s="78"/>
      <c r="R27" s="79"/>
    </row>
    <row r="28" spans="1:18" ht="18.600000000000001">
      <c r="A28" s="8"/>
      <c r="B28" s="80" t="s">
        <v>25</v>
      </c>
      <c r="C28" s="68"/>
      <c r="D28" s="23"/>
      <c r="E28" s="24"/>
      <c r="F28" s="24"/>
      <c r="G28" s="25"/>
      <c r="H28" s="81"/>
      <c r="I28" s="27"/>
      <c r="J28" s="23"/>
      <c r="K28" s="28"/>
      <c r="L28" s="29"/>
      <c r="M28" s="55"/>
      <c r="N28" s="31"/>
      <c r="O28" s="25"/>
      <c r="P28" s="25"/>
      <c r="Q28" s="25"/>
      <c r="R28" s="32"/>
    </row>
    <row r="29" spans="1:18" ht="18.600000000000001">
      <c r="A29" s="8">
        <f>+A28+1</f>
        <v>1</v>
      </c>
      <c r="B29" s="195"/>
      <c r="C29" s="196"/>
      <c r="D29" s="23">
        <v>0</v>
      </c>
      <c r="E29" s="24"/>
      <c r="F29" s="24"/>
      <c r="G29" s="25"/>
      <c r="H29" s="34">
        <v>0</v>
      </c>
      <c r="I29" s="27">
        <f>H29*0.07</f>
        <v>0</v>
      </c>
      <c r="J29" s="36">
        <v>0</v>
      </c>
      <c r="K29" s="82"/>
      <c r="L29" s="83"/>
      <c r="M29" s="30">
        <v>0</v>
      </c>
      <c r="N29" s="31"/>
      <c r="O29" s="25"/>
      <c r="P29" s="27">
        <f>ROUND(R29*100/107,2)</f>
        <v>0</v>
      </c>
      <c r="Q29" s="27">
        <f>P29*0.07</f>
        <v>0</v>
      </c>
      <c r="R29" s="32">
        <f>D29+J29-M29</f>
        <v>0</v>
      </c>
    </row>
    <row r="30" spans="1:18" ht="18.600000000000001">
      <c r="A30" s="8">
        <v>2</v>
      </c>
      <c r="B30" s="57" t="s">
        <v>21</v>
      </c>
      <c r="C30" s="59"/>
      <c r="D30" s="23">
        <v>0</v>
      </c>
      <c r="E30" s="24"/>
      <c r="F30" s="38"/>
      <c r="G30" s="84"/>
      <c r="H30" s="34">
        <v>0</v>
      </c>
      <c r="I30" s="85">
        <v>0</v>
      </c>
      <c r="J30" s="86">
        <v>0</v>
      </c>
      <c r="K30" s="82"/>
      <c r="L30" s="83"/>
      <c r="M30" s="30"/>
      <c r="N30" s="31"/>
      <c r="O30" s="25"/>
      <c r="P30" s="27">
        <f>ROUND(R30*100/107,2)</f>
        <v>0</v>
      </c>
      <c r="Q30" s="27">
        <f>P30*0.07</f>
        <v>0</v>
      </c>
      <c r="R30" s="32">
        <f>D30+J30-M30</f>
        <v>0</v>
      </c>
    </row>
    <row r="31" spans="1:18" ht="18.600000000000001">
      <c r="A31" s="8">
        <v>3</v>
      </c>
      <c r="B31" s="195"/>
      <c r="C31" s="196"/>
      <c r="D31" s="23">
        <v>0</v>
      </c>
      <c r="E31" s="24"/>
      <c r="F31" s="38"/>
      <c r="G31" s="39"/>
      <c r="H31" s="40">
        <f>J31*100/107</f>
        <v>0</v>
      </c>
      <c r="I31" s="40">
        <f>H31*0.07</f>
        <v>0</v>
      </c>
      <c r="J31" s="41">
        <v>0</v>
      </c>
      <c r="K31" s="82"/>
      <c r="L31" s="83"/>
      <c r="M31" s="30">
        <v>0</v>
      </c>
      <c r="N31" s="31"/>
      <c r="O31" s="25"/>
      <c r="P31" s="27">
        <f>ROUND(R31*100/107,2)</f>
        <v>0</v>
      </c>
      <c r="Q31" s="27">
        <f>P31*0.07</f>
        <v>0</v>
      </c>
      <c r="R31" s="32">
        <f>D31+J31-M31</f>
        <v>0</v>
      </c>
    </row>
    <row r="32" spans="1:18" ht="19.2" thickBot="1">
      <c r="A32" s="42"/>
      <c r="B32" s="191" t="s">
        <v>19</v>
      </c>
      <c r="C32" s="192"/>
      <c r="D32" s="43">
        <f>SUM(D28:D31)</f>
        <v>0</v>
      </c>
      <c r="E32" s="43"/>
      <c r="F32" s="43"/>
      <c r="G32" s="44"/>
      <c r="H32" s="44">
        <f>SUM(H28:H31)</f>
        <v>0</v>
      </c>
      <c r="I32" s="44">
        <f>SUM(I28:I31)</f>
        <v>0</v>
      </c>
      <c r="J32" s="44">
        <f>SUM(J28:J31)</f>
        <v>0</v>
      </c>
      <c r="K32" s="45"/>
      <c r="L32" s="46"/>
      <c r="M32" s="47">
        <f>SUM(M28:M31)</f>
        <v>0</v>
      </c>
      <c r="N32" s="48"/>
      <c r="O32" s="43"/>
      <c r="P32" s="49">
        <f>ROUND(R32*100/107,2)</f>
        <v>0</v>
      </c>
      <c r="Q32" s="49">
        <f>P32*0.07</f>
        <v>0</v>
      </c>
      <c r="R32" s="50">
        <f>SUM(R28:R31)</f>
        <v>0</v>
      </c>
    </row>
    <row r="33" spans="1:18" ht="19.2" thickTop="1">
      <c r="A33" s="8"/>
      <c r="B33" s="51" t="s">
        <v>26</v>
      </c>
      <c r="C33" s="52"/>
      <c r="D33" s="11"/>
      <c r="E33" s="12"/>
      <c r="F33" s="12"/>
      <c r="G33" s="53"/>
      <c r="H33" s="14"/>
      <c r="I33" s="15"/>
      <c r="J33" s="11"/>
      <c r="K33" s="16"/>
      <c r="L33" s="17"/>
      <c r="M33" s="18"/>
      <c r="N33" s="19"/>
      <c r="O33" s="13"/>
      <c r="P33" s="13"/>
      <c r="Q33" s="13"/>
      <c r="R33" s="20"/>
    </row>
    <row r="34" spans="1:18" ht="18.600000000000001">
      <c r="A34" s="8">
        <v>1</v>
      </c>
      <c r="B34" s="33" t="s">
        <v>21</v>
      </c>
      <c r="C34" s="87"/>
      <c r="D34" s="23">
        <v>0</v>
      </c>
      <c r="E34" s="24"/>
      <c r="F34" s="24"/>
      <c r="G34" s="25"/>
      <c r="H34" s="27">
        <v>0</v>
      </c>
      <c r="I34" s="27">
        <f>H34*0.07</f>
        <v>0</v>
      </c>
      <c r="J34" s="36">
        <v>0</v>
      </c>
      <c r="K34" s="28"/>
      <c r="L34" s="29"/>
      <c r="M34" s="30">
        <v>0</v>
      </c>
      <c r="N34" s="31"/>
      <c r="O34" s="25"/>
      <c r="P34" s="27">
        <f>ROUND(R34*100/107,2)</f>
        <v>0</v>
      </c>
      <c r="Q34" s="27">
        <f>P34*0.07</f>
        <v>0</v>
      </c>
      <c r="R34" s="32">
        <f>D34+J34-M34</f>
        <v>0</v>
      </c>
    </row>
    <row r="35" spans="1:18" ht="18.600000000000001">
      <c r="A35" s="8">
        <v>2</v>
      </c>
      <c r="B35" s="33"/>
      <c r="C35" s="87"/>
      <c r="D35" s="23"/>
      <c r="E35" s="24"/>
      <c r="F35" s="38"/>
      <c r="G35" s="84"/>
      <c r="H35" s="34"/>
      <c r="I35" s="34"/>
      <c r="J35" s="86"/>
      <c r="K35" s="28"/>
      <c r="L35" s="29"/>
      <c r="M35" s="30"/>
      <c r="N35" s="31"/>
      <c r="O35" s="25"/>
      <c r="P35" s="27"/>
      <c r="Q35" s="27"/>
      <c r="R35" s="32"/>
    </row>
    <row r="36" spans="1:18" ht="18.600000000000001">
      <c r="A36" s="8">
        <v>3</v>
      </c>
      <c r="B36" s="37"/>
      <c r="C36" s="22"/>
      <c r="D36" s="23">
        <v>0</v>
      </c>
      <c r="E36" s="24"/>
      <c r="F36" s="38"/>
      <c r="G36" s="39"/>
      <c r="H36" s="40">
        <f>J36*100/107</f>
        <v>0</v>
      </c>
      <c r="I36" s="40">
        <f>H36*0.07</f>
        <v>0</v>
      </c>
      <c r="J36" s="41">
        <v>0</v>
      </c>
      <c r="K36" s="28"/>
      <c r="L36" s="29"/>
      <c r="M36" s="30">
        <v>0</v>
      </c>
      <c r="N36" s="31"/>
      <c r="O36" s="25"/>
      <c r="P36" s="27">
        <f>ROUND(R36*100/107,2)</f>
        <v>0</v>
      </c>
      <c r="Q36" s="27">
        <f>P36*0.07</f>
        <v>0</v>
      </c>
      <c r="R36" s="32">
        <f>D36+J36-M36</f>
        <v>0</v>
      </c>
    </row>
    <row r="37" spans="1:18" ht="19.2" thickBot="1">
      <c r="A37" s="42"/>
      <c r="B37" s="191" t="s">
        <v>19</v>
      </c>
      <c r="C37" s="192"/>
      <c r="D37" s="43">
        <f>SUM(D34:D36)</f>
        <v>0</v>
      </c>
      <c r="E37" s="43"/>
      <c r="F37" s="43"/>
      <c r="G37" s="44"/>
      <c r="H37" s="44">
        <f>SUM(H34:H36)</f>
        <v>0</v>
      </c>
      <c r="I37" s="44">
        <f>SUM(I34:I36)</f>
        <v>0</v>
      </c>
      <c r="J37" s="44">
        <f>SUM(J34:J36)</f>
        <v>0</v>
      </c>
      <c r="K37" s="45"/>
      <c r="L37" s="46"/>
      <c r="M37" s="47">
        <f>SUM(M34:M36)</f>
        <v>0</v>
      </c>
      <c r="N37" s="48"/>
      <c r="O37" s="43"/>
      <c r="P37" s="49">
        <f>ROUND(R37*100/107,2)</f>
        <v>0</v>
      </c>
      <c r="Q37" s="49">
        <f>P37*0.07</f>
        <v>0</v>
      </c>
      <c r="R37" s="50">
        <f>SUM(R34:R36)</f>
        <v>0</v>
      </c>
    </row>
    <row r="38" spans="1:18" ht="19.2" thickTop="1">
      <c r="A38" s="42"/>
      <c r="B38" s="88" t="s">
        <v>27</v>
      </c>
      <c r="C38" s="52"/>
      <c r="D38" s="11"/>
      <c r="E38" s="12"/>
      <c r="F38" s="12"/>
      <c r="G38" s="13"/>
      <c r="H38" s="13"/>
      <c r="I38" s="13"/>
      <c r="J38" s="11"/>
      <c r="K38" s="16"/>
      <c r="L38" s="17"/>
      <c r="M38" s="18"/>
      <c r="N38" s="19"/>
      <c r="O38" s="13"/>
      <c r="P38" s="13"/>
      <c r="Q38" s="13"/>
      <c r="R38" s="89"/>
    </row>
    <row r="39" spans="1:18" ht="30.75" customHeight="1">
      <c r="A39" s="42">
        <v>1</v>
      </c>
      <c r="B39" s="195"/>
      <c r="C39" s="196"/>
      <c r="D39" s="23">
        <v>0</v>
      </c>
      <c r="E39" s="31"/>
      <c r="F39" s="31"/>
      <c r="G39" s="25"/>
      <c r="H39" s="90">
        <v>0</v>
      </c>
      <c r="I39" s="27">
        <f>H39*0.07</f>
        <v>0</v>
      </c>
      <c r="J39" s="23">
        <f>SUM(H39:I39)</f>
        <v>0</v>
      </c>
      <c r="K39" s="56"/>
      <c r="L39" s="91"/>
      <c r="M39" s="55">
        <v>0</v>
      </c>
      <c r="N39" s="31"/>
      <c r="O39" s="25"/>
      <c r="P39" s="27">
        <f>ROUND(R39*100/107,2)</f>
        <v>0</v>
      </c>
      <c r="Q39" s="27">
        <f>P39*0.07</f>
        <v>0</v>
      </c>
      <c r="R39" s="92">
        <f>D39+J39-M39</f>
        <v>0</v>
      </c>
    </row>
    <row r="40" spans="1:18" ht="30" customHeight="1">
      <c r="A40" s="8">
        <v>2</v>
      </c>
      <c r="B40" s="197" t="s">
        <v>21</v>
      </c>
      <c r="C40" s="198"/>
      <c r="D40" s="23">
        <v>0</v>
      </c>
      <c r="E40" s="31"/>
      <c r="F40" s="31"/>
      <c r="G40" s="25"/>
      <c r="H40" s="34">
        <v>0</v>
      </c>
      <c r="I40" s="27">
        <f>H40*0.07</f>
        <v>0</v>
      </c>
      <c r="J40" s="23">
        <f>SUM(H40:I40)</f>
        <v>0</v>
      </c>
      <c r="K40" s="56"/>
      <c r="L40" s="56"/>
      <c r="M40" s="55">
        <v>0</v>
      </c>
      <c r="N40" s="31"/>
      <c r="O40" s="25"/>
      <c r="P40" s="27">
        <f>ROUND(R40*100/107,2)</f>
        <v>0</v>
      </c>
      <c r="Q40" s="27">
        <f>P40*0.07</f>
        <v>0</v>
      </c>
      <c r="R40" s="32">
        <f>D40+J40-M40</f>
        <v>0</v>
      </c>
    </row>
    <row r="41" spans="1:18" ht="27" customHeight="1">
      <c r="A41" s="42">
        <v>3</v>
      </c>
      <c r="B41" s="203"/>
      <c r="C41" s="204"/>
      <c r="D41" s="23">
        <v>0</v>
      </c>
      <c r="E41" s="31"/>
      <c r="F41" s="31"/>
      <c r="G41" s="25"/>
      <c r="H41" s="90">
        <v>0</v>
      </c>
      <c r="I41" s="27">
        <f>H41*0.07</f>
        <v>0</v>
      </c>
      <c r="J41" s="23">
        <f>SUM(H41:I41)</f>
        <v>0</v>
      </c>
      <c r="K41" s="56"/>
      <c r="L41" s="56"/>
      <c r="M41" s="55">
        <v>0</v>
      </c>
      <c r="N41" s="31"/>
      <c r="O41" s="25"/>
      <c r="P41" s="27">
        <f>ROUND(R41*100/107,2)</f>
        <v>0</v>
      </c>
      <c r="Q41" s="27">
        <f>P41*0.07</f>
        <v>0</v>
      </c>
      <c r="R41" s="92">
        <f>D41+J41-M41</f>
        <v>0</v>
      </c>
    </row>
    <row r="42" spans="1:18" ht="19.2" thickBot="1">
      <c r="A42" s="93"/>
      <c r="B42" s="191" t="s">
        <v>19</v>
      </c>
      <c r="C42" s="192"/>
      <c r="D42" s="43">
        <f>SUM(D39:D41)</f>
        <v>0</v>
      </c>
      <c r="E42" s="43"/>
      <c r="F42" s="43"/>
      <c r="G42" s="43"/>
      <c r="H42" s="43">
        <f>SUM(H39:H41)</f>
        <v>0</v>
      </c>
      <c r="I42" s="43">
        <f>SUM(I39:I41)</f>
        <v>0</v>
      </c>
      <c r="J42" s="43">
        <f>SUM(J39:J41)</f>
        <v>0</v>
      </c>
      <c r="K42" s="45"/>
      <c r="L42" s="46"/>
      <c r="M42" s="47">
        <f>SUM(M39:M41)</f>
        <v>0</v>
      </c>
      <c r="N42" s="48"/>
      <c r="O42" s="43"/>
      <c r="P42" s="43">
        <f>SUM(P39:P41)</f>
        <v>0</v>
      </c>
      <c r="Q42" s="43">
        <f>SUM(Q39:Q41)</f>
        <v>0</v>
      </c>
      <c r="R42" s="43">
        <f>SUM(R39:R41)</f>
        <v>0</v>
      </c>
    </row>
    <row r="43" spans="1:18" ht="19.2" thickTop="1">
      <c r="A43" s="8"/>
      <c r="B43" s="51" t="s">
        <v>28</v>
      </c>
      <c r="C43" s="94"/>
      <c r="D43" s="11"/>
      <c r="E43" s="12"/>
      <c r="F43" s="12"/>
      <c r="G43" s="53"/>
      <c r="H43" s="14"/>
      <c r="I43" s="15"/>
      <c r="J43" s="11"/>
      <c r="K43" s="16"/>
      <c r="L43" s="17"/>
      <c r="M43" s="18"/>
      <c r="N43" s="19"/>
      <c r="O43" s="13"/>
      <c r="P43" s="13"/>
      <c r="Q43" s="13"/>
      <c r="R43" s="20"/>
    </row>
    <row r="44" spans="1:18" ht="18.600000000000001">
      <c r="A44" s="8">
        <v>1</v>
      </c>
      <c r="B44" s="62"/>
      <c r="C44" s="63"/>
      <c r="D44" s="23">
        <v>0</v>
      </c>
      <c r="E44" s="24"/>
      <c r="F44" s="24"/>
      <c r="G44" s="25"/>
      <c r="H44" s="26">
        <v>0</v>
      </c>
      <c r="I44" s="27">
        <f>H44*0.07</f>
        <v>0</v>
      </c>
      <c r="J44" s="23">
        <v>0</v>
      </c>
      <c r="K44" s="28"/>
      <c r="L44" s="29"/>
      <c r="M44" s="30">
        <v>0</v>
      </c>
      <c r="N44" s="31"/>
      <c r="O44" s="25"/>
      <c r="P44" s="27">
        <f>ROUND(R44*100/107,2)</f>
        <v>0</v>
      </c>
      <c r="Q44" s="27">
        <f>P44*0.07</f>
        <v>0</v>
      </c>
      <c r="R44" s="32">
        <f>D44+J44-M44</f>
        <v>0</v>
      </c>
    </row>
    <row r="45" spans="1:18" ht="18.600000000000001">
      <c r="A45" s="8">
        <f>+A44+1</f>
        <v>2</v>
      </c>
      <c r="B45" s="64" t="s">
        <v>21</v>
      </c>
      <c r="C45" s="63"/>
      <c r="D45" s="23">
        <v>0</v>
      </c>
      <c r="E45" s="24"/>
      <c r="F45" s="24"/>
      <c r="G45" s="25"/>
      <c r="H45" s="27">
        <v>0</v>
      </c>
      <c r="I45" s="27">
        <f>H45*0.07</f>
        <v>0</v>
      </c>
      <c r="J45" s="36">
        <v>0</v>
      </c>
      <c r="K45" s="28"/>
      <c r="L45" s="29"/>
      <c r="M45" s="30">
        <v>0</v>
      </c>
      <c r="N45" s="31"/>
      <c r="O45" s="25"/>
      <c r="P45" s="27">
        <f>ROUND(R45*100/107,2)</f>
        <v>0</v>
      </c>
      <c r="Q45" s="27">
        <f>P45*0.07</f>
        <v>0</v>
      </c>
      <c r="R45" s="32">
        <f>D45+J45-M45</f>
        <v>0</v>
      </c>
    </row>
    <row r="46" spans="1:18" ht="18.600000000000001">
      <c r="A46" s="8">
        <f>+A45+1</f>
        <v>3</v>
      </c>
      <c r="B46" s="65"/>
      <c r="C46" s="63"/>
      <c r="D46" s="23">
        <v>0</v>
      </c>
      <c r="E46" s="24"/>
      <c r="F46" s="38"/>
      <c r="G46" s="39"/>
      <c r="H46" s="40">
        <f>J46*100/107</f>
        <v>0</v>
      </c>
      <c r="I46" s="40">
        <f>H46*0.07</f>
        <v>0</v>
      </c>
      <c r="J46" s="41">
        <v>0</v>
      </c>
      <c r="K46" s="28"/>
      <c r="L46" s="29"/>
      <c r="M46" s="30">
        <v>0</v>
      </c>
      <c r="N46" s="31"/>
      <c r="O46" s="25"/>
      <c r="P46" s="27">
        <f>ROUND(R46*100/107,2)</f>
        <v>0</v>
      </c>
      <c r="Q46" s="27">
        <f>P46*0.07</f>
        <v>0</v>
      </c>
      <c r="R46" s="32">
        <f>D46+J46-M46</f>
        <v>0</v>
      </c>
    </row>
    <row r="47" spans="1:18" ht="19.2" thickBot="1">
      <c r="A47" s="42"/>
      <c r="B47" s="191" t="s">
        <v>19</v>
      </c>
      <c r="C47" s="192"/>
      <c r="D47" s="43">
        <f>SUM(D44:D46)</f>
        <v>0</v>
      </c>
      <c r="E47" s="43"/>
      <c r="F47" s="43"/>
      <c r="G47" s="44"/>
      <c r="H47" s="44">
        <f>SUM(H44:H46)</f>
        <v>0</v>
      </c>
      <c r="I47" s="44">
        <f>SUM(I44:I46)</f>
        <v>0</v>
      </c>
      <c r="J47" s="44">
        <f>SUM(J44:J46)</f>
        <v>0</v>
      </c>
      <c r="K47" s="45"/>
      <c r="L47" s="46"/>
      <c r="M47" s="47">
        <f>SUM(M44:M46)</f>
        <v>0</v>
      </c>
      <c r="N47" s="48"/>
      <c r="O47" s="43"/>
      <c r="P47" s="49">
        <f>ROUND(R47*100/107,2)</f>
        <v>0</v>
      </c>
      <c r="Q47" s="49">
        <f>P47*0.07</f>
        <v>0</v>
      </c>
      <c r="R47" s="50">
        <f>SUM(R44:R46)</f>
        <v>0</v>
      </c>
    </row>
    <row r="48" spans="1:18" ht="19.2" thickTop="1">
      <c r="A48" s="8"/>
      <c r="B48" s="67" t="s">
        <v>29</v>
      </c>
      <c r="C48" s="68"/>
      <c r="D48" s="69"/>
      <c r="E48" s="70"/>
      <c r="F48" s="70"/>
      <c r="G48" s="71"/>
      <c r="H48" s="72"/>
      <c r="I48" s="73"/>
      <c r="J48" s="69"/>
      <c r="K48" s="74"/>
      <c r="L48" s="75"/>
      <c r="M48" s="76"/>
      <c r="N48" s="77"/>
      <c r="O48" s="78"/>
      <c r="P48" s="78"/>
      <c r="Q48" s="78"/>
      <c r="R48" s="79"/>
    </row>
    <row r="49" spans="1:18" ht="18.600000000000001">
      <c r="A49" s="8">
        <v>1</v>
      </c>
      <c r="B49" s="62"/>
      <c r="C49" s="63"/>
      <c r="D49" s="23">
        <v>0</v>
      </c>
      <c r="E49" s="24"/>
      <c r="F49" s="24"/>
      <c r="G49" s="25"/>
      <c r="H49" s="26">
        <v>0</v>
      </c>
      <c r="I49" s="27">
        <f>H49*0.07</f>
        <v>0</v>
      </c>
      <c r="J49" s="23">
        <v>0</v>
      </c>
      <c r="K49" s="28"/>
      <c r="L49" s="29"/>
      <c r="M49" s="30">
        <v>0</v>
      </c>
      <c r="N49" s="31"/>
      <c r="O49" s="25"/>
      <c r="P49" s="27">
        <f>ROUND(R49*100/107,2)</f>
        <v>0</v>
      </c>
      <c r="Q49" s="27">
        <f>P49*0.07</f>
        <v>0</v>
      </c>
      <c r="R49" s="32">
        <f>D49+J49-M49</f>
        <v>0</v>
      </c>
    </row>
    <row r="50" spans="1:18" ht="18.600000000000001">
      <c r="A50" s="8">
        <f>+A49+1</f>
        <v>2</v>
      </c>
      <c r="B50" s="64" t="s">
        <v>21</v>
      </c>
      <c r="C50" s="63"/>
      <c r="D50" s="23">
        <v>0</v>
      </c>
      <c r="E50" s="24"/>
      <c r="F50" s="24"/>
      <c r="G50" s="25"/>
      <c r="H50" s="27">
        <v>0</v>
      </c>
      <c r="I50" s="27">
        <f>H50*0.07</f>
        <v>0</v>
      </c>
      <c r="J50" s="36">
        <v>0</v>
      </c>
      <c r="K50" s="28"/>
      <c r="L50" s="29"/>
      <c r="M50" s="30">
        <v>0</v>
      </c>
      <c r="N50" s="31"/>
      <c r="O50" s="25"/>
      <c r="P50" s="27">
        <f>ROUND(R50*100/107,2)</f>
        <v>0</v>
      </c>
      <c r="Q50" s="27">
        <f>P50*0.07</f>
        <v>0</v>
      </c>
      <c r="R50" s="32">
        <f>D50+J50-M50</f>
        <v>0</v>
      </c>
    </row>
    <row r="51" spans="1:18" ht="18.600000000000001">
      <c r="A51" s="8">
        <f>+A50+1</f>
        <v>3</v>
      </c>
      <c r="B51" s="65"/>
      <c r="C51" s="63"/>
      <c r="D51" s="23">
        <v>0</v>
      </c>
      <c r="E51" s="24"/>
      <c r="F51" s="38"/>
      <c r="G51" s="39"/>
      <c r="H51" s="40">
        <f>J51*100/107</f>
        <v>0</v>
      </c>
      <c r="I51" s="40">
        <f>H51*0.07</f>
        <v>0</v>
      </c>
      <c r="J51" s="41">
        <v>0</v>
      </c>
      <c r="K51" s="28"/>
      <c r="L51" s="29"/>
      <c r="M51" s="30">
        <v>0</v>
      </c>
      <c r="N51" s="31"/>
      <c r="O51" s="25"/>
      <c r="P51" s="27">
        <f>ROUND(R51*100/107,2)</f>
        <v>0</v>
      </c>
      <c r="Q51" s="27">
        <f>P51*0.07</f>
        <v>0</v>
      </c>
      <c r="R51" s="32">
        <f>D51+J51-M51</f>
        <v>0</v>
      </c>
    </row>
    <row r="52" spans="1:18" ht="19.2" thickBot="1">
      <c r="A52" s="42"/>
      <c r="B52" s="191" t="s">
        <v>19</v>
      </c>
      <c r="C52" s="192"/>
      <c r="D52" s="43">
        <f>SUM(D49:D51)</f>
        <v>0</v>
      </c>
      <c r="E52" s="43"/>
      <c r="F52" s="43"/>
      <c r="G52" s="44"/>
      <c r="H52" s="44">
        <f>SUM(H49:H51)</f>
        <v>0</v>
      </c>
      <c r="I52" s="44">
        <f>SUM(I49:I51)</f>
        <v>0</v>
      </c>
      <c r="J52" s="44">
        <f>SUM(J49:J51)</f>
        <v>0</v>
      </c>
      <c r="K52" s="45"/>
      <c r="L52" s="46"/>
      <c r="M52" s="47">
        <f>SUM(M49:M51)</f>
        <v>0</v>
      </c>
      <c r="N52" s="48"/>
      <c r="O52" s="43"/>
      <c r="P52" s="49">
        <f>ROUND(R52*100/107,2)</f>
        <v>0</v>
      </c>
      <c r="Q52" s="49">
        <f>P52*0.07</f>
        <v>0</v>
      </c>
      <c r="R52" s="50">
        <f>SUM(R49:R51)</f>
        <v>0</v>
      </c>
    </row>
    <row r="53" spans="1:18" ht="19.2" thickTop="1">
      <c r="A53" s="8"/>
      <c r="B53" s="51" t="s">
        <v>30</v>
      </c>
      <c r="C53" s="52"/>
      <c r="D53" s="11"/>
      <c r="E53" s="12"/>
      <c r="F53" s="12"/>
      <c r="G53" s="53"/>
      <c r="H53" s="14"/>
      <c r="I53" s="15"/>
      <c r="J53" s="11"/>
      <c r="K53" s="16"/>
      <c r="L53" s="17"/>
      <c r="M53" s="18"/>
      <c r="N53" s="19"/>
      <c r="O53" s="13"/>
      <c r="P53" s="13"/>
      <c r="Q53" s="13"/>
      <c r="R53" s="20"/>
    </row>
    <row r="54" spans="1:18" ht="18.600000000000001">
      <c r="A54" s="8">
        <v>1</v>
      </c>
      <c r="B54" s="62"/>
      <c r="C54" s="63"/>
      <c r="D54" s="23">
        <v>0</v>
      </c>
      <c r="E54" s="24"/>
      <c r="F54" s="24"/>
      <c r="G54" s="25"/>
      <c r="H54" s="26">
        <v>0</v>
      </c>
      <c r="I54" s="27">
        <f>H54*0.07</f>
        <v>0</v>
      </c>
      <c r="J54" s="23">
        <v>0</v>
      </c>
      <c r="K54" s="28"/>
      <c r="L54" s="29"/>
      <c r="M54" s="30">
        <v>0</v>
      </c>
      <c r="N54" s="31"/>
      <c r="O54" s="25"/>
      <c r="P54" s="27">
        <f>ROUND(R54*100/107,2)</f>
        <v>0</v>
      </c>
      <c r="Q54" s="27">
        <f>P54*0.07</f>
        <v>0</v>
      </c>
      <c r="R54" s="32">
        <f>D54+J54-M54</f>
        <v>0</v>
      </c>
    </row>
    <row r="55" spans="1:18" ht="18.600000000000001">
      <c r="A55" s="8">
        <f>+A54+1</f>
        <v>2</v>
      </c>
      <c r="B55" s="64" t="s">
        <v>21</v>
      </c>
      <c r="C55" s="63"/>
      <c r="D55" s="23">
        <v>0</v>
      </c>
      <c r="E55" s="24"/>
      <c r="F55" s="24"/>
      <c r="G55" s="25"/>
      <c r="H55" s="27">
        <v>0</v>
      </c>
      <c r="I55" s="27">
        <f>H55*0.07</f>
        <v>0</v>
      </c>
      <c r="J55" s="36">
        <v>0</v>
      </c>
      <c r="K55" s="28"/>
      <c r="L55" s="29"/>
      <c r="M55" s="30">
        <v>0</v>
      </c>
      <c r="N55" s="31"/>
      <c r="O55" s="25"/>
      <c r="P55" s="27">
        <f>ROUND(R55*100/107,2)</f>
        <v>0</v>
      </c>
      <c r="Q55" s="27">
        <f>P55*0.07</f>
        <v>0</v>
      </c>
      <c r="R55" s="32">
        <f>D55+J55-M55</f>
        <v>0</v>
      </c>
    </row>
    <row r="56" spans="1:18" ht="18.600000000000001">
      <c r="A56" s="8">
        <f>+A55+1</f>
        <v>3</v>
      </c>
      <c r="B56" s="65"/>
      <c r="C56" s="63"/>
      <c r="D56" s="23">
        <v>0</v>
      </c>
      <c r="E56" s="24"/>
      <c r="F56" s="38"/>
      <c r="G56" s="39"/>
      <c r="H56" s="40">
        <f>J56*100/107</f>
        <v>0</v>
      </c>
      <c r="I56" s="40">
        <f>H56*0.07</f>
        <v>0</v>
      </c>
      <c r="J56" s="41">
        <v>0</v>
      </c>
      <c r="K56" s="28"/>
      <c r="L56" s="29"/>
      <c r="M56" s="30">
        <v>0</v>
      </c>
      <c r="N56" s="31"/>
      <c r="O56" s="25"/>
      <c r="P56" s="27">
        <f>ROUND(R56*100/107,2)</f>
        <v>0</v>
      </c>
      <c r="Q56" s="27">
        <f>P56*0.07</f>
        <v>0</v>
      </c>
      <c r="R56" s="32">
        <f>D56+J56-M56</f>
        <v>0</v>
      </c>
    </row>
    <row r="57" spans="1:18" ht="19.2" thickBot="1">
      <c r="A57" s="42"/>
      <c r="B57" s="191" t="s">
        <v>19</v>
      </c>
      <c r="C57" s="192"/>
      <c r="D57" s="43">
        <f>SUM(D54:D56)</f>
        <v>0</v>
      </c>
      <c r="E57" s="43"/>
      <c r="F57" s="43"/>
      <c r="G57" s="44"/>
      <c r="H57" s="44">
        <f>SUM(H54:H56)</f>
        <v>0</v>
      </c>
      <c r="I57" s="44">
        <f>SUM(I54:I56)</f>
        <v>0</v>
      </c>
      <c r="J57" s="44">
        <f>SUM(J54:J56)</f>
        <v>0</v>
      </c>
      <c r="K57" s="45"/>
      <c r="L57" s="46"/>
      <c r="M57" s="47">
        <f>SUM(M54:M56)</f>
        <v>0</v>
      </c>
      <c r="N57" s="48"/>
      <c r="O57" s="43"/>
      <c r="P57" s="49">
        <f>ROUND(R57*100/107,2)</f>
        <v>0</v>
      </c>
      <c r="Q57" s="49">
        <f>P57*0.07</f>
        <v>0</v>
      </c>
      <c r="R57" s="50">
        <f>SUM(R54:R56)</f>
        <v>0</v>
      </c>
    </row>
    <row r="58" spans="1:18" ht="19.2" thickTop="1">
      <c r="A58" s="8"/>
      <c r="B58" s="95" t="s">
        <v>31</v>
      </c>
      <c r="C58" s="68"/>
      <c r="D58" s="69"/>
      <c r="E58" s="70"/>
      <c r="F58" s="70"/>
      <c r="G58" s="78"/>
      <c r="H58" s="78"/>
      <c r="I58" s="78"/>
      <c r="J58" s="69"/>
      <c r="K58" s="74"/>
      <c r="L58" s="75"/>
      <c r="M58" s="76"/>
      <c r="N58" s="77"/>
      <c r="O58" s="78"/>
      <c r="P58" s="78"/>
      <c r="Q58" s="78"/>
      <c r="R58" s="96"/>
    </row>
    <row r="59" spans="1:18" ht="18.600000000000001">
      <c r="A59" s="42">
        <v>1</v>
      </c>
      <c r="B59" s="97" t="s">
        <v>32</v>
      </c>
      <c r="C59" s="98" t="s">
        <v>33</v>
      </c>
      <c r="D59" s="98">
        <v>0</v>
      </c>
      <c r="E59" s="24" t="s">
        <v>34</v>
      </c>
      <c r="F59" s="24"/>
      <c r="G59" s="25"/>
      <c r="H59" s="27">
        <v>322273.98</v>
      </c>
      <c r="I59" s="81">
        <v>0</v>
      </c>
      <c r="J59" s="23">
        <f>SUM(H59:I59)</f>
        <v>322273.98</v>
      </c>
      <c r="K59" s="28"/>
      <c r="L59" s="29"/>
      <c r="M59" s="55">
        <v>0</v>
      </c>
      <c r="N59" s="24" t="s">
        <v>34</v>
      </c>
      <c r="O59" s="25"/>
      <c r="P59" s="27">
        <f>+D59+H59-M59</f>
        <v>322273.98</v>
      </c>
      <c r="Q59" s="27">
        <v>0</v>
      </c>
      <c r="R59" s="99">
        <f>D59+J59-M59</f>
        <v>322273.98</v>
      </c>
    </row>
    <row r="60" spans="1:18" ht="18.600000000000001">
      <c r="A60" s="42"/>
      <c r="B60" s="100" t="s">
        <v>35</v>
      </c>
      <c r="C60" s="98" t="s">
        <v>36</v>
      </c>
      <c r="D60" s="98"/>
      <c r="E60" s="24"/>
      <c r="F60" s="24"/>
      <c r="G60" s="25"/>
      <c r="H60" s="25"/>
      <c r="I60" s="25"/>
      <c r="J60" s="23"/>
      <c r="K60" s="28"/>
      <c r="L60" s="29"/>
      <c r="M60" s="55"/>
      <c r="N60" s="31"/>
      <c r="O60" s="25"/>
      <c r="P60" s="27"/>
      <c r="Q60" s="27"/>
      <c r="R60" s="99"/>
    </row>
    <row r="61" spans="1:18" ht="18.600000000000001">
      <c r="A61" s="42"/>
      <c r="B61" s="100" t="s">
        <v>37</v>
      </c>
      <c r="C61" s="101"/>
      <c r="D61" s="23"/>
      <c r="E61" s="24"/>
      <c r="F61" s="24"/>
      <c r="G61" s="25"/>
      <c r="H61" s="25"/>
      <c r="I61" s="25"/>
      <c r="J61" s="23"/>
      <c r="K61" s="28"/>
      <c r="L61" s="29"/>
      <c r="M61" s="55"/>
      <c r="N61" s="31"/>
      <c r="O61" s="25"/>
      <c r="P61" s="27"/>
      <c r="Q61" s="27"/>
      <c r="R61" s="99"/>
    </row>
    <row r="62" spans="1:18" ht="18.600000000000001">
      <c r="A62" s="42"/>
      <c r="B62" s="100" t="s">
        <v>38</v>
      </c>
      <c r="C62" s="101"/>
      <c r="D62" s="23"/>
      <c r="E62" s="24"/>
      <c r="F62" s="24"/>
      <c r="G62" s="25"/>
      <c r="H62" s="25"/>
      <c r="I62" s="25"/>
      <c r="J62" s="23"/>
      <c r="K62" s="28"/>
      <c r="L62" s="29"/>
      <c r="M62" s="55"/>
      <c r="N62" s="31"/>
      <c r="O62" s="25"/>
      <c r="P62" s="27"/>
      <c r="Q62" s="27"/>
      <c r="R62" s="99"/>
    </row>
    <row r="63" spans="1:18" ht="18.600000000000001">
      <c r="A63" s="8">
        <f>+A59+1</f>
        <v>2</v>
      </c>
      <c r="B63" s="102" t="s">
        <v>32</v>
      </c>
      <c r="C63" s="98" t="s">
        <v>39</v>
      </c>
      <c r="D63" s="98">
        <v>0</v>
      </c>
      <c r="E63" s="62" t="s">
        <v>40</v>
      </c>
      <c r="F63" s="62">
        <v>16</v>
      </c>
      <c r="G63" s="25"/>
      <c r="H63" s="27">
        <v>5208581.93</v>
      </c>
      <c r="I63" s="26">
        <v>0</v>
      </c>
      <c r="J63" s="23">
        <f>SUM(H63:I63)</f>
        <v>5208581.93</v>
      </c>
      <c r="K63" s="28"/>
      <c r="L63" s="29"/>
      <c r="M63" s="55">
        <v>0</v>
      </c>
      <c r="N63" s="62" t="s">
        <v>40</v>
      </c>
      <c r="O63" s="25">
        <v>16</v>
      </c>
      <c r="P63" s="27">
        <f>+D63+H63-M63</f>
        <v>5208581.93</v>
      </c>
      <c r="Q63" s="27">
        <v>0</v>
      </c>
      <c r="R63" s="99">
        <f>D63+J63-M63</f>
        <v>5208581.93</v>
      </c>
    </row>
    <row r="64" spans="1:18" ht="18.600000000000001">
      <c r="A64" s="8"/>
      <c r="B64" s="100" t="s">
        <v>41</v>
      </c>
      <c r="C64" s="101"/>
      <c r="D64" s="23"/>
      <c r="E64" s="62" t="s">
        <v>42</v>
      </c>
      <c r="F64" s="62"/>
      <c r="G64" s="25"/>
      <c r="H64" s="25"/>
      <c r="I64" s="25"/>
      <c r="J64" s="23"/>
      <c r="K64" s="28"/>
      <c r="L64" s="29"/>
      <c r="M64" s="55"/>
      <c r="N64" s="62" t="s">
        <v>42</v>
      </c>
      <c r="O64" s="25"/>
      <c r="P64" s="27"/>
      <c r="Q64" s="25"/>
      <c r="R64" s="92"/>
    </row>
    <row r="65" spans="1:18" ht="18.600000000000001">
      <c r="A65" s="8"/>
      <c r="B65" s="103" t="s">
        <v>43</v>
      </c>
      <c r="C65" s="104"/>
      <c r="D65" s="23"/>
      <c r="E65" s="24"/>
      <c r="F65" s="24"/>
      <c r="G65" s="25"/>
      <c r="H65" s="25"/>
      <c r="I65" s="25"/>
      <c r="J65" s="23"/>
      <c r="K65" s="28"/>
      <c r="L65" s="29"/>
      <c r="M65" s="55"/>
      <c r="N65" s="31"/>
      <c r="O65" s="25"/>
      <c r="P65" s="27"/>
      <c r="Q65" s="25"/>
      <c r="R65" s="92"/>
    </row>
    <row r="66" spans="1:18" ht="18.600000000000001">
      <c r="A66" s="8"/>
      <c r="B66" s="103" t="s">
        <v>44</v>
      </c>
      <c r="C66" s="104"/>
      <c r="D66" s="23"/>
      <c r="E66" s="24"/>
      <c r="F66" s="24"/>
      <c r="G66" s="25"/>
      <c r="H66" s="25"/>
      <c r="I66" s="25"/>
      <c r="J66" s="23"/>
      <c r="K66" s="28"/>
      <c r="L66" s="29"/>
      <c r="M66" s="55"/>
      <c r="N66" s="31"/>
      <c r="O66" s="25"/>
      <c r="P66" s="27"/>
      <c r="Q66" s="25"/>
      <c r="R66" s="92"/>
    </row>
    <row r="67" spans="1:18" ht="18.600000000000001">
      <c r="A67" s="8"/>
      <c r="B67" s="199" t="s">
        <v>19</v>
      </c>
      <c r="C67" s="200"/>
      <c r="D67" s="23"/>
      <c r="E67" s="24"/>
      <c r="F67" s="24"/>
      <c r="G67" s="25"/>
      <c r="H67" s="25"/>
      <c r="I67" s="25"/>
      <c r="J67" s="23"/>
      <c r="K67" s="28"/>
      <c r="L67" s="29"/>
      <c r="M67" s="55"/>
      <c r="N67" s="31"/>
      <c r="O67" s="25"/>
      <c r="P67" s="27"/>
      <c r="Q67" s="25"/>
      <c r="R67" s="92"/>
    </row>
    <row r="68" spans="1:18" ht="21.6" thickBot="1">
      <c r="A68" s="105"/>
      <c r="B68" s="201"/>
      <c r="C68" s="202"/>
      <c r="D68" s="106">
        <f>SUM(D59:D67)</f>
        <v>0</v>
      </c>
      <c r="E68" s="106"/>
      <c r="F68" s="106"/>
      <c r="G68" s="106"/>
      <c r="H68" s="106">
        <f t="shared" ref="H68:M68" si="0">SUM(H59:H67)</f>
        <v>5530855.9100000001</v>
      </c>
      <c r="I68" s="106">
        <f t="shared" si="0"/>
        <v>0</v>
      </c>
      <c r="J68" s="106">
        <f t="shared" si="0"/>
        <v>5530855.9100000001</v>
      </c>
      <c r="K68" s="107"/>
      <c r="L68" s="107"/>
      <c r="M68" s="107">
        <f t="shared" si="0"/>
        <v>0</v>
      </c>
      <c r="N68" s="108"/>
      <c r="O68" s="106"/>
      <c r="P68" s="106">
        <f>SUM(P59:P67)</f>
        <v>5530855.9100000001</v>
      </c>
      <c r="Q68" s="106">
        <f>SUM(Q59:Q67)</f>
        <v>0</v>
      </c>
      <c r="R68" s="106">
        <f>SUM(R59:R67)</f>
        <v>5530855.9100000001</v>
      </c>
    </row>
    <row r="69" spans="1:18" ht="19.2" thickTop="1">
      <c r="A69" s="8"/>
      <c r="B69" s="51" t="s">
        <v>45</v>
      </c>
      <c r="C69" s="52"/>
      <c r="D69" s="11"/>
      <c r="E69" s="12"/>
      <c r="F69" s="12"/>
      <c r="G69" s="53"/>
      <c r="H69" s="14"/>
      <c r="I69" s="15"/>
      <c r="J69" s="11"/>
      <c r="K69" s="16"/>
      <c r="L69" s="17"/>
      <c r="M69" s="18"/>
      <c r="N69" s="19"/>
      <c r="O69" s="13"/>
      <c r="P69" s="13"/>
      <c r="Q69" s="13"/>
      <c r="R69" s="20"/>
    </row>
    <row r="70" spans="1:18" ht="18.600000000000001">
      <c r="A70" s="8">
        <v>1</v>
      </c>
      <c r="B70" s="62"/>
      <c r="C70" s="63"/>
      <c r="D70" s="23">
        <v>0</v>
      </c>
      <c r="E70" s="24"/>
      <c r="F70" s="24"/>
      <c r="G70" s="25"/>
      <c r="H70" s="26">
        <v>0</v>
      </c>
      <c r="I70" s="27">
        <f>H70*0.07</f>
        <v>0</v>
      </c>
      <c r="J70" s="23">
        <v>0</v>
      </c>
      <c r="K70" s="28"/>
      <c r="L70" s="29"/>
      <c r="M70" s="30">
        <v>0</v>
      </c>
      <c r="N70" s="31"/>
      <c r="O70" s="25"/>
      <c r="P70" s="27">
        <f>ROUND(R70*100/107,2)</f>
        <v>0</v>
      </c>
      <c r="Q70" s="27">
        <f>P70*0.07</f>
        <v>0</v>
      </c>
      <c r="R70" s="32">
        <f>D70+J70-M70</f>
        <v>0</v>
      </c>
    </row>
    <row r="71" spans="1:18" ht="18.600000000000001">
      <c r="A71" s="8">
        <f>+A70+1</f>
        <v>2</v>
      </c>
      <c r="B71" s="64" t="s">
        <v>21</v>
      </c>
      <c r="C71" s="63"/>
      <c r="D71" s="23">
        <v>0</v>
      </c>
      <c r="E71" s="24"/>
      <c r="F71" s="24"/>
      <c r="G71" s="25"/>
      <c r="H71" s="34">
        <v>0</v>
      </c>
      <c r="I71" s="35">
        <f>H71*0.07</f>
        <v>0</v>
      </c>
      <c r="J71" s="36">
        <v>0</v>
      </c>
      <c r="K71" s="28"/>
      <c r="L71" s="29"/>
      <c r="M71" s="30">
        <v>0</v>
      </c>
      <c r="N71" s="31"/>
      <c r="O71" s="25"/>
      <c r="P71" s="27">
        <f>ROUND(R71*100/107,2)</f>
        <v>0</v>
      </c>
      <c r="Q71" s="27">
        <f>P71*0.07</f>
        <v>0</v>
      </c>
      <c r="R71" s="32">
        <f>D71+J71-M71</f>
        <v>0</v>
      </c>
    </row>
    <row r="72" spans="1:18" ht="18.600000000000001">
      <c r="A72" s="8">
        <f>+A71+1</f>
        <v>3</v>
      </c>
      <c r="B72" s="65"/>
      <c r="C72" s="63"/>
      <c r="D72" s="23">
        <v>0</v>
      </c>
      <c r="E72" s="24"/>
      <c r="F72" s="38"/>
      <c r="G72" s="39"/>
      <c r="H72" s="40">
        <f>J72*100/107</f>
        <v>0</v>
      </c>
      <c r="I72" s="40">
        <f>H72*0.07</f>
        <v>0</v>
      </c>
      <c r="J72" s="41">
        <v>0</v>
      </c>
      <c r="K72" s="28"/>
      <c r="L72" s="29"/>
      <c r="M72" s="30">
        <v>0</v>
      </c>
      <c r="N72" s="31"/>
      <c r="O72" s="25"/>
      <c r="P72" s="27">
        <f>ROUND(R72*100/107,2)</f>
        <v>0</v>
      </c>
      <c r="Q72" s="27">
        <f>P72*0.07</f>
        <v>0</v>
      </c>
      <c r="R72" s="32">
        <f>D72+J72-M72</f>
        <v>0</v>
      </c>
    </row>
    <row r="73" spans="1:18" ht="19.2" thickBot="1">
      <c r="A73" s="42"/>
      <c r="B73" s="191" t="s">
        <v>19</v>
      </c>
      <c r="C73" s="192"/>
      <c r="D73" s="43">
        <f>SUM(D70:D72)</f>
        <v>0</v>
      </c>
      <c r="E73" s="43"/>
      <c r="F73" s="43"/>
      <c r="G73" s="44"/>
      <c r="H73" s="44">
        <f>SUM(H70:H72)</f>
        <v>0</v>
      </c>
      <c r="I73" s="44">
        <f>SUM(I70:I72)</f>
        <v>0</v>
      </c>
      <c r="J73" s="44">
        <f>SUM(J70:J72)</f>
        <v>0</v>
      </c>
      <c r="K73" s="45"/>
      <c r="L73" s="46"/>
      <c r="M73" s="47">
        <f>SUM(M70:M72)</f>
        <v>0</v>
      </c>
      <c r="N73" s="48"/>
      <c r="O73" s="43"/>
      <c r="P73" s="49">
        <f>ROUND(R73*100/107,2)</f>
        <v>0</v>
      </c>
      <c r="Q73" s="49">
        <f>P73*0.07</f>
        <v>0</v>
      </c>
      <c r="R73" s="50">
        <f>SUM(R70:R72)</f>
        <v>0</v>
      </c>
    </row>
    <row r="74" spans="1:18" ht="19.2" thickTop="1">
      <c r="A74" s="42"/>
      <c r="B74" s="109" t="s">
        <v>46</v>
      </c>
      <c r="C74" s="110"/>
      <c r="D74" s="69"/>
      <c r="E74" s="70"/>
      <c r="F74" s="70"/>
      <c r="G74" s="78"/>
      <c r="H74" s="85">
        <f>J74*100/107</f>
        <v>0</v>
      </c>
      <c r="I74" s="85">
        <f>H74*0.07</f>
        <v>0</v>
      </c>
      <c r="J74" s="111"/>
      <c r="K74" s="74"/>
      <c r="L74" s="75"/>
      <c r="M74" s="76"/>
      <c r="N74" s="77"/>
      <c r="O74" s="78"/>
      <c r="P74" s="78"/>
      <c r="Q74" s="78"/>
      <c r="R74" s="79"/>
    </row>
    <row r="75" spans="1:18" ht="18.600000000000001">
      <c r="A75" s="42">
        <v>1</v>
      </c>
      <c r="B75" s="97"/>
      <c r="C75" s="112"/>
      <c r="D75" s="23">
        <v>0</v>
      </c>
      <c r="E75" s="24"/>
      <c r="F75" s="24"/>
      <c r="G75" s="25"/>
      <c r="H75" s="26">
        <v>0</v>
      </c>
      <c r="I75" s="27">
        <f>H75*0.07</f>
        <v>0</v>
      </c>
      <c r="J75" s="23">
        <v>0</v>
      </c>
      <c r="K75" s="28"/>
      <c r="L75" s="29"/>
      <c r="M75" s="55">
        <v>0</v>
      </c>
      <c r="N75" s="54"/>
      <c r="O75" s="25"/>
      <c r="P75" s="27">
        <f>ROUND(R75*100/107,2)</f>
        <v>0</v>
      </c>
      <c r="Q75" s="27">
        <f>P75*0.07</f>
        <v>0</v>
      </c>
      <c r="R75" s="32">
        <f>D75+J75-M75</f>
        <v>0</v>
      </c>
    </row>
    <row r="76" spans="1:18" ht="18.600000000000001">
      <c r="A76" s="42">
        <f>+A75+1</f>
        <v>2</v>
      </c>
      <c r="B76" s="113" t="s">
        <v>21</v>
      </c>
      <c r="C76" s="112"/>
      <c r="D76" s="23">
        <v>0</v>
      </c>
      <c r="E76" s="24"/>
      <c r="F76" s="24"/>
      <c r="G76" s="25"/>
      <c r="H76" s="26">
        <v>0</v>
      </c>
      <c r="I76" s="27">
        <f>H76*0.07</f>
        <v>0</v>
      </c>
      <c r="J76" s="23">
        <v>0</v>
      </c>
      <c r="K76" s="28"/>
      <c r="L76" s="29"/>
      <c r="M76" s="55">
        <v>0</v>
      </c>
      <c r="N76" s="31"/>
      <c r="O76" s="25"/>
      <c r="P76" s="27">
        <v>0</v>
      </c>
      <c r="Q76" s="27">
        <f>P76*0.07</f>
        <v>0</v>
      </c>
      <c r="R76" s="32">
        <f>D76+J76-M76</f>
        <v>0</v>
      </c>
    </row>
    <row r="77" spans="1:18" ht="18.600000000000001">
      <c r="A77" s="42">
        <f>+A76+1</f>
        <v>3</v>
      </c>
      <c r="B77" s="62"/>
      <c r="C77" s="112"/>
      <c r="D77" s="23">
        <v>0</v>
      </c>
      <c r="E77" s="24"/>
      <c r="F77" s="24"/>
      <c r="G77" s="25"/>
      <c r="H77" s="26">
        <v>0</v>
      </c>
      <c r="I77" s="27">
        <f>H77*0.07</f>
        <v>0</v>
      </c>
      <c r="J77" s="23">
        <v>0</v>
      </c>
      <c r="K77" s="28"/>
      <c r="L77" s="29"/>
      <c r="M77" s="55">
        <v>0</v>
      </c>
      <c r="N77" s="31"/>
      <c r="O77" s="25"/>
      <c r="P77" s="27">
        <f>ROUND(R77*100/107,2)</f>
        <v>0</v>
      </c>
      <c r="Q77" s="27">
        <f>P77*0.07</f>
        <v>0</v>
      </c>
      <c r="R77" s="32">
        <f>D77+J77-M77</f>
        <v>0</v>
      </c>
    </row>
    <row r="78" spans="1:18" ht="19.2" thickBot="1">
      <c r="A78" s="42"/>
      <c r="B78" s="191" t="s">
        <v>19</v>
      </c>
      <c r="C78" s="192"/>
      <c r="D78" s="106">
        <f>SUM(D75:D77)</f>
        <v>0</v>
      </c>
      <c r="E78" s="106"/>
      <c r="F78" s="106"/>
      <c r="G78" s="106"/>
      <c r="H78" s="106">
        <f>SUM(H75:H77)</f>
        <v>0</v>
      </c>
      <c r="I78" s="106">
        <f>SUM(I75:I77)</f>
        <v>0</v>
      </c>
      <c r="J78" s="106">
        <f>SUM(J75:J77)</f>
        <v>0</v>
      </c>
      <c r="K78" s="114"/>
      <c r="L78" s="114"/>
      <c r="M78" s="107">
        <f>SUM(M75:M77)</f>
        <v>0</v>
      </c>
      <c r="N78" s="108"/>
      <c r="O78" s="106"/>
      <c r="P78" s="106">
        <f>SUM(P75:P77)</f>
        <v>0</v>
      </c>
      <c r="Q78" s="106">
        <f>SUM(Q75:Q77)</f>
        <v>0</v>
      </c>
      <c r="R78" s="106">
        <f>SUM(R75:R77)</f>
        <v>0</v>
      </c>
    </row>
    <row r="79" spans="1:18" ht="19.2" thickTop="1">
      <c r="A79" s="42"/>
      <c r="B79" s="115" t="s">
        <v>47</v>
      </c>
      <c r="C79" s="94"/>
      <c r="D79" s="111"/>
      <c r="E79" s="70"/>
      <c r="F79" s="70"/>
      <c r="G79" s="78"/>
      <c r="H79" s="116"/>
      <c r="I79" s="78"/>
      <c r="J79" s="69"/>
      <c r="K79" s="16"/>
      <c r="L79" s="17"/>
      <c r="M79" s="18"/>
      <c r="N79" s="77"/>
      <c r="O79" s="78"/>
      <c r="P79" s="78"/>
      <c r="Q79" s="78"/>
      <c r="R79" s="96"/>
    </row>
    <row r="80" spans="1:18" ht="18.600000000000001">
      <c r="A80" s="42">
        <v>1</v>
      </c>
      <c r="B80" s="195"/>
      <c r="C80" s="196"/>
      <c r="D80" s="23">
        <v>0</v>
      </c>
      <c r="E80" s="77"/>
      <c r="F80" s="77"/>
      <c r="G80" s="78"/>
      <c r="H80" s="34">
        <v>0</v>
      </c>
      <c r="I80" s="27">
        <f>H80*0.07</f>
        <v>0</v>
      </c>
      <c r="J80" s="23">
        <f>SUM(H80:I80)</f>
        <v>0</v>
      </c>
      <c r="K80" s="56"/>
      <c r="L80" s="56"/>
      <c r="M80" s="55">
        <v>0</v>
      </c>
      <c r="N80" s="77"/>
      <c r="O80" s="78"/>
      <c r="P80" s="27">
        <f>R80*100/107</f>
        <v>0</v>
      </c>
      <c r="Q80" s="27">
        <f>P80*0.07</f>
        <v>0</v>
      </c>
      <c r="R80" s="32">
        <f>D80+J80-M80</f>
        <v>0</v>
      </c>
    </row>
    <row r="81" spans="1:18" ht="18.600000000000001">
      <c r="A81" s="8">
        <v>2</v>
      </c>
      <c r="B81" s="197" t="s">
        <v>21</v>
      </c>
      <c r="C81" s="198"/>
      <c r="D81" s="23">
        <v>0</v>
      </c>
      <c r="E81" s="31"/>
      <c r="F81" s="31"/>
      <c r="G81" s="25"/>
      <c r="H81" s="34">
        <v>0</v>
      </c>
      <c r="I81" s="27">
        <f>H81*0.07</f>
        <v>0</v>
      </c>
      <c r="J81" s="23">
        <f>SUM(H81:I81)</f>
        <v>0</v>
      </c>
      <c r="K81" s="56"/>
      <c r="L81" s="117"/>
      <c r="M81" s="55">
        <v>0</v>
      </c>
      <c r="N81" s="31"/>
      <c r="O81" s="25"/>
      <c r="P81" s="27">
        <f>ROUND(R81*100/107,2)</f>
        <v>0</v>
      </c>
      <c r="Q81" s="27">
        <f>P81*0.07</f>
        <v>0</v>
      </c>
      <c r="R81" s="32">
        <f>D81+J81-M81</f>
        <v>0</v>
      </c>
    </row>
    <row r="82" spans="1:18" ht="18.600000000000001">
      <c r="A82" s="42">
        <v>3</v>
      </c>
      <c r="B82" s="195"/>
      <c r="C82" s="196"/>
      <c r="D82" s="118">
        <v>0</v>
      </c>
      <c r="E82" s="54"/>
      <c r="F82" s="54"/>
      <c r="G82" s="25"/>
      <c r="H82" s="81">
        <v>0</v>
      </c>
      <c r="I82" s="27">
        <f>H82*0.07</f>
        <v>0</v>
      </c>
      <c r="J82" s="23">
        <f>SUM(H82:I82)</f>
        <v>0</v>
      </c>
      <c r="K82" s="56"/>
      <c r="L82" s="91"/>
      <c r="M82" s="55">
        <v>0</v>
      </c>
      <c r="N82" s="54"/>
      <c r="O82" s="25"/>
      <c r="P82" s="27">
        <f>R82*100/107</f>
        <v>0</v>
      </c>
      <c r="Q82" s="27">
        <f>P82*0.07</f>
        <v>0</v>
      </c>
      <c r="R82" s="32">
        <f>D82+J82-M82</f>
        <v>0</v>
      </c>
    </row>
    <row r="83" spans="1:18" ht="19.2" thickBot="1">
      <c r="A83" s="42"/>
      <c r="B83" s="191" t="s">
        <v>19</v>
      </c>
      <c r="C83" s="192"/>
      <c r="D83" s="43">
        <f>SUM(D80:D82)</f>
        <v>0</v>
      </c>
      <c r="E83" s="43"/>
      <c r="F83" s="43"/>
      <c r="G83" s="43"/>
      <c r="H83" s="43">
        <f>SUM(H80:H82)</f>
        <v>0</v>
      </c>
      <c r="I83" s="43">
        <f>SUM(I80:I82)</f>
        <v>0</v>
      </c>
      <c r="J83" s="43">
        <f>SUM(J80:J82)</f>
        <v>0</v>
      </c>
      <c r="K83" s="119"/>
      <c r="L83" s="119"/>
      <c r="M83" s="47">
        <f>SUM(M80:M82)</f>
        <v>0</v>
      </c>
      <c r="N83" s="48"/>
      <c r="O83" s="43"/>
      <c r="P83" s="43">
        <f>SUM(P80:P82)</f>
        <v>0</v>
      </c>
      <c r="Q83" s="43">
        <f>SUM(Q80:Q82)</f>
        <v>0</v>
      </c>
      <c r="R83" s="43">
        <f>SUM(R80:R82)</f>
        <v>0</v>
      </c>
    </row>
    <row r="84" spans="1:18" ht="19.2" thickTop="1">
      <c r="A84" s="8"/>
      <c r="B84" s="51" t="s">
        <v>48</v>
      </c>
      <c r="C84" s="52"/>
      <c r="D84" s="11"/>
      <c r="E84" s="12"/>
      <c r="F84" s="12"/>
      <c r="G84" s="53"/>
      <c r="H84" s="14"/>
      <c r="I84" s="15"/>
      <c r="J84" s="11"/>
      <c r="K84" s="16"/>
      <c r="L84" s="17"/>
      <c r="M84" s="18"/>
      <c r="N84" s="19"/>
      <c r="O84" s="13"/>
      <c r="P84" s="13"/>
      <c r="Q84" s="13"/>
      <c r="R84" s="20"/>
    </row>
    <row r="85" spans="1:18" ht="18.600000000000001">
      <c r="A85" s="8">
        <v>1</v>
      </c>
      <c r="B85" s="62"/>
      <c r="C85" s="63"/>
      <c r="D85" s="23">
        <v>0</v>
      </c>
      <c r="E85" s="24"/>
      <c r="F85" s="24"/>
      <c r="G85" s="25"/>
      <c r="H85" s="26">
        <v>0</v>
      </c>
      <c r="I85" s="27">
        <f>H85*0.07</f>
        <v>0</v>
      </c>
      <c r="J85" s="23">
        <v>0</v>
      </c>
      <c r="K85" s="28"/>
      <c r="L85" s="29"/>
      <c r="M85" s="30">
        <v>0</v>
      </c>
      <c r="N85" s="31"/>
      <c r="O85" s="25"/>
      <c r="P85" s="27">
        <f>ROUND(R85*100/107,2)</f>
        <v>0</v>
      </c>
      <c r="Q85" s="27">
        <f>P85*0.07</f>
        <v>0</v>
      </c>
      <c r="R85" s="32">
        <f>D85+J85-M85</f>
        <v>0</v>
      </c>
    </row>
    <row r="86" spans="1:18" ht="18.600000000000001">
      <c r="A86" s="8">
        <f>+A85+1</f>
        <v>2</v>
      </c>
      <c r="B86" s="64" t="s">
        <v>21</v>
      </c>
      <c r="C86" s="63"/>
      <c r="D86" s="23">
        <v>0</v>
      </c>
      <c r="E86" s="24"/>
      <c r="F86" s="24"/>
      <c r="G86" s="25"/>
      <c r="H86" s="34">
        <v>0</v>
      </c>
      <c r="I86" s="35">
        <f>H86*0.07</f>
        <v>0</v>
      </c>
      <c r="J86" s="36">
        <v>0</v>
      </c>
      <c r="K86" s="28"/>
      <c r="L86" s="29"/>
      <c r="M86" s="30">
        <v>0</v>
      </c>
      <c r="N86" s="31"/>
      <c r="O86" s="25"/>
      <c r="P86" s="27">
        <f>ROUND(R86*100/107,2)</f>
        <v>0</v>
      </c>
      <c r="Q86" s="27">
        <f>P86*0.07</f>
        <v>0</v>
      </c>
      <c r="R86" s="32">
        <f>D86+J86-M86</f>
        <v>0</v>
      </c>
    </row>
    <row r="87" spans="1:18" ht="18.600000000000001">
      <c r="A87" s="8">
        <f>+A86+1</f>
        <v>3</v>
      </c>
      <c r="B87" s="65"/>
      <c r="C87" s="63"/>
      <c r="D87" s="23">
        <v>0</v>
      </c>
      <c r="E87" s="24"/>
      <c r="F87" s="38"/>
      <c r="G87" s="39"/>
      <c r="H87" s="40">
        <f>J87*100/107</f>
        <v>0</v>
      </c>
      <c r="I87" s="40">
        <f>H87*0.07</f>
        <v>0</v>
      </c>
      <c r="J87" s="41">
        <v>0</v>
      </c>
      <c r="K87" s="28"/>
      <c r="L87" s="29"/>
      <c r="M87" s="30">
        <v>0</v>
      </c>
      <c r="N87" s="31"/>
      <c r="O87" s="25"/>
      <c r="P87" s="27">
        <f>ROUND(R87*100/107,2)</f>
        <v>0</v>
      </c>
      <c r="Q87" s="27">
        <f>P87*0.07</f>
        <v>0</v>
      </c>
      <c r="R87" s="32">
        <f>D87+J87-M87</f>
        <v>0</v>
      </c>
    </row>
    <row r="88" spans="1:18" ht="19.2" thickBot="1">
      <c r="A88" s="42"/>
      <c r="B88" s="191" t="s">
        <v>19</v>
      </c>
      <c r="C88" s="192"/>
      <c r="D88" s="43">
        <f>SUM(D85:D87)</f>
        <v>0</v>
      </c>
      <c r="E88" s="43"/>
      <c r="F88" s="43"/>
      <c r="G88" s="44"/>
      <c r="H88" s="44">
        <f>SUM(H85:H87)</f>
        <v>0</v>
      </c>
      <c r="I88" s="44">
        <f>SUM(I85:I87)</f>
        <v>0</v>
      </c>
      <c r="J88" s="44">
        <f>SUM(J85:J87)</f>
        <v>0</v>
      </c>
      <c r="K88" s="45"/>
      <c r="L88" s="46"/>
      <c r="M88" s="47">
        <f>SUM(M85:M87)</f>
        <v>0</v>
      </c>
      <c r="N88" s="48"/>
      <c r="O88" s="43"/>
      <c r="P88" s="49">
        <f>ROUND(R88*100/107,2)</f>
        <v>0</v>
      </c>
      <c r="Q88" s="49">
        <f>P88*0.07</f>
        <v>0</v>
      </c>
      <c r="R88" s="50">
        <f>SUM(R85:R87)</f>
        <v>0</v>
      </c>
    </row>
    <row r="89" spans="1:18" ht="19.2" thickTop="1">
      <c r="A89" s="8"/>
      <c r="B89" s="67" t="s">
        <v>49</v>
      </c>
      <c r="C89" s="68"/>
      <c r="D89" s="69"/>
      <c r="E89" s="70"/>
      <c r="F89" s="70"/>
      <c r="G89" s="71"/>
      <c r="H89" s="72"/>
      <c r="I89" s="73"/>
      <c r="J89" s="69"/>
      <c r="K89" s="74"/>
      <c r="L89" s="75"/>
      <c r="M89" s="76"/>
      <c r="N89" s="77"/>
      <c r="O89" s="78"/>
      <c r="P89" s="78"/>
      <c r="Q89" s="78"/>
      <c r="R89" s="79"/>
    </row>
    <row r="90" spans="1:18" ht="18.600000000000001">
      <c r="A90" s="8">
        <v>1</v>
      </c>
      <c r="B90" s="62"/>
      <c r="C90" s="63"/>
      <c r="D90" s="23">
        <v>0</v>
      </c>
      <c r="E90" s="24"/>
      <c r="F90" s="24"/>
      <c r="G90" s="25"/>
      <c r="H90" s="81">
        <v>0</v>
      </c>
      <c r="I90" s="27">
        <f>H90*0.07</f>
        <v>0</v>
      </c>
      <c r="J90" s="23">
        <v>0</v>
      </c>
      <c r="K90" s="28"/>
      <c r="L90" s="29"/>
      <c r="M90" s="30">
        <v>0</v>
      </c>
      <c r="N90" s="31"/>
      <c r="O90" s="25"/>
      <c r="P90" s="27">
        <f>ROUND(R90*100/107,2)</f>
        <v>0</v>
      </c>
      <c r="Q90" s="27">
        <f>P90*0.07</f>
        <v>0</v>
      </c>
      <c r="R90" s="32">
        <f>D90+J90-M90</f>
        <v>0</v>
      </c>
    </row>
    <row r="91" spans="1:18" ht="18.600000000000001">
      <c r="A91" s="8">
        <f>+A90+1</f>
        <v>2</v>
      </c>
      <c r="B91" s="64" t="s">
        <v>21</v>
      </c>
      <c r="C91" s="63"/>
      <c r="D91" s="23">
        <v>0</v>
      </c>
      <c r="E91" s="24"/>
      <c r="F91" s="24"/>
      <c r="G91" s="25"/>
      <c r="H91" s="34">
        <v>0</v>
      </c>
      <c r="I91" s="35">
        <f>H91*0.07</f>
        <v>0</v>
      </c>
      <c r="J91" s="36">
        <v>0</v>
      </c>
      <c r="K91" s="28"/>
      <c r="L91" s="29"/>
      <c r="M91" s="30">
        <v>0</v>
      </c>
      <c r="N91" s="31"/>
      <c r="O91" s="25"/>
      <c r="P91" s="27">
        <f>ROUND(R91*100/107,2)</f>
        <v>0</v>
      </c>
      <c r="Q91" s="27">
        <f>P91*0.07</f>
        <v>0</v>
      </c>
      <c r="R91" s="32">
        <f>D91+J91-M91</f>
        <v>0</v>
      </c>
    </row>
    <row r="92" spans="1:18" ht="18.600000000000001">
      <c r="A92" s="8">
        <f>+A91+1</f>
        <v>3</v>
      </c>
      <c r="B92" s="65"/>
      <c r="C92" s="63"/>
      <c r="D92" s="23">
        <v>0</v>
      </c>
      <c r="E92" s="24"/>
      <c r="F92" s="38"/>
      <c r="G92" s="39"/>
      <c r="H92" s="40">
        <f>J92*100/107</f>
        <v>0</v>
      </c>
      <c r="I92" s="40">
        <f>H92*0.07</f>
        <v>0</v>
      </c>
      <c r="J92" s="41">
        <v>0</v>
      </c>
      <c r="K92" s="28"/>
      <c r="L92" s="29"/>
      <c r="M92" s="30">
        <v>0</v>
      </c>
      <c r="N92" s="31"/>
      <c r="O92" s="25"/>
      <c r="P92" s="27">
        <f>ROUND(R92*100/107,2)</f>
        <v>0</v>
      </c>
      <c r="Q92" s="27">
        <f>P92*0.07</f>
        <v>0</v>
      </c>
      <c r="R92" s="32">
        <f>D92+J92-M92</f>
        <v>0</v>
      </c>
    </row>
    <row r="93" spans="1:18" ht="19.2" thickBot="1">
      <c r="A93" s="42"/>
      <c r="B93" s="191" t="s">
        <v>19</v>
      </c>
      <c r="C93" s="192"/>
      <c r="D93" s="43">
        <f>SUM(D90:D92)</f>
        <v>0</v>
      </c>
      <c r="E93" s="43"/>
      <c r="F93" s="43"/>
      <c r="G93" s="44"/>
      <c r="H93" s="44">
        <f>SUM(H90:H92)</f>
        <v>0</v>
      </c>
      <c r="I93" s="44">
        <f>SUM(I90:I92)</f>
        <v>0</v>
      </c>
      <c r="J93" s="44">
        <f>SUM(J90:J92)</f>
        <v>0</v>
      </c>
      <c r="K93" s="45"/>
      <c r="L93" s="46"/>
      <c r="M93" s="47">
        <f>SUM(M90:M92)</f>
        <v>0</v>
      </c>
      <c r="N93" s="48"/>
      <c r="O93" s="43"/>
      <c r="P93" s="49">
        <f>ROUND(R93*100/107,2)</f>
        <v>0</v>
      </c>
      <c r="Q93" s="49">
        <f>P93*0.07</f>
        <v>0</v>
      </c>
      <c r="R93" s="50">
        <f>SUM(R90:R92)</f>
        <v>0</v>
      </c>
    </row>
    <row r="94" spans="1:18" ht="19.2" thickTop="1">
      <c r="A94" s="8"/>
      <c r="B94" s="67" t="s">
        <v>50</v>
      </c>
      <c r="C94" s="68"/>
      <c r="D94" s="69"/>
      <c r="E94" s="70"/>
      <c r="F94" s="70"/>
      <c r="G94" s="71"/>
      <c r="H94" s="72"/>
      <c r="I94" s="73"/>
      <c r="J94" s="69"/>
      <c r="K94" s="74"/>
      <c r="L94" s="75"/>
      <c r="M94" s="76"/>
      <c r="N94" s="77"/>
      <c r="O94" s="78"/>
      <c r="P94" s="78"/>
      <c r="Q94" s="78"/>
      <c r="R94" s="79"/>
    </row>
    <row r="95" spans="1:18" ht="18.600000000000001">
      <c r="A95" s="8">
        <v>1</v>
      </c>
      <c r="B95" s="62"/>
      <c r="C95" s="63"/>
      <c r="D95" s="23">
        <v>0</v>
      </c>
      <c r="E95" s="24"/>
      <c r="F95" s="24"/>
      <c r="G95" s="25"/>
      <c r="H95" s="81">
        <v>0</v>
      </c>
      <c r="I95" s="27">
        <f>H95*0.07</f>
        <v>0</v>
      </c>
      <c r="J95" s="23">
        <v>0</v>
      </c>
      <c r="K95" s="28"/>
      <c r="L95" s="29"/>
      <c r="M95" s="30">
        <v>0</v>
      </c>
      <c r="N95" s="31"/>
      <c r="O95" s="25"/>
      <c r="P95" s="27">
        <f>ROUND(R95*100/107,2)</f>
        <v>0</v>
      </c>
      <c r="Q95" s="27">
        <f>P95*0.07</f>
        <v>0</v>
      </c>
      <c r="R95" s="32">
        <f>D95+J95-M95</f>
        <v>0</v>
      </c>
    </row>
    <row r="96" spans="1:18" ht="18.600000000000001">
      <c r="A96" s="8">
        <f>+A95+1</f>
        <v>2</v>
      </c>
      <c r="B96" s="64" t="s">
        <v>21</v>
      </c>
      <c r="C96" s="63"/>
      <c r="D96" s="23">
        <v>0</v>
      </c>
      <c r="E96" s="24"/>
      <c r="F96" s="24"/>
      <c r="G96" s="25"/>
      <c r="H96" s="27">
        <v>0</v>
      </c>
      <c r="I96" s="27">
        <f>H96*0.07</f>
        <v>0</v>
      </c>
      <c r="J96" s="36">
        <v>0</v>
      </c>
      <c r="K96" s="28"/>
      <c r="L96" s="29"/>
      <c r="M96" s="30">
        <v>0</v>
      </c>
      <c r="N96" s="31"/>
      <c r="O96" s="25"/>
      <c r="P96" s="27">
        <f>ROUND(R96*100/107,2)</f>
        <v>0</v>
      </c>
      <c r="Q96" s="27">
        <f>P96*0.07</f>
        <v>0</v>
      </c>
      <c r="R96" s="32">
        <f>D96+J96-M96</f>
        <v>0</v>
      </c>
    </row>
    <row r="97" spans="1:18" ht="18.600000000000001">
      <c r="A97" s="8">
        <f>+A96+1</f>
        <v>3</v>
      </c>
      <c r="B97" s="65"/>
      <c r="C97" s="63"/>
      <c r="D97" s="23">
        <v>0</v>
      </c>
      <c r="E97" s="24"/>
      <c r="F97" s="38"/>
      <c r="G97" s="39"/>
      <c r="H97" s="40">
        <f>J97*100/107</f>
        <v>0</v>
      </c>
      <c r="I97" s="40">
        <f>H97*0.07</f>
        <v>0</v>
      </c>
      <c r="J97" s="41">
        <v>0</v>
      </c>
      <c r="K97" s="28"/>
      <c r="L97" s="29"/>
      <c r="M97" s="30">
        <v>0</v>
      </c>
      <c r="N97" s="31"/>
      <c r="O97" s="25"/>
      <c r="P97" s="27">
        <f>ROUND(R97*100/107,2)</f>
        <v>0</v>
      </c>
      <c r="Q97" s="27">
        <f>P97*0.07</f>
        <v>0</v>
      </c>
      <c r="R97" s="32">
        <f>D97+J97-M97</f>
        <v>0</v>
      </c>
    </row>
    <row r="98" spans="1:18" ht="19.2" thickBot="1">
      <c r="A98" s="42"/>
      <c r="B98" s="191" t="s">
        <v>19</v>
      </c>
      <c r="C98" s="192"/>
      <c r="D98" s="43">
        <f>SUM(D95:D97)</f>
        <v>0</v>
      </c>
      <c r="E98" s="43"/>
      <c r="F98" s="43"/>
      <c r="G98" s="44"/>
      <c r="H98" s="44">
        <f>SUM(H95:H97)</f>
        <v>0</v>
      </c>
      <c r="I98" s="44">
        <f>SUM(I95:I97)</f>
        <v>0</v>
      </c>
      <c r="J98" s="44">
        <f>SUM(J95:J97)</f>
        <v>0</v>
      </c>
      <c r="K98" s="45"/>
      <c r="L98" s="46"/>
      <c r="M98" s="47">
        <f>SUM(M95:M97)</f>
        <v>0</v>
      </c>
      <c r="N98" s="48"/>
      <c r="O98" s="43"/>
      <c r="P98" s="49">
        <f>ROUND(R98*100/107,2)</f>
        <v>0</v>
      </c>
      <c r="Q98" s="49">
        <f>P98*0.07</f>
        <v>0</v>
      </c>
      <c r="R98" s="50">
        <f>SUM(R95:R97)</f>
        <v>0</v>
      </c>
    </row>
    <row r="99" spans="1:18" ht="19.2" thickTop="1">
      <c r="A99" s="8"/>
      <c r="B99" s="67" t="s">
        <v>51</v>
      </c>
      <c r="C99" s="68"/>
      <c r="D99" s="69"/>
      <c r="E99" s="70"/>
      <c r="F99" s="70"/>
      <c r="G99" s="71"/>
      <c r="H99" s="72"/>
      <c r="I99" s="73"/>
      <c r="J99" s="69"/>
      <c r="K99" s="74"/>
      <c r="L99" s="75"/>
      <c r="M99" s="76"/>
      <c r="N99" s="77"/>
      <c r="O99" s="78"/>
      <c r="P99" s="78"/>
      <c r="Q99" s="78"/>
      <c r="R99" s="79"/>
    </row>
    <row r="100" spans="1:18" ht="18.600000000000001">
      <c r="A100" s="8">
        <v>1</v>
      </c>
      <c r="B100" s="62"/>
      <c r="C100" s="63"/>
      <c r="D100" s="23">
        <v>0</v>
      </c>
      <c r="E100" s="24"/>
      <c r="F100" s="24"/>
      <c r="G100" s="25"/>
      <c r="H100" s="26">
        <v>0</v>
      </c>
      <c r="I100" s="27">
        <f>H100*0.07</f>
        <v>0</v>
      </c>
      <c r="J100" s="23">
        <v>0</v>
      </c>
      <c r="K100" s="28"/>
      <c r="L100" s="29"/>
      <c r="M100" s="30">
        <v>0</v>
      </c>
      <c r="N100" s="31"/>
      <c r="O100" s="25"/>
      <c r="P100" s="27">
        <f>ROUND(R100*100/107,2)</f>
        <v>0</v>
      </c>
      <c r="Q100" s="27">
        <f>P100*0.07</f>
        <v>0</v>
      </c>
      <c r="R100" s="32">
        <f>D100+J100-M100</f>
        <v>0</v>
      </c>
    </row>
    <row r="101" spans="1:18" ht="18.600000000000001">
      <c r="A101" s="8">
        <f>+A100+1</f>
        <v>2</v>
      </c>
      <c r="B101" s="64" t="s">
        <v>21</v>
      </c>
      <c r="C101" s="63"/>
      <c r="D101" s="23">
        <v>0</v>
      </c>
      <c r="E101" s="24"/>
      <c r="F101" s="24"/>
      <c r="G101" s="25"/>
      <c r="H101" s="34">
        <v>0</v>
      </c>
      <c r="I101" s="35">
        <f>H101*0.07</f>
        <v>0</v>
      </c>
      <c r="J101" s="36">
        <v>0</v>
      </c>
      <c r="K101" s="28"/>
      <c r="L101" s="29"/>
      <c r="M101" s="30">
        <v>0</v>
      </c>
      <c r="N101" s="31"/>
      <c r="O101" s="25"/>
      <c r="P101" s="27">
        <f>ROUND(R101*100/107,2)</f>
        <v>0</v>
      </c>
      <c r="Q101" s="27">
        <f>P101*0.07</f>
        <v>0</v>
      </c>
      <c r="R101" s="32">
        <f>D101+J101-M101</f>
        <v>0</v>
      </c>
    </row>
    <row r="102" spans="1:18" ht="18.600000000000001">
      <c r="A102" s="8">
        <f>+A101+1</f>
        <v>3</v>
      </c>
      <c r="B102" s="65"/>
      <c r="C102" s="63"/>
      <c r="D102" s="23">
        <v>0</v>
      </c>
      <c r="E102" s="24"/>
      <c r="F102" s="38"/>
      <c r="G102" s="39"/>
      <c r="H102" s="40">
        <f>J102*100/107</f>
        <v>0</v>
      </c>
      <c r="I102" s="40">
        <f>H102*0.07</f>
        <v>0</v>
      </c>
      <c r="J102" s="41">
        <v>0</v>
      </c>
      <c r="K102" s="28"/>
      <c r="L102" s="29"/>
      <c r="M102" s="30">
        <v>0</v>
      </c>
      <c r="N102" s="31"/>
      <c r="O102" s="25"/>
      <c r="P102" s="27">
        <f>ROUND(R102*100/107,2)</f>
        <v>0</v>
      </c>
      <c r="Q102" s="27">
        <f>P102*0.07</f>
        <v>0</v>
      </c>
      <c r="R102" s="32">
        <f>D102+J102-M102</f>
        <v>0</v>
      </c>
    </row>
    <row r="103" spans="1:18" ht="19.2" thickBot="1">
      <c r="A103" s="42"/>
      <c r="B103" s="191" t="s">
        <v>19</v>
      </c>
      <c r="C103" s="192"/>
      <c r="D103" s="43">
        <f>SUM(D100:D102)</f>
        <v>0</v>
      </c>
      <c r="E103" s="43"/>
      <c r="F103" s="43"/>
      <c r="G103" s="44"/>
      <c r="H103" s="44">
        <f>SUM(H100:H102)</f>
        <v>0</v>
      </c>
      <c r="I103" s="44">
        <f>SUM(I100:I102)</f>
        <v>0</v>
      </c>
      <c r="J103" s="44">
        <f>SUM(J100:J102)</f>
        <v>0</v>
      </c>
      <c r="K103" s="45"/>
      <c r="L103" s="46"/>
      <c r="M103" s="47">
        <f>SUM(M100:M102)</f>
        <v>0</v>
      </c>
      <c r="N103" s="48"/>
      <c r="O103" s="43"/>
      <c r="P103" s="49">
        <f>ROUND(R103*100/107,2)</f>
        <v>0</v>
      </c>
      <c r="Q103" s="49">
        <f>P103*0.07</f>
        <v>0</v>
      </c>
      <c r="R103" s="50">
        <f>SUM(R100:R102)</f>
        <v>0</v>
      </c>
    </row>
    <row r="104" spans="1:18" ht="19.2" thickTop="1">
      <c r="A104" s="8"/>
      <c r="B104" s="67" t="s">
        <v>52</v>
      </c>
      <c r="C104" s="68"/>
      <c r="D104" s="69"/>
      <c r="E104" s="70"/>
      <c r="F104" s="70"/>
      <c r="G104" s="71"/>
      <c r="H104" s="72"/>
      <c r="I104" s="73"/>
      <c r="J104" s="69"/>
      <c r="K104" s="74"/>
      <c r="L104" s="75"/>
      <c r="M104" s="76"/>
      <c r="N104" s="77"/>
      <c r="O104" s="78"/>
      <c r="P104" s="78"/>
      <c r="Q104" s="78"/>
      <c r="R104" s="79"/>
    </row>
    <row r="105" spans="1:18" ht="18.600000000000001">
      <c r="A105" s="8">
        <v>1</v>
      </c>
      <c r="B105" s="62"/>
      <c r="C105" s="63"/>
      <c r="D105" s="23">
        <v>0</v>
      </c>
      <c r="E105" s="24"/>
      <c r="F105" s="24"/>
      <c r="G105" s="25"/>
      <c r="H105" s="26">
        <v>0</v>
      </c>
      <c r="I105" s="27">
        <f>H105*0.07</f>
        <v>0</v>
      </c>
      <c r="J105" s="23">
        <v>0</v>
      </c>
      <c r="K105" s="28"/>
      <c r="L105" s="29"/>
      <c r="M105" s="30">
        <v>0</v>
      </c>
      <c r="N105" s="31"/>
      <c r="O105" s="25"/>
      <c r="P105" s="27">
        <f>ROUND(R105*100/107,2)</f>
        <v>0</v>
      </c>
      <c r="Q105" s="27">
        <f>P105*0.07</f>
        <v>0</v>
      </c>
      <c r="R105" s="32">
        <f>D105+J105-M105</f>
        <v>0</v>
      </c>
    </row>
    <row r="106" spans="1:18" ht="18.600000000000001">
      <c r="A106" s="8">
        <f>+A105+1</f>
        <v>2</v>
      </c>
      <c r="B106" s="64" t="s">
        <v>21</v>
      </c>
      <c r="C106" s="63"/>
      <c r="D106" s="23">
        <v>0</v>
      </c>
      <c r="E106" s="24"/>
      <c r="F106" s="24"/>
      <c r="G106" s="25"/>
      <c r="H106" s="34">
        <v>0</v>
      </c>
      <c r="I106" s="35">
        <f>H106*0.07</f>
        <v>0</v>
      </c>
      <c r="J106" s="36">
        <v>0</v>
      </c>
      <c r="K106" s="28"/>
      <c r="L106" s="29"/>
      <c r="M106" s="30">
        <v>0</v>
      </c>
      <c r="N106" s="31"/>
      <c r="O106" s="25"/>
      <c r="P106" s="27">
        <f>ROUND(R106*100/107,2)</f>
        <v>0</v>
      </c>
      <c r="Q106" s="27">
        <f>P106*0.07</f>
        <v>0</v>
      </c>
      <c r="R106" s="32">
        <f>D106+J106-M106</f>
        <v>0</v>
      </c>
    </row>
    <row r="107" spans="1:18" ht="18.600000000000001">
      <c r="A107" s="8">
        <f>+A106+1</f>
        <v>3</v>
      </c>
      <c r="B107" s="65"/>
      <c r="C107" s="63"/>
      <c r="D107" s="23">
        <v>0</v>
      </c>
      <c r="E107" s="24"/>
      <c r="F107" s="38"/>
      <c r="G107" s="39"/>
      <c r="H107" s="40">
        <f>J107*100/107</f>
        <v>0</v>
      </c>
      <c r="I107" s="40">
        <f>H107*0.07</f>
        <v>0</v>
      </c>
      <c r="J107" s="41">
        <v>0</v>
      </c>
      <c r="K107" s="28"/>
      <c r="L107" s="29"/>
      <c r="M107" s="30">
        <v>0</v>
      </c>
      <c r="N107" s="31"/>
      <c r="O107" s="25"/>
      <c r="P107" s="27">
        <f>ROUND(R107*100/107,2)</f>
        <v>0</v>
      </c>
      <c r="Q107" s="27">
        <f>P107*0.07</f>
        <v>0</v>
      </c>
      <c r="R107" s="32">
        <f>D107+J107-M107</f>
        <v>0</v>
      </c>
    </row>
    <row r="108" spans="1:18" ht="19.2" thickBot="1">
      <c r="A108" s="42"/>
      <c r="B108" s="191" t="s">
        <v>19</v>
      </c>
      <c r="C108" s="192"/>
      <c r="D108" s="43">
        <f>SUM(D105:D107)</f>
        <v>0</v>
      </c>
      <c r="E108" s="43"/>
      <c r="F108" s="43"/>
      <c r="G108" s="44"/>
      <c r="H108" s="44">
        <f>SUM(H105:H107)</f>
        <v>0</v>
      </c>
      <c r="I108" s="44">
        <f>SUM(I105:I107)</f>
        <v>0</v>
      </c>
      <c r="J108" s="44">
        <f>SUM(J105:J107)</f>
        <v>0</v>
      </c>
      <c r="K108" s="45"/>
      <c r="L108" s="46"/>
      <c r="M108" s="47">
        <f>SUM(M105:M107)</f>
        <v>0</v>
      </c>
      <c r="N108" s="48"/>
      <c r="O108" s="43"/>
      <c r="P108" s="49">
        <f>ROUND(R108*100/107,2)</f>
        <v>0</v>
      </c>
      <c r="Q108" s="49">
        <f>P108*0.07</f>
        <v>0</v>
      </c>
      <c r="R108" s="50">
        <f>SUM(R105:R107)</f>
        <v>0</v>
      </c>
    </row>
    <row r="109" spans="1:18" ht="19.8" thickTop="1" thickBot="1">
      <c r="A109" s="120"/>
      <c r="B109" s="193" t="s">
        <v>53</v>
      </c>
      <c r="C109" s="194"/>
      <c r="D109" s="106">
        <f>+D11+D16+D21+D26+D32+D37+D42+D47+D52+D57+D68+D73+D78+D83+D88+D93+D98+D103+D108</f>
        <v>0</v>
      </c>
      <c r="E109" s="106"/>
      <c r="F109" s="106"/>
      <c r="G109" s="106"/>
      <c r="H109" s="106">
        <f>+H11+H16+H21+H26+H32+H37+H42+H47+H52+H57+H68+H73+H78+H83+H88+H93+H98+H103+H108</f>
        <v>5530855.9100000001</v>
      </c>
      <c r="I109" s="106">
        <f>+I11+I16+I21+I26+I32+I37+I42+I47+I52+I57+I68+I73+I78+I83+I88+I93+I98+I103+I108</f>
        <v>0</v>
      </c>
      <c r="J109" s="106">
        <f>+J11+J16+J21+J26+J32+J37+J42+J47+J52+J57+J68+J73+J78+J83+J88+J93+J98+J103+J108</f>
        <v>5530855.9100000001</v>
      </c>
      <c r="K109" s="114"/>
      <c r="L109" s="114"/>
      <c r="M109" s="107">
        <f>+M11+M16+M21+M26+M32+M37+M42+M47+M52+M57+M68+M73+M78+M83+M88+M93+M98+M103+M108</f>
        <v>0</v>
      </c>
      <c r="N109" s="108"/>
      <c r="O109" s="106"/>
      <c r="P109" s="106">
        <f>+P11+P16+P21+P26+P32+P37+P42+P47+P52+P57+P68+P73+P78+P83+P88+P93+P98+P103+P108</f>
        <v>5530855.9100000001</v>
      </c>
      <c r="Q109" s="106">
        <f>+Q11+Q16+Q21+Q26+Q32+Q37+Q42+Q47+Q52+Q57+Q68+Q73+Q78+Q83+Q88+Q93+Q98+Q103+Q108</f>
        <v>0</v>
      </c>
      <c r="R109" s="106">
        <f>+R11+R16+R21+R26+R32+R37+R42+R47+R52+R57+R68+R73+R78+R83+R88+R93+R98+R103+R108</f>
        <v>5530855.9100000001</v>
      </c>
    </row>
    <row r="110" spans="1:18" ht="19.2" thickTop="1">
      <c r="A110" s="120"/>
      <c r="B110" s="121"/>
      <c r="C110" s="121"/>
      <c r="D110" s="121"/>
      <c r="E110" s="121"/>
      <c r="F110" s="121"/>
      <c r="G110" s="121"/>
      <c r="H110" s="121"/>
      <c r="I110" s="121"/>
      <c r="J110" s="121"/>
      <c r="K110" s="122"/>
      <c r="L110" s="123"/>
      <c r="M110" s="124"/>
      <c r="N110" s="125"/>
      <c r="O110" s="121"/>
      <c r="P110" s="121"/>
      <c r="Q110" s="121"/>
      <c r="R110" s="126"/>
    </row>
    <row r="111" spans="1:18" ht="6.75" customHeight="1">
      <c r="A111" s="120"/>
      <c r="B111" s="121"/>
      <c r="C111" s="121"/>
      <c r="D111" s="121"/>
      <c r="E111" s="121"/>
      <c r="F111" s="121"/>
      <c r="G111" s="121"/>
      <c r="H111" s="121"/>
      <c r="I111" s="121"/>
      <c r="J111" s="121"/>
      <c r="K111" s="122"/>
      <c r="L111" s="123"/>
      <c r="M111" s="124"/>
      <c r="N111" s="125"/>
      <c r="O111" s="121"/>
      <c r="P111" s="121"/>
      <c r="Q111" s="121"/>
      <c r="R111" s="126"/>
    </row>
    <row r="112" spans="1:18" ht="18.600000000000001">
      <c r="A112" s="120"/>
      <c r="B112" s="121"/>
      <c r="C112" s="121"/>
      <c r="D112" s="121"/>
      <c r="E112" s="127"/>
      <c r="F112" s="127"/>
      <c r="G112" s="121"/>
      <c r="H112" s="121"/>
      <c r="I112" s="121"/>
      <c r="J112" s="121"/>
      <c r="K112" s="122"/>
      <c r="L112" s="123"/>
      <c r="M112" s="124"/>
      <c r="N112" s="189" t="s">
        <v>54</v>
      </c>
      <c r="O112" s="189"/>
      <c r="P112" s="189"/>
      <c r="Q112" s="121"/>
      <c r="R112" s="126"/>
    </row>
    <row r="113" spans="1:18" ht="18.600000000000001">
      <c r="B113" s="128"/>
      <c r="C113" s="121"/>
      <c r="D113" s="121"/>
      <c r="E113" s="121"/>
      <c r="F113" s="121"/>
      <c r="G113" s="121"/>
      <c r="H113" s="190"/>
      <c r="I113" s="190"/>
      <c r="J113" s="190"/>
      <c r="K113" s="122"/>
      <c r="L113" s="123"/>
      <c r="M113" s="124"/>
      <c r="N113" s="125"/>
      <c r="O113" s="121" t="s">
        <v>55</v>
      </c>
      <c r="P113" s="121"/>
      <c r="Q113" s="121"/>
      <c r="R113" s="126"/>
    </row>
    <row r="114" spans="1:18" ht="18.600000000000001">
      <c r="A114" s="129"/>
      <c r="B114" s="130"/>
      <c r="C114" s="129"/>
      <c r="D114" s="131"/>
      <c r="E114" s="129"/>
      <c r="F114" s="129"/>
      <c r="G114" s="132"/>
      <c r="H114" s="132"/>
      <c r="I114" s="132"/>
      <c r="J114" s="133"/>
      <c r="K114" s="134"/>
      <c r="L114" s="135"/>
      <c r="M114" s="136"/>
      <c r="N114" s="137"/>
      <c r="O114" s="132"/>
      <c r="P114" s="132"/>
      <c r="Q114" s="132"/>
      <c r="R114" s="138"/>
    </row>
  </sheetData>
  <mergeCells count="54">
    <mergeCell ref="A1:R1"/>
    <mergeCell ref="A2:R2"/>
    <mergeCell ref="A3:R3"/>
    <mergeCell ref="A4:A6"/>
    <mergeCell ref="B4:B6"/>
    <mergeCell ref="C4:C6"/>
    <mergeCell ref="D4:D6"/>
    <mergeCell ref="E4:J4"/>
    <mergeCell ref="K4:M4"/>
    <mergeCell ref="N4:R4"/>
    <mergeCell ref="B13:C13"/>
    <mergeCell ref="E5:E6"/>
    <mergeCell ref="F5:F6"/>
    <mergeCell ref="G5:G6"/>
    <mergeCell ref="H5:J5"/>
    <mergeCell ref="M5:M6"/>
    <mergeCell ref="N5:N6"/>
    <mergeCell ref="O5:O6"/>
    <mergeCell ref="P5:R5"/>
    <mergeCell ref="B11:C11"/>
    <mergeCell ref="K5:K6"/>
    <mergeCell ref="L5:L6"/>
    <mergeCell ref="B41:C41"/>
    <mergeCell ref="B14:C14"/>
    <mergeCell ref="B15:C15"/>
    <mergeCell ref="B16:C16"/>
    <mergeCell ref="B21:C21"/>
    <mergeCell ref="B26:C26"/>
    <mergeCell ref="B29:C29"/>
    <mergeCell ref="B31:C31"/>
    <mergeCell ref="B32:C32"/>
    <mergeCell ref="B37:C37"/>
    <mergeCell ref="B39:C39"/>
    <mergeCell ref="B40:C40"/>
    <mergeCell ref="B83:C83"/>
    <mergeCell ref="B42:C42"/>
    <mergeCell ref="B47:C47"/>
    <mergeCell ref="B52:C52"/>
    <mergeCell ref="B57:C57"/>
    <mergeCell ref="B67:C67"/>
    <mergeCell ref="B68:C68"/>
    <mergeCell ref="B73:C73"/>
    <mergeCell ref="B78:C78"/>
    <mergeCell ref="B80:C80"/>
    <mergeCell ref="B81:C81"/>
    <mergeCell ref="B82:C82"/>
    <mergeCell ref="N112:P112"/>
    <mergeCell ref="H113:J113"/>
    <mergeCell ref="B88:C88"/>
    <mergeCell ref="B93:C93"/>
    <mergeCell ref="B98:C98"/>
    <mergeCell ref="B103:C103"/>
    <mergeCell ref="B108:C108"/>
    <mergeCell ref="B109:C109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8E1F9-3BF2-423B-8AF3-280B5219D728}">
  <sheetPr>
    <tabColor rgb="FF00B0F0"/>
  </sheetPr>
  <dimension ref="A1:F14"/>
  <sheetViews>
    <sheetView workbookViewId="0">
      <pane ySplit="6" topLeftCell="A7" activePane="bottomLeft" state="frozen"/>
      <selection pane="bottomLeft" activeCell="A4" sqref="A4:A6"/>
    </sheetView>
  </sheetViews>
  <sheetFormatPr defaultColWidth="10.375" defaultRowHeight="14.4"/>
  <cols>
    <col min="1" max="1" width="10.375" style="1"/>
    <col min="2" max="2" width="33.25" style="1" customWidth="1"/>
    <col min="3" max="3" width="10.375" style="1"/>
    <col min="4" max="4" width="10.375" style="139"/>
    <col min="5" max="5" width="11.625" style="139" bestFit="1" customWidth="1"/>
    <col min="6" max="6" width="10.375" style="139"/>
    <col min="7" max="242" width="10.375" style="1"/>
    <col min="243" max="243" width="33.25" style="1" customWidth="1"/>
    <col min="244" max="248" width="10.375" style="1"/>
    <col min="249" max="249" width="13.625" style="1" customWidth="1"/>
    <col min="250" max="250" width="10.375" style="1"/>
    <col min="251" max="251" width="14.375" style="1" customWidth="1"/>
    <col min="252" max="252" width="10.375" style="1"/>
    <col min="253" max="253" width="11.625" style="1" bestFit="1" customWidth="1"/>
    <col min="254" max="256" width="10.375" style="1"/>
    <col min="257" max="257" width="12.875" style="1" customWidth="1"/>
    <col min="258" max="258" width="10.375" style="1"/>
    <col min="259" max="259" width="13" style="1" customWidth="1"/>
    <col min="260" max="498" width="10.375" style="1"/>
    <col min="499" max="499" width="33.25" style="1" customWidth="1"/>
    <col min="500" max="504" width="10.375" style="1"/>
    <col min="505" max="505" width="13.625" style="1" customWidth="1"/>
    <col min="506" max="506" width="10.375" style="1"/>
    <col min="507" max="507" width="14.375" style="1" customWidth="1"/>
    <col min="508" max="508" width="10.375" style="1"/>
    <col min="509" max="509" width="11.625" style="1" bestFit="1" customWidth="1"/>
    <col min="510" max="512" width="10.375" style="1"/>
    <col min="513" max="513" width="12.875" style="1" customWidth="1"/>
    <col min="514" max="514" width="10.375" style="1"/>
    <col min="515" max="515" width="13" style="1" customWidth="1"/>
    <col min="516" max="754" width="10.375" style="1"/>
    <col min="755" max="755" width="33.25" style="1" customWidth="1"/>
    <col min="756" max="760" width="10.375" style="1"/>
    <col min="761" max="761" width="13.625" style="1" customWidth="1"/>
    <col min="762" max="762" width="10.375" style="1"/>
    <col min="763" max="763" width="14.375" style="1" customWidth="1"/>
    <col min="764" max="764" width="10.375" style="1"/>
    <col min="765" max="765" width="11.625" style="1" bestFit="1" customWidth="1"/>
    <col min="766" max="768" width="10.375" style="1"/>
    <col min="769" max="769" width="12.875" style="1" customWidth="1"/>
    <col min="770" max="770" width="10.375" style="1"/>
    <col min="771" max="771" width="13" style="1" customWidth="1"/>
    <col min="772" max="1010" width="10.375" style="1"/>
    <col min="1011" max="1011" width="33.25" style="1" customWidth="1"/>
    <col min="1012" max="1016" width="10.375" style="1"/>
    <col min="1017" max="1017" width="13.625" style="1" customWidth="1"/>
    <col min="1018" max="1018" width="10.375" style="1"/>
    <col min="1019" max="1019" width="14.375" style="1" customWidth="1"/>
    <col min="1020" max="1020" width="10.375" style="1"/>
    <col min="1021" max="1021" width="11.625" style="1" bestFit="1" customWidth="1"/>
    <col min="1022" max="1024" width="10.375" style="1"/>
    <col min="1025" max="1025" width="12.875" style="1" customWidth="1"/>
    <col min="1026" max="1026" width="10.375" style="1"/>
    <col min="1027" max="1027" width="13" style="1" customWidth="1"/>
    <col min="1028" max="1266" width="10.375" style="1"/>
    <col min="1267" max="1267" width="33.25" style="1" customWidth="1"/>
    <col min="1268" max="1272" width="10.375" style="1"/>
    <col min="1273" max="1273" width="13.625" style="1" customWidth="1"/>
    <col min="1274" max="1274" width="10.375" style="1"/>
    <col min="1275" max="1275" width="14.375" style="1" customWidth="1"/>
    <col min="1276" max="1276" width="10.375" style="1"/>
    <col min="1277" max="1277" width="11.625" style="1" bestFit="1" customWidth="1"/>
    <col min="1278" max="1280" width="10.375" style="1"/>
    <col min="1281" max="1281" width="12.875" style="1" customWidth="1"/>
    <col min="1282" max="1282" width="10.375" style="1"/>
    <col min="1283" max="1283" width="13" style="1" customWidth="1"/>
    <col min="1284" max="1522" width="10.375" style="1"/>
    <col min="1523" max="1523" width="33.25" style="1" customWidth="1"/>
    <col min="1524" max="1528" width="10.375" style="1"/>
    <col min="1529" max="1529" width="13.625" style="1" customWidth="1"/>
    <col min="1530" max="1530" width="10.375" style="1"/>
    <col min="1531" max="1531" width="14.375" style="1" customWidth="1"/>
    <col min="1532" max="1532" width="10.375" style="1"/>
    <col min="1533" max="1533" width="11.625" style="1" bestFit="1" customWidth="1"/>
    <col min="1534" max="1536" width="10.375" style="1"/>
    <col min="1537" max="1537" width="12.875" style="1" customWidth="1"/>
    <col min="1538" max="1538" width="10.375" style="1"/>
    <col min="1539" max="1539" width="13" style="1" customWidth="1"/>
    <col min="1540" max="1778" width="10.375" style="1"/>
    <col min="1779" max="1779" width="33.25" style="1" customWidth="1"/>
    <col min="1780" max="1784" width="10.375" style="1"/>
    <col min="1785" max="1785" width="13.625" style="1" customWidth="1"/>
    <col min="1786" max="1786" width="10.375" style="1"/>
    <col min="1787" max="1787" width="14.375" style="1" customWidth="1"/>
    <col min="1788" max="1788" width="10.375" style="1"/>
    <col min="1789" max="1789" width="11.625" style="1" bestFit="1" customWidth="1"/>
    <col min="1790" max="1792" width="10.375" style="1"/>
    <col min="1793" max="1793" width="12.875" style="1" customWidth="1"/>
    <col min="1794" max="1794" width="10.375" style="1"/>
    <col min="1795" max="1795" width="13" style="1" customWidth="1"/>
    <col min="1796" max="2034" width="10.375" style="1"/>
    <col min="2035" max="2035" width="33.25" style="1" customWidth="1"/>
    <col min="2036" max="2040" width="10.375" style="1"/>
    <col min="2041" max="2041" width="13.625" style="1" customWidth="1"/>
    <col min="2042" max="2042" width="10.375" style="1"/>
    <col min="2043" max="2043" width="14.375" style="1" customWidth="1"/>
    <col min="2044" max="2044" width="10.375" style="1"/>
    <col min="2045" max="2045" width="11.625" style="1" bestFit="1" customWidth="1"/>
    <col min="2046" max="2048" width="10.375" style="1"/>
    <col min="2049" max="2049" width="12.875" style="1" customWidth="1"/>
    <col min="2050" max="2050" width="10.375" style="1"/>
    <col min="2051" max="2051" width="13" style="1" customWidth="1"/>
    <col min="2052" max="2290" width="10.375" style="1"/>
    <col min="2291" max="2291" width="33.25" style="1" customWidth="1"/>
    <col min="2292" max="2296" width="10.375" style="1"/>
    <col min="2297" max="2297" width="13.625" style="1" customWidth="1"/>
    <col min="2298" max="2298" width="10.375" style="1"/>
    <col min="2299" max="2299" width="14.375" style="1" customWidth="1"/>
    <col min="2300" max="2300" width="10.375" style="1"/>
    <col min="2301" max="2301" width="11.625" style="1" bestFit="1" customWidth="1"/>
    <col min="2302" max="2304" width="10.375" style="1"/>
    <col min="2305" max="2305" width="12.875" style="1" customWidth="1"/>
    <col min="2306" max="2306" width="10.375" style="1"/>
    <col min="2307" max="2307" width="13" style="1" customWidth="1"/>
    <col min="2308" max="2546" width="10.375" style="1"/>
    <col min="2547" max="2547" width="33.25" style="1" customWidth="1"/>
    <col min="2548" max="2552" width="10.375" style="1"/>
    <col min="2553" max="2553" width="13.625" style="1" customWidth="1"/>
    <col min="2554" max="2554" width="10.375" style="1"/>
    <col min="2555" max="2555" width="14.375" style="1" customWidth="1"/>
    <col min="2556" max="2556" width="10.375" style="1"/>
    <col min="2557" max="2557" width="11.625" style="1" bestFit="1" customWidth="1"/>
    <col min="2558" max="2560" width="10.375" style="1"/>
    <col min="2561" max="2561" width="12.875" style="1" customWidth="1"/>
    <col min="2562" max="2562" width="10.375" style="1"/>
    <col min="2563" max="2563" width="13" style="1" customWidth="1"/>
    <col min="2564" max="2802" width="10.375" style="1"/>
    <col min="2803" max="2803" width="33.25" style="1" customWidth="1"/>
    <col min="2804" max="2808" width="10.375" style="1"/>
    <col min="2809" max="2809" width="13.625" style="1" customWidth="1"/>
    <col min="2810" max="2810" width="10.375" style="1"/>
    <col min="2811" max="2811" width="14.375" style="1" customWidth="1"/>
    <col min="2812" max="2812" width="10.375" style="1"/>
    <col min="2813" max="2813" width="11.625" style="1" bestFit="1" customWidth="1"/>
    <col min="2814" max="2816" width="10.375" style="1"/>
    <col min="2817" max="2817" width="12.875" style="1" customWidth="1"/>
    <col min="2818" max="2818" width="10.375" style="1"/>
    <col min="2819" max="2819" width="13" style="1" customWidth="1"/>
    <col min="2820" max="3058" width="10.375" style="1"/>
    <col min="3059" max="3059" width="33.25" style="1" customWidth="1"/>
    <col min="3060" max="3064" width="10.375" style="1"/>
    <col min="3065" max="3065" width="13.625" style="1" customWidth="1"/>
    <col min="3066" max="3066" width="10.375" style="1"/>
    <col min="3067" max="3067" width="14.375" style="1" customWidth="1"/>
    <col min="3068" max="3068" width="10.375" style="1"/>
    <col min="3069" max="3069" width="11.625" style="1" bestFit="1" customWidth="1"/>
    <col min="3070" max="3072" width="10.375" style="1"/>
    <col min="3073" max="3073" width="12.875" style="1" customWidth="1"/>
    <col min="3074" max="3074" width="10.375" style="1"/>
    <col min="3075" max="3075" width="13" style="1" customWidth="1"/>
    <col min="3076" max="3314" width="10.375" style="1"/>
    <col min="3315" max="3315" width="33.25" style="1" customWidth="1"/>
    <col min="3316" max="3320" width="10.375" style="1"/>
    <col min="3321" max="3321" width="13.625" style="1" customWidth="1"/>
    <col min="3322" max="3322" width="10.375" style="1"/>
    <col min="3323" max="3323" width="14.375" style="1" customWidth="1"/>
    <col min="3324" max="3324" width="10.375" style="1"/>
    <col min="3325" max="3325" width="11.625" style="1" bestFit="1" customWidth="1"/>
    <col min="3326" max="3328" width="10.375" style="1"/>
    <col min="3329" max="3329" width="12.875" style="1" customWidth="1"/>
    <col min="3330" max="3330" width="10.375" style="1"/>
    <col min="3331" max="3331" width="13" style="1" customWidth="1"/>
    <col min="3332" max="3570" width="10.375" style="1"/>
    <col min="3571" max="3571" width="33.25" style="1" customWidth="1"/>
    <col min="3572" max="3576" width="10.375" style="1"/>
    <col min="3577" max="3577" width="13.625" style="1" customWidth="1"/>
    <col min="3578" max="3578" width="10.375" style="1"/>
    <col min="3579" max="3579" width="14.375" style="1" customWidth="1"/>
    <col min="3580" max="3580" width="10.375" style="1"/>
    <col min="3581" max="3581" width="11.625" style="1" bestFit="1" customWidth="1"/>
    <col min="3582" max="3584" width="10.375" style="1"/>
    <col min="3585" max="3585" width="12.875" style="1" customWidth="1"/>
    <col min="3586" max="3586" width="10.375" style="1"/>
    <col min="3587" max="3587" width="13" style="1" customWidth="1"/>
    <col min="3588" max="3826" width="10.375" style="1"/>
    <col min="3827" max="3827" width="33.25" style="1" customWidth="1"/>
    <col min="3828" max="3832" width="10.375" style="1"/>
    <col min="3833" max="3833" width="13.625" style="1" customWidth="1"/>
    <col min="3834" max="3834" width="10.375" style="1"/>
    <col min="3835" max="3835" width="14.375" style="1" customWidth="1"/>
    <col min="3836" max="3836" width="10.375" style="1"/>
    <col min="3837" max="3837" width="11.625" style="1" bestFit="1" customWidth="1"/>
    <col min="3838" max="3840" width="10.375" style="1"/>
    <col min="3841" max="3841" width="12.875" style="1" customWidth="1"/>
    <col min="3842" max="3842" width="10.375" style="1"/>
    <col min="3843" max="3843" width="13" style="1" customWidth="1"/>
    <col min="3844" max="4082" width="10.375" style="1"/>
    <col min="4083" max="4083" width="33.25" style="1" customWidth="1"/>
    <col min="4084" max="4088" width="10.375" style="1"/>
    <col min="4089" max="4089" width="13.625" style="1" customWidth="1"/>
    <col min="4090" max="4090" width="10.375" style="1"/>
    <col min="4091" max="4091" width="14.375" style="1" customWidth="1"/>
    <col min="4092" max="4092" width="10.375" style="1"/>
    <col min="4093" max="4093" width="11.625" style="1" bestFit="1" customWidth="1"/>
    <col min="4094" max="4096" width="10.375" style="1"/>
    <col min="4097" max="4097" width="12.875" style="1" customWidth="1"/>
    <col min="4098" max="4098" width="10.375" style="1"/>
    <col min="4099" max="4099" width="13" style="1" customWidth="1"/>
    <col min="4100" max="4338" width="10.375" style="1"/>
    <col min="4339" max="4339" width="33.25" style="1" customWidth="1"/>
    <col min="4340" max="4344" width="10.375" style="1"/>
    <col min="4345" max="4345" width="13.625" style="1" customWidth="1"/>
    <col min="4346" max="4346" width="10.375" style="1"/>
    <col min="4347" max="4347" width="14.375" style="1" customWidth="1"/>
    <col min="4348" max="4348" width="10.375" style="1"/>
    <col min="4349" max="4349" width="11.625" style="1" bestFit="1" customWidth="1"/>
    <col min="4350" max="4352" width="10.375" style="1"/>
    <col min="4353" max="4353" width="12.875" style="1" customWidth="1"/>
    <col min="4354" max="4354" width="10.375" style="1"/>
    <col min="4355" max="4355" width="13" style="1" customWidth="1"/>
    <col min="4356" max="4594" width="10.375" style="1"/>
    <col min="4595" max="4595" width="33.25" style="1" customWidth="1"/>
    <col min="4596" max="4600" width="10.375" style="1"/>
    <col min="4601" max="4601" width="13.625" style="1" customWidth="1"/>
    <col min="4602" max="4602" width="10.375" style="1"/>
    <col min="4603" max="4603" width="14.375" style="1" customWidth="1"/>
    <col min="4604" max="4604" width="10.375" style="1"/>
    <col min="4605" max="4605" width="11.625" style="1" bestFit="1" customWidth="1"/>
    <col min="4606" max="4608" width="10.375" style="1"/>
    <col min="4609" max="4609" width="12.875" style="1" customWidth="1"/>
    <col min="4610" max="4610" width="10.375" style="1"/>
    <col min="4611" max="4611" width="13" style="1" customWidth="1"/>
    <col min="4612" max="4850" width="10.375" style="1"/>
    <col min="4851" max="4851" width="33.25" style="1" customWidth="1"/>
    <col min="4852" max="4856" width="10.375" style="1"/>
    <col min="4857" max="4857" width="13.625" style="1" customWidth="1"/>
    <col min="4858" max="4858" width="10.375" style="1"/>
    <col min="4859" max="4859" width="14.375" style="1" customWidth="1"/>
    <col min="4860" max="4860" width="10.375" style="1"/>
    <col min="4861" max="4861" width="11.625" style="1" bestFit="1" customWidth="1"/>
    <col min="4862" max="4864" width="10.375" style="1"/>
    <col min="4865" max="4865" width="12.875" style="1" customWidth="1"/>
    <col min="4866" max="4866" width="10.375" style="1"/>
    <col min="4867" max="4867" width="13" style="1" customWidth="1"/>
    <col min="4868" max="5106" width="10.375" style="1"/>
    <col min="5107" max="5107" width="33.25" style="1" customWidth="1"/>
    <col min="5108" max="5112" width="10.375" style="1"/>
    <col min="5113" max="5113" width="13.625" style="1" customWidth="1"/>
    <col min="5114" max="5114" width="10.375" style="1"/>
    <col min="5115" max="5115" width="14.375" style="1" customWidth="1"/>
    <col min="5116" max="5116" width="10.375" style="1"/>
    <col min="5117" max="5117" width="11.625" style="1" bestFit="1" customWidth="1"/>
    <col min="5118" max="5120" width="10.375" style="1"/>
    <col min="5121" max="5121" width="12.875" style="1" customWidth="1"/>
    <col min="5122" max="5122" width="10.375" style="1"/>
    <col min="5123" max="5123" width="13" style="1" customWidth="1"/>
    <col min="5124" max="5362" width="10.375" style="1"/>
    <col min="5363" max="5363" width="33.25" style="1" customWidth="1"/>
    <col min="5364" max="5368" width="10.375" style="1"/>
    <col min="5369" max="5369" width="13.625" style="1" customWidth="1"/>
    <col min="5370" max="5370" width="10.375" style="1"/>
    <col min="5371" max="5371" width="14.375" style="1" customWidth="1"/>
    <col min="5372" max="5372" width="10.375" style="1"/>
    <col min="5373" max="5373" width="11.625" style="1" bestFit="1" customWidth="1"/>
    <col min="5374" max="5376" width="10.375" style="1"/>
    <col min="5377" max="5377" width="12.875" style="1" customWidth="1"/>
    <col min="5378" max="5378" width="10.375" style="1"/>
    <col min="5379" max="5379" width="13" style="1" customWidth="1"/>
    <col min="5380" max="5618" width="10.375" style="1"/>
    <col min="5619" max="5619" width="33.25" style="1" customWidth="1"/>
    <col min="5620" max="5624" width="10.375" style="1"/>
    <col min="5625" max="5625" width="13.625" style="1" customWidth="1"/>
    <col min="5626" max="5626" width="10.375" style="1"/>
    <col min="5627" max="5627" width="14.375" style="1" customWidth="1"/>
    <col min="5628" max="5628" width="10.375" style="1"/>
    <col min="5629" max="5629" width="11.625" style="1" bestFit="1" customWidth="1"/>
    <col min="5630" max="5632" width="10.375" style="1"/>
    <col min="5633" max="5633" width="12.875" style="1" customWidth="1"/>
    <col min="5634" max="5634" width="10.375" style="1"/>
    <col min="5635" max="5635" width="13" style="1" customWidth="1"/>
    <col min="5636" max="5874" width="10.375" style="1"/>
    <col min="5875" max="5875" width="33.25" style="1" customWidth="1"/>
    <col min="5876" max="5880" width="10.375" style="1"/>
    <col min="5881" max="5881" width="13.625" style="1" customWidth="1"/>
    <col min="5882" max="5882" width="10.375" style="1"/>
    <col min="5883" max="5883" width="14.375" style="1" customWidth="1"/>
    <col min="5884" max="5884" width="10.375" style="1"/>
    <col min="5885" max="5885" width="11.625" style="1" bestFit="1" customWidth="1"/>
    <col min="5886" max="5888" width="10.375" style="1"/>
    <col min="5889" max="5889" width="12.875" style="1" customWidth="1"/>
    <col min="5890" max="5890" width="10.375" style="1"/>
    <col min="5891" max="5891" width="13" style="1" customWidth="1"/>
    <col min="5892" max="6130" width="10.375" style="1"/>
    <col min="6131" max="6131" width="33.25" style="1" customWidth="1"/>
    <col min="6132" max="6136" width="10.375" style="1"/>
    <col min="6137" max="6137" width="13.625" style="1" customWidth="1"/>
    <col min="6138" max="6138" width="10.375" style="1"/>
    <col min="6139" max="6139" width="14.375" style="1" customWidth="1"/>
    <col min="6140" max="6140" width="10.375" style="1"/>
    <col min="6141" max="6141" width="11.625" style="1" bestFit="1" customWidth="1"/>
    <col min="6142" max="6144" width="10.375" style="1"/>
    <col min="6145" max="6145" width="12.875" style="1" customWidth="1"/>
    <col min="6146" max="6146" width="10.375" style="1"/>
    <col min="6147" max="6147" width="13" style="1" customWidth="1"/>
    <col min="6148" max="6386" width="10.375" style="1"/>
    <col min="6387" max="6387" width="33.25" style="1" customWidth="1"/>
    <col min="6388" max="6392" width="10.375" style="1"/>
    <col min="6393" max="6393" width="13.625" style="1" customWidth="1"/>
    <col min="6394" max="6394" width="10.375" style="1"/>
    <col min="6395" max="6395" width="14.375" style="1" customWidth="1"/>
    <col min="6396" max="6396" width="10.375" style="1"/>
    <col min="6397" max="6397" width="11.625" style="1" bestFit="1" customWidth="1"/>
    <col min="6398" max="6400" width="10.375" style="1"/>
    <col min="6401" max="6401" width="12.875" style="1" customWidth="1"/>
    <col min="6402" max="6402" width="10.375" style="1"/>
    <col min="6403" max="6403" width="13" style="1" customWidth="1"/>
    <col min="6404" max="6642" width="10.375" style="1"/>
    <col min="6643" max="6643" width="33.25" style="1" customWidth="1"/>
    <col min="6644" max="6648" width="10.375" style="1"/>
    <col min="6649" max="6649" width="13.625" style="1" customWidth="1"/>
    <col min="6650" max="6650" width="10.375" style="1"/>
    <col min="6651" max="6651" width="14.375" style="1" customWidth="1"/>
    <col min="6652" max="6652" width="10.375" style="1"/>
    <col min="6653" max="6653" width="11.625" style="1" bestFit="1" customWidth="1"/>
    <col min="6654" max="6656" width="10.375" style="1"/>
    <col min="6657" max="6657" width="12.875" style="1" customWidth="1"/>
    <col min="6658" max="6658" width="10.375" style="1"/>
    <col min="6659" max="6659" width="13" style="1" customWidth="1"/>
    <col min="6660" max="6898" width="10.375" style="1"/>
    <col min="6899" max="6899" width="33.25" style="1" customWidth="1"/>
    <col min="6900" max="6904" width="10.375" style="1"/>
    <col min="6905" max="6905" width="13.625" style="1" customWidth="1"/>
    <col min="6906" max="6906" width="10.375" style="1"/>
    <col min="6907" max="6907" width="14.375" style="1" customWidth="1"/>
    <col min="6908" max="6908" width="10.375" style="1"/>
    <col min="6909" max="6909" width="11.625" style="1" bestFit="1" customWidth="1"/>
    <col min="6910" max="6912" width="10.375" style="1"/>
    <col min="6913" max="6913" width="12.875" style="1" customWidth="1"/>
    <col min="6914" max="6914" width="10.375" style="1"/>
    <col min="6915" max="6915" width="13" style="1" customWidth="1"/>
    <col min="6916" max="7154" width="10.375" style="1"/>
    <col min="7155" max="7155" width="33.25" style="1" customWidth="1"/>
    <col min="7156" max="7160" width="10.375" style="1"/>
    <col min="7161" max="7161" width="13.625" style="1" customWidth="1"/>
    <col min="7162" max="7162" width="10.375" style="1"/>
    <col min="7163" max="7163" width="14.375" style="1" customWidth="1"/>
    <col min="7164" max="7164" width="10.375" style="1"/>
    <col min="7165" max="7165" width="11.625" style="1" bestFit="1" customWidth="1"/>
    <col min="7166" max="7168" width="10.375" style="1"/>
    <col min="7169" max="7169" width="12.875" style="1" customWidth="1"/>
    <col min="7170" max="7170" width="10.375" style="1"/>
    <col min="7171" max="7171" width="13" style="1" customWidth="1"/>
    <col min="7172" max="7410" width="10.375" style="1"/>
    <col min="7411" max="7411" width="33.25" style="1" customWidth="1"/>
    <col min="7412" max="7416" width="10.375" style="1"/>
    <col min="7417" max="7417" width="13.625" style="1" customWidth="1"/>
    <col min="7418" max="7418" width="10.375" style="1"/>
    <col min="7419" max="7419" width="14.375" style="1" customWidth="1"/>
    <col min="7420" max="7420" width="10.375" style="1"/>
    <col min="7421" max="7421" width="11.625" style="1" bestFit="1" customWidth="1"/>
    <col min="7422" max="7424" width="10.375" style="1"/>
    <col min="7425" max="7425" width="12.875" style="1" customWidth="1"/>
    <col min="7426" max="7426" width="10.375" style="1"/>
    <col min="7427" max="7427" width="13" style="1" customWidth="1"/>
    <col min="7428" max="7666" width="10.375" style="1"/>
    <col min="7667" max="7667" width="33.25" style="1" customWidth="1"/>
    <col min="7668" max="7672" width="10.375" style="1"/>
    <col min="7673" max="7673" width="13.625" style="1" customWidth="1"/>
    <col min="7674" max="7674" width="10.375" style="1"/>
    <col min="7675" max="7675" width="14.375" style="1" customWidth="1"/>
    <col min="7676" max="7676" width="10.375" style="1"/>
    <col min="7677" max="7677" width="11.625" style="1" bestFit="1" customWidth="1"/>
    <col min="7678" max="7680" width="10.375" style="1"/>
    <col min="7681" max="7681" width="12.875" style="1" customWidth="1"/>
    <col min="7682" max="7682" width="10.375" style="1"/>
    <col min="7683" max="7683" width="13" style="1" customWidth="1"/>
    <col min="7684" max="7922" width="10.375" style="1"/>
    <col min="7923" max="7923" width="33.25" style="1" customWidth="1"/>
    <col min="7924" max="7928" width="10.375" style="1"/>
    <col min="7929" max="7929" width="13.625" style="1" customWidth="1"/>
    <col min="7930" max="7930" width="10.375" style="1"/>
    <col min="7931" max="7931" width="14.375" style="1" customWidth="1"/>
    <col min="7932" max="7932" width="10.375" style="1"/>
    <col min="7933" max="7933" width="11.625" style="1" bestFit="1" customWidth="1"/>
    <col min="7934" max="7936" width="10.375" style="1"/>
    <col min="7937" max="7937" width="12.875" style="1" customWidth="1"/>
    <col min="7938" max="7938" width="10.375" style="1"/>
    <col min="7939" max="7939" width="13" style="1" customWidth="1"/>
    <col min="7940" max="8178" width="10.375" style="1"/>
    <col min="8179" max="8179" width="33.25" style="1" customWidth="1"/>
    <col min="8180" max="8184" width="10.375" style="1"/>
    <col min="8185" max="8185" width="13.625" style="1" customWidth="1"/>
    <col min="8186" max="8186" width="10.375" style="1"/>
    <col min="8187" max="8187" width="14.375" style="1" customWidth="1"/>
    <col min="8188" max="8188" width="10.375" style="1"/>
    <col min="8189" max="8189" width="11.625" style="1" bestFit="1" customWidth="1"/>
    <col min="8190" max="8192" width="10.375" style="1"/>
    <col min="8193" max="8193" width="12.875" style="1" customWidth="1"/>
    <col min="8194" max="8194" width="10.375" style="1"/>
    <col min="8195" max="8195" width="13" style="1" customWidth="1"/>
    <col min="8196" max="8434" width="10.375" style="1"/>
    <col min="8435" max="8435" width="33.25" style="1" customWidth="1"/>
    <col min="8436" max="8440" width="10.375" style="1"/>
    <col min="8441" max="8441" width="13.625" style="1" customWidth="1"/>
    <col min="8442" max="8442" width="10.375" style="1"/>
    <col min="8443" max="8443" width="14.375" style="1" customWidth="1"/>
    <col min="8444" max="8444" width="10.375" style="1"/>
    <col min="8445" max="8445" width="11.625" style="1" bestFit="1" customWidth="1"/>
    <col min="8446" max="8448" width="10.375" style="1"/>
    <col min="8449" max="8449" width="12.875" style="1" customWidth="1"/>
    <col min="8450" max="8450" width="10.375" style="1"/>
    <col min="8451" max="8451" width="13" style="1" customWidth="1"/>
    <col min="8452" max="8690" width="10.375" style="1"/>
    <col min="8691" max="8691" width="33.25" style="1" customWidth="1"/>
    <col min="8692" max="8696" width="10.375" style="1"/>
    <col min="8697" max="8697" width="13.625" style="1" customWidth="1"/>
    <col min="8698" max="8698" width="10.375" style="1"/>
    <col min="8699" max="8699" width="14.375" style="1" customWidth="1"/>
    <col min="8700" max="8700" width="10.375" style="1"/>
    <col min="8701" max="8701" width="11.625" style="1" bestFit="1" customWidth="1"/>
    <col min="8702" max="8704" width="10.375" style="1"/>
    <col min="8705" max="8705" width="12.875" style="1" customWidth="1"/>
    <col min="8706" max="8706" width="10.375" style="1"/>
    <col min="8707" max="8707" width="13" style="1" customWidth="1"/>
    <col min="8708" max="8946" width="10.375" style="1"/>
    <col min="8947" max="8947" width="33.25" style="1" customWidth="1"/>
    <col min="8948" max="8952" width="10.375" style="1"/>
    <col min="8953" max="8953" width="13.625" style="1" customWidth="1"/>
    <col min="8954" max="8954" width="10.375" style="1"/>
    <col min="8955" max="8955" width="14.375" style="1" customWidth="1"/>
    <col min="8956" max="8956" width="10.375" style="1"/>
    <col min="8957" max="8957" width="11.625" style="1" bestFit="1" customWidth="1"/>
    <col min="8958" max="8960" width="10.375" style="1"/>
    <col min="8961" max="8961" width="12.875" style="1" customWidth="1"/>
    <col min="8962" max="8962" width="10.375" style="1"/>
    <col min="8963" max="8963" width="13" style="1" customWidth="1"/>
    <col min="8964" max="9202" width="10.375" style="1"/>
    <col min="9203" max="9203" width="33.25" style="1" customWidth="1"/>
    <col min="9204" max="9208" width="10.375" style="1"/>
    <col min="9209" max="9209" width="13.625" style="1" customWidth="1"/>
    <col min="9210" max="9210" width="10.375" style="1"/>
    <col min="9211" max="9211" width="14.375" style="1" customWidth="1"/>
    <col min="9212" max="9212" width="10.375" style="1"/>
    <col min="9213" max="9213" width="11.625" style="1" bestFit="1" customWidth="1"/>
    <col min="9214" max="9216" width="10.375" style="1"/>
    <col min="9217" max="9217" width="12.875" style="1" customWidth="1"/>
    <col min="9218" max="9218" width="10.375" style="1"/>
    <col min="9219" max="9219" width="13" style="1" customWidth="1"/>
    <col min="9220" max="9458" width="10.375" style="1"/>
    <col min="9459" max="9459" width="33.25" style="1" customWidth="1"/>
    <col min="9460" max="9464" width="10.375" style="1"/>
    <col min="9465" max="9465" width="13.625" style="1" customWidth="1"/>
    <col min="9466" max="9466" width="10.375" style="1"/>
    <col min="9467" max="9467" width="14.375" style="1" customWidth="1"/>
    <col min="9468" max="9468" width="10.375" style="1"/>
    <col min="9469" max="9469" width="11.625" style="1" bestFit="1" customWidth="1"/>
    <col min="9470" max="9472" width="10.375" style="1"/>
    <col min="9473" max="9473" width="12.875" style="1" customWidth="1"/>
    <col min="9474" max="9474" width="10.375" style="1"/>
    <col min="9475" max="9475" width="13" style="1" customWidth="1"/>
    <col min="9476" max="9714" width="10.375" style="1"/>
    <col min="9715" max="9715" width="33.25" style="1" customWidth="1"/>
    <col min="9716" max="9720" width="10.375" style="1"/>
    <col min="9721" max="9721" width="13.625" style="1" customWidth="1"/>
    <col min="9722" max="9722" width="10.375" style="1"/>
    <col min="9723" max="9723" width="14.375" style="1" customWidth="1"/>
    <col min="9724" max="9724" width="10.375" style="1"/>
    <col min="9725" max="9725" width="11.625" style="1" bestFit="1" customWidth="1"/>
    <col min="9726" max="9728" width="10.375" style="1"/>
    <col min="9729" max="9729" width="12.875" style="1" customWidth="1"/>
    <col min="9730" max="9730" width="10.375" style="1"/>
    <col min="9731" max="9731" width="13" style="1" customWidth="1"/>
    <col min="9732" max="9970" width="10.375" style="1"/>
    <col min="9971" max="9971" width="33.25" style="1" customWidth="1"/>
    <col min="9972" max="9976" width="10.375" style="1"/>
    <col min="9977" max="9977" width="13.625" style="1" customWidth="1"/>
    <col min="9978" max="9978" width="10.375" style="1"/>
    <col min="9979" max="9979" width="14.375" style="1" customWidth="1"/>
    <col min="9980" max="9980" width="10.375" style="1"/>
    <col min="9981" max="9981" width="11.625" style="1" bestFit="1" customWidth="1"/>
    <col min="9982" max="9984" width="10.375" style="1"/>
    <col min="9985" max="9985" width="12.875" style="1" customWidth="1"/>
    <col min="9986" max="9986" width="10.375" style="1"/>
    <col min="9987" max="9987" width="13" style="1" customWidth="1"/>
    <col min="9988" max="10226" width="10.375" style="1"/>
    <col min="10227" max="10227" width="33.25" style="1" customWidth="1"/>
    <col min="10228" max="10232" width="10.375" style="1"/>
    <col min="10233" max="10233" width="13.625" style="1" customWidth="1"/>
    <col min="10234" max="10234" width="10.375" style="1"/>
    <col min="10235" max="10235" width="14.375" style="1" customWidth="1"/>
    <col min="10236" max="10236" width="10.375" style="1"/>
    <col min="10237" max="10237" width="11.625" style="1" bestFit="1" customWidth="1"/>
    <col min="10238" max="10240" width="10.375" style="1"/>
    <col min="10241" max="10241" width="12.875" style="1" customWidth="1"/>
    <col min="10242" max="10242" width="10.375" style="1"/>
    <col min="10243" max="10243" width="13" style="1" customWidth="1"/>
    <col min="10244" max="10482" width="10.375" style="1"/>
    <col min="10483" max="10483" width="33.25" style="1" customWidth="1"/>
    <col min="10484" max="10488" width="10.375" style="1"/>
    <col min="10489" max="10489" width="13.625" style="1" customWidth="1"/>
    <col min="10490" max="10490" width="10.375" style="1"/>
    <col min="10491" max="10491" width="14.375" style="1" customWidth="1"/>
    <col min="10492" max="10492" width="10.375" style="1"/>
    <col min="10493" max="10493" width="11.625" style="1" bestFit="1" customWidth="1"/>
    <col min="10494" max="10496" width="10.375" style="1"/>
    <col min="10497" max="10497" width="12.875" style="1" customWidth="1"/>
    <col min="10498" max="10498" width="10.375" style="1"/>
    <col min="10499" max="10499" width="13" style="1" customWidth="1"/>
    <col min="10500" max="10738" width="10.375" style="1"/>
    <col min="10739" max="10739" width="33.25" style="1" customWidth="1"/>
    <col min="10740" max="10744" width="10.375" style="1"/>
    <col min="10745" max="10745" width="13.625" style="1" customWidth="1"/>
    <col min="10746" max="10746" width="10.375" style="1"/>
    <col min="10747" max="10747" width="14.375" style="1" customWidth="1"/>
    <col min="10748" max="10748" width="10.375" style="1"/>
    <col min="10749" max="10749" width="11.625" style="1" bestFit="1" customWidth="1"/>
    <col min="10750" max="10752" width="10.375" style="1"/>
    <col min="10753" max="10753" width="12.875" style="1" customWidth="1"/>
    <col min="10754" max="10754" width="10.375" style="1"/>
    <col min="10755" max="10755" width="13" style="1" customWidth="1"/>
    <col min="10756" max="10994" width="10.375" style="1"/>
    <col min="10995" max="10995" width="33.25" style="1" customWidth="1"/>
    <col min="10996" max="11000" width="10.375" style="1"/>
    <col min="11001" max="11001" width="13.625" style="1" customWidth="1"/>
    <col min="11002" max="11002" width="10.375" style="1"/>
    <col min="11003" max="11003" width="14.375" style="1" customWidth="1"/>
    <col min="11004" max="11004" width="10.375" style="1"/>
    <col min="11005" max="11005" width="11.625" style="1" bestFit="1" customWidth="1"/>
    <col min="11006" max="11008" width="10.375" style="1"/>
    <col min="11009" max="11009" width="12.875" style="1" customWidth="1"/>
    <col min="11010" max="11010" width="10.375" style="1"/>
    <col min="11011" max="11011" width="13" style="1" customWidth="1"/>
    <col min="11012" max="11250" width="10.375" style="1"/>
    <col min="11251" max="11251" width="33.25" style="1" customWidth="1"/>
    <col min="11252" max="11256" width="10.375" style="1"/>
    <col min="11257" max="11257" width="13.625" style="1" customWidth="1"/>
    <col min="11258" max="11258" width="10.375" style="1"/>
    <col min="11259" max="11259" width="14.375" style="1" customWidth="1"/>
    <col min="11260" max="11260" width="10.375" style="1"/>
    <col min="11261" max="11261" width="11.625" style="1" bestFit="1" customWidth="1"/>
    <col min="11262" max="11264" width="10.375" style="1"/>
    <col min="11265" max="11265" width="12.875" style="1" customWidth="1"/>
    <col min="11266" max="11266" width="10.375" style="1"/>
    <col min="11267" max="11267" width="13" style="1" customWidth="1"/>
    <col min="11268" max="11506" width="10.375" style="1"/>
    <col min="11507" max="11507" width="33.25" style="1" customWidth="1"/>
    <col min="11508" max="11512" width="10.375" style="1"/>
    <col min="11513" max="11513" width="13.625" style="1" customWidth="1"/>
    <col min="11514" max="11514" width="10.375" style="1"/>
    <col min="11515" max="11515" width="14.375" style="1" customWidth="1"/>
    <col min="11516" max="11516" width="10.375" style="1"/>
    <col min="11517" max="11517" width="11.625" style="1" bestFit="1" customWidth="1"/>
    <col min="11518" max="11520" width="10.375" style="1"/>
    <col min="11521" max="11521" width="12.875" style="1" customWidth="1"/>
    <col min="11522" max="11522" width="10.375" style="1"/>
    <col min="11523" max="11523" width="13" style="1" customWidth="1"/>
    <col min="11524" max="11762" width="10.375" style="1"/>
    <col min="11763" max="11763" width="33.25" style="1" customWidth="1"/>
    <col min="11764" max="11768" width="10.375" style="1"/>
    <col min="11769" max="11769" width="13.625" style="1" customWidth="1"/>
    <col min="11770" max="11770" width="10.375" style="1"/>
    <col min="11771" max="11771" width="14.375" style="1" customWidth="1"/>
    <col min="11772" max="11772" width="10.375" style="1"/>
    <col min="11773" max="11773" width="11.625" style="1" bestFit="1" customWidth="1"/>
    <col min="11774" max="11776" width="10.375" style="1"/>
    <col min="11777" max="11777" width="12.875" style="1" customWidth="1"/>
    <col min="11778" max="11778" width="10.375" style="1"/>
    <col min="11779" max="11779" width="13" style="1" customWidth="1"/>
    <col min="11780" max="12018" width="10.375" style="1"/>
    <col min="12019" max="12019" width="33.25" style="1" customWidth="1"/>
    <col min="12020" max="12024" width="10.375" style="1"/>
    <col min="12025" max="12025" width="13.625" style="1" customWidth="1"/>
    <col min="12026" max="12026" width="10.375" style="1"/>
    <col min="12027" max="12027" width="14.375" style="1" customWidth="1"/>
    <col min="12028" max="12028" width="10.375" style="1"/>
    <col min="12029" max="12029" width="11.625" style="1" bestFit="1" customWidth="1"/>
    <col min="12030" max="12032" width="10.375" style="1"/>
    <col min="12033" max="12033" width="12.875" style="1" customWidth="1"/>
    <col min="12034" max="12034" width="10.375" style="1"/>
    <col min="12035" max="12035" width="13" style="1" customWidth="1"/>
    <col min="12036" max="12274" width="10.375" style="1"/>
    <col min="12275" max="12275" width="33.25" style="1" customWidth="1"/>
    <col min="12276" max="12280" width="10.375" style="1"/>
    <col min="12281" max="12281" width="13.625" style="1" customWidth="1"/>
    <col min="12282" max="12282" width="10.375" style="1"/>
    <col min="12283" max="12283" width="14.375" style="1" customWidth="1"/>
    <col min="12284" max="12284" width="10.375" style="1"/>
    <col min="12285" max="12285" width="11.625" style="1" bestFit="1" customWidth="1"/>
    <col min="12286" max="12288" width="10.375" style="1"/>
    <col min="12289" max="12289" width="12.875" style="1" customWidth="1"/>
    <col min="12290" max="12290" width="10.375" style="1"/>
    <col min="12291" max="12291" width="13" style="1" customWidth="1"/>
    <col min="12292" max="12530" width="10.375" style="1"/>
    <col min="12531" max="12531" width="33.25" style="1" customWidth="1"/>
    <col min="12532" max="12536" width="10.375" style="1"/>
    <col min="12537" max="12537" width="13.625" style="1" customWidth="1"/>
    <col min="12538" max="12538" width="10.375" style="1"/>
    <col min="12539" max="12539" width="14.375" style="1" customWidth="1"/>
    <col min="12540" max="12540" width="10.375" style="1"/>
    <col min="12541" max="12541" width="11.625" style="1" bestFit="1" customWidth="1"/>
    <col min="12542" max="12544" width="10.375" style="1"/>
    <col min="12545" max="12545" width="12.875" style="1" customWidth="1"/>
    <col min="12546" max="12546" width="10.375" style="1"/>
    <col min="12547" max="12547" width="13" style="1" customWidth="1"/>
    <col min="12548" max="12786" width="10.375" style="1"/>
    <col min="12787" max="12787" width="33.25" style="1" customWidth="1"/>
    <col min="12788" max="12792" width="10.375" style="1"/>
    <col min="12793" max="12793" width="13.625" style="1" customWidth="1"/>
    <col min="12794" max="12794" width="10.375" style="1"/>
    <col min="12795" max="12795" width="14.375" style="1" customWidth="1"/>
    <col min="12796" max="12796" width="10.375" style="1"/>
    <col min="12797" max="12797" width="11.625" style="1" bestFit="1" customWidth="1"/>
    <col min="12798" max="12800" width="10.375" style="1"/>
    <col min="12801" max="12801" width="12.875" style="1" customWidth="1"/>
    <col min="12802" max="12802" width="10.375" style="1"/>
    <col min="12803" max="12803" width="13" style="1" customWidth="1"/>
    <col min="12804" max="13042" width="10.375" style="1"/>
    <col min="13043" max="13043" width="33.25" style="1" customWidth="1"/>
    <col min="13044" max="13048" width="10.375" style="1"/>
    <col min="13049" max="13049" width="13.625" style="1" customWidth="1"/>
    <col min="13050" max="13050" width="10.375" style="1"/>
    <col min="13051" max="13051" width="14.375" style="1" customWidth="1"/>
    <col min="13052" max="13052" width="10.375" style="1"/>
    <col min="13053" max="13053" width="11.625" style="1" bestFit="1" customWidth="1"/>
    <col min="13054" max="13056" width="10.375" style="1"/>
    <col min="13057" max="13057" width="12.875" style="1" customWidth="1"/>
    <col min="13058" max="13058" width="10.375" style="1"/>
    <col min="13059" max="13059" width="13" style="1" customWidth="1"/>
    <col min="13060" max="13298" width="10.375" style="1"/>
    <col min="13299" max="13299" width="33.25" style="1" customWidth="1"/>
    <col min="13300" max="13304" width="10.375" style="1"/>
    <col min="13305" max="13305" width="13.625" style="1" customWidth="1"/>
    <col min="13306" max="13306" width="10.375" style="1"/>
    <col min="13307" max="13307" width="14.375" style="1" customWidth="1"/>
    <col min="13308" max="13308" width="10.375" style="1"/>
    <col min="13309" max="13309" width="11.625" style="1" bestFit="1" customWidth="1"/>
    <col min="13310" max="13312" width="10.375" style="1"/>
    <col min="13313" max="13313" width="12.875" style="1" customWidth="1"/>
    <col min="13314" max="13314" width="10.375" style="1"/>
    <col min="13315" max="13315" width="13" style="1" customWidth="1"/>
    <col min="13316" max="13554" width="10.375" style="1"/>
    <col min="13555" max="13555" width="33.25" style="1" customWidth="1"/>
    <col min="13556" max="13560" width="10.375" style="1"/>
    <col min="13561" max="13561" width="13.625" style="1" customWidth="1"/>
    <col min="13562" max="13562" width="10.375" style="1"/>
    <col min="13563" max="13563" width="14.375" style="1" customWidth="1"/>
    <col min="13564" max="13564" width="10.375" style="1"/>
    <col min="13565" max="13565" width="11.625" style="1" bestFit="1" customWidth="1"/>
    <col min="13566" max="13568" width="10.375" style="1"/>
    <col min="13569" max="13569" width="12.875" style="1" customWidth="1"/>
    <col min="13570" max="13570" width="10.375" style="1"/>
    <col min="13571" max="13571" width="13" style="1" customWidth="1"/>
    <col min="13572" max="13810" width="10.375" style="1"/>
    <col min="13811" max="13811" width="33.25" style="1" customWidth="1"/>
    <col min="13812" max="13816" width="10.375" style="1"/>
    <col min="13817" max="13817" width="13.625" style="1" customWidth="1"/>
    <col min="13818" max="13818" width="10.375" style="1"/>
    <col min="13819" max="13819" width="14.375" style="1" customWidth="1"/>
    <col min="13820" max="13820" width="10.375" style="1"/>
    <col min="13821" max="13821" width="11.625" style="1" bestFit="1" customWidth="1"/>
    <col min="13822" max="13824" width="10.375" style="1"/>
    <col min="13825" max="13825" width="12.875" style="1" customWidth="1"/>
    <col min="13826" max="13826" width="10.375" style="1"/>
    <col min="13827" max="13827" width="13" style="1" customWidth="1"/>
    <col min="13828" max="14066" width="10.375" style="1"/>
    <col min="14067" max="14067" width="33.25" style="1" customWidth="1"/>
    <col min="14068" max="14072" width="10.375" style="1"/>
    <col min="14073" max="14073" width="13.625" style="1" customWidth="1"/>
    <col min="14074" max="14074" width="10.375" style="1"/>
    <col min="14075" max="14075" width="14.375" style="1" customWidth="1"/>
    <col min="14076" max="14076" width="10.375" style="1"/>
    <col min="14077" max="14077" width="11.625" style="1" bestFit="1" customWidth="1"/>
    <col min="14078" max="14080" width="10.375" style="1"/>
    <col min="14081" max="14081" width="12.875" style="1" customWidth="1"/>
    <col min="14082" max="14082" width="10.375" style="1"/>
    <col min="14083" max="14083" width="13" style="1" customWidth="1"/>
    <col min="14084" max="14322" width="10.375" style="1"/>
    <col min="14323" max="14323" width="33.25" style="1" customWidth="1"/>
    <col min="14324" max="14328" width="10.375" style="1"/>
    <col min="14329" max="14329" width="13.625" style="1" customWidth="1"/>
    <col min="14330" max="14330" width="10.375" style="1"/>
    <col min="14331" max="14331" width="14.375" style="1" customWidth="1"/>
    <col min="14332" max="14332" width="10.375" style="1"/>
    <col min="14333" max="14333" width="11.625" style="1" bestFit="1" customWidth="1"/>
    <col min="14334" max="14336" width="10.375" style="1"/>
    <col min="14337" max="14337" width="12.875" style="1" customWidth="1"/>
    <col min="14338" max="14338" width="10.375" style="1"/>
    <col min="14339" max="14339" width="13" style="1" customWidth="1"/>
    <col min="14340" max="14578" width="10.375" style="1"/>
    <col min="14579" max="14579" width="33.25" style="1" customWidth="1"/>
    <col min="14580" max="14584" width="10.375" style="1"/>
    <col min="14585" max="14585" width="13.625" style="1" customWidth="1"/>
    <col min="14586" max="14586" width="10.375" style="1"/>
    <col min="14587" max="14587" width="14.375" style="1" customWidth="1"/>
    <col min="14588" max="14588" width="10.375" style="1"/>
    <col min="14589" max="14589" width="11.625" style="1" bestFit="1" customWidth="1"/>
    <col min="14590" max="14592" width="10.375" style="1"/>
    <col min="14593" max="14593" width="12.875" style="1" customWidth="1"/>
    <col min="14594" max="14594" width="10.375" style="1"/>
    <col min="14595" max="14595" width="13" style="1" customWidth="1"/>
    <col min="14596" max="14834" width="10.375" style="1"/>
    <col min="14835" max="14835" width="33.25" style="1" customWidth="1"/>
    <col min="14836" max="14840" width="10.375" style="1"/>
    <col min="14841" max="14841" width="13.625" style="1" customWidth="1"/>
    <col min="14842" max="14842" width="10.375" style="1"/>
    <col min="14843" max="14843" width="14.375" style="1" customWidth="1"/>
    <col min="14844" max="14844" width="10.375" style="1"/>
    <col min="14845" max="14845" width="11.625" style="1" bestFit="1" customWidth="1"/>
    <col min="14846" max="14848" width="10.375" style="1"/>
    <col min="14849" max="14849" width="12.875" style="1" customWidth="1"/>
    <col min="14850" max="14850" width="10.375" style="1"/>
    <col min="14851" max="14851" width="13" style="1" customWidth="1"/>
    <col min="14852" max="15090" width="10.375" style="1"/>
    <col min="15091" max="15091" width="33.25" style="1" customWidth="1"/>
    <col min="15092" max="15096" width="10.375" style="1"/>
    <col min="15097" max="15097" width="13.625" style="1" customWidth="1"/>
    <col min="15098" max="15098" width="10.375" style="1"/>
    <col min="15099" max="15099" width="14.375" style="1" customWidth="1"/>
    <col min="15100" max="15100" width="10.375" style="1"/>
    <col min="15101" max="15101" width="11.625" style="1" bestFit="1" customWidth="1"/>
    <col min="15102" max="15104" width="10.375" style="1"/>
    <col min="15105" max="15105" width="12.875" style="1" customWidth="1"/>
    <col min="15106" max="15106" width="10.375" style="1"/>
    <col min="15107" max="15107" width="13" style="1" customWidth="1"/>
    <col min="15108" max="15346" width="10.375" style="1"/>
    <col min="15347" max="15347" width="33.25" style="1" customWidth="1"/>
    <col min="15348" max="15352" width="10.375" style="1"/>
    <col min="15353" max="15353" width="13.625" style="1" customWidth="1"/>
    <col min="15354" max="15354" width="10.375" style="1"/>
    <col min="15355" max="15355" width="14.375" style="1" customWidth="1"/>
    <col min="15356" max="15356" width="10.375" style="1"/>
    <col min="15357" max="15357" width="11.625" style="1" bestFit="1" customWidth="1"/>
    <col min="15358" max="15360" width="10.375" style="1"/>
    <col min="15361" max="15361" width="12.875" style="1" customWidth="1"/>
    <col min="15362" max="15362" width="10.375" style="1"/>
    <col min="15363" max="15363" width="13" style="1" customWidth="1"/>
    <col min="15364" max="15602" width="10.375" style="1"/>
    <col min="15603" max="15603" width="33.25" style="1" customWidth="1"/>
    <col min="15604" max="15608" width="10.375" style="1"/>
    <col min="15609" max="15609" width="13.625" style="1" customWidth="1"/>
    <col min="15610" max="15610" width="10.375" style="1"/>
    <col min="15611" max="15611" width="14.375" style="1" customWidth="1"/>
    <col min="15612" max="15612" width="10.375" style="1"/>
    <col min="15613" max="15613" width="11.625" style="1" bestFit="1" customWidth="1"/>
    <col min="15614" max="15616" width="10.375" style="1"/>
    <col min="15617" max="15617" width="12.875" style="1" customWidth="1"/>
    <col min="15618" max="15618" width="10.375" style="1"/>
    <col min="15619" max="15619" width="13" style="1" customWidth="1"/>
    <col min="15620" max="15858" width="10.375" style="1"/>
    <col min="15859" max="15859" width="33.25" style="1" customWidth="1"/>
    <col min="15860" max="15864" width="10.375" style="1"/>
    <col min="15865" max="15865" width="13.625" style="1" customWidth="1"/>
    <col min="15866" max="15866" width="10.375" style="1"/>
    <col min="15867" max="15867" width="14.375" style="1" customWidth="1"/>
    <col min="15868" max="15868" width="10.375" style="1"/>
    <col min="15869" max="15869" width="11.625" style="1" bestFit="1" customWidth="1"/>
    <col min="15870" max="15872" width="10.375" style="1"/>
    <col min="15873" max="15873" width="12.875" style="1" customWidth="1"/>
    <col min="15874" max="15874" width="10.375" style="1"/>
    <col min="15875" max="15875" width="13" style="1" customWidth="1"/>
    <col min="15876" max="16114" width="10.375" style="1"/>
    <col min="16115" max="16115" width="33.25" style="1" customWidth="1"/>
    <col min="16116" max="16120" width="10.375" style="1"/>
    <col min="16121" max="16121" width="13.625" style="1" customWidth="1"/>
    <col min="16122" max="16122" width="10.375" style="1"/>
    <col min="16123" max="16123" width="14.375" style="1" customWidth="1"/>
    <col min="16124" max="16124" width="10.375" style="1"/>
    <col min="16125" max="16125" width="11.625" style="1" bestFit="1" customWidth="1"/>
    <col min="16126" max="16128" width="10.375" style="1"/>
    <col min="16129" max="16129" width="12.875" style="1" customWidth="1"/>
    <col min="16130" max="16130" width="10.375" style="1"/>
    <col min="16131" max="16131" width="13" style="1" customWidth="1"/>
    <col min="16132" max="16384" width="10.375" style="1"/>
  </cols>
  <sheetData>
    <row r="1" spans="1:6" ht="18.600000000000001">
      <c r="A1" s="175" t="s">
        <v>0</v>
      </c>
      <c r="B1" s="175"/>
      <c r="C1" s="175"/>
      <c r="D1" s="175"/>
      <c r="E1" s="175"/>
      <c r="F1" s="175"/>
    </row>
    <row r="2" spans="1:6" ht="18.600000000000001">
      <c r="A2" s="176" t="s">
        <v>1</v>
      </c>
      <c r="B2" s="176"/>
      <c r="C2" s="176"/>
      <c r="D2" s="176"/>
      <c r="E2" s="176"/>
      <c r="F2" s="176"/>
    </row>
    <row r="3" spans="1:6" ht="18.600000000000001">
      <c r="A3" s="177" t="s">
        <v>67</v>
      </c>
      <c r="B3" s="177"/>
      <c r="C3" s="177"/>
      <c r="D3" s="177"/>
      <c r="E3" s="177"/>
      <c r="F3" s="177"/>
    </row>
    <row r="4" spans="1:6" ht="18.600000000000001">
      <c r="A4" s="178" t="s">
        <v>3</v>
      </c>
      <c r="B4" s="173" t="s">
        <v>4</v>
      </c>
      <c r="C4" s="173" t="s">
        <v>5</v>
      </c>
      <c r="D4" s="214" t="s">
        <v>8</v>
      </c>
      <c r="E4" s="215"/>
      <c r="F4" s="216"/>
    </row>
    <row r="5" spans="1:6">
      <c r="A5" s="179"/>
      <c r="B5" s="181"/>
      <c r="C5" s="181"/>
      <c r="D5" s="207" t="s">
        <v>14</v>
      </c>
      <c r="E5" s="209" t="s">
        <v>15</v>
      </c>
      <c r="F5" s="205" t="s">
        <v>16</v>
      </c>
    </row>
    <row r="6" spans="1:6">
      <c r="A6" s="180"/>
      <c r="B6" s="174"/>
      <c r="C6" s="174"/>
      <c r="D6" s="208"/>
      <c r="E6" s="210"/>
      <c r="F6" s="206"/>
    </row>
    <row r="7" spans="1:6" ht="18.600000000000001">
      <c r="A7" s="217" t="s">
        <v>57</v>
      </c>
      <c r="B7" s="218"/>
      <c r="C7" s="219"/>
      <c r="D7" s="142"/>
      <c r="E7" s="143"/>
      <c r="F7" s="144"/>
    </row>
    <row r="8" spans="1:6" ht="18.600000000000001">
      <c r="A8" s="140"/>
      <c r="B8" s="141"/>
      <c r="C8" s="141"/>
      <c r="D8" s="142"/>
      <c r="E8" s="143"/>
      <c r="F8" s="144"/>
    </row>
    <row r="9" spans="1:6" ht="23.25" customHeight="1" thickBot="1">
      <c r="A9" s="220" t="s">
        <v>53</v>
      </c>
      <c r="B9" s="220"/>
      <c r="C9" s="221"/>
      <c r="D9" s="114"/>
      <c r="E9" s="114"/>
      <c r="F9" s="107">
        <v>0</v>
      </c>
    </row>
    <row r="10" spans="1:6" ht="19.2" thickTop="1">
      <c r="A10" s="120"/>
      <c r="B10" s="121"/>
      <c r="C10" s="121"/>
      <c r="D10" s="122"/>
      <c r="E10" s="123"/>
      <c r="F10" s="124"/>
    </row>
    <row r="11" spans="1:6" ht="6.75" customHeight="1">
      <c r="A11" s="120"/>
      <c r="B11" s="121"/>
      <c r="C11" s="121"/>
      <c r="D11" s="122"/>
      <c r="E11" s="123"/>
      <c r="F11" s="124"/>
    </row>
    <row r="12" spans="1:6" ht="18.600000000000001">
      <c r="A12" s="120"/>
      <c r="B12" s="121"/>
      <c r="C12" s="121"/>
      <c r="D12" s="122"/>
      <c r="E12" s="123"/>
      <c r="F12" s="124"/>
    </row>
    <row r="13" spans="1:6" ht="18.600000000000001">
      <c r="B13" s="128"/>
      <c r="C13" s="121"/>
      <c r="D13" s="122"/>
      <c r="E13" s="123"/>
      <c r="F13" s="124"/>
    </row>
    <row r="14" spans="1:6" ht="18.600000000000001">
      <c r="A14" s="129"/>
      <c r="B14" s="130"/>
      <c r="C14" s="129"/>
      <c r="D14" s="134"/>
      <c r="E14" s="135"/>
      <c r="F14" s="136"/>
    </row>
  </sheetData>
  <mergeCells count="12">
    <mergeCell ref="A7:C7"/>
    <mergeCell ref="A9:C9"/>
    <mergeCell ref="A1:F1"/>
    <mergeCell ref="A2:F2"/>
    <mergeCell ref="A3:F3"/>
    <mergeCell ref="A4:A6"/>
    <mergeCell ref="B4:B6"/>
    <mergeCell ref="C4:C6"/>
    <mergeCell ref="D4:F4"/>
    <mergeCell ref="D5:D6"/>
    <mergeCell ref="E5:E6"/>
    <mergeCell ref="F5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31727-4B26-4B36-96BF-F619DA5C5C47}">
  <sheetPr>
    <tabColor rgb="FF00B0F0"/>
  </sheetPr>
  <dimension ref="A1:F21"/>
  <sheetViews>
    <sheetView workbookViewId="0">
      <pane ySplit="6" topLeftCell="A7" activePane="bottomLeft" state="frozen"/>
      <selection pane="bottomLeft" activeCell="A4" sqref="A4:A6"/>
    </sheetView>
  </sheetViews>
  <sheetFormatPr defaultColWidth="10.375" defaultRowHeight="14.4"/>
  <cols>
    <col min="1" max="1" width="10.375" style="1"/>
    <col min="2" max="2" width="33.25" style="1" customWidth="1"/>
    <col min="3" max="5" width="10.375" style="1"/>
    <col min="6" max="6" width="13" style="1" customWidth="1"/>
    <col min="7" max="245" width="10.375" style="1"/>
    <col min="246" max="246" width="33.25" style="1" customWidth="1"/>
    <col min="247" max="251" width="10.375" style="1"/>
    <col min="252" max="252" width="13.625" style="1" customWidth="1"/>
    <col min="253" max="253" width="10.375" style="1"/>
    <col min="254" max="254" width="14.375" style="1" customWidth="1"/>
    <col min="255" max="255" width="10.375" style="1"/>
    <col min="256" max="256" width="11.625" style="1" bestFit="1" customWidth="1"/>
    <col min="257" max="259" width="10.375" style="1"/>
    <col min="260" max="260" width="12.875" style="1" customWidth="1"/>
    <col min="261" max="261" width="10.375" style="1"/>
    <col min="262" max="262" width="13" style="1" customWidth="1"/>
    <col min="263" max="501" width="10.375" style="1"/>
    <col min="502" max="502" width="33.25" style="1" customWidth="1"/>
    <col min="503" max="507" width="10.375" style="1"/>
    <col min="508" max="508" width="13.625" style="1" customWidth="1"/>
    <col min="509" max="509" width="10.375" style="1"/>
    <col min="510" max="510" width="14.375" style="1" customWidth="1"/>
    <col min="511" max="511" width="10.375" style="1"/>
    <col min="512" max="512" width="11.625" style="1" bestFit="1" customWidth="1"/>
    <col min="513" max="515" width="10.375" style="1"/>
    <col min="516" max="516" width="12.875" style="1" customWidth="1"/>
    <col min="517" max="517" width="10.375" style="1"/>
    <col min="518" max="518" width="13" style="1" customWidth="1"/>
    <col min="519" max="757" width="10.375" style="1"/>
    <col min="758" max="758" width="33.25" style="1" customWidth="1"/>
    <col min="759" max="763" width="10.375" style="1"/>
    <col min="764" max="764" width="13.625" style="1" customWidth="1"/>
    <col min="765" max="765" width="10.375" style="1"/>
    <col min="766" max="766" width="14.375" style="1" customWidth="1"/>
    <col min="767" max="767" width="10.375" style="1"/>
    <col min="768" max="768" width="11.625" style="1" bestFit="1" customWidth="1"/>
    <col min="769" max="771" width="10.375" style="1"/>
    <col min="772" max="772" width="12.875" style="1" customWidth="1"/>
    <col min="773" max="773" width="10.375" style="1"/>
    <col min="774" max="774" width="13" style="1" customWidth="1"/>
    <col min="775" max="1013" width="10.375" style="1"/>
    <col min="1014" max="1014" width="33.25" style="1" customWidth="1"/>
    <col min="1015" max="1019" width="10.375" style="1"/>
    <col min="1020" max="1020" width="13.625" style="1" customWidth="1"/>
    <col min="1021" max="1021" width="10.375" style="1"/>
    <col min="1022" max="1022" width="14.375" style="1" customWidth="1"/>
    <col min="1023" max="1023" width="10.375" style="1"/>
    <col min="1024" max="1024" width="11.625" style="1" bestFit="1" customWidth="1"/>
    <col min="1025" max="1027" width="10.375" style="1"/>
    <col min="1028" max="1028" width="12.875" style="1" customWidth="1"/>
    <col min="1029" max="1029" width="10.375" style="1"/>
    <col min="1030" max="1030" width="13" style="1" customWidth="1"/>
    <col min="1031" max="1269" width="10.375" style="1"/>
    <col min="1270" max="1270" width="33.25" style="1" customWidth="1"/>
    <col min="1271" max="1275" width="10.375" style="1"/>
    <col min="1276" max="1276" width="13.625" style="1" customWidth="1"/>
    <col min="1277" max="1277" width="10.375" style="1"/>
    <col min="1278" max="1278" width="14.375" style="1" customWidth="1"/>
    <col min="1279" max="1279" width="10.375" style="1"/>
    <col min="1280" max="1280" width="11.625" style="1" bestFit="1" customWidth="1"/>
    <col min="1281" max="1283" width="10.375" style="1"/>
    <col min="1284" max="1284" width="12.875" style="1" customWidth="1"/>
    <col min="1285" max="1285" width="10.375" style="1"/>
    <col min="1286" max="1286" width="13" style="1" customWidth="1"/>
    <col min="1287" max="1525" width="10.375" style="1"/>
    <col min="1526" max="1526" width="33.25" style="1" customWidth="1"/>
    <col min="1527" max="1531" width="10.375" style="1"/>
    <col min="1532" max="1532" width="13.625" style="1" customWidth="1"/>
    <col min="1533" max="1533" width="10.375" style="1"/>
    <col min="1534" max="1534" width="14.375" style="1" customWidth="1"/>
    <col min="1535" max="1535" width="10.375" style="1"/>
    <col min="1536" max="1536" width="11.625" style="1" bestFit="1" customWidth="1"/>
    <col min="1537" max="1539" width="10.375" style="1"/>
    <col min="1540" max="1540" width="12.875" style="1" customWidth="1"/>
    <col min="1541" max="1541" width="10.375" style="1"/>
    <col min="1542" max="1542" width="13" style="1" customWidth="1"/>
    <col min="1543" max="1781" width="10.375" style="1"/>
    <col min="1782" max="1782" width="33.25" style="1" customWidth="1"/>
    <col min="1783" max="1787" width="10.375" style="1"/>
    <col min="1788" max="1788" width="13.625" style="1" customWidth="1"/>
    <col min="1789" max="1789" width="10.375" style="1"/>
    <col min="1790" max="1790" width="14.375" style="1" customWidth="1"/>
    <col min="1791" max="1791" width="10.375" style="1"/>
    <col min="1792" max="1792" width="11.625" style="1" bestFit="1" customWidth="1"/>
    <col min="1793" max="1795" width="10.375" style="1"/>
    <col min="1796" max="1796" width="12.875" style="1" customWidth="1"/>
    <col min="1797" max="1797" width="10.375" style="1"/>
    <col min="1798" max="1798" width="13" style="1" customWidth="1"/>
    <col min="1799" max="2037" width="10.375" style="1"/>
    <col min="2038" max="2038" width="33.25" style="1" customWidth="1"/>
    <col min="2039" max="2043" width="10.375" style="1"/>
    <col min="2044" max="2044" width="13.625" style="1" customWidth="1"/>
    <col min="2045" max="2045" width="10.375" style="1"/>
    <col min="2046" max="2046" width="14.375" style="1" customWidth="1"/>
    <col min="2047" max="2047" width="10.375" style="1"/>
    <col min="2048" max="2048" width="11.625" style="1" bestFit="1" customWidth="1"/>
    <col min="2049" max="2051" width="10.375" style="1"/>
    <col min="2052" max="2052" width="12.875" style="1" customWidth="1"/>
    <col min="2053" max="2053" width="10.375" style="1"/>
    <col min="2054" max="2054" width="13" style="1" customWidth="1"/>
    <col min="2055" max="2293" width="10.375" style="1"/>
    <col min="2294" max="2294" width="33.25" style="1" customWidth="1"/>
    <col min="2295" max="2299" width="10.375" style="1"/>
    <col min="2300" max="2300" width="13.625" style="1" customWidth="1"/>
    <col min="2301" max="2301" width="10.375" style="1"/>
    <col min="2302" max="2302" width="14.375" style="1" customWidth="1"/>
    <col min="2303" max="2303" width="10.375" style="1"/>
    <col min="2304" max="2304" width="11.625" style="1" bestFit="1" customWidth="1"/>
    <col min="2305" max="2307" width="10.375" style="1"/>
    <col min="2308" max="2308" width="12.875" style="1" customWidth="1"/>
    <col min="2309" max="2309" width="10.375" style="1"/>
    <col min="2310" max="2310" width="13" style="1" customWidth="1"/>
    <col min="2311" max="2549" width="10.375" style="1"/>
    <col min="2550" max="2550" width="33.25" style="1" customWidth="1"/>
    <col min="2551" max="2555" width="10.375" style="1"/>
    <col min="2556" max="2556" width="13.625" style="1" customWidth="1"/>
    <col min="2557" max="2557" width="10.375" style="1"/>
    <col min="2558" max="2558" width="14.375" style="1" customWidth="1"/>
    <col min="2559" max="2559" width="10.375" style="1"/>
    <col min="2560" max="2560" width="11.625" style="1" bestFit="1" customWidth="1"/>
    <col min="2561" max="2563" width="10.375" style="1"/>
    <col min="2564" max="2564" width="12.875" style="1" customWidth="1"/>
    <col min="2565" max="2565" width="10.375" style="1"/>
    <col min="2566" max="2566" width="13" style="1" customWidth="1"/>
    <col min="2567" max="2805" width="10.375" style="1"/>
    <col min="2806" max="2806" width="33.25" style="1" customWidth="1"/>
    <col min="2807" max="2811" width="10.375" style="1"/>
    <col min="2812" max="2812" width="13.625" style="1" customWidth="1"/>
    <col min="2813" max="2813" width="10.375" style="1"/>
    <col min="2814" max="2814" width="14.375" style="1" customWidth="1"/>
    <col min="2815" max="2815" width="10.375" style="1"/>
    <col min="2816" max="2816" width="11.625" style="1" bestFit="1" customWidth="1"/>
    <col min="2817" max="2819" width="10.375" style="1"/>
    <col min="2820" max="2820" width="12.875" style="1" customWidth="1"/>
    <col min="2821" max="2821" width="10.375" style="1"/>
    <col min="2822" max="2822" width="13" style="1" customWidth="1"/>
    <col min="2823" max="3061" width="10.375" style="1"/>
    <col min="3062" max="3062" width="33.25" style="1" customWidth="1"/>
    <col min="3063" max="3067" width="10.375" style="1"/>
    <col min="3068" max="3068" width="13.625" style="1" customWidth="1"/>
    <col min="3069" max="3069" width="10.375" style="1"/>
    <col min="3070" max="3070" width="14.375" style="1" customWidth="1"/>
    <col min="3071" max="3071" width="10.375" style="1"/>
    <col min="3072" max="3072" width="11.625" style="1" bestFit="1" customWidth="1"/>
    <col min="3073" max="3075" width="10.375" style="1"/>
    <col min="3076" max="3076" width="12.875" style="1" customWidth="1"/>
    <col min="3077" max="3077" width="10.375" style="1"/>
    <col min="3078" max="3078" width="13" style="1" customWidth="1"/>
    <col min="3079" max="3317" width="10.375" style="1"/>
    <col min="3318" max="3318" width="33.25" style="1" customWidth="1"/>
    <col min="3319" max="3323" width="10.375" style="1"/>
    <col min="3324" max="3324" width="13.625" style="1" customWidth="1"/>
    <col min="3325" max="3325" width="10.375" style="1"/>
    <col min="3326" max="3326" width="14.375" style="1" customWidth="1"/>
    <col min="3327" max="3327" width="10.375" style="1"/>
    <col min="3328" max="3328" width="11.625" style="1" bestFit="1" customWidth="1"/>
    <col min="3329" max="3331" width="10.375" style="1"/>
    <col min="3332" max="3332" width="12.875" style="1" customWidth="1"/>
    <col min="3333" max="3333" width="10.375" style="1"/>
    <col min="3334" max="3334" width="13" style="1" customWidth="1"/>
    <col min="3335" max="3573" width="10.375" style="1"/>
    <col min="3574" max="3574" width="33.25" style="1" customWidth="1"/>
    <col min="3575" max="3579" width="10.375" style="1"/>
    <col min="3580" max="3580" width="13.625" style="1" customWidth="1"/>
    <col min="3581" max="3581" width="10.375" style="1"/>
    <col min="3582" max="3582" width="14.375" style="1" customWidth="1"/>
    <col min="3583" max="3583" width="10.375" style="1"/>
    <col min="3584" max="3584" width="11.625" style="1" bestFit="1" customWidth="1"/>
    <col min="3585" max="3587" width="10.375" style="1"/>
    <col min="3588" max="3588" width="12.875" style="1" customWidth="1"/>
    <col min="3589" max="3589" width="10.375" style="1"/>
    <col min="3590" max="3590" width="13" style="1" customWidth="1"/>
    <col min="3591" max="3829" width="10.375" style="1"/>
    <col min="3830" max="3830" width="33.25" style="1" customWidth="1"/>
    <col min="3831" max="3835" width="10.375" style="1"/>
    <col min="3836" max="3836" width="13.625" style="1" customWidth="1"/>
    <col min="3837" max="3837" width="10.375" style="1"/>
    <col min="3838" max="3838" width="14.375" style="1" customWidth="1"/>
    <col min="3839" max="3839" width="10.375" style="1"/>
    <col min="3840" max="3840" width="11.625" style="1" bestFit="1" customWidth="1"/>
    <col min="3841" max="3843" width="10.375" style="1"/>
    <col min="3844" max="3844" width="12.875" style="1" customWidth="1"/>
    <col min="3845" max="3845" width="10.375" style="1"/>
    <col min="3846" max="3846" width="13" style="1" customWidth="1"/>
    <col min="3847" max="4085" width="10.375" style="1"/>
    <col min="4086" max="4086" width="33.25" style="1" customWidth="1"/>
    <col min="4087" max="4091" width="10.375" style="1"/>
    <col min="4092" max="4092" width="13.625" style="1" customWidth="1"/>
    <col min="4093" max="4093" width="10.375" style="1"/>
    <col min="4094" max="4094" width="14.375" style="1" customWidth="1"/>
    <col min="4095" max="4095" width="10.375" style="1"/>
    <col min="4096" max="4096" width="11.625" style="1" bestFit="1" customWidth="1"/>
    <col min="4097" max="4099" width="10.375" style="1"/>
    <col min="4100" max="4100" width="12.875" style="1" customWidth="1"/>
    <col min="4101" max="4101" width="10.375" style="1"/>
    <col min="4102" max="4102" width="13" style="1" customWidth="1"/>
    <col min="4103" max="4341" width="10.375" style="1"/>
    <col min="4342" max="4342" width="33.25" style="1" customWidth="1"/>
    <col min="4343" max="4347" width="10.375" style="1"/>
    <col min="4348" max="4348" width="13.625" style="1" customWidth="1"/>
    <col min="4349" max="4349" width="10.375" style="1"/>
    <col min="4350" max="4350" width="14.375" style="1" customWidth="1"/>
    <col min="4351" max="4351" width="10.375" style="1"/>
    <col min="4352" max="4352" width="11.625" style="1" bestFit="1" customWidth="1"/>
    <col min="4353" max="4355" width="10.375" style="1"/>
    <col min="4356" max="4356" width="12.875" style="1" customWidth="1"/>
    <col min="4357" max="4357" width="10.375" style="1"/>
    <col min="4358" max="4358" width="13" style="1" customWidth="1"/>
    <col min="4359" max="4597" width="10.375" style="1"/>
    <col min="4598" max="4598" width="33.25" style="1" customWidth="1"/>
    <col min="4599" max="4603" width="10.375" style="1"/>
    <col min="4604" max="4604" width="13.625" style="1" customWidth="1"/>
    <col min="4605" max="4605" width="10.375" style="1"/>
    <col min="4606" max="4606" width="14.375" style="1" customWidth="1"/>
    <col min="4607" max="4607" width="10.375" style="1"/>
    <col min="4608" max="4608" width="11.625" style="1" bestFit="1" customWidth="1"/>
    <col min="4609" max="4611" width="10.375" style="1"/>
    <col min="4612" max="4612" width="12.875" style="1" customWidth="1"/>
    <col min="4613" max="4613" width="10.375" style="1"/>
    <col min="4614" max="4614" width="13" style="1" customWidth="1"/>
    <col min="4615" max="4853" width="10.375" style="1"/>
    <col min="4854" max="4854" width="33.25" style="1" customWidth="1"/>
    <col min="4855" max="4859" width="10.375" style="1"/>
    <col min="4860" max="4860" width="13.625" style="1" customWidth="1"/>
    <col min="4861" max="4861" width="10.375" style="1"/>
    <col min="4862" max="4862" width="14.375" style="1" customWidth="1"/>
    <col min="4863" max="4863" width="10.375" style="1"/>
    <col min="4864" max="4864" width="11.625" style="1" bestFit="1" customWidth="1"/>
    <col min="4865" max="4867" width="10.375" style="1"/>
    <col min="4868" max="4868" width="12.875" style="1" customWidth="1"/>
    <col min="4869" max="4869" width="10.375" style="1"/>
    <col min="4870" max="4870" width="13" style="1" customWidth="1"/>
    <col min="4871" max="5109" width="10.375" style="1"/>
    <col min="5110" max="5110" width="33.25" style="1" customWidth="1"/>
    <col min="5111" max="5115" width="10.375" style="1"/>
    <col min="5116" max="5116" width="13.625" style="1" customWidth="1"/>
    <col min="5117" max="5117" width="10.375" style="1"/>
    <col min="5118" max="5118" width="14.375" style="1" customWidth="1"/>
    <col min="5119" max="5119" width="10.375" style="1"/>
    <col min="5120" max="5120" width="11.625" style="1" bestFit="1" customWidth="1"/>
    <col min="5121" max="5123" width="10.375" style="1"/>
    <col min="5124" max="5124" width="12.875" style="1" customWidth="1"/>
    <col min="5125" max="5125" width="10.375" style="1"/>
    <col min="5126" max="5126" width="13" style="1" customWidth="1"/>
    <col min="5127" max="5365" width="10.375" style="1"/>
    <col min="5366" max="5366" width="33.25" style="1" customWidth="1"/>
    <col min="5367" max="5371" width="10.375" style="1"/>
    <col min="5372" max="5372" width="13.625" style="1" customWidth="1"/>
    <col min="5373" max="5373" width="10.375" style="1"/>
    <col min="5374" max="5374" width="14.375" style="1" customWidth="1"/>
    <col min="5375" max="5375" width="10.375" style="1"/>
    <col min="5376" max="5376" width="11.625" style="1" bestFit="1" customWidth="1"/>
    <col min="5377" max="5379" width="10.375" style="1"/>
    <col min="5380" max="5380" width="12.875" style="1" customWidth="1"/>
    <col min="5381" max="5381" width="10.375" style="1"/>
    <col min="5382" max="5382" width="13" style="1" customWidth="1"/>
    <col min="5383" max="5621" width="10.375" style="1"/>
    <col min="5622" max="5622" width="33.25" style="1" customWidth="1"/>
    <col min="5623" max="5627" width="10.375" style="1"/>
    <col min="5628" max="5628" width="13.625" style="1" customWidth="1"/>
    <col min="5629" max="5629" width="10.375" style="1"/>
    <col min="5630" max="5630" width="14.375" style="1" customWidth="1"/>
    <col min="5631" max="5631" width="10.375" style="1"/>
    <col min="5632" max="5632" width="11.625" style="1" bestFit="1" customWidth="1"/>
    <col min="5633" max="5635" width="10.375" style="1"/>
    <col min="5636" max="5636" width="12.875" style="1" customWidth="1"/>
    <col min="5637" max="5637" width="10.375" style="1"/>
    <col min="5638" max="5638" width="13" style="1" customWidth="1"/>
    <col min="5639" max="5877" width="10.375" style="1"/>
    <col min="5878" max="5878" width="33.25" style="1" customWidth="1"/>
    <col min="5879" max="5883" width="10.375" style="1"/>
    <col min="5884" max="5884" width="13.625" style="1" customWidth="1"/>
    <col min="5885" max="5885" width="10.375" style="1"/>
    <col min="5886" max="5886" width="14.375" style="1" customWidth="1"/>
    <col min="5887" max="5887" width="10.375" style="1"/>
    <col min="5888" max="5888" width="11.625" style="1" bestFit="1" customWidth="1"/>
    <col min="5889" max="5891" width="10.375" style="1"/>
    <col min="5892" max="5892" width="12.875" style="1" customWidth="1"/>
    <col min="5893" max="5893" width="10.375" style="1"/>
    <col min="5894" max="5894" width="13" style="1" customWidth="1"/>
    <col min="5895" max="6133" width="10.375" style="1"/>
    <col min="6134" max="6134" width="33.25" style="1" customWidth="1"/>
    <col min="6135" max="6139" width="10.375" style="1"/>
    <col min="6140" max="6140" width="13.625" style="1" customWidth="1"/>
    <col min="6141" max="6141" width="10.375" style="1"/>
    <col min="6142" max="6142" width="14.375" style="1" customWidth="1"/>
    <col min="6143" max="6143" width="10.375" style="1"/>
    <col min="6144" max="6144" width="11.625" style="1" bestFit="1" customWidth="1"/>
    <col min="6145" max="6147" width="10.375" style="1"/>
    <col min="6148" max="6148" width="12.875" style="1" customWidth="1"/>
    <col min="6149" max="6149" width="10.375" style="1"/>
    <col min="6150" max="6150" width="13" style="1" customWidth="1"/>
    <col min="6151" max="6389" width="10.375" style="1"/>
    <col min="6390" max="6390" width="33.25" style="1" customWidth="1"/>
    <col min="6391" max="6395" width="10.375" style="1"/>
    <col min="6396" max="6396" width="13.625" style="1" customWidth="1"/>
    <col min="6397" max="6397" width="10.375" style="1"/>
    <col min="6398" max="6398" width="14.375" style="1" customWidth="1"/>
    <col min="6399" max="6399" width="10.375" style="1"/>
    <col min="6400" max="6400" width="11.625" style="1" bestFit="1" customWidth="1"/>
    <col min="6401" max="6403" width="10.375" style="1"/>
    <col min="6404" max="6404" width="12.875" style="1" customWidth="1"/>
    <col min="6405" max="6405" width="10.375" style="1"/>
    <col min="6406" max="6406" width="13" style="1" customWidth="1"/>
    <col min="6407" max="6645" width="10.375" style="1"/>
    <col min="6646" max="6646" width="33.25" style="1" customWidth="1"/>
    <col min="6647" max="6651" width="10.375" style="1"/>
    <col min="6652" max="6652" width="13.625" style="1" customWidth="1"/>
    <col min="6653" max="6653" width="10.375" style="1"/>
    <col min="6654" max="6654" width="14.375" style="1" customWidth="1"/>
    <col min="6655" max="6655" width="10.375" style="1"/>
    <col min="6656" max="6656" width="11.625" style="1" bestFit="1" customWidth="1"/>
    <col min="6657" max="6659" width="10.375" style="1"/>
    <col min="6660" max="6660" width="12.875" style="1" customWidth="1"/>
    <col min="6661" max="6661" width="10.375" style="1"/>
    <col min="6662" max="6662" width="13" style="1" customWidth="1"/>
    <col min="6663" max="6901" width="10.375" style="1"/>
    <col min="6902" max="6902" width="33.25" style="1" customWidth="1"/>
    <col min="6903" max="6907" width="10.375" style="1"/>
    <col min="6908" max="6908" width="13.625" style="1" customWidth="1"/>
    <col min="6909" max="6909" width="10.375" style="1"/>
    <col min="6910" max="6910" width="14.375" style="1" customWidth="1"/>
    <col min="6911" max="6911" width="10.375" style="1"/>
    <col min="6912" max="6912" width="11.625" style="1" bestFit="1" customWidth="1"/>
    <col min="6913" max="6915" width="10.375" style="1"/>
    <col min="6916" max="6916" width="12.875" style="1" customWidth="1"/>
    <col min="6917" max="6917" width="10.375" style="1"/>
    <col min="6918" max="6918" width="13" style="1" customWidth="1"/>
    <col min="6919" max="7157" width="10.375" style="1"/>
    <col min="7158" max="7158" width="33.25" style="1" customWidth="1"/>
    <col min="7159" max="7163" width="10.375" style="1"/>
    <col min="7164" max="7164" width="13.625" style="1" customWidth="1"/>
    <col min="7165" max="7165" width="10.375" style="1"/>
    <col min="7166" max="7166" width="14.375" style="1" customWidth="1"/>
    <col min="7167" max="7167" width="10.375" style="1"/>
    <col min="7168" max="7168" width="11.625" style="1" bestFit="1" customWidth="1"/>
    <col min="7169" max="7171" width="10.375" style="1"/>
    <col min="7172" max="7172" width="12.875" style="1" customWidth="1"/>
    <col min="7173" max="7173" width="10.375" style="1"/>
    <col min="7174" max="7174" width="13" style="1" customWidth="1"/>
    <col min="7175" max="7413" width="10.375" style="1"/>
    <col min="7414" max="7414" width="33.25" style="1" customWidth="1"/>
    <col min="7415" max="7419" width="10.375" style="1"/>
    <col min="7420" max="7420" width="13.625" style="1" customWidth="1"/>
    <col min="7421" max="7421" width="10.375" style="1"/>
    <col min="7422" max="7422" width="14.375" style="1" customWidth="1"/>
    <col min="7423" max="7423" width="10.375" style="1"/>
    <col min="7424" max="7424" width="11.625" style="1" bestFit="1" customWidth="1"/>
    <col min="7425" max="7427" width="10.375" style="1"/>
    <col min="7428" max="7428" width="12.875" style="1" customWidth="1"/>
    <col min="7429" max="7429" width="10.375" style="1"/>
    <col min="7430" max="7430" width="13" style="1" customWidth="1"/>
    <col min="7431" max="7669" width="10.375" style="1"/>
    <col min="7670" max="7670" width="33.25" style="1" customWidth="1"/>
    <col min="7671" max="7675" width="10.375" style="1"/>
    <col min="7676" max="7676" width="13.625" style="1" customWidth="1"/>
    <col min="7677" max="7677" width="10.375" style="1"/>
    <col min="7678" max="7678" width="14.375" style="1" customWidth="1"/>
    <col min="7679" max="7679" width="10.375" style="1"/>
    <col min="7680" max="7680" width="11.625" style="1" bestFit="1" customWidth="1"/>
    <col min="7681" max="7683" width="10.375" style="1"/>
    <col min="7684" max="7684" width="12.875" style="1" customWidth="1"/>
    <col min="7685" max="7685" width="10.375" style="1"/>
    <col min="7686" max="7686" width="13" style="1" customWidth="1"/>
    <col min="7687" max="7925" width="10.375" style="1"/>
    <col min="7926" max="7926" width="33.25" style="1" customWidth="1"/>
    <col min="7927" max="7931" width="10.375" style="1"/>
    <col min="7932" max="7932" width="13.625" style="1" customWidth="1"/>
    <col min="7933" max="7933" width="10.375" style="1"/>
    <col min="7934" max="7934" width="14.375" style="1" customWidth="1"/>
    <col min="7935" max="7935" width="10.375" style="1"/>
    <col min="7936" max="7936" width="11.625" style="1" bestFit="1" customWidth="1"/>
    <col min="7937" max="7939" width="10.375" style="1"/>
    <col min="7940" max="7940" width="12.875" style="1" customWidth="1"/>
    <col min="7941" max="7941" width="10.375" style="1"/>
    <col min="7942" max="7942" width="13" style="1" customWidth="1"/>
    <col min="7943" max="8181" width="10.375" style="1"/>
    <col min="8182" max="8182" width="33.25" style="1" customWidth="1"/>
    <col min="8183" max="8187" width="10.375" style="1"/>
    <col min="8188" max="8188" width="13.625" style="1" customWidth="1"/>
    <col min="8189" max="8189" width="10.375" style="1"/>
    <col min="8190" max="8190" width="14.375" style="1" customWidth="1"/>
    <col min="8191" max="8191" width="10.375" style="1"/>
    <col min="8192" max="8192" width="11.625" style="1" bestFit="1" customWidth="1"/>
    <col min="8193" max="8195" width="10.375" style="1"/>
    <col min="8196" max="8196" width="12.875" style="1" customWidth="1"/>
    <col min="8197" max="8197" width="10.375" style="1"/>
    <col min="8198" max="8198" width="13" style="1" customWidth="1"/>
    <col min="8199" max="8437" width="10.375" style="1"/>
    <col min="8438" max="8438" width="33.25" style="1" customWidth="1"/>
    <col min="8439" max="8443" width="10.375" style="1"/>
    <col min="8444" max="8444" width="13.625" style="1" customWidth="1"/>
    <col min="8445" max="8445" width="10.375" style="1"/>
    <col min="8446" max="8446" width="14.375" style="1" customWidth="1"/>
    <col min="8447" max="8447" width="10.375" style="1"/>
    <col min="8448" max="8448" width="11.625" style="1" bestFit="1" customWidth="1"/>
    <col min="8449" max="8451" width="10.375" style="1"/>
    <col min="8452" max="8452" width="12.875" style="1" customWidth="1"/>
    <col min="8453" max="8453" width="10.375" style="1"/>
    <col min="8454" max="8454" width="13" style="1" customWidth="1"/>
    <col min="8455" max="8693" width="10.375" style="1"/>
    <col min="8694" max="8694" width="33.25" style="1" customWidth="1"/>
    <col min="8695" max="8699" width="10.375" style="1"/>
    <col min="8700" max="8700" width="13.625" style="1" customWidth="1"/>
    <col min="8701" max="8701" width="10.375" style="1"/>
    <col min="8702" max="8702" width="14.375" style="1" customWidth="1"/>
    <col min="8703" max="8703" width="10.375" style="1"/>
    <col min="8704" max="8704" width="11.625" style="1" bestFit="1" customWidth="1"/>
    <col min="8705" max="8707" width="10.375" style="1"/>
    <col min="8708" max="8708" width="12.875" style="1" customWidth="1"/>
    <col min="8709" max="8709" width="10.375" style="1"/>
    <col min="8710" max="8710" width="13" style="1" customWidth="1"/>
    <col min="8711" max="8949" width="10.375" style="1"/>
    <col min="8950" max="8950" width="33.25" style="1" customWidth="1"/>
    <col min="8951" max="8955" width="10.375" style="1"/>
    <col min="8956" max="8956" width="13.625" style="1" customWidth="1"/>
    <col min="8957" max="8957" width="10.375" style="1"/>
    <col min="8958" max="8958" width="14.375" style="1" customWidth="1"/>
    <col min="8959" max="8959" width="10.375" style="1"/>
    <col min="8960" max="8960" width="11.625" style="1" bestFit="1" customWidth="1"/>
    <col min="8961" max="8963" width="10.375" style="1"/>
    <col min="8964" max="8964" width="12.875" style="1" customWidth="1"/>
    <col min="8965" max="8965" width="10.375" style="1"/>
    <col min="8966" max="8966" width="13" style="1" customWidth="1"/>
    <col min="8967" max="9205" width="10.375" style="1"/>
    <col min="9206" max="9206" width="33.25" style="1" customWidth="1"/>
    <col min="9207" max="9211" width="10.375" style="1"/>
    <col min="9212" max="9212" width="13.625" style="1" customWidth="1"/>
    <col min="9213" max="9213" width="10.375" style="1"/>
    <col min="9214" max="9214" width="14.375" style="1" customWidth="1"/>
    <col min="9215" max="9215" width="10.375" style="1"/>
    <col min="9216" max="9216" width="11.625" style="1" bestFit="1" customWidth="1"/>
    <col min="9217" max="9219" width="10.375" style="1"/>
    <col min="9220" max="9220" width="12.875" style="1" customWidth="1"/>
    <col min="9221" max="9221" width="10.375" style="1"/>
    <col min="9222" max="9222" width="13" style="1" customWidth="1"/>
    <col min="9223" max="9461" width="10.375" style="1"/>
    <col min="9462" max="9462" width="33.25" style="1" customWidth="1"/>
    <col min="9463" max="9467" width="10.375" style="1"/>
    <col min="9468" max="9468" width="13.625" style="1" customWidth="1"/>
    <col min="9469" max="9469" width="10.375" style="1"/>
    <col min="9470" max="9470" width="14.375" style="1" customWidth="1"/>
    <col min="9471" max="9471" width="10.375" style="1"/>
    <col min="9472" max="9472" width="11.625" style="1" bestFit="1" customWidth="1"/>
    <col min="9473" max="9475" width="10.375" style="1"/>
    <col min="9476" max="9476" width="12.875" style="1" customWidth="1"/>
    <col min="9477" max="9477" width="10.375" style="1"/>
    <col min="9478" max="9478" width="13" style="1" customWidth="1"/>
    <col min="9479" max="9717" width="10.375" style="1"/>
    <col min="9718" max="9718" width="33.25" style="1" customWidth="1"/>
    <col min="9719" max="9723" width="10.375" style="1"/>
    <col min="9724" max="9724" width="13.625" style="1" customWidth="1"/>
    <col min="9725" max="9725" width="10.375" style="1"/>
    <col min="9726" max="9726" width="14.375" style="1" customWidth="1"/>
    <col min="9727" max="9727" width="10.375" style="1"/>
    <col min="9728" max="9728" width="11.625" style="1" bestFit="1" customWidth="1"/>
    <col min="9729" max="9731" width="10.375" style="1"/>
    <col min="9732" max="9732" width="12.875" style="1" customWidth="1"/>
    <col min="9733" max="9733" width="10.375" style="1"/>
    <col min="9734" max="9734" width="13" style="1" customWidth="1"/>
    <col min="9735" max="9973" width="10.375" style="1"/>
    <col min="9974" max="9974" width="33.25" style="1" customWidth="1"/>
    <col min="9975" max="9979" width="10.375" style="1"/>
    <col min="9980" max="9980" width="13.625" style="1" customWidth="1"/>
    <col min="9981" max="9981" width="10.375" style="1"/>
    <col min="9982" max="9982" width="14.375" style="1" customWidth="1"/>
    <col min="9983" max="9983" width="10.375" style="1"/>
    <col min="9984" max="9984" width="11.625" style="1" bestFit="1" customWidth="1"/>
    <col min="9985" max="9987" width="10.375" style="1"/>
    <col min="9988" max="9988" width="12.875" style="1" customWidth="1"/>
    <col min="9989" max="9989" width="10.375" style="1"/>
    <col min="9990" max="9990" width="13" style="1" customWidth="1"/>
    <col min="9991" max="10229" width="10.375" style="1"/>
    <col min="10230" max="10230" width="33.25" style="1" customWidth="1"/>
    <col min="10231" max="10235" width="10.375" style="1"/>
    <col min="10236" max="10236" width="13.625" style="1" customWidth="1"/>
    <col min="10237" max="10237" width="10.375" style="1"/>
    <col min="10238" max="10238" width="14.375" style="1" customWidth="1"/>
    <col min="10239" max="10239" width="10.375" style="1"/>
    <col min="10240" max="10240" width="11.625" style="1" bestFit="1" customWidth="1"/>
    <col min="10241" max="10243" width="10.375" style="1"/>
    <col min="10244" max="10244" width="12.875" style="1" customWidth="1"/>
    <col min="10245" max="10245" width="10.375" style="1"/>
    <col min="10246" max="10246" width="13" style="1" customWidth="1"/>
    <col min="10247" max="10485" width="10.375" style="1"/>
    <col min="10486" max="10486" width="33.25" style="1" customWidth="1"/>
    <col min="10487" max="10491" width="10.375" style="1"/>
    <col min="10492" max="10492" width="13.625" style="1" customWidth="1"/>
    <col min="10493" max="10493" width="10.375" style="1"/>
    <col min="10494" max="10494" width="14.375" style="1" customWidth="1"/>
    <col min="10495" max="10495" width="10.375" style="1"/>
    <col min="10496" max="10496" width="11.625" style="1" bestFit="1" customWidth="1"/>
    <col min="10497" max="10499" width="10.375" style="1"/>
    <col min="10500" max="10500" width="12.875" style="1" customWidth="1"/>
    <col min="10501" max="10501" width="10.375" style="1"/>
    <col min="10502" max="10502" width="13" style="1" customWidth="1"/>
    <col min="10503" max="10741" width="10.375" style="1"/>
    <col min="10742" max="10742" width="33.25" style="1" customWidth="1"/>
    <col min="10743" max="10747" width="10.375" style="1"/>
    <col min="10748" max="10748" width="13.625" style="1" customWidth="1"/>
    <col min="10749" max="10749" width="10.375" style="1"/>
    <col min="10750" max="10750" width="14.375" style="1" customWidth="1"/>
    <col min="10751" max="10751" width="10.375" style="1"/>
    <col min="10752" max="10752" width="11.625" style="1" bestFit="1" customWidth="1"/>
    <col min="10753" max="10755" width="10.375" style="1"/>
    <col min="10756" max="10756" width="12.875" style="1" customWidth="1"/>
    <col min="10757" max="10757" width="10.375" style="1"/>
    <col min="10758" max="10758" width="13" style="1" customWidth="1"/>
    <col min="10759" max="10997" width="10.375" style="1"/>
    <col min="10998" max="10998" width="33.25" style="1" customWidth="1"/>
    <col min="10999" max="11003" width="10.375" style="1"/>
    <col min="11004" max="11004" width="13.625" style="1" customWidth="1"/>
    <col min="11005" max="11005" width="10.375" style="1"/>
    <col min="11006" max="11006" width="14.375" style="1" customWidth="1"/>
    <col min="11007" max="11007" width="10.375" style="1"/>
    <col min="11008" max="11008" width="11.625" style="1" bestFit="1" customWidth="1"/>
    <col min="11009" max="11011" width="10.375" style="1"/>
    <col min="11012" max="11012" width="12.875" style="1" customWidth="1"/>
    <col min="11013" max="11013" width="10.375" style="1"/>
    <col min="11014" max="11014" width="13" style="1" customWidth="1"/>
    <col min="11015" max="11253" width="10.375" style="1"/>
    <col min="11254" max="11254" width="33.25" style="1" customWidth="1"/>
    <col min="11255" max="11259" width="10.375" style="1"/>
    <col min="11260" max="11260" width="13.625" style="1" customWidth="1"/>
    <col min="11261" max="11261" width="10.375" style="1"/>
    <col min="11262" max="11262" width="14.375" style="1" customWidth="1"/>
    <col min="11263" max="11263" width="10.375" style="1"/>
    <col min="11264" max="11264" width="11.625" style="1" bestFit="1" customWidth="1"/>
    <col min="11265" max="11267" width="10.375" style="1"/>
    <col min="11268" max="11268" width="12.875" style="1" customWidth="1"/>
    <col min="11269" max="11269" width="10.375" style="1"/>
    <col min="11270" max="11270" width="13" style="1" customWidth="1"/>
    <col min="11271" max="11509" width="10.375" style="1"/>
    <col min="11510" max="11510" width="33.25" style="1" customWidth="1"/>
    <col min="11511" max="11515" width="10.375" style="1"/>
    <col min="11516" max="11516" width="13.625" style="1" customWidth="1"/>
    <col min="11517" max="11517" width="10.375" style="1"/>
    <col min="11518" max="11518" width="14.375" style="1" customWidth="1"/>
    <col min="11519" max="11519" width="10.375" style="1"/>
    <col min="11520" max="11520" width="11.625" style="1" bestFit="1" customWidth="1"/>
    <col min="11521" max="11523" width="10.375" style="1"/>
    <col min="11524" max="11524" width="12.875" style="1" customWidth="1"/>
    <col min="11525" max="11525" width="10.375" style="1"/>
    <col min="11526" max="11526" width="13" style="1" customWidth="1"/>
    <col min="11527" max="11765" width="10.375" style="1"/>
    <col min="11766" max="11766" width="33.25" style="1" customWidth="1"/>
    <col min="11767" max="11771" width="10.375" style="1"/>
    <col min="11772" max="11772" width="13.625" style="1" customWidth="1"/>
    <col min="11773" max="11773" width="10.375" style="1"/>
    <col min="11774" max="11774" width="14.375" style="1" customWidth="1"/>
    <col min="11775" max="11775" width="10.375" style="1"/>
    <col min="11776" max="11776" width="11.625" style="1" bestFit="1" customWidth="1"/>
    <col min="11777" max="11779" width="10.375" style="1"/>
    <col min="11780" max="11780" width="12.875" style="1" customWidth="1"/>
    <col min="11781" max="11781" width="10.375" style="1"/>
    <col min="11782" max="11782" width="13" style="1" customWidth="1"/>
    <col min="11783" max="12021" width="10.375" style="1"/>
    <col min="12022" max="12022" width="33.25" style="1" customWidth="1"/>
    <col min="12023" max="12027" width="10.375" style="1"/>
    <col min="12028" max="12028" width="13.625" style="1" customWidth="1"/>
    <col min="12029" max="12029" width="10.375" style="1"/>
    <col min="12030" max="12030" width="14.375" style="1" customWidth="1"/>
    <col min="12031" max="12031" width="10.375" style="1"/>
    <col min="12032" max="12032" width="11.625" style="1" bestFit="1" customWidth="1"/>
    <col min="12033" max="12035" width="10.375" style="1"/>
    <col min="12036" max="12036" width="12.875" style="1" customWidth="1"/>
    <col min="12037" max="12037" width="10.375" style="1"/>
    <col min="12038" max="12038" width="13" style="1" customWidth="1"/>
    <col min="12039" max="12277" width="10.375" style="1"/>
    <col min="12278" max="12278" width="33.25" style="1" customWidth="1"/>
    <col min="12279" max="12283" width="10.375" style="1"/>
    <col min="12284" max="12284" width="13.625" style="1" customWidth="1"/>
    <col min="12285" max="12285" width="10.375" style="1"/>
    <col min="12286" max="12286" width="14.375" style="1" customWidth="1"/>
    <col min="12287" max="12287" width="10.375" style="1"/>
    <col min="12288" max="12288" width="11.625" style="1" bestFit="1" customWidth="1"/>
    <col min="12289" max="12291" width="10.375" style="1"/>
    <col min="12292" max="12292" width="12.875" style="1" customWidth="1"/>
    <col min="12293" max="12293" width="10.375" style="1"/>
    <col min="12294" max="12294" width="13" style="1" customWidth="1"/>
    <col min="12295" max="12533" width="10.375" style="1"/>
    <col min="12534" max="12534" width="33.25" style="1" customWidth="1"/>
    <col min="12535" max="12539" width="10.375" style="1"/>
    <col min="12540" max="12540" width="13.625" style="1" customWidth="1"/>
    <col min="12541" max="12541" width="10.375" style="1"/>
    <col min="12542" max="12542" width="14.375" style="1" customWidth="1"/>
    <col min="12543" max="12543" width="10.375" style="1"/>
    <col min="12544" max="12544" width="11.625" style="1" bestFit="1" customWidth="1"/>
    <col min="12545" max="12547" width="10.375" style="1"/>
    <col min="12548" max="12548" width="12.875" style="1" customWidth="1"/>
    <col min="12549" max="12549" width="10.375" style="1"/>
    <col min="12550" max="12550" width="13" style="1" customWidth="1"/>
    <col min="12551" max="12789" width="10.375" style="1"/>
    <col min="12790" max="12790" width="33.25" style="1" customWidth="1"/>
    <col min="12791" max="12795" width="10.375" style="1"/>
    <col min="12796" max="12796" width="13.625" style="1" customWidth="1"/>
    <col min="12797" max="12797" width="10.375" style="1"/>
    <col min="12798" max="12798" width="14.375" style="1" customWidth="1"/>
    <col min="12799" max="12799" width="10.375" style="1"/>
    <col min="12800" max="12800" width="11.625" style="1" bestFit="1" customWidth="1"/>
    <col min="12801" max="12803" width="10.375" style="1"/>
    <col min="12804" max="12804" width="12.875" style="1" customWidth="1"/>
    <col min="12805" max="12805" width="10.375" style="1"/>
    <col min="12806" max="12806" width="13" style="1" customWidth="1"/>
    <col min="12807" max="13045" width="10.375" style="1"/>
    <col min="13046" max="13046" width="33.25" style="1" customWidth="1"/>
    <col min="13047" max="13051" width="10.375" style="1"/>
    <col min="13052" max="13052" width="13.625" style="1" customWidth="1"/>
    <col min="13053" max="13053" width="10.375" style="1"/>
    <col min="13054" max="13054" width="14.375" style="1" customWidth="1"/>
    <col min="13055" max="13055" width="10.375" style="1"/>
    <col min="13056" max="13056" width="11.625" style="1" bestFit="1" customWidth="1"/>
    <col min="13057" max="13059" width="10.375" style="1"/>
    <col min="13060" max="13060" width="12.875" style="1" customWidth="1"/>
    <col min="13061" max="13061" width="10.375" style="1"/>
    <col min="13062" max="13062" width="13" style="1" customWidth="1"/>
    <col min="13063" max="13301" width="10.375" style="1"/>
    <col min="13302" max="13302" width="33.25" style="1" customWidth="1"/>
    <col min="13303" max="13307" width="10.375" style="1"/>
    <col min="13308" max="13308" width="13.625" style="1" customWidth="1"/>
    <col min="13309" max="13309" width="10.375" style="1"/>
    <col min="13310" max="13310" width="14.375" style="1" customWidth="1"/>
    <col min="13311" max="13311" width="10.375" style="1"/>
    <col min="13312" max="13312" width="11.625" style="1" bestFit="1" customWidth="1"/>
    <col min="13313" max="13315" width="10.375" style="1"/>
    <col min="13316" max="13316" width="12.875" style="1" customWidth="1"/>
    <col min="13317" max="13317" width="10.375" style="1"/>
    <col min="13318" max="13318" width="13" style="1" customWidth="1"/>
    <col min="13319" max="13557" width="10.375" style="1"/>
    <col min="13558" max="13558" width="33.25" style="1" customWidth="1"/>
    <col min="13559" max="13563" width="10.375" style="1"/>
    <col min="13564" max="13564" width="13.625" style="1" customWidth="1"/>
    <col min="13565" max="13565" width="10.375" style="1"/>
    <col min="13566" max="13566" width="14.375" style="1" customWidth="1"/>
    <col min="13567" max="13567" width="10.375" style="1"/>
    <col min="13568" max="13568" width="11.625" style="1" bestFit="1" customWidth="1"/>
    <col min="13569" max="13571" width="10.375" style="1"/>
    <col min="13572" max="13572" width="12.875" style="1" customWidth="1"/>
    <col min="13573" max="13573" width="10.375" style="1"/>
    <col min="13574" max="13574" width="13" style="1" customWidth="1"/>
    <col min="13575" max="13813" width="10.375" style="1"/>
    <col min="13814" max="13814" width="33.25" style="1" customWidth="1"/>
    <col min="13815" max="13819" width="10.375" style="1"/>
    <col min="13820" max="13820" width="13.625" style="1" customWidth="1"/>
    <col min="13821" max="13821" width="10.375" style="1"/>
    <col min="13822" max="13822" width="14.375" style="1" customWidth="1"/>
    <col min="13823" max="13823" width="10.375" style="1"/>
    <col min="13824" max="13824" width="11.625" style="1" bestFit="1" customWidth="1"/>
    <col min="13825" max="13827" width="10.375" style="1"/>
    <col min="13828" max="13828" width="12.875" style="1" customWidth="1"/>
    <col min="13829" max="13829" width="10.375" style="1"/>
    <col min="13830" max="13830" width="13" style="1" customWidth="1"/>
    <col min="13831" max="14069" width="10.375" style="1"/>
    <col min="14070" max="14070" width="33.25" style="1" customWidth="1"/>
    <col min="14071" max="14075" width="10.375" style="1"/>
    <col min="14076" max="14076" width="13.625" style="1" customWidth="1"/>
    <col min="14077" max="14077" width="10.375" style="1"/>
    <col min="14078" max="14078" width="14.375" style="1" customWidth="1"/>
    <col min="14079" max="14079" width="10.375" style="1"/>
    <col min="14080" max="14080" width="11.625" style="1" bestFit="1" customWidth="1"/>
    <col min="14081" max="14083" width="10.375" style="1"/>
    <col min="14084" max="14084" width="12.875" style="1" customWidth="1"/>
    <col min="14085" max="14085" width="10.375" style="1"/>
    <col min="14086" max="14086" width="13" style="1" customWidth="1"/>
    <col min="14087" max="14325" width="10.375" style="1"/>
    <col min="14326" max="14326" width="33.25" style="1" customWidth="1"/>
    <col min="14327" max="14331" width="10.375" style="1"/>
    <col min="14332" max="14332" width="13.625" style="1" customWidth="1"/>
    <col min="14333" max="14333" width="10.375" style="1"/>
    <col min="14334" max="14334" width="14.375" style="1" customWidth="1"/>
    <col min="14335" max="14335" width="10.375" style="1"/>
    <col min="14336" max="14336" width="11.625" style="1" bestFit="1" customWidth="1"/>
    <col min="14337" max="14339" width="10.375" style="1"/>
    <col min="14340" max="14340" width="12.875" style="1" customWidth="1"/>
    <col min="14341" max="14341" width="10.375" style="1"/>
    <col min="14342" max="14342" width="13" style="1" customWidth="1"/>
    <col min="14343" max="14581" width="10.375" style="1"/>
    <col min="14582" max="14582" width="33.25" style="1" customWidth="1"/>
    <col min="14583" max="14587" width="10.375" style="1"/>
    <col min="14588" max="14588" width="13.625" style="1" customWidth="1"/>
    <col min="14589" max="14589" width="10.375" style="1"/>
    <col min="14590" max="14590" width="14.375" style="1" customWidth="1"/>
    <col min="14591" max="14591" width="10.375" style="1"/>
    <col min="14592" max="14592" width="11.625" style="1" bestFit="1" customWidth="1"/>
    <col min="14593" max="14595" width="10.375" style="1"/>
    <col min="14596" max="14596" width="12.875" style="1" customWidth="1"/>
    <col min="14597" max="14597" width="10.375" style="1"/>
    <col min="14598" max="14598" width="13" style="1" customWidth="1"/>
    <col min="14599" max="14837" width="10.375" style="1"/>
    <col min="14838" max="14838" width="33.25" style="1" customWidth="1"/>
    <col min="14839" max="14843" width="10.375" style="1"/>
    <col min="14844" max="14844" width="13.625" style="1" customWidth="1"/>
    <col min="14845" max="14845" width="10.375" style="1"/>
    <col min="14846" max="14846" width="14.375" style="1" customWidth="1"/>
    <col min="14847" max="14847" width="10.375" style="1"/>
    <col min="14848" max="14848" width="11.625" style="1" bestFit="1" customWidth="1"/>
    <col min="14849" max="14851" width="10.375" style="1"/>
    <col min="14852" max="14852" width="12.875" style="1" customWidth="1"/>
    <col min="14853" max="14853" width="10.375" style="1"/>
    <col min="14854" max="14854" width="13" style="1" customWidth="1"/>
    <col min="14855" max="15093" width="10.375" style="1"/>
    <col min="15094" max="15094" width="33.25" style="1" customWidth="1"/>
    <col min="15095" max="15099" width="10.375" style="1"/>
    <col min="15100" max="15100" width="13.625" style="1" customWidth="1"/>
    <col min="15101" max="15101" width="10.375" style="1"/>
    <col min="15102" max="15102" width="14.375" style="1" customWidth="1"/>
    <col min="15103" max="15103" width="10.375" style="1"/>
    <col min="15104" max="15104" width="11.625" style="1" bestFit="1" customWidth="1"/>
    <col min="15105" max="15107" width="10.375" style="1"/>
    <col min="15108" max="15108" width="12.875" style="1" customWidth="1"/>
    <col min="15109" max="15109" width="10.375" style="1"/>
    <col min="15110" max="15110" width="13" style="1" customWidth="1"/>
    <col min="15111" max="15349" width="10.375" style="1"/>
    <col min="15350" max="15350" width="33.25" style="1" customWidth="1"/>
    <col min="15351" max="15355" width="10.375" style="1"/>
    <col min="15356" max="15356" width="13.625" style="1" customWidth="1"/>
    <col min="15357" max="15357" width="10.375" style="1"/>
    <col min="15358" max="15358" width="14.375" style="1" customWidth="1"/>
    <col min="15359" max="15359" width="10.375" style="1"/>
    <col min="15360" max="15360" width="11.625" style="1" bestFit="1" customWidth="1"/>
    <col min="15361" max="15363" width="10.375" style="1"/>
    <col min="15364" max="15364" width="12.875" style="1" customWidth="1"/>
    <col min="15365" max="15365" width="10.375" style="1"/>
    <col min="15366" max="15366" width="13" style="1" customWidth="1"/>
    <col min="15367" max="15605" width="10.375" style="1"/>
    <col min="15606" max="15606" width="33.25" style="1" customWidth="1"/>
    <col min="15607" max="15611" width="10.375" style="1"/>
    <col min="15612" max="15612" width="13.625" style="1" customWidth="1"/>
    <col min="15613" max="15613" width="10.375" style="1"/>
    <col min="15614" max="15614" width="14.375" style="1" customWidth="1"/>
    <col min="15615" max="15615" width="10.375" style="1"/>
    <col min="15616" max="15616" width="11.625" style="1" bestFit="1" customWidth="1"/>
    <col min="15617" max="15619" width="10.375" style="1"/>
    <col min="15620" max="15620" width="12.875" style="1" customWidth="1"/>
    <col min="15621" max="15621" width="10.375" style="1"/>
    <col min="15622" max="15622" width="13" style="1" customWidth="1"/>
    <col min="15623" max="15861" width="10.375" style="1"/>
    <col min="15862" max="15862" width="33.25" style="1" customWidth="1"/>
    <col min="15863" max="15867" width="10.375" style="1"/>
    <col min="15868" max="15868" width="13.625" style="1" customWidth="1"/>
    <col min="15869" max="15869" width="10.375" style="1"/>
    <col min="15870" max="15870" width="14.375" style="1" customWidth="1"/>
    <col min="15871" max="15871" width="10.375" style="1"/>
    <col min="15872" max="15872" width="11.625" style="1" bestFit="1" customWidth="1"/>
    <col min="15873" max="15875" width="10.375" style="1"/>
    <col min="15876" max="15876" width="12.875" style="1" customWidth="1"/>
    <col min="15877" max="15877" width="10.375" style="1"/>
    <col min="15878" max="15878" width="13" style="1" customWidth="1"/>
    <col min="15879" max="16117" width="10.375" style="1"/>
    <col min="16118" max="16118" width="33.25" style="1" customWidth="1"/>
    <col min="16119" max="16123" width="10.375" style="1"/>
    <col min="16124" max="16124" width="13.625" style="1" customWidth="1"/>
    <col min="16125" max="16125" width="10.375" style="1"/>
    <col min="16126" max="16126" width="14.375" style="1" customWidth="1"/>
    <col min="16127" max="16127" width="10.375" style="1"/>
    <col min="16128" max="16128" width="11.625" style="1" bestFit="1" customWidth="1"/>
    <col min="16129" max="16131" width="10.375" style="1"/>
    <col min="16132" max="16132" width="12.875" style="1" customWidth="1"/>
    <col min="16133" max="16133" width="10.375" style="1"/>
    <col min="16134" max="16134" width="13" style="1" customWidth="1"/>
    <col min="16135" max="16384" width="10.375" style="1"/>
  </cols>
  <sheetData>
    <row r="1" spans="1:6" ht="18.600000000000001">
      <c r="A1" s="175" t="s">
        <v>0</v>
      </c>
      <c r="B1" s="175"/>
      <c r="C1" s="175"/>
      <c r="D1" s="175"/>
      <c r="E1" s="175"/>
      <c r="F1" s="175"/>
    </row>
    <row r="2" spans="1:6" ht="18.600000000000001">
      <c r="A2" s="176" t="s">
        <v>1</v>
      </c>
      <c r="B2" s="176"/>
      <c r="C2" s="176"/>
      <c r="D2" s="176"/>
      <c r="E2" s="176"/>
      <c r="F2" s="176"/>
    </row>
    <row r="3" spans="1:6" ht="18.600000000000001">
      <c r="A3" s="177" t="s">
        <v>67</v>
      </c>
      <c r="B3" s="177"/>
      <c r="C3" s="177"/>
      <c r="D3" s="177"/>
      <c r="E3" s="177"/>
      <c r="F3" s="177"/>
    </row>
    <row r="4" spans="1:6" ht="18.600000000000001">
      <c r="A4" s="178" t="s">
        <v>3</v>
      </c>
      <c r="B4" s="173" t="s">
        <v>4</v>
      </c>
      <c r="C4" s="146"/>
      <c r="D4" s="182" t="s">
        <v>9</v>
      </c>
      <c r="E4" s="183"/>
      <c r="F4" s="184"/>
    </row>
    <row r="5" spans="1:6" ht="18.600000000000001">
      <c r="A5" s="179"/>
      <c r="B5" s="181"/>
      <c r="C5" s="3" t="s">
        <v>58</v>
      </c>
      <c r="D5" s="185" t="s">
        <v>10</v>
      </c>
      <c r="E5" s="187" t="s">
        <v>12</v>
      </c>
      <c r="F5" s="2"/>
    </row>
    <row r="6" spans="1:6" ht="18.600000000000001">
      <c r="A6" s="180"/>
      <c r="B6" s="174"/>
      <c r="C6" s="4"/>
      <c r="D6" s="186"/>
      <c r="E6" s="188"/>
      <c r="F6" s="7" t="s">
        <v>19</v>
      </c>
    </row>
    <row r="7" spans="1:6" ht="18.600000000000001">
      <c r="A7" s="156"/>
      <c r="B7" s="173" t="s">
        <v>59</v>
      </c>
      <c r="C7" s="157"/>
      <c r="D7" s="158"/>
      <c r="E7" s="159"/>
      <c r="F7" s="160"/>
    </row>
    <row r="8" spans="1:6" ht="21.75" customHeight="1">
      <c r="A8" s="164"/>
      <c r="B8" s="174"/>
      <c r="C8" s="165"/>
      <c r="D8" s="150"/>
      <c r="E8" s="84"/>
      <c r="F8" s="166"/>
    </row>
    <row r="9" spans="1:6" ht="19.2" thickBot="1">
      <c r="A9" s="167"/>
      <c r="B9" s="168"/>
      <c r="C9" s="168"/>
      <c r="D9" s="169"/>
      <c r="E9" s="170"/>
      <c r="F9" s="171"/>
    </row>
    <row r="10" spans="1:6" ht="19.2" thickTop="1">
      <c r="A10" s="161"/>
      <c r="B10" s="162"/>
      <c r="C10" s="162"/>
      <c r="D10" s="77"/>
      <c r="E10" s="78"/>
      <c r="F10" s="163"/>
    </row>
    <row r="11" spans="1:6" ht="18.600000000000001">
      <c r="A11" s="151"/>
      <c r="B11" s="155" t="s">
        <v>31</v>
      </c>
      <c r="C11" s="147"/>
      <c r="D11" s="77"/>
      <c r="E11" s="78"/>
      <c r="F11" s="96"/>
    </row>
    <row r="12" spans="1:6" ht="18.600000000000001">
      <c r="A12" s="42">
        <v>1</v>
      </c>
      <c r="B12" s="97" t="s">
        <v>32</v>
      </c>
      <c r="C12" s="98"/>
      <c r="D12" s="24" t="s">
        <v>34</v>
      </c>
      <c r="E12" s="25"/>
      <c r="F12" s="99">
        <v>322273.98</v>
      </c>
    </row>
    <row r="13" spans="1:6" ht="18.600000000000001">
      <c r="A13" s="42"/>
      <c r="B13" s="100" t="s">
        <v>35</v>
      </c>
      <c r="C13" s="98"/>
      <c r="D13" s="31"/>
      <c r="E13" s="25"/>
      <c r="F13" s="99"/>
    </row>
    <row r="14" spans="1:6" ht="18.600000000000001">
      <c r="A14" s="42"/>
      <c r="B14" s="100" t="s">
        <v>37</v>
      </c>
      <c r="C14" s="101"/>
      <c r="D14" s="31"/>
      <c r="E14" s="25"/>
      <c r="F14" s="99"/>
    </row>
    <row r="15" spans="1:6" ht="18.600000000000001">
      <c r="A15" s="42"/>
      <c r="B15" s="100" t="s">
        <v>38</v>
      </c>
      <c r="C15" s="101"/>
      <c r="D15" s="31"/>
      <c r="E15" s="25"/>
      <c r="F15" s="99"/>
    </row>
    <row r="16" spans="1:6" ht="18.600000000000001">
      <c r="A16" s="8">
        <v>2</v>
      </c>
      <c r="B16" s="102" t="s">
        <v>32</v>
      </c>
      <c r="C16" s="98"/>
      <c r="D16" s="62" t="s">
        <v>40</v>
      </c>
      <c r="E16" s="25">
        <v>16</v>
      </c>
      <c r="F16" s="99">
        <v>5208581.93</v>
      </c>
    </row>
    <row r="17" spans="1:6" ht="18.600000000000001">
      <c r="A17" s="8"/>
      <c r="B17" s="153" t="s">
        <v>41</v>
      </c>
      <c r="C17" s="101"/>
      <c r="D17" s="62" t="s">
        <v>42</v>
      </c>
      <c r="E17" s="25"/>
      <c r="F17" s="92"/>
    </row>
    <row r="18" spans="1:6" ht="18.600000000000001">
      <c r="A18" s="8"/>
      <c r="B18" s="103" t="s">
        <v>43</v>
      </c>
      <c r="C18" s="101"/>
      <c r="D18" s="31"/>
      <c r="E18" s="25"/>
      <c r="F18" s="92"/>
    </row>
    <row r="19" spans="1:6" ht="18.600000000000001">
      <c r="A19" s="148"/>
      <c r="B19" s="149" t="s">
        <v>44</v>
      </c>
      <c r="C19" s="154"/>
      <c r="D19" s="150"/>
      <c r="E19" s="25"/>
      <c r="F19" s="92"/>
    </row>
    <row r="20" spans="1:6" ht="19.2" thickBot="1">
      <c r="A20" s="152"/>
      <c r="B20" s="172" t="s">
        <v>53</v>
      </c>
      <c r="C20" s="145"/>
      <c r="D20" s="108"/>
      <c r="E20" s="106"/>
      <c r="F20" s="106">
        <f>SUM(F12:F18)</f>
        <v>5530855.9100000001</v>
      </c>
    </row>
    <row r="21" spans="1:6" ht="19.2" thickTop="1">
      <c r="A21" s="120"/>
      <c r="B21" s="121"/>
      <c r="C21" s="121"/>
      <c r="D21" s="125"/>
      <c r="E21" s="121"/>
      <c r="F21" s="126"/>
    </row>
  </sheetData>
  <mergeCells count="9">
    <mergeCell ref="B7:B8"/>
    <mergeCell ref="A1:F1"/>
    <mergeCell ref="A2:F2"/>
    <mergeCell ref="A3:F3"/>
    <mergeCell ref="A4:A6"/>
    <mergeCell ref="B4:B6"/>
    <mergeCell ref="D4:F4"/>
    <mergeCell ref="D5:D6"/>
    <mergeCell ref="E5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83B-04DD-469C-82E1-81C532ED43D2}">
  <sheetPr>
    <tabColor rgb="FF00B0F0"/>
  </sheetPr>
  <dimension ref="A1:E21"/>
  <sheetViews>
    <sheetView workbookViewId="0">
      <pane ySplit="6" topLeftCell="A9" activePane="bottomLeft" state="frozen"/>
      <selection pane="bottomLeft" activeCell="K16" sqref="K16"/>
    </sheetView>
  </sheetViews>
  <sheetFormatPr defaultColWidth="10.375" defaultRowHeight="14.4"/>
  <cols>
    <col min="1" max="1" width="10.375" style="1"/>
    <col min="2" max="2" width="33.25" style="1" customWidth="1"/>
    <col min="3" max="4" width="10.375" style="1"/>
    <col min="5" max="5" width="13" style="1" customWidth="1"/>
    <col min="6" max="244" width="10.375" style="1"/>
    <col min="245" max="245" width="33.25" style="1" customWidth="1"/>
    <col min="246" max="250" width="10.375" style="1"/>
    <col min="251" max="251" width="13.625" style="1" customWidth="1"/>
    <col min="252" max="252" width="10.375" style="1"/>
    <col min="253" max="253" width="14.375" style="1" customWidth="1"/>
    <col min="254" max="254" width="10.375" style="1"/>
    <col min="255" max="255" width="11.625" style="1" bestFit="1" customWidth="1"/>
    <col min="256" max="258" width="10.375" style="1"/>
    <col min="259" max="259" width="12.875" style="1" customWidth="1"/>
    <col min="260" max="260" width="10.375" style="1"/>
    <col min="261" max="261" width="13" style="1" customWidth="1"/>
    <col min="262" max="500" width="10.375" style="1"/>
    <col min="501" max="501" width="33.25" style="1" customWidth="1"/>
    <col min="502" max="506" width="10.375" style="1"/>
    <col min="507" max="507" width="13.625" style="1" customWidth="1"/>
    <col min="508" max="508" width="10.375" style="1"/>
    <col min="509" max="509" width="14.375" style="1" customWidth="1"/>
    <col min="510" max="510" width="10.375" style="1"/>
    <col min="511" max="511" width="11.625" style="1" bestFit="1" customWidth="1"/>
    <col min="512" max="514" width="10.375" style="1"/>
    <col min="515" max="515" width="12.875" style="1" customWidth="1"/>
    <col min="516" max="516" width="10.375" style="1"/>
    <col min="517" max="517" width="13" style="1" customWidth="1"/>
    <col min="518" max="756" width="10.375" style="1"/>
    <col min="757" max="757" width="33.25" style="1" customWidth="1"/>
    <col min="758" max="762" width="10.375" style="1"/>
    <col min="763" max="763" width="13.625" style="1" customWidth="1"/>
    <col min="764" max="764" width="10.375" style="1"/>
    <col min="765" max="765" width="14.375" style="1" customWidth="1"/>
    <col min="766" max="766" width="10.375" style="1"/>
    <col min="767" max="767" width="11.625" style="1" bestFit="1" customWidth="1"/>
    <col min="768" max="770" width="10.375" style="1"/>
    <col min="771" max="771" width="12.875" style="1" customWidth="1"/>
    <col min="772" max="772" width="10.375" style="1"/>
    <col min="773" max="773" width="13" style="1" customWidth="1"/>
    <col min="774" max="1012" width="10.375" style="1"/>
    <col min="1013" max="1013" width="33.25" style="1" customWidth="1"/>
    <col min="1014" max="1018" width="10.375" style="1"/>
    <col min="1019" max="1019" width="13.625" style="1" customWidth="1"/>
    <col min="1020" max="1020" width="10.375" style="1"/>
    <col min="1021" max="1021" width="14.375" style="1" customWidth="1"/>
    <col min="1022" max="1022" width="10.375" style="1"/>
    <col min="1023" max="1023" width="11.625" style="1" bestFit="1" customWidth="1"/>
    <col min="1024" max="1026" width="10.375" style="1"/>
    <col min="1027" max="1027" width="12.875" style="1" customWidth="1"/>
    <col min="1028" max="1028" width="10.375" style="1"/>
    <col min="1029" max="1029" width="13" style="1" customWidth="1"/>
    <col min="1030" max="1268" width="10.375" style="1"/>
    <col min="1269" max="1269" width="33.25" style="1" customWidth="1"/>
    <col min="1270" max="1274" width="10.375" style="1"/>
    <col min="1275" max="1275" width="13.625" style="1" customWidth="1"/>
    <col min="1276" max="1276" width="10.375" style="1"/>
    <col min="1277" max="1277" width="14.375" style="1" customWidth="1"/>
    <col min="1278" max="1278" width="10.375" style="1"/>
    <col min="1279" max="1279" width="11.625" style="1" bestFit="1" customWidth="1"/>
    <col min="1280" max="1282" width="10.375" style="1"/>
    <col min="1283" max="1283" width="12.875" style="1" customWidth="1"/>
    <col min="1284" max="1284" width="10.375" style="1"/>
    <col min="1285" max="1285" width="13" style="1" customWidth="1"/>
    <col min="1286" max="1524" width="10.375" style="1"/>
    <col min="1525" max="1525" width="33.25" style="1" customWidth="1"/>
    <col min="1526" max="1530" width="10.375" style="1"/>
    <col min="1531" max="1531" width="13.625" style="1" customWidth="1"/>
    <col min="1532" max="1532" width="10.375" style="1"/>
    <col min="1533" max="1533" width="14.375" style="1" customWidth="1"/>
    <col min="1534" max="1534" width="10.375" style="1"/>
    <col min="1535" max="1535" width="11.625" style="1" bestFit="1" customWidth="1"/>
    <col min="1536" max="1538" width="10.375" style="1"/>
    <col min="1539" max="1539" width="12.875" style="1" customWidth="1"/>
    <col min="1540" max="1540" width="10.375" style="1"/>
    <col min="1541" max="1541" width="13" style="1" customWidth="1"/>
    <col min="1542" max="1780" width="10.375" style="1"/>
    <col min="1781" max="1781" width="33.25" style="1" customWidth="1"/>
    <col min="1782" max="1786" width="10.375" style="1"/>
    <col min="1787" max="1787" width="13.625" style="1" customWidth="1"/>
    <col min="1788" max="1788" width="10.375" style="1"/>
    <col min="1789" max="1789" width="14.375" style="1" customWidth="1"/>
    <col min="1790" max="1790" width="10.375" style="1"/>
    <col min="1791" max="1791" width="11.625" style="1" bestFit="1" customWidth="1"/>
    <col min="1792" max="1794" width="10.375" style="1"/>
    <col min="1795" max="1795" width="12.875" style="1" customWidth="1"/>
    <col min="1796" max="1796" width="10.375" style="1"/>
    <col min="1797" max="1797" width="13" style="1" customWidth="1"/>
    <col min="1798" max="2036" width="10.375" style="1"/>
    <col min="2037" max="2037" width="33.25" style="1" customWidth="1"/>
    <col min="2038" max="2042" width="10.375" style="1"/>
    <col min="2043" max="2043" width="13.625" style="1" customWidth="1"/>
    <col min="2044" max="2044" width="10.375" style="1"/>
    <col min="2045" max="2045" width="14.375" style="1" customWidth="1"/>
    <col min="2046" max="2046" width="10.375" style="1"/>
    <col min="2047" max="2047" width="11.625" style="1" bestFit="1" customWidth="1"/>
    <col min="2048" max="2050" width="10.375" style="1"/>
    <col min="2051" max="2051" width="12.875" style="1" customWidth="1"/>
    <col min="2052" max="2052" width="10.375" style="1"/>
    <col min="2053" max="2053" width="13" style="1" customWidth="1"/>
    <col min="2054" max="2292" width="10.375" style="1"/>
    <col min="2293" max="2293" width="33.25" style="1" customWidth="1"/>
    <col min="2294" max="2298" width="10.375" style="1"/>
    <col min="2299" max="2299" width="13.625" style="1" customWidth="1"/>
    <col min="2300" max="2300" width="10.375" style="1"/>
    <col min="2301" max="2301" width="14.375" style="1" customWidth="1"/>
    <col min="2302" max="2302" width="10.375" style="1"/>
    <col min="2303" max="2303" width="11.625" style="1" bestFit="1" customWidth="1"/>
    <col min="2304" max="2306" width="10.375" style="1"/>
    <col min="2307" max="2307" width="12.875" style="1" customWidth="1"/>
    <col min="2308" max="2308" width="10.375" style="1"/>
    <col min="2309" max="2309" width="13" style="1" customWidth="1"/>
    <col min="2310" max="2548" width="10.375" style="1"/>
    <col min="2549" max="2549" width="33.25" style="1" customWidth="1"/>
    <col min="2550" max="2554" width="10.375" style="1"/>
    <col min="2555" max="2555" width="13.625" style="1" customWidth="1"/>
    <col min="2556" max="2556" width="10.375" style="1"/>
    <col min="2557" max="2557" width="14.375" style="1" customWidth="1"/>
    <col min="2558" max="2558" width="10.375" style="1"/>
    <col min="2559" max="2559" width="11.625" style="1" bestFit="1" customWidth="1"/>
    <col min="2560" max="2562" width="10.375" style="1"/>
    <col min="2563" max="2563" width="12.875" style="1" customWidth="1"/>
    <col min="2564" max="2564" width="10.375" style="1"/>
    <col min="2565" max="2565" width="13" style="1" customWidth="1"/>
    <col min="2566" max="2804" width="10.375" style="1"/>
    <col min="2805" max="2805" width="33.25" style="1" customWidth="1"/>
    <col min="2806" max="2810" width="10.375" style="1"/>
    <col min="2811" max="2811" width="13.625" style="1" customWidth="1"/>
    <col min="2812" max="2812" width="10.375" style="1"/>
    <col min="2813" max="2813" width="14.375" style="1" customWidth="1"/>
    <col min="2814" max="2814" width="10.375" style="1"/>
    <col min="2815" max="2815" width="11.625" style="1" bestFit="1" customWidth="1"/>
    <col min="2816" max="2818" width="10.375" style="1"/>
    <col min="2819" max="2819" width="12.875" style="1" customWidth="1"/>
    <col min="2820" max="2820" width="10.375" style="1"/>
    <col min="2821" max="2821" width="13" style="1" customWidth="1"/>
    <col min="2822" max="3060" width="10.375" style="1"/>
    <col min="3061" max="3061" width="33.25" style="1" customWidth="1"/>
    <col min="3062" max="3066" width="10.375" style="1"/>
    <col min="3067" max="3067" width="13.625" style="1" customWidth="1"/>
    <col min="3068" max="3068" width="10.375" style="1"/>
    <col min="3069" max="3069" width="14.375" style="1" customWidth="1"/>
    <col min="3070" max="3070" width="10.375" style="1"/>
    <col min="3071" max="3071" width="11.625" style="1" bestFit="1" customWidth="1"/>
    <col min="3072" max="3074" width="10.375" style="1"/>
    <col min="3075" max="3075" width="12.875" style="1" customWidth="1"/>
    <col min="3076" max="3076" width="10.375" style="1"/>
    <col min="3077" max="3077" width="13" style="1" customWidth="1"/>
    <col min="3078" max="3316" width="10.375" style="1"/>
    <col min="3317" max="3317" width="33.25" style="1" customWidth="1"/>
    <col min="3318" max="3322" width="10.375" style="1"/>
    <col min="3323" max="3323" width="13.625" style="1" customWidth="1"/>
    <col min="3324" max="3324" width="10.375" style="1"/>
    <col min="3325" max="3325" width="14.375" style="1" customWidth="1"/>
    <col min="3326" max="3326" width="10.375" style="1"/>
    <col min="3327" max="3327" width="11.625" style="1" bestFit="1" customWidth="1"/>
    <col min="3328" max="3330" width="10.375" style="1"/>
    <col min="3331" max="3331" width="12.875" style="1" customWidth="1"/>
    <col min="3332" max="3332" width="10.375" style="1"/>
    <col min="3333" max="3333" width="13" style="1" customWidth="1"/>
    <col min="3334" max="3572" width="10.375" style="1"/>
    <col min="3573" max="3573" width="33.25" style="1" customWidth="1"/>
    <col min="3574" max="3578" width="10.375" style="1"/>
    <col min="3579" max="3579" width="13.625" style="1" customWidth="1"/>
    <col min="3580" max="3580" width="10.375" style="1"/>
    <col min="3581" max="3581" width="14.375" style="1" customWidth="1"/>
    <col min="3582" max="3582" width="10.375" style="1"/>
    <col min="3583" max="3583" width="11.625" style="1" bestFit="1" customWidth="1"/>
    <col min="3584" max="3586" width="10.375" style="1"/>
    <col min="3587" max="3587" width="12.875" style="1" customWidth="1"/>
    <col min="3588" max="3588" width="10.375" style="1"/>
    <col min="3589" max="3589" width="13" style="1" customWidth="1"/>
    <col min="3590" max="3828" width="10.375" style="1"/>
    <col min="3829" max="3829" width="33.25" style="1" customWidth="1"/>
    <col min="3830" max="3834" width="10.375" style="1"/>
    <col min="3835" max="3835" width="13.625" style="1" customWidth="1"/>
    <col min="3836" max="3836" width="10.375" style="1"/>
    <col min="3837" max="3837" width="14.375" style="1" customWidth="1"/>
    <col min="3838" max="3838" width="10.375" style="1"/>
    <col min="3839" max="3839" width="11.625" style="1" bestFit="1" customWidth="1"/>
    <col min="3840" max="3842" width="10.375" style="1"/>
    <col min="3843" max="3843" width="12.875" style="1" customWidth="1"/>
    <col min="3844" max="3844" width="10.375" style="1"/>
    <col min="3845" max="3845" width="13" style="1" customWidth="1"/>
    <col min="3846" max="4084" width="10.375" style="1"/>
    <col min="4085" max="4085" width="33.25" style="1" customWidth="1"/>
    <col min="4086" max="4090" width="10.375" style="1"/>
    <col min="4091" max="4091" width="13.625" style="1" customWidth="1"/>
    <col min="4092" max="4092" width="10.375" style="1"/>
    <col min="4093" max="4093" width="14.375" style="1" customWidth="1"/>
    <col min="4094" max="4094" width="10.375" style="1"/>
    <col min="4095" max="4095" width="11.625" style="1" bestFit="1" customWidth="1"/>
    <col min="4096" max="4098" width="10.375" style="1"/>
    <col min="4099" max="4099" width="12.875" style="1" customWidth="1"/>
    <col min="4100" max="4100" width="10.375" style="1"/>
    <col min="4101" max="4101" width="13" style="1" customWidth="1"/>
    <col min="4102" max="4340" width="10.375" style="1"/>
    <col min="4341" max="4341" width="33.25" style="1" customWidth="1"/>
    <col min="4342" max="4346" width="10.375" style="1"/>
    <col min="4347" max="4347" width="13.625" style="1" customWidth="1"/>
    <col min="4348" max="4348" width="10.375" style="1"/>
    <col min="4349" max="4349" width="14.375" style="1" customWidth="1"/>
    <col min="4350" max="4350" width="10.375" style="1"/>
    <col min="4351" max="4351" width="11.625" style="1" bestFit="1" customWidth="1"/>
    <col min="4352" max="4354" width="10.375" style="1"/>
    <col min="4355" max="4355" width="12.875" style="1" customWidth="1"/>
    <col min="4356" max="4356" width="10.375" style="1"/>
    <col min="4357" max="4357" width="13" style="1" customWidth="1"/>
    <col min="4358" max="4596" width="10.375" style="1"/>
    <col min="4597" max="4597" width="33.25" style="1" customWidth="1"/>
    <col min="4598" max="4602" width="10.375" style="1"/>
    <col min="4603" max="4603" width="13.625" style="1" customWidth="1"/>
    <col min="4604" max="4604" width="10.375" style="1"/>
    <col min="4605" max="4605" width="14.375" style="1" customWidth="1"/>
    <col min="4606" max="4606" width="10.375" style="1"/>
    <col min="4607" max="4607" width="11.625" style="1" bestFit="1" customWidth="1"/>
    <col min="4608" max="4610" width="10.375" style="1"/>
    <col min="4611" max="4611" width="12.875" style="1" customWidth="1"/>
    <col min="4612" max="4612" width="10.375" style="1"/>
    <col min="4613" max="4613" width="13" style="1" customWidth="1"/>
    <col min="4614" max="4852" width="10.375" style="1"/>
    <col min="4853" max="4853" width="33.25" style="1" customWidth="1"/>
    <col min="4854" max="4858" width="10.375" style="1"/>
    <col min="4859" max="4859" width="13.625" style="1" customWidth="1"/>
    <col min="4860" max="4860" width="10.375" style="1"/>
    <col min="4861" max="4861" width="14.375" style="1" customWidth="1"/>
    <col min="4862" max="4862" width="10.375" style="1"/>
    <col min="4863" max="4863" width="11.625" style="1" bestFit="1" customWidth="1"/>
    <col min="4864" max="4866" width="10.375" style="1"/>
    <col min="4867" max="4867" width="12.875" style="1" customWidth="1"/>
    <col min="4868" max="4868" width="10.375" style="1"/>
    <col min="4869" max="4869" width="13" style="1" customWidth="1"/>
    <col min="4870" max="5108" width="10.375" style="1"/>
    <col min="5109" max="5109" width="33.25" style="1" customWidth="1"/>
    <col min="5110" max="5114" width="10.375" style="1"/>
    <col min="5115" max="5115" width="13.625" style="1" customWidth="1"/>
    <col min="5116" max="5116" width="10.375" style="1"/>
    <col min="5117" max="5117" width="14.375" style="1" customWidth="1"/>
    <col min="5118" max="5118" width="10.375" style="1"/>
    <col min="5119" max="5119" width="11.625" style="1" bestFit="1" customWidth="1"/>
    <col min="5120" max="5122" width="10.375" style="1"/>
    <col min="5123" max="5123" width="12.875" style="1" customWidth="1"/>
    <col min="5124" max="5124" width="10.375" style="1"/>
    <col min="5125" max="5125" width="13" style="1" customWidth="1"/>
    <col min="5126" max="5364" width="10.375" style="1"/>
    <col min="5365" max="5365" width="33.25" style="1" customWidth="1"/>
    <col min="5366" max="5370" width="10.375" style="1"/>
    <col min="5371" max="5371" width="13.625" style="1" customWidth="1"/>
    <col min="5372" max="5372" width="10.375" style="1"/>
    <col min="5373" max="5373" width="14.375" style="1" customWidth="1"/>
    <col min="5374" max="5374" width="10.375" style="1"/>
    <col min="5375" max="5375" width="11.625" style="1" bestFit="1" customWidth="1"/>
    <col min="5376" max="5378" width="10.375" style="1"/>
    <col min="5379" max="5379" width="12.875" style="1" customWidth="1"/>
    <col min="5380" max="5380" width="10.375" style="1"/>
    <col min="5381" max="5381" width="13" style="1" customWidth="1"/>
    <col min="5382" max="5620" width="10.375" style="1"/>
    <col min="5621" max="5621" width="33.25" style="1" customWidth="1"/>
    <col min="5622" max="5626" width="10.375" style="1"/>
    <col min="5627" max="5627" width="13.625" style="1" customWidth="1"/>
    <col min="5628" max="5628" width="10.375" style="1"/>
    <col min="5629" max="5629" width="14.375" style="1" customWidth="1"/>
    <col min="5630" max="5630" width="10.375" style="1"/>
    <col min="5631" max="5631" width="11.625" style="1" bestFit="1" customWidth="1"/>
    <col min="5632" max="5634" width="10.375" style="1"/>
    <col min="5635" max="5635" width="12.875" style="1" customWidth="1"/>
    <col min="5636" max="5636" width="10.375" style="1"/>
    <col min="5637" max="5637" width="13" style="1" customWidth="1"/>
    <col min="5638" max="5876" width="10.375" style="1"/>
    <col min="5877" max="5877" width="33.25" style="1" customWidth="1"/>
    <col min="5878" max="5882" width="10.375" style="1"/>
    <col min="5883" max="5883" width="13.625" style="1" customWidth="1"/>
    <col min="5884" max="5884" width="10.375" style="1"/>
    <col min="5885" max="5885" width="14.375" style="1" customWidth="1"/>
    <col min="5886" max="5886" width="10.375" style="1"/>
    <col min="5887" max="5887" width="11.625" style="1" bestFit="1" customWidth="1"/>
    <col min="5888" max="5890" width="10.375" style="1"/>
    <col min="5891" max="5891" width="12.875" style="1" customWidth="1"/>
    <col min="5892" max="5892" width="10.375" style="1"/>
    <col min="5893" max="5893" width="13" style="1" customWidth="1"/>
    <col min="5894" max="6132" width="10.375" style="1"/>
    <col min="6133" max="6133" width="33.25" style="1" customWidth="1"/>
    <col min="6134" max="6138" width="10.375" style="1"/>
    <col min="6139" max="6139" width="13.625" style="1" customWidth="1"/>
    <col min="6140" max="6140" width="10.375" style="1"/>
    <col min="6141" max="6141" width="14.375" style="1" customWidth="1"/>
    <col min="6142" max="6142" width="10.375" style="1"/>
    <col min="6143" max="6143" width="11.625" style="1" bestFit="1" customWidth="1"/>
    <col min="6144" max="6146" width="10.375" style="1"/>
    <col min="6147" max="6147" width="12.875" style="1" customWidth="1"/>
    <col min="6148" max="6148" width="10.375" style="1"/>
    <col min="6149" max="6149" width="13" style="1" customWidth="1"/>
    <col min="6150" max="6388" width="10.375" style="1"/>
    <col min="6389" max="6389" width="33.25" style="1" customWidth="1"/>
    <col min="6390" max="6394" width="10.375" style="1"/>
    <col min="6395" max="6395" width="13.625" style="1" customWidth="1"/>
    <col min="6396" max="6396" width="10.375" style="1"/>
    <col min="6397" max="6397" width="14.375" style="1" customWidth="1"/>
    <col min="6398" max="6398" width="10.375" style="1"/>
    <col min="6399" max="6399" width="11.625" style="1" bestFit="1" customWidth="1"/>
    <col min="6400" max="6402" width="10.375" style="1"/>
    <col min="6403" max="6403" width="12.875" style="1" customWidth="1"/>
    <col min="6404" max="6404" width="10.375" style="1"/>
    <col min="6405" max="6405" width="13" style="1" customWidth="1"/>
    <col min="6406" max="6644" width="10.375" style="1"/>
    <col min="6645" max="6645" width="33.25" style="1" customWidth="1"/>
    <col min="6646" max="6650" width="10.375" style="1"/>
    <col min="6651" max="6651" width="13.625" style="1" customWidth="1"/>
    <col min="6652" max="6652" width="10.375" style="1"/>
    <col min="6653" max="6653" width="14.375" style="1" customWidth="1"/>
    <col min="6654" max="6654" width="10.375" style="1"/>
    <col min="6655" max="6655" width="11.625" style="1" bestFit="1" customWidth="1"/>
    <col min="6656" max="6658" width="10.375" style="1"/>
    <col min="6659" max="6659" width="12.875" style="1" customWidth="1"/>
    <col min="6660" max="6660" width="10.375" style="1"/>
    <col min="6661" max="6661" width="13" style="1" customWidth="1"/>
    <col min="6662" max="6900" width="10.375" style="1"/>
    <col min="6901" max="6901" width="33.25" style="1" customWidth="1"/>
    <col min="6902" max="6906" width="10.375" style="1"/>
    <col min="6907" max="6907" width="13.625" style="1" customWidth="1"/>
    <col min="6908" max="6908" width="10.375" style="1"/>
    <col min="6909" max="6909" width="14.375" style="1" customWidth="1"/>
    <col min="6910" max="6910" width="10.375" style="1"/>
    <col min="6911" max="6911" width="11.625" style="1" bestFit="1" customWidth="1"/>
    <col min="6912" max="6914" width="10.375" style="1"/>
    <col min="6915" max="6915" width="12.875" style="1" customWidth="1"/>
    <col min="6916" max="6916" width="10.375" style="1"/>
    <col min="6917" max="6917" width="13" style="1" customWidth="1"/>
    <col min="6918" max="7156" width="10.375" style="1"/>
    <col min="7157" max="7157" width="33.25" style="1" customWidth="1"/>
    <col min="7158" max="7162" width="10.375" style="1"/>
    <col min="7163" max="7163" width="13.625" style="1" customWidth="1"/>
    <col min="7164" max="7164" width="10.375" style="1"/>
    <col min="7165" max="7165" width="14.375" style="1" customWidth="1"/>
    <col min="7166" max="7166" width="10.375" style="1"/>
    <col min="7167" max="7167" width="11.625" style="1" bestFit="1" customWidth="1"/>
    <col min="7168" max="7170" width="10.375" style="1"/>
    <col min="7171" max="7171" width="12.875" style="1" customWidth="1"/>
    <col min="7172" max="7172" width="10.375" style="1"/>
    <col min="7173" max="7173" width="13" style="1" customWidth="1"/>
    <col min="7174" max="7412" width="10.375" style="1"/>
    <col min="7413" max="7413" width="33.25" style="1" customWidth="1"/>
    <col min="7414" max="7418" width="10.375" style="1"/>
    <col min="7419" max="7419" width="13.625" style="1" customWidth="1"/>
    <col min="7420" max="7420" width="10.375" style="1"/>
    <col min="7421" max="7421" width="14.375" style="1" customWidth="1"/>
    <col min="7422" max="7422" width="10.375" style="1"/>
    <col min="7423" max="7423" width="11.625" style="1" bestFit="1" customWidth="1"/>
    <col min="7424" max="7426" width="10.375" style="1"/>
    <col min="7427" max="7427" width="12.875" style="1" customWidth="1"/>
    <col min="7428" max="7428" width="10.375" style="1"/>
    <col min="7429" max="7429" width="13" style="1" customWidth="1"/>
    <col min="7430" max="7668" width="10.375" style="1"/>
    <col min="7669" max="7669" width="33.25" style="1" customWidth="1"/>
    <col min="7670" max="7674" width="10.375" style="1"/>
    <col min="7675" max="7675" width="13.625" style="1" customWidth="1"/>
    <col min="7676" max="7676" width="10.375" style="1"/>
    <col min="7677" max="7677" width="14.375" style="1" customWidth="1"/>
    <col min="7678" max="7678" width="10.375" style="1"/>
    <col min="7679" max="7679" width="11.625" style="1" bestFit="1" customWidth="1"/>
    <col min="7680" max="7682" width="10.375" style="1"/>
    <col min="7683" max="7683" width="12.875" style="1" customWidth="1"/>
    <col min="7684" max="7684" width="10.375" style="1"/>
    <col min="7685" max="7685" width="13" style="1" customWidth="1"/>
    <col min="7686" max="7924" width="10.375" style="1"/>
    <col min="7925" max="7925" width="33.25" style="1" customWidth="1"/>
    <col min="7926" max="7930" width="10.375" style="1"/>
    <col min="7931" max="7931" width="13.625" style="1" customWidth="1"/>
    <col min="7932" max="7932" width="10.375" style="1"/>
    <col min="7933" max="7933" width="14.375" style="1" customWidth="1"/>
    <col min="7934" max="7934" width="10.375" style="1"/>
    <col min="7935" max="7935" width="11.625" style="1" bestFit="1" customWidth="1"/>
    <col min="7936" max="7938" width="10.375" style="1"/>
    <col min="7939" max="7939" width="12.875" style="1" customWidth="1"/>
    <col min="7940" max="7940" width="10.375" style="1"/>
    <col min="7941" max="7941" width="13" style="1" customWidth="1"/>
    <col min="7942" max="8180" width="10.375" style="1"/>
    <col min="8181" max="8181" width="33.25" style="1" customWidth="1"/>
    <col min="8182" max="8186" width="10.375" style="1"/>
    <col min="8187" max="8187" width="13.625" style="1" customWidth="1"/>
    <col min="8188" max="8188" width="10.375" style="1"/>
    <col min="8189" max="8189" width="14.375" style="1" customWidth="1"/>
    <col min="8190" max="8190" width="10.375" style="1"/>
    <col min="8191" max="8191" width="11.625" style="1" bestFit="1" customWidth="1"/>
    <col min="8192" max="8194" width="10.375" style="1"/>
    <col min="8195" max="8195" width="12.875" style="1" customWidth="1"/>
    <col min="8196" max="8196" width="10.375" style="1"/>
    <col min="8197" max="8197" width="13" style="1" customWidth="1"/>
    <col min="8198" max="8436" width="10.375" style="1"/>
    <col min="8437" max="8437" width="33.25" style="1" customWidth="1"/>
    <col min="8438" max="8442" width="10.375" style="1"/>
    <col min="8443" max="8443" width="13.625" style="1" customWidth="1"/>
    <col min="8444" max="8444" width="10.375" style="1"/>
    <col min="8445" max="8445" width="14.375" style="1" customWidth="1"/>
    <col min="8446" max="8446" width="10.375" style="1"/>
    <col min="8447" max="8447" width="11.625" style="1" bestFit="1" customWidth="1"/>
    <col min="8448" max="8450" width="10.375" style="1"/>
    <col min="8451" max="8451" width="12.875" style="1" customWidth="1"/>
    <col min="8452" max="8452" width="10.375" style="1"/>
    <col min="8453" max="8453" width="13" style="1" customWidth="1"/>
    <col min="8454" max="8692" width="10.375" style="1"/>
    <col min="8693" max="8693" width="33.25" style="1" customWidth="1"/>
    <col min="8694" max="8698" width="10.375" style="1"/>
    <col min="8699" max="8699" width="13.625" style="1" customWidth="1"/>
    <col min="8700" max="8700" width="10.375" style="1"/>
    <col min="8701" max="8701" width="14.375" style="1" customWidth="1"/>
    <col min="8702" max="8702" width="10.375" style="1"/>
    <col min="8703" max="8703" width="11.625" style="1" bestFit="1" customWidth="1"/>
    <col min="8704" max="8706" width="10.375" style="1"/>
    <col min="8707" max="8707" width="12.875" style="1" customWidth="1"/>
    <col min="8708" max="8708" width="10.375" style="1"/>
    <col min="8709" max="8709" width="13" style="1" customWidth="1"/>
    <col min="8710" max="8948" width="10.375" style="1"/>
    <col min="8949" max="8949" width="33.25" style="1" customWidth="1"/>
    <col min="8950" max="8954" width="10.375" style="1"/>
    <col min="8955" max="8955" width="13.625" style="1" customWidth="1"/>
    <col min="8956" max="8956" width="10.375" style="1"/>
    <col min="8957" max="8957" width="14.375" style="1" customWidth="1"/>
    <col min="8958" max="8958" width="10.375" style="1"/>
    <col min="8959" max="8959" width="11.625" style="1" bestFit="1" customWidth="1"/>
    <col min="8960" max="8962" width="10.375" style="1"/>
    <col min="8963" max="8963" width="12.875" style="1" customWidth="1"/>
    <col min="8964" max="8964" width="10.375" style="1"/>
    <col min="8965" max="8965" width="13" style="1" customWidth="1"/>
    <col min="8966" max="9204" width="10.375" style="1"/>
    <col min="9205" max="9205" width="33.25" style="1" customWidth="1"/>
    <col min="9206" max="9210" width="10.375" style="1"/>
    <col min="9211" max="9211" width="13.625" style="1" customWidth="1"/>
    <col min="9212" max="9212" width="10.375" style="1"/>
    <col min="9213" max="9213" width="14.375" style="1" customWidth="1"/>
    <col min="9214" max="9214" width="10.375" style="1"/>
    <col min="9215" max="9215" width="11.625" style="1" bestFit="1" customWidth="1"/>
    <col min="9216" max="9218" width="10.375" style="1"/>
    <col min="9219" max="9219" width="12.875" style="1" customWidth="1"/>
    <col min="9220" max="9220" width="10.375" style="1"/>
    <col min="9221" max="9221" width="13" style="1" customWidth="1"/>
    <col min="9222" max="9460" width="10.375" style="1"/>
    <col min="9461" max="9461" width="33.25" style="1" customWidth="1"/>
    <col min="9462" max="9466" width="10.375" style="1"/>
    <col min="9467" max="9467" width="13.625" style="1" customWidth="1"/>
    <col min="9468" max="9468" width="10.375" style="1"/>
    <col min="9469" max="9469" width="14.375" style="1" customWidth="1"/>
    <col min="9470" max="9470" width="10.375" style="1"/>
    <col min="9471" max="9471" width="11.625" style="1" bestFit="1" customWidth="1"/>
    <col min="9472" max="9474" width="10.375" style="1"/>
    <col min="9475" max="9475" width="12.875" style="1" customWidth="1"/>
    <col min="9476" max="9476" width="10.375" style="1"/>
    <col min="9477" max="9477" width="13" style="1" customWidth="1"/>
    <col min="9478" max="9716" width="10.375" style="1"/>
    <col min="9717" max="9717" width="33.25" style="1" customWidth="1"/>
    <col min="9718" max="9722" width="10.375" style="1"/>
    <col min="9723" max="9723" width="13.625" style="1" customWidth="1"/>
    <col min="9724" max="9724" width="10.375" style="1"/>
    <col min="9725" max="9725" width="14.375" style="1" customWidth="1"/>
    <col min="9726" max="9726" width="10.375" style="1"/>
    <col min="9727" max="9727" width="11.625" style="1" bestFit="1" customWidth="1"/>
    <col min="9728" max="9730" width="10.375" style="1"/>
    <col min="9731" max="9731" width="12.875" style="1" customWidth="1"/>
    <col min="9732" max="9732" width="10.375" style="1"/>
    <col min="9733" max="9733" width="13" style="1" customWidth="1"/>
    <col min="9734" max="9972" width="10.375" style="1"/>
    <col min="9973" max="9973" width="33.25" style="1" customWidth="1"/>
    <col min="9974" max="9978" width="10.375" style="1"/>
    <col min="9979" max="9979" width="13.625" style="1" customWidth="1"/>
    <col min="9980" max="9980" width="10.375" style="1"/>
    <col min="9981" max="9981" width="14.375" style="1" customWidth="1"/>
    <col min="9982" max="9982" width="10.375" style="1"/>
    <col min="9983" max="9983" width="11.625" style="1" bestFit="1" customWidth="1"/>
    <col min="9984" max="9986" width="10.375" style="1"/>
    <col min="9987" max="9987" width="12.875" style="1" customWidth="1"/>
    <col min="9988" max="9988" width="10.375" style="1"/>
    <col min="9989" max="9989" width="13" style="1" customWidth="1"/>
    <col min="9990" max="10228" width="10.375" style="1"/>
    <col min="10229" max="10229" width="33.25" style="1" customWidth="1"/>
    <col min="10230" max="10234" width="10.375" style="1"/>
    <col min="10235" max="10235" width="13.625" style="1" customWidth="1"/>
    <col min="10236" max="10236" width="10.375" style="1"/>
    <col min="10237" max="10237" width="14.375" style="1" customWidth="1"/>
    <col min="10238" max="10238" width="10.375" style="1"/>
    <col min="10239" max="10239" width="11.625" style="1" bestFit="1" customWidth="1"/>
    <col min="10240" max="10242" width="10.375" style="1"/>
    <col min="10243" max="10243" width="12.875" style="1" customWidth="1"/>
    <col min="10244" max="10244" width="10.375" style="1"/>
    <col min="10245" max="10245" width="13" style="1" customWidth="1"/>
    <col min="10246" max="10484" width="10.375" style="1"/>
    <col min="10485" max="10485" width="33.25" style="1" customWidth="1"/>
    <col min="10486" max="10490" width="10.375" style="1"/>
    <col min="10491" max="10491" width="13.625" style="1" customWidth="1"/>
    <col min="10492" max="10492" width="10.375" style="1"/>
    <col min="10493" max="10493" width="14.375" style="1" customWidth="1"/>
    <col min="10494" max="10494" width="10.375" style="1"/>
    <col min="10495" max="10495" width="11.625" style="1" bestFit="1" customWidth="1"/>
    <col min="10496" max="10498" width="10.375" style="1"/>
    <col min="10499" max="10499" width="12.875" style="1" customWidth="1"/>
    <col min="10500" max="10500" width="10.375" style="1"/>
    <col min="10501" max="10501" width="13" style="1" customWidth="1"/>
    <col min="10502" max="10740" width="10.375" style="1"/>
    <col min="10741" max="10741" width="33.25" style="1" customWidth="1"/>
    <col min="10742" max="10746" width="10.375" style="1"/>
    <col min="10747" max="10747" width="13.625" style="1" customWidth="1"/>
    <col min="10748" max="10748" width="10.375" style="1"/>
    <col min="10749" max="10749" width="14.375" style="1" customWidth="1"/>
    <col min="10750" max="10750" width="10.375" style="1"/>
    <col min="10751" max="10751" width="11.625" style="1" bestFit="1" customWidth="1"/>
    <col min="10752" max="10754" width="10.375" style="1"/>
    <col min="10755" max="10755" width="12.875" style="1" customWidth="1"/>
    <col min="10756" max="10756" width="10.375" style="1"/>
    <col min="10757" max="10757" width="13" style="1" customWidth="1"/>
    <col min="10758" max="10996" width="10.375" style="1"/>
    <col min="10997" max="10997" width="33.25" style="1" customWidth="1"/>
    <col min="10998" max="11002" width="10.375" style="1"/>
    <col min="11003" max="11003" width="13.625" style="1" customWidth="1"/>
    <col min="11004" max="11004" width="10.375" style="1"/>
    <col min="11005" max="11005" width="14.375" style="1" customWidth="1"/>
    <col min="11006" max="11006" width="10.375" style="1"/>
    <col min="11007" max="11007" width="11.625" style="1" bestFit="1" customWidth="1"/>
    <col min="11008" max="11010" width="10.375" style="1"/>
    <col min="11011" max="11011" width="12.875" style="1" customWidth="1"/>
    <col min="11012" max="11012" width="10.375" style="1"/>
    <col min="11013" max="11013" width="13" style="1" customWidth="1"/>
    <col min="11014" max="11252" width="10.375" style="1"/>
    <col min="11253" max="11253" width="33.25" style="1" customWidth="1"/>
    <col min="11254" max="11258" width="10.375" style="1"/>
    <col min="11259" max="11259" width="13.625" style="1" customWidth="1"/>
    <col min="11260" max="11260" width="10.375" style="1"/>
    <col min="11261" max="11261" width="14.375" style="1" customWidth="1"/>
    <col min="11262" max="11262" width="10.375" style="1"/>
    <col min="11263" max="11263" width="11.625" style="1" bestFit="1" customWidth="1"/>
    <col min="11264" max="11266" width="10.375" style="1"/>
    <col min="11267" max="11267" width="12.875" style="1" customWidth="1"/>
    <col min="11268" max="11268" width="10.375" style="1"/>
    <col min="11269" max="11269" width="13" style="1" customWidth="1"/>
    <col min="11270" max="11508" width="10.375" style="1"/>
    <col min="11509" max="11509" width="33.25" style="1" customWidth="1"/>
    <col min="11510" max="11514" width="10.375" style="1"/>
    <col min="11515" max="11515" width="13.625" style="1" customWidth="1"/>
    <col min="11516" max="11516" width="10.375" style="1"/>
    <col min="11517" max="11517" width="14.375" style="1" customWidth="1"/>
    <col min="11518" max="11518" width="10.375" style="1"/>
    <col min="11519" max="11519" width="11.625" style="1" bestFit="1" customWidth="1"/>
    <col min="11520" max="11522" width="10.375" style="1"/>
    <col min="11523" max="11523" width="12.875" style="1" customWidth="1"/>
    <col min="11524" max="11524" width="10.375" style="1"/>
    <col min="11525" max="11525" width="13" style="1" customWidth="1"/>
    <col min="11526" max="11764" width="10.375" style="1"/>
    <col min="11765" max="11765" width="33.25" style="1" customWidth="1"/>
    <col min="11766" max="11770" width="10.375" style="1"/>
    <col min="11771" max="11771" width="13.625" style="1" customWidth="1"/>
    <col min="11772" max="11772" width="10.375" style="1"/>
    <col min="11773" max="11773" width="14.375" style="1" customWidth="1"/>
    <col min="11774" max="11774" width="10.375" style="1"/>
    <col min="11775" max="11775" width="11.625" style="1" bestFit="1" customWidth="1"/>
    <col min="11776" max="11778" width="10.375" style="1"/>
    <col min="11779" max="11779" width="12.875" style="1" customWidth="1"/>
    <col min="11780" max="11780" width="10.375" style="1"/>
    <col min="11781" max="11781" width="13" style="1" customWidth="1"/>
    <col min="11782" max="12020" width="10.375" style="1"/>
    <col min="12021" max="12021" width="33.25" style="1" customWidth="1"/>
    <col min="12022" max="12026" width="10.375" style="1"/>
    <col min="12027" max="12027" width="13.625" style="1" customWidth="1"/>
    <col min="12028" max="12028" width="10.375" style="1"/>
    <col min="12029" max="12029" width="14.375" style="1" customWidth="1"/>
    <col min="12030" max="12030" width="10.375" style="1"/>
    <col min="12031" max="12031" width="11.625" style="1" bestFit="1" customWidth="1"/>
    <col min="12032" max="12034" width="10.375" style="1"/>
    <col min="12035" max="12035" width="12.875" style="1" customWidth="1"/>
    <col min="12036" max="12036" width="10.375" style="1"/>
    <col min="12037" max="12037" width="13" style="1" customWidth="1"/>
    <col min="12038" max="12276" width="10.375" style="1"/>
    <col min="12277" max="12277" width="33.25" style="1" customWidth="1"/>
    <col min="12278" max="12282" width="10.375" style="1"/>
    <col min="12283" max="12283" width="13.625" style="1" customWidth="1"/>
    <col min="12284" max="12284" width="10.375" style="1"/>
    <col min="12285" max="12285" width="14.375" style="1" customWidth="1"/>
    <col min="12286" max="12286" width="10.375" style="1"/>
    <col min="12287" max="12287" width="11.625" style="1" bestFit="1" customWidth="1"/>
    <col min="12288" max="12290" width="10.375" style="1"/>
    <col min="12291" max="12291" width="12.875" style="1" customWidth="1"/>
    <col min="12292" max="12292" width="10.375" style="1"/>
    <col min="12293" max="12293" width="13" style="1" customWidth="1"/>
    <col min="12294" max="12532" width="10.375" style="1"/>
    <col min="12533" max="12533" width="33.25" style="1" customWidth="1"/>
    <col min="12534" max="12538" width="10.375" style="1"/>
    <col min="12539" max="12539" width="13.625" style="1" customWidth="1"/>
    <col min="12540" max="12540" width="10.375" style="1"/>
    <col min="12541" max="12541" width="14.375" style="1" customWidth="1"/>
    <col min="12542" max="12542" width="10.375" style="1"/>
    <col min="12543" max="12543" width="11.625" style="1" bestFit="1" customWidth="1"/>
    <col min="12544" max="12546" width="10.375" style="1"/>
    <col min="12547" max="12547" width="12.875" style="1" customWidth="1"/>
    <col min="12548" max="12548" width="10.375" style="1"/>
    <col min="12549" max="12549" width="13" style="1" customWidth="1"/>
    <col min="12550" max="12788" width="10.375" style="1"/>
    <col min="12789" max="12789" width="33.25" style="1" customWidth="1"/>
    <col min="12790" max="12794" width="10.375" style="1"/>
    <col min="12795" max="12795" width="13.625" style="1" customWidth="1"/>
    <col min="12796" max="12796" width="10.375" style="1"/>
    <col min="12797" max="12797" width="14.375" style="1" customWidth="1"/>
    <col min="12798" max="12798" width="10.375" style="1"/>
    <col min="12799" max="12799" width="11.625" style="1" bestFit="1" customWidth="1"/>
    <col min="12800" max="12802" width="10.375" style="1"/>
    <col min="12803" max="12803" width="12.875" style="1" customWidth="1"/>
    <col min="12804" max="12804" width="10.375" style="1"/>
    <col min="12805" max="12805" width="13" style="1" customWidth="1"/>
    <col min="12806" max="13044" width="10.375" style="1"/>
    <col min="13045" max="13045" width="33.25" style="1" customWidth="1"/>
    <col min="13046" max="13050" width="10.375" style="1"/>
    <col min="13051" max="13051" width="13.625" style="1" customWidth="1"/>
    <col min="13052" max="13052" width="10.375" style="1"/>
    <col min="13053" max="13053" width="14.375" style="1" customWidth="1"/>
    <col min="13054" max="13054" width="10.375" style="1"/>
    <col min="13055" max="13055" width="11.625" style="1" bestFit="1" customWidth="1"/>
    <col min="13056" max="13058" width="10.375" style="1"/>
    <col min="13059" max="13059" width="12.875" style="1" customWidth="1"/>
    <col min="13060" max="13060" width="10.375" style="1"/>
    <col min="13061" max="13061" width="13" style="1" customWidth="1"/>
    <col min="13062" max="13300" width="10.375" style="1"/>
    <col min="13301" max="13301" width="33.25" style="1" customWidth="1"/>
    <col min="13302" max="13306" width="10.375" style="1"/>
    <col min="13307" max="13307" width="13.625" style="1" customWidth="1"/>
    <col min="13308" max="13308" width="10.375" style="1"/>
    <col min="13309" max="13309" width="14.375" style="1" customWidth="1"/>
    <col min="13310" max="13310" width="10.375" style="1"/>
    <col min="13311" max="13311" width="11.625" style="1" bestFit="1" customWidth="1"/>
    <col min="13312" max="13314" width="10.375" style="1"/>
    <col min="13315" max="13315" width="12.875" style="1" customWidth="1"/>
    <col min="13316" max="13316" width="10.375" style="1"/>
    <col min="13317" max="13317" width="13" style="1" customWidth="1"/>
    <col min="13318" max="13556" width="10.375" style="1"/>
    <col min="13557" max="13557" width="33.25" style="1" customWidth="1"/>
    <col min="13558" max="13562" width="10.375" style="1"/>
    <col min="13563" max="13563" width="13.625" style="1" customWidth="1"/>
    <col min="13564" max="13564" width="10.375" style="1"/>
    <col min="13565" max="13565" width="14.375" style="1" customWidth="1"/>
    <col min="13566" max="13566" width="10.375" style="1"/>
    <col min="13567" max="13567" width="11.625" style="1" bestFit="1" customWidth="1"/>
    <col min="13568" max="13570" width="10.375" style="1"/>
    <col min="13571" max="13571" width="12.875" style="1" customWidth="1"/>
    <col min="13572" max="13572" width="10.375" style="1"/>
    <col min="13573" max="13573" width="13" style="1" customWidth="1"/>
    <col min="13574" max="13812" width="10.375" style="1"/>
    <col min="13813" max="13813" width="33.25" style="1" customWidth="1"/>
    <col min="13814" max="13818" width="10.375" style="1"/>
    <col min="13819" max="13819" width="13.625" style="1" customWidth="1"/>
    <col min="13820" max="13820" width="10.375" style="1"/>
    <col min="13821" max="13821" width="14.375" style="1" customWidth="1"/>
    <col min="13822" max="13822" width="10.375" style="1"/>
    <col min="13823" max="13823" width="11.625" style="1" bestFit="1" customWidth="1"/>
    <col min="13824" max="13826" width="10.375" style="1"/>
    <col min="13827" max="13827" width="12.875" style="1" customWidth="1"/>
    <col min="13828" max="13828" width="10.375" style="1"/>
    <col min="13829" max="13829" width="13" style="1" customWidth="1"/>
    <col min="13830" max="14068" width="10.375" style="1"/>
    <col min="14069" max="14069" width="33.25" style="1" customWidth="1"/>
    <col min="14070" max="14074" width="10.375" style="1"/>
    <col min="14075" max="14075" width="13.625" style="1" customWidth="1"/>
    <col min="14076" max="14076" width="10.375" style="1"/>
    <col min="14077" max="14077" width="14.375" style="1" customWidth="1"/>
    <col min="14078" max="14078" width="10.375" style="1"/>
    <col min="14079" max="14079" width="11.625" style="1" bestFit="1" customWidth="1"/>
    <col min="14080" max="14082" width="10.375" style="1"/>
    <col min="14083" max="14083" width="12.875" style="1" customWidth="1"/>
    <col min="14084" max="14084" width="10.375" style="1"/>
    <col min="14085" max="14085" width="13" style="1" customWidth="1"/>
    <col min="14086" max="14324" width="10.375" style="1"/>
    <col min="14325" max="14325" width="33.25" style="1" customWidth="1"/>
    <col min="14326" max="14330" width="10.375" style="1"/>
    <col min="14331" max="14331" width="13.625" style="1" customWidth="1"/>
    <col min="14332" max="14332" width="10.375" style="1"/>
    <col min="14333" max="14333" width="14.375" style="1" customWidth="1"/>
    <col min="14334" max="14334" width="10.375" style="1"/>
    <col min="14335" max="14335" width="11.625" style="1" bestFit="1" customWidth="1"/>
    <col min="14336" max="14338" width="10.375" style="1"/>
    <col min="14339" max="14339" width="12.875" style="1" customWidth="1"/>
    <col min="14340" max="14340" width="10.375" style="1"/>
    <col min="14341" max="14341" width="13" style="1" customWidth="1"/>
    <col min="14342" max="14580" width="10.375" style="1"/>
    <col min="14581" max="14581" width="33.25" style="1" customWidth="1"/>
    <col min="14582" max="14586" width="10.375" style="1"/>
    <col min="14587" max="14587" width="13.625" style="1" customWidth="1"/>
    <col min="14588" max="14588" width="10.375" style="1"/>
    <col min="14589" max="14589" width="14.375" style="1" customWidth="1"/>
    <col min="14590" max="14590" width="10.375" style="1"/>
    <col min="14591" max="14591" width="11.625" style="1" bestFit="1" customWidth="1"/>
    <col min="14592" max="14594" width="10.375" style="1"/>
    <col min="14595" max="14595" width="12.875" style="1" customWidth="1"/>
    <col min="14596" max="14596" width="10.375" style="1"/>
    <col min="14597" max="14597" width="13" style="1" customWidth="1"/>
    <col min="14598" max="14836" width="10.375" style="1"/>
    <col min="14837" max="14837" width="33.25" style="1" customWidth="1"/>
    <col min="14838" max="14842" width="10.375" style="1"/>
    <col min="14843" max="14843" width="13.625" style="1" customWidth="1"/>
    <col min="14844" max="14844" width="10.375" style="1"/>
    <col min="14845" max="14845" width="14.375" style="1" customWidth="1"/>
    <col min="14846" max="14846" width="10.375" style="1"/>
    <col min="14847" max="14847" width="11.625" style="1" bestFit="1" customWidth="1"/>
    <col min="14848" max="14850" width="10.375" style="1"/>
    <col min="14851" max="14851" width="12.875" style="1" customWidth="1"/>
    <col min="14852" max="14852" width="10.375" style="1"/>
    <col min="14853" max="14853" width="13" style="1" customWidth="1"/>
    <col min="14854" max="15092" width="10.375" style="1"/>
    <col min="15093" max="15093" width="33.25" style="1" customWidth="1"/>
    <col min="15094" max="15098" width="10.375" style="1"/>
    <col min="15099" max="15099" width="13.625" style="1" customWidth="1"/>
    <col min="15100" max="15100" width="10.375" style="1"/>
    <col min="15101" max="15101" width="14.375" style="1" customWidth="1"/>
    <col min="15102" max="15102" width="10.375" style="1"/>
    <col min="15103" max="15103" width="11.625" style="1" bestFit="1" customWidth="1"/>
    <col min="15104" max="15106" width="10.375" style="1"/>
    <col min="15107" max="15107" width="12.875" style="1" customWidth="1"/>
    <col min="15108" max="15108" width="10.375" style="1"/>
    <col min="15109" max="15109" width="13" style="1" customWidth="1"/>
    <col min="15110" max="15348" width="10.375" style="1"/>
    <col min="15349" max="15349" width="33.25" style="1" customWidth="1"/>
    <col min="15350" max="15354" width="10.375" style="1"/>
    <col min="15355" max="15355" width="13.625" style="1" customWidth="1"/>
    <col min="15356" max="15356" width="10.375" style="1"/>
    <col min="15357" max="15357" width="14.375" style="1" customWidth="1"/>
    <col min="15358" max="15358" width="10.375" style="1"/>
    <col min="15359" max="15359" width="11.625" style="1" bestFit="1" customWidth="1"/>
    <col min="15360" max="15362" width="10.375" style="1"/>
    <col min="15363" max="15363" width="12.875" style="1" customWidth="1"/>
    <col min="15364" max="15364" width="10.375" style="1"/>
    <col min="15365" max="15365" width="13" style="1" customWidth="1"/>
    <col min="15366" max="15604" width="10.375" style="1"/>
    <col min="15605" max="15605" width="33.25" style="1" customWidth="1"/>
    <col min="15606" max="15610" width="10.375" style="1"/>
    <col min="15611" max="15611" width="13.625" style="1" customWidth="1"/>
    <col min="15612" max="15612" width="10.375" style="1"/>
    <col min="15613" max="15613" width="14.375" style="1" customWidth="1"/>
    <col min="15614" max="15614" width="10.375" style="1"/>
    <col min="15615" max="15615" width="11.625" style="1" bestFit="1" customWidth="1"/>
    <col min="15616" max="15618" width="10.375" style="1"/>
    <col min="15619" max="15619" width="12.875" style="1" customWidth="1"/>
    <col min="15620" max="15620" width="10.375" style="1"/>
    <col min="15621" max="15621" width="13" style="1" customWidth="1"/>
    <col min="15622" max="15860" width="10.375" style="1"/>
    <col min="15861" max="15861" width="33.25" style="1" customWidth="1"/>
    <col min="15862" max="15866" width="10.375" style="1"/>
    <col min="15867" max="15867" width="13.625" style="1" customWidth="1"/>
    <col min="15868" max="15868" width="10.375" style="1"/>
    <col min="15869" max="15869" width="14.375" style="1" customWidth="1"/>
    <col min="15870" max="15870" width="10.375" style="1"/>
    <col min="15871" max="15871" width="11.625" style="1" bestFit="1" customWidth="1"/>
    <col min="15872" max="15874" width="10.375" style="1"/>
    <col min="15875" max="15875" width="12.875" style="1" customWidth="1"/>
    <col min="15876" max="15876" width="10.375" style="1"/>
    <col min="15877" max="15877" width="13" style="1" customWidth="1"/>
    <col min="15878" max="16116" width="10.375" style="1"/>
    <col min="16117" max="16117" width="33.25" style="1" customWidth="1"/>
    <col min="16118" max="16122" width="10.375" style="1"/>
    <col min="16123" max="16123" width="13.625" style="1" customWidth="1"/>
    <col min="16124" max="16124" width="10.375" style="1"/>
    <col min="16125" max="16125" width="14.375" style="1" customWidth="1"/>
    <col min="16126" max="16126" width="10.375" style="1"/>
    <col min="16127" max="16127" width="11.625" style="1" bestFit="1" customWidth="1"/>
    <col min="16128" max="16130" width="10.375" style="1"/>
    <col min="16131" max="16131" width="12.875" style="1" customWidth="1"/>
    <col min="16132" max="16132" width="10.375" style="1"/>
    <col min="16133" max="16133" width="13" style="1" customWidth="1"/>
    <col min="16134" max="16384" width="10.375" style="1"/>
  </cols>
  <sheetData>
    <row r="1" spans="1:5" ht="18.600000000000001">
      <c r="A1" s="175" t="s">
        <v>0</v>
      </c>
      <c r="B1" s="175"/>
      <c r="C1" s="175"/>
      <c r="D1" s="175"/>
      <c r="E1" s="175"/>
    </row>
    <row r="2" spans="1:5" ht="18.600000000000001">
      <c r="A2" s="176" t="s">
        <v>1</v>
      </c>
      <c r="B2" s="176"/>
      <c r="C2" s="176"/>
      <c r="D2" s="176"/>
      <c r="E2" s="176"/>
    </row>
    <row r="3" spans="1:5" ht="18.600000000000001">
      <c r="A3" s="177" t="s">
        <v>67</v>
      </c>
      <c r="B3" s="177"/>
      <c r="C3" s="177"/>
      <c r="D3" s="177"/>
      <c r="E3" s="177"/>
    </row>
    <row r="4" spans="1:5" ht="18.600000000000001">
      <c r="A4" s="178" t="s">
        <v>3</v>
      </c>
      <c r="B4" s="173" t="s">
        <v>4</v>
      </c>
      <c r="C4" s="182" t="s">
        <v>9</v>
      </c>
      <c r="D4" s="183"/>
      <c r="E4" s="184"/>
    </row>
    <row r="5" spans="1:5" ht="18.600000000000001">
      <c r="A5" s="179"/>
      <c r="B5" s="181"/>
      <c r="C5" s="185" t="s">
        <v>10</v>
      </c>
      <c r="D5" s="187" t="s">
        <v>12</v>
      </c>
      <c r="E5" s="2"/>
    </row>
    <row r="6" spans="1:5" ht="16.8">
      <c r="A6" s="180"/>
      <c r="B6" s="174"/>
      <c r="C6" s="186"/>
      <c r="D6" s="188"/>
      <c r="E6" s="7" t="s">
        <v>19</v>
      </c>
    </row>
    <row r="7" spans="1:5" ht="18.600000000000001">
      <c r="A7" s="156"/>
      <c r="B7" s="173" t="s">
        <v>59</v>
      </c>
      <c r="C7" s="158"/>
      <c r="D7" s="159"/>
      <c r="E7" s="160"/>
    </row>
    <row r="8" spans="1:5" ht="21.75" customHeight="1">
      <c r="A8" s="164"/>
      <c r="B8" s="174"/>
      <c r="C8" s="150"/>
      <c r="D8" s="84"/>
      <c r="E8" s="166"/>
    </row>
    <row r="9" spans="1:5" ht="19.2" thickBot="1">
      <c r="A9" s="167"/>
      <c r="B9" s="168"/>
      <c r="C9" s="169"/>
      <c r="D9" s="170"/>
      <c r="E9" s="171"/>
    </row>
    <row r="10" spans="1:5" ht="19.2" thickTop="1">
      <c r="A10" s="161"/>
      <c r="B10" s="162"/>
      <c r="C10" s="77"/>
      <c r="D10" s="78"/>
      <c r="E10" s="163"/>
    </row>
    <row r="11" spans="1:5" ht="18.600000000000001">
      <c r="A11" s="151"/>
      <c r="B11" s="155" t="s">
        <v>31</v>
      </c>
      <c r="C11" s="77"/>
      <c r="D11" s="78"/>
      <c r="E11" s="96"/>
    </row>
    <row r="12" spans="1:5" ht="18.600000000000001">
      <c r="A12" s="42">
        <v>1</v>
      </c>
      <c r="B12" s="97" t="s">
        <v>32</v>
      </c>
      <c r="C12" s="24" t="s">
        <v>34</v>
      </c>
      <c r="D12" s="25"/>
      <c r="E12" s="99">
        <v>322273.98</v>
      </c>
    </row>
    <row r="13" spans="1:5" ht="18.600000000000001">
      <c r="A13" s="42"/>
      <c r="B13" s="100" t="s">
        <v>35</v>
      </c>
      <c r="C13" s="31"/>
      <c r="D13" s="25"/>
      <c r="E13" s="99"/>
    </row>
    <row r="14" spans="1:5" ht="18.600000000000001">
      <c r="A14" s="42"/>
      <c r="B14" s="100" t="s">
        <v>37</v>
      </c>
      <c r="C14" s="31"/>
      <c r="D14" s="25"/>
      <c r="E14" s="99"/>
    </row>
    <row r="15" spans="1:5" ht="18.600000000000001">
      <c r="A15" s="42"/>
      <c r="B15" s="100" t="s">
        <v>38</v>
      </c>
      <c r="C15" s="31"/>
      <c r="D15" s="25"/>
      <c r="E15" s="99"/>
    </row>
    <row r="16" spans="1:5" ht="18.600000000000001">
      <c r="A16" s="8">
        <v>2</v>
      </c>
      <c r="B16" s="102" t="s">
        <v>32</v>
      </c>
      <c r="C16" s="62" t="s">
        <v>40</v>
      </c>
      <c r="D16" s="25">
        <v>16</v>
      </c>
      <c r="E16" s="99">
        <v>5208581.93</v>
      </c>
    </row>
    <row r="17" spans="1:5" ht="18.600000000000001">
      <c r="A17" s="8"/>
      <c r="B17" s="153" t="s">
        <v>41</v>
      </c>
      <c r="C17" s="62" t="s">
        <v>42</v>
      </c>
      <c r="D17" s="25"/>
      <c r="E17" s="92"/>
    </row>
    <row r="18" spans="1:5" ht="18.600000000000001">
      <c r="A18" s="8"/>
      <c r="B18" s="103" t="s">
        <v>43</v>
      </c>
      <c r="C18" s="31"/>
      <c r="D18" s="25"/>
      <c r="E18" s="92"/>
    </row>
    <row r="19" spans="1:5" ht="18.600000000000001">
      <c r="A19" s="148"/>
      <c r="B19" s="149" t="s">
        <v>44</v>
      </c>
      <c r="C19" s="150"/>
      <c r="D19" s="25"/>
      <c r="E19" s="92"/>
    </row>
    <row r="20" spans="1:5" ht="19.2" thickBot="1">
      <c r="A20" s="152"/>
      <c r="B20" s="172" t="s">
        <v>53</v>
      </c>
      <c r="C20" s="108"/>
      <c r="D20" s="106"/>
      <c r="E20" s="106">
        <f>SUM(E12:E18)</f>
        <v>5530855.9100000001</v>
      </c>
    </row>
    <row r="21" spans="1:5" ht="19.2" thickTop="1">
      <c r="A21" s="120"/>
      <c r="B21" s="121"/>
      <c r="C21" s="125"/>
      <c r="D21" s="121"/>
      <c r="E21" s="126"/>
    </row>
  </sheetData>
  <mergeCells count="9">
    <mergeCell ref="B7:B8"/>
    <mergeCell ref="A1:E1"/>
    <mergeCell ref="A2:E2"/>
    <mergeCell ref="A3:E3"/>
    <mergeCell ref="A4:A6"/>
    <mergeCell ref="B4:B6"/>
    <mergeCell ref="C4:E4"/>
    <mergeCell ref="C5:C6"/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89C9F-5718-47FB-A955-E371464127A0}">
  <sheetPr>
    <tabColor rgb="FF92D050"/>
  </sheetPr>
  <dimension ref="A1:R114"/>
  <sheetViews>
    <sheetView workbookViewId="0">
      <pane ySplit="6" topLeftCell="A102" activePane="bottomLeft" state="frozen"/>
      <selection pane="bottomLeft" activeCell="A3" sqref="A3:R3"/>
    </sheetView>
  </sheetViews>
  <sheetFormatPr defaultColWidth="10.375" defaultRowHeight="14.4"/>
  <cols>
    <col min="1" max="1" width="10.375" style="1"/>
    <col min="2" max="2" width="33.25" style="1" customWidth="1"/>
    <col min="3" max="7" width="10.375" style="1"/>
    <col min="8" max="8" width="13.625" style="1" customWidth="1"/>
    <col min="9" max="9" width="10.375" style="1"/>
    <col min="10" max="10" width="14.375" style="1" customWidth="1"/>
    <col min="11" max="11" width="10.375" style="139"/>
    <col min="12" max="12" width="11.625" style="139" bestFit="1" customWidth="1"/>
    <col min="13" max="13" width="10.375" style="139"/>
    <col min="14" max="15" width="10.375" style="1"/>
    <col min="16" max="16" width="12.875" style="1" customWidth="1"/>
    <col min="17" max="17" width="10.375" style="1"/>
    <col min="18" max="18" width="13" style="1" customWidth="1"/>
    <col min="19" max="257" width="10.375" style="1"/>
    <col min="258" max="258" width="33.25" style="1" customWidth="1"/>
    <col min="259" max="263" width="10.375" style="1"/>
    <col min="264" max="264" width="13.625" style="1" customWidth="1"/>
    <col min="265" max="265" width="10.375" style="1"/>
    <col min="266" max="266" width="14.375" style="1" customWidth="1"/>
    <col min="267" max="267" width="10.375" style="1"/>
    <col min="268" max="268" width="11.625" style="1" bestFit="1" customWidth="1"/>
    <col min="269" max="271" width="10.375" style="1"/>
    <col min="272" max="272" width="12.875" style="1" customWidth="1"/>
    <col min="273" max="273" width="10.375" style="1"/>
    <col min="274" max="274" width="13" style="1" customWidth="1"/>
    <col min="275" max="513" width="10.375" style="1"/>
    <col min="514" max="514" width="33.25" style="1" customWidth="1"/>
    <col min="515" max="519" width="10.375" style="1"/>
    <col min="520" max="520" width="13.625" style="1" customWidth="1"/>
    <col min="521" max="521" width="10.375" style="1"/>
    <col min="522" max="522" width="14.375" style="1" customWidth="1"/>
    <col min="523" max="523" width="10.375" style="1"/>
    <col min="524" max="524" width="11.625" style="1" bestFit="1" customWidth="1"/>
    <col min="525" max="527" width="10.375" style="1"/>
    <col min="528" max="528" width="12.875" style="1" customWidth="1"/>
    <col min="529" max="529" width="10.375" style="1"/>
    <col min="530" max="530" width="13" style="1" customWidth="1"/>
    <col min="531" max="769" width="10.375" style="1"/>
    <col min="770" max="770" width="33.25" style="1" customWidth="1"/>
    <col min="771" max="775" width="10.375" style="1"/>
    <col min="776" max="776" width="13.625" style="1" customWidth="1"/>
    <col min="777" max="777" width="10.375" style="1"/>
    <col min="778" max="778" width="14.375" style="1" customWidth="1"/>
    <col min="779" max="779" width="10.375" style="1"/>
    <col min="780" max="780" width="11.625" style="1" bestFit="1" customWidth="1"/>
    <col min="781" max="783" width="10.375" style="1"/>
    <col min="784" max="784" width="12.875" style="1" customWidth="1"/>
    <col min="785" max="785" width="10.375" style="1"/>
    <col min="786" max="786" width="13" style="1" customWidth="1"/>
    <col min="787" max="1025" width="10.375" style="1"/>
    <col min="1026" max="1026" width="33.25" style="1" customWidth="1"/>
    <col min="1027" max="1031" width="10.375" style="1"/>
    <col min="1032" max="1032" width="13.625" style="1" customWidth="1"/>
    <col min="1033" max="1033" width="10.375" style="1"/>
    <col min="1034" max="1034" width="14.375" style="1" customWidth="1"/>
    <col min="1035" max="1035" width="10.375" style="1"/>
    <col min="1036" max="1036" width="11.625" style="1" bestFit="1" customWidth="1"/>
    <col min="1037" max="1039" width="10.375" style="1"/>
    <col min="1040" max="1040" width="12.875" style="1" customWidth="1"/>
    <col min="1041" max="1041" width="10.375" style="1"/>
    <col min="1042" max="1042" width="13" style="1" customWidth="1"/>
    <col min="1043" max="1281" width="10.375" style="1"/>
    <col min="1282" max="1282" width="33.25" style="1" customWidth="1"/>
    <col min="1283" max="1287" width="10.375" style="1"/>
    <col min="1288" max="1288" width="13.625" style="1" customWidth="1"/>
    <col min="1289" max="1289" width="10.375" style="1"/>
    <col min="1290" max="1290" width="14.375" style="1" customWidth="1"/>
    <col min="1291" max="1291" width="10.375" style="1"/>
    <col min="1292" max="1292" width="11.625" style="1" bestFit="1" customWidth="1"/>
    <col min="1293" max="1295" width="10.375" style="1"/>
    <col min="1296" max="1296" width="12.875" style="1" customWidth="1"/>
    <col min="1297" max="1297" width="10.375" style="1"/>
    <col min="1298" max="1298" width="13" style="1" customWidth="1"/>
    <col min="1299" max="1537" width="10.375" style="1"/>
    <col min="1538" max="1538" width="33.25" style="1" customWidth="1"/>
    <col min="1539" max="1543" width="10.375" style="1"/>
    <col min="1544" max="1544" width="13.625" style="1" customWidth="1"/>
    <col min="1545" max="1545" width="10.375" style="1"/>
    <col min="1546" max="1546" width="14.375" style="1" customWidth="1"/>
    <col min="1547" max="1547" width="10.375" style="1"/>
    <col min="1548" max="1548" width="11.625" style="1" bestFit="1" customWidth="1"/>
    <col min="1549" max="1551" width="10.375" style="1"/>
    <col min="1552" max="1552" width="12.875" style="1" customWidth="1"/>
    <col min="1553" max="1553" width="10.375" style="1"/>
    <col min="1554" max="1554" width="13" style="1" customWidth="1"/>
    <col min="1555" max="1793" width="10.375" style="1"/>
    <col min="1794" max="1794" width="33.25" style="1" customWidth="1"/>
    <col min="1795" max="1799" width="10.375" style="1"/>
    <col min="1800" max="1800" width="13.625" style="1" customWidth="1"/>
    <col min="1801" max="1801" width="10.375" style="1"/>
    <col min="1802" max="1802" width="14.375" style="1" customWidth="1"/>
    <col min="1803" max="1803" width="10.375" style="1"/>
    <col min="1804" max="1804" width="11.625" style="1" bestFit="1" customWidth="1"/>
    <col min="1805" max="1807" width="10.375" style="1"/>
    <col min="1808" max="1808" width="12.875" style="1" customWidth="1"/>
    <col min="1809" max="1809" width="10.375" style="1"/>
    <col min="1810" max="1810" width="13" style="1" customWidth="1"/>
    <col min="1811" max="2049" width="10.375" style="1"/>
    <col min="2050" max="2050" width="33.25" style="1" customWidth="1"/>
    <col min="2051" max="2055" width="10.375" style="1"/>
    <col min="2056" max="2056" width="13.625" style="1" customWidth="1"/>
    <col min="2057" max="2057" width="10.375" style="1"/>
    <col min="2058" max="2058" width="14.375" style="1" customWidth="1"/>
    <col min="2059" max="2059" width="10.375" style="1"/>
    <col min="2060" max="2060" width="11.625" style="1" bestFit="1" customWidth="1"/>
    <col min="2061" max="2063" width="10.375" style="1"/>
    <col min="2064" max="2064" width="12.875" style="1" customWidth="1"/>
    <col min="2065" max="2065" width="10.375" style="1"/>
    <col min="2066" max="2066" width="13" style="1" customWidth="1"/>
    <col min="2067" max="2305" width="10.375" style="1"/>
    <col min="2306" max="2306" width="33.25" style="1" customWidth="1"/>
    <col min="2307" max="2311" width="10.375" style="1"/>
    <col min="2312" max="2312" width="13.625" style="1" customWidth="1"/>
    <col min="2313" max="2313" width="10.375" style="1"/>
    <col min="2314" max="2314" width="14.375" style="1" customWidth="1"/>
    <col min="2315" max="2315" width="10.375" style="1"/>
    <col min="2316" max="2316" width="11.625" style="1" bestFit="1" customWidth="1"/>
    <col min="2317" max="2319" width="10.375" style="1"/>
    <col min="2320" max="2320" width="12.875" style="1" customWidth="1"/>
    <col min="2321" max="2321" width="10.375" style="1"/>
    <col min="2322" max="2322" width="13" style="1" customWidth="1"/>
    <col min="2323" max="2561" width="10.375" style="1"/>
    <col min="2562" max="2562" width="33.25" style="1" customWidth="1"/>
    <col min="2563" max="2567" width="10.375" style="1"/>
    <col min="2568" max="2568" width="13.625" style="1" customWidth="1"/>
    <col min="2569" max="2569" width="10.375" style="1"/>
    <col min="2570" max="2570" width="14.375" style="1" customWidth="1"/>
    <col min="2571" max="2571" width="10.375" style="1"/>
    <col min="2572" max="2572" width="11.625" style="1" bestFit="1" customWidth="1"/>
    <col min="2573" max="2575" width="10.375" style="1"/>
    <col min="2576" max="2576" width="12.875" style="1" customWidth="1"/>
    <col min="2577" max="2577" width="10.375" style="1"/>
    <col min="2578" max="2578" width="13" style="1" customWidth="1"/>
    <col min="2579" max="2817" width="10.375" style="1"/>
    <col min="2818" max="2818" width="33.25" style="1" customWidth="1"/>
    <col min="2819" max="2823" width="10.375" style="1"/>
    <col min="2824" max="2824" width="13.625" style="1" customWidth="1"/>
    <col min="2825" max="2825" width="10.375" style="1"/>
    <col min="2826" max="2826" width="14.375" style="1" customWidth="1"/>
    <col min="2827" max="2827" width="10.375" style="1"/>
    <col min="2828" max="2828" width="11.625" style="1" bestFit="1" customWidth="1"/>
    <col min="2829" max="2831" width="10.375" style="1"/>
    <col min="2832" max="2832" width="12.875" style="1" customWidth="1"/>
    <col min="2833" max="2833" width="10.375" style="1"/>
    <col min="2834" max="2834" width="13" style="1" customWidth="1"/>
    <col min="2835" max="3073" width="10.375" style="1"/>
    <col min="3074" max="3074" width="33.25" style="1" customWidth="1"/>
    <col min="3075" max="3079" width="10.375" style="1"/>
    <col min="3080" max="3080" width="13.625" style="1" customWidth="1"/>
    <col min="3081" max="3081" width="10.375" style="1"/>
    <col min="3082" max="3082" width="14.375" style="1" customWidth="1"/>
    <col min="3083" max="3083" width="10.375" style="1"/>
    <col min="3084" max="3084" width="11.625" style="1" bestFit="1" customWidth="1"/>
    <col min="3085" max="3087" width="10.375" style="1"/>
    <col min="3088" max="3088" width="12.875" style="1" customWidth="1"/>
    <col min="3089" max="3089" width="10.375" style="1"/>
    <col min="3090" max="3090" width="13" style="1" customWidth="1"/>
    <col min="3091" max="3329" width="10.375" style="1"/>
    <col min="3330" max="3330" width="33.25" style="1" customWidth="1"/>
    <col min="3331" max="3335" width="10.375" style="1"/>
    <col min="3336" max="3336" width="13.625" style="1" customWidth="1"/>
    <col min="3337" max="3337" width="10.375" style="1"/>
    <col min="3338" max="3338" width="14.375" style="1" customWidth="1"/>
    <col min="3339" max="3339" width="10.375" style="1"/>
    <col min="3340" max="3340" width="11.625" style="1" bestFit="1" customWidth="1"/>
    <col min="3341" max="3343" width="10.375" style="1"/>
    <col min="3344" max="3344" width="12.875" style="1" customWidth="1"/>
    <col min="3345" max="3345" width="10.375" style="1"/>
    <col min="3346" max="3346" width="13" style="1" customWidth="1"/>
    <col min="3347" max="3585" width="10.375" style="1"/>
    <col min="3586" max="3586" width="33.25" style="1" customWidth="1"/>
    <col min="3587" max="3591" width="10.375" style="1"/>
    <col min="3592" max="3592" width="13.625" style="1" customWidth="1"/>
    <col min="3593" max="3593" width="10.375" style="1"/>
    <col min="3594" max="3594" width="14.375" style="1" customWidth="1"/>
    <col min="3595" max="3595" width="10.375" style="1"/>
    <col min="3596" max="3596" width="11.625" style="1" bestFit="1" customWidth="1"/>
    <col min="3597" max="3599" width="10.375" style="1"/>
    <col min="3600" max="3600" width="12.875" style="1" customWidth="1"/>
    <col min="3601" max="3601" width="10.375" style="1"/>
    <col min="3602" max="3602" width="13" style="1" customWidth="1"/>
    <col min="3603" max="3841" width="10.375" style="1"/>
    <col min="3842" max="3842" width="33.25" style="1" customWidth="1"/>
    <col min="3843" max="3847" width="10.375" style="1"/>
    <col min="3848" max="3848" width="13.625" style="1" customWidth="1"/>
    <col min="3849" max="3849" width="10.375" style="1"/>
    <col min="3850" max="3850" width="14.375" style="1" customWidth="1"/>
    <col min="3851" max="3851" width="10.375" style="1"/>
    <col min="3852" max="3852" width="11.625" style="1" bestFit="1" customWidth="1"/>
    <col min="3853" max="3855" width="10.375" style="1"/>
    <col min="3856" max="3856" width="12.875" style="1" customWidth="1"/>
    <col min="3857" max="3857" width="10.375" style="1"/>
    <col min="3858" max="3858" width="13" style="1" customWidth="1"/>
    <col min="3859" max="4097" width="10.375" style="1"/>
    <col min="4098" max="4098" width="33.25" style="1" customWidth="1"/>
    <col min="4099" max="4103" width="10.375" style="1"/>
    <col min="4104" max="4104" width="13.625" style="1" customWidth="1"/>
    <col min="4105" max="4105" width="10.375" style="1"/>
    <col min="4106" max="4106" width="14.375" style="1" customWidth="1"/>
    <col min="4107" max="4107" width="10.375" style="1"/>
    <col min="4108" max="4108" width="11.625" style="1" bestFit="1" customWidth="1"/>
    <col min="4109" max="4111" width="10.375" style="1"/>
    <col min="4112" max="4112" width="12.875" style="1" customWidth="1"/>
    <col min="4113" max="4113" width="10.375" style="1"/>
    <col min="4114" max="4114" width="13" style="1" customWidth="1"/>
    <col min="4115" max="4353" width="10.375" style="1"/>
    <col min="4354" max="4354" width="33.25" style="1" customWidth="1"/>
    <col min="4355" max="4359" width="10.375" style="1"/>
    <col min="4360" max="4360" width="13.625" style="1" customWidth="1"/>
    <col min="4361" max="4361" width="10.375" style="1"/>
    <col min="4362" max="4362" width="14.375" style="1" customWidth="1"/>
    <col min="4363" max="4363" width="10.375" style="1"/>
    <col min="4364" max="4364" width="11.625" style="1" bestFit="1" customWidth="1"/>
    <col min="4365" max="4367" width="10.375" style="1"/>
    <col min="4368" max="4368" width="12.875" style="1" customWidth="1"/>
    <col min="4369" max="4369" width="10.375" style="1"/>
    <col min="4370" max="4370" width="13" style="1" customWidth="1"/>
    <col min="4371" max="4609" width="10.375" style="1"/>
    <col min="4610" max="4610" width="33.25" style="1" customWidth="1"/>
    <col min="4611" max="4615" width="10.375" style="1"/>
    <col min="4616" max="4616" width="13.625" style="1" customWidth="1"/>
    <col min="4617" max="4617" width="10.375" style="1"/>
    <col min="4618" max="4618" width="14.375" style="1" customWidth="1"/>
    <col min="4619" max="4619" width="10.375" style="1"/>
    <col min="4620" max="4620" width="11.625" style="1" bestFit="1" customWidth="1"/>
    <col min="4621" max="4623" width="10.375" style="1"/>
    <col min="4624" max="4624" width="12.875" style="1" customWidth="1"/>
    <col min="4625" max="4625" width="10.375" style="1"/>
    <col min="4626" max="4626" width="13" style="1" customWidth="1"/>
    <col min="4627" max="4865" width="10.375" style="1"/>
    <col min="4866" max="4866" width="33.25" style="1" customWidth="1"/>
    <col min="4867" max="4871" width="10.375" style="1"/>
    <col min="4872" max="4872" width="13.625" style="1" customWidth="1"/>
    <col min="4873" max="4873" width="10.375" style="1"/>
    <col min="4874" max="4874" width="14.375" style="1" customWidth="1"/>
    <col min="4875" max="4875" width="10.375" style="1"/>
    <col min="4876" max="4876" width="11.625" style="1" bestFit="1" customWidth="1"/>
    <col min="4877" max="4879" width="10.375" style="1"/>
    <col min="4880" max="4880" width="12.875" style="1" customWidth="1"/>
    <col min="4881" max="4881" width="10.375" style="1"/>
    <col min="4882" max="4882" width="13" style="1" customWidth="1"/>
    <col min="4883" max="5121" width="10.375" style="1"/>
    <col min="5122" max="5122" width="33.25" style="1" customWidth="1"/>
    <col min="5123" max="5127" width="10.375" style="1"/>
    <col min="5128" max="5128" width="13.625" style="1" customWidth="1"/>
    <col min="5129" max="5129" width="10.375" style="1"/>
    <col min="5130" max="5130" width="14.375" style="1" customWidth="1"/>
    <col min="5131" max="5131" width="10.375" style="1"/>
    <col min="5132" max="5132" width="11.625" style="1" bestFit="1" customWidth="1"/>
    <col min="5133" max="5135" width="10.375" style="1"/>
    <col min="5136" max="5136" width="12.875" style="1" customWidth="1"/>
    <col min="5137" max="5137" width="10.375" style="1"/>
    <col min="5138" max="5138" width="13" style="1" customWidth="1"/>
    <col min="5139" max="5377" width="10.375" style="1"/>
    <col min="5378" max="5378" width="33.25" style="1" customWidth="1"/>
    <col min="5379" max="5383" width="10.375" style="1"/>
    <col min="5384" max="5384" width="13.625" style="1" customWidth="1"/>
    <col min="5385" max="5385" width="10.375" style="1"/>
    <col min="5386" max="5386" width="14.375" style="1" customWidth="1"/>
    <col min="5387" max="5387" width="10.375" style="1"/>
    <col min="5388" max="5388" width="11.625" style="1" bestFit="1" customWidth="1"/>
    <col min="5389" max="5391" width="10.375" style="1"/>
    <col min="5392" max="5392" width="12.875" style="1" customWidth="1"/>
    <col min="5393" max="5393" width="10.375" style="1"/>
    <col min="5394" max="5394" width="13" style="1" customWidth="1"/>
    <col min="5395" max="5633" width="10.375" style="1"/>
    <col min="5634" max="5634" width="33.25" style="1" customWidth="1"/>
    <col min="5635" max="5639" width="10.375" style="1"/>
    <col min="5640" max="5640" width="13.625" style="1" customWidth="1"/>
    <col min="5641" max="5641" width="10.375" style="1"/>
    <col min="5642" max="5642" width="14.375" style="1" customWidth="1"/>
    <col min="5643" max="5643" width="10.375" style="1"/>
    <col min="5644" max="5644" width="11.625" style="1" bestFit="1" customWidth="1"/>
    <col min="5645" max="5647" width="10.375" style="1"/>
    <col min="5648" max="5648" width="12.875" style="1" customWidth="1"/>
    <col min="5649" max="5649" width="10.375" style="1"/>
    <col min="5650" max="5650" width="13" style="1" customWidth="1"/>
    <col min="5651" max="5889" width="10.375" style="1"/>
    <col min="5890" max="5890" width="33.25" style="1" customWidth="1"/>
    <col min="5891" max="5895" width="10.375" style="1"/>
    <col min="5896" max="5896" width="13.625" style="1" customWidth="1"/>
    <col min="5897" max="5897" width="10.375" style="1"/>
    <col min="5898" max="5898" width="14.375" style="1" customWidth="1"/>
    <col min="5899" max="5899" width="10.375" style="1"/>
    <col min="5900" max="5900" width="11.625" style="1" bestFit="1" customWidth="1"/>
    <col min="5901" max="5903" width="10.375" style="1"/>
    <col min="5904" max="5904" width="12.875" style="1" customWidth="1"/>
    <col min="5905" max="5905" width="10.375" style="1"/>
    <col min="5906" max="5906" width="13" style="1" customWidth="1"/>
    <col min="5907" max="6145" width="10.375" style="1"/>
    <col min="6146" max="6146" width="33.25" style="1" customWidth="1"/>
    <col min="6147" max="6151" width="10.375" style="1"/>
    <col min="6152" max="6152" width="13.625" style="1" customWidth="1"/>
    <col min="6153" max="6153" width="10.375" style="1"/>
    <col min="6154" max="6154" width="14.375" style="1" customWidth="1"/>
    <col min="6155" max="6155" width="10.375" style="1"/>
    <col min="6156" max="6156" width="11.625" style="1" bestFit="1" customWidth="1"/>
    <col min="6157" max="6159" width="10.375" style="1"/>
    <col min="6160" max="6160" width="12.875" style="1" customWidth="1"/>
    <col min="6161" max="6161" width="10.375" style="1"/>
    <col min="6162" max="6162" width="13" style="1" customWidth="1"/>
    <col min="6163" max="6401" width="10.375" style="1"/>
    <col min="6402" max="6402" width="33.25" style="1" customWidth="1"/>
    <col min="6403" max="6407" width="10.375" style="1"/>
    <col min="6408" max="6408" width="13.625" style="1" customWidth="1"/>
    <col min="6409" max="6409" width="10.375" style="1"/>
    <col min="6410" max="6410" width="14.375" style="1" customWidth="1"/>
    <col min="6411" max="6411" width="10.375" style="1"/>
    <col min="6412" max="6412" width="11.625" style="1" bestFit="1" customWidth="1"/>
    <col min="6413" max="6415" width="10.375" style="1"/>
    <col min="6416" max="6416" width="12.875" style="1" customWidth="1"/>
    <col min="6417" max="6417" width="10.375" style="1"/>
    <col min="6418" max="6418" width="13" style="1" customWidth="1"/>
    <col min="6419" max="6657" width="10.375" style="1"/>
    <col min="6658" max="6658" width="33.25" style="1" customWidth="1"/>
    <col min="6659" max="6663" width="10.375" style="1"/>
    <col min="6664" max="6664" width="13.625" style="1" customWidth="1"/>
    <col min="6665" max="6665" width="10.375" style="1"/>
    <col min="6666" max="6666" width="14.375" style="1" customWidth="1"/>
    <col min="6667" max="6667" width="10.375" style="1"/>
    <col min="6668" max="6668" width="11.625" style="1" bestFit="1" customWidth="1"/>
    <col min="6669" max="6671" width="10.375" style="1"/>
    <col min="6672" max="6672" width="12.875" style="1" customWidth="1"/>
    <col min="6673" max="6673" width="10.375" style="1"/>
    <col min="6674" max="6674" width="13" style="1" customWidth="1"/>
    <col min="6675" max="6913" width="10.375" style="1"/>
    <col min="6914" max="6914" width="33.25" style="1" customWidth="1"/>
    <col min="6915" max="6919" width="10.375" style="1"/>
    <col min="6920" max="6920" width="13.625" style="1" customWidth="1"/>
    <col min="6921" max="6921" width="10.375" style="1"/>
    <col min="6922" max="6922" width="14.375" style="1" customWidth="1"/>
    <col min="6923" max="6923" width="10.375" style="1"/>
    <col min="6924" max="6924" width="11.625" style="1" bestFit="1" customWidth="1"/>
    <col min="6925" max="6927" width="10.375" style="1"/>
    <col min="6928" max="6928" width="12.875" style="1" customWidth="1"/>
    <col min="6929" max="6929" width="10.375" style="1"/>
    <col min="6930" max="6930" width="13" style="1" customWidth="1"/>
    <col min="6931" max="7169" width="10.375" style="1"/>
    <col min="7170" max="7170" width="33.25" style="1" customWidth="1"/>
    <col min="7171" max="7175" width="10.375" style="1"/>
    <col min="7176" max="7176" width="13.625" style="1" customWidth="1"/>
    <col min="7177" max="7177" width="10.375" style="1"/>
    <col min="7178" max="7178" width="14.375" style="1" customWidth="1"/>
    <col min="7179" max="7179" width="10.375" style="1"/>
    <col min="7180" max="7180" width="11.625" style="1" bestFit="1" customWidth="1"/>
    <col min="7181" max="7183" width="10.375" style="1"/>
    <col min="7184" max="7184" width="12.875" style="1" customWidth="1"/>
    <col min="7185" max="7185" width="10.375" style="1"/>
    <col min="7186" max="7186" width="13" style="1" customWidth="1"/>
    <col min="7187" max="7425" width="10.375" style="1"/>
    <col min="7426" max="7426" width="33.25" style="1" customWidth="1"/>
    <col min="7427" max="7431" width="10.375" style="1"/>
    <col min="7432" max="7432" width="13.625" style="1" customWidth="1"/>
    <col min="7433" max="7433" width="10.375" style="1"/>
    <col min="7434" max="7434" width="14.375" style="1" customWidth="1"/>
    <col min="7435" max="7435" width="10.375" style="1"/>
    <col min="7436" max="7436" width="11.625" style="1" bestFit="1" customWidth="1"/>
    <col min="7437" max="7439" width="10.375" style="1"/>
    <col min="7440" max="7440" width="12.875" style="1" customWidth="1"/>
    <col min="7441" max="7441" width="10.375" style="1"/>
    <col min="7442" max="7442" width="13" style="1" customWidth="1"/>
    <col min="7443" max="7681" width="10.375" style="1"/>
    <col min="7682" max="7682" width="33.25" style="1" customWidth="1"/>
    <col min="7683" max="7687" width="10.375" style="1"/>
    <col min="7688" max="7688" width="13.625" style="1" customWidth="1"/>
    <col min="7689" max="7689" width="10.375" style="1"/>
    <col min="7690" max="7690" width="14.375" style="1" customWidth="1"/>
    <col min="7691" max="7691" width="10.375" style="1"/>
    <col min="7692" max="7692" width="11.625" style="1" bestFit="1" customWidth="1"/>
    <col min="7693" max="7695" width="10.375" style="1"/>
    <col min="7696" max="7696" width="12.875" style="1" customWidth="1"/>
    <col min="7697" max="7697" width="10.375" style="1"/>
    <col min="7698" max="7698" width="13" style="1" customWidth="1"/>
    <col min="7699" max="7937" width="10.375" style="1"/>
    <col min="7938" max="7938" width="33.25" style="1" customWidth="1"/>
    <col min="7939" max="7943" width="10.375" style="1"/>
    <col min="7944" max="7944" width="13.625" style="1" customWidth="1"/>
    <col min="7945" max="7945" width="10.375" style="1"/>
    <col min="7946" max="7946" width="14.375" style="1" customWidth="1"/>
    <col min="7947" max="7947" width="10.375" style="1"/>
    <col min="7948" max="7948" width="11.625" style="1" bestFit="1" customWidth="1"/>
    <col min="7949" max="7951" width="10.375" style="1"/>
    <col min="7952" max="7952" width="12.875" style="1" customWidth="1"/>
    <col min="7953" max="7953" width="10.375" style="1"/>
    <col min="7954" max="7954" width="13" style="1" customWidth="1"/>
    <col min="7955" max="8193" width="10.375" style="1"/>
    <col min="8194" max="8194" width="33.25" style="1" customWidth="1"/>
    <col min="8195" max="8199" width="10.375" style="1"/>
    <col min="8200" max="8200" width="13.625" style="1" customWidth="1"/>
    <col min="8201" max="8201" width="10.375" style="1"/>
    <col min="8202" max="8202" width="14.375" style="1" customWidth="1"/>
    <col min="8203" max="8203" width="10.375" style="1"/>
    <col min="8204" max="8204" width="11.625" style="1" bestFit="1" customWidth="1"/>
    <col min="8205" max="8207" width="10.375" style="1"/>
    <col min="8208" max="8208" width="12.875" style="1" customWidth="1"/>
    <col min="8209" max="8209" width="10.375" style="1"/>
    <col min="8210" max="8210" width="13" style="1" customWidth="1"/>
    <col min="8211" max="8449" width="10.375" style="1"/>
    <col min="8450" max="8450" width="33.25" style="1" customWidth="1"/>
    <col min="8451" max="8455" width="10.375" style="1"/>
    <col min="8456" max="8456" width="13.625" style="1" customWidth="1"/>
    <col min="8457" max="8457" width="10.375" style="1"/>
    <col min="8458" max="8458" width="14.375" style="1" customWidth="1"/>
    <col min="8459" max="8459" width="10.375" style="1"/>
    <col min="8460" max="8460" width="11.625" style="1" bestFit="1" customWidth="1"/>
    <col min="8461" max="8463" width="10.375" style="1"/>
    <col min="8464" max="8464" width="12.875" style="1" customWidth="1"/>
    <col min="8465" max="8465" width="10.375" style="1"/>
    <col min="8466" max="8466" width="13" style="1" customWidth="1"/>
    <col min="8467" max="8705" width="10.375" style="1"/>
    <col min="8706" max="8706" width="33.25" style="1" customWidth="1"/>
    <col min="8707" max="8711" width="10.375" style="1"/>
    <col min="8712" max="8712" width="13.625" style="1" customWidth="1"/>
    <col min="8713" max="8713" width="10.375" style="1"/>
    <col min="8714" max="8714" width="14.375" style="1" customWidth="1"/>
    <col min="8715" max="8715" width="10.375" style="1"/>
    <col min="8716" max="8716" width="11.625" style="1" bestFit="1" customWidth="1"/>
    <col min="8717" max="8719" width="10.375" style="1"/>
    <col min="8720" max="8720" width="12.875" style="1" customWidth="1"/>
    <col min="8721" max="8721" width="10.375" style="1"/>
    <col min="8722" max="8722" width="13" style="1" customWidth="1"/>
    <col min="8723" max="8961" width="10.375" style="1"/>
    <col min="8962" max="8962" width="33.25" style="1" customWidth="1"/>
    <col min="8963" max="8967" width="10.375" style="1"/>
    <col min="8968" max="8968" width="13.625" style="1" customWidth="1"/>
    <col min="8969" max="8969" width="10.375" style="1"/>
    <col min="8970" max="8970" width="14.375" style="1" customWidth="1"/>
    <col min="8971" max="8971" width="10.375" style="1"/>
    <col min="8972" max="8972" width="11.625" style="1" bestFit="1" customWidth="1"/>
    <col min="8973" max="8975" width="10.375" style="1"/>
    <col min="8976" max="8976" width="12.875" style="1" customWidth="1"/>
    <col min="8977" max="8977" width="10.375" style="1"/>
    <col min="8978" max="8978" width="13" style="1" customWidth="1"/>
    <col min="8979" max="9217" width="10.375" style="1"/>
    <col min="9218" max="9218" width="33.25" style="1" customWidth="1"/>
    <col min="9219" max="9223" width="10.375" style="1"/>
    <col min="9224" max="9224" width="13.625" style="1" customWidth="1"/>
    <col min="9225" max="9225" width="10.375" style="1"/>
    <col min="9226" max="9226" width="14.375" style="1" customWidth="1"/>
    <col min="9227" max="9227" width="10.375" style="1"/>
    <col min="9228" max="9228" width="11.625" style="1" bestFit="1" customWidth="1"/>
    <col min="9229" max="9231" width="10.375" style="1"/>
    <col min="9232" max="9232" width="12.875" style="1" customWidth="1"/>
    <col min="9233" max="9233" width="10.375" style="1"/>
    <col min="9234" max="9234" width="13" style="1" customWidth="1"/>
    <col min="9235" max="9473" width="10.375" style="1"/>
    <col min="9474" max="9474" width="33.25" style="1" customWidth="1"/>
    <col min="9475" max="9479" width="10.375" style="1"/>
    <col min="9480" max="9480" width="13.625" style="1" customWidth="1"/>
    <col min="9481" max="9481" width="10.375" style="1"/>
    <col min="9482" max="9482" width="14.375" style="1" customWidth="1"/>
    <col min="9483" max="9483" width="10.375" style="1"/>
    <col min="9484" max="9484" width="11.625" style="1" bestFit="1" customWidth="1"/>
    <col min="9485" max="9487" width="10.375" style="1"/>
    <col min="9488" max="9488" width="12.875" style="1" customWidth="1"/>
    <col min="9489" max="9489" width="10.375" style="1"/>
    <col min="9490" max="9490" width="13" style="1" customWidth="1"/>
    <col min="9491" max="9729" width="10.375" style="1"/>
    <col min="9730" max="9730" width="33.25" style="1" customWidth="1"/>
    <col min="9731" max="9735" width="10.375" style="1"/>
    <col min="9736" max="9736" width="13.625" style="1" customWidth="1"/>
    <col min="9737" max="9737" width="10.375" style="1"/>
    <col min="9738" max="9738" width="14.375" style="1" customWidth="1"/>
    <col min="9739" max="9739" width="10.375" style="1"/>
    <col min="9740" max="9740" width="11.625" style="1" bestFit="1" customWidth="1"/>
    <col min="9741" max="9743" width="10.375" style="1"/>
    <col min="9744" max="9744" width="12.875" style="1" customWidth="1"/>
    <col min="9745" max="9745" width="10.375" style="1"/>
    <col min="9746" max="9746" width="13" style="1" customWidth="1"/>
    <col min="9747" max="9985" width="10.375" style="1"/>
    <col min="9986" max="9986" width="33.25" style="1" customWidth="1"/>
    <col min="9987" max="9991" width="10.375" style="1"/>
    <col min="9992" max="9992" width="13.625" style="1" customWidth="1"/>
    <col min="9993" max="9993" width="10.375" style="1"/>
    <col min="9994" max="9994" width="14.375" style="1" customWidth="1"/>
    <col min="9995" max="9995" width="10.375" style="1"/>
    <col min="9996" max="9996" width="11.625" style="1" bestFit="1" customWidth="1"/>
    <col min="9997" max="9999" width="10.375" style="1"/>
    <col min="10000" max="10000" width="12.875" style="1" customWidth="1"/>
    <col min="10001" max="10001" width="10.375" style="1"/>
    <col min="10002" max="10002" width="13" style="1" customWidth="1"/>
    <col min="10003" max="10241" width="10.375" style="1"/>
    <col min="10242" max="10242" width="33.25" style="1" customWidth="1"/>
    <col min="10243" max="10247" width="10.375" style="1"/>
    <col min="10248" max="10248" width="13.625" style="1" customWidth="1"/>
    <col min="10249" max="10249" width="10.375" style="1"/>
    <col min="10250" max="10250" width="14.375" style="1" customWidth="1"/>
    <col min="10251" max="10251" width="10.375" style="1"/>
    <col min="10252" max="10252" width="11.625" style="1" bestFit="1" customWidth="1"/>
    <col min="10253" max="10255" width="10.375" style="1"/>
    <col min="10256" max="10256" width="12.875" style="1" customWidth="1"/>
    <col min="10257" max="10257" width="10.375" style="1"/>
    <col min="10258" max="10258" width="13" style="1" customWidth="1"/>
    <col min="10259" max="10497" width="10.375" style="1"/>
    <col min="10498" max="10498" width="33.25" style="1" customWidth="1"/>
    <col min="10499" max="10503" width="10.375" style="1"/>
    <col min="10504" max="10504" width="13.625" style="1" customWidth="1"/>
    <col min="10505" max="10505" width="10.375" style="1"/>
    <col min="10506" max="10506" width="14.375" style="1" customWidth="1"/>
    <col min="10507" max="10507" width="10.375" style="1"/>
    <col min="10508" max="10508" width="11.625" style="1" bestFit="1" customWidth="1"/>
    <col min="10509" max="10511" width="10.375" style="1"/>
    <col min="10512" max="10512" width="12.875" style="1" customWidth="1"/>
    <col min="10513" max="10513" width="10.375" style="1"/>
    <col min="10514" max="10514" width="13" style="1" customWidth="1"/>
    <col min="10515" max="10753" width="10.375" style="1"/>
    <col min="10754" max="10754" width="33.25" style="1" customWidth="1"/>
    <col min="10755" max="10759" width="10.375" style="1"/>
    <col min="10760" max="10760" width="13.625" style="1" customWidth="1"/>
    <col min="10761" max="10761" width="10.375" style="1"/>
    <col min="10762" max="10762" width="14.375" style="1" customWidth="1"/>
    <col min="10763" max="10763" width="10.375" style="1"/>
    <col min="10764" max="10764" width="11.625" style="1" bestFit="1" customWidth="1"/>
    <col min="10765" max="10767" width="10.375" style="1"/>
    <col min="10768" max="10768" width="12.875" style="1" customWidth="1"/>
    <col min="10769" max="10769" width="10.375" style="1"/>
    <col min="10770" max="10770" width="13" style="1" customWidth="1"/>
    <col min="10771" max="11009" width="10.375" style="1"/>
    <col min="11010" max="11010" width="33.25" style="1" customWidth="1"/>
    <col min="11011" max="11015" width="10.375" style="1"/>
    <col min="11016" max="11016" width="13.625" style="1" customWidth="1"/>
    <col min="11017" max="11017" width="10.375" style="1"/>
    <col min="11018" max="11018" width="14.375" style="1" customWidth="1"/>
    <col min="11019" max="11019" width="10.375" style="1"/>
    <col min="11020" max="11020" width="11.625" style="1" bestFit="1" customWidth="1"/>
    <col min="11021" max="11023" width="10.375" style="1"/>
    <col min="11024" max="11024" width="12.875" style="1" customWidth="1"/>
    <col min="11025" max="11025" width="10.375" style="1"/>
    <col min="11026" max="11026" width="13" style="1" customWidth="1"/>
    <col min="11027" max="11265" width="10.375" style="1"/>
    <col min="11266" max="11266" width="33.25" style="1" customWidth="1"/>
    <col min="11267" max="11271" width="10.375" style="1"/>
    <col min="11272" max="11272" width="13.625" style="1" customWidth="1"/>
    <col min="11273" max="11273" width="10.375" style="1"/>
    <col min="11274" max="11274" width="14.375" style="1" customWidth="1"/>
    <col min="11275" max="11275" width="10.375" style="1"/>
    <col min="11276" max="11276" width="11.625" style="1" bestFit="1" customWidth="1"/>
    <col min="11277" max="11279" width="10.375" style="1"/>
    <col min="11280" max="11280" width="12.875" style="1" customWidth="1"/>
    <col min="11281" max="11281" width="10.375" style="1"/>
    <col min="11282" max="11282" width="13" style="1" customWidth="1"/>
    <col min="11283" max="11521" width="10.375" style="1"/>
    <col min="11522" max="11522" width="33.25" style="1" customWidth="1"/>
    <col min="11523" max="11527" width="10.375" style="1"/>
    <col min="11528" max="11528" width="13.625" style="1" customWidth="1"/>
    <col min="11529" max="11529" width="10.375" style="1"/>
    <col min="11530" max="11530" width="14.375" style="1" customWidth="1"/>
    <col min="11531" max="11531" width="10.375" style="1"/>
    <col min="11532" max="11532" width="11.625" style="1" bestFit="1" customWidth="1"/>
    <col min="11533" max="11535" width="10.375" style="1"/>
    <col min="11536" max="11536" width="12.875" style="1" customWidth="1"/>
    <col min="11537" max="11537" width="10.375" style="1"/>
    <col min="11538" max="11538" width="13" style="1" customWidth="1"/>
    <col min="11539" max="11777" width="10.375" style="1"/>
    <col min="11778" max="11778" width="33.25" style="1" customWidth="1"/>
    <col min="11779" max="11783" width="10.375" style="1"/>
    <col min="11784" max="11784" width="13.625" style="1" customWidth="1"/>
    <col min="11785" max="11785" width="10.375" style="1"/>
    <col min="11786" max="11786" width="14.375" style="1" customWidth="1"/>
    <col min="11787" max="11787" width="10.375" style="1"/>
    <col min="11788" max="11788" width="11.625" style="1" bestFit="1" customWidth="1"/>
    <col min="11789" max="11791" width="10.375" style="1"/>
    <col min="11792" max="11792" width="12.875" style="1" customWidth="1"/>
    <col min="11793" max="11793" width="10.375" style="1"/>
    <col min="11794" max="11794" width="13" style="1" customWidth="1"/>
    <col min="11795" max="12033" width="10.375" style="1"/>
    <col min="12034" max="12034" width="33.25" style="1" customWidth="1"/>
    <col min="12035" max="12039" width="10.375" style="1"/>
    <col min="12040" max="12040" width="13.625" style="1" customWidth="1"/>
    <col min="12041" max="12041" width="10.375" style="1"/>
    <col min="12042" max="12042" width="14.375" style="1" customWidth="1"/>
    <col min="12043" max="12043" width="10.375" style="1"/>
    <col min="12044" max="12044" width="11.625" style="1" bestFit="1" customWidth="1"/>
    <col min="12045" max="12047" width="10.375" style="1"/>
    <col min="12048" max="12048" width="12.875" style="1" customWidth="1"/>
    <col min="12049" max="12049" width="10.375" style="1"/>
    <col min="12050" max="12050" width="13" style="1" customWidth="1"/>
    <col min="12051" max="12289" width="10.375" style="1"/>
    <col min="12290" max="12290" width="33.25" style="1" customWidth="1"/>
    <col min="12291" max="12295" width="10.375" style="1"/>
    <col min="12296" max="12296" width="13.625" style="1" customWidth="1"/>
    <col min="12297" max="12297" width="10.375" style="1"/>
    <col min="12298" max="12298" width="14.375" style="1" customWidth="1"/>
    <col min="12299" max="12299" width="10.375" style="1"/>
    <col min="12300" max="12300" width="11.625" style="1" bestFit="1" customWidth="1"/>
    <col min="12301" max="12303" width="10.375" style="1"/>
    <col min="12304" max="12304" width="12.875" style="1" customWidth="1"/>
    <col min="12305" max="12305" width="10.375" style="1"/>
    <col min="12306" max="12306" width="13" style="1" customWidth="1"/>
    <col min="12307" max="12545" width="10.375" style="1"/>
    <col min="12546" max="12546" width="33.25" style="1" customWidth="1"/>
    <col min="12547" max="12551" width="10.375" style="1"/>
    <col min="12552" max="12552" width="13.625" style="1" customWidth="1"/>
    <col min="12553" max="12553" width="10.375" style="1"/>
    <col min="12554" max="12554" width="14.375" style="1" customWidth="1"/>
    <col min="12555" max="12555" width="10.375" style="1"/>
    <col min="12556" max="12556" width="11.625" style="1" bestFit="1" customWidth="1"/>
    <col min="12557" max="12559" width="10.375" style="1"/>
    <col min="12560" max="12560" width="12.875" style="1" customWidth="1"/>
    <col min="12561" max="12561" width="10.375" style="1"/>
    <col min="12562" max="12562" width="13" style="1" customWidth="1"/>
    <col min="12563" max="12801" width="10.375" style="1"/>
    <col min="12802" max="12802" width="33.25" style="1" customWidth="1"/>
    <col min="12803" max="12807" width="10.375" style="1"/>
    <col min="12808" max="12808" width="13.625" style="1" customWidth="1"/>
    <col min="12809" max="12809" width="10.375" style="1"/>
    <col min="12810" max="12810" width="14.375" style="1" customWidth="1"/>
    <col min="12811" max="12811" width="10.375" style="1"/>
    <col min="12812" max="12812" width="11.625" style="1" bestFit="1" customWidth="1"/>
    <col min="12813" max="12815" width="10.375" style="1"/>
    <col min="12816" max="12816" width="12.875" style="1" customWidth="1"/>
    <col min="12817" max="12817" width="10.375" style="1"/>
    <col min="12818" max="12818" width="13" style="1" customWidth="1"/>
    <col min="12819" max="13057" width="10.375" style="1"/>
    <col min="13058" max="13058" width="33.25" style="1" customWidth="1"/>
    <col min="13059" max="13063" width="10.375" style="1"/>
    <col min="13064" max="13064" width="13.625" style="1" customWidth="1"/>
    <col min="13065" max="13065" width="10.375" style="1"/>
    <col min="13066" max="13066" width="14.375" style="1" customWidth="1"/>
    <col min="13067" max="13067" width="10.375" style="1"/>
    <col min="13068" max="13068" width="11.625" style="1" bestFit="1" customWidth="1"/>
    <col min="13069" max="13071" width="10.375" style="1"/>
    <col min="13072" max="13072" width="12.875" style="1" customWidth="1"/>
    <col min="13073" max="13073" width="10.375" style="1"/>
    <col min="13074" max="13074" width="13" style="1" customWidth="1"/>
    <col min="13075" max="13313" width="10.375" style="1"/>
    <col min="13314" max="13314" width="33.25" style="1" customWidth="1"/>
    <col min="13315" max="13319" width="10.375" style="1"/>
    <col min="13320" max="13320" width="13.625" style="1" customWidth="1"/>
    <col min="13321" max="13321" width="10.375" style="1"/>
    <col min="13322" max="13322" width="14.375" style="1" customWidth="1"/>
    <col min="13323" max="13323" width="10.375" style="1"/>
    <col min="13324" max="13324" width="11.625" style="1" bestFit="1" customWidth="1"/>
    <col min="13325" max="13327" width="10.375" style="1"/>
    <col min="13328" max="13328" width="12.875" style="1" customWidth="1"/>
    <col min="13329" max="13329" width="10.375" style="1"/>
    <col min="13330" max="13330" width="13" style="1" customWidth="1"/>
    <col min="13331" max="13569" width="10.375" style="1"/>
    <col min="13570" max="13570" width="33.25" style="1" customWidth="1"/>
    <col min="13571" max="13575" width="10.375" style="1"/>
    <col min="13576" max="13576" width="13.625" style="1" customWidth="1"/>
    <col min="13577" max="13577" width="10.375" style="1"/>
    <col min="13578" max="13578" width="14.375" style="1" customWidth="1"/>
    <col min="13579" max="13579" width="10.375" style="1"/>
    <col min="13580" max="13580" width="11.625" style="1" bestFit="1" customWidth="1"/>
    <col min="13581" max="13583" width="10.375" style="1"/>
    <col min="13584" max="13584" width="12.875" style="1" customWidth="1"/>
    <col min="13585" max="13585" width="10.375" style="1"/>
    <col min="13586" max="13586" width="13" style="1" customWidth="1"/>
    <col min="13587" max="13825" width="10.375" style="1"/>
    <col min="13826" max="13826" width="33.25" style="1" customWidth="1"/>
    <col min="13827" max="13831" width="10.375" style="1"/>
    <col min="13832" max="13832" width="13.625" style="1" customWidth="1"/>
    <col min="13833" max="13833" width="10.375" style="1"/>
    <col min="13834" max="13834" width="14.375" style="1" customWidth="1"/>
    <col min="13835" max="13835" width="10.375" style="1"/>
    <col min="13836" max="13836" width="11.625" style="1" bestFit="1" customWidth="1"/>
    <col min="13837" max="13839" width="10.375" style="1"/>
    <col min="13840" max="13840" width="12.875" style="1" customWidth="1"/>
    <col min="13841" max="13841" width="10.375" style="1"/>
    <col min="13842" max="13842" width="13" style="1" customWidth="1"/>
    <col min="13843" max="14081" width="10.375" style="1"/>
    <col min="14082" max="14082" width="33.25" style="1" customWidth="1"/>
    <col min="14083" max="14087" width="10.375" style="1"/>
    <col min="14088" max="14088" width="13.625" style="1" customWidth="1"/>
    <col min="14089" max="14089" width="10.375" style="1"/>
    <col min="14090" max="14090" width="14.375" style="1" customWidth="1"/>
    <col min="14091" max="14091" width="10.375" style="1"/>
    <col min="14092" max="14092" width="11.625" style="1" bestFit="1" customWidth="1"/>
    <col min="14093" max="14095" width="10.375" style="1"/>
    <col min="14096" max="14096" width="12.875" style="1" customWidth="1"/>
    <col min="14097" max="14097" width="10.375" style="1"/>
    <col min="14098" max="14098" width="13" style="1" customWidth="1"/>
    <col min="14099" max="14337" width="10.375" style="1"/>
    <col min="14338" max="14338" width="33.25" style="1" customWidth="1"/>
    <col min="14339" max="14343" width="10.375" style="1"/>
    <col min="14344" max="14344" width="13.625" style="1" customWidth="1"/>
    <col min="14345" max="14345" width="10.375" style="1"/>
    <col min="14346" max="14346" width="14.375" style="1" customWidth="1"/>
    <col min="14347" max="14347" width="10.375" style="1"/>
    <col min="14348" max="14348" width="11.625" style="1" bestFit="1" customWidth="1"/>
    <col min="14349" max="14351" width="10.375" style="1"/>
    <col min="14352" max="14352" width="12.875" style="1" customWidth="1"/>
    <col min="14353" max="14353" width="10.375" style="1"/>
    <col min="14354" max="14354" width="13" style="1" customWidth="1"/>
    <col min="14355" max="14593" width="10.375" style="1"/>
    <col min="14594" max="14594" width="33.25" style="1" customWidth="1"/>
    <col min="14595" max="14599" width="10.375" style="1"/>
    <col min="14600" max="14600" width="13.625" style="1" customWidth="1"/>
    <col min="14601" max="14601" width="10.375" style="1"/>
    <col min="14602" max="14602" width="14.375" style="1" customWidth="1"/>
    <col min="14603" max="14603" width="10.375" style="1"/>
    <col min="14604" max="14604" width="11.625" style="1" bestFit="1" customWidth="1"/>
    <col min="14605" max="14607" width="10.375" style="1"/>
    <col min="14608" max="14608" width="12.875" style="1" customWidth="1"/>
    <col min="14609" max="14609" width="10.375" style="1"/>
    <col min="14610" max="14610" width="13" style="1" customWidth="1"/>
    <col min="14611" max="14849" width="10.375" style="1"/>
    <col min="14850" max="14850" width="33.25" style="1" customWidth="1"/>
    <col min="14851" max="14855" width="10.375" style="1"/>
    <col min="14856" max="14856" width="13.625" style="1" customWidth="1"/>
    <col min="14857" max="14857" width="10.375" style="1"/>
    <col min="14858" max="14858" width="14.375" style="1" customWidth="1"/>
    <col min="14859" max="14859" width="10.375" style="1"/>
    <col min="14860" max="14860" width="11.625" style="1" bestFit="1" customWidth="1"/>
    <col min="14861" max="14863" width="10.375" style="1"/>
    <col min="14864" max="14864" width="12.875" style="1" customWidth="1"/>
    <col min="14865" max="14865" width="10.375" style="1"/>
    <col min="14866" max="14866" width="13" style="1" customWidth="1"/>
    <col min="14867" max="15105" width="10.375" style="1"/>
    <col min="15106" max="15106" width="33.25" style="1" customWidth="1"/>
    <col min="15107" max="15111" width="10.375" style="1"/>
    <col min="15112" max="15112" width="13.625" style="1" customWidth="1"/>
    <col min="15113" max="15113" width="10.375" style="1"/>
    <col min="15114" max="15114" width="14.375" style="1" customWidth="1"/>
    <col min="15115" max="15115" width="10.375" style="1"/>
    <col min="15116" max="15116" width="11.625" style="1" bestFit="1" customWidth="1"/>
    <col min="15117" max="15119" width="10.375" style="1"/>
    <col min="15120" max="15120" width="12.875" style="1" customWidth="1"/>
    <col min="15121" max="15121" width="10.375" style="1"/>
    <col min="15122" max="15122" width="13" style="1" customWidth="1"/>
    <col min="15123" max="15361" width="10.375" style="1"/>
    <col min="15362" max="15362" width="33.25" style="1" customWidth="1"/>
    <col min="15363" max="15367" width="10.375" style="1"/>
    <col min="15368" max="15368" width="13.625" style="1" customWidth="1"/>
    <col min="15369" max="15369" width="10.375" style="1"/>
    <col min="15370" max="15370" width="14.375" style="1" customWidth="1"/>
    <col min="15371" max="15371" width="10.375" style="1"/>
    <col min="15372" max="15372" width="11.625" style="1" bestFit="1" customWidth="1"/>
    <col min="15373" max="15375" width="10.375" style="1"/>
    <col min="15376" max="15376" width="12.875" style="1" customWidth="1"/>
    <col min="15377" max="15377" width="10.375" style="1"/>
    <col min="15378" max="15378" width="13" style="1" customWidth="1"/>
    <col min="15379" max="15617" width="10.375" style="1"/>
    <col min="15618" max="15618" width="33.25" style="1" customWidth="1"/>
    <col min="15619" max="15623" width="10.375" style="1"/>
    <col min="15624" max="15624" width="13.625" style="1" customWidth="1"/>
    <col min="15625" max="15625" width="10.375" style="1"/>
    <col min="15626" max="15626" width="14.375" style="1" customWidth="1"/>
    <col min="15627" max="15627" width="10.375" style="1"/>
    <col min="15628" max="15628" width="11.625" style="1" bestFit="1" customWidth="1"/>
    <col min="15629" max="15631" width="10.375" style="1"/>
    <col min="15632" max="15632" width="12.875" style="1" customWidth="1"/>
    <col min="15633" max="15633" width="10.375" style="1"/>
    <col min="15634" max="15634" width="13" style="1" customWidth="1"/>
    <col min="15635" max="15873" width="10.375" style="1"/>
    <col min="15874" max="15874" width="33.25" style="1" customWidth="1"/>
    <col min="15875" max="15879" width="10.375" style="1"/>
    <col min="15880" max="15880" width="13.625" style="1" customWidth="1"/>
    <col min="15881" max="15881" width="10.375" style="1"/>
    <col min="15882" max="15882" width="14.375" style="1" customWidth="1"/>
    <col min="15883" max="15883" width="10.375" style="1"/>
    <col min="15884" max="15884" width="11.625" style="1" bestFit="1" customWidth="1"/>
    <col min="15885" max="15887" width="10.375" style="1"/>
    <col min="15888" max="15888" width="12.875" style="1" customWidth="1"/>
    <col min="15889" max="15889" width="10.375" style="1"/>
    <col min="15890" max="15890" width="13" style="1" customWidth="1"/>
    <col min="15891" max="16129" width="10.375" style="1"/>
    <col min="16130" max="16130" width="33.25" style="1" customWidth="1"/>
    <col min="16131" max="16135" width="10.375" style="1"/>
    <col min="16136" max="16136" width="13.625" style="1" customWidth="1"/>
    <col min="16137" max="16137" width="10.375" style="1"/>
    <col min="16138" max="16138" width="14.375" style="1" customWidth="1"/>
    <col min="16139" max="16139" width="10.375" style="1"/>
    <col min="16140" max="16140" width="11.625" style="1" bestFit="1" customWidth="1"/>
    <col min="16141" max="16143" width="10.375" style="1"/>
    <col min="16144" max="16144" width="12.875" style="1" customWidth="1"/>
    <col min="16145" max="16145" width="10.375" style="1"/>
    <col min="16146" max="16146" width="13" style="1" customWidth="1"/>
    <col min="16147" max="16384" width="10.375" style="1"/>
  </cols>
  <sheetData>
    <row r="1" spans="1:18" ht="18.600000000000001">
      <c r="A1" s="175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</row>
    <row r="2" spans="1:18" ht="18.600000000000001">
      <c r="A2" s="176" t="s">
        <v>1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</row>
    <row r="3" spans="1:18" ht="18.600000000000001">
      <c r="A3" s="177" t="s">
        <v>66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</row>
    <row r="4" spans="1:18" ht="18.600000000000001">
      <c r="A4" s="178" t="s">
        <v>3</v>
      </c>
      <c r="B4" s="173" t="s">
        <v>4</v>
      </c>
      <c r="C4" s="173" t="s">
        <v>5</v>
      </c>
      <c r="D4" s="211" t="s">
        <v>6</v>
      </c>
      <c r="E4" s="182" t="s">
        <v>7</v>
      </c>
      <c r="F4" s="183"/>
      <c r="G4" s="183"/>
      <c r="H4" s="183"/>
      <c r="I4" s="183"/>
      <c r="J4" s="184"/>
      <c r="K4" s="214" t="s">
        <v>8</v>
      </c>
      <c r="L4" s="215"/>
      <c r="M4" s="216"/>
      <c r="N4" s="182" t="s">
        <v>9</v>
      </c>
      <c r="O4" s="183"/>
      <c r="P4" s="183"/>
      <c r="Q4" s="183"/>
      <c r="R4" s="184"/>
    </row>
    <row r="5" spans="1:18" ht="18.600000000000001">
      <c r="A5" s="179"/>
      <c r="B5" s="181"/>
      <c r="C5" s="181"/>
      <c r="D5" s="212"/>
      <c r="E5" s="178" t="s">
        <v>10</v>
      </c>
      <c r="F5" s="187" t="s">
        <v>11</v>
      </c>
      <c r="G5" s="187" t="s">
        <v>12</v>
      </c>
      <c r="H5" s="182" t="s">
        <v>13</v>
      </c>
      <c r="I5" s="183"/>
      <c r="J5" s="184"/>
      <c r="K5" s="207" t="s">
        <v>14</v>
      </c>
      <c r="L5" s="209" t="s">
        <v>15</v>
      </c>
      <c r="M5" s="205" t="s">
        <v>16</v>
      </c>
      <c r="N5" s="185" t="s">
        <v>10</v>
      </c>
      <c r="O5" s="187" t="s">
        <v>12</v>
      </c>
      <c r="P5" s="182" t="s">
        <v>13</v>
      </c>
      <c r="Q5" s="183"/>
      <c r="R5" s="184"/>
    </row>
    <row r="6" spans="1:18" ht="16.8">
      <c r="A6" s="180"/>
      <c r="B6" s="174"/>
      <c r="C6" s="174"/>
      <c r="D6" s="213"/>
      <c r="E6" s="180"/>
      <c r="F6" s="188"/>
      <c r="G6" s="188"/>
      <c r="H6" s="5" t="s">
        <v>17</v>
      </c>
      <c r="I6" s="6" t="s">
        <v>18</v>
      </c>
      <c r="J6" s="7" t="s">
        <v>19</v>
      </c>
      <c r="K6" s="208"/>
      <c r="L6" s="210"/>
      <c r="M6" s="206"/>
      <c r="N6" s="186"/>
      <c r="O6" s="188"/>
      <c r="P6" s="5" t="s">
        <v>17</v>
      </c>
      <c r="Q6" s="6" t="s">
        <v>18</v>
      </c>
      <c r="R6" s="7" t="s">
        <v>19</v>
      </c>
    </row>
    <row r="7" spans="1:18" ht="18.600000000000001">
      <c r="A7" s="8"/>
      <c r="B7" s="9" t="s">
        <v>20</v>
      </c>
      <c r="C7" s="10"/>
      <c r="D7" s="11"/>
      <c r="E7" s="12"/>
      <c r="F7" s="12"/>
      <c r="G7" s="13"/>
      <c r="H7" s="14"/>
      <c r="I7" s="15"/>
      <c r="J7" s="11"/>
      <c r="K7" s="16"/>
      <c r="L7" s="17"/>
      <c r="M7" s="18"/>
      <c r="N7" s="19"/>
      <c r="O7" s="13"/>
      <c r="P7" s="13"/>
      <c r="Q7" s="13"/>
      <c r="R7" s="20"/>
    </row>
    <row r="8" spans="1:18" ht="18.600000000000001">
      <c r="A8" s="8">
        <v>1</v>
      </c>
      <c r="B8" s="21"/>
      <c r="C8" s="22"/>
      <c r="D8" s="23">
        <v>0</v>
      </c>
      <c r="E8" s="24"/>
      <c r="F8" s="24"/>
      <c r="G8" s="25"/>
      <c r="H8" s="26">
        <v>0</v>
      </c>
      <c r="I8" s="27">
        <f>H8*0.07</f>
        <v>0</v>
      </c>
      <c r="J8" s="23">
        <v>0</v>
      </c>
      <c r="K8" s="28"/>
      <c r="L8" s="29"/>
      <c r="M8" s="30">
        <v>0</v>
      </c>
      <c r="N8" s="31"/>
      <c r="O8" s="25"/>
      <c r="P8" s="27">
        <f>ROUND(R8*100/107,2)</f>
        <v>0</v>
      </c>
      <c r="Q8" s="27">
        <f>P8*0.07</f>
        <v>0</v>
      </c>
      <c r="R8" s="32">
        <f>D8+J8-M8</f>
        <v>0</v>
      </c>
    </row>
    <row r="9" spans="1:18" ht="18.600000000000001">
      <c r="A9" s="8">
        <f>+A8+1</f>
        <v>2</v>
      </c>
      <c r="B9" s="33" t="s">
        <v>21</v>
      </c>
      <c r="C9" s="22"/>
      <c r="D9" s="23">
        <v>0</v>
      </c>
      <c r="E9" s="24"/>
      <c r="F9" s="24"/>
      <c r="G9" s="25"/>
      <c r="H9" s="34">
        <v>0</v>
      </c>
      <c r="I9" s="35">
        <f>H9*0.07</f>
        <v>0</v>
      </c>
      <c r="J9" s="36">
        <v>0</v>
      </c>
      <c r="K9" s="28"/>
      <c r="L9" s="29"/>
      <c r="M9" s="30">
        <v>0</v>
      </c>
      <c r="N9" s="31"/>
      <c r="O9" s="25"/>
      <c r="P9" s="27">
        <f>ROUND(R9*100/107,2)</f>
        <v>0</v>
      </c>
      <c r="Q9" s="27">
        <f>P9*0.07</f>
        <v>0</v>
      </c>
      <c r="R9" s="32">
        <f>D9+J9-M9</f>
        <v>0</v>
      </c>
    </row>
    <row r="10" spans="1:18" ht="18.600000000000001">
      <c r="A10" s="8">
        <f>+A9+1</f>
        <v>3</v>
      </c>
      <c r="B10" s="37"/>
      <c r="C10" s="22"/>
      <c r="D10" s="23">
        <v>0</v>
      </c>
      <c r="E10" s="24"/>
      <c r="F10" s="38"/>
      <c r="G10" s="39"/>
      <c r="H10" s="40">
        <f>J10*100/107</f>
        <v>0</v>
      </c>
      <c r="I10" s="40">
        <f>H10*0.07</f>
        <v>0</v>
      </c>
      <c r="J10" s="41">
        <v>0</v>
      </c>
      <c r="K10" s="28"/>
      <c r="L10" s="29"/>
      <c r="M10" s="30">
        <v>0</v>
      </c>
      <c r="N10" s="31"/>
      <c r="O10" s="25"/>
      <c r="P10" s="27">
        <f>ROUND(R10*100/107,2)</f>
        <v>0</v>
      </c>
      <c r="Q10" s="27">
        <f>P10*0.07</f>
        <v>0</v>
      </c>
      <c r="R10" s="32">
        <f>D10+J10-M10</f>
        <v>0</v>
      </c>
    </row>
    <row r="11" spans="1:18" ht="19.2" thickBot="1">
      <c r="A11" s="42"/>
      <c r="B11" s="191" t="s">
        <v>19</v>
      </c>
      <c r="C11" s="192"/>
      <c r="D11" s="43">
        <f>SUM(D8:D10)</f>
        <v>0</v>
      </c>
      <c r="E11" s="43"/>
      <c r="F11" s="43"/>
      <c r="G11" s="44"/>
      <c r="H11" s="44">
        <f>SUM(H8:H10)</f>
        <v>0</v>
      </c>
      <c r="I11" s="44">
        <f>SUM(I8:I10)</f>
        <v>0</v>
      </c>
      <c r="J11" s="44">
        <f>SUM(J8:J10)</f>
        <v>0</v>
      </c>
      <c r="K11" s="45"/>
      <c r="L11" s="46"/>
      <c r="M11" s="47">
        <f>SUM(M8:M10)</f>
        <v>0</v>
      </c>
      <c r="N11" s="48"/>
      <c r="O11" s="43"/>
      <c r="P11" s="49">
        <f>ROUND(R11*100/107,2)</f>
        <v>0</v>
      </c>
      <c r="Q11" s="49">
        <f>P11*0.07</f>
        <v>0</v>
      </c>
      <c r="R11" s="50">
        <f>SUM(R8:R10)</f>
        <v>0</v>
      </c>
    </row>
    <row r="12" spans="1:18" ht="19.2" thickTop="1">
      <c r="A12" s="8"/>
      <c r="B12" s="51" t="s">
        <v>22</v>
      </c>
      <c r="C12" s="52"/>
      <c r="D12" s="11"/>
      <c r="E12" s="12"/>
      <c r="F12" s="12"/>
      <c r="G12" s="53"/>
      <c r="H12" s="14"/>
      <c r="I12" s="15"/>
      <c r="J12" s="11"/>
      <c r="K12" s="16"/>
      <c r="L12" s="17"/>
      <c r="M12" s="18"/>
      <c r="N12" s="19"/>
      <c r="O12" s="13"/>
      <c r="P12" s="13"/>
      <c r="Q12" s="13"/>
      <c r="R12" s="20"/>
    </row>
    <row r="13" spans="1:18" ht="34.5" customHeight="1">
      <c r="A13" s="8">
        <v>1</v>
      </c>
      <c r="B13" s="203"/>
      <c r="C13" s="204"/>
      <c r="D13" s="23">
        <v>0</v>
      </c>
      <c r="E13" s="54"/>
      <c r="F13" s="54"/>
      <c r="G13" s="25"/>
      <c r="H13" s="26">
        <v>0</v>
      </c>
      <c r="I13" s="27">
        <f>H13*0.07</f>
        <v>0</v>
      </c>
      <c r="J13" s="23">
        <f>SUM(H13:I13)</f>
        <v>0</v>
      </c>
      <c r="K13" s="55">
        <v>0</v>
      </c>
      <c r="L13" s="56"/>
      <c r="M13" s="55">
        <v>0</v>
      </c>
      <c r="N13" s="31"/>
      <c r="O13" s="25"/>
      <c r="P13" s="27">
        <f>ROUND(R13*100/107,2)</f>
        <v>0</v>
      </c>
      <c r="Q13" s="27">
        <f>P13*0.07</f>
        <v>0</v>
      </c>
      <c r="R13" s="32">
        <f>D13+J13-M13</f>
        <v>0</v>
      </c>
    </row>
    <row r="14" spans="1:18" ht="29.25" customHeight="1">
      <c r="A14" s="8">
        <v>2</v>
      </c>
      <c r="B14" s="197" t="s">
        <v>21</v>
      </c>
      <c r="C14" s="198"/>
      <c r="D14" s="23">
        <v>0</v>
      </c>
      <c r="E14" s="31"/>
      <c r="F14" s="31"/>
      <c r="G14" s="25"/>
      <c r="H14" s="34">
        <v>0</v>
      </c>
      <c r="I14" s="27">
        <f>H14*0.07</f>
        <v>0</v>
      </c>
      <c r="J14" s="23">
        <f>SUM(H14:I14)</f>
        <v>0</v>
      </c>
      <c r="K14" s="58">
        <v>0</v>
      </c>
      <c r="L14" s="56"/>
      <c r="M14" s="55">
        <v>0</v>
      </c>
      <c r="N14" s="31"/>
      <c r="O14" s="25"/>
      <c r="P14" s="27">
        <f>ROUND(R14*100/107,2)</f>
        <v>0</v>
      </c>
      <c r="Q14" s="27">
        <f>P14*0.07</f>
        <v>0</v>
      </c>
      <c r="R14" s="32">
        <f>D14+J14-M14</f>
        <v>0</v>
      </c>
    </row>
    <row r="15" spans="1:18" ht="28.5" customHeight="1">
      <c r="A15" s="8">
        <f>+A14+1</f>
        <v>3</v>
      </c>
      <c r="B15" s="195"/>
      <c r="C15" s="196"/>
      <c r="D15" s="23">
        <v>0</v>
      </c>
      <c r="E15" s="24"/>
      <c r="F15" s="24"/>
      <c r="G15" s="25"/>
      <c r="H15" s="34">
        <v>0</v>
      </c>
      <c r="I15" s="27">
        <f>H15*0.07</f>
        <v>0</v>
      </c>
      <c r="J15" s="23">
        <f>SUM(H15:I15)</f>
        <v>0</v>
      </c>
      <c r="K15" s="55">
        <v>0</v>
      </c>
      <c r="L15" s="60"/>
      <c r="M15" s="55">
        <v>0</v>
      </c>
      <c r="N15" s="31"/>
      <c r="O15" s="25"/>
      <c r="P15" s="27">
        <f>ROUND(R15*100/107,2)</f>
        <v>0</v>
      </c>
      <c r="Q15" s="27">
        <f>P15*0.07</f>
        <v>0</v>
      </c>
      <c r="R15" s="32">
        <f>D15+J15-M15</f>
        <v>0</v>
      </c>
    </row>
    <row r="16" spans="1:18" ht="19.2" thickBot="1">
      <c r="A16" s="42"/>
      <c r="B16" s="191" t="s">
        <v>19</v>
      </c>
      <c r="C16" s="192"/>
      <c r="D16" s="43">
        <f>SUM(D13:D15)</f>
        <v>0</v>
      </c>
      <c r="E16" s="43"/>
      <c r="F16" s="43"/>
      <c r="G16" s="43"/>
      <c r="H16" s="43">
        <f>SUM(H13:H15)</f>
        <v>0</v>
      </c>
      <c r="I16" s="43">
        <f>SUM(I13:I15)</f>
        <v>0</v>
      </c>
      <c r="J16" s="43">
        <f>SUM(J13:J15)</f>
        <v>0</v>
      </c>
      <c r="K16" s="45"/>
      <c r="L16" s="46"/>
      <c r="M16" s="47">
        <f>SUM(M13:M15)</f>
        <v>0</v>
      </c>
      <c r="N16" s="48"/>
      <c r="O16" s="43"/>
      <c r="P16" s="49">
        <f>ROUND(R16*100/107,2)</f>
        <v>0</v>
      </c>
      <c r="Q16" s="49">
        <f>P16*0.07</f>
        <v>0</v>
      </c>
      <c r="R16" s="50">
        <f>SUM(R13:R15)</f>
        <v>0</v>
      </c>
    </row>
    <row r="17" spans="1:18" ht="19.2" thickTop="1">
      <c r="A17" s="8"/>
      <c r="B17" s="51" t="s">
        <v>23</v>
      </c>
      <c r="C17" s="52"/>
      <c r="D17" s="11"/>
      <c r="E17" s="12"/>
      <c r="F17" s="12"/>
      <c r="G17" s="13"/>
      <c r="H17" s="61"/>
      <c r="I17" s="35"/>
      <c r="J17" s="11"/>
      <c r="K17" s="16"/>
      <c r="L17" s="17"/>
      <c r="M17" s="18"/>
      <c r="N17" s="19"/>
      <c r="O17" s="13"/>
      <c r="P17" s="13"/>
      <c r="Q17" s="13"/>
      <c r="R17" s="20"/>
    </row>
    <row r="18" spans="1:18" ht="18.600000000000001">
      <c r="A18" s="8">
        <v>1</v>
      </c>
      <c r="B18" s="62"/>
      <c r="C18" s="63"/>
      <c r="D18" s="23">
        <v>0</v>
      </c>
      <c r="E18" s="24"/>
      <c r="F18" s="24"/>
      <c r="G18" s="25"/>
      <c r="H18" s="26">
        <v>0</v>
      </c>
      <c r="I18" s="27">
        <f>H18*0.07</f>
        <v>0</v>
      </c>
      <c r="J18" s="23">
        <v>0</v>
      </c>
      <c r="K18" s="28"/>
      <c r="L18" s="29"/>
      <c r="M18" s="30">
        <v>0</v>
      </c>
      <c r="N18" s="31"/>
      <c r="O18" s="25"/>
      <c r="P18" s="27">
        <f>ROUND(R18*100/107,2)</f>
        <v>0</v>
      </c>
      <c r="Q18" s="27">
        <f>P18*0.07</f>
        <v>0</v>
      </c>
      <c r="R18" s="32">
        <f>D18+J18-M18</f>
        <v>0</v>
      </c>
    </row>
    <row r="19" spans="1:18" ht="18.600000000000001">
      <c r="A19" s="8">
        <f>+A18+1</f>
        <v>2</v>
      </c>
      <c r="B19" s="64" t="s">
        <v>21</v>
      </c>
      <c r="C19" s="63"/>
      <c r="D19" s="23">
        <v>0</v>
      </c>
      <c r="E19" s="24"/>
      <c r="F19" s="24"/>
      <c r="G19" s="25"/>
      <c r="H19" s="34">
        <v>0</v>
      </c>
      <c r="I19" s="35">
        <f>H19*0.07</f>
        <v>0</v>
      </c>
      <c r="J19" s="36">
        <v>0</v>
      </c>
      <c r="K19" s="28"/>
      <c r="L19" s="29"/>
      <c r="M19" s="30">
        <v>0</v>
      </c>
      <c r="N19" s="31"/>
      <c r="O19" s="25"/>
      <c r="P19" s="27">
        <f>ROUND(R19*100/107,2)</f>
        <v>0</v>
      </c>
      <c r="Q19" s="27">
        <f>P19*0.07</f>
        <v>0</v>
      </c>
      <c r="R19" s="32">
        <f>D19+J19-M19</f>
        <v>0</v>
      </c>
    </row>
    <row r="20" spans="1:18" ht="18.600000000000001">
      <c r="A20" s="8">
        <f>+A19+1</f>
        <v>3</v>
      </c>
      <c r="B20" s="65"/>
      <c r="C20" s="63"/>
      <c r="D20" s="23">
        <v>0</v>
      </c>
      <c r="E20" s="24"/>
      <c r="F20" s="38"/>
      <c r="G20" s="39"/>
      <c r="H20" s="40">
        <f>J20*100/107</f>
        <v>0</v>
      </c>
      <c r="I20" s="40">
        <f>H20*0.07</f>
        <v>0</v>
      </c>
      <c r="J20" s="41">
        <v>0</v>
      </c>
      <c r="K20" s="28"/>
      <c r="L20" s="29"/>
      <c r="M20" s="30">
        <v>0</v>
      </c>
      <c r="N20" s="31"/>
      <c r="O20" s="25"/>
      <c r="P20" s="27">
        <f>ROUND(R20*100/107,2)</f>
        <v>0</v>
      </c>
      <c r="Q20" s="27">
        <f>P20*0.07</f>
        <v>0</v>
      </c>
      <c r="R20" s="32">
        <f>D20+J20-M20</f>
        <v>0</v>
      </c>
    </row>
    <row r="21" spans="1:18" ht="19.2" thickBot="1">
      <c r="A21" s="42"/>
      <c r="B21" s="191" t="s">
        <v>19</v>
      </c>
      <c r="C21" s="192"/>
      <c r="D21" s="43">
        <f>SUM(D18:D20)</f>
        <v>0</v>
      </c>
      <c r="E21" s="43"/>
      <c r="F21" s="43"/>
      <c r="G21" s="44"/>
      <c r="H21" s="44">
        <f>SUM(H18:H20)</f>
        <v>0</v>
      </c>
      <c r="I21" s="44">
        <f>SUM(I18:I20)</f>
        <v>0</v>
      </c>
      <c r="J21" s="44">
        <f>SUM(J18:J20)</f>
        <v>0</v>
      </c>
      <c r="K21" s="45"/>
      <c r="L21" s="46"/>
      <c r="M21" s="47">
        <f>SUM(M18:M20)</f>
        <v>0</v>
      </c>
      <c r="N21" s="48"/>
      <c r="O21" s="43"/>
      <c r="P21" s="49">
        <f>ROUND(R21*100/107,2)</f>
        <v>0</v>
      </c>
      <c r="Q21" s="49">
        <f>P21*0.07</f>
        <v>0</v>
      </c>
      <c r="R21" s="50">
        <f>SUM(R18:R20)</f>
        <v>0</v>
      </c>
    </row>
    <row r="22" spans="1:18" ht="19.2" thickTop="1">
      <c r="A22" s="8"/>
      <c r="B22" s="51" t="s">
        <v>24</v>
      </c>
      <c r="C22" s="52"/>
      <c r="D22" s="11"/>
      <c r="E22" s="12"/>
      <c r="F22" s="12"/>
      <c r="G22" s="53"/>
      <c r="H22" s="14"/>
      <c r="I22" s="15"/>
      <c r="J22" s="11"/>
      <c r="K22" s="16"/>
      <c r="L22" s="17"/>
      <c r="M22" s="18"/>
      <c r="N22" s="19"/>
      <c r="O22" s="13"/>
      <c r="P22" s="13"/>
      <c r="Q22" s="13"/>
      <c r="R22" s="20"/>
    </row>
    <row r="23" spans="1:18" ht="18.600000000000001">
      <c r="A23" s="8">
        <v>1</v>
      </c>
      <c r="B23" s="62"/>
      <c r="C23" s="63"/>
      <c r="D23" s="23"/>
      <c r="E23" s="24"/>
      <c r="F23" s="24"/>
      <c r="G23" s="25"/>
      <c r="H23" s="26">
        <v>0</v>
      </c>
      <c r="I23" s="27">
        <f>H23*0.07</f>
        <v>0</v>
      </c>
      <c r="J23" s="23">
        <v>0</v>
      </c>
      <c r="K23" s="28"/>
      <c r="L23" s="29"/>
      <c r="M23" s="30">
        <v>0</v>
      </c>
      <c r="N23" s="31"/>
      <c r="O23" s="25"/>
      <c r="P23" s="27">
        <f>ROUND(R23*100/107,2)</f>
        <v>0</v>
      </c>
      <c r="Q23" s="27">
        <f>P23*0.07</f>
        <v>0</v>
      </c>
      <c r="R23" s="32">
        <f>D23+J23-M23</f>
        <v>0</v>
      </c>
    </row>
    <row r="24" spans="1:18" ht="18.600000000000001">
      <c r="A24" s="8">
        <f>+A23+1</f>
        <v>2</v>
      </c>
      <c r="B24" s="64" t="s">
        <v>21</v>
      </c>
      <c r="C24" s="63"/>
      <c r="D24" s="23"/>
      <c r="E24" s="24"/>
      <c r="F24" s="24"/>
      <c r="G24" s="25"/>
      <c r="H24" s="26">
        <v>0</v>
      </c>
      <c r="I24" s="27">
        <f>H24*0.07</f>
        <v>0</v>
      </c>
      <c r="J24" s="23">
        <v>0</v>
      </c>
      <c r="K24" s="28"/>
      <c r="L24" s="29"/>
      <c r="M24" s="55">
        <v>0</v>
      </c>
      <c r="N24" s="31"/>
      <c r="O24" s="25"/>
      <c r="P24" s="27">
        <f>ROUND(R24*100/107,2)</f>
        <v>0</v>
      </c>
      <c r="Q24" s="27">
        <f>P24*0.07</f>
        <v>0</v>
      </c>
      <c r="R24" s="32">
        <f>D24+J24-M24</f>
        <v>0</v>
      </c>
    </row>
    <row r="25" spans="1:18" ht="18.600000000000001">
      <c r="A25" s="8">
        <f>+A24+1</f>
        <v>3</v>
      </c>
      <c r="B25" s="65"/>
      <c r="C25" s="63"/>
      <c r="D25" s="23"/>
      <c r="E25" s="24"/>
      <c r="F25" s="38"/>
      <c r="G25" s="39"/>
      <c r="H25" s="40">
        <v>0</v>
      </c>
      <c r="I25" s="40">
        <f>H25*0.07</f>
        <v>0</v>
      </c>
      <c r="J25" s="66">
        <v>0</v>
      </c>
      <c r="K25" s="28"/>
      <c r="L25" s="29"/>
      <c r="M25" s="55">
        <v>0</v>
      </c>
      <c r="N25" s="31"/>
      <c r="O25" s="25"/>
      <c r="P25" s="27">
        <f>ROUND(R25*100/107,2)</f>
        <v>0</v>
      </c>
      <c r="Q25" s="27">
        <f>P25*0.07</f>
        <v>0</v>
      </c>
      <c r="R25" s="32">
        <f>D25+J25-M25</f>
        <v>0</v>
      </c>
    </row>
    <row r="26" spans="1:18" ht="19.2" thickBot="1">
      <c r="A26" s="42"/>
      <c r="B26" s="191" t="s">
        <v>19</v>
      </c>
      <c r="C26" s="192"/>
      <c r="D26" s="43">
        <f>SUM(D23:D25)</f>
        <v>0</v>
      </c>
      <c r="E26" s="43"/>
      <c r="F26" s="43"/>
      <c r="G26" s="44"/>
      <c r="H26" s="44">
        <f>SUM(H23:H25)</f>
        <v>0</v>
      </c>
      <c r="I26" s="44">
        <f>SUM(I23:I25)</f>
        <v>0</v>
      </c>
      <c r="J26" s="44">
        <f>SUM(J23:J25)</f>
        <v>0</v>
      </c>
      <c r="K26" s="45"/>
      <c r="L26" s="46"/>
      <c r="M26" s="47">
        <f>SUM(M23:M25)</f>
        <v>0</v>
      </c>
      <c r="N26" s="48"/>
      <c r="O26" s="43"/>
      <c r="P26" s="49">
        <f>ROUND(R26*100/107,2)</f>
        <v>0</v>
      </c>
      <c r="Q26" s="49">
        <f>P26*0.07</f>
        <v>0</v>
      </c>
      <c r="R26" s="50">
        <f>SUM(R23:R25)</f>
        <v>0</v>
      </c>
    </row>
    <row r="27" spans="1:18" ht="19.2" thickTop="1">
      <c r="A27" s="8"/>
      <c r="B27" s="67"/>
      <c r="C27" s="68"/>
      <c r="D27" s="69"/>
      <c r="E27" s="70"/>
      <c r="F27" s="70"/>
      <c r="G27" s="71"/>
      <c r="H27" s="72"/>
      <c r="I27" s="73"/>
      <c r="J27" s="69"/>
      <c r="K27" s="74"/>
      <c r="L27" s="75"/>
      <c r="M27" s="76"/>
      <c r="N27" s="77"/>
      <c r="O27" s="78"/>
      <c r="P27" s="78"/>
      <c r="Q27" s="78"/>
      <c r="R27" s="79"/>
    </row>
    <row r="28" spans="1:18" ht="18.600000000000001">
      <c r="A28" s="8"/>
      <c r="B28" s="80" t="s">
        <v>25</v>
      </c>
      <c r="C28" s="68"/>
      <c r="D28" s="23"/>
      <c r="E28" s="24"/>
      <c r="F28" s="24"/>
      <c r="G28" s="25"/>
      <c r="H28" s="81"/>
      <c r="I28" s="27"/>
      <c r="J28" s="23"/>
      <c r="K28" s="28"/>
      <c r="L28" s="29"/>
      <c r="M28" s="55"/>
      <c r="N28" s="31"/>
      <c r="O28" s="25"/>
      <c r="P28" s="25"/>
      <c r="Q28" s="25"/>
      <c r="R28" s="32"/>
    </row>
    <row r="29" spans="1:18" ht="18.600000000000001">
      <c r="A29" s="8">
        <f>+A28+1</f>
        <v>1</v>
      </c>
      <c r="B29" s="195"/>
      <c r="C29" s="196"/>
      <c r="D29" s="23">
        <v>0</v>
      </c>
      <c r="E29" s="24"/>
      <c r="F29" s="24"/>
      <c r="G29" s="25"/>
      <c r="H29" s="34">
        <v>0</v>
      </c>
      <c r="I29" s="27">
        <f>H29*0.07</f>
        <v>0</v>
      </c>
      <c r="J29" s="36">
        <v>0</v>
      </c>
      <c r="K29" s="82"/>
      <c r="L29" s="83"/>
      <c r="M29" s="30">
        <v>0</v>
      </c>
      <c r="N29" s="31"/>
      <c r="O29" s="25"/>
      <c r="P29" s="27">
        <f>ROUND(R29*100/107,2)</f>
        <v>0</v>
      </c>
      <c r="Q29" s="27">
        <f>P29*0.07</f>
        <v>0</v>
      </c>
      <c r="R29" s="32">
        <f>D29+J29-M29</f>
        <v>0</v>
      </c>
    </row>
    <row r="30" spans="1:18" ht="18.600000000000001">
      <c r="A30" s="8">
        <v>2</v>
      </c>
      <c r="B30" s="57" t="s">
        <v>21</v>
      </c>
      <c r="C30" s="59"/>
      <c r="D30" s="23">
        <v>0</v>
      </c>
      <c r="E30" s="24"/>
      <c r="F30" s="38"/>
      <c r="G30" s="84"/>
      <c r="H30" s="34">
        <v>0</v>
      </c>
      <c r="I30" s="85">
        <v>0</v>
      </c>
      <c r="J30" s="86">
        <v>0</v>
      </c>
      <c r="K30" s="82"/>
      <c r="L30" s="83"/>
      <c r="M30" s="30"/>
      <c r="N30" s="31"/>
      <c r="O30" s="25"/>
      <c r="P30" s="27">
        <f>ROUND(R30*100/107,2)</f>
        <v>0</v>
      </c>
      <c r="Q30" s="27">
        <f>P30*0.07</f>
        <v>0</v>
      </c>
      <c r="R30" s="32">
        <f>D30+J30-M30</f>
        <v>0</v>
      </c>
    </row>
    <row r="31" spans="1:18" ht="18.600000000000001">
      <c r="A31" s="8">
        <v>3</v>
      </c>
      <c r="B31" s="195"/>
      <c r="C31" s="196"/>
      <c r="D31" s="23">
        <v>0</v>
      </c>
      <c r="E31" s="24"/>
      <c r="F31" s="38"/>
      <c r="G31" s="39"/>
      <c r="H31" s="40">
        <f>J31*100/107</f>
        <v>0</v>
      </c>
      <c r="I31" s="40">
        <f>H31*0.07</f>
        <v>0</v>
      </c>
      <c r="J31" s="41">
        <v>0</v>
      </c>
      <c r="K31" s="82"/>
      <c r="L31" s="83"/>
      <c r="M31" s="30">
        <v>0</v>
      </c>
      <c r="N31" s="31"/>
      <c r="O31" s="25"/>
      <c r="P31" s="27">
        <f>ROUND(R31*100/107,2)</f>
        <v>0</v>
      </c>
      <c r="Q31" s="27">
        <f>P31*0.07</f>
        <v>0</v>
      </c>
      <c r="R31" s="32">
        <f>D31+J31-M31</f>
        <v>0</v>
      </c>
    </row>
    <row r="32" spans="1:18" ht="19.2" thickBot="1">
      <c r="A32" s="42"/>
      <c r="B32" s="191" t="s">
        <v>19</v>
      </c>
      <c r="C32" s="192"/>
      <c r="D32" s="43">
        <f>SUM(D28:D31)</f>
        <v>0</v>
      </c>
      <c r="E32" s="43"/>
      <c r="F32" s="43"/>
      <c r="G32" s="44"/>
      <c r="H32" s="44">
        <f>SUM(H28:H31)</f>
        <v>0</v>
      </c>
      <c r="I32" s="44">
        <f>SUM(I28:I31)</f>
        <v>0</v>
      </c>
      <c r="J32" s="44">
        <f>SUM(J28:J31)</f>
        <v>0</v>
      </c>
      <c r="K32" s="45"/>
      <c r="L32" s="46"/>
      <c r="M32" s="47">
        <f>SUM(M28:M31)</f>
        <v>0</v>
      </c>
      <c r="N32" s="48"/>
      <c r="O32" s="43"/>
      <c r="P32" s="49">
        <f>ROUND(R32*100/107,2)</f>
        <v>0</v>
      </c>
      <c r="Q32" s="49">
        <f>P32*0.07</f>
        <v>0</v>
      </c>
      <c r="R32" s="50">
        <f>SUM(R28:R31)</f>
        <v>0</v>
      </c>
    </row>
    <row r="33" spans="1:18" ht="19.2" thickTop="1">
      <c r="A33" s="8"/>
      <c r="B33" s="51" t="s">
        <v>26</v>
      </c>
      <c r="C33" s="52"/>
      <c r="D33" s="11"/>
      <c r="E33" s="12"/>
      <c r="F33" s="12"/>
      <c r="G33" s="53"/>
      <c r="H33" s="14"/>
      <c r="I33" s="15"/>
      <c r="J33" s="11"/>
      <c r="K33" s="16"/>
      <c r="L33" s="17"/>
      <c r="M33" s="18"/>
      <c r="N33" s="19"/>
      <c r="O33" s="13"/>
      <c r="P33" s="13"/>
      <c r="Q33" s="13"/>
      <c r="R33" s="20"/>
    </row>
    <row r="34" spans="1:18" ht="18.600000000000001">
      <c r="A34" s="8">
        <v>1</v>
      </c>
      <c r="B34" s="33" t="s">
        <v>21</v>
      </c>
      <c r="C34" s="87"/>
      <c r="D34" s="23">
        <v>0</v>
      </c>
      <c r="E34" s="24"/>
      <c r="F34" s="24"/>
      <c r="G34" s="25"/>
      <c r="H34" s="27">
        <v>0</v>
      </c>
      <c r="I34" s="27">
        <f>H34*0.07</f>
        <v>0</v>
      </c>
      <c r="J34" s="36">
        <v>0</v>
      </c>
      <c r="K34" s="28"/>
      <c r="L34" s="29"/>
      <c r="M34" s="30">
        <v>0</v>
      </c>
      <c r="N34" s="31"/>
      <c r="O34" s="25"/>
      <c r="P34" s="27">
        <f>ROUND(R34*100/107,2)</f>
        <v>0</v>
      </c>
      <c r="Q34" s="27">
        <f>P34*0.07</f>
        <v>0</v>
      </c>
      <c r="R34" s="32">
        <f>D34+J34-M34</f>
        <v>0</v>
      </c>
    </row>
    <row r="35" spans="1:18" ht="18.600000000000001">
      <c r="A35" s="8">
        <v>2</v>
      </c>
      <c r="B35" s="33"/>
      <c r="C35" s="87"/>
      <c r="D35" s="23"/>
      <c r="E35" s="24"/>
      <c r="F35" s="38"/>
      <c r="G35" s="84"/>
      <c r="H35" s="34"/>
      <c r="I35" s="34"/>
      <c r="J35" s="86"/>
      <c r="K35" s="28"/>
      <c r="L35" s="29"/>
      <c r="M35" s="30"/>
      <c r="N35" s="31"/>
      <c r="O35" s="25"/>
      <c r="P35" s="27"/>
      <c r="Q35" s="27"/>
      <c r="R35" s="32"/>
    </row>
    <row r="36" spans="1:18" ht="18.600000000000001">
      <c r="A36" s="8">
        <v>3</v>
      </c>
      <c r="B36" s="37"/>
      <c r="C36" s="22"/>
      <c r="D36" s="23">
        <v>0</v>
      </c>
      <c r="E36" s="24"/>
      <c r="F36" s="38"/>
      <c r="G36" s="39"/>
      <c r="H36" s="40">
        <f>J36*100/107</f>
        <v>0</v>
      </c>
      <c r="I36" s="40">
        <f>H36*0.07</f>
        <v>0</v>
      </c>
      <c r="J36" s="41">
        <v>0</v>
      </c>
      <c r="K36" s="28"/>
      <c r="L36" s="29"/>
      <c r="M36" s="30">
        <v>0</v>
      </c>
      <c r="N36" s="31"/>
      <c r="O36" s="25"/>
      <c r="P36" s="27">
        <f>ROUND(R36*100/107,2)</f>
        <v>0</v>
      </c>
      <c r="Q36" s="27">
        <f>P36*0.07</f>
        <v>0</v>
      </c>
      <c r="R36" s="32">
        <f>D36+J36-M36</f>
        <v>0</v>
      </c>
    </row>
    <row r="37" spans="1:18" ht="19.2" thickBot="1">
      <c r="A37" s="42"/>
      <c r="B37" s="191" t="s">
        <v>19</v>
      </c>
      <c r="C37" s="192"/>
      <c r="D37" s="43">
        <f>SUM(D34:D36)</f>
        <v>0</v>
      </c>
      <c r="E37" s="43"/>
      <c r="F37" s="43"/>
      <c r="G37" s="44"/>
      <c r="H37" s="44">
        <f>SUM(H34:H36)</f>
        <v>0</v>
      </c>
      <c r="I37" s="44">
        <f>SUM(I34:I36)</f>
        <v>0</v>
      </c>
      <c r="J37" s="44">
        <f>SUM(J34:J36)</f>
        <v>0</v>
      </c>
      <c r="K37" s="45"/>
      <c r="L37" s="46"/>
      <c r="M37" s="47">
        <f>SUM(M34:M36)</f>
        <v>0</v>
      </c>
      <c r="N37" s="48"/>
      <c r="O37" s="43"/>
      <c r="P37" s="49">
        <f>ROUND(R37*100/107,2)</f>
        <v>0</v>
      </c>
      <c r="Q37" s="49">
        <f>P37*0.07</f>
        <v>0</v>
      </c>
      <c r="R37" s="50">
        <f>SUM(R34:R36)</f>
        <v>0</v>
      </c>
    </row>
    <row r="38" spans="1:18" ht="19.2" thickTop="1">
      <c r="A38" s="42"/>
      <c r="B38" s="88" t="s">
        <v>27</v>
      </c>
      <c r="C38" s="52"/>
      <c r="D38" s="11"/>
      <c r="E38" s="12"/>
      <c r="F38" s="12"/>
      <c r="G38" s="13"/>
      <c r="H38" s="13"/>
      <c r="I38" s="13"/>
      <c r="J38" s="11"/>
      <c r="K38" s="16"/>
      <c r="L38" s="17"/>
      <c r="M38" s="18"/>
      <c r="N38" s="19"/>
      <c r="O38" s="13"/>
      <c r="P38" s="13"/>
      <c r="Q38" s="13"/>
      <c r="R38" s="89"/>
    </row>
    <row r="39" spans="1:18" ht="30.75" customHeight="1">
      <c r="A39" s="42">
        <v>1</v>
      </c>
      <c r="B39" s="195"/>
      <c r="C39" s="196"/>
      <c r="D39" s="23">
        <v>0</v>
      </c>
      <c r="E39" s="31"/>
      <c r="F39" s="31"/>
      <c r="G39" s="25"/>
      <c r="H39" s="90">
        <v>0</v>
      </c>
      <c r="I39" s="27">
        <f>H39*0.07</f>
        <v>0</v>
      </c>
      <c r="J39" s="23">
        <f>SUM(H39:I39)</f>
        <v>0</v>
      </c>
      <c r="K39" s="56"/>
      <c r="L39" s="91"/>
      <c r="M39" s="55">
        <v>0</v>
      </c>
      <c r="N39" s="31"/>
      <c r="O39" s="25"/>
      <c r="P39" s="27">
        <f>ROUND(R39*100/107,2)</f>
        <v>0</v>
      </c>
      <c r="Q39" s="27">
        <f>P39*0.07</f>
        <v>0</v>
      </c>
      <c r="R39" s="92">
        <f>D39+J39-M39</f>
        <v>0</v>
      </c>
    </row>
    <row r="40" spans="1:18" ht="30" customHeight="1">
      <c r="A40" s="8">
        <v>2</v>
      </c>
      <c r="B40" s="197" t="s">
        <v>21</v>
      </c>
      <c r="C40" s="198"/>
      <c r="D40" s="23">
        <v>0</v>
      </c>
      <c r="E40" s="31"/>
      <c r="F40" s="31"/>
      <c r="G40" s="25"/>
      <c r="H40" s="34">
        <v>0</v>
      </c>
      <c r="I40" s="27">
        <f>H40*0.07</f>
        <v>0</v>
      </c>
      <c r="J40" s="23">
        <f>SUM(H40:I40)</f>
        <v>0</v>
      </c>
      <c r="K40" s="56"/>
      <c r="L40" s="56"/>
      <c r="M40" s="55">
        <v>0</v>
      </c>
      <c r="N40" s="31"/>
      <c r="O40" s="25"/>
      <c r="P40" s="27">
        <f>ROUND(R40*100/107,2)</f>
        <v>0</v>
      </c>
      <c r="Q40" s="27">
        <f>P40*0.07</f>
        <v>0</v>
      </c>
      <c r="R40" s="32">
        <f>D40+J40-M40</f>
        <v>0</v>
      </c>
    </row>
    <row r="41" spans="1:18" ht="27" customHeight="1">
      <c r="A41" s="42">
        <v>3</v>
      </c>
      <c r="B41" s="203"/>
      <c r="C41" s="204"/>
      <c r="D41" s="23">
        <v>0</v>
      </c>
      <c r="E41" s="31"/>
      <c r="F41" s="31"/>
      <c r="G41" s="25"/>
      <c r="H41" s="90">
        <v>0</v>
      </c>
      <c r="I41" s="27">
        <f>H41*0.07</f>
        <v>0</v>
      </c>
      <c r="J41" s="23">
        <f>SUM(H41:I41)</f>
        <v>0</v>
      </c>
      <c r="K41" s="56"/>
      <c r="L41" s="56"/>
      <c r="M41" s="55">
        <v>0</v>
      </c>
      <c r="N41" s="31"/>
      <c r="O41" s="25"/>
      <c r="P41" s="27">
        <f>ROUND(R41*100/107,2)</f>
        <v>0</v>
      </c>
      <c r="Q41" s="27">
        <f>P41*0.07</f>
        <v>0</v>
      </c>
      <c r="R41" s="92">
        <f>D41+J41-M41</f>
        <v>0</v>
      </c>
    </row>
    <row r="42" spans="1:18" ht="19.2" thickBot="1">
      <c r="A42" s="93"/>
      <c r="B42" s="191" t="s">
        <v>19</v>
      </c>
      <c r="C42" s="192"/>
      <c r="D42" s="43">
        <f>SUM(D39:D41)</f>
        <v>0</v>
      </c>
      <c r="E42" s="43"/>
      <c r="F42" s="43"/>
      <c r="G42" s="43"/>
      <c r="H42" s="43">
        <f>SUM(H39:H41)</f>
        <v>0</v>
      </c>
      <c r="I42" s="43">
        <f>SUM(I39:I41)</f>
        <v>0</v>
      </c>
      <c r="J42" s="43">
        <f>SUM(J39:J41)</f>
        <v>0</v>
      </c>
      <c r="K42" s="45"/>
      <c r="L42" s="46"/>
      <c r="M42" s="47">
        <f>SUM(M39:M41)</f>
        <v>0</v>
      </c>
      <c r="N42" s="48"/>
      <c r="O42" s="43"/>
      <c r="P42" s="43">
        <f>SUM(P39:P41)</f>
        <v>0</v>
      </c>
      <c r="Q42" s="43">
        <f>SUM(Q39:Q41)</f>
        <v>0</v>
      </c>
      <c r="R42" s="43">
        <f>SUM(R39:R41)</f>
        <v>0</v>
      </c>
    </row>
    <row r="43" spans="1:18" ht="19.2" thickTop="1">
      <c r="A43" s="8"/>
      <c r="B43" s="51" t="s">
        <v>28</v>
      </c>
      <c r="C43" s="94"/>
      <c r="D43" s="11"/>
      <c r="E43" s="12"/>
      <c r="F43" s="12"/>
      <c r="G43" s="53"/>
      <c r="H43" s="14"/>
      <c r="I43" s="15"/>
      <c r="J43" s="11"/>
      <c r="K43" s="16"/>
      <c r="L43" s="17"/>
      <c r="M43" s="18"/>
      <c r="N43" s="19"/>
      <c r="O43" s="13"/>
      <c r="P43" s="13"/>
      <c r="Q43" s="13"/>
      <c r="R43" s="20"/>
    </row>
    <row r="44" spans="1:18" ht="18.600000000000001">
      <c r="A44" s="8">
        <v>1</v>
      </c>
      <c r="B44" s="62"/>
      <c r="C44" s="63"/>
      <c r="D44" s="23">
        <v>0</v>
      </c>
      <c r="E44" s="24"/>
      <c r="F44" s="24"/>
      <c r="G44" s="25"/>
      <c r="H44" s="26">
        <v>0</v>
      </c>
      <c r="I44" s="27">
        <f>H44*0.07</f>
        <v>0</v>
      </c>
      <c r="J44" s="23">
        <v>0</v>
      </c>
      <c r="K44" s="28"/>
      <c r="L44" s="29"/>
      <c r="M44" s="30">
        <v>0</v>
      </c>
      <c r="N44" s="31"/>
      <c r="O44" s="25"/>
      <c r="P44" s="27">
        <f>ROUND(R44*100/107,2)</f>
        <v>0</v>
      </c>
      <c r="Q44" s="27">
        <f>P44*0.07</f>
        <v>0</v>
      </c>
      <c r="R44" s="32">
        <f>D44+J44-M44</f>
        <v>0</v>
      </c>
    </row>
    <row r="45" spans="1:18" ht="18.600000000000001">
      <c r="A45" s="8">
        <f>+A44+1</f>
        <v>2</v>
      </c>
      <c r="B45" s="64" t="s">
        <v>21</v>
      </c>
      <c r="C45" s="63"/>
      <c r="D45" s="23">
        <v>0</v>
      </c>
      <c r="E45" s="24"/>
      <c r="F45" s="24"/>
      <c r="G45" s="25"/>
      <c r="H45" s="27">
        <v>0</v>
      </c>
      <c r="I45" s="27">
        <f>H45*0.07</f>
        <v>0</v>
      </c>
      <c r="J45" s="36">
        <v>0</v>
      </c>
      <c r="K45" s="28"/>
      <c r="L45" s="29"/>
      <c r="M45" s="30">
        <v>0</v>
      </c>
      <c r="N45" s="31"/>
      <c r="O45" s="25"/>
      <c r="P45" s="27">
        <f>ROUND(R45*100/107,2)</f>
        <v>0</v>
      </c>
      <c r="Q45" s="27">
        <f>P45*0.07</f>
        <v>0</v>
      </c>
      <c r="R45" s="32">
        <f>D45+J45-M45</f>
        <v>0</v>
      </c>
    </row>
    <row r="46" spans="1:18" ht="18.600000000000001">
      <c r="A46" s="8">
        <f>+A45+1</f>
        <v>3</v>
      </c>
      <c r="B46" s="65"/>
      <c r="C46" s="63"/>
      <c r="D46" s="23">
        <v>0</v>
      </c>
      <c r="E46" s="24"/>
      <c r="F46" s="38"/>
      <c r="G46" s="39"/>
      <c r="H46" s="40">
        <f>J46*100/107</f>
        <v>0</v>
      </c>
      <c r="I46" s="40">
        <f>H46*0.07</f>
        <v>0</v>
      </c>
      <c r="J46" s="41">
        <v>0</v>
      </c>
      <c r="K46" s="28"/>
      <c r="L46" s="29"/>
      <c r="M46" s="30">
        <v>0</v>
      </c>
      <c r="N46" s="31"/>
      <c r="O46" s="25"/>
      <c r="P46" s="27">
        <f>ROUND(R46*100/107,2)</f>
        <v>0</v>
      </c>
      <c r="Q46" s="27">
        <f>P46*0.07</f>
        <v>0</v>
      </c>
      <c r="R46" s="32">
        <f>D46+J46-M46</f>
        <v>0</v>
      </c>
    </row>
    <row r="47" spans="1:18" ht="19.2" thickBot="1">
      <c r="A47" s="42"/>
      <c r="B47" s="191" t="s">
        <v>19</v>
      </c>
      <c r="C47" s="192"/>
      <c r="D47" s="43">
        <f>SUM(D44:D46)</f>
        <v>0</v>
      </c>
      <c r="E47" s="43"/>
      <c r="F47" s="43"/>
      <c r="G47" s="44"/>
      <c r="H47" s="44">
        <f>SUM(H44:H46)</f>
        <v>0</v>
      </c>
      <c r="I47" s="44">
        <f>SUM(I44:I46)</f>
        <v>0</v>
      </c>
      <c r="J47" s="44">
        <f>SUM(J44:J46)</f>
        <v>0</v>
      </c>
      <c r="K47" s="45"/>
      <c r="L47" s="46"/>
      <c r="M47" s="47">
        <f>SUM(M44:M46)</f>
        <v>0</v>
      </c>
      <c r="N47" s="48"/>
      <c r="O47" s="43"/>
      <c r="P47" s="49">
        <f>ROUND(R47*100/107,2)</f>
        <v>0</v>
      </c>
      <c r="Q47" s="49">
        <f>P47*0.07</f>
        <v>0</v>
      </c>
      <c r="R47" s="50">
        <f>SUM(R44:R46)</f>
        <v>0</v>
      </c>
    </row>
    <row r="48" spans="1:18" ht="19.2" thickTop="1">
      <c r="A48" s="8"/>
      <c r="B48" s="67" t="s">
        <v>29</v>
      </c>
      <c r="C48" s="68"/>
      <c r="D48" s="69"/>
      <c r="E48" s="70"/>
      <c r="F48" s="70"/>
      <c r="G48" s="71"/>
      <c r="H48" s="72"/>
      <c r="I48" s="73"/>
      <c r="J48" s="69"/>
      <c r="K48" s="74"/>
      <c r="L48" s="75"/>
      <c r="M48" s="76"/>
      <c r="N48" s="77"/>
      <c r="O48" s="78"/>
      <c r="P48" s="78"/>
      <c r="Q48" s="78"/>
      <c r="R48" s="79"/>
    </row>
    <row r="49" spans="1:18" ht="18.600000000000001">
      <c r="A49" s="8">
        <v>1</v>
      </c>
      <c r="B49" s="62"/>
      <c r="C49" s="63"/>
      <c r="D49" s="23">
        <v>0</v>
      </c>
      <c r="E49" s="24"/>
      <c r="F49" s="24"/>
      <c r="G49" s="25"/>
      <c r="H49" s="26">
        <v>0</v>
      </c>
      <c r="I49" s="27">
        <f>H49*0.07</f>
        <v>0</v>
      </c>
      <c r="J49" s="23">
        <v>0</v>
      </c>
      <c r="K49" s="28"/>
      <c r="L49" s="29"/>
      <c r="M49" s="30">
        <v>0</v>
      </c>
      <c r="N49" s="31"/>
      <c r="O49" s="25"/>
      <c r="P49" s="27">
        <f>ROUND(R49*100/107,2)</f>
        <v>0</v>
      </c>
      <c r="Q49" s="27">
        <f>P49*0.07</f>
        <v>0</v>
      </c>
      <c r="R49" s="32">
        <f>D49+J49-M49</f>
        <v>0</v>
      </c>
    </row>
    <row r="50" spans="1:18" ht="18.600000000000001">
      <c r="A50" s="8">
        <f>+A49+1</f>
        <v>2</v>
      </c>
      <c r="B50" s="64" t="s">
        <v>21</v>
      </c>
      <c r="C50" s="63"/>
      <c r="D50" s="23">
        <v>0</v>
      </c>
      <c r="E50" s="24"/>
      <c r="F50" s="24"/>
      <c r="G50" s="25"/>
      <c r="H50" s="27">
        <v>0</v>
      </c>
      <c r="I50" s="27">
        <f>H50*0.07</f>
        <v>0</v>
      </c>
      <c r="J50" s="36">
        <v>0</v>
      </c>
      <c r="K50" s="28"/>
      <c r="L50" s="29"/>
      <c r="M50" s="30">
        <v>0</v>
      </c>
      <c r="N50" s="31"/>
      <c r="O50" s="25"/>
      <c r="P50" s="27">
        <f>ROUND(R50*100/107,2)</f>
        <v>0</v>
      </c>
      <c r="Q50" s="27">
        <f>P50*0.07</f>
        <v>0</v>
      </c>
      <c r="R50" s="32">
        <f>D50+J50-M50</f>
        <v>0</v>
      </c>
    </row>
    <row r="51" spans="1:18" ht="18.600000000000001">
      <c r="A51" s="8">
        <f>+A50+1</f>
        <v>3</v>
      </c>
      <c r="B51" s="65"/>
      <c r="C51" s="63"/>
      <c r="D51" s="23">
        <v>0</v>
      </c>
      <c r="E51" s="24"/>
      <c r="F51" s="38"/>
      <c r="G51" s="39"/>
      <c r="H51" s="40">
        <f>J51*100/107</f>
        <v>0</v>
      </c>
      <c r="I51" s="40">
        <f>H51*0.07</f>
        <v>0</v>
      </c>
      <c r="J51" s="41">
        <v>0</v>
      </c>
      <c r="K51" s="28"/>
      <c r="L51" s="29"/>
      <c r="M51" s="30">
        <v>0</v>
      </c>
      <c r="N51" s="31"/>
      <c r="O51" s="25"/>
      <c r="P51" s="27">
        <f>ROUND(R51*100/107,2)</f>
        <v>0</v>
      </c>
      <c r="Q51" s="27">
        <f>P51*0.07</f>
        <v>0</v>
      </c>
      <c r="R51" s="32">
        <f>D51+J51-M51</f>
        <v>0</v>
      </c>
    </row>
    <row r="52" spans="1:18" ht="19.2" thickBot="1">
      <c r="A52" s="42"/>
      <c r="B52" s="191" t="s">
        <v>19</v>
      </c>
      <c r="C52" s="192"/>
      <c r="D52" s="43">
        <f>SUM(D49:D51)</f>
        <v>0</v>
      </c>
      <c r="E52" s="43"/>
      <c r="F52" s="43"/>
      <c r="G52" s="44"/>
      <c r="H52" s="44">
        <f>SUM(H49:H51)</f>
        <v>0</v>
      </c>
      <c r="I52" s="44">
        <f>SUM(I49:I51)</f>
        <v>0</v>
      </c>
      <c r="J52" s="44">
        <f>SUM(J49:J51)</f>
        <v>0</v>
      </c>
      <c r="K52" s="45"/>
      <c r="L52" s="46"/>
      <c r="M52" s="47">
        <f>SUM(M49:M51)</f>
        <v>0</v>
      </c>
      <c r="N52" s="48"/>
      <c r="O52" s="43"/>
      <c r="P52" s="49">
        <f>ROUND(R52*100/107,2)</f>
        <v>0</v>
      </c>
      <c r="Q52" s="49">
        <f>P52*0.07</f>
        <v>0</v>
      </c>
      <c r="R52" s="50">
        <f>SUM(R49:R51)</f>
        <v>0</v>
      </c>
    </row>
    <row r="53" spans="1:18" ht="19.2" thickTop="1">
      <c r="A53" s="8"/>
      <c r="B53" s="51" t="s">
        <v>30</v>
      </c>
      <c r="C53" s="52"/>
      <c r="D53" s="11"/>
      <c r="E53" s="12"/>
      <c r="F53" s="12"/>
      <c r="G53" s="53"/>
      <c r="H53" s="14"/>
      <c r="I53" s="15"/>
      <c r="J53" s="11"/>
      <c r="K53" s="16"/>
      <c r="L53" s="17"/>
      <c r="M53" s="18"/>
      <c r="N53" s="19"/>
      <c r="O53" s="13"/>
      <c r="P53" s="13"/>
      <c r="Q53" s="13"/>
      <c r="R53" s="20"/>
    </row>
    <row r="54" spans="1:18" ht="18.600000000000001">
      <c r="A54" s="8">
        <v>1</v>
      </c>
      <c r="B54" s="62"/>
      <c r="C54" s="63"/>
      <c r="D54" s="23">
        <v>0</v>
      </c>
      <c r="E54" s="24"/>
      <c r="F54" s="24"/>
      <c r="G54" s="25"/>
      <c r="H54" s="26">
        <v>0</v>
      </c>
      <c r="I54" s="27">
        <f>H54*0.07</f>
        <v>0</v>
      </c>
      <c r="J54" s="23">
        <v>0</v>
      </c>
      <c r="K54" s="28"/>
      <c r="L54" s="29"/>
      <c r="M54" s="30">
        <v>0</v>
      </c>
      <c r="N54" s="31"/>
      <c r="O54" s="25"/>
      <c r="P54" s="27">
        <f>ROUND(R54*100/107,2)</f>
        <v>0</v>
      </c>
      <c r="Q54" s="27">
        <f>P54*0.07</f>
        <v>0</v>
      </c>
      <c r="R54" s="32">
        <f>D54+J54-M54</f>
        <v>0</v>
      </c>
    </row>
    <row r="55" spans="1:18" ht="18.600000000000001">
      <c r="A55" s="8">
        <f>+A54+1</f>
        <v>2</v>
      </c>
      <c r="B55" s="64" t="s">
        <v>21</v>
      </c>
      <c r="C55" s="63"/>
      <c r="D55" s="23">
        <v>0</v>
      </c>
      <c r="E55" s="24"/>
      <c r="F55" s="24"/>
      <c r="G55" s="25"/>
      <c r="H55" s="27">
        <v>0</v>
      </c>
      <c r="I55" s="27">
        <f>H55*0.07</f>
        <v>0</v>
      </c>
      <c r="J55" s="36">
        <v>0</v>
      </c>
      <c r="K55" s="28"/>
      <c r="L55" s="29"/>
      <c r="M55" s="30">
        <v>0</v>
      </c>
      <c r="N55" s="31"/>
      <c r="O55" s="25"/>
      <c r="P55" s="27">
        <f>ROUND(R55*100/107,2)</f>
        <v>0</v>
      </c>
      <c r="Q55" s="27">
        <f>P55*0.07</f>
        <v>0</v>
      </c>
      <c r="R55" s="32">
        <f>D55+J55-M55</f>
        <v>0</v>
      </c>
    </row>
    <row r="56" spans="1:18" ht="18.600000000000001">
      <c r="A56" s="8">
        <f>+A55+1</f>
        <v>3</v>
      </c>
      <c r="B56" s="65"/>
      <c r="C56" s="63"/>
      <c r="D56" s="23">
        <v>0</v>
      </c>
      <c r="E56" s="24"/>
      <c r="F56" s="38"/>
      <c r="G56" s="39"/>
      <c r="H56" s="40">
        <f>J56*100/107</f>
        <v>0</v>
      </c>
      <c r="I56" s="40">
        <f>H56*0.07</f>
        <v>0</v>
      </c>
      <c r="J56" s="41">
        <v>0</v>
      </c>
      <c r="K56" s="28"/>
      <c r="L56" s="29"/>
      <c r="M56" s="30">
        <v>0</v>
      </c>
      <c r="N56" s="31"/>
      <c r="O56" s="25"/>
      <c r="P56" s="27">
        <f>ROUND(R56*100/107,2)</f>
        <v>0</v>
      </c>
      <c r="Q56" s="27">
        <f>P56*0.07</f>
        <v>0</v>
      </c>
      <c r="R56" s="32">
        <f>D56+J56-M56</f>
        <v>0</v>
      </c>
    </row>
    <row r="57" spans="1:18" ht="19.2" thickBot="1">
      <c r="A57" s="42"/>
      <c r="B57" s="191" t="s">
        <v>19</v>
      </c>
      <c r="C57" s="192"/>
      <c r="D57" s="43">
        <f>SUM(D54:D56)</f>
        <v>0</v>
      </c>
      <c r="E57" s="43"/>
      <c r="F57" s="43"/>
      <c r="G57" s="44"/>
      <c r="H57" s="44">
        <f>SUM(H54:H56)</f>
        <v>0</v>
      </c>
      <c r="I57" s="44">
        <f>SUM(I54:I56)</f>
        <v>0</v>
      </c>
      <c r="J57" s="44">
        <f>SUM(J54:J56)</f>
        <v>0</v>
      </c>
      <c r="K57" s="45"/>
      <c r="L57" s="46"/>
      <c r="M57" s="47">
        <f>SUM(M54:M56)</f>
        <v>0</v>
      </c>
      <c r="N57" s="48"/>
      <c r="O57" s="43"/>
      <c r="P57" s="49">
        <f>ROUND(R57*100/107,2)</f>
        <v>0</v>
      </c>
      <c r="Q57" s="49">
        <f>P57*0.07</f>
        <v>0</v>
      </c>
      <c r="R57" s="50">
        <f>SUM(R54:R56)</f>
        <v>0</v>
      </c>
    </row>
    <row r="58" spans="1:18" ht="19.2" thickTop="1">
      <c r="A58" s="8"/>
      <c r="B58" s="95" t="s">
        <v>31</v>
      </c>
      <c r="C58" s="68"/>
      <c r="D58" s="69"/>
      <c r="E58" s="70"/>
      <c r="F58" s="70"/>
      <c r="G58" s="78"/>
      <c r="H58" s="78"/>
      <c r="I58" s="78"/>
      <c r="J58" s="69"/>
      <c r="K58" s="74"/>
      <c r="L58" s="75"/>
      <c r="M58" s="76"/>
      <c r="N58" s="77"/>
      <c r="O58" s="78"/>
      <c r="P58" s="78"/>
      <c r="Q58" s="78"/>
      <c r="R58" s="96"/>
    </row>
    <row r="59" spans="1:18" ht="18.600000000000001">
      <c r="A59" s="42">
        <v>1</v>
      </c>
      <c r="B59" s="97" t="s">
        <v>32</v>
      </c>
      <c r="C59" s="98" t="s">
        <v>33</v>
      </c>
      <c r="D59" s="98">
        <v>0</v>
      </c>
      <c r="E59" s="24" t="s">
        <v>34</v>
      </c>
      <c r="F59" s="24"/>
      <c r="G59" s="25"/>
      <c r="H59" s="27">
        <v>322273.98</v>
      </c>
      <c r="I59" s="81">
        <v>0</v>
      </c>
      <c r="J59" s="23">
        <f>SUM(H59:I59)</f>
        <v>322273.98</v>
      </c>
      <c r="K59" s="28"/>
      <c r="L59" s="29"/>
      <c r="M59" s="55">
        <v>0</v>
      </c>
      <c r="N59" s="24" t="s">
        <v>34</v>
      </c>
      <c r="O59" s="25"/>
      <c r="P59" s="27">
        <f>+D59+H59-M59</f>
        <v>322273.98</v>
      </c>
      <c r="Q59" s="27">
        <v>0</v>
      </c>
      <c r="R59" s="99">
        <f>D59+J59-M59</f>
        <v>322273.98</v>
      </c>
    </row>
    <row r="60" spans="1:18" ht="18.600000000000001">
      <c r="A60" s="42"/>
      <c r="B60" s="100" t="s">
        <v>35</v>
      </c>
      <c r="C60" s="98" t="s">
        <v>36</v>
      </c>
      <c r="D60" s="98"/>
      <c r="E60" s="24"/>
      <c r="F60" s="24"/>
      <c r="G60" s="25"/>
      <c r="H60" s="25"/>
      <c r="I60" s="25"/>
      <c r="J60" s="23"/>
      <c r="K60" s="28"/>
      <c r="L60" s="29"/>
      <c r="M60" s="55"/>
      <c r="N60" s="31"/>
      <c r="O60" s="25"/>
      <c r="P60" s="27"/>
      <c r="Q60" s="27"/>
      <c r="R60" s="99"/>
    </row>
    <row r="61" spans="1:18" ht="18.600000000000001">
      <c r="A61" s="42"/>
      <c r="B61" s="100" t="s">
        <v>37</v>
      </c>
      <c r="C61" s="101"/>
      <c r="D61" s="23"/>
      <c r="E61" s="24"/>
      <c r="F61" s="24"/>
      <c r="G61" s="25"/>
      <c r="H61" s="25"/>
      <c r="I61" s="25"/>
      <c r="J61" s="23"/>
      <c r="K61" s="28"/>
      <c r="L61" s="29"/>
      <c r="M61" s="55"/>
      <c r="N61" s="31"/>
      <c r="O61" s="25"/>
      <c r="P61" s="27"/>
      <c r="Q61" s="27"/>
      <c r="R61" s="99"/>
    </row>
    <row r="62" spans="1:18" ht="18.600000000000001">
      <c r="A62" s="42"/>
      <c r="B62" s="100" t="s">
        <v>38</v>
      </c>
      <c r="C62" s="101"/>
      <c r="D62" s="23"/>
      <c r="E62" s="24"/>
      <c r="F62" s="24"/>
      <c r="G62" s="25"/>
      <c r="H62" s="25"/>
      <c r="I62" s="25"/>
      <c r="J62" s="23"/>
      <c r="K62" s="28"/>
      <c r="L62" s="29"/>
      <c r="M62" s="55"/>
      <c r="N62" s="31"/>
      <c r="O62" s="25"/>
      <c r="P62" s="27"/>
      <c r="Q62" s="27"/>
      <c r="R62" s="99"/>
    </row>
    <row r="63" spans="1:18" ht="18.600000000000001">
      <c r="A63" s="8">
        <f>+A59+1</f>
        <v>2</v>
      </c>
      <c r="B63" s="102" t="s">
        <v>32</v>
      </c>
      <c r="C63" s="98" t="s">
        <v>39</v>
      </c>
      <c r="D63" s="98">
        <v>0</v>
      </c>
      <c r="E63" s="62" t="s">
        <v>40</v>
      </c>
      <c r="F63" s="62">
        <v>16</v>
      </c>
      <c r="G63" s="25"/>
      <c r="H63" s="27">
        <v>5208581.93</v>
      </c>
      <c r="I63" s="26">
        <v>0</v>
      </c>
      <c r="J63" s="23">
        <f>SUM(H63:I63)</f>
        <v>5208581.93</v>
      </c>
      <c r="K63" s="28"/>
      <c r="L63" s="29"/>
      <c r="M63" s="55">
        <v>0</v>
      </c>
      <c r="N63" s="62" t="s">
        <v>40</v>
      </c>
      <c r="O63" s="25">
        <v>16</v>
      </c>
      <c r="P63" s="27">
        <f>+D63+H63-M63</f>
        <v>5208581.93</v>
      </c>
      <c r="Q63" s="27">
        <v>0</v>
      </c>
      <c r="R63" s="99">
        <f>D63+J63-M63</f>
        <v>5208581.93</v>
      </c>
    </row>
    <row r="64" spans="1:18" ht="18.600000000000001">
      <c r="A64" s="8"/>
      <c r="B64" s="100" t="s">
        <v>41</v>
      </c>
      <c r="C64" s="101"/>
      <c r="D64" s="23"/>
      <c r="E64" s="62" t="s">
        <v>42</v>
      </c>
      <c r="F64" s="62"/>
      <c r="G64" s="25"/>
      <c r="H64" s="25"/>
      <c r="I64" s="25"/>
      <c r="J64" s="23"/>
      <c r="K64" s="28"/>
      <c r="L64" s="29"/>
      <c r="M64" s="55"/>
      <c r="N64" s="62" t="s">
        <v>42</v>
      </c>
      <c r="O64" s="25"/>
      <c r="P64" s="27"/>
      <c r="Q64" s="25"/>
      <c r="R64" s="92"/>
    </row>
    <row r="65" spans="1:18" ht="18.600000000000001">
      <c r="A65" s="8"/>
      <c r="B65" s="103" t="s">
        <v>43</v>
      </c>
      <c r="C65" s="104"/>
      <c r="D65" s="23"/>
      <c r="E65" s="24"/>
      <c r="F65" s="24"/>
      <c r="G65" s="25"/>
      <c r="H65" s="25"/>
      <c r="I65" s="25"/>
      <c r="J65" s="23"/>
      <c r="K65" s="28"/>
      <c r="L65" s="29"/>
      <c r="M65" s="55"/>
      <c r="N65" s="31"/>
      <c r="O65" s="25"/>
      <c r="P65" s="27"/>
      <c r="Q65" s="25"/>
      <c r="R65" s="92"/>
    </row>
    <row r="66" spans="1:18" ht="18.600000000000001">
      <c r="A66" s="8"/>
      <c r="B66" s="103" t="s">
        <v>44</v>
      </c>
      <c r="C66" s="104"/>
      <c r="D66" s="23"/>
      <c r="E66" s="24"/>
      <c r="F66" s="24"/>
      <c r="G66" s="25"/>
      <c r="H66" s="25"/>
      <c r="I66" s="25"/>
      <c r="J66" s="23"/>
      <c r="K66" s="28"/>
      <c r="L66" s="29"/>
      <c r="M66" s="55"/>
      <c r="N66" s="31"/>
      <c r="O66" s="25"/>
      <c r="P66" s="27"/>
      <c r="Q66" s="25"/>
      <c r="R66" s="92"/>
    </row>
    <row r="67" spans="1:18" ht="18.600000000000001">
      <c r="A67" s="8"/>
      <c r="B67" s="199" t="s">
        <v>19</v>
      </c>
      <c r="C67" s="200"/>
      <c r="D67" s="23"/>
      <c r="E67" s="24"/>
      <c r="F67" s="24"/>
      <c r="G67" s="25"/>
      <c r="H67" s="25"/>
      <c r="I67" s="25"/>
      <c r="J67" s="23"/>
      <c r="K67" s="28"/>
      <c r="L67" s="29"/>
      <c r="M67" s="55"/>
      <c r="N67" s="31"/>
      <c r="O67" s="25"/>
      <c r="P67" s="27"/>
      <c r="Q67" s="25"/>
      <c r="R67" s="92"/>
    </row>
    <row r="68" spans="1:18" ht="21.6" thickBot="1">
      <c r="A68" s="105"/>
      <c r="B68" s="201"/>
      <c r="C68" s="202"/>
      <c r="D68" s="106">
        <f>SUM(D59:D67)</f>
        <v>0</v>
      </c>
      <c r="E68" s="106"/>
      <c r="F68" s="106"/>
      <c r="G68" s="106"/>
      <c r="H68" s="106">
        <f t="shared" ref="H68:M68" si="0">SUM(H59:H67)</f>
        <v>5530855.9100000001</v>
      </c>
      <c r="I68" s="106">
        <f t="shared" si="0"/>
        <v>0</v>
      </c>
      <c r="J68" s="106">
        <f t="shared" si="0"/>
        <v>5530855.9100000001</v>
      </c>
      <c r="K68" s="107"/>
      <c r="L68" s="107"/>
      <c r="M68" s="107">
        <f t="shared" si="0"/>
        <v>0</v>
      </c>
      <c r="N68" s="108"/>
      <c r="O68" s="106"/>
      <c r="P68" s="106">
        <f>SUM(P59:P67)</f>
        <v>5530855.9100000001</v>
      </c>
      <c r="Q68" s="106">
        <f>SUM(Q59:Q67)</f>
        <v>0</v>
      </c>
      <c r="R68" s="106">
        <f>SUM(R59:R67)</f>
        <v>5530855.9100000001</v>
      </c>
    </row>
    <row r="69" spans="1:18" ht="19.2" thickTop="1">
      <c r="A69" s="8"/>
      <c r="B69" s="51" t="s">
        <v>45</v>
      </c>
      <c r="C69" s="52"/>
      <c r="D69" s="11"/>
      <c r="E69" s="12"/>
      <c r="F69" s="12"/>
      <c r="G69" s="53"/>
      <c r="H69" s="14"/>
      <c r="I69" s="15"/>
      <c r="J69" s="11"/>
      <c r="K69" s="16"/>
      <c r="L69" s="17"/>
      <c r="M69" s="18"/>
      <c r="N69" s="19"/>
      <c r="O69" s="13"/>
      <c r="P69" s="13"/>
      <c r="Q69" s="13"/>
      <c r="R69" s="20"/>
    </row>
    <row r="70" spans="1:18" ht="18.600000000000001">
      <c r="A70" s="8">
        <v>1</v>
      </c>
      <c r="B70" s="62"/>
      <c r="C70" s="63"/>
      <c r="D70" s="23">
        <v>0</v>
      </c>
      <c r="E70" s="24"/>
      <c r="F70" s="24"/>
      <c r="G70" s="25"/>
      <c r="H70" s="26">
        <v>0</v>
      </c>
      <c r="I70" s="27">
        <f>H70*0.07</f>
        <v>0</v>
      </c>
      <c r="J70" s="23">
        <v>0</v>
      </c>
      <c r="K70" s="28"/>
      <c r="L70" s="29"/>
      <c r="M70" s="30">
        <v>0</v>
      </c>
      <c r="N70" s="31"/>
      <c r="O70" s="25"/>
      <c r="P70" s="27">
        <f>ROUND(R70*100/107,2)</f>
        <v>0</v>
      </c>
      <c r="Q70" s="27">
        <f>P70*0.07</f>
        <v>0</v>
      </c>
      <c r="R70" s="32">
        <f>D70+J70-M70</f>
        <v>0</v>
      </c>
    </row>
    <row r="71" spans="1:18" ht="18.600000000000001">
      <c r="A71" s="8">
        <f>+A70+1</f>
        <v>2</v>
      </c>
      <c r="B71" s="64" t="s">
        <v>21</v>
      </c>
      <c r="C71" s="63"/>
      <c r="D71" s="23">
        <v>0</v>
      </c>
      <c r="E71" s="24"/>
      <c r="F71" s="24"/>
      <c r="G71" s="25"/>
      <c r="H71" s="34">
        <v>0</v>
      </c>
      <c r="I71" s="35">
        <f>H71*0.07</f>
        <v>0</v>
      </c>
      <c r="J71" s="36">
        <v>0</v>
      </c>
      <c r="K71" s="28"/>
      <c r="L71" s="29"/>
      <c r="M71" s="30">
        <v>0</v>
      </c>
      <c r="N71" s="31"/>
      <c r="O71" s="25"/>
      <c r="P71" s="27">
        <f>ROUND(R71*100/107,2)</f>
        <v>0</v>
      </c>
      <c r="Q71" s="27">
        <f>P71*0.07</f>
        <v>0</v>
      </c>
      <c r="R71" s="32">
        <f>D71+J71-M71</f>
        <v>0</v>
      </c>
    </row>
    <row r="72" spans="1:18" ht="18.600000000000001">
      <c r="A72" s="8">
        <f>+A71+1</f>
        <v>3</v>
      </c>
      <c r="B72" s="65"/>
      <c r="C72" s="63"/>
      <c r="D72" s="23">
        <v>0</v>
      </c>
      <c r="E72" s="24"/>
      <c r="F72" s="38"/>
      <c r="G72" s="39"/>
      <c r="H72" s="40">
        <f>J72*100/107</f>
        <v>0</v>
      </c>
      <c r="I72" s="40">
        <f>H72*0.07</f>
        <v>0</v>
      </c>
      <c r="J72" s="41">
        <v>0</v>
      </c>
      <c r="K72" s="28"/>
      <c r="L72" s="29"/>
      <c r="M72" s="30">
        <v>0</v>
      </c>
      <c r="N72" s="31"/>
      <c r="O72" s="25"/>
      <c r="P72" s="27">
        <f>ROUND(R72*100/107,2)</f>
        <v>0</v>
      </c>
      <c r="Q72" s="27">
        <f>P72*0.07</f>
        <v>0</v>
      </c>
      <c r="R72" s="32">
        <f>D72+J72-M72</f>
        <v>0</v>
      </c>
    </row>
    <row r="73" spans="1:18" ht="19.2" thickBot="1">
      <c r="A73" s="42"/>
      <c r="B73" s="191" t="s">
        <v>19</v>
      </c>
      <c r="C73" s="192"/>
      <c r="D73" s="43">
        <f>SUM(D70:D72)</f>
        <v>0</v>
      </c>
      <c r="E73" s="43"/>
      <c r="F73" s="43"/>
      <c r="G73" s="44"/>
      <c r="H73" s="44">
        <f>SUM(H70:H72)</f>
        <v>0</v>
      </c>
      <c r="I73" s="44">
        <f>SUM(I70:I72)</f>
        <v>0</v>
      </c>
      <c r="J73" s="44">
        <f>SUM(J70:J72)</f>
        <v>0</v>
      </c>
      <c r="K73" s="45"/>
      <c r="L73" s="46"/>
      <c r="M73" s="47">
        <f>SUM(M70:M72)</f>
        <v>0</v>
      </c>
      <c r="N73" s="48"/>
      <c r="O73" s="43"/>
      <c r="P73" s="49">
        <f>ROUND(R73*100/107,2)</f>
        <v>0</v>
      </c>
      <c r="Q73" s="49">
        <f>P73*0.07</f>
        <v>0</v>
      </c>
      <c r="R73" s="50">
        <f>SUM(R70:R72)</f>
        <v>0</v>
      </c>
    </row>
    <row r="74" spans="1:18" ht="19.2" thickTop="1">
      <c r="A74" s="42"/>
      <c r="B74" s="109" t="s">
        <v>46</v>
      </c>
      <c r="C74" s="110"/>
      <c r="D74" s="69"/>
      <c r="E74" s="70"/>
      <c r="F74" s="70"/>
      <c r="G74" s="78"/>
      <c r="H74" s="85">
        <f>J74*100/107</f>
        <v>0</v>
      </c>
      <c r="I74" s="85">
        <f>H74*0.07</f>
        <v>0</v>
      </c>
      <c r="J74" s="111"/>
      <c r="K74" s="74"/>
      <c r="L74" s="75"/>
      <c r="M74" s="76"/>
      <c r="N74" s="77"/>
      <c r="O74" s="78"/>
      <c r="P74" s="78"/>
      <c r="Q74" s="78"/>
      <c r="R74" s="79"/>
    </row>
    <row r="75" spans="1:18" ht="18.600000000000001">
      <c r="A75" s="42">
        <v>1</v>
      </c>
      <c r="B75" s="97"/>
      <c r="C75" s="112"/>
      <c r="D75" s="23">
        <v>0</v>
      </c>
      <c r="E75" s="24"/>
      <c r="F75" s="24"/>
      <c r="G75" s="25"/>
      <c r="H75" s="26">
        <v>0</v>
      </c>
      <c r="I75" s="27">
        <f>H75*0.07</f>
        <v>0</v>
      </c>
      <c r="J75" s="23">
        <v>0</v>
      </c>
      <c r="K75" s="28"/>
      <c r="L75" s="29"/>
      <c r="M75" s="55">
        <v>0</v>
      </c>
      <c r="N75" s="54"/>
      <c r="O75" s="25"/>
      <c r="P75" s="27">
        <f>ROUND(R75*100/107,2)</f>
        <v>0</v>
      </c>
      <c r="Q75" s="27">
        <f>P75*0.07</f>
        <v>0</v>
      </c>
      <c r="R75" s="32">
        <f>D75+J75-M75</f>
        <v>0</v>
      </c>
    </row>
    <row r="76" spans="1:18" ht="18.600000000000001">
      <c r="A76" s="42">
        <f>+A75+1</f>
        <v>2</v>
      </c>
      <c r="B76" s="113" t="s">
        <v>21</v>
      </c>
      <c r="C76" s="112"/>
      <c r="D76" s="23">
        <v>0</v>
      </c>
      <c r="E76" s="24"/>
      <c r="F76" s="24"/>
      <c r="G76" s="25"/>
      <c r="H76" s="26">
        <v>0</v>
      </c>
      <c r="I76" s="27">
        <f>H76*0.07</f>
        <v>0</v>
      </c>
      <c r="J76" s="23">
        <v>0</v>
      </c>
      <c r="K76" s="28"/>
      <c r="L76" s="29"/>
      <c r="M76" s="55">
        <v>0</v>
      </c>
      <c r="N76" s="31"/>
      <c r="O76" s="25"/>
      <c r="P76" s="27">
        <v>0</v>
      </c>
      <c r="Q76" s="27">
        <f>P76*0.07</f>
        <v>0</v>
      </c>
      <c r="R76" s="32">
        <f>D76+J76-M76</f>
        <v>0</v>
      </c>
    </row>
    <row r="77" spans="1:18" ht="18.600000000000001">
      <c r="A77" s="42">
        <f>+A76+1</f>
        <v>3</v>
      </c>
      <c r="B77" s="62"/>
      <c r="C77" s="112"/>
      <c r="D77" s="23">
        <v>0</v>
      </c>
      <c r="E77" s="24"/>
      <c r="F77" s="24"/>
      <c r="G77" s="25"/>
      <c r="H77" s="26">
        <v>0</v>
      </c>
      <c r="I77" s="27">
        <f>H77*0.07</f>
        <v>0</v>
      </c>
      <c r="J77" s="23">
        <v>0</v>
      </c>
      <c r="K77" s="28"/>
      <c r="L77" s="29"/>
      <c r="M77" s="55">
        <v>0</v>
      </c>
      <c r="N77" s="31"/>
      <c r="O77" s="25"/>
      <c r="P77" s="27">
        <f>ROUND(R77*100/107,2)</f>
        <v>0</v>
      </c>
      <c r="Q77" s="27">
        <f>P77*0.07</f>
        <v>0</v>
      </c>
      <c r="R77" s="32">
        <f>D77+J77-M77</f>
        <v>0</v>
      </c>
    </row>
    <row r="78" spans="1:18" ht="19.2" thickBot="1">
      <c r="A78" s="42"/>
      <c r="B78" s="191" t="s">
        <v>19</v>
      </c>
      <c r="C78" s="192"/>
      <c r="D78" s="106">
        <f>SUM(D75:D77)</f>
        <v>0</v>
      </c>
      <c r="E78" s="106"/>
      <c r="F78" s="106"/>
      <c r="G78" s="106"/>
      <c r="H78" s="106">
        <f>SUM(H75:H77)</f>
        <v>0</v>
      </c>
      <c r="I78" s="106">
        <f>SUM(I75:I77)</f>
        <v>0</v>
      </c>
      <c r="J78" s="106">
        <f>SUM(J75:J77)</f>
        <v>0</v>
      </c>
      <c r="K78" s="114"/>
      <c r="L78" s="114"/>
      <c r="M78" s="107">
        <f>SUM(M75:M77)</f>
        <v>0</v>
      </c>
      <c r="N78" s="108"/>
      <c r="O78" s="106"/>
      <c r="P78" s="106">
        <f>SUM(P75:P77)</f>
        <v>0</v>
      </c>
      <c r="Q78" s="106">
        <f>SUM(Q75:Q77)</f>
        <v>0</v>
      </c>
      <c r="R78" s="106">
        <f>SUM(R75:R77)</f>
        <v>0</v>
      </c>
    </row>
    <row r="79" spans="1:18" ht="19.2" thickTop="1">
      <c r="A79" s="42"/>
      <c r="B79" s="115" t="s">
        <v>47</v>
      </c>
      <c r="C79" s="94"/>
      <c r="D79" s="111"/>
      <c r="E79" s="70"/>
      <c r="F79" s="70"/>
      <c r="G79" s="78"/>
      <c r="H79" s="116"/>
      <c r="I79" s="78"/>
      <c r="J79" s="69"/>
      <c r="K79" s="16"/>
      <c r="L79" s="17"/>
      <c r="M79" s="18"/>
      <c r="N79" s="77"/>
      <c r="O79" s="78"/>
      <c r="P79" s="78"/>
      <c r="Q79" s="78"/>
      <c r="R79" s="96"/>
    </row>
    <row r="80" spans="1:18" ht="18.600000000000001">
      <c r="A80" s="42">
        <v>1</v>
      </c>
      <c r="B80" s="195"/>
      <c r="C80" s="196"/>
      <c r="D80" s="23">
        <v>0</v>
      </c>
      <c r="E80" s="77"/>
      <c r="F80" s="77"/>
      <c r="G80" s="78"/>
      <c r="H80" s="34">
        <v>0</v>
      </c>
      <c r="I80" s="27">
        <f>H80*0.07</f>
        <v>0</v>
      </c>
      <c r="J80" s="23">
        <f>SUM(H80:I80)</f>
        <v>0</v>
      </c>
      <c r="K80" s="56"/>
      <c r="L80" s="56"/>
      <c r="M80" s="55">
        <v>0</v>
      </c>
      <c r="N80" s="77"/>
      <c r="O80" s="78"/>
      <c r="P80" s="27">
        <f>R80*100/107</f>
        <v>0</v>
      </c>
      <c r="Q80" s="27">
        <f>P80*0.07</f>
        <v>0</v>
      </c>
      <c r="R80" s="32">
        <f>D80+J80-M80</f>
        <v>0</v>
      </c>
    </row>
    <row r="81" spans="1:18" ht="18.600000000000001">
      <c r="A81" s="8">
        <v>2</v>
      </c>
      <c r="B81" s="197" t="s">
        <v>21</v>
      </c>
      <c r="C81" s="198"/>
      <c r="D81" s="23">
        <v>0</v>
      </c>
      <c r="E81" s="31"/>
      <c r="F81" s="31"/>
      <c r="G81" s="25"/>
      <c r="H81" s="34">
        <v>0</v>
      </c>
      <c r="I81" s="27">
        <f>H81*0.07</f>
        <v>0</v>
      </c>
      <c r="J81" s="23">
        <f>SUM(H81:I81)</f>
        <v>0</v>
      </c>
      <c r="K81" s="56"/>
      <c r="L81" s="117"/>
      <c r="M81" s="55">
        <v>0</v>
      </c>
      <c r="N81" s="31"/>
      <c r="O81" s="25"/>
      <c r="P81" s="27">
        <f>ROUND(R81*100/107,2)</f>
        <v>0</v>
      </c>
      <c r="Q81" s="27">
        <f>P81*0.07</f>
        <v>0</v>
      </c>
      <c r="R81" s="32">
        <f>D81+J81-M81</f>
        <v>0</v>
      </c>
    </row>
    <row r="82" spans="1:18" ht="18.600000000000001">
      <c r="A82" s="42">
        <v>3</v>
      </c>
      <c r="B82" s="195"/>
      <c r="C82" s="196"/>
      <c r="D82" s="118">
        <v>0</v>
      </c>
      <c r="E82" s="54"/>
      <c r="F82" s="54"/>
      <c r="G82" s="25"/>
      <c r="H82" s="81">
        <v>0</v>
      </c>
      <c r="I82" s="27">
        <f>H82*0.07</f>
        <v>0</v>
      </c>
      <c r="J82" s="23">
        <f>SUM(H82:I82)</f>
        <v>0</v>
      </c>
      <c r="K82" s="56"/>
      <c r="L82" s="91"/>
      <c r="M82" s="55">
        <v>0</v>
      </c>
      <c r="N82" s="54"/>
      <c r="O82" s="25"/>
      <c r="P82" s="27">
        <f>R82*100/107</f>
        <v>0</v>
      </c>
      <c r="Q82" s="27">
        <f>P82*0.07</f>
        <v>0</v>
      </c>
      <c r="R82" s="32">
        <f>D82+J82-M82</f>
        <v>0</v>
      </c>
    </row>
    <row r="83" spans="1:18" ht="19.2" thickBot="1">
      <c r="A83" s="42"/>
      <c r="B83" s="191" t="s">
        <v>19</v>
      </c>
      <c r="C83" s="192"/>
      <c r="D83" s="43">
        <f>SUM(D80:D82)</f>
        <v>0</v>
      </c>
      <c r="E83" s="43"/>
      <c r="F83" s="43"/>
      <c r="G83" s="43"/>
      <c r="H83" s="43">
        <f>SUM(H80:H82)</f>
        <v>0</v>
      </c>
      <c r="I83" s="43">
        <f>SUM(I80:I82)</f>
        <v>0</v>
      </c>
      <c r="J83" s="43">
        <f>SUM(J80:J82)</f>
        <v>0</v>
      </c>
      <c r="K83" s="119"/>
      <c r="L83" s="119"/>
      <c r="M83" s="47">
        <f>SUM(M80:M82)</f>
        <v>0</v>
      </c>
      <c r="N83" s="48"/>
      <c r="O83" s="43"/>
      <c r="P83" s="43">
        <f>SUM(P80:P82)</f>
        <v>0</v>
      </c>
      <c r="Q83" s="43">
        <f>SUM(Q80:Q82)</f>
        <v>0</v>
      </c>
      <c r="R83" s="43">
        <f>SUM(R80:R82)</f>
        <v>0</v>
      </c>
    </row>
    <row r="84" spans="1:18" ht="19.2" thickTop="1">
      <c r="A84" s="8"/>
      <c r="B84" s="51" t="s">
        <v>48</v>
      </c>
      <c r="C84" s="52"/>
      <c r="D84" s="11"/>
      <c r="E84" s="12"/>
      <c r="F84" s="12"/>
      <c r="G84" s="53"/>
      <c r="H84" s="14"/>
      <c r="I84" s="15"/>
      <c r="J84" s="11"/>
      <c r="K84" s="16"/>
      <c r="L84" s="17"/>
      <c r="M84" s="18"/>
      <c r="N84" s="19"/>
      <c r="O84" s="13"/>
      <c r="P84" s="13"/>
      <c r="Q84" s="13"/>
      <c r="R84" s="20"/>
    </row>
    <row r="85" spans="1:18" ht="18.600000000000001">
      <c r="A85" s="8">
        <v>1</v>
      </c>
      <c r="B85" s="62"/>
      <c r="C85" s="63"/>
      <c r="D85" s="23">
        <v>0</v>
      </c>
      <c r="E85" s="24"/>
      <c r="F85" s="24"/>
      <c r="G85" s="25"/>
      <c r="H85" s="26">
        <v>0</v>
      </c>
      <c r="I85" s="27">
        <f>H85*0.07</f>
        <v>0</v>
      </c>
      <c r="J85" s="23">
        <v>0</v>
      </c>
      <c r="K85" s="28"/>
      <c r="L85" s="29"/>
      <c r="M85" s="30">
        <v>0</v>
      </c>
      <c r="N85" s="31"/>
      <c r="O85" s="25"/>
      <c r="P85" s="27">
        <f>ROUND(R85*100/107,2)</f>
        <v>0</v>
      </c>
      <c r="Q85" s="27">
        <f>P85*0.07</f>
        <v>0</v>
      </c>
      <c r="R85" s="32">
        <f>D85+J85-M85</f>
        <v>0</v>
      </c>
    </row>
    <row r="86" spans="1:18" ht="18.600000000000001">
      <c r="A86" s="8">
        <f>+A85+1</f>
        <v>2</v>
      </c>
      <c r="B86" s="64" t="s">
        <v>21</v>
      </c>
      <c r="C86" s="63"/>
      <c r="D86" s="23">
        <v>0</v>
      </c>
      <c r="E86" s="24"/>
      <c r="F86" s="24"/>
      <c r="G86" s="25"/>
      <c r="H86" s="34">
        <v>0</v>
      </c>
      <c r="I86" s="35">
        <f>H86*0.07</f>
        <v>0</v>
      </c>
      <c r="J86" s="36">
        <v>0</v>
      </c>
      <c r="K86" s="28"/>
      <c r="L86" s="29"/>
      <c r="M86" s="30">
        <v>0</v>
      </c>
      <c r="N86" s="31"/>
      <c r="O86" s="25"/>
      <c r="P86" s="27">
        <f>ROUND(R86*100/107,2)</f>
        <v>0</v>
      </c>
      <c r="Q86" s="27">
        <f>P86*0.07</f>
        <v>0</v>
      </c>
      <c r="R86" s="32">
        <f>D86+J86-M86</f>
        <v>0</v>
      </c>
    </row>
    <row r="87" spans="1:18" ht="18.600000000000001">
      <c r="A87" s="8">
        <f>+A86+1</f>
        <v>3</v>
      </c>
      <c r="B87" s="65"/>
      <c r="C87" s="63"/>
      <c r="D87" s="23">
        <v>0</v>
      </c>
      <c r="E87" s="24"/>
      <c r="F87" s="38"/>
      <c r="G87" s="39"/>
      <c r="H87" s="40">
        <f>J87*100/107</f>
        <v>0</v>
      </c>
      <c r="I87" s="40">
        <f>H87*0.07</f>
        <v>0</v>
      </c>
      <c r="J87" s="41">
        <v>0</v>
      </c>
      <c r="K87" s="28"/>
      <c r="L87" s="29"/>
      <c r="M87" s="30">
        <v>0</v>
      </c>
      <c r="N87" s="31"/>
      <c r="O87" s="25"/>
      <c r="P87" s="27">
        <f>ROUND(R87*100/107,2)</f>
        <v>0</v>
      </c>
      <c r="Q87" s="27">
        <f>P87*0.07</f>
        <v>0</v>
      </c>
      <c r="R87" s="32">
        <f>D87+J87-M87</f>
        <v>0</v>
      </c>
    </row>
    <row r="88" spans="1:18" ht="19.2" thickBot="1">
      <c r="A88" s="42"/>
      <c r="B88" s="191" t="s">
        <v>19</v>
      </c>
      <c r="C88" s="192"/>
      <c r="D88" s="43">
        <f>SUM(D85:D87)</f>
        <v>0</v>
      </c>
      <c r="E88" s="43"/>
      <c r="F88" s="43"/>
      <c r="G88" s="44"/>
      <c r="H88" s="44">
        <f>SUM(H85:H87)</f>
        <v>0</v>
      </c>
      <c r="I88" s="44">
        <f>SUM(I85:I87)</f>
        <v>0</v>
      </c>
      <c r="J88" s="44">
        <f>SUM(J85:J87)</f>
        <v>0</v>
      </c>
      <c r="K88" s="45"/>
      <c r="L88" s="46"/>
      <c r="M88" s="47">
        <f>SUM(M85:M87)</f>
        <v>0</v>
      </c>
      <c r="N88" s="48"/>
      <c r="O88" s="43"/>
      <c r="P88" s="49">
        <f>ROUND(R88*100/107,2)</f>
        <v>0</v>
      </c>
      <c r="Q88" s="49">
        <f>P88*0.07</f>
        <v>0</v>
      </c>
      <c r="R88" s="50">
        <f>SUM(R85:R87)</f>
        <v>0</v>
      </c>
    </row>
    <row r="89" spans="1:18" ht="19.2" thickTop="1">
      <c r="A89" s="8"/>
      <c r="B89" s="67" t="s">
        <v>49</v>
      </c>
      <c r="C89" s="68"/>
      <c r="D89" s="69"/>
      <c r="E89" s="70"/>
      <c r="F89" s="70"/>
      <c r="G89" s="71"/>
      <c r="H89" s="72"/>
      <c r="I89" s="73"/>
      <c r="J89" s="69"/>
      <c r="K89" s="74"/>
      <c r="L89" s="75"/>
      <c r="M89" s="76"/>
      <c r="N89" s="77"/>
      <c r="O89" s="78"/>
      <c r="P89" s="78"/>
      <c r="Q89" s="78"/>
      <c r="R89" s="79"/>
    </row>
    <row r="90" spans="1:18" ht="18.600000000000001">
      <c r="A90" s="8">
        <v>1</v>
      </c>
      <c r="B90" s="62"/>
      <c r="C90" s="63"/>
      <c r="D90" s="23">
        <v>0</v>
      </c>
      <c r="E90" s="24"/>
      <c r="F90" s="24"/>
      <c r="G90" s="25"/>
      <c r="H90" s="81">
        <v>0</v>
      </c>
      <c r="I90" s="27">
        <f>H90*0.07</f>
        <v>0</v>
      </c>
      <c r="J90" s="23">
        <v>0</v>
      </c>
      <c r="K90" s="28"/>
      <c r="L90" s="29"/>
      <c r="M90" s="30">
        <v>0</v>
      </c>
      <c r="N90" s="31"/>
      <c r="O90" s="25"/>
      <c r="P90" s="27">
        <f>ROUND(R90*100/107,2)</f>
        <v>0</v>
      </c>
      <c r="Q90" s="27">
        <f>P90*0.07</f>
        <v>0</v>
      </c>
      <c r="R90" s="32">
        <f>D90+J90-M90</f>
        <v>0</v>
      </c>
    </row>
    <row r="91" spans="1:18" ht="18.600000000000001">
      <c r="A91" s="8">
        <f>+A90+1</f>
        <v>2</v>
      </c>
      <c r="B91" s="64" t="s">
        <v>21</v>
      </c>
      <c r="C91" s="63"/>
      <c r="D91" s="23">
        <v>0</v>
      </c>
      <c r="E91" s="24"/>
      <c r="F91" s="24"/>
      <c r="G91" s="25"/>
      <c r="H91" s="34">
        <v>0</v>
      </c>
      <c r="I91" s="35">
        <f>H91*0.07</f>
        <v>0</v>
      </c>
      <c r="J91" s="36">
        <v>0</v>
      </c>
      <c r="K91" s="28"/>
      <c r="L91" s="29"/>
      <c r="M91" s="30">
        <v>0</v>
      </c>
      <c r="N91" s="31"/>
      <c r="O91" s="25"/>
      <c r="P91" s="27">
        <f>ROUND(R91*100/107,2)</f>
        <v>0</v>
      </c>
      <c r="Q91" s="27">
        <f>P91*0.07</f>
        <v>0</v>
      </c>
      <c r="R91" s="32">
        <f>D91+J91-M91</f>
        <v>0</v>
      </c>
    </row>
    <row r="92" spans="1:18" ht="18.600000000000001">
      <c r="A92" s="8">
        <f>+A91+1</f>
        <v>3</v>
      </c>
      <c r="B92" s="65"/>
      <c r="C92" s="63"/>
      <c r="D92" s="23">
        <v>0</v>
      </c>
      <c r="E92" s="24"/>
      <c r="F92" s="38"/>
      <c r="G92" s="39"/>
      <c r="H92" s="40">
        <f>J92*100/107</f>
        <v>0</v>
      </c>
      <c r="I92" s="40">
        <f>H92*0.07</f>
        <v>0</v>
      </c>
      <c r="J92" s="41">
        <v>0</v>
      </c>
      <c r="K92" s="28"/>
      <c r="L92" s="29"/>
      <c r="M92" s="30">
        <v>0</v>
      </c>
      <c r="N92" s="31"/>
      <c r="O92" s="25"/>
      <c r="P92" s="27">
        <f>ROUND(R92*100/107,2)</f>
        <v>0</v>
      </c>
      <c r="Q92" s="27">
        <f>P92*0.07</f>
        <v>0</v>
      </c>
      <c r="R92" s="32">
        <f>D92+J92-M92</f>
        <v>0</v>
      </c>
    </row>
    <row r="93" spans="1:18" ht="19.2" thickBot="1">
      <c r="A93" s="42"/>
      <c r="B93" s="191" t="s">
        <v>19</v>
      </c>
      <c r="C93" s="192"/>
      <c r="D93" s="43">
        <f>SUM(D90:D92)</f>
        <v>0</v>
      </c>
      <c r="E93" s="43"/>
      <c r="F93" s="43"/>
      <c r="G93" s="44"/>
      <c r="H93" s="44">
        <f>SUM(H90:H92)</f>
        <v>0</v>
      </c>
      <c r="I93" s="44">
        <f>SUM(I90:I92)</f>
        <v>0</v>
      </c>
      <c r="J93" s="44">
        <f>SUM(J90:J92)</f>
        <v>0</v>
      </c>
      <c r="K93" s="45"/>
      <c r="L93" s="46"/>
      <c r="M93" s="47">
        <f>SUM(M90:M92)</f>
        <v>0</v>
      </c>
      <c r="N93" s="48"/>
      <c r="O93" s="43"/>
      <c r="P93" s="49">
        <f>ROUND(R93*100/107,2)</f>
        <v>0</v>
      </c>
      <c r="Q93" s="49">
        <f>P93*0.07</f>
        <v>0</v>
      </c>
      <c r="R93" s="50">
        <f>SUM(R90:R92)</f>
        <v>0</v>
      </c>
    </row>
    <row r="94" spans="1:18" ht="19.2" thickTop="1">
      <c r="A94" s="8"/>
      <c r="B94" s="67" t="s">
        <v>50</v>
      </c>
      <c r="C94" s="68"/>
      <c r="D94" s="69"/>
      <c r="E94" s="70"/>
      <c r="F94" s="70"/>
      <c r="G94" s="71"/>
      <c r="H94" s="72"/>
      <c r="I94" s="73"/>
      <c r="J94" s="69"/>
      <c r="K94" s="74"/>
      <c r="L94" s="75"/>
      <c r="M94" s="76"/>
      <c r="N94" s="77"/>
      <c r="O94" s="78"/>
      <c r="P94" s="78"/>
      <c r="Q94" s="78"/>
      <c r="R94" s="79"/>
    </row>
    <row r="95" spans="1:18" ht="18.600000000000001">
      <c r="A95" s="8">
        <v>1</v>
      </c>
      <c r="B95" s="62"/>
      <c r="C95" s="63"/>
      <c r="D95" s="23">
        <v>0</v>
      </c>
      <c r="E95" s="24"/>
      <c r="F95" s="24"/>
      <c r="G95" s="25"/>
      <c r="H95" s="81">
        <v>0</v>
      </c>
      <c r="I95" s="27">
        <f>H95*0.07</f>
        <v>0</v>
      </c>
      <c r="J95" s="23">
        <v>0</v>
      </c>
      <c r="K95" s="28"/>
      <c r="L95" s="29"/>
      <c r="M95" s="30">
        <v>0</v>
      </c>
      <c r="N95" s="31"/>
      <c r="O95" s="25"/>
      <c r="P95" s="27">
        <f>ROUND(R95*100/107,2)</f>
        <v>0</v>
      </c>
      <c r="Q95" s="27">
        <f>P95*0.07</f>
        <v>0</v>
      </c>
      <c r="R95" s="32">
        <f>D95+J95-M95</f>
        <v>0</v>
      </c>
    </row>
    <row r="96" spans="1:18" ht="18.600000000000001">
      <c r="A96" s="8">
        <f>+A95+1</f>
        <v>2</v>
      </c>
      <c r="B96" s="64" t="s">
        <v>21</v>
      </c>
      <c r="C96" s="63"/>
      <c r="D96" s="23">
        <v>0</v>
      </c>
      <c r="E96" s="24"/>
      <c r="F96" s="24"/>
      <c r="G96" s="25"/>
      <c r="H96" s="27">
        <v>0</v>
      </c>
      <c r="I96" s="27">
        <f>H96*0.07</f>
        <v>0</v>
      </c>
      <c r="J96" s="36">
        <v>0</v>
      </c>
      <c r="K96" s="28"/>
      <c r="L96" s="29"/>
      <c r="M96" s="30">
        <v>0</v>
      </c>
      <c r="N96" s="31"/>
      <c r="O96" s="25"/>
      <c r="P96" s="27">
        <f>ROUND(R96*100/107,2)</f>
        <v>0</v>
      </c>
      <c r="Q96" s="27">
        <f>P96*0.07</f>
        <v>0</v>
      </c>
      <c r="R96" s="32">
        <f>D96+J96-M96</f>
        <v>0</v>
      </c>
    </row>
    <row r="97" spans="1:18" ht="18.600000000000001">
      <c r="A97" s="8">
        <f>+A96+1</f>
        <v>3</v>
      </c>
      <c r="B97" s="65"/>
      <c r="C97" s="63"/>
      <c r="D97" s="23">
        <v>0</v>
      </c>
      <c r="E97" s="24"/>
      <c r="F97" s="38"/>
      <c r="G97" s="39"/>
      <c r="H97" s="40">
        <f>J97*100/107</f>
        <v>0</v>
      </c>
      <c r="I97" s="40">
        <f>H97*0.07</f>
        <v>0</v>
      </c>
      <c r="J97" s="41">
        <v>0</v>
      </c>
      <c r="K97" s="28"/>
      <c r="L97" s="29"/>
      <c r="M97" s="30">
        <v>0</v>
      </c>
      <c r="N97" s="31"/>
      <c r="O97" s="25"/>
      <c r="P97" s="27">
        <f>ROUND(R97*100/107,2)</f>
        <v>0</v>
      </c>
      <c r="Q97" s="27">
        <f>P97*0.07</f>
        <v>0</v>
      </c>
      <c r="R97" s="32">
        <f>D97+J97-M97</f>
        <v>0</v>
      </c>
    </row>
    <row r="98" spans="1:18" ht="19.2" thickBot="1">
      <c r="A98" s="42"/>
      <c r="B98" s="191" t="s">
        <v>19</v>
      </c>
      <c r="C98" s="192"/>
      <c r="D98" s="43">
        <f>SUM(D95:D97)</f>
        <v>0</v>
      </c>
      <c r="E98" s="43"/>
      <c r="F98" s="43"/>
      <c r="G98" s="44"/>
      <c r="H98" s="44">
        <f>SUM(H95:H97)</f>
        <v>0</v>
      </c>
      <c r="I98" s="44">
        <f>SUM(I95:I97)</f>
        <v>0</v>
      </c>
      <c r="J98" s="44">
        <f>SUM(J95:J97)</f>
        <v>0</v>
      </c>
      <c r="K98" s="45"/>
      <c r="L98" s="46"/>
      <c r="M98" s="47">
        <f>SUM(M95:M97)</f>
        <v>0</v>
      </c>
      <c r="N98" s="48"/>
      <c r="O98" s="43"/>
      <c r="P98" s="49">
        <f>ROUND(R98*100/107,2)</f>
        <v>0</v>
      </c>
      <c r="Q98" s="49">
        <f>P98*0.07</f>
        <v>0</v>
      </c>
      <c r="R98" s="50">
        <f>SUM(R95:R97)</f>
        <v>0</v>
      </c>
    </row>
    <row r="99" spans="1:18" ht="19.2" thickTop="1">
      <c r="A99" s="8"/>
      <c r="B99" s="67" t="s">
        <v>51</v>
      </c>
      <c r="C99" s="68"/>
      <c r="D99" s="69"/>
      <c r="E99" s="70"/>
      <c r="F99" s="70"/>
      <c r="G99" s="71"/>
      <c r="H99" s="72"/>
      <c r="I99" s="73"/>
      <c r="J99" s="69"/>
      <c r="K99" s="74"/>
      <c r="L99" s="75"/>
      <c r="M99" s="76"/>
      <c r="N99" s="77"/>
      <c r="O99" s="78"/>
      <c r="P99" s="78"/>
      <c r="Q99" s="78"/>
      <c r="R99" s="79"/>
    </row>
    <row r="100" spans="1:18" ht="18.600000000000001">
      <c r="A100" s="8">
        <v>1</v>
      </c>
      <c r="B100" s="62"/>
      <c r="C100" s="63"/>
      <c r="D100" s="23">
        <v>0</v>
      </c>
      <c r="E100" s="24"/>
      <c r="F100" s="24"/>
      <c r="G100" s="25"/>
      <c r="H100" s="26">
        <v>0</v>
      </c>
      <c r="I100" s="27">
        <f>H100*0.07</f>
        <v>0</v>
      </c>
      <c r="J100" s="23">
        <v>0</v>
      </c>
      <c r="K100" s="28"/>
      <c r="L100" s="29"/>
      <c r="M100" s="30">
        <v>0</v>
      </c>
      <c r="N100" s="31"/>
      <c r="O100" s="25"/>
      <c r="P100" s="27">
        <f>ROUND(R100*100/107,2)</f>
        <v>0</v>
      </c>
      <c r="Q100" s="27">
        <f>P100*0.07</f>
        <v>0</v>
      </c>
      <c r="R100" s="32">
        <f>D100+J100-M100</f>
        <v>0</v>
      </c>
    </row>
    <row r="101" spans="1:18" ht="18.600000000000001">
      <c r="A101" s="8">
        <f>+A100+1</f>
        <v>2</v>
      </c>
      <c r="B101" s="64" t="s">
        <v>21</v>
      </c>
      <c r="C101" s="63"/>
      <c r="D101" s="23">
        <v>0</v>
      </c>
      <c r="E101" s="24"/>
      <c r="F101" s="24"/>
      <c r="G101" s="25"/>
      <c r="H101" s="34">
        <v>0</v>
      </c>
      <c r="I101" s="35">
        <f>H101*0.07</f>
        <v>0</v>
      </c>
      <c r="J101" s="36">
        <v>0</v>
      </c>
      <c r="K101" s="28"/>
      <c r="L101" s="29"/>
      <c r="M101" s="30">
        <v>0</v>
      </c>
      <c r="N101" s="31"/>
      <c r="O101" s="25"/>
      <c r="P101" s="27">
        <f>ROUND(R101*100/107,2)</f>
        <v>0</v>
      </c>
      <c r="Q101" s="27">
        <f>P101*0.07</f>
        <v>0</v>
      </c>
      <c r="R101" s="32">
        <f>D101+J101-M101</f>
        <v>0</v>
      </c>
    </row>
    <row r="102" spans="1:18" ht="18.600000000000001">
      <c r="A102" s="8">
        <f>+A101+1</f>
        <v>3</v>
      </c>
      <c r="B102" s="65"/>
      <c r="C102" s="63"/>
      <c r="D102" s="23">
        <v>0</v>
      </c>
      <c r="E102" s="24"/>
      <c r="F102" s="38"/>
      <c r="G102" s="39"/>
      <c r="H102" s="40">
        <f>J102*100/107</f>
        <v>0</v>
      </c>
      <c r="I102" s="40">
        <f>H102*0.07</f>
        <v>0</v>
      </c>
      <c r="J102" s="41">
        <v>0</v>
      </c>
      <c r="K102" s="28"/>
      <c r="L102" s="29"/>
      <c r="M102" s="30">
        <v>0</v>
      </c>
      <c r="N102" s="31"/>
      <c r="O102" s="25"/>
      <c r="P102" s="27">
        <f>ROUND(R102*100/107,2)</f>
        <v>0</v>
      </c>
      <c r="Q102" s="27">
        <f>P102*0.07</f>
        <v>0</v>
      </c>
      <c r="R102" s="32">
        <f>D102+J102-M102</f>
        <v>0</v>
      </c>
    </row>
    <row r="103" spans="1:18" ht="19.2" thickBot="1">
      <c r="A103" s="42"/>
      <c r="B103" s="191" t="s">
        <v>19</v>
      </c>
      <c r="C103" s="192"/>
      <c r="D103" s="43">
        <f>SUM(D100:D102)</f>
        <v>0</v>
      </c>
      <c r="E103" s="43"/>
      <c r="F103" s="43"/>
      <c r="G103" s="44"/>
      <c r="H103" s="44">
        <f>SUM(H100:H102)</f>
        <v>0</v>
      </c>
      <c r="I103" s="44">
        <f>SUM(I100:I102)</f>
        <v>0</v>
      </c>
      <c r="J103" s="44">
        <f>SUM(J100:J102)</f>
        <v>0</v>
      </c>
      <c r="K103" s="45"/>
      <c r="L103" s="46"/>
      <c r="M103" s="47">
        <f>SUM(M100:M102)</f>
        <v>0</v>
      </c>
      <c r="N103" s="48"/>
      <c r="O103" s="43"/>
      <c r="P103" s="49">
        <f>ROUND(R103*100/107,2)</f>
        <v>0</v>
      </c>
      <c r="Q103" s="49">
        <f>P103*0.07</f>
        <v>0</v>
      </c>
      <c r="R103" s="50">
        <f>SUM(R100:R102)</f>
        <v>0</v>
      </c>
    </row>
    <row r="104" spans="1:18" ht="19.2" thickTop="1">
      <c r="A104" s="8"/>
      <c r="B104" s="67" t="s">
        <v>52</v>
      </c>
      <c r="C104" s="68"/>
      <c r="D104" s="69"/>
      <c r="E104" s="70"/>
      <c r="F104" s="70"/>
      <c r="G104" s="71"/>
      <c r="H104" s="72"/>
      <c r="I104" s="73"/>
      <c r="J104" s="69"/>
      <c r="K104" s="74"/>
      <c r="L104" s="75"/>
      <c r="M104" s="76"/>
      <c r="N104" s="77"/>
      <c r="O104" s="78"/>
      <c r="P104" s="78"/>
      <c r="Q104" s="78"/>
      <c r="R104" s="79"/>
    </row>
    <row r="105" spans="1:18" ht="18.600000000000001">
      <c r="A105" s="8">
        <v>1</v>
      </c>
      <c r="B105" s="62"/>
      <c r="C105" s="63"/>
      <c r="D105" s="23">
        <v>0</v>
      </c>
      <c r="E105" s="24"/>
      <c r="F105" s="24"/>
      <c r="G105" s="25"/>
      <c r="H105" s="26">
        <v>0</v>
      </c>
      <c r="I105" s="27">
        <f>H105*0.07</f>
        <v>0</v>
      </c>
      <c r="J105" s="23">
        <v>0</v>
      </c>
      <c r="K105" s="28"/>
      <c r="L105" s="29"/>
      <c r="M105" s="30">
        <v>0</v>
      </c>
      <c r="N105" s="31"/>
      <c r="O105" s="25"/>
      <c r="P105" s="27">
        <f>ROUND(R105*100/107,2)</f>
        <v>0</v>
      </c>
      <c r="Q105" s="27">
        <f>P105*0.07</f>
        <v>0</v>
      </c>
      <c r="R105" s="32">
        <f>D105+J105-M105</f>
        <v>0</v>
      </c>
    </row>
    <row r="106" spans="1:18" ht="18.600000000000001">
      <c r="A106" s="8">
        <f>+A105+1</f>
        <v>2</v>
      </c>
      <c r="B106" s="64" t="s">
        <v>21</v>
      </c>
      <c r="C106" s="63"/>
      <c r="D106" s="23">
        <v>0</v>
      </c>
      <c r="E106" s="24"/>
      <c r="F106" s="24"/>
      <c r="G106" s="25"/>
      <c r="H106" s="34">
        <v>0</v>
      </c>
      <c r="I106" s="35">
        <f>H106*0.07</f>
        <v>0</v>
      </c>
      <c r="J106" s="36">
        <v>0</v>
      </c>
      <c r="K106" s="28"/>
      <c r="L106" s="29"/>
      <c r="M106" s="30">
        <v>0</v>
      </c>
      <c r="N106" s="31"/>
      <c r="O106" s="25"/>
      <c r="P106" s="27">
        <f>ROUND(R106*100/107,2)</f>
        <v>0</v>
      </c>
      <c r="Q106" s="27">
        <f>P106*0.07</f>
        <v>0</v>
      </c>
      <c r="R106" s="32">
        <f>D106+J106-M106</f>
        <v>0</v>
      </c>
    </row>
    <row r="107" spans="1:18" ht="18.600000000000001">
      <c r="A107" s="8">
        <f>+A106+1</f>
        <v>3</v>
      </c>
      <c r="B107" s="65"/>
      <c r="C107" s="63"/>
      <c r="D107" s="23">
        <v>0</v>
      </c>
      <c r="E107" s="24"/>
      <c r="F107" s="38"/>
      <c r="G107" s="39"/>
      <c r="H107" s="40">
        <f>J107*100/107</f>
        <v>0</v>
      </c>
      <c r="I107" s="40">
        <f>H107*0.07</f>
        <v>0</v>
      </c>
      <c r="J107" s="41">
        <v>0</v>
      </c>
      <c r="K107" s="28"/>
      <c r="L107" s="29"/>
      <c r="M107" s="30">
        <v>0</v>
      </c>
      <c r="N107" s="31"/>
      <c r="O107" s="25"/>
      <c r="P107" s="27">
        <f>ROUND(R107*100/107,2)</f>
        <v>0</v>
      </c>
      <c r="Q107" s="27">
        <f>P107*0.07</f>
        <v>0</v>
      </c>
      <c r="R107" s="32">
        <f>D107+J107-M107</f>
        <v>0</v>
      </c>
    </row>
    <row r="108" spans="1:18" ht="19.2" thickBot="1">
      <c r="A108" s="42"/>
      <c r="B108" s="191" t="s">
        <v>19</v>
      </c>
      <c r="C108" s="192"/>
      <c r="D108" s="43">
        <f>SUM(D105:D107)</f>
        <v>0</v>
      </c>
      <c r="E108" s="43"/>
      <c r="F108" s="43"/>
      <c r="G108" s="44"/>
      <c r="H108" s="44">
        <f>SUM(H105:H107)</f>
        <v>0</v>
      </c>
      <c r="I108" s="44">
        <f>SUM(I105:I107)</f>
        <v>0</v>
      </c>
      <c r="J108" s="44">
        <f>SUM(J105:J107)</f>
        <v>0</v>
      </c>
      <c r="K108" s="45"/>
      <c r="L108" s="46"/>
      <c r="M108" s="47">
        <f>SUM(M105:M107)</f>
        <v>0</v>
      </c>
      <c r="N108" s="48"/>
      <c r="O108" s="43"/>
      <c r="P108" s="49">
        <f>ROUND(R108*100/107,2)</f>
        <v>0</v>
      </c>
      <c r="Q108" s="49">
        <f>P108*0.07</f>
        <v>0</v>
      </c>
      <c r="R108" s="50">
        <f>SUM(R105:R107)</f>
        <v>0</v>
      </c>
    </row>
    <row r="109" spans="1:18" ht="19.8" thickTop="1" thickBot="1">
      <c r="A109" s="120"/>
      <c r="B109" s="193" t="s">
        <v>53</v>
      </c>
      <c r="C109" s="194"/>
      <c r="D109" s="106">
        <f>+D11+D16+D21+D26+D32+D37+D42+D47+D52+D57+D68+D73+D78+D83+D88+D93+D98+D103+D108</f>
        <v>0</v>
      </c>
      <c r="E109" s="106"/>
      <c r="F109" s="106"/>
      <c r="G109" s="106"/>
      <c r="H109" s="106">
        <f>+H11+H16+H21+H26+H32+H37+H42+H47+H52+H57+H68+H73+H78+H83+H88+H93+H98+H103+H108</f>
        <v>5530855.9100000001</v>
      </c>
      <c r="I109" s="106">
        <f>+I11+I16+I21+I26+I32+I37+I42+I47+I52+I57+I68+I73+I78+I83+I88+I93+I98+I103+I108</f>
        <v>0</v>
      </c>
      <c r="J109" s="106">
        <f>+J11+J16+J21+J26+J32+J37+J42+J47+J52+J57+J68+J73+J78+J83+J88+J93+J98+J103+J108</f>
        <v>5530855.9100000001</v>
      </c>
      <c r="K109" s="114"/>
      <c r="L109" s="114"/>
      <c r="M109" s="107">
        <f>+M11+M16+M21+M26+M32+M37+M42+M47+M52+M57+M68+M73+M78+M83+M88+M93+M98+M103+M108</f>
        <v>0</v>
      </c>
      <c r="N109" s="108"/>
      <c r="O109" s="106"/>
      <c r="P109" s="106">
        <f>+P11+P16+P21+P26+P32+P37+P42+P47+P52+P57+P68+P73+P78+P83+P88+P93+P98+P103+P108</f>
        <v>5530855.9100000001</v>
      </c>
      <c r="Q109" s="106">
        <f>+Q11+Q16+Q21+Q26+Q32+Q37+Q42+Q47+Q52+Q57+Q68+Q73+Q78+Q83+Q88+Q93+Q98+Q103+Q108</f>
        <v>0</v>
      </c>
      <c r="R109" s="106">
        <f>+R11+R16+R21+R26+R32+R37+R42+R47+R52+R57+R68+R73+R78+R83+R88+R93+R98+R103+R108</f>
        <v>5530855.9100000001</v>
      </c>
    </row>
    <row r="110" spans="1:18" ht="19.2" thickTop="1">
      <c r="A110" s="120"/>
      <c r="B110" s="121"/>
      <c r="C110" s="121"/>
      <c r="D110" s="121"/>
      <c r="E110" s="121"/>
      <c r="F110" s="121"/>
      <c r="G110" s="121"/>
      <c r="H110" s="121"/>
      <c r="I110" s="121"/>
      <c r="J110" s="121"/>
      <c r="K110" s="122"/>
      <c r="L110" s="123"/>
      <c r="M110" s="124"/>
      <c r="N110" s="125"/>
      <c r="O110" s="121"/>
      <c r="P110" s="121"/>
      <c r="Q110" s="121"/>
      <c r="R110" s="126"/>
    </row>
    <row r="111" spans="1:18" ht="6.75" customHeight="1">
      <c r="A111" s="120"/>
      <c r="B111" s="121"/>
      <c r="C111" s="121"/>
      <c r="D111" s="121"/>
      <c r="E111" s="121"/>
      <c r="F111" s="121"/>
      <c r="G111" s="121"/>
      <c r="H111" s="121"/>
      <c r="I111" s="121"/>
      <c r="J111" s="121"/>
      <c r="K111" s="122"/>
      <c r="L111" s="123"/>
      <c r="M111" s="124"/>
      <c r="N111" s="125"/>
      <c r="O111" s="121"/>
      <c r="P111" s="121"/>
      <c r="Q111" s="121"/>
      <c r="R111" s="126"/>
    </row>
    <row r="112" spans="1:18" ht="18.600000000000001">
      <c r="A112" s="120"/>
      <c r="B112" s="121"/>
      <c r="C112" s="121"/>
      <c r="D112" s="121"/>
      <c r="E112" s="127"/>
      <c r="F112" s="127"/>
      <c r="G112" s="121"/>
      <c r="H112" s="121"/>
      <c r="I112" s="121"/>
      <c r="J112" s="121"/>
      <c r="K112" s="122"/>
      <c r="L112" s="123"/>
      <c r="M112" s="124"/>
      <c r="N112" s="189" t="s">
        <v>54</v>
      </c>
      <c r="O112" s="189"/>
      <c r="P112" s="189"/>
      <c r="Q112" s="121"/>
      <c r="R112" s="126"/>
    </row>
    <row r="113" spans="1:18" ht="18.600000000000001">
      <c r="B113" s="128"/>
      <c r="C113" s="121"/>
      <c r="D113" s="121"/>
      <c r="E113" s="121"/>
      <c r="F113" s="121"/>
      <c r="G113" s="121"/>
      <c r="H113" s="190"/>
      <c r="I113" s="190"/>
      <c r="J113" s="190"/>
      <c r="K113" s="122"/>
      <c r="L113" s="123"/>
      <c r="M113" s="124"/>
      <c r="N113" s="125"/>
      <c r="O113" s="121" t="s">
        <v>55</v>
      </c>
      <c r="P113" s="121"/>
      <c r="Q113" s="121"/>
      <c r="R113" s="126"/>
    </row>
    <row r="114" spans="1:18" ht="18.600000000000001">
      <c r="A114" s="129"/>
      <c r="B114" s="130"/>
      <c r="C114" s="129"/>
      <c r="D114" s="131"/>
      <c r="E114" s="129"/>
      <c r="F114" s="129"/>
      <c r="G114" s="132"/>
      <c r="H114" s="132"/>
      <c r="I114" s="132"/>
      <c r="J114" s="133"/>
      <c r="K114" s="134"/>
      <c r="L114" s="135"/>
      <c r="M114" s="136"/>
      <c r="N114" s="137"/>
      <c r="O114" s="132"/>
      <c r="P114" s="132"/>
      <c r="Q114" s="132"/>
      <c r="R114" s="138"/>
    </row>
  </sheetData>
  <mergeCells count="54">
    <mergeCell ref="A1:R1"/>
    <mergeCell ref="A2:R2"/>
    <mergeCell ref="A3:R3"/>
    <mergeCell ref="A4:A6"/>
    <mergeCell ref="B4:B6"/>
    <mergeCell ref="C4:C6"/>
    <mergeCell ref="D4:D6"/>
    <mergeCell ref="E4:J4"/>
    <mergeCell ref="K4:M4"/>
    <mergeCell ref="N4:R4"/>
    <mergeCell ref="M5:M6"/>
    <mergeCell ref="N5:N6"/>
    <mergeCell ref="O5:O6"/>
    <mergeCell ref="P5:R5"/>
    <mergeCell ref="K5:K6"/>
    <mergeCell ref="L5:L6"/>
    <mergeCell ref="B13:C13"/>
    <mergeCell ref="E5:E6"/>
    <mergeCell ref="F5:F6"/>
    <mergeCell ref="G5:G6"/>
    <mergeCell ref="H5:J5"/>
    <mergeCell ref="B11:C11"/>
    <mergeCell ref="B41:C41"/>
    <mergeCell ref="B14:C14"/>
    <mergeCell ref="B15:C15"/>
    <mergeCell ref="B16:C16"/>
    <mergeCell ref="B21:C21"/>
    <mergeCell ref="B26:C26"/>
    <mergeCell ref="B29:C29"/>
    <mergeCell ref="B31:C31"/>
    <mergeCell ref="B32:C32"/>
    <mergeCell ref="B37:C37"/>
    <mergeCell ref="B39:C39"/>
    <mergeCell ref="B40:C40"/>
    <mergeCell ref="B83:C83"/>
    <mergeCell ref="B42:C42"/>
    <mergeCell ref="B47:C47"/>
    <mergeCell ref="B52:C52"/>
    <mergeCell ref="B57:C57"/>
    <mergeCell ref="B67:C67"/>
    <mergeCell ref="B68:C68"/>
    <mergeCell ref="B73:C73"/>
    <mergeCell ref="B78:C78"/>
    <mergeCell ref="B80:C80"/>
    <mergeCell ref="B81:C81"/>
    <mergeCell ref="B82:C82"/>
    <mergeCell ref="N112:P112"/>
    <mergeCell ref="H113:J113"/>
    <mergeCell ref="B88:C88"/>
    <mergeCell ref="B93:C93"/>
    <mergeCell ref="B98:C98"/>
    <mergeCell ref="B103:C103"/>
    <mergeCell ref="B108:C108"/>
    <mergeCell ref="B109:C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44B9-5B5F-45F7-825F-64287122D538}">
  <sheetPr>
    <tabColor rgb="FF92D050"/>
  </sheetPr>
  <dimension ref="A1:F14"/>
  <sheetViews>
    <sheetView workbookViewId="0">
      <pane ySplit="6" topLeftCell="A7" activePane="bottomLeft" state="frozen"/>
      <selection pane="bottomLeft" activeCell="A3" sqref="A3:F3"/>
    </sheetView>
  </sheetViews>
  <sheetFormatPr defaultColWidth="10.375" defaultRowHeight="14.4"/>
  <cols>
    <col min="1" max="1" width="10.375" style="1"/>
    <col min="2" max="2" width="33.25" style="1" customWidth="1"/>
    <col min="3" max="3" width="10.375" style="1"/>
    <col min="4" max="4" width="10.375" style="139"/>
    <col min="5" max="5" width="11.625" style="139" bestFit="1" customWidth="1"/>
    <col min="6" max="6" width="10.375" style="139"/>
    <col min="7" max="242" width="10.375" style="1"/>
    <col min="243" max="243" width="33.25" style="1" customWidth="1"/>
    <col min="244" max="248" width="10.375" style="1"/>
    <col min="249" max="249" width="13.625" style="1" customWidth="1"/>
    <col min="250" max="250" width="10.375" style="1"/>
    <col min="251" max="251" width="14.375" style="1" customWidth="1"/>
    <col min="252" max="252" width="10.375" style="1"/>
    <col min="253" max="253" width="11.625" style="1" bestFit="1" customWidth="1"/>
    <col min="254" max="256" width="10.375" style="1"/>
    <col min="257" max="257" width="12.875" style="1" customWidth="1"/>
    <col min="258" max="258" width="10.375" style="1"/>
    <col min="259" max="259" width="13" style="1" customWidth="1"/>
    <col min="260" max="498" width="10.375" style="1"/>
    <col min="499" max="499" width="33.25" style="1" customWidth="1"/>
    <col min="500" max="504" width="10.375" style="1"/>
    <col min="505" max="505" width="13.625" style="1" customWidth="1"/>
    <col min="506" max="506" width="10.375" style="1"/>
    <col min="507" max="507" width="14.375" style="1" customWidth="1"/>
    <col min="508" max="508" width="10.375" style="1"/>
    <col min="509" max="509" width="11.625" style="1" bestFit="1" customWidth="1"/>
    <col min="510" max="512" width="10.375" style="1"/>
    <col min="513" max="513" width="12.875" style="1" customWidth="1"/>
    <col min="514" max="514" width="10.375" style="1"/>
    <col min="515" max="515" width="13" style="1" customWidth="1"/>
    <col min="516" max="754" width="10.375" style="1"/>
    <col min="755" max="755" width="33.25" style="1" customWidth="1"/>
    <col min="756" max="760" width="10.375" style="1"/>
    <col min="761" max="761" width="13.625" style="1" customWidth="1"/>
    <col min="762" max="762" width="10.375" style="1"/>
    <col min="763" max="763" width="14.375" style="1" customWidth="1"/>
    <col min="764" max="764" width="10.375" style="1"/>
    <col min="765" max="765" width="11.625" style="1" bestFit="1" customWidth="1"/>
    <col min="766" max="768" width="10.375" style="1"/>
    <col min="769" max="769" width="12.875" style="1" customWidth="1"/>
    <col min="770" max="770" width="10.375" style="1"/>
    <col min="771" max="771" width="13" style="1" customWidth="1"/>
    <col min="772" max="1010" width="10.375" style="1"/>
    <col min="1011" max="1011" width="33.25" style="1" customWidth="1"/>
    <col min="1012" max="1016" width="10.375" style="1"/>
    <col min="1017" max="1017" width="13.625" style="1" customWidth="1"/>
    <col min="1018" max="1018" width="10.375" style="1"/>
    <col min="1019" max="1019" width="14.375" style="1" customWidth="1"/>
    <col min="1020" max="1020" width="10.375" style="1"/>
    <col min="1021" max="1021" width="11.625" style="1" bestFit="1" customWidth="1"/>
    <col min="1022" max="1024" width="10.375" style="1"/>
    <col min="1025" max="1025" width="12.875" style="1" customWidth="1"/>
    <col min="1026" max="1026" width="10.375" style="1"/>
    <col min="1027" max="1027" width="13" style="1" customWidth="1"/>
    <col min="1028" max="1266" width="10.375" style="1"/>
    <col min="1267" max="1267" width="33.25" style="1" customWidth="1"/>
    <col min="1268" max="1272" width="10.375" style="1"/>
    <col min="1273" max="1273" width="13.625" style="1" customWidth="1"/>
    <col min="1274" max="1274" width="10.375" style="1"/>
    <col min="1275" max="1275" width="14.375" style="1" customWidth="1"/>
    <col min="1276" max="1276" width="10.375" style="1"/>
    <col min="1277" max="1277" width="11.625" style="1" bestFit="1" customWidth="1"/>
    <col min="1278" max="1280" width="10.375" style="1"/>
    <col min="1281" max="1281" width="12.875" style="1" customWidth="1"/>
    <col min="1282" max="1282" width="10.375" style="1"/>
    <col min="1283" max="1283" width="13" style="1" customWidth="1"/>
    <col min="1284" max="1522" width="10.375" style="1"/>
    <col min="1523" max="1523" width="33.25" style="1" customWidth="1"/>
    <col min="1524" max="1528" width="10.375" style="1"/>
    <col min="1529" max="1529" width="13.625" style="1" customWidth="1"/>
    <col min="1530" max="1530" width="10.375" style="1"/>
    <col min="1531" max="1531" width="14.375" style="1" customWidth="1"/>
    <col min="1532" max="1532" width="10.375" style="1"/>
    <col min="1533" max="1533" width="11.625" style="1" bestFit="1" customWidth="1"/>
    <col min="1534" max="1536" width="10.375" style="1"/>
    <col min="1537" max="1537" width="12.875" style="1" customWidth="1"/>
    <col min="1538" max="1538" width="10.375" style="1"/>
    <col min="1539" max="1539" width="13" style="1" customWidth="1"/>
    <col min="1540" max="1778" width="10.375" style="1"/>
    <col min="1779" max="1779" width="33.25" style="1" customWidth="1"/>
    <col min="1780" max="1784" width="10.375" style="1"/>
    <col min="1785" max="1785" width="13.625" style="1" customWidth="1"/>
    <col min="1786" max="1786" width="10.375" style="1"/>
    <col min="1787" max="1787" width="14.375" style="1" customWidth="1"/>
    <col min="1788" max="1788" width="10.375" style="1"/>
    <col min="1789" max="1789" width="11.625" style="1" bestFit="1" customWidth="1"/>
    <col min="1790" max="1792" width="10.375" style="1"/>
    <col min="1793" max="1793" width="12.875" style="1" customWidth="1"/>
    <col min="1794" max="1794" width="10.375" style="1"/>
    <col min="1795" max="1795" width="13" style="1" customWidth="1"/>
    <col min="1796" max="2034" width="10.375" style="1"/>
    <col min="2035" max="2035" width="33.25" style="1" customWidth="1"/>
    <col min="2036" max="2040" width="10.375" style="1"/>
    <col min="2041" max="2041" width="13.625" style="1" customWidth="1"/>
    <col min="2042" max="2042" width="10.375" style="1"/>
    <col min="2043" max="2043" width="14.375" style="1" customWidth="1"/>
    <col min="2044" max="2044" width="10.375" style="1"/>
    <col min="2045" max="2045" width="11.625" style="1" bestFit="1" customWidth="1"/>
    <col min="2046" max="2048" width="10.375" style="1"/>
    <col min="2049" max="2049" width="12.875" style="1" customWidth="1"/>
    <col min="2050" max="2050" width="10.375" style="1"/>
    <col min="2051" max="2051" width="13" style="1" customWidth="1"/>
    <col min="2052" max="2290" width="10.375" style="1"/>
    <col min="2291" max="2291" width="33.25" style="1" customWidth="1"/>
    <col min="2292" max="2296" width="10.375" style="1"/>
    <col min="2297" max="2297" width="13.625" style="1" customWidth="1"/>
    <col min="2298" max="2298" width="10.375" style="1"/>
    <col min="2299" max="2299" width="14.375" style="1" customWidth="1"/>
    <col min="2300" max="2300" width="10.375" style="1"/>
    <col min="2301" max="2301" width="11.625" style="1" bestFit="1" customWidth="1"/>
    <col min="2302" max="2304" width="10.375" style="1"/>
    <col min="2305" max="2305" width="12.875" style="1" customWidth="1"/>
    <col min="2306" max="2306" width="10.375" style="1"/>
    <col min="2307" max="2307" width="13" style="1" customWidth="1"/>
    <col min="2308" max="2546" width="10.375" style="1"/>
    <col min="2547" max="2547" width="33.25" style="1" customWidth="1"/>
    <col min="2548" max="2552" width="10.375" style="1"/>
    <col min="2553" max="2553" width="13.625" style="1" customWidth="1"/>
    <col min="2554" max="2554" width="10.375" style="1"/>
    <col min="2555" max="2555" width="14.375" style="1" customWidth="1"/>
    <col min="2556" max="2556" width="10.375" style="1"/>
    <col min="2557" max="2557" width="11.625" style="1" bestFit="1" customWidth="1"/>
    <col min="2558" max="2560" width="10.375" style="1"/>
    <col min="2561" max="2561" width="12.875" style="1" customWidth="1"/>
    <col min="2562" max="2562" width="10.375" style="1"/>
    <col min="2563" max="2563" width="13" style="1" customWidth="1"/>
    <col min="2564" max="2802" width="10.375" style="1"/>
    <col min="2803" max="2803" width="33.25" style="1" customWidth="1"/>
    <col min="2804" max="2808" width="10.375" style="1"/>
    <col min="2809" max="2809" width="13.625" style="1" customWidth="1"/>
    <col min="2810" max="2810" width="10.375" style="1"/>
    <col min="2811" max="2811" width="14.375" style="1" customWidth="1"/>
    <col min="2812" max="2812" width="10.375" style="1"/>
    <col min="2813" max="2813" width="11.625" style="1" bestFit="1" customWidth="1"/>
    <col min="2814" max="2816" width="10.375" style="1"/>
    <col min="2817" max="2817" width="12.875" style="1" customWidth="1"/>
    <col min="2818" max="2818" width="10.375" style="1"/>
    <col min="2819" max="2819" width="13" style="1" customWidth="1"/>
    <col min="2820" max="3058" width="10.375" style="1"/>
    <col min="3059" max="3059" width="33.25" style="1" customWidth="1"/>
    <col min="3060" max="3064" width="10.375" style="1"/>
    <col min="3065" max="3065" width="13.625" style="1" customWidth="1"/>
    <col min="3066" max="3066" width="10.375" style="1"/>
    <col min="3067" max="3067" width="14.375" style="1" customWidth="1"/>
    <col min="3068" max="3068" width="10.375" style="1"/>
    <col min="3069" max="3069" width="11.625" style="1" bestFit="1" customWidth="1"/>
    <col min="3070" max="3072" width="10.375" style="1"/>
    <col min="3073" max="3073" width="12.875" style="1" customWidth="1"/>
    <col min="3074" max="3074" width="10.375" style="1"/>
    <col min="3075" max="3075" width="13" style="1" customWidth="1"/>
    <col min="3076" max="3314" width="10.375" style="1"/>
    <col min="3315" max="3315" width="33.25" style="1" customWidth="1"/>
    <col min="3316" max="3320" width="10.375" style="1"/>
    <col min="3321" max="3321" width="13.625" style="1" customWidth="1"/>
    <col min="3322" max="3322" width="10.375" style="1"/>
    <col min="3323" max="3323" width="14.375" style="1" customWidth="1"/>
    <col min="3324" max="3324" width="10.375" style="1"/>
    <col min="3325" max="3325" width="11.625" style="1" bestFit="1" customWidth="1"/>
    <col min="3326" max="3328" width="10.375" style="1"/>
    <col min="3329" max="3329" width="12.875" style="1" customWidth="1"/>
    <col min="3330" max="3330" width="10.375" style="1"/>
    <col min="3331" max="3331" width="13" style="1" customWidth="1"/>
    <col min="3332" max="3570" width="10.375" style="1"/>
    <col min="3571" max="3571" width="33.25" style="1" customWidth="1"/>
    <col min="3572" max="3576" width="10.375" style="1"/>
    <col min="3577" max="3577" width="13.625" style="1" customWidth="1"/>
    <col min="3578" max="3578" width="10.375" style="1"/>
    <col min="3579" max="3579" width="14.375" style="1" customWidth="1"/>
    <col min="3580" max="3580" width="10.375" style="1"/>
    <col min="3581" max="3581" width="11.625" style="1" bestFit="1" customWidth="1"/>
    <col min="3582" max="3584" width="10.375" style="1"/>
    <col min="3585" max="3585" width="12.875" style="1" customWidth="1"/>
    <col min="3586" max="3586" width="10.375" style="1"/>
    <col min="3587" max="3587" width="13" style="1" customWidth="1"/>
    <col min="3588" max="3826" width="10.375" style="1"/>
    <col min="3827" max="3827" width="33.25" style="1" customWidth="1"/>
    <col min="3828" max="3832" width="10.375" style="1"/>
    <col min="3833" max="3833" width="13.625" style="1" customWidth="1"/>
    <col min="3834" max="3834" width="10.375" style="1"/>
    <col min="3835" max="3835" width="14.375" style="1" customWidth="1"/>
    <col min="3836" max="3836" width="10.375" style="1"/>
    <col min="3837" max="3837" width="11.625" style="1" bestFit="1" customWidth="1"/>
    <col min="3838" max="3840" width="10.375" style="1"/>
    <col min="3841" max="3841" width="12.875" style="1" customWidth="1"/>
    <col min="3842" max="3842" width="10.375" style="1"/>
    <col min="3843" max="3843" width="13" style="1" customWidth="1"/>
    <col min="3844" max="4082" width="10.375" style="1"/>
    <col min="4083" max="4083" width="33.25" style="1" customWidth="1"/>
    <col min="4084" max="4088" width="10.375" style="1"/>
    <col min="4089" max="4089" width="13.625" style="1" customWidth="1"/>
    <col min="4090" max="4090" width="10.375" style="1"/>
    <col min="4091" max="4091" width="14.375" style="1" customWidth="1"/>
    <col min="4092" max="4092" width="10.375" style="1"/>
    <col min="4093" max="4093" width="11.625" style="1" bestFit="1" customWidth="1"/>
    <col min="4094" max="4096" width="10.375" style="1"/>
    <col min="4097" max="4097" width="12.875" style="1" customWidth="1"/>
    <col min="4098" max="4098" width="10.375" style="1"/>
    <col min="4099" max="4099" width="13" style="1" customWidth="1"/>
    <col min="4100" max="4338" width="10.375" style="1"/>
    <col min="4339" max="4339" width="33.25" style="1" customWidth="1"/>
    <col min="4340" max="4344" width="10.375" style="1"/>
    <col min="4345" max="4345" width="13.625" style="1" customWidth="1"/>
    <col min="4346" max="4346" width="10.375" style="1"/>
    <col min="4347" max="4347" width="14.375" style="1" customWidth="1"/>
    <col min="4348" max="4348" width="10.375" style="1"/>
    <col min="4349" max="4349" width="11.625" style="1" bestFit="1" customWidth="1"/>
    <col min="4350" max="4352" width="10.375" style="1"/>
    <col min="4353" max="4353" width="12.875" style="1" customWidth="1"/>
    <col min="4354" max="4354" width="10.375" style="1"/>
    <col min="4355" max="4355" width="13" style="1" customWidth="1"/>
    <col min="4356" max="4594" width="10.375" style="1"/>
    <col min="4595" max="4595" width="33.25" style="1" customWidth="1"/>
    <col min="4596" max="4600" width="10.375" style="1"/>
    <col min="4601" max="4601" width="13.625" style="1" customWidth="1"/>
    <col min="4602" max="4602" width="10.375" style="1"/>
    <col min="4603" max="4603" width="14.375" style="1" customWidth="1"/>
    <col min="4604" max="4604" width="10.375" style="1"/>
    <col min="4605" max="4605" width="11.625" style="1" bestFit="1" customWidth="1"/>
    <col min="4606" max="4608" width="10.375" style="1"/>
    <col min="4609" max="4609" width="12.875" style="1" customWidth="1"/>
    <col min="4610" max="4610" width="10.375" style="1"/>
    <col min="4611" max="4611" width="13" style="1" customWidth="1"/>
    <col min="4612" max="4850" width="10.375" style="1"/>
    <col min="4851" max="4851" width="33.25" style="1" customWidth="1"/>
    <col min="4852" max="4856" width="10.375" style="1"/>
    <col min="4857" max="4857" width="13.625" style="1" customWidth="1"/>
    <col min="4858" max="4858" width="10.375" style="1"/>
    <col min="4859" max="4859" width="14.375" style="1" customWidth="1"/>
    <col min="4860" max="4860" width="10.375" style="1"/>
    <col min="4861" max="4861" width="11.625" style="1" bestFit="1" customWidth="1"/>
    <col min="4862" max="4864" width="10.375" style="1"/>
    <col min="4865" max="4865" width="12.875" style="1" customWidth="1"/>
    <col min="4866" max="4866" width="10.375" style="1"/>
    <col min="4867" max="4867" width="13" style="1" customWidth="1"/>
    <col min="4868" max="5106" width="10.375" style="1"/>
    <col min="5107" max="5107" width="33.25" style="1" customWidth="1"/>
    <col min="5108" max="5112" width="10.375" style="1"/>
    <col min="5113" max="5113" width="13.625" style="1" customWidth="1"/>
    <col min="5114" max="5114" width="10.375" style="1"/>
    <col min="5115" max="5115" width="14.375" style="1" customWidth="1"/>
    <col min="5116" max="5116" width="10.375" style="1"/>
    <col min="5117" max="5117" width="11.625" style="1" bestFit="1" customWidth="1"/>
    <col min="5118" max="5120" width="10.375" style="1"/>
    <col min="5121" max="5121" width="12.875" style="1" customWidth="1"/>
    <col min="5122" max="5122" width="10.375" style="1"/>
    <col min="5123" max="5123" width="13" style="1" customWidth="1"/>
    <col min="5124" max="5362" width="10.375" style="1"/>
    <col min="5363" max="5363" width="33.25" style="1" customWidth="1"/>
    <col min="5364" max="5368" width="10.375" style="1"/>
    <col min="5369" max="5369" width="13.625" style="1" customWidth="1"/>
    <col min="5370" max="5370" width="10.375" style="1"/>
    <col min="5371" max="5371" width="14.375" style="1" customWidth="1"/>
    <col min="5372" max="5372" width="10.375" style="1"/>
    <col min="5373" max="5373" width="11.625" style="1" bestFit="1" customWidth="1"/>
    <col min="5374" max="5376" width="10.375" style="1"/>
    <col min="5377" max="5377" width="12.875" style="1" customWidth="1"/>
    <col min="5378" max="5378" width="10.375" style="1"/>
    <col min="5379" max="5379" width="13" style="1" customWidth="1"/>
    <col min="5380" max="5618" width="10.375" style="1"/>
    <col min="5619" max="5619" width="33.25" style="1" customWidth="1"/>
    <col min="5620" max="5624" width="10.375" style="1"/>
    <col min="5625" max="5625" width="13.625" style="1" customWidth="1"/>
    <col min="5626" max="5626" width="10.375" style="1"/>
    <col min="5627" max="5627" width="14.375" style="1" customWidth="1"/>
    <col min="5628" max="5628" width="10.375" style="1"/>
    <col min="5629" max="5629" width="11.625" style="1" bestFit="1" customWidth="1"/>
    <col min="5630" max="5632" width="10.375" style="1"/>
    <col min="5633" max="5633" width="12.875" style="1" customWidth="1"/>
    <col min="5634" max="5634" width="10.375" style="1"/>
    <col min="5635" max="5635" width="13" style="1" customWidth="1"/>
    <col min="5636" max="5874" width="10.375" style="1"/>
    <col min="5875" max="5875" width="33.25" style="1" customWidth="1"/>
    <col min="5876" max="5880" width="10.375" style="1"/>
    <col min="5881" max="5881" width="13.625" style="1" customWidth="1"/>
    <col min="5882" max="5882" width="10.375" style="1"/>
    <col min="5883" max="5883" width="14.375" style="1" customWidth="1"/>
    <col min="5884" max="5884" width="10.375" style="1"/>
    <col min="5885" max="5885" width="11.625" style="1" bestFit="1" customWidth="1"/>
    <col min="5886" max="5888" width="10.375" style="1"/>
    <col min="5889" max="5889" width="12.875" style="1" customWidth="1"/>
    <col min="5890" max="5890" width="10.375" style="1"/>
    <col min="5891" max="5891" width="13" style="1" customWidth="1"/>
    <col min="5892" max="6130" width="10.375" style="1"/>
    <col min="6131" max="6131" width="33.25" style="1" customWidth="1"/>
    <col min="6132" max="6136" width="10.375" style="1"/>
    <col min="6137" max="6137" width="13.625" style="1" customWidth="1"/>
    <col min="6138" max="6138" width="10.375" style="1"/>
    <col min="6139" max="6139" width="14.375" style="1" customWidth="1"/>
    <col min="6140" max="6140" width="10.375" style="1"/>
    <col min="6141" max="6141" width="11.625" style="1" bestFit="1" customWidth="1"/>
    <col min="6142" max="6144" width="10.375" style="1"/>
    <col min="6145" max="6145" width="12.875" style="1" customWidth="1"/>
    <col min="6146" max="6146" width="10.375" style="1"/>
    <col min="6147" max="6147" width="13" style="1" customWidth="1"/>
    <col min="6148" max="6386" width="10.375" style="1"/>
    <col min="6387" max="6387" width="33.25" style="1" customWidth="1"/>
    <col min="6388" max="6392" width="10.375" style="1"/>
    <col min="6393" max="6393" width="13.625" style="1" customWidth="1"/>
    <col min="6394" max="6394" width="10.375" style="1"/>
    <col min="6395" max="6395" width="14.375" style="1" customWidth="1"/>
    <col min="6396" max="6396" width="10.375" style="1"/>
    <col min="6397" max="6397" width="11.625" style="1" bestFit="1" customWidth="1"/>
    <col min="6398" max="6400" width="10.375" style="1"/>
    <col min="6401" max="6401" width="12.875" style="1" customWidth="1"/>
    <col min="6402" max="6402" width="10.375" style="1"/>
    <col min="6403" max="6403" width="13" style="1" customWidth="1"/>
    <col min="6404" max="6642" width="10.375" style="1"/>
    <col min="6643" max="6643" width="33.25" style="1" customWidth="1"/>
    <col min="6644" max="6648" width="10.375" style="1"/>
    <col min="6649" max="6649" width="13.625" style="1" customWidth="1"/>
    <col min="6650" max="6650" width="10.375" style="1"/>
    <col min="6651" max="6651" width="14.375" style="1" customWidth="1"/>
    <col min="6652" max="6652" width="10.375" style="1"/>
    <col min="6653" max="6653" width="11.625" style="1" bestFit="1" customWidth="1"/>
    <col min="6654" max="6656" width="10.375" style="1"/>
    <col min="6657" max="6657" width="12.875" style="1" customWidth="1"/>
    <col min="6658" max="6658" width="10.375" style="1"/>
    <col min="6659" max="6659" width="13" style="1" customWidth="1"/>
    <col min="6660" max="6898" width="10.375" style="1"/>
    <col min="6899" max="6899" width="33.25" style="1" customWidth="1"/>
    <col min="6900" max="6904" width="10.375" style="1"/>
    <col min="6905" max="6905" width="13.625" style="1" customWidth="1"/>
    <col min="6906" max="6906" width="10.375" style="1"/>
    <col min="6907" max="6907" width="14.375" style="1" customWidth="1"/>
    <col min="6908" max="6908" width="10.375" style="1"/>
    <col min="6909" max="6909" width="11.625" style="1" bestFit="1" customWidth="1"/>
    <col min="6910" max="6912" width="10.375" style="1"/>
    <col min="6913" max="6913" width="12.875" style="1" customWidth="1"/>
    <col min="6914" max="6914" width="10.375" style="1"/>
    <col min="6915" max="6915" width="13" style="1" customWidth="1"/>
    <col min="6916" max="7154" width="10.375" style="1"/>
    <col min="7155" max="7155" width="33.25" style="1" customWidth="1"/>
    <col min="7156" max="7160" width="10.375" style="1"/>
    <col min="7161" max="7161" width="13.625" style="1" customWidth="1"/>
    <col min="7162" max="7162" width="10.375" style="1"/>
    <col min="7163" max="7163" width="14.375" style="1" customWidth="1"/>
    <col min="7164" max="7164" width="10.375" style="1"/>
    <col min="7165" max="7165" width="11.625" style="1" bestFit="1" customWidth="1"/>
    <col min="7166" max="7168" width="10.375" style="1"/>
    <col min="7169" max="7169" width="12.875" style="1" customWidth="1"/>
    <col min="7170" max="7170" width="10.375" style="1"/>
    <col min="7171" max="7171" width="13" style="1" customWidth="1"/>
    <col min="7172" max="7410" width="10.375" style="1"/>
    <col min="7411" max="7411" width="33.25" style="1" customWidth="1"/>
    <col min="7412" max="7416" width="10.375" style="1"/>
    <col min="7417" max="7417" width="13.625" style="1" customWidth="1"/>
    <col min="7418" max="7418" width="10.375" style="1"/>
    <col min="7419" max="7419" width="14.375" style="1" customWidth="1"/>
    <col min="7420" max="7420" width="10.375" style="1"/>
    <col min="7421" max="7421" width="11.625" style="1" bestFit="1" customWidth="1"/>
    <col min="7422" max="7424" width="10.375" style="1"/>
    <col min="7425" max="7425" width="12.875" style="1" customWidth="1"/>
    <col min="7426" max="7426" width="10.375" style="1"/>
    <col min="7427" max="7427" width="13" style="1" customWidth="1"/>
    <col min="7428" max="7666" width="10.375" style="1"/>
    <col min="7667" max="7667" width="33.25" style="1" customWidth="1"/>
    <col min="7668" max="7672" width="10.375" style="1"/>
    <col min="7673" max="7673" width="13.625" style="1" customWidth="1"/>
    <col min="7674" max="7674" width="10.375" style="1"/>
    <col min="7675" max="7675" width="14.375" style="1" customWidth="1"/>
    <col min="7676" max="7676" width="10.375" style="1"/>
    <col min="7677" max="7677" width="11.625" style="1" bestFit="1" customWidth="1"/>
    <col min="7678" max="7680" width="10.375" style="1"/>
    <col min="7681" max="7681" width="12.875" style="1" customWidth="1"/>
    <col min="7682" max="7682" width="10.375" style="1"/>
    <col min="7683" max="7683" width="13" style="1" customWidth="1"/>
    <col min="7684" max="7922" width="10.375" style="1"/>
    <col min="7923" max="7923" width="33.25" style="1" customWidth="1"/>
    <col min="7924" max="7928" width="10.375" style="1"/>
    <col min="7929" max="7929" width="13.625" style="1" customWidth="1"/>
    <col min="7930" max="7930" width="10.375" style="1"/>
    <col min="7931" max="7931" width="14.375" style="1" customWidth="1"/>
    <col min="7932" max="7932" width="10.375" style="1"/>
    <col min="7933" max="7933" width="11.625" style="1" bestFit="1" customWidth="1"/>
    <col min="7934" max="7936" width="10.375" style="1"/>
    <col min="7937" max="7937" width="12.875" style="1" customWidth="1"/>
    <col min="7938" max="7938" width="10.375" style="1"/>
    <col min="7939" max="7939" width="13" style="1" customWidth="1"/>
    <col min="7940" max="8178" width="10.375" style="1"/>
    <col min="8179" max="8179" width="33.25" style="1" customWidth="1"/>
    <col min="8180" max="8184" width="10.375" style="1"/>
    <col min="8185" max="8185" width="13.625" style="1" customWidth="1"/>
    <col min="8186" max="8186" width="10.375" style="1"/>
    <col min="8187" max="8187" width="14.375" style="1" customWidth="1"/>
    <col min="8188" max="8188" width="10.375" style="1"/>
    <col min="8189" max="8189" width="11.625" style="1" bestFit="1" customWidth="1"/>
    <col min="8190" max="8192" width="10.375" style="1"/>
    <col min="8193" max="8193" width="12.875" style="1" customWidth="1"/>
    <col min="8194" max="8194" width="10.375" style="1"/>
    <col min="8195" max="8195" width="13" style="1" customWidth="1"/>
    <col min="8196" max="8434" width="10.375" style="1"/>
    <col min="8435" max="8435" width="33.25" style="1" customWidth="1"/>
    <col min="8436" max="8440" width="10.375" style="1"/>
    <col min="8441" max="8441" width="13.625" style="1" customWidth="1"/>
    <col min="8442" max="8442" width="10.375" style="1"/>
    <col min="8443" max="8443" width="14.375" style="1" customWidth="1"/>
    <col min="8444" max="8444" width="10.375" style="1"/>
    <col min="8445" max="8445" width="11.625" style="1" bestFit="1" customWidth="1"/>
    <col min="8446" max="8448" width="10.375" style="1"/>
    <col min="8449" max="8449" width="12.875" style="1" customWidth="1"/>
    <col min="8450" max="8450" width="10.375" style="1"/>
    <col min="8451" max="8451" width="13" style="1" customWidth="1"/>
    <col min="8452" max="8690" width="10.375" style="1"/>
    <col min="8691" max="8691" width="33.25" style="1" customWidth="1"/>
    <col min="8692" max="8696" width="10.375" style="1"/>
    <col min="8697" max="8697" width="13.625" style="1" customWidth="1"/>
    <col min="8698" max="8698" width="10.375" style="1"/>
    <col min="8699" max="8699" width="14.375" style="1" customWidth="1"/>
    <col min="8700" max="8700" width="10.375" style="1"/>
    <col min="8701" max="8701" width="11.625" style="1" bestFit="1" customWidth="1"/>
    <col min="8702" max="8704" width="10.375" style="1"/>
    <col min="8705" max="8705" width="12.875" style="1" customWidth="1"/>
    <col min="8706" max="8706" width="10.375" style="1"/>
    <col min="8707" max="8707" width="13" style="1" customWidth="1"/>
    <col min="8708" max="8946" width="10.375" style="1"/>
    <col min="8947" max="8947" width="33.25" style="1" customWidth="1"/>
    <col min="8948" max="8952" width="10.375" style="1"/>
    <col min="8953" max="8953" width="13.625" style="1" customWidth="1"/>
    <col min="8954" max="8954" width="10.375" style="1"/>
    <col min="8955" max="8955" width="14.375" style="1" customWidth="1"/>
    <col min="8956" max="8956" width="10.375" style="1"/>
    <col min="8957" max="8957" width="11.625" style="1" bestFit="1" customWidth="1"/>
    <col min="8958" max="8960" width="10.375" style="1"/>
    <col min="8961" max="8961" width="12.875" style="1" customWidth="1"/>
    <col min="8962" max="8962" width="10.375" style="1"/>
    <col min="8963" max="8963" width="13" style="1" customWidth="1"/>
    <col min="8964" max="9202" width="10.375" style="1"/>
    <col min="9203" max="9203" width="33.25" style="1" customWidth="1"/>
    <col min="9204" max="9208" width="10.375" style="1"/>
    <col min="9209" max="9209" width="13.625" style="1" customWidth="1"/>
    <col min="9210" max="9210" width="10.375" style="1"/>
    <col min="9211" max="9211" width="14.375" style="1" customWidth="1"/>
    <col min="9212" max="9212" width="10.375" style="1"/>
    <col min="9213" max="9213" width="11.625" style="1" bestFit="1" customWidth="1"/>
    <col min="9214" max="9216" width="10.375" style="1"/>
    <col min="9217" max="9217" width="12.875" style="1" customWidth="1"/>
    <col min="9218" max="9218" width="10.375" style="1"/>
    <col min="9219" max="9219" width="13" style="1" customWidth="1"/>
    <col min="9220" max="9458" width="10.375" style="1"/>
    <col min="9459" max="9459" width="33.25" style="1" customWidth="1"/>
    <col min="9460" max="9464" width="10.375" style="1"/>
    <col min="9465" max="9465" width="13.625" style="1" customWidth="1"/>
    <col min="9466" max="9466" width="10.375" style="1"/>
    <col min="9467" max="9467" width="14.375" style="1" customWidth="1"/>
    <col min="9468" max="9468" width="10.375" style="1"/>
    <col min="9469" max="9469" width="11.625" style="1" bestFit="1" customWidth="1"/>
    <col min="9470" max="9472" width="10.375" style="1"/>
    <col min="9473" max="9473" width="12.875" style="1" customWidth="1"/>
    <col min="9474" max="9474" width="10.375" style="1"/>
    <col min="9475" max="9475" width="13" style="1" customWidth="1"/>
    <col min="9476" max="9714" width="10.375" style="1"/>
    <col min="9715" max="9715" width="33.25" style="1" customWidth="1"/>
    <col min="9716" max="9720" width="10.375" style="1"/>
    <col min="9721" max="9721" width="13.625" style="1" customWidth="1"/>
    <col min="9722" max="9722" width="10.375" style="1"/>
    <col min="9723" max="9723" width="14.375" style="1" customWidth="1"/>
    <col min="9724" max="9724" width="10.375" style="1"/>
    <col min="9725" max="9725" width="11.625" style="1" bestFit="1" customWidth="1"/>
    <col min="9726" max="9728" width="10.375" style="1"/>
    <col min="9729" max="9729" width="12.875" style="1" customWidth="1"/>
    <col min="9730" max="9730" width="10.375" style="1"/>
    <col min="9731" max="9731" width="13" style="1" customWidth="1"/>
    <col min="9732" max="9970" width="10.375" style="1"/>
    <col min="9971" max="9971" width="33.25" style="1" customWidth="1"/>
    <col min="9972" max="9976" width="10.375" style="1"/>
    <col min="9977" max="9977" width="13.625" style="1" customWidth="1"/>
    <col min="9978" max="9978" width="10.375" style="1"/>
    <col min="9979" max="9979" width="14.375" style="1" customWidth="1"/>
    <col min="9980" max="9980" width="10.375" style="1"/>
    <col min="9981" max="9981" width="11.625" style="1" bestFit="1" customWidth="1"/>
    <col min="9982" max="9984" width="10.375" style="1"/>
    <col min="9985" max="9985" width="12.875" style="1" customWidth="1"/>
    <col min="9986" max="9986" width="10.375" style="1"/>
    <col min="9987" max="9987" width="13" style="1" customWidth="1"/>
    <col min="9988" max="10226" width="10.375" style="1"/>
    <col min="10227" max="10227" width="33.25" style="1" customWidth="1"/>
    <col min="10228" max="10232" width="10.375" style="1"/>
    <col min="10233" max="10233" width="13.625" style="1" customWidth="1"/>
    <col min="10234" max="10234" width="10.375" style="1"/>
    <col min="10235" max="10235" width="14.375" style="1" customWidth="1"/>
    <col min="10236" max="10236" width="10.375" style="1"/>
    <col min="10237" max="10237" width="11.625" style="1" bestFit="1" customWidth="1"/>
    <col min="10238" max="10240" width="10.375" style="1"/>
    <col min="10241" max="10241" width="12.875" style="1" customWidth="1"/>
    <col min="10242" max="10242" width="10.375" style="1"/>
    <col min="10243" max="10243" width="13" style="1" customWidth="1"/>
    <col min="10244" max="10482" width="10.375" style="1"/>
    <col min="10483" max="10483" width="33.25" style="1" customWidth="1"/>
    <col min="10484" max="10488" width="10.375" style="1"/>
    <col min="10489" max="10489" width="13.625" style="1" customWidth="1"/>
    <col min="10490" max="10490" width="10.375" style="1"/>
    <col min="10491" max="10491" width="14.375" style="1" customWidth="1"/>
    <col min="10492" max="10492" width="10.375" style="1"/>
    <col min="10493" max="10493" width="11.625" style="1" bestFit="1" customWidth="1"/>
    <col min="10494" max="10496" width="10.375" style="1"/>
    <col min="10497" max="10497" width="12.875" style="1" customWidth="1"/>
    <col min="10498" max="10498" width="10.375" style="1"/>
    <col min="10499" max="10499" width="13" style="1" customWidth="1"/>
    <col min="10500" max="10738" width="10.375" style="1"/>
    <col min="10739" max="10739" width="33.25" style="1" customWidth="1"/>
    <col min="10740" max="10744" width="10.375" style="1"/>
    <col min="10745" max="10745" width="13.625" style="1" customWidth="1"/>
    <col min="10746" max="10746" width="10.375" style="1"/>
    <col min="10747" max="10747" width="14.375" style="1" customWidth="1"/>
    <col min="10748" max="10748" width="10.375" style="1"/>
    <col min="10749" max="10749" width="11.625" style="1" bestFit="1" customWidth="1"/>
    <col min="10750" max="10752" width="10.375" style="1"/>
    <col min="10753" max="10753" width="12.875" style="1" customWidth="1"/>
    <col min="10754" max="10754" width="10.375" style="1"/>
    <col min="10755" max="10755" width="13" style="1" customWidth="1"/>
    <col min="10756" max="10994" width="10.375" style="1"/>
    <col min="10995" max="10995" width="33.25" style="1" customWidth="1"/>
    <col min="10996" max="11000" width="10.375" style="1"/>
    <col min="11001" max="11001" width="13.625" style="1" customWidth="1"/>
    <col min="11002" max="11002" width="10.375" style="1"/>
    <col min="11003" max="11003" width="14.375" style="1" customWidth="1"/>
    <col min="11004" max="11004" width="10.375" style="1"/>
    <col min="11005" max="11005" width="11.625" style="1" bestFit="1" customWidth="1"/>
    <col min="11006" max="11008" width="10.375" style="1"/>
    <col min="11009" max="11009" width="12.875" style="1" customWidth="1"/>
    <col min="11010" max="11010" width="10.375" style="1"/>
    <col min="11011" max="11011" width="13" style="1" customWidth="1"/>
    <col min="11012" max="11250" width="10.375" style="1"/>
    <col min="11251" max="11251" width="33.25" style="1" customWidth="1"/>
    <col min="11252" max="11256" width="10.375" style="1"/>
    <col min="11257" max="11257" width="13.625" style="1" customWidth="1"/>
    <col min="11258" max="11258" width="10.375" style="1"/>
    <col min="11259" max="11259" width="14.375" style="1" customWidth="1"/>
    <col min="11260" max="11260" width="10.375" style="1"/>
    <col min="11261" max="11261" width="11.625" style="1" bestFit="1" customWidth="1"/>
    <col min="11262" max="11264" width="10.375" style="1"/>
    <col min="11265" max="11265" width="12.875" style="1" customWidth="1"/>
    <col min="11266" max="11266" width="10.375" style="1"/>
    <col min="11267" max="11267" width="13" style="1" customWidth="1"/>
    <col min="11268" max="11506" width="10.375" style="1"/>
    <col min="11507" max="11507" width="33.25" style="1" customWidth="1"/>
    <col min="11508" max="11512" width="10.375" style="1"/>
    <col min="11513" max="11513" width="13.625" style="1" customWidth="1"/>
    <col min="11514" max="11514" width="10.375" style="1"/>
    <col min="11515" max="11515" width="14.375" style="1" customWidth="1"/>
    <col min="11516" max="11516" width="10.375" style="1"/>
    <col min="11517" max="11517" width="11.625" style="1" bestFit="1" customWidth="1"/>
    <col min="11518" max="11520" width="10.375" style="1"/>
    <col min="11521" max="11521" width="12.875" style="1" customWidth="1"/>
    <col min="11522" max="11522" width="10.375" style="1"/>
    <col min="11523" max="11523" width="13" style="1" customWidth="1"/>
    <col min="11524" max="11762" width="10.375" style="1"/>
    <col min="11763" max="11763" width="33.25" style="1" customWidth="1"/>
    <col min="11764" max="11768" width="10.375" style="1"/>
    <col min="11769" max="11769" width="13.625" style="1" customWidth="1"/>
    <col min="11770" max="11770" width="10.375" style="1"/>
    <col min="11771" max="11771" width="14.375" style="1" customWidth="1"/>
    <col min="11772" max="11772" width="10.375" style="1"/>
    <col min="11773" max="11773" width="11.625" style="1" bestFit="1" customWidth="1"/>
    <col min="11774" max="11776" width="10.375" style="1"/>
    <col min="11777" max="11777" width="12.875" style="1" customWidth="1"/>
    <col min="11778" max="11778" width="10.375" style="1"/>
    <col min="11779" max="11779" width="13" style="1" customWidth="1"/>
    <col min="11780" max="12018" width="10.375" style="1"/>
    <col min="12019" max="12019" width="33.25" style="1" customWidth="1"/>
    <col min="12020" max="12024" width="10.375" style="1"/>
    <col min="12025" max="12025" width="13.625" style="1" customWidth="1"/>
    <col min="12026" max="12026" width="10.375" style="1"/>
    <col min="12027" max="12027" width="14.375" style="1" customWidth="1"/>
    <col min="12028" max="12028" width="10.375" style="1"/>
    <col min="12029" max="12029" width="11.625" style="1" bestFit="1" customWidth="1"/>
    <col min="12030" max="12032" width="10.375" style="1"/>
    <col min="12033" max="12033" width="12.875" style="1" customWidth="1"/>
    <col min="12034" max="12034" width="10.375" style="1"/>
    <col min="12035" max="12035" width="13" style="1" customWidth="1"/>
    <col min="12036" max="12274" width="10.375" style="1"/>
    <col min="12275" max="12275" width="33.25" style="1" customWidth="1"/>
    <col min="12276" max="12280" width="10.375" style="1"/>
    <col min="12281" max="12281" width="13.625" style="1" customWidth="1"/>
    <col min="12282" max="12282" width="10.375" style="1"/>
    <col min="12283" max="12283" width="14.375" style="1" customWidth="1"/>
    <col min="12284" max="12284" width="10.375" style="1"/>
    <col min="12285" max="12285" width="11.625" style="1" bestFit="1" customWidth="1"/>
    <col min="12286" max="12288" width="10.375" style="1"/>
    <col min="12289" max="12289" width="12.875" style="1" customWidth="1"/>
    <col min="12290" max="12290" width="10.375" style="1"/>
    <col min="12291" max="12291" width="13" style="1" customWidth="1"/>
    <col min="12292" max="12530" width="10.375" style="1"/>
    <col min="12531" max="12531" width="33.25" style="1" customWidth="1"/>
    <col min="12532" max="12536" width="10.375" style="1"/>
    <col min="12537" max="12537" width="13.625" style="1" customWidth="1"/>
    <col min="12538" max="12538" width="10.375" style="1"/>
    <col min="12539" max="12539" width="14.375" style="1" customWidth="1"/>
    <col min="12540" max="12540" width="10.375" style="1"/>
    <col min="12541" max="12541" width="11.625" style="1" bestFit="1" customWidth="1"/>
    <col min="12542" max="12544" width="10.375" style="1"/>
    <col min="12545" max="12545" width="12.875" style="1" customWidth="1"/>
    <col min="12546" max="12546" width="10.375" style="1"/>
    <col min="12547" max="12547" width="13" style="1" customWidth="1"/>
    <col min="12548" max="12786" width="10.375" style="1"/>
    <col min="12787" max="12787" width="33.25" style="1" customWidth="1"/>
    <col min="12788" max="12792" width="10.375" style="1"/>
    <col min="12793" max="12793" width="13.625" style="1" customWidth="1"/>
    <col min="12794" max="12794" width="10.375" style="1"/>
    <col min="12795" max="12795" width="14.375" style="1" customWidth="1"/>
    <col min="12796" max="12796" width="10.375" style="1"/>
    <col min="12797" max="12797" width="11.625" style="1" bestFit="1" customWidth="1"/>
    <col min="12798" max="12800" width="10.375" style="1"/>
    <col min="12801" max="12801" width="12.875" style="1" customWidth="1"/>
    <col min="12802" max="12802" width="10.375" style="1"/>
    <col min="12803" max="12803" width="13" style="1" customWidth="1"/>
    <col min="12804" max="13042" width="10.375" style="1"/>
    <col min="13043" max="13043" width="33.25" style="1" customWidth="1"/>
    <col min="13044" max="13048" width="10.375" style="1"/>
    <col min="13049" max="13049" width="13.625" style="1" customWidth="1"/>
    <col min="13050" max="13050" width="10.375" style="1"/>
    <col min="13051" max="13051" width="14.375" style="1" customWidth="1"/>
    <col min="13052" max="13052" width="10.375" style="1"/>
    <col min="13053" max="13053" width="11.625" style="1" bestFit="1" customWidth="1"/>
    <col min="13054" max="13056" width="10.375" style="1"/>
    <col min="13057" max="13057" width="12.875" style="1" customWidth="1"/>
    <col min="13058" max="13058" width="10.375" style="1"/>
    <col min="13059" max="13059" width="13" style="1" customWidth="1"/>
    <col min="13060" max="13298" width="10.375" style="1"/>
    <col min="13299" max="13299" width="33.25" style="1" customWidth="1"/>
    <col min="13300" max="13304" width="10.375" style="1"/>
    <col min="13305" max="13305" width="13.625" style="1" customWidth="1"/>
    <col min="13306" max="13306" width="10.375" style="1"/>
    <col min="13307" max="13307" width="14.375" style="1" customWidth="1"/>
    <col min="13308" max="13308" width="10.375" style="1"/>
    <col min="13309" max="13309" width="11.625" style="1" bestFit="1" customWidth="1"/>
    <col min="13310" max="13312" width="10.375" style="1"/>
    <col min="13313" max="13313" width="12.875" style="1" customWidth="1"/>
    <col min="13314" max="13314" width="10.375" style="1"/>
    <col min="13315" max="13315" width="13" style="1" customWidth="1"/>
    <col min="13316" max="13554" width="10.375" style="1"/>
    <col min="13555" max="13555" width="33.25" style="1" customWidth="1"/>
    <col min="13556" max="13560" width="10.375" style="1"/>
    <col min="13561" max="13561" width="13.625" style="1" customWidth="1"/>
    <col min="13562" max="13562" width="10.375" style="1"/>
    <col min="13563" max="13563" width="14.375" style="1" customWidth="1"/>
    <col min="13564" max="13564" width="10.375" style="1"/>
    <col min="13565" max="13565" width="11.625" style="1" bestFit="1" customWidth="1"/>
    <col min="13566" max="13568" width="10.375" style="1"/>
    <col min="13569" max="13569" width="12.875" style="1" customWidth="1"/>
    <col min="13570" max="13570" width="10.375" style="1"/>
    <col min="13571" max="13571" width="13" style="1" customWidth="1"/>
    <col min="13572" max="13810" width="10.375" style="1"/>
    <col min="13811" max="13811" width="33.25" style="1" customWidth="1"/>
    <col min="13812" max="13816" width="10.375" style="1"/>
    <col min="13817" max="13817" width="13.625" style="1" customWidth="1"/>
    <col min="13818" max="13818" width="10.375" style="1"/>
    <col min="13819" max="13819" width="14.375" style="1" customWidth="1"/>
    <col min="13820" max="13820" width="10.375" style="1"/>
    <col min="13821" max="13821" width="11.625" style="1" bestFit="1" customWidth="1"/>
    <col min="13822" max="13824" width="10.375" style="1"/>
    <col min="13825" max="13825" width="12.875" style="1" customWidth="1"/>
    <col min="13826" max="13826" width="10.375" style="1"/>
    <col min="13827" max="13827" width="13" style="1" customWidth="1"/>
    <col min="13828" max="14066" width="10.375" style="1"/>
    <col min="14067" max="14067" width="33.25" style="1" customWidth="1"/>
    <col min="14068" max="14072" width="10.375" style="1"/>
    <col min="14073" max="14073" width="13.625" style="1" customWidth="1"/>
    <col min="14074" max="14074" width="10.375" style="1"/>
    <col min="14075" max="14075" width="14.375" style="1" customWidth="1"/>
    <col min="14076" max="14076" width="10.375" style="1"/>
    <col min="14077" max="14077" width="11.625" style="1" bestFit="1" customWidth="1"/>
    <col min="14078" max="14080" width="10.375" style="1"/>
    <col min="14081" max="14081" width="12.875" style="1" customWidth="1"/>
    <col min="14082" max="14082" width="10.375" style="1"/>
    <col min="14083" max="14083" width="13" style="1" customWidth="1"/>
    <col min="14084" max="14322" width="10.375" style="1"/>
    <col min="14323" max="14323" width="33.25" style="1" customWidth="1"/>
    <col min="14324" max="14328" width="10.375" style="1"/>
    <col min="14329" max="14329" width="13.625" style="1" customWidth="1"/>
    <col min="14330" max="14330" width="10.375" style="1"/>
    <col min="14331" max="14331" width="14.375" style="1" customWidth="1"/>
    <col min="14332" max="14332" width="10.375" style="1"/>
    <col min="14333" max="14333" width="11.625" style="1" bestFit="1" customWidth="1"/>
    <col min="14334" max="14336" width="10.375" style="1"/>
    <col min="14337" max="14337" width="12.875" style="1" customWidth="1"/>
    <col min="14338" max="14338" width="10.375" style="1"/>
    <col min="14339" max="14339" width="13" style="1" customWidth="1"/>
    <col min="14340" max="14578" width="10.375" style="1"/>
    <col min="14579" max="14579" width="33.25" style="1" customWidth="1"/>
    <col min="14580" max="14584" width="10.375" style="1"/>
    <col min="14585" max="14585" width="13.625" style="1" customWidth="1"/>
    <col min="14586" max="14586" width="10.375" style="1"/>
    <col min="14587" max="14587" width="14.375" style="1" customWidth="1"/>
    <col min="14588" max="14588" width="10.375" style="1"/>
    <col min="14589" max="14589" width="11.625" style="1" bestFit="1" customWidth="1"/>
    <col min="14590" max="14592" width="10.375" style="1"/>
    <col min="14593" max="14593" width="12.875" style="1" customWidth="1"/>
    <col min="14594" max="14594" width="10.375" style="1"/>
    <col min="14595" max="14595" width="13" style="1" customWidth="1"/>
    <col min="14596" max="14834" width="10.375" style="1"/>
    <col min="14835" max="14835" width="33.25" style="1" customWidth="1"/>
    <col min="14836" max="14840" width="10.375" style="1"/>
    <col min="14841" max="14841" width="13.625" style="1" customWidth="1"/>
    <col min="14842" max="14842" width="10.375" style="1"/>
    <col min="14843" max="14843" width="14.375" style="1" customWidth="1"/>
    <col min="14844" max="14844" width="10.375" style="1"/>
    <col min="14845" max="14845" width="11.625" style="1" bestFit="1" customWidth="1"/>
    <col min="14846" max="14848" width="10.375" style="1"/>
    <col min="14849" max="14849" width="12.875" style="1" customWidth="1"/>
    <col min="14850" max="14850" width="10.375" style="1"/>
    <col min="14851" max="14851" width="13" style="1" customWidth="1"/>
    <col min="14852" max="15090" width="10.375" style="1"/>
    <col min="15091" max="15091" width="33.25" style="1" customWidth="1"/>
    <col min="15092" max="15096" width="10.375" style="1"/>
    <col min="15097" max="15097" width="13.625" style="1" customWidth="1"/>
    <col min="15098" max="15098" width="10.375" style="1"/>
    <col min="15099" max="15099" width="14.375" style="1" customWidth="1"/>
    <col min="15100" max="15100" width="10.375" style="1"/>
    <col min="15101" max="15101" width="11.625" style="1" bestFit="1" customWidth="1"/>
    <col min="15102" max="15104" width="10.375" style="1"/>
    <col min="15105" max="15105" width="12.875" style="1" customWidth="1"/>
    <col min="15106" max="15106" width="10.375" style="1"/>
    <col min="15107" max="15107" width="13" style="1" customWidth="1"/>
    <col min="15108" max="15346" width="10.375" style="1"/>
    <col min="15347" max="15347" width="33.25" style="1" customWidth="1"/>
    <col min="15348" max="15352" width="10.375" style="1"/>
    <col min="15353" max="15353" width="13.625" style="1" customWidth="1"/>
    <col min="15354" max="15354" width="10.375" style="1"/>
    <col min="15355" max="15355" width="14.375" style="1" customWidth="1"/>
    <col min="15356" max="15356" width="10.375" style="1"/>
    <col min="15357" max="15357" width="11.625" style="1" bestFit="1" customWidth="1"/>
    <col min="15358" max="15360" width="10.375" style="1"/>
    <col min="15361" max="15361" width="12.875" style="1" customWidth="1"/>
    <col min="15362" max="15362" width="10.375" style="1"/>
    <col min="15363" max="15363" width="13" style="1" customWidth="1"/>
    <col min="15364" max="15602" width="10.375" style="1"/>
    <col min="15603" max="15603" width="33.25" style="1" customWidth="1"/>
    <col min="15604" max="15608" width="10.375" style="1"/>
    <col min="15609" max="15609" width="13.625" style="1" customWidth="1"/>
    <col min="15610" max="15610" width="10.375" style="1"/>
    <col min="15611" max="15611" width="14.375" style="1" customWidth="1"/>
    <col min="15612" max="15612" width="10.375" style="1"/>
    <col min="15613" max="15613" width="11.625" style="1" bestFit="1" customWidth="1"/>
    <col min="15614" max="15616" width="10.375" style="1"/>
    <col min="15617" max="15617" width="12.875" style="1" customWidth="1"/>
    <col min="15618" max="15618" width="10.375" style="1"/>
    <col min="15619" max="15619" width="13" style="1" customWidth="1"/>
    <col min="15620" max="15858" width="10.375" style="1"/>
    <col min="15859" max="15859" width="33.25" style="1" customWidth="1"/>
    <col min="15860" max="15864" width="10.375" style="1"/>
    <col min="15865" max="15865" width="13.625" style="1" customWidth="1"/>
    <col min="15866" max="15866" width="10.375" style="1"/>
    <col min="15867" max="15867" width="14.375" style="1" customWidth="1"/>
    <col min="15868" max="15868" width="10.375" style="1"/>
    <col min="15869" max="15869" width="11.625" style="1" bestFit="1" customWidth="1"/>
    <col min="15870" max="15872" width="10.375" style="1"/>
    <col min="15873" max="15873" width="12.875" style="1" customWidth="1"/>
    <col min="15874" max="15874" width="10.375" style="1"/>
    <col min="15875" max="15875" width="13" style="1" customWidth="1"/>
    <col min="15876" max="16114" width="10.375" style="1"/>
    <col min="16115" max="16115" width="33.25" style="1" customWidth="1"/>
    <col min="16116" max="16120" width="10.375" style="1"/>
    <col min="16121" max="16121" width="13.625" style="1" customWidth="1"/>
    <col min="16122" max="16122" width="10.375" style="1"/>
    <col min="16123" max="16123" width="14.375" style="1" customWidth="1"/>
    <col min="16124" max="16124" width="10.375" style="1"/>
    <col min="16125" max="16125" width="11.625" style="1" bestFit="1" customWidth="1"/>
    <col min="16126" max="16128" width="10.375" style="1"/>
    <col min="16129" max="16129" width="12.875" style="1" customWidth="1"/>
    <col min="16130" max="16130" width="10.375" style="1"/>
    <col min="16131" max="16131" width="13" style="1" customWidth="1"/>
    <col min="16132" max="16384" width="10.375" style="1"/>
  </cols>
  <sheetData>
    <row r="1" spans="1:6" ht="18.600000000000001">
      <c r="A1" s="175" t="s">
        <v>0</v>
      </c>
      <c r="B1" s="175"/>
      <c r="C1" s="175"/>
      <c r="D1" s="175"/>
      <c r="E1" s="175"/>
      <c r="F1" s="175"/>
    </row>
    <row r="2" spans="1:6" ht="18.600000000000001">
      <c r="A2" s="176" t="s">
        <v>1</v>
      </c>
      <c r="B2" s="176"/>
      <c r="C2" s="176"/>
      <c r="D2" s="176"/>
      <c r="E2" s="176"/>
      <c r="F2" s="176"/>
    </row>
    <row r="3" spans="1:6" ht="18.600000000000001">
      <c r="A3" s="177" t="s">
        <v>66</v>
      </c>
      <c r="B3" s="177"/>
      <c r="C3" s="177"/>
      <c r="D3" s="177"/>
      <c r="E3" s="177"/>
      <c r="F3" s="177"/>
    </row>
    <row r="4" spans="1:6" ht="18.600000000000001">
      <c r="A4" s="178" t="s">
        <v>3</v>
      </c>
      <c r="B4" s="173" t="s">
        <v>4</v>
      </c>
      <c r="C4" s="173" t="s">
        <v>5</v>
      </c>
      <c r="D4" s="214" t="s">
        <v>8</v>
      </c>
      <c r="E4" s="215"/>
      <c r="F4" s="216"/>
    </row>
    <row r="5" spans="1:6">
      <c r="A5" s="179"/>
      <c r="B5" s="181"/>
      <c r="C5" s="181"/>
      <c r="D5" s="207" t="s">
        <v>14</v>
      </c>
      <c r="E5" s="209" t="s">
        <v>15</v>
      </c>
      <c r="F5" s="205" t="s">
        <v>16</v>
      </c>
    </row>
    <row r="6" spans="1:6">
      <c r="A6" s="180"/>
      <c r="B6" s="174"/>
      <c r="C6" s="174"/>
      <c r="D6" s="208"/>
      <c r="E6" s="210"/>
      <c r="F6" s="206"/>
    </row>
    <row r="7" spans="1:6" ht="18.600000000000001">
      <c r="A7" s="217" t="s">
        <v>57</v>
      </c>
      <c r="B7" s="218"/>
      <c r="C7" s="219"/>
      <c r="D7" s="142"/>
      <c r="E7" s="143"/>
      <c r="F7" s="144"/>
    </row>
    <row r="8" spans="1:6" ht="18.600000000000001">
      <c r="A8" s="140"/>
      <c r="B8" s="141"/>
      <c r="C8" s="141"/>
      <c r="D8" s="142"/>
      <c r="E8" s="143"/>
      <c r="F8" s="144"/>
    </row>
    <row r="9" spans="1:6" ht="23.25" customHeight="1" thickBot="1">
      <c r="A9" s="220" t="s">
        <v>53</v>
      </c>
      <c r="B9" s="220"/>
      <c r="C9" s="221"/>
      <c r="D9" s="114"/>
      <c r="E9" s="114"/>
      <c r="F9" s="107">
        <v>0</v>
      </c>
    </row>
    <row r="10" spans="1:6" ht="19.2" thickTop="1">
      <c r="A10" s="120"/>
      <c r="B10" s="121"/>
      <c r="C10" s="121"/>
      <c r="D10" s="122"/>
      <c r="E10" s="123"/>
      <c r="F10" s="124"/>
    </row>
    <row r="11" spans="1:6" ht="6.75" customHeight="1">
      <c r="A11" s="120"/>
      <c r="B11" s="121"/>
      <c r="C11" s="121"/>
      <c r="D11" s="122"/>
      <c r="E11" s="123"/>
      <c r="F11" s="124"/>
    </row>
    <row r="12" spans="1:6" ht="18.600000000000001">
      <c r="A12" s="120"/>
      <c r="B12" s="121"/>
      <c r="C12" s="121"/>
      <c r="D12" s="122"/>
      <c r="E12" s="123"/>
      <c r="F12" s="124"/>
    </row>
    <row r="13" spans="1:6" ht="18.600000000000001">
      <c r="B13" s="128"/>
      <c r="C13" s="121"/>
      <c r="D13" s="122"/>
      <c r="E13" s="123"/>
      <c r="F13" s="124"/>
    </row>
    <row r="14" spans="1:6" ht="18.600000000000001">
      <c r="A14" s="129"/>
      <c r="B14" s="130"/>
      <c r="C14" s="129"/>
      <c r="D14" s="134"/>
      <c r="E14" s="135"/>
      <c r="F14" s="136"/>
    </row>
  </sheetData>
  <mergeCells count="12">
    <mergeCell ref="A7:C7"/>
    <mergeCell ref="A9:C9"/>
    <mergeCell ref="A1:F1"/>
    <mergeCell ref="A2:F2"/>
    <mergeCell ref="A3:F3"/>
    <mergeCell ref="A4:A6"/>
    <mergeCell ref="B4:B6"/>
    <mergeCell ref="C4:C6"/>
    <mergeCell ref="D4:F4"/>
    <mergeCell ref="D5:D6"/>
    <mergeCell ref="E5:E6"/>
    <mergeCell ref="F5:F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FB20-1791-40A4-BBD5-71E666BBE22E}">
  <sheetPr>
    <tabColor rgb="FF92D050"/>
  </sheetPr>
  <dimension ref="A1:F21"/>
  <sheetViews>
    <sheetView workbookViewId="0">
      <pane ySplit="6" topLeftCell="A7" activePane="bottomLeft" state="frozen"/>
      <selection pane="bottomLeft" activeCell="F18" sqref="F18"/>
    </sheetView>
  </sheetViews>
  <sheetFormatPr defaultColWidth="10.375" defaultRowHeight="14.4"/>
  <cols>
    <col min="1" max="1" width="10.375" style="1"/>
    <col min="2" max="2" width="33.25" style="1" customWidth="1"/>
    <col min="3" max="5" width="10.375" style="1"/>
    <col min="6" max="6" width="13" style="1" customWidth="1"/>
    <col min="7" max="245" width="10.375" style="1"/>
    <col min="246" max="246" width="33.25" style="1" customWidth="1"/>
    <col min="247" max="251" width="10.375" style="1"/>
    <col min="252" max="252" width="13.625" style="1" customWidth="1"/>
    <col min="253" max="253" width="10.375" style="1"/>
    <col min="254" max="254" width="14.375" style="1" customWidth="1"/>
    <col min="255" max="255" width="10.375" style="1"/>
    <col min="256" max="256" width="11.625" style="1" bestFit="1" customWidth="1"/>
    <col min="257" max="259" width="10.375" style="1"/>
    <col min="260" max="260" width="12.875" style="1" customWidth="1"/>
    <col min="261" max="261" width="10.375" style="1"/>
    <col min="262" max="262" width="13" style="1" customWidth="1"/>
    <col min="263" max="501" width="10.375" style="1"/>
    <col min="502" max="502" width="33.25" style="1" customWidth="1"/>
    <col min="503" max="507" width="10.375" style="1"/>
    <col min="508" max="508" width="13.625" style="1" customWidth="1"/>
    <col min="509" max="509" width="10.375" style="1"/>
    <col min="510" max="510" width="14.375" style="1" customWidth="1"/>
    <col min="511" max="511" width="10.375" style="1"/>
    <col min="512" max="512" width="11.625" style="1" bestFit="1" customWidth="1"/>
    <col min="513" max="515" width="10.375" style="1"/>
    <col min="516" max="516" width="12.875" style="1" customWidth="1"/>
    <col min="517" max="517" width="10.375" style="1"/>
    <col min="518" max="518" width="13" style="1" customWidth="1"/>
    <col min="519" max="757" width="10.375" style="1"/>
    <col min="758" max="758" width="33.25" style="1" customWidth="1"/>
    <col min="759" max="763" width="10.375" style="1"/>
    <col min="764" max="764" width="13.625" style="1" customWidth="1"/>
    <col min="765" max="765" width="10.375" style="1"/>
    <col min="766" max="766" width="14.375" style="1" customWidth="1"/>
    <col min="767" max="767" width="10.375" style="1"/>
    <col min="768" max="768" width="11.625" style="1" bestFit="1" customWidth="1"/>
    <col min="769" max="771" width="10.375" style="1"/>
    <col min="772" max="772" width="12.875" style="1" customWidth="1"/>
    <col min="773" max="773" width="10.375" style="1"/>
    <col min="774" max="774" width="13" style="1" customWidth="1"/>
    <col min="775" max="1013" width="10.375" style="1"/>
    <col min="1014" max="1014" width="33.25" style="1" customWidth="1"/>
    <col min="1015" max="1019" width="10.375" style="1"/>
    <col min="1020" max="1020" width="13.625" style="1" customWidth="1"/>
    <col min="1021" max="1021" width="10.375" style="1"/>
    <col min="1022" max="1022" width="14.375" style="1" customWidth="1"/>
    <col min="1023" max="1023" width="10.375" style="1"/>
    <col min="1024" max="1024" width="11.625" style="1" bestFit="1" customWidth="1"/>
    <col min="1025" max="1027" width="10.375" style="1"/>
    <col min="1028" max="1028" width="12.875" style="1" customWidth="1"/>
    <col min="1029" max="1029" width="10.375" style="1"/>
    <col min="1030" max="1030" width="13" style="1" customWidth="1"/>
    <col min="1031" max="1269" width="10.375" style="1"/>
    <col min="1270" max="1270" width="33.25" style="1" customWidth="1"/>
    <col min="1271" max="1275" width="10.375" style="1"/>
    <col min="1276" max="1276" width="13.625" style="1" customWidth="1"/>
    <col min="1277" max="1277" width="10.375" style="1"/>
    <col min="1278" max="1278" width="14.375" style="1" customWidth="1"/>
    <col min="1279" max="1279" width="10.375" style="1"/>
    <col min="1280" max="1280" width="11.625" style="1" bestFit="1" customWidth="1"/>
    <col min="1281" max="1283" width="10.375" style="1"/>
    <col min="1284" max="1284" width="12.875" style="1" customWidth="1"/>
    <col min="1285" max="1285" width="10.375" style="1"/>
    <col min="1286" max="1286" width="13" style="1" customWidth="1"/>
    <col min="1287" max="1525" width="10.375" style="1"/>
    <col min="1526" max="1526" width="33.25" style="1" customWidth="1"/>
    <col min="1527" max="1531" width="10.375" style="1"/>
    <col min="1532" max="1532" width="13.625" style="1" customWidth="1"/>
    <col min="1533" max="1533" width="10.375" style="1"/>
    <col min="1534" max="1534" width="14.375" style="1" customWidth="1"/>
    <col min="1535" max="1535" width="10.375" style="1"/>
    <col min="1536" max="1536" width="11.625" style="1" bestFit="1" customWidth="1"/>
    <col min="1537" max="1539" width="10.375" style="1"/>
    <col min="1540" max="1540" width="12.875" style="1" customWidth="1"/>
    <col min="1541" max="1541" width="10.375" style="1"/>
    <col min="1542" max="1542" width="13" style="1" customWidth="1"/>
    <col min="1543" max="1781" width="10.375" style="1"/>
    <col min="1782" max="1782" width="33.25" style="1" customWidth="1"/>
    <col min="1783" max="1787" width="10.375" style="1"/>
    <col min="1788" max="1788" width="13.625" style="1" customWidth="1"/>
    <col min="1789" max="1789" width="10.375" style="1"/>
    <col min="1790" max="1790" width="14.375" style="1" customWidth="1"/>
    <col min="1791" max="1791" width="10.375" style="1"/>
    <col min="1792" max="1792" width="11.625" style="1" bestFit="1" customWidth="1"/>
    <col min="1793" max="1795" width="10.375" style="1"/>
    <col min="1796" max="1796" width="12.875" style="1" customWidth="1"/>
    <col min="1797" max="1797" width="10.375" style="1"/>
    <col min="1798" max="1798" width="13" style="1" customWidth="1"/>
    <col min="1799" max="2037" width="10.375" style="1"/>
    <col min="2038" max="2038" width="33.25" style="1" customWidth="1"/>
    <col min="2039" max="2043" width="10.375" style="1"/>
    <col min="2044" max="2044" width="13.625" style="1" customWidth="1"/>
    <col min="2045" max="2045" width="10.375" style="1"/>
    <col min="2046" max="2046" width="14.375" style="1" customWidth="1"/>
    <col min="2047" max="2047" width="10.375" style="1"/>
    <col min="2048" max="2048" width="11.625" style="1" bestFit="1" customWidth="1"/>
    <col min="2049" max="2051" width="10.375" style="1"/>
    <col min="2052" max="2052" width="12.875" style="1" customWidth="1"/>
    <col min="2053" max="2053" width="10.375" style="1"/>
    <col min="2054" max="2054" width="13" style="1" customWidth="1"/>
    <col min="2055" max="2293" width="10.375" style="1"/>
    <col min="2294" max="2294" width="33.25" style="1" customWidth="1"/>
    <col min="2295" max="2299" width="10.375" style="1"/>
    <col min="2300" max="2300" width="13.625" style="1" customWidth="1"/>
    <col min="2301" max="2301" width="10.375" style="1"/>
    <col min="2302" max="2302" width="14.375" style="1" customWidth="1"/>
    <col min="2303" max="2303" width="10.375" style="1"/>
    <col min="2304" max="2304" width="11.625" style="1" bestFit="1" customWidth="1"/>
    <col min="2305" max="2307" width="10.375" style="1"/>
    <col min="2308" max="2308" width="12.875" style="1" customWidth="1"/>
    <col min="2309" max="2309" width="10.375" style="1"/>
    <col min="2310" max="2310" width="13" style="1" customWidth="1"/>
    <col min="2311" max="2549" width="10.375" style="1"/>
    <col min="2550" max="2550" width="33.25" style="1" customWidth="1"/>
    <col min="2551" max="2555" width="10.375" style="1"/>
    <col min="2556" max="2556" width="13.625" style="1" customWidth="1"/>
    <col min="2557" max="2557" width="10.375" style="1"/>
    <col min="2558" max="2558" width="14.375" style="1" customWidth="1"/>
    <col min="2559" max="2559" width="10.375" style="1"/>
    <col min="2560" max="2560" width="11.625" style="1" bestFit="1" customWidth="1"/>
    <col min="2561" max="2563" width="10.375" style="1"/>
    <col min="2564" max="2564" width="12.875" style="1" customWidth="1"/>
    <col min="2565" max="2565" width="10.375" style="1"/>
    <col min="2566" max="2566" width="13" style="1" customWidth="1"/>
    <col min="2567" max="2805" width="10.375" style="1"/>
    <col min="2806" max="2806" width="33.25" style="1" customWidth="1"/>
    <col min="2807" max="2811" width="10.375" style="1"/>
    <col min="2812" max="2812" width="13.625" style="1" customWidth="1"/>
    <col min="2813" max="2813" width="10.375" style="1"/>
    <col min="2814" max="2814" width="14.375" style="1" customWidth="1"/>
    <col min="2815" max="2815" width="10.375" style="1"/>
    <col min="2816" max="2816" width="11.625" style="1" bestFit="1" customWidth="1"/>
    <col min="2817" max="2819" width="10.375" style="1"/>
    <col min="2820" max="2820" width="12.875" style="1" customWidth="1"/>
    <col min="2821" max="2821" width="10.375" style="1"/>
    <col min="2822" max="2822" width="13" style="1" customWidth="1"/>
    <col min="2823" max="3061" width="10.375" style="1"/>
    <col min="3062" max="3062" width="33.25" style="1" customWidth="1"/>
    <col min="3063" max="3067" width="10.375" style="1"/>
    <col min="3068" max="3068" width="13.625" style="1" customWidth="1"/>
    <col min="3069" max="3069" width="10.375" style="1"/>
    <col min="3070" max="3070" width="14.375" style="1" customWidth="1"/>
    <col min="3071" max="3071" width="10.375" style="1"/>
    <col min="3072" max="3072" width="11.625" style="1" bestFit="1" customWidth="1"/>
    <col min="3073" max="3075" width="10.375" style="1"/>
    <col min="3076" max="3076" width="12.875" style="1" customWidth="1"/>
    <col min="3077" max="3077" width="10.375" style="1"/>
    <col min="3078" max="3078" width="13" style="1" customWidth="1"/>
    <col min="3079" max="3317" width="10.375" style="1"/>
    <col min="3318" max="3318" width="33.25" style="1" customWidth="1"/>
    <col min="3319" max="3323" width="10.375" style="1"/>
    <col min="3324" max="3324" width="13.625" style="1" customWidth="1"/>
    <col min="3325" max="3325" width="10.375" style="1"/>
    <col min="3326" max="3326" width="14.375" style="1" customWidth="1"/>
    <col min="3327" max="3327" width="10.375" style="1"/>
    <col min="3328" max="3328" width="11.625" style="1" bestFit="1" customWidth="1"/>
    <col min="3329" max="3331" width="10.375" style="1"/>
    <col min="3332" max="3332" width="12.875" style="1" customWidth="1"/>
    <col min="3333" max="3333" width="10.375" style="1"/>
    <col min="3334" max="3334" width="13" style="1" customWidth="1"/>
    <col min="3335" max="3573" width="10.375" style="1"/>
    <col min="3574" max="3574" width="33.25" style="1" customWidth="1"/>
    <col min="3575" max="3579" width="10.375" style="1"/>
    <col min="3580" max="3580" width="13.625" style="1" customWidth="1"/>
    <col min="3581" max="3581" width="10.375" style="1"/>
    <col min="3582" max="3582" width="14.375" style="1" customWidth="1"/>
    <col min="3583" max="3583" width="10.375" style="1"/>
    <col min="3584" max="3584" width="11.625" style="1" bestFit="1" customWidth="1"/>
    <col min="3585" max="3587" width="10.375" style="1"/>
    <col min="3588" max="3588" width="12.875" style="1" customWidth="1"/>
    <col min="3589" max="3589" width="10.375" style="1"/>
    <col min="3590" max="3590" width="13" style="1" customWidth="1"/>
    <col min="3591" max="3829" width="10.375" style="1"/>
    <col min="3830" max="3830" width="33.25" style="1" customWidth="1"/>
    <col min="3831" max="3835" width="10.375" style="1"/>
    <col min="3836" max="3836" width="13.625" style="1" customWidth="1"/>
    <col min="3837" max="3837" width="10.375" style="1"/>
    <col min="3838" max="3838" width="14.375" style="1" customWidth="1"/>
    <col min="3839" max="3839" width="10.375" style="1"/>
    <col min="3840" max="3840" width="11.625" style="1" bestFit="1" customWidth="1"/>
    <col min="3841" max="3843" width="10.375" style="1"/>
    <col min="3844" max="3844" width="12.875" style="1" customWidth="1"/>
    <col min="3845" max="3845" width="10.375" style="1"/>
    <col min="3846" max="3846" width="13" style="1" customWidth="1"/>
    <col min="3847" max="4085" width="10.375" style="1"/>
    <col min="4086" max="4086" width="33.25" style="1" customWidth="1"/>
    <col min="4087" max="4091" width="10.375" style="1"/>
    <col min="4092" max="4092" width="13.625" style="1" customWidth="1"/>
    <col min="4093" max="4093" width="10.375" style="1"/>
    <col min="4094" max="4094" width="14.375" style="1" customWidth="1"/>
    <col min="4095" max="4095" width="10.375" style="1"/>
    <col min="4096" max="4096" width="11.625" style="1" bestFit="1" customWidth="1"/>
    <col min="4097" max="4099" width="10.375" style="1"/>
    <col min="4100" max="4100" width="12.875" style="1" customWidth="1"/>
    <col min="4101" max="4101" width="10.375" style="1"/>
    <col min="4102" max="4102" width="13" style="1" customWidth="1"/>
    <col min="4103" max="4341" width="10.375" style="1"/>
    <col min="4342" max="4342" width="33.25" style="1" customWidth="1"/>
    <col min="4343" max="4347" width="10.375" style="1"/>
    <col min="4348" max="4348" width="13.625" style="1" customWidth="1"/>
    <col min="4349" max="4349" width="10.375" style="1"/>
    <col min="4350" max="4350" width="14.375" style="1" customWidth="1"/>
    <col min="4351" max="4351" width="10.375" style="1"/>
    <col min="4352" max="4352" width="11.625" style="1" bestFit="1" customWidth="1"/>
    <col min="4353" max="4355" width="10.375" style="1"/>
    <col min="4356" max="4356" width="12.875" style="1" customWidth="1"/>
    <col min="4357" max="4357" width="10.375" style="1"/>
    <col min="4358" max="4358" width="13" style="1" customWidth="1"/>
    <col min="4359" max="4597" width="10.375" style="1"/>
    <col min="4598" max="4598" width="33.25" style="1" customWidth="1"/>
    <col min="4599" max="4603" width="10.375" style="1"/>
    <col min="4604" max="4604" width="13.625" style="1" customWidth="1"/>
    <col min="4605" max="4605" width="10.375" style="1"/>
    <col min="4606" max="4606" width="14.375" style="1" customWidth="1"/>
    <col min="4607" max="4607" width="10.375" style="1"/>
    <col min="4608" max="4608" width="11.625" style="1" bestFit="1" customWidth="1"/>
    <col min="4609" max="4611" width="10.375" style="1"/>
    <col min="4612" max="4612" width="12.875" style="1" customWidth="1"/>
    <col min="4613" max="4613" width="10.375" style="1"/>
    <col min="4614" max="4614" width="13" style="1" customWidth="1"/>
    <col min="4615" max="4853" width="10.375" style="1"/>
    <col min="4854" max="4854" width="33.25" style="1" customWidth="1"/>
    <col min="4855" max="4859" width="10.375" style="1"/>
    <col min="4860" max="4860" width="13.625" style="1" customWidth="1"/>
    <col min="4861" max="4861" width="10.375" style="1"/>
    <col min="4862" max="4862" width="14.375" style="1" customWidth="1"/>
    <col min="4863" max="4863" width="10.375" style="1"/>
    <col min="4864" max="4864" width="11.625" style="1" bestFit="1" customWidth="1"/>
    <col min="4865" max="4867" width="10.375" style="1"/>
    <col min="4868" max="4868" width="12.875" style="1" customWidth="1"/>
    <col min="4869" max="4869" width="10.375" style="1"/>
    <col min="4870" max="4870" width="13" style="1" customWidth="1"/>
    <col min="4871" max="5109" width="10.375" style="1"/>
    <col min="5110" max="5110" width="33.25" style="1" customWidth="1"/>
    <col min="5111" max="5115" width="10.375" style="1"/>
    <col min="5116" max="5116" width="13.625" style="1" customWidth="1"/>
    <col min="5117" max="5117" width="10.375" style="1"/>
    <col min="5118" max="5118" width="14.375" style="1" customWidth="1"/>
    <col min="5119" max="5119" width="10.375" style="1"/>
    <col min="5120" max="5120" width="11.625" style="1" bestFit="1" customWidth="1"/>
    <col min="5121" max="5123" width="10.375" style="1"/>
    <col min="5124" max="5124" width="12.875" style="1" customWidth="1"/>
    <col min="5125" max="5125" width="10.375" style="1"/>
    <col min="5126" max="5126" width="13" style="1" customWidth="1"/>
    <col min="5127" max="5365" width="10.375" style="1"/>
    <col min="5366" max="5366" width="33.25" style="1" customWidth="1"/>
    <col min="5367" max="5371" width="10.375" style="1"/>
    <col min="5372" max="5372" width="13.625" style="1" customWidth="1"/>
    <col min="5373" max="5373" width="10.375" style="1"/>
    <col min="5374" max="5374" width="14.375" style="1" customWidth="1"/>
    <col min="5375" max="5375" width="10.375" style="1"/>
    <col min="5376" max="5376" width="11.625" style="1" bestFit="1" customWidth="1"/>
    <col min="5377" max="5379" width="10.375" style="1"/>
    <col min="5380" max="5380" width="12.875" style="1" customWidth="1"/>
    <col min="5381" max="5381" width="10.375" style="1"/>
    <col min="5382" max="5382" width="13" style="1" customWidth="1"/>
    <col min="5383" max="5621" width="10.375" style="1"/>
    <col min="5622" max="5622" width="33.25" style="1" customWidth="1"/>
    <col min="5623" max="5627" width="10.375" style="1"/>
    <col min="5628" max="5628" width="13.625" style="1" customWidth="1"/>
    <col min="5629" max="5629" width="10.375" style="1"/>
    <col min="5630" max="5630" width="14.375" style="1" customWidth="1"/>
    <col min="5631" max="5631" width="10.375" style="1"/>
    <col min="5632" max="5632" width="11.625" style="1" bestFit="1" customWidth="1"/>
    <col min="5633" max="5635" width="10.375" style="1"/>
    <col min="5636" max="5636" width="12.875" style="1" customWidth="1"/>
    <col min="5637" max="5637" width="10.375" style="1"/>
    <col min="5638" max="5638" width="13" style="1" customWidth="1"/>
    <col min="5639" max="5877" width="10.375" style="1"/>
    <col min="5878" max="5878" width="33.25" style="1" customWidth="1"/>
    <col min="5879" max="5883" width="10.375" style="1"/>
    <col min="5884" max="5884" width="13.625" style="1" customWidth="1"/>
    <col min="5885" max="5885" width="10.375" style="1"/>
    <col min="5886" max="5886" width="14.375" style="1" customWidth="1"/>
    <col min="5887" max="5887" width="10.375" style="1"/>
    <col min="5888" max="5888" width="11.625" style="1" bestFit="1" customWidth="1"/>
    <col min="5889" max="5891" width="10.375" style="1"/>
    <col min="5892" max="5892" width="12.875" style="1" customWidth="1"/>
    <col min="5893" max="5893" width="10.375" style="1"/>
    <col min="5894" max="5894" width="13" style="1" customWidth="1"/>
    <col min="5895" max="6133" width="10.375" style="1"/>
    <col min="6134" max="6134" width="33.25" style="1" customWidth="1"/>
    <col min="6135" max="6139" width="10.375" style="1"/>
    <col min="6140" max="6140" width="13.625" style="1" customWidth="1"/>
    <col min="6141" max="6141" width="10.375" style="1"/>
    <col min="6142" max="6142" width="14.375" style="1" customWidth="1"/>
    <col min="6143" max="6143" width="10.375" style="1"/>
    <col min="6144" max="6144" width="11.625" style="1" bestFit="1" customWidth="1"/>
    <col min="6145" max="6147" width="10.375" style="1"/>
    <col min="6148" max="6148" width="12.875" style="1" customWidth="1"/>
    <col min="6149" max="6149" width="10.375" style="1"/>
    <col min="6150" max="6150" width="13" style="1" customWidth="1"/>
    <col min="6151" max="6389" width="10.375" style="1"/>
    <col min="6390" max="6390" width="33.25" style="1" customWidth="1"/>
    <col min="6391" max="6395" width="10.375" style="1"/>
    <col min="6396" max="6396" width="13.625" style="1" customWidth="1"/>
    <col min="6397" max="6397" width="10.375" style="1"/>
    <col min="6398" max="6398" width="14.375" style="1" customWidth="1"/>
    <col min="6399" max="6399" width="10.375" style="1"/>
    <col min="6400" max="6400" width="11.625" style="1" bestFit="1" customWidth="1"/>
    <col min="6401" max="6403" width="10.375" style="1"/>
    <col min="6404" max="6404" width="12.875" style="1" customWidth="1"/>
    <col min="6405" max="6405" width="10.375" style="1"/>
    <col min="6406" max="6406" width="13" style="1" customWidth="1"/>
    <col min="6407" max="6645" width="10.375" style="1"/>
    <col min="6646" max="6646" width="33.25" style="1" customWidth="1"/>
    <col min="6647" max="6651" width="10.375" style="1"/>
    <col min="6652" max="6652" width="13.625" style="1" customWidth="1"/>
    <col min="6653" max="6653" width="10.375" style="1"/>
    <col min="6654" max="6654" width="14.375" style="1" customWidth="1"/>
    <col min="6655" max="6655" width="10.375" style="1"/>
    <col min="6656" max="6656" width="11.625" style="1" bestFit="1" customWidth="1"/>
    <col min="6657" max="6659" width="10.375" style="1"/>
    <col min="6660" max="6660" width="12.875" style="1" customWidth="1"/>
    <col min="6661" max="6661" width="10.375" style="1"/>
    <col min="6662" max="6662" width="13" style="1" customWidth="1"/>
    <col min="6663" max="6901" width="10.375" style="1"/>
    <col min="6902" max="6902" width="33.25" style="1" customWidth="1"/>
    <col min="6903" max="6907" width="10.375" style="1"/>
    <col min="6908" max="6908" width="13.625" style="1" customWidth="1"/>
    <col min="6909" max="6909" width="10.375" style="1"/>
    <col min="6910" max="6910" width="14.375" style="1" customWidth="1"/>
    <col min="6911" max="6911" width="10.375" style="1"/>
    <col min="6912" max="6912" width="11.625" style="1" bestFit="1" customWidth="1"/>
    <col min="6913" max="6915" width="10.375" style="1"/>
    <col min="6916" max="6916" width="12.875" style="1" customWidth="1"/>
    <col min="6917" max="6917" width="10.375" style="1"/>
    <col min="6918" max="6918" width="13" style="1" customWidth="1"/>
    <col min="6919" max="7157" width="10.375" style="1"/>
    <col min="7158" max="7158" width="33.25" style="1" customWidth="1"/>
    <col min="7159" max="7163" width="10.375" style="1"/>
    <col min="7164" max="7164" width="13.625" style="1" customWidth="1"/>
    <col min="7165" max="7165" width="10.375" style="1"/>
    <col min="7166" max="7166" width="14.375" style="1" customWidth="1"/>
    <col min="7167" max="7167" width="10.375" style="1"/>
    <col min="7168" max="7168" width="11.625" style="1" bestFit="1" customWidth="1"/>
    <col min="7169" max="7171" width="10.375" style="1"/>
    <col min="7172" max="7172" width="12.875" style="1" customWidth="1"/>
    <col min="7173" max="7173" width="10.375" style="1"/>
    <col min="7174" max="7174" width="13" style="1" customWidth="1"/>
    <col min="7175" max="7413" width="10.375" style="1"/>
    <col min="7414" max="7414" width="33.25" style="1" customWidth="1"/>
    <col min="7415" max="7419" width="10.375" style="1"/>
    <col min="7420" max="7420" width="13.625" style="1" customWidth="1"/>
    <col min="7421" max="7421" width="10.375" style="1"/>
    <col min="7422" max="7422" width="14.375" style="1" customWidth="1"/>
    <col min="7423" max="7423" width="10.375" style="1"/>
    <col min="7424" max="7424" width="11.625" style="1" bestFit="1" customWidth="1"/>
    <col min="7425" max="7427" width="10.375" style="1"/>
    <col min="7428" max="7428" width="12.875" style="1" customWidth="1"/>
    <col min="7429" max="7429" width="10.375" style="1"/>
    <col min="7430" max="7430" width="13" style="1" customWidth="1"/>
    <col min="7431" max="7669" width="10.375" style="1"/>
    <col min="7670" max="7670" width="33.25" style="1" customWidth="1"/>
    <col min="7671" max="7675" width="10.375" style="1"/>
    <col min="7676" max="7676" width="13.625" style="1" customWidth="1"/>
    <col min="7677" max="7677" width="10.375" style="1"/>
    <col min="7678" max="7678" width="14.375" style="1" customWidth="1"/>
    <col min="7679" max="7679" width="10.375" style="1"/>
    <col min="7680" max="7680" width="11.625" style="1" bestFit="1" customWidth="1"/>
    <col min="7681" max="7683" width="10.375" style="1"/>
    <col min="7684" max="7684" width="12.875" style="1" customWidth="1"/>
    <col min="7685" max="7685" width="10.375" style="1"/>
    <col min="7686" max="7686" width="13" style="1" customWidth="1"/>
    <col min="7687" max="7925" width="10.375" style="1"/>
    <col min="7926" max="7926" width="33.25" style="1" customWidth="1"/>
    <col min="7927" max="7931" width="10.375" style="1"/>
    <col min="7932" max="7932" width="13.625" style="1" customWidth="1"/>
    <col min="7933" max="7933" width="10.375" style="1"/>
    <col min="7934" max="7934" width="14.375" style="1" customWidth="1"/>
    <col min="7935" max="7935" width="10.375" style="1"/>
    <col min="7936" max="7936" width="11.625" style="1" bestFit="1" customWidth="1"/>
    <col min="7937" max="7939" width="10.375" style="1"/>
    <col min="7940" max="7940" width="12.875" style="1" customWidth="1"/>
    <col min="7941" max="7941" width="10.375" style="1"/>
    <col min="7942" max="7942" width="13" style="1" customWidth="1"/>
    <col min="7943" max="8181" width="10.375" style="1"/>
    <col min="8182" max="8182" width="33.25" style="1" customWidth="1"/>
    <col min="8183" max="8187" width="10.375" style="1"/>
    <col min="8188" max="8188" width="13.625" style="1" customWidth="1"/>
    <col min="8189" max="8189" width="10.375" style="1"/>
    <col min="8190" max="8190" width="14.375" style="1" customWidth="1"/>
    <col min="8191" max="8191" width="10.375" style="1"/>
    <col min="8192" max="8192" width="11.625" style="1" bestFit="1" customWidth="1"/>
    <col min="8193" max="8195" width="10.375" style="1"/>
    <col min="8196" max="8196" width="12.875" style="1" customWidth="1"/>
    <col min="8197" max="8197" width="10.375" style="1"/>
    <col min="8198" max="8198" width="13" style="1" customWidth="1"/>
    <col min="8199" max="8437" width="10.375" style="1"/>
    <col min="8438" max="8438" width="33.25" style="1" customWidth="1"/>
    <col min="8439" max="8443" width="10.375" style="1"/>
    <col min="8444" max="8444" width="13.625" style="1" customWidth="1"/>
    <col min="8445" max="8445" width="10.375" style="1"/>
    <col min="8446" max="8446" width="14.375" style="1" customWidth="1"/>
    <col min="8447" max="8447" width="10.375" style="1"/>
    <col min="8448" max="8448" width="11.625" style="1" bestFit="1" customWidth="1"/>
    <col min="8449" max="8451" width="10.375" style="1"/>
    <col min="8452" max="8452" width="12.875" style="1" customWidth="1"/>
    <col min="8453" max="8453" width="10.375" style="1"/>
    <col min="8454" max="8454" width="13" style="1" customWidth="1"/>
    <col min="8455" max="8693" width="10.375" style="1"/>
    <col min="8694" max="8694" width="33.25" style="1" customWidth="1"/>
    <col min="8695" max="8699" width="10.375" style="1"/>
    <col min="8700" max="8700" width="13.625" style="1" customWidth="1"/>
    <col min="8701" max="8701" width="10.375" style="1"/>
    <col min="8702" max="8702" width="14.375" style="1" customWidth="1"/>
    <col min="8703" max="8703" width="10.375" style="1"/>
    <col min="8704" max="8704" width="11.625" style="1" bestFit="1" customWidth="1"/>
    <col min="8705" max="8707" width="10.375" style="1"/>
    <col min="8708" max="8708" width="12.875" style="1" customWidth="1"/>
    <col min="8709" max="8709" width="10.375" style="1"/>
    <col min="8710" max="8710" width="13" style="1" customWidth="1"/>
    <col min="8711" max="8949" width="10.375" style="1"/>
    <col min="8950" max="8950" width="33.25" style="1" customWidth="1"/>
    <col min="8951" max="8955" width="10.375" style="1"/>
    <col min="8956" max="8956" width="13.625" style="1" customWidth="1"/>
    <col min="8957" max="8957" width="10.375" style="1"/>
    <col min="8958" max="8958" width="14.375" style="1" customWidth="1"/>
    <col min="8959" max="8959" width="10.375" style="1"/>
    <col min="8960" max="8960" width="11.625" style="1" bestFit="1" customWidth="1"/>
    <col min="8961" max="8963" width="10.375" style="1"/>
    <col min="8964" max="8964" width="12.875" style="1" customWidth="1"/>
    <col min="8965" max="8965" width="10.375" style="1"/>
    <col min="8966" max="8966" width="13" style="1" customWidth="1"/>
    <col min="8967" max="9205" width="10.375" style="1"/>
    <col min="9206" max="9206" width="33.25" style="1" customWidth="1"/>
    <col min="9207" max="9211" width="10.375" style="1"/>
    <col min="9212" max="9212" width="13.625" style="1" customWidth="1"/>
    <col min="9213" max="9213" width="10.375" style="1"/>
    <col min="9214" max="9214" width="14.375" style="1" customWidth="1"/>
    <col min="9215" max="9215" width="10.375" style="1"/>
    <col min="9216" max="9216" width="11.625" style="1" bestFit="1" customWidth="1"/>
    <col min="9217" max="9219" width="10.375" style="1"/>
    <col min="9220" max="9220" width="12.875" style="1" customWidth="1"/>
    <col min="9221" max="9221" width="10.375" style="1"/>
    <col min="9222" max="9222" width="13" style="1" customWidth="1"/>
    <col min="9223" max="9461" width="10.375" style="1"/>
    <col min="9462" max="9462" width="33.25" style="1" customWidth="1"/>
    <col min="9463" max="9467" width="10.375" style="1"/>
    <col min="9468" max="9468" width="13.625" style="1" customWidth="1"/>
    <col min="9469" max="9469" width="10.375" style="1"/>
    <col min="9470" max="9470" width="14.375" style="1" customWidth="1"/>
    <col min="9471" max="9471" width="10.375" style="1"/>
    <col min="9472" max="9472" width="11.625" style="1" bestFit="1" customWidth="1"/>
    <col min="9473" max="9475" width="10.375" style="1"/>
    <col min="9476" max="9476" width="12.875" style="1" customWidth="1"/>
    <col min="9477" max="9477" width="10.375" style="1"/>
    <col min="9478" max="9478" width="13" style="1" customWidth="1"/>
    <col min="9479" max="9717" width="10.375" style="1"/>
    <col min="9718" max="9718" width="33.25" style="1" customWidth="1"/>
    <col min="9719" max="9723" width="10.375" style="1"/>
    <col min="9724" max="9724" width="13.625" style="1" customWidth="1"/>
    <col min="9725" max="9725" width="10.375" style="1"/>
    <col min="9726" max="9726" width="14.375" style="1" customWidth="1"/>
    <col min="9727" max="9727" width="10.375" style="1"/>
    <col min="9728" max="9728" width="11.625" style="1" bestFit="1" customWidth="1"/>
    <col min="9729" max="9731" width="10.375" style="1"/>
    <col min="9732" max="9732" width="12.875" style="1" customWidth="1"/>
    <col min="9733" max="9733" width="10.375" style="1"/>
    <col min="9734" max="9734" width="13" style="1" customWidth="1"/>
    <col min="9735" max="9973" width="10.375" style="1"/>
    <col min="9974" max="9974" width="33.25" style="1" customWidth="1"/>
    <col min="9975" max="9979" width="10.375" style="1"/>
    <col min="9980" max="9980" width="13.625" style="1" customWidth="1"/>
    <col min="9981" max="9981" width="10.375" style="1"/>
    <col min="9982" max="9982" width="14.375" style="1" customWidth="1"/>
    <col min="9983" max="9983" width="10.375" style="1"/>
    <col min="9984" max="9984" width="11.625" style="1" bestFit="1" customWidth="1"/>
    <col min="9985" max="9987" width="10.375" style="1"/>
    <col min="9988" max="9988" width="12.875" style="1" customWidth="1"/>
    <col min="9989" max="9989" width="10.375" style="1"/>
    <col min="9990" max="9990" width="13" style="1" customWidth="1"/>
    <col min="9991" max="10229" width="10.375" style="1"/>
    <col min="10230" max="10230" width="33.25" style="1" customWidth="1"/>
    <col min="10231" max="10235" width="10.375" style="1"/>
    <col min="10236" max="10236" width="13.625" style="1" customWidth="1"/>
    <col min="10237" max="10237" width="10.375" style="1"/>
    <col min="10238" max="10238" width="14.375" style="1" customWidth="1"/>
    <col min="10239" max="10239" width="10.375" style="1"/>
    <col min="10240" max="10240" width="11.625" style="1" bestFit="1" customWidth="1"/>
    <col min="10241" max="10243" width="10.375" style="1"/>
    <col min="10244" max="10244" width="12.875" style="1" customWidth="1"/>
    <col min="10245" max="10245" width="10.375" style="1"/>
    <col min="10246" max="10246" width="13" style="1" customWidth="1"/>
    <col min="10247" max="10485" width="10.375" style="1"/>
    <col min="10486" max="10486" width="33.25" style="1" customWidth="1"/>
    <col min="10487" max="10491" width="10.375" style="1"/>
    <col min="10492" max="10492" width="13.625" style="1" customWidth="1"/>
    <col min="10493" max="10493" width="10.375" style="1"/>
    <col min="10494" max="10494" width="14.375" style="1" customWidth="1"/>
    <col min="10495" max="10495" width="10.375" style="1"/>
    <col min="10496" max="10496" width="11.625" style="1" bestFit="1" customWidth="1"/>
    <col min="10497" max="10499" width="10.375" style="1"/>
    <col min="10500" max="10500" width="12.875" style="1" customWidth="1"/>
    <col min="10501" max="10501" width="10.375" style="1"/>
    <col min="10502" max="10502" width="13" style="1" customWidth="1"/>
    <col min="10503" max="10741" width="10.375" style="1"/>
    <col min="10742" max="10742" width="33.25" style="1" customWidth="1"/>
    <col min="10743" max="10747" width="10.375" style="1"/>
    <col min="10748" max="10748" width="13.625" style="1" customWidth="1"/>
    <col min="10749" max="10749" width="10.375" style="1"/>
    <col min="10750" max="10750" width="14.375" style="1" customWidth="1"/>
    <col min="10751" max="10751" width="10.375" style="1"/>
    <col min="10752" max="10752" width="11.625" style="1" bestFit="1" customWidth="1"/>
    <col min="10753" max="10755" width="10.375" style="1"/>
    <col min="10756" max="10756" width="12.875" style="1" customWidth="1"/>
    <col min="10757" max="10757" width="10.375" style="1"/>
    <col min="10758" max="10758" width="13" style="1" customWidth="1"/>
    <col min="10759" max="10997" width="10.375" style="1"/>
    <col min="10998" max="10998" width="33.25" style="1" customWidth="1"/>
    <col min="10999" max="11003" width="10.375" style="1"/>
    <col min="11004" max="11004" width="13.625" style="1" customWidth="1"/>
    <col min="11005" max="11005" width="10.375" style="1"/>
    <col min="11006" max="11006" width="14.375" style="1" customWidth="1"/>
    <col min="11007" max="11007" width="10.375" style="1"/>
    <col min="11008" max="11008" width="11.625" style="1" bestFit="1" customWidth="1"/>
    <col min="11009" max="11011" width="10.375" style="1"/>
    <col min="11012" max="11012" width="12.875" style="1" customWidth="1"/>
    <col min="11013" max="11013" width="10.375" style="1"/>
    <col min="11014" max="11014" width="13" style="1" customWidth="1"/>
    <col min="11015" max="11253" width="10.375" style="1"/>
    <col min="11254" max="11254" width="33.25" style="1" customWidth="1"/>
    <col min="11255" max="11259" width="10.375" style="1"/>
    <col min="11260" max="11260" width="13.625" style="1" customWidth="1"/>
    <col min="11261" max="11261" width="10.375" style="1"/>
    <col min="11262" max="11262" width="14.375" style="1" customWidth="1"/>
    <col min="11263" max="11263" width="10.375" style="1"/>
    <col min="11264" max="11264" width="11.625" style="1" bestFit="1" customWidth="1"/>
    <col min="11265" max="11267" width="10.375" style="1"/>
    <col min="11268" max="11268" width="12.875" style="1" customWidth="1"/>
    <col min="11269" max="11269" width="10.375" style="1"/>
    <col min="11270" max="11270" width="13" style="1" customWidth="1"/>
    <col min="11271" max="11509" width="10.375" style="1"/>
    <col min="11510" max="11510" width="33.25" style="1" customWidth="1"/>
    <col min="11511" max="11515" width="10.375" style="1"/>
    <col min="11516" max="11516" width="13.625" style="1" customWidth="1"/>
    <col min="11517" max="11517" width="10.375" style="1"/>
    <col min="11518" max="11518" width="14.375" style="1" customWidth="1"/>
    <col min="11519" max="11519" width="10.375" style="1"/>
    <col min="11520" max="11520" width="11.625" style="1" bestFit="1" customWidth="1"/>
    <col min="11521" max="11523" width="10.375" style="1"/>
    <col min="11524" max="11524" width="12.875" style="1" customWidth="1"/>
    <col min="11525" max="11525" width="10.375" style="1"/>
    <col min="11526" max="11526" width="13" style="1" customWidth="1"/>
    <col min="11527" max="11765" width="10.375" style="1"/>
    <col min="11766" max="11766" width="33.25" style="1" customWidth="1"/>
    <col min="11767" max="11771" width="10.375" style="1"/>
    <col min="11772" max="11772" width="13.625" style="1" customWidth="1"/>
    <col min="11773" max="11773" width="10.375" style="1"/>
    <col min="11774" max="11774" width="14.375" style="1" customWidth="1"/>
    <col min="11775" max="11775" width="10.375" style="1"/>
    <col min="11776" max="11776" width="11.625" style="1" bestFit="1" customWidth="1"/>
    <col min="11777" max="11779" width="10.375" style="1"/>
    <col min="11780" max="11780" width="12.875" style="1" customWidth="1"/>
    <col min="11781" max="11781" width="10.375" style="1"/>
    <col min="11782" max="11782" width="13" style="1" customWidth="1"/>
    <col min="11783" max="12021" width="10.375" style="1"/>
    <col min="12022" max="12022" width="33.25" style="1" customWidth="1"/>
    <col min="12023" max="12027" width="10.375" style="1"/>
    <col min="12028" max="12028" width="13.625" style="1" customWidth="1"/>
    <col min="12029" max="12029" width="10.375" style="1"/>
    <col min="12030" max="12030" width="14.375" style="1" customWidth="1"/>
    <col min="12031" max="12031" width="10.375" style="1"/>
    <col min="12032" max="12032" width="11.625" style="1" bestFit="1" customWidth="1"/>
    <col min="12033" max="12035" width="10.375" style="1"/>
    <col min="12036" max="12036" width="12.875" style="1" customWidth="1"/>
    <col min="12037" max="12037" width="10.375" style="1"/>
    <col min="12038" max="12038" width="13" style="1" customWidth="1"/>
    <col min="12039" max="12277" width="10.375" style="1"/>
    <col min="12278" max="12278" width="33.25" style="1" customWidth="1"/>
    <col min="12279" max="12283" width="10.375" style="1"/>
    <col min="12284" max="12284" width="13.625" style="1" customWidth="1"/>
    <col min="12285" max="12285" width="10.375" style="1"/>
    <col min="12286" max="12286" width="14.375" style="1" customWidth="1"/>
    <col min="12287" max="12287" width="10.375" style="1"/>
    <col min="12288" max="12288" width="11.625" style="1" bestFit="1" customWidth="1"/>
    <col min="12289" max="12291" width="10.375" style="1"/>
    <col min="12292" max="12292" width="12.875" style="1" customWidth="1"/>
    <col min="12293" max="12293" width="10.375" style="1"/>
    <col min="12294" max="12294" width="13" style="1" customWidth="1"/>
    <col min="12295" max="12533" width="10.375" style="1"/>
    <col min="12534" max="12534" width="33.25" style="1" customWidth="1"/>
    <col min="12535" max="12539" width="10.375" style="1"/>
    <col min="12540" max="12540" width="13.625" style="1" customWidth="1"/>
    <col min="12541" max="12541" width="10.375" style="1"/>
    <col min="12542" max="12542" width="14.375" style="1" customWidth="1"/>
    <col min="12543" max="12543" width="10.375" style="1"/>
    <col min="12544" max="12544" width="11.625" style="1" bestFit="1" customWidth="1"/>
    <col min="12545" max="12547" width="10.375" style="1"/>
    <col min="12548" max="12548" width="12.875" style="1" customWidth="1"/>
    <col min="12549" max="12549" width="10.375" style="1"/>
    <col min="12550" max="12550" width="13" style="1" customWidth="1"/>
    <col min="12551" max="12789" width="10.375" style="1"/>
    <col min="12790" max="12790" width="33.25" style="1" customWidth="1"/>
    <col min="12791" max="12795" width="10.375" style="1"/>
    <col min="12796" max="12796" width="13.625" style="1" customWidth="1"/>
    <col min="12797" max="12797" width="10.375" style="1"/>
    <col min="12798" max="12798" width="14.375" style="1" customWidth="1"/>
    <col min="12799" max="12799" width="10.375" style="1"/>
    <col min="12800" max="12800" width="11.625" style="1" bestFit="1" customWidth="1"/>
    <col min="12801" max="12803" width="10.375" style="1"/>
    <col min="12804" max="12804" width="12.875" style="1" customWidth="1"/>
    <col min="12805" max="12805" width="10.375" style="1"/>
    <col min="12806" max="12806" width="13" style="1" customWidth="1"/>
    <col min="12807" max="13045" width="10.375" style="1"/>
    <col min="13046" max="13046" width="33.25" style="1" customWidth="1"/>
    <col min="13047" max="13051" width="10.375" style="1"/>
    <col min="13052" max="13052" width="13.625" style="1" customWidth="1"/>
    <col min="13053" max="13053" width="10.375" style="1"/>
    <col min="13054" max="13054" width="14.375" style="1" customWidth="1"/>
    <col min="13055" max="13055" width="10.375" style="1"/>
    <col min="13056" max="13056" width="11.625" style="1" bestFit="1" customWidth="1"/>
    <col min="13057" max="13059" width="10.375" style="1"/>
    <col min="13060" max="13060" width="12.875" style="1" customWidth="1"/>
    <col min="13061" max="13061" width="10.375" style="1"/>
    <col min="13062" max="13062" width="13" style="1" customWidth="1"/>
    <col min="13063" max="13301" width="10.375" style="1"/>
    <col min="13302" max="13302" width="33.25" style="1" customWidth="1"/>
    <col min="13303" max="13307" width="10.375" style="1"/>
    <col min="13308" max="13308" width="13.625" style="1" customWidth="1"/>
    <col min="13309" max="13309" width="10.375" style="1"/>
    <col min="13310" max="13310" width="14.375" style="1" customWidth="1"/>
    <col min="13311" max="13311" width="10.375" style="1"/>
    <col min="13312" max="13312" width="11.625" style="1" bestFit="1" customWidth="1"/>
    <col min="13313" max="13315" width="10.375" style="1"/>
    <col min="13316" max="13316" width="12.875" style="1" customWidth="1"/>
    <col min="13317" max="13317" width="10.375" style="1"/>
    <col min="13318" max="13318" width="13" style="1" customWidth="1"/>
    <col min="13319" max="13557" width="10.375" style="1"/>
    <col min="13558" max="13558" width="33.25" style="1" customWidth="1"/>
    <col min="13559" max="13563" width="10.375" style="1"/>
    <col min="13564" max="13564" width="13.625" style="1" customWidth="1"/>
    <col min="13565" max="13565" width="10.375" style="1"/>
    <col min="13566" max="13566" width="14.375" style="1" customWidth="1"/>
    <col min="13567" max="13567" width="10.375" style="1"/>
    <col min="13568" max="13568" width="11.625" style="1" bestFit="1" customWidth="1"/>
    <col min="13569" max="13571" width="10.375" style="1"/>
    <col min="13572" max="13572" width="12.875" style="1" customWidth="1"/>
    <col min="13573" max="13573" width="10.375" style="1"/>
    <col min="13574" max="13574" width="13" style="1" customWidth="1"/>
    <col min="13575" max="13813" width="10.375" style="1"/>
    <col min="13814" max="13814" width="33.25" style="1" customWidth="1"/>
    <col min="13815" max="13819" width="10.375" style="1"/>
    <col min="13820" max="13820" width="13.625" style="1" customWidth="1"/>
    <col min="13821" max="13821" width="10.375" style="1"/>
    <col min="13822" max="13822" width="14.375" style="1" customWidth="1"/>
    <col min="13823" max="13823" width="10.375" style="1"/>
    <col min="13824" max="13824" width="11.625" style="1" bestFit="1" customWidth="1"/>
    <col min="13825" max="13827" width="10.375" style="1"/>
    <col min="13828" max="13828" width="12.875" style="1" customWidth="1"/>
    <col min="13829" max="13829" width="10.375" style="1"/>
    <col min="13830" max="13830" width="13" style="1" customWidth="1"/>
    <col min="13831" max="14069" width="10.375" style="1"/>
    <col min="14070" max="14070" width="33.25" style="1" customWidth="1"/>
    <col min="14071" max="14075" width="10.375" style="1"/>
    <col min="14076" max="14076" width="13.625" style="1" customWidth="1"/>
    <col min="14077" max="14077" width="10.375" style="1"/>
    <col min="14078" max="14078" width="14.375" style="1" customWidth="1"/>
    <col min="14079" max="14079" width="10.375" style="1"/>
    <col min="14080" max="14080" width="11.625" style="1" bestFit="1" customWidth="1"/>
    <col min="14081" max="14083" width="10.375" style="1"/>
    <col min="14084" max="14084" width="12.875" style="1" customWidth="1"/>
    <col min="14085" max="14085" width="10.375" style="1"/>
    <col min="14086" max="14086" width="13" style="1" customWidth="1"/>
    <col min="14087" max="14325" width="10.375" style="1"/>
    <col min="14326" max="14326" width="33.25" style="1" customWidth="1"/>
    <col min="14327" max="14331" width="10.375" style="1"/>
    <col min="14332" max="14332" width="13.625" style="1" customWidth="1"/>
    <col min="14333" max="14333" width="10.375" style="1"/>
    <col min="14334" max="14334" width="14.375" style="1" customWidth="1"/>
    <col min="14335" max="14335" width="10.375" style="1"/>
    <col min="14336" max="14336" width="11.625" style="1" bestFit="1" customWidth="1"/>
    <col min="14337" max="14339" width="10.375" style="1"/>
    <col min="14340" max="14340" width="12.875" style="1" customWidth="1"/>
    <col min="14341" max="14341" width="10.375" style="1"/>
    <col min="14342" max="14342" width="13" style="1" customWidth="1"/>
    <col min="14343" max="14581" width="10.375" style="1"/>
    <col min="14582" max="14582" width="33.25" style="1" customWidth="1"/>
    <col min="14583" max="14587" width="10.375" style="1"/>
    <col min="14588" max="14588" width="13.625" style="1" customWidth="1"/>
    <col min="14589" max="14589" width="10.375" style="1"/>
    <col min="14590" max="14590" width="14.375" style="1" customWidth="1"/>
    <col min="14591" max="14591" width="10.375" style="1"/>
    <col min="14592" max="14592" width="11.625" style="1" bestFit="1" customWidth="1"/>
    <col min="14593" max="14595" width="10.375" style="1"/>
    <col min="14596" max="14596" width="12.875" style="1" customWidth="1"/>
    <col min="14597" max="14597" width="10.375" style="1"/>
    <col min="14598" max="14598" width="13" style="1" customWidth="1"/>
    <col min="14599" max="14837" width="10.375" style="1"/>
    <col min="14838" max="14838" width="33.25" style="1" customWidth="1"/>
    <col min="14839" max="14843" width="10.375" style="1"/>
    <col min="14844" max="14844" width="13.625" style="1" customWidth="1"/>
    <col min="14845" max="14845" width="10.375" style="1"/>
    <col min="14846" max="14846" width="14.375" style="1" customWidth="1"/>
    <col min="14847" max="14847" width="10.375" style="1"/>
    <col min="14848" max="14848" width="11.625" style="1" bestFit="1" customWidth="1"/>
    <col min="14849" max="14851" width="10.375" style="1"/>
    <col min="14852" max="14852" width="12.875" style="1" customWidth="1"/>
    <col min="14853" max="14853" width="10.375" style="1"/>
    <col min="14854" max="14854" width="13" style="1" customWidth="1"/>
    <col min="14855" max="15093" width="10.375" style="1"/>
    <col min="15094" max="15094" width="33.25" style="1" customWidth="1"/>
    <col min="15095" max="15099" width="10.375" style="1"/>
    <col min="15100" max="15100" width="13.625" style="1" customWidth="1"/>
    <col min="15101" max="15101" width="10.375" style="1"/>
    <col min="15102" max="15102" width="14.375" style="1" customWidth="1"/>
    <col min="15103" max="15103" width="10.375" style="1"/>
    <col min="15104" max="15104" width="11.625" style="1" bestFit="1" customWidth="1"/>
    <col min="15105" max="15107" width="10.375" style="1"/>
    <col min="15108" max="15108" width="12.875" style="1" customWidth="1"/>
    <col min="15109" max="15109" width="10.375" style="1"/>
    <col min="15110" max="15110" width="13" style="1" customWidth="1"/>
    <col min="15111" max="15349" width="10.375" style="1"/>
    <col min="15350" max="15350" width="33.25" style="1" customWidth="1"/>
    <col min="15351" max="15355" width="10.375" style="1"/>
    <col min="15356" max="15356" width="13.625" style="1" customWidth="1"/>
    <col min="15357" max="15357" width="10.375" style="1"/>
    <col min="15358" max="15358" width="14.375" style="1" customWidth="1"/>
    <col min="15359" max="15359" width="10.375" style="1"/>
    <col min="15360" max="15360" width="11.625" style="1" bestFit="1" customWidth="1"/>
    <col min="15361" max="15363" width="10.375" style="1"/>
    <col min="15364" max="15364" width="12.875" style="1" customWidth="1"/>
    <col min="15365" max="15365" width="10.375" style="1"/>
    <col min="15366" max="15366" width="13" style="1" customWidth="1"/>
    <col min="15367" max="15605" width="10.375" style="1"/>
    <col min="15606" max="15606" width="33.25" style="1" customWidth="1"/>
    <col min="15607" max="15611" width="10.375" style="1"/>
    <col min="15612" max="15612" width="13.625" style="1" customWidth="1"/>
    <col min="15613" max="15613" width="10.375" style="1"/>
    <col min="15614" max="15614" width="14.375" style="1" customWidth="1"/>
    <col min="15615" max="15615" width="10.375" style="1"/>
    <col min="15616" max="15616" width="11.625" style="1" bestFit="1" customWidth="1"/>
    <col min="15617" max="15619" width="10.375" style="1"/>
    <col min="15620" max="15620" width="12.875" style="1" customWidth="1"/>
    <col min="15621" max="15621" width="10.375" style="1"/>
    <col min="15622" max="15622" width="13" style="1" customWidth="1"/>
    <col min="15623" max="15861" width="10.375" style="1"/>
    <col min="15862" max="15862" width="33.25" style="1" customWidth="1"/>
    <col min="15863" max="15867" width="10.375" style="1"/>
    <col min="15868" max="15868" width="13.625" style="1" customWidth="1"/>
    <col min="15869" max="15869" width="10.375" style="1"/>
    <col min="15870" max="15870" width="14.375" style="1" customWidth="1"/>
    <col min="15871" max="15871" width="10.375" style="1"/>
    <col min="15872" max="15872" width="11.625" style="1" bestFit="1" customWidth="1"/>
    <col min="15873" max="15875" width="10.375" style="1"/>
    <col min="15876" max="15876" width="12.875" style="1" customWidth="1"/>
    <col min="15877" max="15877" width="10.375" style="1"/>
    <col min="15878" max="15878" width="13" style="1" customWidth="1"/>
    <col min="15879" max="16117" width="10.375" style="1"/>
    <col min="16118" max="16118" width="33.25" style="1" customWidth="1"/>
    <col min="16119" max="16123" width="10.375" style="1"/>
    <col min="16124" max="16124" width="13.625" style="1" customWidth="1"/>
    <col min="16125" max="16125" width="10.375" style="1"/>
    <col min="16126" max="16126" width="14.375" style="1" customWidth="1"/>
    <col min="16127" max="16127" width="10.375" style="1"/>
    <col min="16128" max="16128" width="11.625" style="1" bestFit="1" customWidth="1"/>
    <col min="16129" max="16131" width="10.375" style="1"/>
    <col min="16132" max="16132" width="12.875" style="1" customWidth="1"/>
    <col min="16133" max="16133" width="10.375" style="1"/>
    <col min="16134" max="16134" width="13" style="1" customWidth="1"/>
    <col min="16135" max="16384" width="10.375" style="1"/>
  </cols>
  <sheetData>
    <row r="1" spans="1:6" ht="18.600000000000001">
      <c r="A1" s="175" t="s">
        <v>0</v>
      </c>
      <c r="B1" s="175"/>
      <c r="C1" s="175"/>
      <c r="D1" s="175"/>
      <c r="E1" s="175"/>
      <c r="F1" s="175"/>
    </row>
    <row r="2" spans="1:6" ht="18.600000000000001">
      <c r="A2" s="176" t="s">
        <v>1</v>
      </c>
      <c r="B2" s="176"/>
      <c r="C2" s="176"/>
      <c r="D2" s="176"/>
      <c r="E2" s="176"/>
      <c r="F2" s="176"/>
    </row>
    <row r="3" spans="1:6" ht="18.600000000000001">
      <c r="A3" s="177" t="s">
        <v>66</v>
      </c>
      <c r="B3" s="177"/>
      <c r="C3" s="177"/>
      <c r="D3" s="177"/>
      <c r="E3" s="177"/>
      <c r="F3" s="177"/>
    </row>
    <row r="4" spans="1:6" ht="18.600000000000001">
      <c r="A4" s="178" t="s">
        <v>3</v>
      </c>
      <c r="B4" s="173" t="s">
        <v>4</v>
      </c>
      <c r="C4" s="146"/>
      <c r="D4" s="182" t="s">
        <v>9</v>
      </c>
      <c r="E4" s="183"/>
      <c r="F4" s="184"/>
    </row>
    <row r="5" spans="1:6" ht="18.600000000000001">
      <c r="A5" s="179"/>
      <c r="B5" s="181"/>
      <c r="C5" s="3" t="s">
        <v>58</v>
      </c>
      <c r="D5" s="185" t="s">
        <v>10</v>
      </c>
      <c r="E5" s="187" t="s">
        <v>12</v>
      </c>
      <c r="F5" s="2"/>
    </row>
    <row r="6" spans="1:6" ht="18.600000000000001">
      <c r="A6" s="180"/>
      <c r="B6" s="174"/>
      <c r="C6" s="4"/>
      <c r="D6" s="186"/>
      <c r="E6" s="188"/>
      <c r="F6" s="7" t="s">
        <v>19</v>
      </c>
    </row>
    <row r="7" spans="1:6" ht="18.600000000000001">
      <c r="A7" s="156"/>
      <c r="B7" s="173" t="s">
        <v>59</v>
      </c>
      <c r="C7" s="157"/>
      <c r="D7" s="158"/>
      <c r="E7" s="159"/>
      <c r="F7" s="160"/>
    </row>
    <row r="8" spans="1:6" ht="21.75" customHeight="1">
      <c r="A8" s="164"/>
      <c r="B8" s="174"/>
      <c r="C8" s="165"/>
      <c r="D8" s="150"/>
      <c r="E8" s="84"/>
      <c r="F8" s="166"/>
    </row>
    <row r="9" spans="1:6" ht="19.2" thickBot="1">
      <c r="A9" s="167"/>
      <c r="B9" s="168"/>
      <c r="C9" s="168"/>
      <c r="D9" s="169"/>
      <c r="E9" s="170"/>
      <c r="F9" s="171"/>
    </row>
    <row r="10" spans="1:6" ht="19.2" thickTop="1">
      <c r="A10" s="161"/>
      <c r="B10" s="162"/>
      <c r="C10" s="162"/>
      <c r="D10" s="77"/>
      <c r="E10" s="78"/>
      <c r="F10" s="163"/>
    </row>
    <row r="11" spans="1:6" ht="18.600000000000001">
      <c r="A11" s="151"/>
      <c r="B11" s="155" t="s">
        <v>31</v>
      </c>
      <c r="C11" s="147"/>
      <c r="D11" s="77"/>
      <c r="E11" s="78"/>
      <c r="F11" s="96"/>
    </row>
    <row r="12" spans="1:6" ht="18.600000000000001">
      <c r="A12" s="42">
        <v>1</v>
      </c>
      <c r="B12" s="97" t="s">
        <v>32</v>
      </c>
      <c r="C12" s="98"/>
      <c r="D12" s="24" t="s">
        <v>34</v>
      </c>
      <c r="E12" s="25"/>
      <c r="F12" s="99">
        <v>322273.98</v>
      </c>
    </row>
    <row r="13" spans="1:6" ht="18.600000000000001">
      <c r="A13" s="42"/>
      <c r="B13" s="100" t="s">
        <v>35</v>
      </c>
      <c r="C13" s="98"/>
      <c r="D13" s="31"/>
      <c r="E13" s="25"/>
      <c r="F13" s="99"/>
    </row>
    <row r="14" spans="1:6" ht="18.600000000000001">
      <c r="A14" s="42"/>
      <c r="B14" s="100" t="s">
        <v>37</v>
      </c>
      <c r="C14" s="101"/>
      <c r="D14" s="31"/>
      <c r="E14" s="25"/>
      <c r="F14" s="99"/>
    </row>
    <row r="15" spans="1:6" ht="18.600000000000001">
      <c r="A15" s="42"/>
      <c r="B15" s="100" t="s">
        <v>38</v>
      </c>
      <c r="C15" s="101"/>
      <c r="D15" s="31"/>
      <c r="E15" s="25"/>
      <c r="F15" s="99"/>
    </row>
    <row r="16" spans="1:6" ht="18.600000000000001">
      <c r="A16" s="8">
        <v>2</v>
      </c>
      <c r="B16" s="102" t="s">
        <v>32</v>
      </c>
      <c r="C16" s="98"/>
      <c r="D16" s="62" t="s">
        <v>40</v>
      </c>
      <c r="E16" s="25">
        <v>16</v>
      </c>
      <c r="F16" s="99">
        <v>5208581.93</v>
      </c>
    </row>
    <row r="17" spans="1:6" ht="18.600000000000001">
      <c r="A17" s="8"/>
      <c r="B17" s="153" t="s">
        <v>41</v>
      </c>
      <c r="C17" s="101"/>
      <c r="D17" s="62" t="s">
        <v>42</v>
      </c>
      <c r="E17" s="25"/>
      <c r="F17" s="92"/>
    </row>
    <row r="18" spans="1:6" ht="18.600000000000001">
      <c r="A18" s="8"/>
      <c r="B18" s="103" t="s">
        <v>43</v>
      </c>
      <c r="C18" s="101"/>
      <c r="D18" s="31"/>
      <c r="E18" s="25"/>
      <c r="F18" s="92"/>
    </row>
    <row r="19" spans="1:6" ht="18.600000000000001">
      <c r="A19" s="148"/>
      <c r="B19" s="149" t="s">
        <v>44</v>
      </c>
      <c r="C19" s="154"/>
      <c r="D19" s="150"/>
      <c r="E19" s="25"/>
      <c r="F19" s="92"/>
    </row>
    <row r="20" spans="1:6" ht="19.2" thickBot="1">
      <c r="A20" s="152"/>
      <c r="B20" s="172" t="s">
        <v>53</v>
      </c>
      <c r="C20" s="145"/>
      <c r="D20" s="108"/>
      <c r="E20" s="106"/>
      <c r="F20" s="106">
        <f>SUM(F12:F18)</f>
        <v>5530855.9100000001</v>
      </c>
    </row>
    <row r="21" spans="1:6" ht="19.2" thickTop="1">
      <c r="A21" s="120"/>
      <c r="B21" s="121"/>
      <c r="C21" s="121"/>
      <c r="D21" s="125"/>
      <c r="E21" s="121"/>
      <c r="F21" s="126"/>
    </row>
  </sheetData>
  <mergeCells count="9">
    <mergeCell ref="B7:B8"/>
    <mergeCell ref="A1:F1"/>
    <mergeCell ref="A2:F2"/>
    <mergeCell ref="A3:F3"/>
    <mergeCell ref="A4:A6"/>
    <mergeCell ref="B4:B6"/>
    <mergeCell ref="D4:F4"/>
    <mergeCell ref="D5:D6"/>
    <mergeCell ref="E5:E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2647-8EF6-4138-B136-5258EED6FB8E}">
  <sheetPr>
    <tabColor rgb="FF92D050"/>
  </sheetPr>
  <dimension ref="A1:E21"/>
  <sheetViews>
    <sheetView workbookViewId="0">
      <pane ySplit="6" topLeftCell="A9" activePane="bottomLeft" state="frozen"/>
      <selection pane="bottomLeft" activeCell="M15" sqref="M15"/>
    </sheetView>
  </sheetViews>
  <sheetFormatPr defaultColWidth="10.375" defaultRowHeight="14.4"/>
  <cols>
    <col min="1" max="1" width="10.375" style="1"/>
    <col min="2" max="2" width="33.25" style="1" customWidth="1"/>
    <col min="3" max="4" width="10.375" style="1"/>
    <col min="5" max="5" width="13" style="1" customWidth="1"/>
    <col min="6" max="244" width="10.375" style="1"/>
    <col min="245" max="245" width="33.25" style="1" customWidth="1"/>
    <col min="246" max="250" width="10.375" style="1"/>
    <col min="251" max="251" width="13.625" style="1" customWidth="1"/>
    <col min="252" max="252" width="10.375" style="1"/>
    <col min="253" max="253" width="14.375" style="1" customWidth="1"/>
    <col min="254" max="254" width="10.375" style="1"/>
    <col min="255" max="255" width="11.625" style="1" bestFit="1" customWidth="1"/>
    <col min="256" max="258" width="10.375" style="1"/>
    <col min="259" max="259" width="12.875" style="1" customWidth="1"/>
    <col min="260" max="260" width="10.375" style="1"/>
    <col min="261" max="261" width="13" style="1" customWidth="1"/>
    <col min="262" max="500" width="10.375" style="1"/>
    <col min="501" max="501" width="33.25" style="1" customWidth="1"/>
    <col min="502" max="506" width="10.375" style="1"/>
    <col min="507" max="507" width="13.625" style="1" customWidth="1"/>
    <col min="508" max="508" width="10.375" style="1"/>
    <col min="509" max="509" width="14.375" style="1" customWidth="1"/>
    <col min="510" max="510" width="10.375" style="1"/>
    <col min="511" max="511" width="11.625" style="1" bestFit="1" customWidth="1"/>
    <col min="512" max="514" width="10.375" style="1"/>
    <col min="515" max="515" width="12.875" style="1" customWidth="1"/>
    <col min="516" max="516" width="10.375" style="1"/>
    <col min="517" max="517" width="13" style="1" customWidth="1"/>
    <col min="518" max="756" width="10.375" style="1"/>
    <col min="757" max="757" width="33.25" style="1" customWidth="1"/>
    <col min="758" max="762" width="10.375" style="1"/>
    <col min="763" max="763" width="13.625" style="1" customWidth="1"/>
    <col min="764" max="764" width="10.375" style="1"/>
    <col min="765" max="765" width="14.375" style="1" customWidth="1"/>
    <col min="766" max="766" width="10.375" style="1"/>
    <col min="767" max="767" width="11.625" style="1" bestFit="1" customWidth="1"/>
    <col min="768" max="770" width="10.375" style="1"/>
    <col min="771" max="771" width="12.875" style="1" customWidth="1"/>
    <col min="772" max="772" width="10.375" style="1"/>
    <col min="773" max="773" width="13" style="1" customWidth="1"/>
    <col min="774" max="1012" width="10.375" style="1"/>
    <col min="1013" max="1013" width="33.25" style="1" customWidth="1"/>
    <col min="1014" max="1018" width="10.375" style="1"/>
    <col min="1019" max="1019" width="13.625" style="1" customWidth="1"/>
    <col min="1020" max="1020" width="10.375" style="1"/>
    <col min="1021" max="1021" width="14.375" style="1" customWidth="1"/>
    <col min="1022" max="1022" width="10.375" style="1"/>
    <col min="1023" max="1023" width="11.625" style="1" bestFit="1" customWidth="1"/>
    <col min="1024" max="1026" width="10.375" style="1"/>
    <col min="1027" max="1027" width="12.875" style="1" customWidth="1"/>
    <col min="1028" max="1028" width="10.375" style="1"/>
    <col min="1029" max="1029" width="13" style="1" customWidth="1"/>
    <col min="1030" max="1268" width="10.375" style="1"/>
    <col min="1269" max="1269" width="33.25" style="1" customWidth="1"/>
    <col min="1270" max="1274" width="10.375" style="1"/>
    <col min="1275" max="1275" width="13.625" style="1" customWidth="1"/>
    <col min="1276" max="1276" width="10.375" style="1"/>
    <col min="1277" max="1277" width="14.375" style="1" customWidth="1"/>
    <col min="1278" max="1278" width="10.375" style="1"/>
    <col min="1279" max="1279" width="11.625" style="1" bestFit="1" customWidth="1"/>
    <col min="1280" max="1282" width="10.375" style="1"/>
    <col min="1283" max="1283" width="12.875" style="1" customWidth="1"/>
    <col min="1284" max="1284" width="10.375" style="1"/>
    <col min="1285" max="1285" width="13" style="1" customWidth="1"/>
    <col min="1286" max="1524" width="10.375" style="1"/>
    <col min="1525" max="1525" width="33.25" style="1" customWidth="1"/>
    <col min="1526" max="1530" width="10.375" style="1"/>
    <col min="1531" max="1531" width="13.625" style="1" customWidth="1"/>
    <col min="1532" max="1532" width="10.375" style="1"/>
    <col min="1533" max="1533" width="14.375" style="1" customWidth="1"/>
    <col min="1534" max="1534" width="10.375" style="1"/>
    <col min="1535" max="1535" width="11.625" style="1" bestFit="1" customWidth="1"/>
    <col min="1536" max="1538" width="10.375" style="1"/>
    <col min="1539" max="1539" width="12.875" style="1" customWidth="1"/>
    <col min="1540" max="1540" width="10.375" style="1"/>
    <col min="1541" max="1541" width="13" style="1" customWidth="1"/>
    <col min="1542" max="1780" width="10.375" style="1"/>
    <col min="1781" max="1781" width="33.25" style="1" customWidth="1"/>
    <col min="1782" max="1786" width="10.375" style="1"/>
    <col min="1787" max="1787" width="13.625" style="1" customWidth="1"/>
    <col min="1788" max="1788" width="10.375" style="1"/>
    <col min="1789" max="1789" width="14.375" style="1" customWidth="1"/>
    <col min="1790" max="1790" width="10.375" style="1"/>
    <col min="1791" max="1791" width="11.625" style="1" bestFit="1" customWidth="1"/>
    <col min="1792" max="1794" width="10.375" style="1"/>
    <col min="1795" max="1795" width="12.875" style="1" customWidth="1"/>
    <col min="1796" max="1796" width="10.375" style="1"/>
    <col min="1797" max="1797" width="13" style="1" customWidth="1"/>
    <col min="1798" max="2036" width="10.375" style="1"/>
    <col min="2037" max="2037" width="33.25" style="1" customWidth="1"/>
    <col min="2038" max="2042" width="10.375" style="1"/>
    <col min="2043" max="2043" width="13.625" style="1" customWidth="1"/>
    <col min="2044" max="2044" width="10.375" style="1"/>
    <col min="2045" max="2045" width="14.375" style="1" customWidth="1"/>
    <col min="2046" max="2046" width="10.375" style="1"/>
    <col min="2047" max="2047" width="11.625" style="1" bestFit="1" customWidth="1"/>
    <col min="2048" max="2050" width="10.375" style="1"/>
    <col min="2051" max="2051" width="12.875" style="1" customWidth="1"/>
    <col min="2052" max="2052" width="10.375" style="1"/>
    <col min="2053" max="2053" width="13" style="1" customWidth="1"/>
    <col min="2054" max="2292" width="10.375" style="1"/>
    <col min="2293" max="2293" width="33.25" style="1" customWidth="1"/>
    <col min="2294" max="2298" width="10.375" style="1"/>
    <col min="2299" max="2299" width="13.625" style="1" customWidth="1"/>
    <col min="2300" max="2300" width="10.375" style="1"/>
    <col min="2301" max="2301" width="14.375" style="1" customWidth="1"/>
    <col min="2302" max="2302" width="10.375" style="1"/>
    <col min="2303" max="2303" width="11.625" style="1" bestFit="1" customWidth="1"/>
    <col min="2304" max="2306" width="10.375" style="1"/>
    <col min="2307" max="2307" width="12.875" style="1" customWidth="1"/>
    <col min="2308" max="2308" width="10.375" style="1"/>
    <col min="2309" max="2309" width="13" style="1" customWidth="1"/>
    <col min="2310" max="2548" width="10.375" style="1"/>
    <col min="2549" max="2549" width="33.25" style="1" customWidth="1"/>
    <col min="2550" max="2554" width="10.375" style="1"/>
    <col min="2555" max="2555" width="13.625" style="1" customWidth="1"/>
    <col min="2556" max="2556" width="10.375" style="1"/>
    <col min="2557" max="2557" width="14.375" style="1" customWidth="1"/>
    <col min="2558" max="2558" width="10.375" style="1"/>
    <col min="2559" max="2559" width="11.625" style="1" bestFit="1" customWidth="1"/>
    <col min="2560" max="2562" width="10.375" style="1"/>
    <col min="2563" max="2563" width="12.875" style="1" customWidth="1"/>
    <col min="2564" max="2564" width="10.375" style="1"/>
    <col min="2565" max="2565" width="13" style="1" customWidth="1"/>
    <col min="2566" max="2804" width="10.375" style="1"/>
    <col min="2805" max="2805" width="33.25" style="1" customWidth="1"/>
    <col min="2806" max="2810" width="10.375" style="1"/>
    <col min="2811" max="2811" width="13.625" style="1" customWidth="1"/>
    <col min="2812" max="2812" width="10.375" style="1"/>
    <col min="2813" max="2813" width="14.375" style="1" customWidth="1"/>
    <col min="2814" max="2814" width="10.375" style="1"/>
    <col min="2815" max="2815" width="11.625" style="1" bestFit="1" customWidth="1"/>
    <col min="2816" max="2818" width="10.375" style="1"/>
    <col min="2819" max="2819" width="12.875" style="1" customWidth="1"/>
    <col min="2820" max="2820" width="10.375" style="1"/>
    <col min="2821" max="2821" width="13" style="1" customWidth="1"/>
    <col min="2822" max="3060" width="10.375" style="1"/>
    <col min="3061" max="3061" width="33.25" style="1" customWidth="1"/>
    <col min="3062" max="3066" width="10.375" style="1"/>
    <col min="3067" max="3067" width="13.625" style="1" customWidth="1"/>
    <col min="3068" max="3068" width="10.375" style="1"/>
    <col min="3069" max="3069" width="14.375" style="1" customWidth="1"/>
    <col min="3070" max="3070" width="10.375" style="1"/>
    <col min="3071" max="3071" width="11.625" style="1" bestFit="1" customWidth="1"/>
    <col min="3072" max="3074" width="10.375" style="1"/>
    <col min="3075" max="3075" width="12.875" style="1" customWidth="1"/>
    <col min="3076" max="3076" width="10.375" style="1"/>
    <col min="3077" max="3077" width="13" style="1" customWidth="1"/>
    <col min="3078" max="3316" width="10.375" style="1"/>
    <col min="3317" max="3317" width="33.25" style="1" customWidth="1"/>
    <col min="3318" max="3322" width="10.375" style="1"/>
    <col min="3323" max="3323" width="13.625" style="1" customWidth="1"/>
    <col min="3324" max="3324" width="10.375" style="1"/>
    <col min="3325" max="3325" width="14.375" style="1" customWidth="1"/>
    <col min="3326" max="3326" width="10.375" style="1"/>
    <col min="3327" max="3327" width="11.625" style="1" bestFit="1" customWidth="1"/>
    <col min="3328" max="3330" width="10.375" style="1"/>
    <col min="3331" max="3331" width="12.875" style="1" customWidth="1"/>
    <col min="3332" max="3332" width="10.375" style="1"/>
    <col min="3333" max="3333" width="13" style="1" customWidth="1"/>
    <col min="3334" max="3572" width="10.375" style="1"/>
    <col min="3573" max="3573" width="33.25" style="1" customWidth="1"/>
    <col min="3574" max="3578" width="10.375" style="1"/>
    <col min="3579" max="3579" width="13.625" style="1" customWidth="1"/>
    <col min="3580" max="3580" width="10.375" style="1"/>
    <col min="3581" max="3581" width="14.375" style="1" customWidth="1"/>
    <col min="3582" max="3582" width="10.375" style="1"/>
    <col min="3583" max="3583" width="11.625" style="1" bestFit="1" customWidth="1"/>
    <col min="3584" max="3586" width="10.375" style="1"/>
    <col min="3587" max="3587" width="12.875" style="1" customWidth="1"/>
    <col min="3588" max="3588" width="10.375" style="1"/>
    <col min="3589" max="3589" width="13" style="1" customWidth="1"/>
    <col min="3590" max="3828" width="10.375" style="1"/>
    <col min="3829" max="3829" width="33.25" style="1" customWidth="1"/>
    <col min="3830" max="3834" width="10.375" style="1"/>
    <col min="3835" max="3835" width="13.625" style="1" customWidth="1"/>
    <col min="3836" max="3836" width="10.375" style="1"/>
    <col min="3837" max="3837" width="14.375" style="1" customWidth="1"/>
    <col min="3838" max="3838" width="10.375" style="1"/>
    <col min="3839" max="3839" width="11.625" style="1" bestFit="1" customWidth="1"/>
    <col min="3840" max="3842" width="10.375" style="1"/>
    <col min="3843" max="3843" width="12.875" style="1" customWidth="1"/>
    <col min="3844" max="3844" width="10.375" style="1"/>
    <col min="3845" max="3845" width="13" style="1" customWidth="1"/>
    <col min="3846" max="4084" width="10.375" style="1"/>
    <col min="4085" max="4085" width="33.25" style="1" customWidth="1"/>
    <col min="4086" max="4090" width="10.375" style="1"/>
    <col min="4091" max="4091" width="13.625" style="1" customWidth="1"/>
    <col min="4092" max="4092" width="10.375" style="1"/>
    <col min="4093" max="4093" width="14.375" style="1" customWidth="1"/>
    <col min="4094" max="4094" width="10.375" style="1"/>
    <col min="4095" max="4095" width="11.625" style="1" bestFit="1" customWidth="1"/>
    <col min="4096" max="4098" width="10.375" style="1"/>
    <col min="4099" max="4099" width="12.875" style="1" customWidth="1"/>
    <col min="4100" max="4100" width="10.375" style="1"/>
    <col min="4101" max="4101" width="13" style="1" customWidth="1"/>
    <col min="4102" max="4340" width="10.375" style="1"/>
    <col min="4341" max="4341" width="33.25" style="1" customWidth="1"/>
    <col min="4342" max="4346" width="10.375" style="1"/>
    <col min="4347" max="4347" width="13.625" style="1" customWidth="1"/>
    <col min="4348" max="4348" width="10.375" style="1"/>
    <col min="4349" max="4349" width="14.375" style="1" customWidth="1"/>
    <col min="4350" max="4350" width="10.375" style="1"/>
    <col min="4351" max="4351" width="11.625" style="1" bestFit="1" customWidth="1"/>
    <col min="4352" max="4354" width="10.375" style="1"/>
    <col min="4355" max="4355" width="12.875" style="1" customWidth="1"/>
    <col min="4356" max="4356" width="10.375" style="1"/>
    <col min="4357" max="4357" width="13" style="1" customWidth="1"/>
    <col min="4358" max="4596" width="10.375" style="1"/>
    <col min="4597" max="4597" width="33.25" style="1" customWidth="1"/>
    <col min="4598" max="4602" width="10.375" style="1"/>
    <col min="4603" max="4603" width="13.625" style="1" customWidth="1"/>
    <col min="4604" max="4604" width="10.375" style="1"/>
    <col min="4605" max="4605" width="14.375" style="1" customWidth="1"/>
    <col min="4606" max="4606" width="10.375" style="1"/>
    <col min="4607" max="4607" width="11.625" style="1" bestFit="1" customWidth="1"/>
    <col min="4608" max="4610" width="10.375" style="1"/>
    <col min="4611" max="4611" width="12.875" style="1" customWidth="1"/>
    <col min="4612" max="4612" width="10.375" style="1"/>
    <col min="4613" max="4613" width="13" style="1" customWidth="1"/>
    <col min="4614" max="4852" width="10.375" style="1"/>
    <col min="4853" max="4853" width="33.25" style="1" customWidth="1"/>
    <col min="4854" max="4858" width="10.375" style="1"/>
    <col min="4859" max="4859" width="13.625" style="1" customWidth="1"/>
    <col min="4860" max="4860" width="10.375" style="1"/>
    <col min="4861" max="4861" width="14.375" style="1" customWidth="1"/>
    <col min="4862" max="4862" width="10.375" style="1"/>
    <col min="4863" max="4863" width="11.625" style="1" bestFit="1" customWidth="1"/>
    <col min="4864" max="4866" width="10.375" style="1"/>
    <col min="4867" max="4867" width="12.875" style="1" customWidth="1"/>
    <col min="4868" max="4868" width="10.375" style="1"/>
    <col min="4869" max="4869" width="13" style="1" customWidth="1"/>
    <col min="4870" max="5108" width="10.375" style="1"/>
    <col min="5109" max="5109" width="33.25" style="1" customWidth="1"/>
    <col min="5110" max="5114" width="10.375" style="1"/>
    <col min="5115" max="5115" width="13.625" style="1" customWidth="1"/>
    <col min="5116" max="5116" width="10.375" style="1"/>
    <col min="5117" max="5117" width="14.375" style="1" customWidth="1"/>
    <col min="5118" max="5118" width="10.375" style="1"/>
    <col min="5119" max="5119" width="11.625" style="1" bestFit="1" customWidth="1"/>
    <col min="5120" max="5122" width="10.375" style="1"/>
    <col min="5123" max="5123" width="12.875" style="1" customWidth="1"/>
    <col min="5124" max="5124" width="10.375" style="1"/>
    <col min="5125" max="5125" width="13" style="1" customWidth="1"/>
    <col min="5126" max="5364" width="10.375" style="1"/>
    <col min="5365" max="5365" width="33.25" style="1" customWidth="1"/>
    <col min="5366" max="5370" width="10.375" style="1"/>
    <col min="5371" max="5371" width="13.625" style="1" customWidth="1"/>
    <col min="5372" max="5372" width="10.375" style="1"/>
    <col min="5373" max="5373" width="14.375" style="1" customWidth="1"/>
    <col min="5374" max="5374" width="10.375" style="1"/>
    <col min="5375" max="5375" width="11.625" style="1" bestFit="1" customWidth="1"/>
    <col min="5376" max="5378" width="10.375" style="1"/>
    <col min="5379" max="5379" width="12.875" style="1" customWidth="1"/>
    <col min="5380" max="5380" width="10.375" style="1"/>
    <col min="5381" max="5381" width="13" style="1" customWidth="1"/>
    <col min="5382" max="5620" width="10.375" style="1"/>
    <col min="5621" max="5621" width="33.25" style="1" customWidth="1"/>
    <col min="5622" max="5626" width="10.375" style="1"/>
    <col min="5627" max="5627" width="13.625" style="1" customWidth="1"/>
    <col min="5628" max="5628" width="10.375" style="1"/>
    <col min="5629" max="5629" width="14.375" style="1" customWidth="1"/>
    <col min="5630" max="5630" width="10.375" style="1"/>
    <col min="5631" max="5631" width="11.625" style="1" bestFit="1" customWidth="1"/>
    <col min="5632" max="5634" width="10.375" style="1"/>
    <col min="5635" max="5635" width="12.875" style="1" customWidth="1"/>
    <col min="5636" max="5636" width="10.375" style="1"/>
    <col min="5637" max="5637" width="13" style="1" customWidth="1"/>
    <col min="5638" max="5876" width="10.375" style="1"/>
    <col min="5877" max="5877" width="33.25" style="1" customWidth="1"/>
    <col min="5878" max="5882" width="10.375" style="1"/>
    <col min="5883" max="5883" width="13.625" style="1" customWidth="1"/>
    <col min="5884" max="5884" width="10.375" style="1"/>
    <col min="5885" max="5885" width="14.375" style="1" customWidth="1"/>
    <col min="5886" max="5886" width="10.375" style="1"/>
    <col min="5887" max="5887" width="11.625" style="1" bestFit="1" customWidth="1"/>
    <col min="5888" max="5890" width="10.375" style="1"/>
    <col min="5891" max="5891" width="12.875" style="1" customWidth="1"/>
    <col min="5892" max="5892" width="10.375" style="1"/>
    <col min="5893" max="5893" width="13" style="1" customWidth="1"/>
    <col min="5894" max="6132" width="10.375" style="1"/>
    <col min="6133" max="6133" width="33.25" style="1" customWidth="1"/>
    <col min="6134" max="6138" width="10.375" style="1"/>
    <col min="6139" max="6139" width="13.625" style="1" customWidth="1"/>
    <col min="6140" max="6140" width="10.375" style="1"/>
    <col min="6141" max="6141" width="14.375" style="1" customWidth="1"/>
    <col min="6142" max="6142" width="10.375" style="1"/>
    <col min="6143" max="6143" width="11.625" style="1" bestFit="1" customWidth="1"/>
    <col min="6144" max="6146" width="10.375" style="1"/>
    <col min="6147" max="6147" width="12.875" style="1" customWidth="1"/>
    <col min="6148" max="6148" width="10.375" style="1"/>
    <col min="6149" max="6149" width="13" style="1" customWidth="1"/>
    <col min="6150" max="6388" width="10.375" style="1"/>
    <col min="6389" max="6389" width="33.25" style="1" customWidth="1"/>
    <col min="6390" max="6394" width="10.375" style="1"/>
    <col min="6395" max="6395" width="13.625" style="1" customWidth="1"/>
    <col min="6396" max="6396" width="10.375" style="1"/>
    <col min="6397" max="6397" width="14.375" style="1" customWidth="1"/>
    <col min="6398" max="6398" width="10.375" style="1"/>
    <col min="6399" max="6399" width="11.625" style="1" bestFit="1" customWidth="1"/>
    <col min="6400" max="6402" width="10.375" style="1"/>
    <col min="6403" max="6403" width="12.875" style="1" customWidth="1"/>
    <col min="6404" max="6404" width="10.375" style="1"/>
    <col min="6405" max="6405" width="13" style="1" customWidth="1"/>
    <col min="6406" max="6644" width="10.375" style="1"/>
    <col min="6645" max="6645" width="33.25" style="1" customWidth="1"/>
    <col min="6646" max="6650" width="10.375" style="1"/>
    <col min="6651" max="6651" width="13.625" style="1" customWidth="1"/>
    <col min="6652" max="6652" width="10.375" style="1"/>
    <col min="6653" max="6653" width="14.375" style="1" customWidth="1"/>
    <col min="6654" max="6654" width="10.375" style="1"/>
    <col min="6655" max="6655" width="11.625" style="1" bestFit="1" customWidth="1"/>
    <col min="6656" max="6658" width="10.375" style="1"/>
    <col min="6659" max="6659" width="12.875" style="1" customWidth="1"/>
    <col min="6660" max="6660" width="10.375" style="1"/>
    <col min="6661" max="6661" width="13" style="1" customWidth="1"/>
    <col min="6662" max="6900" width="10.375" style="1"/>
    <col min="6901" max="6901" width="33.25" style="1" customWidth="1"/>
    <col min="6902" max="6906" width="10.375" style="1"/>
    <col min="6907" max="6907" width="13.625" style="1" customWidth="1"/>
    <col min="6908" max="6908" width="10.375" style="1"/>
    <col min="6909" max="6909" width="14.375" style="1" customWidth="1"/>
    <col min="6910" max="6910" width="10.375" style="1"/>
    <col min="6911" max="6911" width="11.625" style="1" bestFit="1" customWidth="1"/>
    <col min="6912" max="6914" width="10.375" style="1"/>
    <col min="6915" max="6915" width="12.875" style="1" customWidth="1"/>
    <col min="6916" max="6916" width="10.375" style="1"/>
    <col min="6917" max="6917" width="13" style="1" customWidth="1"/>
    <col min="6918" max="7156" width="10.375" style="1"/>
    <col min="7157" max="7157" width="33.25" style="1" customWidth="1"/>
    <col min="7158" max="7162" width="10.375" style="1"/>
    <col min="7163" max="7163" width="13.625" style="1" customWidth="1"/>
    <col min="7164" max="7164" width="10.375" style="1"/>
    <col min="7165" max="7165" width="14.375" style="1" customWidth="1"/>
    <col min="7166" max="7166" width="10.375" style="1"/>
    <col min="7167" max="7167" width="11.625" style="1" bestFit="1" customWidth="1"/>
    <col min="7168" max="7170" width="10.375" style="1"/>
    <col min="7171" max="7171" width="12.875" style="1" customWidth="1"/>
    <col min="7172" max="7172" width="10.375" style="1"/>
    <col min="7173" max="7173" width="13" style="1" customWidth="1"/>
    <col min="7174" max="7412" width="10.375" style="1"/>
    <col min="7413" max="7413" width="33.25" style="1" customWidth="1"/>
    <col min="7414" max="7418" width="10.375" style="1"/>
    <col min="7419" max="7419" width="13.625" style="1" customWidth="1"/>
    <col min="7420" max="7420" width="10.375" style="1"/>
    <col min="7421" max="7421" width="14.375" style="1" customWidth="1"/>
    <col min="7422" max="7422" width="10.375" style="1"/>
    <col min="7423" max="7423" width="11.625" style="1" bestFit="1" customWidth="1"/>
    <col min="7424" max="7426" width="10.375" style="1"/>
    <col min="7427" max="7427" width="12.875" style="1" customWidth="1"/>
    <col min="7428" max="7428" width="10.375" style="1"/>
    <col min="7429" max="7429" width="13" style="1" customWidth="1"/>
    <col min="7430" max="7668" width="10.375" style="1"/>
    <col min="7669" max="7669" width="33.25" style="1" customWidth="1"/>
    <col min="7670" max="7674" width="10.375" style="1"/>
    <col min="7675" max="7675" width="13.625" style="1" customWidth="1"/>
    <col min="7676" max="7676" width="10.375" style="1"/>
    <col min="7677" max="7677" width="14.375" style="1" customWidth="1"/>
    <col min="7678" max="7678" width="10.375" style="1"/>
    <col min="7679" max="7679" width="11.625" style="1" bestFit="1" customWidth="1"/>
    <col min="7680" max="7682" width="10.375" style="1"/>
    <col min="7683" max="7683" width="12.875" style="1" customWidth="1"/>
    <col min="7684" max="7684" width="10.375" style="1"/>
    <col min="7685" max="7685" width="13" style="1" customWidth="1"/>
    <col min="7686" max="7924" width="10.375" style="1"/>
    <col min="7925" max="7925" width="33.25" style="1" customWidth="1"/>
    <col min="7926" max="7930" width="10.375" style="1"/>
    <col min="7931" max="7931" width="13.625" style="1" customWidth="1"/>
    <col min="7932" max="7932" width="10.375" style="1"/>
    <col min="7933" max="7933" width="14.375" style="1" customWidth="1"/>
    <col min="7934" max="7934" width="10.375" style="1"/>
    <col min="7935" max="7935" width="11.625" style="1" bestFit="1" customWidth="1"/>
    <col min="7936" max="7938" width="10.375" style="1"/>
    <col min="7939" max="7939" width="12.875" style="1" customWidth="1"/>
    <col min="7940" max="7940" width="10.375" style="1"/>
    <col min="7941" max="7941" width="13" style="1" customWidth="1"/>
    <col min="7942" max="8180" width="10.375" style="1"/>
    <col min="8181" max="8181" width="33.25" style="1" customWidth="1"/>
    <col min="8182" max="8186" width="10.375" style="1"/>
    <col min="8187" max="8187" width="13.625" style="1" customWidth="1"/>
    <col min="8188" max="8188" width="10.375" style="1"/>
    <col min="8189" max="8189" width="14.375" style="1" customWidth="1"/>
    <col min="8190" max="8190" width="10.375" style="1"/>
    <col min="8191" max="8191" width="11.625" style="1" bestFit="1" customWidth="1"/>
    <col min="8192" max="8194" width="10.375" style="1"/>
    <col min="8195" max="8195" width="12.875" style="1" customWidth="1"/>
    <col min="8196" max="8196" width="10.375" style="1"/>
    <col min="8197" max="8197" width="13" style="1" customWidth="1"/>
    <col min="8198" max="8436" width="10.375" style="1"/>
    <col min="8437" max="8437" width="33.25" style="1" customWidth="1"/>
    <col min="8438" max="8442" width="10.375" style="1"/>
    <col min="8443" max="8443" width="13.625" style="1" customWidth="1"/>
    <col min="8444" max="8444" width="10.375" style="1"/>
    <col min="8445" max="8445" width="14.375" style="1" customWidth="1"/>
    <col min="8446" max="8446" width="10.375" style="1"/>
    <col min="8447" max="8447" width="11.625" style="1" bestFit="1" customWidth="1"/>
    <col min="8448" max="8450" width="10.375" style="1"/>
    <col min="8451" max="8451" width="12.875" style="1" customWidth="1"/>
    <col min="8452" max="8452" width="10.375" style="1"/>
    <col min="8453" max="8453" width="13" style="1" customWidth="1"/>
    <col min="8454" max="8692" width="10.375" style="1"/>
    <col min="8693" max="8693" width="33.25" style="1" customWidth="1"/>
    <col min="8694" max="8698" width="10.375" style="1"/>
    <col min="8699" max="8699" width="13.625" style="1" customWidth="1"/>
    <col min="8700" max="8700" width="10.375" style="1"/>
    <col min="8701" max="8701" width="14.375" style="1" customWidth="1"/>
    <col min="8702" max="8702" width="10.375" style="1"/>
    <col min="8703" max="8703" width="11.625" style="1" bestFit="1" customWidth="1"/>
    <col min="8704" max="8706" width="10.375" style="1"/>
    <col min="8707" max="8707" width="12.875" style="1" customWidth="1"/>
    <col min="8708" max="8708" width="10.375" style="1"/>
    <col min="8709" max="8709" width="13" style="1" customWidth="1"/>
    <col min="8710" max="8948" width="10.375" style="1"/>
    <col min="8949" max="8949" width="33.25" style="1" customWidth="1"/>
    <col min="8950" max="8954" width="10.375" style="1"/>
    <col min="8955" max="8955" width="13.625" style="1" customWidth="1"/>
    <col min="8956" max="8956" width="10.375" style="1"/>
    <col min="8957" max="8957" width="14.375" style="1" customWidth="1"/>
    <col min="8958" max="8958" width="10.375" style="1"/>
    <col min="8959" max="8959" width="11.625" style="1" bestFit="1" customWidth="1"/>
    <col min="8960" max="8962" width="10.375" style="1"/>
    <col min="8963" max="8963" width="12.875" style="1" customWidth="1"/>
    <col min="8964" max="8964" width="10.375" style="1"/>
    <col min="8965" max="8965" width="13" style="1" customWidth="1"/>
    <col min="8966" max="9204" width="10.375" style="1"/>
    <col min="9205" max="9205" width="33.25" style="1" customWidth="1"/>
    <col min="9206" max="9210" width="10.375" style="1"/>
    <col min="9211" max="9211" width="13.625" style="1" customWidth="1"/>
    <col min="9212" max="9212" width="10.375" style="1"/>
    <col min="9213" max="9213" width="14.375" style="1" customWidth="1"/>
    <col min="9214" max="9214" width="10.375" style="1"/>
    <col min="9215" max="9215" width="11.625" style="1" bestFit="1" customWidth="1"/>
    <col min="9216" max="9218" width="10.375" style="1"/>
    <col min="9219" max="9219" width="12.875" style="1" customWidth="1"/>
    <col min="9220" max="9220" width="10.375" style="1"/>
    <col min="9221" max="9221" width="13" style="1" customWidth="1"/>
    <col min="9222" max="9460" width="10.375" style="1"/>
    <col min="9461" max="9461" width="33.25" style="1" customWidth="1"/>
    <col min="9462" max="9466" width="10.375" style="1"/>
    <col min="9467" max="9467" width="13.625" style="1" customWidth="1"/>
    <col min="9468" max="9468" width="10.375" style="1"/>
    <col min="9469" max="9469" width="14.375" style="1" customWidth="1"/>
    <col min="9470" max="9470" width="10.375" style="1"/>
    <col min="9471" max="9471" width="11.625" style="1" bestFit="1" customWidth="1"/>
    <col min="9472" max="9474" width="10.375" style="1"/>
    <col min="9475" max="9475" width="12.875" style="1" customWidth="1"/>
    <col min="9476" max="9476" width="10.375" style="1"/>
    <col min="9477" max="9477" width="13" style="1" customWidth="1"/>
    <col min="9478" max="9716" width="10.375" style="1"/>
    <col min="9717" max="9717" width="33.25" style="1" customWidth="1"/>
    <col min="9718" max="9722" width="10.375" style="1"/>
    <col min="9723" max="9723" width="13.625" style="1" customWidth="1"/>
    <col min="9724" max="9724" width="10.375" style="1"/>
    <col min="9725" max="9725" width="14.375" style="1" customWidth="1"/>
    <col min="9726" max="9726" width="10.375" style="1"/>
    <col min="9727" max="9727" width="11.625" style="1" bestFit="1" customWidth="1"/>
    <col min="9728" max="9730" width="10.375" style="1"/>
    <col min="9731" max="9731" width="12.875" style="1" customWidth="1"/>
    <col min="9732" max="9732" width="10.375" style="1"/>
    <col min="9733" max="9733" width="13" style="1" customWidth="1"/>
    <col min="9734" max="9972" width="10.375" style="1"/>
    <col min="9973" max="9973" width="33.25" style="1" customWidth="1"/>
    <col min="9974" max="9978" width="10.375" style="1"/>
    <col min="9979" max="9979" width="13.625" style="1" customWidth="1"/>
    <col min="9980" max="9980" width="10.375" style="1"/>
    <col min="9981" max="9981" width="14.375" style="1" customWidth="1"/>
    <col min="9982" max="9982" width="10.375" style="1"/>
    <col min="9983" max="9983" width="11.625" style="1" bestFit="1" customWidth="1"/>
    <col min="9984" max="9986" width="10.375" style="1"/>
    <col min="9987" max="9987" width="12.875" style="1" customWidth="1"/>
    <col min="9988" max="9988" width="10.375" style="1"/>
    <col min="9989" max="9989" width="13" style="1" customWidth="1"/>
    <col min="9990" max="10228" width="10.375" style="1"/>
    <col min="10229" max="10229" width="33.25" style="1" customWidth="1"/>
    <col min="10230" max="10234" width="10.375" style="1"/>
    <col min="10235" max="10235" width="13.625" style="1" customWidth="1"/>
    <col min="10236" max="10236" width="10.375" style="1"/>
    <col min="10237" max="10237" width="14.375" style="1" customWidth="1"/>
    <col min="10238" max="10238" width="10.375" style="1"/>
    <col min="10239" max="10239" width="11.625" style="1" bestFit="1" customWidth="1"/>
    <col min="10240" max="10242" width="10.375" style="1"/>
    <col min="10243" max="10243" width="12.875" style="1" customWidth="1"/>
    <col min="10244" max="10244" width="10.375" style="1"/>
    <col min="10245" max="10245" width="13" style="1" customWidth="1"/>
    <col min="10246" max="10484" width="10.375" style="1"/>
    <col min="10485" max="10485" width="33.25" style="1" customWidth="1"/>
    <col min="10486" max="10490" width="10.375" style="1"/>
    <col min="10491" max="10491" width="13.625" style="1" customWidth="1"/>
    <col min="10492" max="10492" width="10.375" style="1"/>
    <col min="10493" max="10493" width="14.375" style="1" customWidth="1"/>
    <col min="10494" max="10494" width="10.375" style="1"/>
    <col min="10495" max="10495" width="11.625" style="1" bestFit="1" customWidth="1"/>
    <col min="10496" max="10498" width="10.375" style="1"/>
    <col min="10499" max="10499" width="12.875" style="1" customWidth="1"/>
    <col min="10500" max="10500" width="10.375" style="1"/>
    <col min="10501" max="10501" width="13" style="1" customWidth="1"/>
    <col min="10502" max="10740" width="10.375" style="1"/>
    <col min="10741" max="10741" width="33.25" style="1" customWidth="1"/>
    <col min="10742" max="10746" width="10.375" style="1"/>
    <col min="10747" max="10747" width="13.625" style="1" customWidth="1"/>
    <col min="10748" max="10748" width="10.375" style="1"/>
    <col min="10749" max="10749" width="14.375" style="1" customWidth="1"/>
    <col min="10750" max="10750" width="10.375" style="1"/>
    <col min="10751" max="10751" width="11.625" style="1" bestFit="1" customWidth="1"/>
    <col min="10752" max="10754" width="10.375" style="1"/>
    <col min="10755" max="10755" width="12.875" style="1" customWidth="1"/>
    <col min="10756" max="10756" width="10.375" style="1"/>
    <col min="10757" max="10757" width="13" style="1" customWidth="1"/>
    <col min="10758" max="10996" width="10.375" style="1"/>
    <col min="10997" max="10997" width="33.25" style="1" customWidth="1"/>
    <col min="10998" max="11002" width="10.375" style="1"/>
    <col min="11003" max="11003" width="13.625" style="1" customWidth="1"/>
    <col min="11004" max="11004" width="10.375" style="1"/>
    <col min="11005" max="11005" width="14.375" style="1" customWidth="1"/>
    <col min="11006" max="11006" width="10.375" style="1"/>
    <col min="11007" max="11007" width="11.625" style="1" bestFit="1" customWidth="1"/>
    <col min="11008" max="11010" width="10.375" style="1"/>
    <col min="11011" max="11011" width="12.875" style="1" customWidth="1"/>
    <col min="11012" max="11012" width="10.375" style="1"/>
    <col min="11013" max="11013" width="13" style="1" customWidth="1"/>
    <col min="11014" max="11252" width="10.375" style="1"/>
    <col min="11253" max="11253" width="33.25" style="1" customWidth="1"/>
    <col min="11254" max="11258" width="10.375" style="1"/>
    <col min="11259" max="11259" width="13.625" style="1" customWidth="1"/>
    <col min="11260" max="11260" width="10.375" style="1"/>
    <col min="11261" max="11261" width="14.375" style="1" customWidth="1"/>
    <col min="11262" max="11262" width="10.375" style="1"/>
    <col min="11263" max="11263" width="11.625" style="1" bestFit="1" customWidth="1"/>
    <col min="11264" max="11266" width="10.375" style="1"/>
    <col min="11267" max="11267" width="12.875" style="1" customWidth="1"/>
    <col min="11268" max="11268" width="10.375" style="1"/>
    <col min="11269" max="11269" width="13" style="1" customWidth="1"/>
    <col min="11270" max="11508" width="10.375" style="1"/>
    <col min="11509" max="11509" width="33.25" style="1" customWidth="1"/>
    <col min="11510" max="11514" width="10.375" style="1"/>
    <col min="11515" max="11515" width="13.625" style="1" customWidth="1"/>
    <col min="11516" max="11516" width="10.375" style="1"/>
    <col min="11517" max="11517" width="14.375" style="1" customWidth="1"/>
    <col min="11518" max="11518" width="10.375" style="1"/>
    <col min="11519" max="11519" width="11.625" style="1" bestFit="1" customWidth="1"/>
    <col min="11520" max="11522" width="10.375" style="1"/>
    <col min="11523" max="11523" width="12.875" style="1" customWidth="1"/>
    <col min="11524" max="11524" width="10.375" style="1"/>
    <col min="11525" max="11525" width="13" style="1" customWidth="1"/>
    <col min="11526" max="11764" width="10.375" style="1"/>
    <col min="11765" max="11765" width="33.25" style="1" customWidth="1"/>
    <col min="11766" max="11770" width="10.375" style="1"/>
    <col min="11771" max="11771" width="13.625" style="1" customWidth="1"/>
    <col min="11772" max="11772" width="10.375" style="1"/>
    <col min="11773" max="11773" width="14.375" style="1" customWidth="1"/>
    <col min="11774" max="11774" width="10.375" style="1"/>
    <col min="11775" max="11775" width="11.625" style="1" bestFit="1" customWidth="1"/>
    <col min="11776" max="11778" width="10.375" style="1"/>
    <col min="11779" max="11779" width="12.875" style="1" customWidth="1"/>
    <col min="11780" max="11780" width="10.375" style="1"/>
    <col min="11781" max="11781" width="13" style="1" customWidth="1"/>
    <col min="11782" max="12020" width="10.375" style="1"/>
    <col min="12021" max="12021" width="33.25" style="1" customWidth="1"/>
    <col min="12022" max="12026" width="10.375" style="1"/>
    <col min="12027" max="12027" width="13.625" style="1" customWidth="1"/>
    <col min="12028" max="12028" width="10.375" style="1"/>
    <col min="12029" max="12029" width="14.375" style="1" customWidth="1"/>
    <col min="12030" max="12030" width="10.375" style="1"/>
    <col min="12031" max="12031" width="11.625" style="1" bestFit="1" customWidth="1"/>
    <col min="12032" max="12034" width="10.375" style="1"/>
    <col min="12035" max="12035" width="12.875" style="1" customWidth="1"/>
    <col min="12036" max="12036" width="10.375" style="1"/>
    <col min="12037" max="12037" width="13" style="1" customWidth="1"/>
    <col min="12038" max="12276" width="10.375" style="1"/>
    <col min="12277" max="12277" width="33.25" style="1" customWidth="1"/>
    <col min="12278" max="12282" width="10.375" style="1"/>
    <col min="12283" max="12283" width="13.625" style="1" customWidth="1"/>
    <col min="12284" max="12284" width="10.375" style="1"/>
    <col min="12285" max="12285" width="14.375" style="1" customWidth="1"/>
    <col min="12286" max="12286" width="10.375" style="1"/>
    <col min="12287" max="12287" width="11.625" style="1" bestFit="1" customWidth="1"/>
    <col min="12288" max="12290" width="10.375" style="1"/>
    <col min="12291" max="12291" width="12.875" style="1" customWidth="1"/>
    <col min="12292" max="12292" width="10.375" style="1"/>
    <col min="12293" max="12293" width="13" style="1" customWidth="1"/>
    <col min="12294" max="12532" width="10.375" style="1"/>
    <col min="12533" max="12533" width="33.25" style="1" customWidth="1"/>
    <col min="12534" max="12538" width="10.375" style="1"/>
    <col min="12539" max="12539" width="13.625" style="1" customWidth="1"/>
    <col min="12540" max="12540" width="10.375" style="1"/>
    <col min="12541" max="12541" width="14.375" style="1" customWidth="1"/>
    <col min="12542" max="12542" width="10.375" style="1"/>
    <col min="12543" max="12543" width="11.625" style="1" bestFit="1" customWidth="1"/>
    <col min="12544" max="12546" width="10.375" style="1"/>
    <col min="12547" max="12547" width="12.875" style="1" customWidth="1"/>
    <col min="12548" max="12548" width="10.375" style="1"/>
    <col min="12549" max="12549" width="13" style="1" customWidth="1"/>
    <col min="12550" max="12788" width="10.375" style="1"/>
    <col min="12789" max="12789" width="33.25" style="1" customWidth="1"/>
    <col min="12790" max="12794" width="10.375" style="1"/>
    <col min="12795" max="12795" width="13.625" style="1" customWidth="1"/>
    <col min="12796" max="12796" width="10.375" style="1"/>
    <col min="12797" max="12797" width="14.375" style="1" customWidth="1"/>
    <col min="12798" max="12798" width="10.375" style="1"/>
    <col min="12799" max="12799" width="11.625" style="1" bestFit="1" customWidth="1"/>
    <col min="12800" max="12802" width="10.375" style="1"/>
    <col min="12803" max="12803" width="12.875" style="1" customWidth="1"/>
    <col min="12804" max="12804" width="10.375" style="1"/>
    <col min="12805" max="12805" width="13" style="1" customWidth="1"/>
    <col min="12806" max="13044" width="10.375" style="1"/>
    <col min="13045" max="13045" width="33.25" style="1" customWidth="1"/>
    <col min="13046" max="13050" width="10.375" style="1"/>
    <col min="13051" max="13051" width="13.625" style="1" customWidth="1"/>
    <col min="13052" max="13052" width="10.375" style="1"/>
    <col min="13053" max="13053" width="14.375" style="1" customWidth="1"/>
    <col min="13054" max="13054" width="10.375" style="1"/>
    <col min="13055" max="13055" width="11.625" style="1" bestFit="1" customWidth="1"/>
    <col min="13056" max="13058" width="10.375" style="1"/>
    <col min="13059" max="13059" width="12.875" style="1" customWidth="1"/>
    <col min="13060" max="13060" width="10.375" style="1"/>
    <col min="13061" max="13061" width="13" style="1" customWidth="1"/>
    <col min="13062" max="13300" width="10.375" style="1"/>
    <col min="13301" max="13301" width="33.25" style="1" customWidth="1"/>
    <col min="13302" max="13306" width="10.375" style="1"/>
    <col min="13307" max="13307" width="13.625" style="1" customWidth="1"/>
    <col min="13308" max="13308" width="10.375" style="1"/>
    <col min="13309" max="13309" width="14.375" style="1" customWidth="1"/>
    <col min="13310" max="13310" width="10.375" style="1"/>
    <col min="13311" max="13311" width="11.625" style="1" bestFit="1" customWidth="1"/>
    <col min="13312" max="13314" width="10.375" style="1"/>
    <col min="13315" max="13315" width="12.875" style="1" customWidth="1"/>
    <col min="13316" max="13316" width="10.375" style="1"/>
    <col min="13317" max="13317" width="13" style="1" customWidth="1"/>
    <col min="13318" max="13556" width="10.375" style="1"/>
    <col min="13557" max="13557" width="33.25" style="1" customWidth="1"/>
    <col min="13558" max="13562" width="10.375" style="1"/>
    <col min="13563" max="13563" width="13.625" style="1" customWidth="1"/>
    <col min="13564" max="13564" width="10.375" style="1"/>
    <col min="13565" max="13565" width="14.375" style="1" customWidth="1"/>
    <col min="13566" max="13566" width="10.375" style="1"/>
    <col min="13567" max="13567" width="11.625" style="1" bestFit="1" customWidth="1"/>
    <col min="13568" max="13570" width="10.375" style="1"/>
    <col min="13571" max="13571" width="12.875" style="1" customWidth="1"/>
    <col min="13572" max="13572" width="10.375" style="1"/>
    <col min="13573" max="13573" width="13" style="1" customWidth="1"/>
    <col min="13574" max="13812" width="10.375" style="1"/>
    <col min="13813" max="13813" width="33.25" style="1" customWidth="1"/>
    <col min="13814" max="13818" width="10.375" style="1"/>
    <col min="13819" max="13819" width="13.625" style="1" customWidth="1"/>
    <col min="13820" max="13820" width="10.375" style="1"/>
    <col min="13821" max="13821" width="14.375" style="1" customWidth="1"/>
    <col min="13822" max="13822" width="10.375" style="1"/>
    <col min="13823" max="13823" width="11.625" style="1" bestFit="1" customWidth="1"/>
    <col min="13824" max="13826" width="10.375" style="1"/>
    <col min="13827" max="13827" width="12.875" style="1" customWidth="1"/>
    <col min="13828" max="13828" width="10.375" style="1"/>
    <col min="13829" max="13829" width="13" style="1" customWidth="1"/>
    <col min="13830" max="14068" width="10.375" style="1"/>
    <col min="14069" max="14069" width="33.25" style="1" customWidth="1"/>
    <col min="14070" max="14074" width="10.375" style="1"/>
    <col min="14075" max="14075" width="13.625" style="1" customWidth="1"/>
    <col min="14076" max="14076" width="10.375" style="1"/>
    <col min="14077" max="14077" width="14.375" style="1" customWidth="1"/>
    <col min="14078" max="14078" width="10.375" style="1"/>
    <col min="14079" max="14079" width="11.625" style="1" bestFit="1" customWidth="1"/>
    <col min="14080" max="14082" width="10.375" style="1"/>
    <col min="14083" max="14083" width="12.875" style="1" customWidth="1"/>
    <col min="14084" max="14084" width="10.375" style="1"/>
    <col min="14085" max="14085" width="13" style="1" customWidth="1"/>
    <col min="14086" max="14324" width="10.375" style="1"/>
    <col min="14325" max="14325" width="33.25" style="1" customWidth="1"/>
    <col min="14326" max="14330" width="10.375" style="1"/>
    <col min="14331" max="14331" width="13.625" style="1" customWidth="1"/>
    <col min="14332" max="14332" width="10.375" style="1"/>
    <col min="14333" max="14333" width="14.375" style="1" customWidth="1"/>
    <col min="14334" max="14334" width="10.375" style="1"/>
    <col min="14335" max="14335" width="11.625" style="1" bestFit="1" customWidth="1"/>
    <col min="14336" max="14338" width="10.375" style="1"/>
    <col min="14339" max="14339" width="12.875" style="1" customWidth="1"/>
    <col min="14340" max="14340" width="10.375" style="1"/>
    <col min="14341" max="14341" width="13" style="1" customWidth="1"/>
    <col min="14342" max="14580" width="10.375" style="1"/>
    <col min="14581" max="14581" width="33.25" style="1" customWidth="1"/>
    <col min="14582" max="14586" width="10.375" style="1"/>
    <col min="14587" max="14587" width="13.625" style="1" customWidth="1"/>
    <col min="14588" max="14588" width="10.375" style="1"/>
    <col min="14589" max="14589" width="14.375" style="1" customWidth="1"/>
    <col min="14590" max="14590" width="10.375" style="1"/>
    <col min="14591" max="14591" width="11.625" style="1" bestFit="1" customWidth="1"/>
    <col min="14592" max="14594" width="10.375" style="1"/>
    <col min="14595" max="14595" width="12.875" style="1" customWidth="1"/>
    <col min="14596" max="14596" width="10.375" style="1"/>
    <col min="14597" max="14597" width="13" style="1" customWidth="1"/>
    <col min="14598" max="14836" width="10.375" style="1"/>
    <col min="14837" max="14837" width="33.25" style="1" customWidth="1"/>
    <col min="14838" max="14842" width="10.375" style="1"/>
    <col min="14843" max="14843" width="13.625" style="1" customWidth="1"/>
    <col min="14844" max="14844" width="10.375" style="1"/>
    <col min="14845" max="14845" width="14.375" style="1" customWidth="1"/>
    <col min="14846" max="14846" width="10.375" style="1"/>
    <col min="14847" max="14847" width="11.625" style="1" bestFit="1" customWidth="1"/>
    <col min="14848" max="14850" width="10.375" style="1"/>
    <col min="14851" max="14851" width="12.875" style="1" customWidth="1"/>
    <col min="14852" max="14852" width="10.375" style="1"/>
    <col min="14853" max="14853" width="13" style="1" customWidth="1"/>
    <col min="14854" max="15092" width="10.375" style="1"/>
    <col min="15093" max="15093" width="33.25" style="1" customWidth="1"/>
    <col min="15094" max="15098" width="10.375" style="1"/>
    <col min="15099" max="15099" width="13.625" style="1" customWidth="1"/>
    <col min="15100" max="15100" width="10.375" style="1"/>
    <col min="15101" max="15101" width="14.375" style="1" customWidth="1"/>
    <col min="15102" max="15102" width="10.375" style="1"/>
    <col min="15103" max="15103" width="11.625" style="1" bestFit="1" customWidth="1"/>
    <col min="15104" max="15106" width="10.375" style="1"/>
    <col min="15107" max="15107" width="12.875" style="1" customWidth="1"/>
    <col min="15108" max="15108" width="10.375" style="1"/>
    <col min="15109" max="15109" width="13" style="1" customWidth="1"/>
    <col min="15110" max="15348" width="10.375" style="1"/>
    <col min="15349" max="15349" width="33.25" style="1" customWidth="1"/>
    <col min="15350" max="15354" width="10.375" style="1"/>
    <col min="15355" max="15355" width="13.625" style="1" customWidth="1"/>
    <col min="15356" max="15356" width="10.375" style="1"/>
    <col min="15357" max="15357" width="14.375" style="1" customWidth="1"/>
    <col min="15358" max="15358" width="10.375" style="1"/>
    <col min="15359" max="15359" width="11.625" style="1" bestFit="1" customWidth="1"/>
    <col min="15360" max="15362" width="10.375" style="1"/>
    <col min="15363" max="15363" width="12.875" style="1" customWidth="1"/>
    <col min="15364" max="15364" width="10.375" style="1"/>
    <col min="15365" max="15365" width="13" style="1" customWidth="1"/>
    <col min="15366" max="15604" width="10.375" style="1"/>
    <col min="15605" max="15605" width="33.25" style="1" customWidth="1"/>
    <col min="15606" max="15610" width="10.375" style="1"/>
    <col min="15611" max="15611" width="13.625" style="1" customWidth="1"/>
    <col min="15612" max="15612" width="10.375" style="1"/>
    <col min="15613" max="15613" width="14.375" style="1" customWidth="1"/>
    <col min="15614" max="15614" width="10.375" style="1"/>
    <col min="15615" max="15615" width="11.625" style="1" bestFit="1" customWidth="1"/>
    <col min="15616" max="15618" width="10.375" style="1"/>
    <col min="15619" max="15619" width="12.875" style="1" customWidth="1"/>
    <col min="15620" max="15620" width="10.375" style="1"/>
    <col min="15621" max="15621" width="13" style="1" customWidth="1"/>
    <col min="15622" max="15860" width="10.375" style="1"/>
    <col min="15861" max="15861" width="33.25" style="1" customWidth="1"/>
    <col min="15862" max="15866" width="10.375" style="1"/>
    <col min="15867" max="15867" width="13.625" style="1" customWidth="1"/>
    <col min="15868" max="15868" width="10.375" style="1"/>
    <col min="15869" max="15869" width="14.375" style="1" customWidth="1"/>
    <col min="15870" max="15870" width="10.375" style="1"/>
    <col min="15871" max="15871" width="11.625" style="1" bestFit="1" customWidth="1"/>
    <col min="15872" max="15874" width="10.375" style="1"/>
    <col min="15875" max="15875" width="12.875" style="1" customWidth="1"/>
    <col min="15876" max="15876" width="10.375" style="1"/>
    <col min="15877" max="15877" width="13" style="1" customWidth="1"/>
    <col min="15878" max="16116" width="10.375" style="1"/>
    <col min="16117" max="16117" width="33.25" style="1" customWidth="1"/>
    <col min="16118" max="16122" width="10.375" style="1"/>
    <col min="16123" max="16123" width="13.625" style="1" customWidth="1"/>
    <col min="16124" max="16124" width="10.375" style="1"/>
    <col min="16125" max="16125" width="14.375" style="1" customWidth="1"/>
    <col min="16126" max="16126" width="10.375" style="1"/>
    <col min="16127" max="16127" width="11.625" style="1" bestFit="1" customWidth="1"/>
    <col min="16128" max="16130" width="10.375" style="1"/>
    <col min="16131" max="16131" width="12.875" style="1" customWidth="1"/>
    <col min="16132" max="16132" width="10.375" style="1"/>
    <col min="16133" max="16133" width="13" style="1" customWidth="1"/>
    <col min="16134" max="16384" width="10.375" style="1"/>
  </cols>
  <sheetData>
    <row r="1" spans="1:5" ht="18.600000000000001">
      <c r="A1" s="175" t="s">
        <v>0</v>
      </c>
      <c r="B1" s="175"/>
      <c r="C1" s="175"/>
      <c r="D1" s="175"/>
      <c r="E1" s="175"/>
    </row>
    <row r="2" spans="1:5" ht="18.600000000000001">
      <c r="A2" s="176" t="s">
        <v>1</v>
      </c>
      <c r="B2" s="176"/>
      <c r="C2" s="176"/>
      <c r="D2" s="176"/>
      <c r="E2" s="176"/>
    </row>
    <row r="3" spans="1:5" ht="18.600000000000001">
      <c r="A3" s="177" t="s">
        <v>66</v>
      </c>
      <c r="B3" s="177"/>
      <c r="C3" s="177"/>
      <c r="D3" s="177"/>
      <c r="E3" s="177"/>
    </row>
    <row r="4" spans="1:5" ht="18.600000000000001">
      <c r="A4" s="178" t="s">
        <v>3</v>
      </c>
      <c r="B4" s="173" t="s">
        <v>4</v>
      </c>
      <c r="C4" s="182" t="s">
        <v>9</v>
      </c>
      <c r="D4" s="183"/>
      <c r="E4" s="184"/>
    </row>
    <row r="5" spans="1:5" ht="18.600000000000001">
      <c r="A5" s="179"/>
      <c r="B5" s="181"/>
      <c r="C5" s="185" t="s">
        <v>10</v>
      </c>
      <c r="D5" s="187" t="s">
        <v>12</v>
      </c>
      <c r="E5" s="2"/>
    </row>
    <row r="6" spans="1:5" ht="16.8">
      <c r="A6" s="180"/>
      <c r="B6" s="174"/>
      <c r="C6" s="186"/>
      <c r="D6" s="188"/>
      <c r="E6" s="7" t="s">
        <v>19</v>
      </c>
    </row>
    <row r="7" spans="1:5" ht="18.600000000000001">
      <c r="A7" s="156"/>
      <c r="B7" s="173" t="s">
        <v>59</v>
      </c>
      <c r="C7" s="158"/>
      <c r="D7" s="159"/>
      <c r="E7" s="160"/>
    </row>
    <row r="8" spans="1:5" ht="21.75" customHeight="1">
      <c r="A8" s="164"/>
      <c r="B8" s="174"/>
      <c r="C8" s="150"/>
      <c r="D8" s="84"/>
      <c r="E8" s="166"/>
    </row>
    <row r="9" spans="1:5" ht="19.2" thickBot="1">
      <c r="A9" s="167"/>
      <c r="B9" s="168"/>
      <c r="C9" s="169"/>
      <c r="D9" s="170"/>
      <c r="E9" s="171"/>
    </row>
    <row r="10" spans="1:5" ht="19.2" thickTop="1">
      <c r="A10" s="161"/>
      <c r="B10" s="162"/>
      <c r="C10" s="77"/>
      <c r="D10" s="78"/>
      <c r="E10" s="163"/>
    </row>
    <row r="11" spans="1:5" ht="18.600000000000001">
      <c r="A11" s="151"/>
      <c r="B11" s="155" t="s">
        <v>31</v>
      </c>
      <c r="C11" s="77"/>
      <c r="D11" s="78"/>
      <c r="E11" s="96"/>
    </row>
    <row r="12" spans="1:5" ht="18.600000000000001">
      <c r="A12" s="42">
        <v>1</v>
      </c>
      <c r="B12" s="97" t="s">
        <v>32</v>
      </c>
      <c r="C12" s="24" t="s">
        <v>34</v>
      </c>
      <c r="D12" s="25"/>
      <c r="E12" s="99">
        <v>322273.98</v>
      </c>
    </row>
    <row r="13" spans="1:5" ht="18.600000000000001">
      <c r="A13" s="42"/>
      <c r="B13" s="100" t="s">
        <v>35</v>
      </c>
      <c r="C13" s="31"/>
      <c r="D13" s="25"/>
      <c r="E13" s="99"/>
    </row>
    <row r="14" spans="1:5" ht="18.600000000000001">
      <c r="A14" s="42"/>
      <c r="B14" s="100" t="s">
        <v>37</v>
      </c>
      <c r="C14" s="31"/>
      <c r="D14" s="25"/>
      <c r="E14" s="99"/>
    </row>
    <row r="15" spans="1:5" ht="18.600000000000001">
      <c r="A15" s="42"/>
      <c r="B15" s="100" t="s">
        <v>38</v>
      </c>
      <c r="C15" s="31"/>
      <c r="D15" s="25"/>
      <c r="E15" s="99"/>
    </row>
    <row r="16" spans="1:5" ht="18.600000000000001">
      <c r="A16" s="8">
        <v>2</v>
      </c>
      <c r="B16" s="102" t="s">
        <v>32</v>
      </c>
      <c r="C16" s="62" t="s">
        <v>40</v>
      </c>
      <c r="D16" s="25">
        <v>16</v>
      </c>
      <c r="E16" s="99">
        <v>5208581.93</v>
      </c>
    </row>
    <row r="17" spans="1:5" ht="18.600000000000001">
      <c r="A17" s="8"/>
      <c r="B17" s="153" t="s">
        <v>41</v>
      </c>
      <c r="C17" s="62" t="s">
        <v>42</v>
      </c>
      <c r="D17" s="25"/>
      <c r="E17" s="92"/>
    </row>
    <row r="18" spans="1:5" ht="18.600000000000001">
      <c r="A18" s="8"/>
      <c r="B18" s="103" t="s">
        <v>43</v>
      </c>
      <c r="C18" s="31"/>
      <c r="D18" s="25"/>
      <c r="E18" s="92"/>
    </row>
    <row r="19" spans="1:5" ht="18.600000000000001">
      <c r="A19" s="148"/>
      <c r="B19" s="149" t="s">
        <v>44</v>
      </c>
      <c r="C19" s="150"/>
      <c r="D19" s="25"/>
      <c r="E19" s="92"/>
    </row>
    <row r="20" spans="1:5" ht="19.2" thickBot="1">
      <c r="A20" s="152"/>
      <c r="B20" s="172" t="s">
        <v>53</v>
      </c>
      <c r="C20" s="108"/>
      <c r="D20" s="106"/>
      <c r="E20" s="106">
        <f>SUM(E12:E18)</f>
        <v>5530855.9100000001</v>
      </c>
    </row>
    <row r="21" spans="1:5" ht="19.2" thickTop="1">
      <c r="A21" s="120"/>
      <c r="B21" s="121"/>
      <c r="C21" s="125"/>
      <c r="D21" s="121"/>
      <c r="E21" s="126"/>
    </row>
  </sheetData>
  <mergeCells count="9">
    <mergeCell ref="B7:B8"/>
    <mergeCell ref="A1:E1"/>
    <mergeCell ref="A2:E2"/>
    <mergeCell ref="A3:E3"/>
    <mergeCell ref="A4:A6"/>
    <mergeCell ref="B4:B6"/>
    <mergeCell ref="C4:E4"/>
    <mergeCell ref="C5:C6"/>
    <mergeCell ref="D5:D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CD2D-1C13-4AA6-8699-3F91C01F0CCF}">
  <sheetPr>
    <tabColor rgb="FFFFC000"/>
  </sheetPr>
  <dimension ref="A1:R114"/>
  <sheetViews>
    <sheetView workbookViewId="0">
      <pane ySplit="6" topLeftCell="A102" activePane="bottomLeft" state="frozen"/>
      <selection pane="bottomLeft" activeCell="L69" sqref="L69"/>
    </sheetView>
  </sheetViews>
  <sheetFormatPr defaultColWidth="10.375" defaultRowHeight="14.4"/>
  <cols>
    <col min="1" max="1" width="10.375" style="1"/>
    <col min="2" max="2" width="33.25" style="1" customWidth="1"/>
    <col min="3" max="7" width="10.375" style="1"/>
    <col min="8" max="8" width="13.625" style="1" customWidth="1"/>
    <col min="9" max="9" width="10.375" style="1"/>
    <col min="10" max="10" width="14.375" style="1" customWidth="1"/>
    <col min="11" max="11" width="10.375" style="139"/>
    <col min="12" max="12" width="11.625" style="139" bestFit="1" customWidth="1"/>
    <col min="13" max="13" width="10.375" style="139"/>
    <col min="14" max="15" width="10.375" style="1"/>
    <col min="16" max="16" width="12.875" style="1" customWidth="1"/>
    <col min="17" max="17" width="10.375" style="1"/>
    <col min="18" max="18" width="13" style="1" customWidth="1"/>
    <col min="19" max="257" width="10.375" style="1"/>
    <col min="258" max="258" width="33.25" style="1" customWidth="1"/>
    <col min="259" max="263" width="10.375" style="1"/>
    <col min="264" max="264" width="13.625" style="1" customWidth="1"/>
    <col min="265" max="265" width="10.375" style="1"/>
    <col min="266" max="266" width="14.375" style="1" customWidth="1"/>
    <col min="267" max="267" width="10.375" style="1"/>
    <col min="268" max="268" width="11.625" style="1" bestFit="1" customWidth="1"/>
    <col min="269" max="271" width="10.375" style="1"/>
    <col min="272" max="272" width="12.875" style="1" customWidth="1"/>
    <col min="273" max="273" width="10.375" style="1"/>
    <col min="274" max="274" width="13" style="1" customWidth="1"/>
    <col min="275" max="513" width="10.375" style="1"/>
    <col min="514" max="514" width="33.25" style="1" customWidth="1"/>
    <col min="515" max="519" width="10.375" style="1"/>
    <col min="520" max="520" width="13.625" style="1" customWidth="1"/>
    <col min="521" max="521" width="10.375" style="1"/>
    <col min="522" max="522" width="14.375" style="1" customWidth="1"/>
    <col min="523" max="523" width="10.375" style="1"/>
    <col min="524" max="524" width="11.625" style="1" bestFit="1" customWidth="1"/>
    <col min="525" max="527" width="10.375" style="1"/>
    <col min="528" max="528" width="12.875" style="1" customWidth="1"/>
    <col min="529" max="529" width="10.375" style="1"/>
    <col min="530" max="530" width="13" style="1" customWidth="1"/>
    <col min="531" max="769" width="10.375" style="1"/>
    <col min="770" max="770" width="33.25" style="1" customWidth="1"/>
    <col min="771" max="775" width="10.375" style="1"/>
    <col min="776" max="776" width="13.625" style="1" customWidth="1"/>
    <col min="777" max="777" width="10.375" style="1"/>
    <col min="778" max="778" width="14.375" style="1" customWidth="1"/>
    <col min="779" max="779" width="10.375" style="1"/>
    <col min="780" max="780" width="11.625" style="1" bestFit="1" customWidth="1"/>
    <col min="781" max="783" width="10.375" style="1"/>
    <col min="784" max="784" width="12.875" style="1" customWidth="1"/>
    <col min="785" max="785" width="10.375" style="1"/>
    <col min="786" max="786" width="13" style="1" customWidth="1"/>
    <col min="787" max="1025" width="10.375" style="1"/>
    <col min="1026" max="1026" width="33.25" style="1" customWidth="1"/>
    <col min="1027" max="1031" width="10.375" style="1"/>
    <col min="1032" max="1032" width="13.625" style="1" customWidth="1"/>
    <col min="1033" max="1033" width="10.375" style="1"/>
    <col min="1034" max="1034" width="14.375" style="1" customWidth="1"/>
    <col min="1035" max="1035" width="10.375" style="1"/>
    <col min="1036" max="1036" width="11.625" style="1" bestFit="1" customWidth="1"/>
    <col min="1037" max="1039" width="10.375" style="1"/>
    <col min="1040" max="1040" width="12.875" style="1" customWidth="1"/>
    <col min="1041" max="1041" width="10.375" style="1"/>
    <col min="1042" max="1042" width="13" style="1" customWidth="1"/>
    <col min="1043" max="1281" width="10.375" style="1"/>
    <col min="1282" max="1282" width="33.25" style="1" customWidth="1"/>
    <col min="1283" max="1287" width="10.375" style="1"/>
    <col min="1288" max="1288" width="13.625" style="1" customWidth="1"/>
    <col min="1289" max="1289" width="10.375" style="1"/>
    <col min="1290" max="1290" width="14.375" style="1" customWidth="1"/>
    <col min="1291" max="1291" width="10.375" style="1"/>
    <col min="1292" max="1292" width="11.625" style="1" bestFit="1" customWidth="1"/>
    <col min="1293" max="1295" width="10.375" style="1"/>
    <col min="1296" max="1296" width="12.875" style="1" customWidth="1"/>
    <col min="1297" max="1297" width="10.375" style="1"/>
    <col min="1298" max="1298" width="13" style="1" customWidth="1"/>
    <col min="1299" max="1537" width="10.375" style="1"/>
    <col min="1538" max="1538" width="33.25" style="1" customWidth="1"/>
    <col min="1539" max="1543" width="10.375" style="1"/>
    <col min="1544" max="1544" width="13.625" style="1" customWidth="1"/>
    <col min="1545" max="1545" width="10.375" style="1"/>
    <col min="1546" max="1546" width="14.375" style="1" customWidth="1"/>
    <col min="1547" max="1547" width="10.375" style="1"/>
    <col min="1548" max="1548" width="11.625" style="1" bestFit="1" customWidth="1"/>
    <col min="1549" max="1551" width="10.375" style="1"/>
    <col min="1552" max="1552" width="12.875" style="1" customWidth="1"/>
    <col min="1553" max="1553" width="10.375" style="1"/>
    <col min="1554" max="1554" width="13" style="1" customWidth="1"/>
    <col min="1555" max="1793" width="10.375" style="1"/>
    <col min="1794" max="1794" width="33.25" style="1" customWidth="1"/>
    <col min="1795" max="1799" width="10.375" style="1"/>
    <col min="1800" max="1800" width="13.625" style="1" customWidth="1"/>
    <col min="1801" max="1801" width="10.375" style="1"/>
    <col min="1802" max="1802" width="14.375" style="1" customWidth="1"/>
    <col min="1803" max="1803" width="10.375" style="1"/>
    <col min="1804" max="1804" width="11.625" style="1" bestFit="1" customWidth="1"/>
    <col min="1805" max="1807" width="10.375" style="1"/>
    <col min="1808" max="1808" width="12.875" style="1" customWidth="1"/>
    <col min="1809" max="1809" width="10.375" style="1"/>
    <col min="1810" max="1810" width="13" style="1" customWidth="1"/>
    <col min="1811" max="2049" width="10.375" style="1"/>
    <col min="2050" max="2050" width="33.25" style="1" customWidth="1"/>
    <col min="2051" max="2055" width="10.375" style="1"/>
    <col min="2056" max="2056" width="13.625" style="1" customWidth="1"/>
    <col min="2057" max="2057" width="10.375" style="1"/>
    <col min="2058" max="2058" width="14.375" style="1" customWidth="1"/>
    <col min="2059" max="2059" width="10.375" style="1"/>
    <col min="2060" max="2060" width="11.625" style="1" bestFit="1" customWidth="1"/>
    <col min="2061" max="2063" width="10.375" style="1"/>
    <col min="2064" max="2064" width="12.875" style="1" customWidth="1"/>
    <col min="2065" max="2065" width="10.375" style="1"/>
    <col min="2066" max="2066" width="13" style="1" customWidth="1"/>
    <col min="2067" max="2305" width="10.375" style="1"/>
    <col min="2306" max="2306" width="33.25" style="1" customWidth="1"/>
    <col min="2307" max="2311" width="10.375" style="1"/>
    <col min="2312" max="2312" width="13.625" style="1" customWidth="1"/>
    <col min="2313" max="2313" width="10.375" style="1"/>
    <col min="2314" max="2314" width="14.375" style="1" customWidth="1"/>
    <col min="2315" max="2315" width="10.375" style="1"/>
    <col min="2316" max="2316" width="11.625" style="1" bestFit="1" customWidth="1"/>
    <col min="2317" max="2319" width="10.375" style="1"/>
    <col min="2320" max="2320" width="12.875" style="1" customWidth="1"/>
    <col min="2321" max="2321" width="10.375" style="1"/>
    <col min="2322" max="2322" width="13" style="1" customWidth="1"/>
    <col min="2323" max="2561" width="10.375" style="1"/>
    <col min="2562" max="2562" width="33.25" style="1" customWidth="1"/>
    <col min="2563" max="2567" width="10.375" style="1"/>
    <col min="2568" max="2568" width="13.625" style="1" customWidth="1"/>
    <col min="2569" max="2569" width="10.375" style="1"/>
    <col min="2570" max="2570" width="14.375" style="1" customWidth="1"/>
    <col min="2571" max="2571" width="10.375" style="1"/>
    <col min="2572" max="2572" width="11.625" style="1" bestFit="1" customWidth="1"/>
    <col min="2573" max="2575" width="10.375" style="1"/>
    <col min="2576" max="2576" width="12.875" style="1" customWidth="1"/>
    <col min="2577" max="2577" width="10.375" style="1"/>
    <col min="2578" max="2578" width="13" style="1" customWidth="1"/>
    <col min="2579" max="2817" width="10.375" style="1"/>
    <col min="2818" max="2818" width="33.25" style="1" customWidth="1"/>
    <col min="2819" max="2823" width="10.375" style="1"/>
    <col min="2824" max="2824" width="13.625" style="1" customWidth="1"/>
    <col min="2825" max="2825" width="10.375" style="1"/>
    <col min="2826" max="2826" width="14.375" style="1" customWidth="1"/>
    <col min="2827" max="2827" width="10.375" style="1"/>
    <col min="2828" max="2828" width="11.625" style="1" bestFit="1" customWidth="1"/>
    <col min="2829" max="2831" width="10.375" style="1"/>
    <col min="2832" max="2832" width="12.875" style="1" customWidth="1"/>
    <col min="2833" max="2833" width="10.375" style="1"/>
    <col min="2834" max="2834" width="13" style="1" customWidth="1"/>
    <col min="2835" max="3073" width="10.375" style="1"/>
    <col min="3074" max="3074" width="33.25" style="1" customWidth="1"/>
    <col min="3075" max="3079" width="10.375" style="1"/>
    <col min="3080" max="3080" width="13.625" style="1" customWidth="1"/>
    <col min="3081" max="3081" width="10.375" style="1"/>
    <col min="3082" max="3082" width="14.375" style="1" customWidth="1"/>
    <col min="3083" max="3083" width="10.375" style="1"/>
    <col min="3084" max="3084" width="11.625" style="1" bestFit="1" customWidth="1"/>
    <col min="3085" max="3087" width="10.375" style="1"/>
    <col min="3088" max="3088" width="12.875" style="1" customWidth="1"/>
    <col min="3089" max="3089" width="10.375" style="1"/>
    <col min="3090" max="3090" width="13" style="1" customWidth="1"/>
    <col min="3091" max="3329" width="10.375" style="1"/>
    <col min="3330" max="3330" width="33.25" style="1" customWidth="1"/>
    <col min="3331" max="3335" width="10.375" style="1"/>
    <col min="3336" max="3336" width="13.625" style="1" customWidth="1"/>
    <col min="3337" max="3337" width="10.375" style="1"/>
    <col min="3338" max="3338" width="14.375" style="1" customWidth="1"/>
    <col min="3339" max="3339" width="10.375" style="1"/>
    <col min="3340" max="3340" width="11.625" style="1" bestFit="1" customWidth="1"/>
    <col min="3341" max="3343" width="10.375" style="1"/>
    <col min="3344" max="3344" width="12.875" style="1" customWidth="1"/>
    <col min="3345" max="3345" width="10.375" style="1"/>
    <col min="3346" max="3346" width="13" style="1" customWidth="1"/>
    <col min="3347" max="3585" width="10.375" style="1"/>
    <col min="3586" max="3586" width="33.25" style="1" customWidth="1"/>
    <col min="3587" max="3591" width="10.375" style="1"/>
    <col min="3592" max="3592" width="13.625" style="1" customWidth="1"/>
    <col min="3593" max="3593" width="10.375" style="1"/>
    <col min="3594" max="3594" width="14.375" style="1" customWidth="1"/>
    <col min="3595" max="3595" width="10.375" style="1"/>
    <col min="3596" max="3596" width="11.625" style="1" bestFit="1" customWidth="1"/>
    <col min="3597" max="3599" width="10.375" style="1"/>
    <col min="3600" max="3600" width="12.875" style="1" customWidth="1"/>
    <col min="3601" max="3601" width="10.375" style="1"/>
    <col min="3602" max="3602" width="13" style="1" customWidth="1"/>
    <col min="3603" max="3841" width="10.375" style="1"/>
    <col min="3842" max="3842" width="33.25" style="1" customWidth="1"/>
    <col min="3843" max="3847" width="10.375" style="1"/>
    <col min="3848" max="3848" width="13.625" style="1" customWidth="1"/>
    <col min="3849" max="3849" width="10.375" style="1"/>
    <col min="3850" max="3850" width="14.375" style="1" customWidth="1"/>
    <col min="3851" max="3851" width="10.375" style="1"/>
    <col min="3852" max="3852" width="11.625" style="1" bestFit="1" customWidth="1"/>
    <col min="3853" max="3855" width="10.375" style="1"/>
    <col min="3856" max="3856" width="12.875" style="1" customWidth="1"/>
    <col min="3857" max="3857" width="10.375" style="1"/>
    <col min="3858" max="3858" width="13" style="1" customWidth="1"/>
    <col min="3859" max="4097" width="10.375" style="1"/>
    <col min="4098" max="4098" width="33.25" style="1" customWidth="1"/>
    <col min="4099" max="4103" width="10.375" style="1"/>
    <col min="4104" max="4104" width="13.625" style="1" customWidth="1"/>
    <col min="4105" max="4105" width="10.375" style="1"/>
    <col min="4106" max="4106" width="14.375" style="1" customWidth="1"/>
    <col min="4107" max="4107" width="10.375" style="1"/>
    <col min="4108" max="4108" width="11.625" style="1" bestFit="1" customWidth="1"/>
    <col min="4109" max="4111" width="10.375" style="1"/>
    <col min="4112" max="4112" width="12.875" style="1" customWidth="1"/>
    <col min="4113" max="4113" width="10.375" style="1"/>
    <col min="4114" max="4114" width="13" style="1" customWidth="1"/>
    <col min="4115" max="4353" width="10.375" style="1"/>
    <col min="4354" max="4354" width="33.25" style="1" customWidth="1"/>
    <col min="4355" max="4359" width="10.375" style="1"/>
    <col min="4360" max="4360" width="13.625" style="1" customWidth="1"/>
    <col min="4361" max="4361" width="10.375" style="1"/>
    <col min="4362" max="4362" width="14.375" style="1" customWidth="1"/>
    <col min="4363" max="4363" width="10.375" style="1"/>
    <col min="4364" max="4364" width="11.625" style="1" bestFit="1" customWidth="1"/>
    <col min="4365" max="4367" width="10.375" style="1"/>
    <col min="4368" max="4368" width="12.875" style="1" customWidth="1"/>
    <col min="4369" max="4369" width="10.375" style="1"/>
    <col min="4370" max="4370" width="13" style="1" customWidth="1"/>
    <col min="4371" max="4609" width="10.375" style="1"/>
    <col min="4610" max="4610" width="33.25" style="1" customWidth="1"/>
    <col min="4611" max="4615" width="10.375" style="1"/>
    <col min="4616" max="4616" width="13.625" style="1" customWidth="1"/>
    <col min="4617" max="4617" width="10.375" style="1"/>
    <col min="4618" max="4618" width="14.375" style="1" customWidth="1"/>
    <col min="4619" max="4619" width="10.375" style="1"/>
    <col min="4620" max="4620" width="11.625" style="1" bestFit="1" customWidth="1"/>
    <col min="4621" max="4623" width="10.375" style="1"/>
    <col min="4624" max="4624" width="12.875" style="1" customWidth="1"/>
    <col min="4625" max="4625" width="10.375" style="1"/>
    <col min="4626" max="4626" width="13" style="1" customWidth="1"/>
    <col min="4627" max="4865" width="10.375" style="1"/>
    <col min="4866" max="4866" width="33.25" style="1" customWidth="1"/>
    <col min="4867" max="4871" width="10.375" style="1"/>
    <col min="4872" max="4872" width="13.625" style="1" customWidth="1"/>
    <col min="4873" max="4873" width="10.375" style="1"/>
    <col min="4874" max="4874" width="14.375" style="1" customWidth="1"/>
    <col min="4875" max="4875" width="10.375" style="1"/>
    <col min="4876" max="4876" width="11.625" style="1" bestFit="1" customWidth="1"/>
    <col min="4877" max="4879" width="10.375" style="1"/>
    <col min="4880" max="4880" width="12.875" style="1" customWidth="1"/>
    <col min="4881" max="4881" width="10.375" style="1"/>
    <col min="4882" max="4882" width="13" style="1" customWidth="1"/>
    <col min="4883" max="5121" width="10.375" style="1"/>
    <col min="5122" max="5122" width="33.25" style="1" customWidth="1"/>
    <col min="5123" max="5127" width="10.375" style="1"/>
    <col min="5128" max="5128" width="13.625" style="1" customWidth="1"/>
    <col min="5129" max="5129" width="10.375" style="1"/>
    <col min="5130" max="5130" width="14.375" style="1" customWidth="1"/>
    <col min="5131" max="5131" width="10.375" style="1"/>
    <col min="5132" max="5132" width="11.625" style="1" bestFit="1" customWidth="1"/>
    <col min="5133" max="5135" width="10.375" style="1"/>
    <col min="5136" max="5136" width="12.875" style="1" customWidth="1"/>
    <col min="5137" max="5137" width="10.375" style="1"/>
    <col min="5138" max="5138" width="13" style="1" customWidth="1"/>
    <col min="5139" max="5377" width="10.375" style="1"/>
    <col min="5378" max="5378" width="33.25" style="1" customWidth="1"/>
    <col min="5379" max="5383" width="10.375" style="1"/>
    <col min="5384" max="5384" width="13.625" style="1" customWidth="1"/>
    <col min="5385" max="5385" width="10.375" style="1"/>
    <col min="5386" max="5386" width="14.375" style="1" customWidth="1"/>
    <col min="5387" max="5387" width="10.375" style="1"/>
    <col min="5388" max="5388" width="11.625" style="1" bestFit="1" customWidth="1"/>
    <col min="5389" max="5391" width="10.375" style="1"/>
    <col min="5392" max="5392" width="12.875" style="1" customWidth="1"/>
    <col min="5393" max="5393" width="10.375" style="1"/>
    <col min="5394" max="5394" width="13" style="1" customWidth="1"/>
    <col min="5395" max="5633" width="10.375" style="1"/>
    <col min="5634" max="5634" width="33.25" style="1" customWidth="1"/>
    <col min="5635" max="5639" width="10.375" style="1"/>
    <col min="5640" max="5640" width="13.625" style="1" customWidth="1"/>
    <col min="5641" max="5641" width="10.375" style="1"/>
    <col min="5642" max="5642" width="14.375" style="1" customWidth="1"/>
    <col min="5643" max="5643" width="10.375" style="1"/>
    <col min="5644" max="5644" width="11.625" style="1" bestFit="1" customWidth="1"/>
    <col min="5645" max="5647" width="10.375" style="1"/>
    <col min="5648" max="5648" width="12.875" style="1" customWidth="1"/>
    <col min="5649" max="5649" width="10.375" style="1"/>
    <col min="5650" max="5650" width="13" style="1" customWidth="1"/>
    <col min="5651" max="5889" width="10.375" style="1"/>
    <col min="5890" max="5890" width="33.25" style="1" customWidth="1"/>
    <col min="5891" max="5895" width="10.375" style="1"/>
    <col min="5896" max="5896" width="13.625" style="1" customWidth="1"/>
    <col min="5897" max="5897" width="10.375" style="1"/>
    <col min="5898" max="5898" width="14.375" style="1" customWidth="1"/>
    <col min="5899" max="5899" width="10.375" style="1"/>
    <col min="5900" max="5900" width="11.625" style="1" bestFit="1" customWidth="1"/>
    <col min="5901" max="5903" width="10.375" style="1"/>
    <col min="5904" max="5904" width="12.875" style="1" customWidth="1"/>
    <col min="5905" max="5905" width="10.375" style="1"/>
    <col min="5906" max="5906" width="13" style="1" customWidth="1"/>
    <col min="5907" max="6145" width="10.375" style="1"/>
    <col min="6146" max="6146" width="33.25" style="1" customWidth="1"/>
    <col min="6147" max="6151" width="10.375" style="1"/>
    <col min="6152" max="6152" width="13.625" style="1" customWidth="1"/>
    <col min="6153" max="6153" width="10.375" style="1"/>
    <col min="6154" max="6154" width="14.375" style="1" customWidth="1"/>
    <col min="6155" max="6155" width="10.375" style="1"/>
    <col min="6156" max="6156" width="11.625" style="1" bestFit="1" customWidth="1"/>
    <col min="6157" max="6159" width="10.375" style="1"/>
    <col min="6160" max="6160" width="12.875" style="1" customWidth="1"/>
    <col min="6161" max="6161" width="10.375" style="1"/>
    <col min="6162" max="6162" width="13" style="1" customWidth="1"/>
    <col min="6163" max="6401" width="10.375" style="1"/>
    <col min="6402" max="6402" width="33.25" style="1" customWidth="1"/>
    <col min="6403" max="6407" width="10.375" style="1"/>
    <col min="6408" max="6408" width="13.625" style="1" customWidth="1"/>
    <col min="6409" max="6409" width="10.375" style="1"/>
    <col min="6410" max="6410" width="14.375" style="1" customWidth="1"/>
    <col min="6411" max="6411" width="10.375" style="1"/>
    <col min="6412" max="6412" width="11.625" style="1" bestFit="1" customWidth="1"/>
    <col min="6413" max="6415" width="10.375" style="1"/>
    <col min="6416" max="6416" width="12.875" style="1" customWidth="1"/>
    <col min="6417" max="6417" width="10.375" style="1"/>
    <col min="6418" max="6418" width="13" style="1" customWidth="1"/>
    <col min="6419" max="6657" width="10.375" style="1"/>
    <col min="6658" max="6658" width="33.25" style="1" customWidth="1"/>
    <col min="6659" max="6663" width="10.375" style="1"/>
    <col min="6664" max="6664" width="13.625" style="1" customWidth="1"/>
    <col min="6665" max="6665" width="10.375" style="1"/>
    <col min="6666" max="6666" width="14.375" style="1" customWidth="1"/>
    <col min="6667" max="6667" width="10.375" style="1"/>
    <col min="6668" max="6668" width="11.625" style="1" bestFit="1" customWidth="1"/>
    <col min="6669" max="6671" width="10.375" style="1"/>
    <col min="6672" max="6672" width="12.875" style="1" customWidth="1"/>
    <col min="6673" max="6673" width="10.375" style="1"/>
    <col min="6674" max="6674" width="13" style="1" customWidth="1"/>
    <col min="6675" max="6913" width="10.375" style="1"/>
    <col min="6914" max="6914" width="33.25" style="1" customWidth="1"/>
    <col min="6915" max="6919" width="10.375" style="1"/>
    <col min="6920" max="6920" width="13.625" style="1" customWidth="1"/>
    <col min="6921" max="6921" width="10.375" style="1"/>
    <col min="6922" max="6922" width="14.375" style="1" customWidth="1"/>
    <col min="6923" max="6923" width="10.375" style="1"/>
    <col min="6924" max="6924" width="11.625" style="1" bestFit="1" customWidth="1"/>
    <col min="6925" max="6927" width="10.375" style="1"/>
    <col min="6928" max="6928" width="12.875" style="1" customWidth="1"/>
    <col min="6929" max="6929" width="10.375" style="1"/>
    <col min="6930" max="6930" width="13" style="1" customWidth="1"/>
    <col min="6931" max="7169" width="10.375" style="1"/>
    <col min="7170" max="7170" width="33.25" style="1" customWidth="1"/>
    <col min="7171" max="7175" width="10.375" style="1"/>
    <col min="7176" max="7176" width="13.625" style="1" customWidth="1"/>
    <col min="7177" max="7177" width="10.375" style="1"/>
    <col min="7178" max="7178" width="14.375" style="1" customWidth="1"/>
    <col min="7179" max="7179" width="10.375" style="1"/>
    <col min="7180" max="7180" width="11.625" style="1" bestFit="1" customWidth="1"/>
    <col min="7181" max="7183" width="10.375" style="1"/>
    <col min="7184" max="7184" width="12.875" style="1" customWidth="1"/>
    <col min="7185" max="7185" width="10.375" style="1"/>
    <col min="7186" max="7186" width="13" style="1" customWidth="1"/>
    <col min="7187" max="7425" width="10.375" style="1"/>
    <col min="7426" max="7426" width="33.25" style="1" customWidth="1"/>
    <col min="7427" max="7431" width="10.375" style="1"/>
    <col min="7432" max="7432" width="13.625" style="1" customWidth="1"/>
    <col min="7433" max="7433" width="10.375" style="1"/>
    <col min="7434" max="7434" width="14.375" style="1" customWidth="1"/>
    <col min="7435" max="7435" width="10.375" style="1"/>
    <col min="7436" max="7436" width="11.625" style="1" bestFit="1" customWidth="1"/>
    <col min="7437" max="7439" width="10.375" style="1"/>
    <col min="7440" max="7440" width="12.875" style="1" customWidth="1"/>
    <col min="7441" max="7441" width="10.375" style="1"/>
    <col min="7442" max="7442" width="13" style="1" customWidth="1"/>
    <col min="7443" max="7681" width="10.375" style="1"/>
    <col min="7682" max="7682" width="33.25" style="1" customWidth="1"/>
    <col min="7683" max="7687" width="10.375" style="1"/>
    <col min="7688" max="7688" width="13.625" style="1" customWidth="1"/>
    <col min="7689" max="7689" width="10.375" style="1"/>
    <col min="7690" max="7690" width="14.375" style="1" customWidth="1"/>
    <col min="7691" max="7691" width="10.375" style="1"/>
    <col min="7692" max="7692" width="11.625" style="1" bestFit="1" customWidth="1"/>
    <col min="7693" max="7695" width="10.375" style="1"/>
    <col min="7696" max="7696" width="12.875" style="1" customWidth="1"/>
    <col min="7697" max="7697" width="10.375" style="1"/>
    <col min="7698" max="7698" width="13" style="1" customWidth="1"/>
    <col min="7699" max="7937" width="10.375" style="1"/>
    <col min="7938" max="7938" width="33.25" style="1" customWidth="1"/>
    <col min="7939" max="7943" width="10.375" style="1"/>
    <col min="7944" max="7944" width="13.625" style="1" customWidth="1"/>
    <col min="7945" max="7945" width="10.375" style="1"/>
    <col min="7946" max="7946" width="14.375" style="1" customWidth="1"/>
    <col min="7947" max="7947" width="10.375" style="1"/>
    <col min="7948" max="7948" width="11.625" style="1" bestFit="1" customWidth="1"/>
    <col min="7949" max="7951" width="10.375" style="1"/>
    <col min="7952" max="7952" width="12.875" style="1" customWidth="1"/>
    <col min="7953" max="7953" width="10.375" style="1"/>
    <col min="7954" max="7954" width="13" style="1" customWidth="1"/>
    <col min="7955" max="8193" width="10.375" style="1"/>
    <col min="8194" max="8194" width="33.25" style="1" customWidth="1"/>
    <col min="8195" max="8199" width="10.375" style="1"/>
    <col min="8200" max="8200" width="13.625" style="1" customWidth="1"/>
    <col min="8201" max="8201" width="10.375" style="1"/>
    <col min="8202" max="8202" width="14.375" style="1" customWidth="1"/>
    <col min="8203" max="8203" width="10.375" style="1"/>
    <col min="8204" max="8204" width="11.625" style="1" bestFit="1" customWidth="1"/>
    <col min="8205" max="8207" width="10.375" style="1"/>
    <col min="8208" max="8208" width="12.875" style="1" customWidth="1"/>
    <col min="8209" max="8209" width="10.375" style="1"/>
    <col min="8210" max="8210" width="13" style="1" customWidth="1"/>
    <col min="8211" max="8449" width="10.375" style="1"/>
    <col min="8450" max="8450" width="33.25" style="1" customWidth="1"/>
    <col min="8451" max="8455" width="10.375" style="1"/>
    <col min="8456" max="8456" width="13.625" style="1" customWidth="1"/>
    <col min="8457" max="8457" width="10.375" style="1"/>
    <col min="8458" max="8458" width="14.375" style="1" customWidth="1"/>
    <col min="8459" max="8459" width="10.375" style="1"/>
    <col min="8460" max="8460" width="11.625" style="1" bestFit="1" customWidth="1"/>
    <col min="8461" max="8463" width="10.375" style="1"/>
    <col min="8464" max="8464" width="12.875" style="1" customWidth="1"/>
    <col min="8465" max="8465" width="10.375" style="1"/>
    <col min="8466" max="8466" width="13" style="1" customWidth="1"/>
    <col min="8467" max="8705" width="10.375" style="1"/>
    <col min="8706" max="8706" width="33.25" style="1" customWidth="1"/>
    <col min="8707" max="8711" width="10.375" style="1"/>
    <col min="8712" max="8712" width="13.625" style="1" customWidth="1"/>
    <col min="8713" max="8713" width="10.375" style="1"/>
    <col min="8714" max="8714" width="14.375" style="1" customWidth="1"/>
    <col min="8715" max="8715" width="10.375" style="1"/>
    <col min="8716" max="8716" width="11.625" style="1" bestFit="1" customWidth="1"/>
    <col min="8717" max="8719" width="10.375" style="1"/>
    <col min="8720" max="8720" width="12.875" style="1" customWidth="1"/>
    <col min="8721" max="8721" width="10.375" style="1"/>
    <col min="8722" max="8722" width="13" style="1" customWidth="1"/>
    <col min="8723" max="8961" width="10.375" style="1"/>
    <col min="8962" max="8962" width="33.25" style="1" customWidth="1"/>
    <col min="8963" max="8967" width="10.375" style="1"/>
    <col min="8968" max="8968" width="13.625" style="1" customWidth="1"/>
    <col min="8969" max="8969" width="10.375" style="1"/>
    <col min="8970" max="8970" width="14.375" style="1" customWidth="1"/>
    <col min="8971" max="8971" width="10.375" style="1"/>
    <col min="8972" max="8972" width="11.625" style="1" bestFit="1" customWidth="1"/>
    <col min="8973" max="8975" width="10.375" style="1"/>
    <col min="8976" max="8976" width="12.875" style="1" customWidth="1"/>
    <col min="8977" max="8977" width="10.375" style="1"/>
    <col min="8978" max="8978" width="13" style="1" customWidth="1"/>
    <col min="8979" max="9217" width="10.375" style="1"/>
    <col min="9218" max="9218" width="33.25" style="1" customWidth="1"/>
    <col min="9219" max="9223" width="10.375" style="1"/>
    <col min="9224" max="9224" width="13.625" style="1" customWidth="1"/>
    <col min="9225" max="9225" width="10.375" style="1"/>
    <col min="9226" max="9226" width="14.375" style="1" customWidth="1"/>
    <col min="9227" max="9227" width="10.375" style="1"/>
    <col min="9228" max="9228" width="11.625" style="1" bestFit="1" customWidth="1"/>
    <col min="9229" max="9231" width="10.375" style="1"/>
    <col min="9232" max="9232" width="12.875" style="1" customWidth="1"/>
    <col min="9233" max="9233" width="10.375" style="1"/>
    <col min="9234" max="9234" width="13" style="1" customWidth="1"/>
    <col min="9235" max="9473" width="10.375" style="1"/>
    <col min="9474" max="9474" width="33.25" style="1" customWidth="1"/>
    <col min="9475" max="9479" width="10.375" style="1"/>
    <col min="9480" max="9480" width="13.625" style="1" customWidth="1"/>
    <col min="9481" max="9481" width="10.375" style="1"/>
    <col min="9482" max="9482" width="14.375" style="1" customWidth="1"/>
    <col min="9483" max="9483" width="10.375" style="1"/>
    <col min="9484" max="9484" width="11.625" style="1" bestFit="1" customWidth="1"/>
    <col min="9485" max="9487" width="10.375" style="1"/>
    <col min="9488" max="9488" width="12.875" style="1" customWidth="1"/>
    <col min="9489" max="9489" width="10.375" style="1"/>
    <col min="9490" max="9490" width="13" style="1" customWidth="1"/>
    <col min="9491" max="9729" width="10.375" style="1"/>
    <col min="9730" max="9730" width="33.25" style="1" customWidth="1"/>
    <col min="9731" max="9735" width="10.375" style="1"/>
    <col min="9736" max="9736" width="13.625" style="1" customWidth="1"/>
    <col min="9737" max="9737" width="10.375" style="1"/>
    <col min="9738" max="9738" width="14.375" style="1" customWidth="1"/>
    <col min="9739" max="9739" width="10.375" style="1"/>
    <col min="9740" max="9740" width="11.625" style="1" bestFit="1" customWidth="1"/>
    <col min="9741" max="9743" width="10.375" style="1"/>
    <col min="9744" max="9744" width="12.875" style="1" customWidth="1"/>
    <col min="9745" max="9745" width="10.375" style="1"/>
    <col min="9746" max="9746" width="13" style="1" customWidth="1"/>
    <col min="9747" max="9985" width="10.375" style="1"/>
    <col min="9986" max="9986" width="33.25" style="1" customWidth="1"/>
    <col min="9987" max="9991" width="10.375" style="1"/>
    <col min="9992" max="9992" width="13.625" style="1" customWidth="1"/>
    <col min="9993" max="9993" width="10.375" style="1"/>
    <col min="9994" max="9994" width="14.375" style="1" customWidth="1"/>
    <col min="9995" max="9995" width="10.375" style="1"/>
    <col min="9996" max="9996" width="11.625" style="1" bestFit="1" customWidth="1"/>
    <col min="9997" max="9999" width="10.375" style="1"/>
    <col min="10000" max="10000" width="12.875" style="1" customWidth="1"/>
    <col min="10001" max="10001" width="10.375" style="1"/>
    <col min="10002" max="10002" width="13" style="1" customWidth="1"/>
    <col min="10003" max="10241" width="10.375" style="1"/>
    <col min="10242" max="10242" width="33.25" style="1" customWidth="1"/>
    <col min="10243" max="10247" width="10.375" style="1"/>
    <col min="10248" max="10248" width="13.625" style="1" customWidth="1"/>
    <col min="10249" max="10249" width="10.375" style="1"/>
    <col min="10250" max="10250" width="14.375" style="1" customWidth="1"/>
    <col min="10251" max="10251" width="10.375" style="1"/>
    <col min="10252" max="10252" width="11.625" style="1" bestFit="1" customWidth="1"/>
    <col min="10253" max="10255" width="10.375" style="1"/>
    <col min="10256" max="10256" width="12.875" style="1" customWidth="1"/>
    <col min="10257" max="10257" width="10.375" style="1"/>
    <col min="10258" max="10258" width="13" style="1" customWidth="1"/>
    <col min="10259" max="10497" width="10.375" style="1"/>
    <col min="10498" max="10498" width="33.25" style="1" customWidth="1"/>
    <col min="10499" max="10503" width="10.375" style="1"/>
    <col min="10504" max="10504" width="13.625" style="1" customWidth="1"/>
    <col min="10505" max="10505" width="10.375" style="1"/>
    <col min="10506" max="10506" width="14.375" style="1" customWidth="1"/>
    <col min="10507" max="10507" width="10.375" style="1"/>
    <col min="10508" max="10508" width="11.625" style="1" bestFit="1" customWidth="1"/>
    <col min="10509" max="10511" width="10.375" style="1"/>
    <col min="10512" max="10512" width="12.875" style="1" customWidth="1"/>
    <col min="10513" max="10513" width="10.375" style="1"/>
    <col min="10514" max="10514" width="13" style="1" customWidth="1"/>
    <col min="10515" max="10753" width="10.375" style="1"/>
    <col min="10754" max="10754" width="33.25" style="1" customWidth="1"/>
    <col min="10755" max="10759" width="10.375" style="1"/>
    <col min="10760" max="10760" width="13.625" style="1" customWidth="1"/>
    <col min="10761" max="10761" width="10.375" style="1"/>
    <col min="10762" max="10762" width="14.375" style="1" customWidth="1"/>
    <col min="10763" max="10763" width="10.375" style="1"/>
    <col min="10764" max="10764" width="11.625" style="1" bestFit="1" customWidth="1"/>
    <col min="10765" max="10767" width="10.375" style="1"/>
    <col min="10768" max="10768" width="12.875" style="1" customWidth="1"/>
    <col min="10769" max="10769" width="10.375" style="1"/>
    <col min="10770" max="10770" width="13" style="1" customWidth="1"/>
    <col min="10771" max="11009" width="10.375" style="1"/>
    <col min="11010" max="11010" width="33.25" style="1" customWidth="1"/>
    <col min="11011" max="11015" width="10.375" style="1"/>
    <col min="11016" max="11016" width="13.625" style="1" customWidth="1"/>
    <col min="11017" max="11017" width="10.375" style="1"/>
    <col min="11018" max="11018" width="14.375" style="1" customWidth="1"/>
    <col min="11019" max="11019" width="10.375" style="1"/>
    <col min="11020" max="11020" width="11.625" style="1" bestFit="1" customWidth="1"/>
    <col min="11021" max="11023" width="10.375" style="1"/>
    <col min="11024" max="11024" width="12.875" style="1" customWidth="1"/>
    <col min="11025" max="11025" width="10.375" style="1"/>
    <col min="11026" max="11026" width="13" style="1" customWidth="1"/>
    <col min="11027" max="11265" width="10.375" style="1"/>
    <col min="11266" max="11266" width="33.25" style="1" customWidth="1"/>
    <col min="11267" max="11271" width="10.375" style="1"/>
    <col min="11272" max="11272" width="13.625" style="1" customWidth="1"/>
    <col min="11273" max="11273" width="10.375" style="1"/>
    <col min="11274" max="11274" width="14.375" style="1" customWidth="1"/>
    <col min="11275" max="11275" width="10.375" style="1"/>
    <col min="11276" max="11276" width="11.625" style="1" bestFit="1" customWidth="1"/>
    <col min="11277" max="11279" width="10.375" style="1"/>
    <col min="11280" max="11280" width="12.875" style="1" customWidth="1"/>
    <col min="11281" max="11281" width="10.375" style="1"/>
    <col min="11282" max="11282" width="13" style="1" customWidth="1"/>
    <col min="11283" max="11521" width="10.375" style="1"/>
    <col min="11522" max="11522" width="33.25" style="1" customWidth="1"/>
    <col min="11523" max="11527" width="10.375" style="1"/>
    <col min="11528" max="11528" width="13.625" style="1" customWidth="1"/>
    <col min="11529" max="11529" width="10.375" style="1"/>
    <col min="11530" max="11530" width="14.375" style="1" customWidth="1"/>
    <col min="11531" max="11531" width="10.375" style="1"/>
    <col min="11532" max="11532" width="11.625" style="1" bestFit="1" customWidth="1"/>
    <col min="11533" max="11535" width="10.375" style="1"/>
    <col min="11536" max="11536" width="12.875" style="1" customWidth="1"/>
    <col min="11537" max="11537" width="10.375" style="1"/>
    <col min="11538" max="11538" width="13" style="1" customWidth="1"/>
    <col min="11539" max="11777" width="10.375" style="1"/>
    <col min="11778" max="11778" width="33.25" style="1" customWidth="1"/>
    <col min="11779" max="11783" width="10.375" style="1"/>
    <col min="11784" max="11784" width="13.625" style="1" customWidth="1"/>
    <col min="11785" max="11785" width="10.375" style="1"/>
    <col min="11786" max="11786" width="14.375" style="1" customWidth="1"/>
    <col min="11787" max="11787" width="10.375" style="1"/>
    <col min="11788" max="11788" width="11.625" style="1" bestFit="1" customWidth="1"/>
    <col min="11789" max="11791" width="10.375" style="1"/>
    <col min="11792" max="11792" width="12.875" style="1" customWidth="1"/>
    <col min="11793" max="11793" width="10.375" style="1"/>
    <col min="11794" max="11794" width="13" style="1" customWidth="1"/>
    <col min="11795" max="12033" width="10.375" style="1"/>
    <col min="12034" max="12034" width="33.25" style="1" customWidth="1"/>
    <col min="12035" max="12039" width="10.375" style="1"/>
    <col min="12040" max="12040" width="13.625" style="1" customWidth="1"/>
    <col min="12041" max="12041" width="10.375" style="1"/>
    <col min="12042" max="12042" width="14.375" style="1" customWidth="1"/>
    <col min="12043" max="12043" width="10.375" style="1"/>
    <col min="12044" max="12044" width="11.625" style="1" bestFit="1" customWidth="1"/>
    <col min="12045" max="12047" width="10.375" style="1"/>
    <col min="12048" max="12048" width="12.875" style="1" customWidth="1"/>
    <col min="12049" max="12049" width="10.375" style="1"/>
    <col min="12050" max="12050" width="13" style="1" customWidth="1"/>
    <col min="12051" max="12289" width="10.375" style="1"/>
    <col min="12290" max="12290" width="33.25" style="1" customWidth="1"/>
    <col min="12291" max="12295" width="10.375" style="1"/>
    <col min="12296" max="12296" width="13.625" style="1" customWidth="1"/>
    <col min="12297" max="12297" width="10.375" style="1"/>
    <col min="12298" max="12298" width="14.375" style="1" customWidth="1"/>
    <col min="12299" max="12299" width="10.375" style="1"/>
    <col min="12300" max="12300" width="11.625" style="1" bestFit="1" customWidth="1"/>
    <col min="12301" max="12303" width="10.375" style="1"/>
    <col min="12304" max="12304" width="12.875" style="1" customWidth="1"/>
    <col min="12305" max="12305" width="10.375" style="1"/>
    <col min="12306" max="12306" width="13" style="1" customWidth="1"/>
    <col min="12307" max="12545" width="10.375" style="1"/>
    <col min="12546" max="12546" width="33.25" style="1" customWidth="1"/>
    <col min="12547" max="12551" width="10.375" style="1"/>
    <col min="12552" max="12552" width="13.625" style="1" customWidth="1"/>
    <col min="12553" max="12553" width="10.375" style="1"/>
    <col min="12554" max="12554" width="14.375" style="1" customWidth="1"/>
    <col min="12555" max="12555" width="10.375" style="1"/>
    <col min="12556" max="12556" width="11.625" style="1" bestFit="1" customWidth="1"/>
    <col min="12557" max="12559" width="10.375" style="1"/>
    <col min="12560" max="12560" width="12.875" style="1" customWidth="1"/>
    <col min="12561" max="12561" width="10.375" style="1"/>
    <col min="12562" max="12562" width="13" style="1" customWidth="1"/>
    <col min="12563" max="12801" width="10.375" style="1"/>
    <col min="12802" max="12802" width="33.25" style="1" customWidth="1"/>
    <col min="12803" max="12807" width="10.375" style="1"/>
    <col min="12808" max="12808" width="13.625" style="1" customWidth="1"/>
    <col min="12809" max="12809" width="10.375" style="1"/>
    <col min="12810" max="12810" width="14.375" style="1" customWidth="1"/>
    <col min="12811" max="12811" width="10.375" style="1"/>
    <col min="12812" max="12812" width="11.625" style="1" bestFit="1" customWidth="1"/>
    <col min="12813" max="12815" width="10.375" style="1"/>
    <col min="12816" max="12816" width="12.875" style="1" customWidth="1"/>
    <col min="12817" max="12817" width="10.375" style="1"/>
    <col min="12818" max="12818" width="13" style="1" customWidth="1"/>
    <col min="12819" max="13057" width="10.375" style="1"/>
    <col min="13058" max="13058" width="33.25" style="1" customWidth="1"/>
    <col min="13059" max="13063" width="10.375" style="1"/>
    <col min="13064" max="13064" width="13.625" style="1" customWidth="1"/>
    <col min="13065" max="13065" width="10.375" style="1"/>
    <col min="13066" max="13066" width="14.375" style="1" customWidth="1"/>
    <col min="13067" max="13067" width="10.375" style="1"/>
    <col min="13068" max="13068" width="11.625" style="1" bestFit="1" customWidth="1"/>
    <col min="13069" max="13071" width="10.375" style="1"/>
    <col min="13072" max="13072" width="12.875" style="1" customWidth="1"/>
    <col min="13073" max="13073" width="10.375" style="1"/>
    <col min="13074" max="13074" width="13" style="1" customWidth="1"/>
    <col min="13075" max="13313" width="10.375" style="1"/>
    <col min="13314" max="13314" width="33.25" style="1" customWidth="1"/>
    <col min="13315" max="13319" width="10.375" style="1"/>
    <col min="13320" max="13320" width="13.625" style="1" customWidth="1"/>
    <col min="13321" max="13321" width="10.375" style="1"/>
    <col min="13322" max="13322" width="14.375" style="1" customWidth="1"/>
    <col min="13323" max="13323" width="10.375" style="1"/>
    <col min="13324" max="13324" width="11.625" style="1" bestFit="1" customWidth="1"/>
    <col min="13325" max="13327" width="10.375" style="1"/>
    <col min="13328" max="13328" width="12.875" style="1" customWidth="1"/>
    <col min="13329" max="13329" width="10.375" style="1"/>
    <col min="13330" max="13330" width="13" style="1" customWidth="1"/>
    <col min="13331" max="13569" width="10.375" style="1"/>
    <col min="13570" max="13570" width="33.25" style="1" customWidth="1"/>
    <col min="13571" max="13575" width="10.375" style="1"/>
    <col min="13576" max="13576" width="13.625" style="1" customWidth="1"/>
    <col min="13577" max="13577" width="10.375" style="1"/>
    <col min="13578" max="13578" width="14.375" style="1" customWidth="1"/>
    <col min="13579" max="13579" width="10.375" style="1"/>
    <col min="13580" max="13580" width="11.625" style="1" bestFit="1" customWidth="1"/>
    <col min="13581" max="13583" width="10.375" style="1"/>
    <col min="13584" max="13584" width="12.875" style="1" customWidth="1"/>
    <col min="13585" max="13585" width="10.375" style="1"/>
    <col min="13586" max="13586" width="13" style="1" customWidth="1"/>
    <col min="13587" max="13825" width="10.375" style="1"/>
    <col min="13826" max="13826" width="33.25" style="1" customWidth="1"/>
    <col min="13827" max="13831" width="10.375" style="1"/>
    <col min="13832" max="13832" width="13.625" style="1" customWidth="1"/>
    <col min="13833" max="13833" width="10.375" style="1"/>
    <col min="13834" max="13834" width="14.375" style="1" customWidth="1"/>
    <col min="13835" max="13835" width="10.375" style="1"/>
    <col min="13836" max="13836" width="11.625" style="1" bestFit="1" customWidth="1"/>
    <col min="13837" max="13839" width="10.375" style="1"/>
    <col min="13840" max="13840" width="12.875" style="1" customWidth="1"/>
    <col min="13841" max="13841" width="10.375" style="1"/>
    <col min="13842" max="13842" width="13" style="1" customWidth="1"/>
    <col min="13843" max="14081" width="10.375" style="1"/>
    <col min="14082" max="14082" width="33.25" style="1" customWidth="1"/>
    <col min="14083" max="14087" width="10.375" style="1"/>
    <col min="14088" max="14088" width="13.625" style="1" customWidth="1"/>
    <col min="14089" max="14089" width="10.375" style="1"/>
    <col min="14090" max="14090" width="14.375" style="1" customWidth="1"/>
    <col min="14091" max="14091" width="10.375" style="1"/>
    <col min="14092" max="14092" width="11.625" style="1" bestFit="1" customWidth="1"/>
    <col min="14093" max="14095" width="10.375" style="1"/>
    <col min="14096" max="14096" width="12.875" style="1" customWidth="1"/>
    <col min="14097" max="14097" width="10.375" style="1"/>
    <col min="14098" max="14098" width="13" style="1" customWidth="1"/>
    <col min="14099" max="14337" width="10.375" style="1"/>
    <col min="14338" max="14338" width="33.25" style="1" customWidth="1"/>
    <col min="14339" max="14343" width="10.375" style="1"/>
    <col min="14344" max="14344" width="13.625" style="1" customWidth="1"/>
    <col min="14345" max="14345" width="10.375" style="1"/>
    <col min="14346" max="14346" width="14.375" style="1" customWidth="1"/>
    <col min="14347" max="14347" width="10.375" style="1"/>
    <col min="14348" max="14348" width="11.625" style="1" bestFit="1" customWidth="1"/>
    <col min="14349" max="14351" width="10.375" style="1"/>
    <col min="14352" max="14352" width="12.875" style="1" customWidth="1"/>
    <col min="14353" max="14353" width="10.375" style="1"/>
    <col min="14354" max="14354" width="13" style="1" customWidth="1"/>
    <col min="14355" max="14593" width="10.375" style="1"/>
    <col min="14594" max="14594" width="33.25" style="1" customWidth="1"/>
    <col min="14595" max="14599" width="10.375" style="1"/>
    <col min="14600" max="14600" width="13.625" style="1" customWidth="1"/>
    <col min="14601" max="14601" width="10.375" style="1"/>
    <col min="14602" max="14602" width="14.375" style="1" customWidth="1"/>
    <col min="14603" max="14603" width="10.375" style="1"/>
    <col min="14604" max="14604" width="11.625" style="1" bestFit="1" customWidth="1"/>
    <col min="14605" max="14607" width="10.375" style="1"/>
    <col min="14608" max="14608" width="12.875" style="1" customWidth="1"/>
    <col min="14609" max="14609" width="10.375" style="1"/>
    <col min="14610" max="14610" width="13" style="1" customWidth="1"/>
    <col min="14611" max="14849" width="10.375" style="1"/>
    <col min="14850" max="14850" width="33.25" style="1" customWidth="1"/>
    <col min="14851" max="14855" width="10.375" style="1"/>
    <col min="14856" max="14856" width="13.625" style="1" customWidth="1"/>
    <col min="14857" max="14857" width="10.375" style="1"/>
    <col min="14858" max="14858" width="14.375" style="1" customWidth="1"/>
    <col min="14859" max="14859" width="10.375" style="1"/>
    <col min="14860" max="14860" width="11.625" style="1" bestFit="1" customWidth="1"/>
    <col min="14861" max="14863" width="10.375" style="1"/>
    <col min="14864" max="14864" width="12.875" style="1" customWidth="1"/>
    <col min="14865" max="14865" width="10.375" style="1"/>
    <col min="14866" max="14866" width="13" style="1" customWidth="1"/>
    <col min="14867" max="15105" width="10.375" style="1"/>
    <col min="15106" max="15106" width="33.25" style="1" customWidth="1"/>
    <col min="15107" max="15111" width="10.375" style="1"/>
    <col min="15112" max="15112" width="13.625" style="1" customWidth="1"/>
    <col min="15113" max="15113" width="10.375" style="1"/>
    <col min="15114" max="15114" width="14.375" style="1" customWidth="1"/>
    <col min="15115" max="15115" width="10.375" style="1"/>
    <col min="15116" max="15116" width="11.625" style="1" bestFit="1" customWidth="1"/>
    <col min="15117" max="15119" width="10.375" style="1"/>
    <col min="15120" max="15120" width="12.875" style="1" customWidth="1"/>
    <col min="15121" max="15121" width="10.375" style="1"/>
    <col min="15122" max="15122" width="13" style="1" customWidth="1"/>
    <col min="15123" max="15361" width="10.375" style="1"/>
    <col min="15362" max="15362" width="33.25" style="1" customWidth="1"/>
    <col min="15363" max="15367" width="10.375" style="1"/>
    <col min="15368" max="15368" width="13.625" style="1" customWidth="1"/>
    <col min="15369" max="15369" width="10.375" style="1"/>
    <col min="15370" max="15370" width="14.375" style="1" customWidth="1"/>
    <col min="15371" max="15371" width="10.375" style="1"/>
    <col min="15372" max="15372" width="11.625" style="1" bestFit="1" customWidth="1"/>
    <col min="15373" max="15375" width="10.375" style="1"/>
    <col min="15376" max="15376" width="12.875" style="1" customWidth="1"/>
    <col min="15377" max="15377" width="10.375" style="1"/>
    <col min="15378" max="15378" width="13" style="1" customWidth="1"/>
    <col min="15379" max="15617" width="10.375" style="1"/>
    <col min="15618" max="15618" width="33.25" style="1" customWidth="1"/>
    <col min="15619" max="15623" width="10.375" style="1"/>
    <col min="15624" max="15624" width="13.625" style="1" customWidth="1"/>
    <col min="15625" max="15625" width="10.375" style="1"/>
    <col min="15626" max="15626" width="14.375" style="1" customWidth="1"/>
    <col min="15627" max="15627" width="10.375" style="1"/>
    <col min="15628" max="15628" width="11.625" style="1" bestFit="1" customWidth="1"/>
    <col min="15629" max="15631" width="10.375" style="1"/>
    <col min="15632" max="15632" width="12.875" style="1" customWidth="1"/>
    <col min="15633" max="15633" width="10.375" style="1"/>
    <col min="15634" max="15634" width="13" style="1" customWidth="1"/>
    <col min="15635" max="15873" width="10.375" style="1"/>
    <col min="15874" max="15874" width="33.25" style="1" customWidth="1"/>
    <col min="15875" max="15879" width="10.375" style="1"/>
    <col min="15880" max="15880" width="13.625" style="1" customWidth="1"/>
    <col min="15881" max="15881" width="10.375" style="1"/>
    <col min="15882" max="15882" width="14.375" style="1" customWidth="1"/>
    <col min="15883" max="15883" width="10.375" style="1"/>
    <col min="15884" max="15884" width="11.625" style="1" bestFit="1" customWidth="1"/>
    <col min="15885" max="15887" width="10.375" style="1"/>
    <col min="15888" max="15888" width="12.875" style="1" customWidth="1"/>
    <col min="15889" max="15889" width="10.375" style="1"/>
    <col min="15890" max="15890" width="13" style="1" customWidth="1"/>
    <col min="15891" max="16129" width="10.375" style="1"/>
    <col min="16130" max="16130" width="33.25" style="1" customWidth="1"/>
    <col min="16131" max="16135" width="10.375" style="1"/>
    <col min="16136" max="16136" width="13.625" style="1" customWidth="1"/>
    <col min="16137" max="16137" width="10.375" style="1"/>
    <col min="16138" max="16138" width="14.375" style="1" customWidth="1"/>
    <col min="16139" max="16139" width="10.375" style="1"/>
    <col min="16140" max="16140" width="11.625" style="1" bestFit="1" customWidth="1"/>
    <col min="16141" max="16143" width="10.375" style="1"/>
    <col min="16144" max="16144" width="12.875" style="1" customWidth="1"/>
    <col min="16145" max="16145" width="10.375" style="1"/>
    <col min="16146" max="16146" width="13" style="1" customWidth="1"/>
    <col min="16147" max="16384" width="10.375" style="1"/>
  </cols>
  <sheetData>
    <row r="1" spans="1:18" ht="18.600000000000001">
      <c r="A1" s="175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</row>
    <row r="2" spans="1:18" ht="18.600000000000001">
      <c r="A2" s="176" t="s">
        <v>1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</row>
    <row r="3" spans="1:18" ht="18.600000000000001">
      <c r="A3" s="177" t="s">
        <v>65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</row>
    <row r="4" spans="1:18" ht="18.600000000000001">
      <c r="A4" s="178" t="s">
        <v>3</v>
      </c>
      <c r="B4" s="173" t="s">
        <v>4</v>
      </c>
      <c r="C4" s="173" t="s">
        <v>5</v>
      </c>
      <c r="D4" s="211" t="s">
        <v>6</v>
      </c>
      <c r="E4" s="182" t="s">
        <v>7</v>
      </c>
      <c r="F4" s="183"/>
      <c r="G4" s="183"/>
      <c r="H4" s="183"/>
      <c r="I4" s="183"/>
      <c r="J4" s="184"/>
      <c r="K4" s="214" t="s">
        <v>8</v>
      </c>
      <c r="L4" s="215"/>
      <c r="M4" s="216"/>
      <c r="N4" s="182" t="s">
        <v>9</v>
      </c>
      <c r="O4" s="183"/>
      <c r="P4" s="183"/>
      <c r="Q4" s="183"/>
      <c r="R4" s="184"/>
    </row>
    <row r="5" spans="1:18" ht="18.600000000000001">
      <c r="A5" s="179"/>
      <c r="B5" s="181"/>
      <c r="C5" s="181"/>
      <c r="D5" s="212"/>
      <c r="E5" s="178" t="s">
        <v>10</v>
      </c>
      <c r="F5" s="187" t="s">
        <v>11</v>
      </c>
      <c r="G5" s="187" t="s">
        <v>12</v>
      </c>
      <c r="H5" s="182" t="s">
        <v>13</v>
      </c>
      <c r="I5" s="183"/>
      <c r="J5" s="184"/>
      <c r="K5" s="207" t="s">
        <v>14</v>
      </c>
      <c r="L5" s="209" t="s">
        <v>15</v>
      </c>
      <c r="M5" s="205" t="s">
        <v>16</v>
      </c>
      <c r="N5" s="185" t="s">
        <v>10</v>
      </c>
      <c r="O5" s="187" t="s">
        <v>12</v>
      </c>
      <c r="P5" s="182" t="s">
        <v>13</v>
      </c>
      <c r="Q5" s="183"/>
      <c r="R5" s="184"/>
    </row>
    <row r="6" spans="1:18" ht="16.8">
      <c r="A6" s="180"/>
      <c r="B6" s="174"/>
      <c r="C6" s="174"/>
      <c r="D6" s="213"/>
      <c r="E6" s="180"/>
      <c r="F6" s="188"/>
      <c r="G6" s="188"/>
      <c r="H6" s="5" t="s">
        <v>17</v>
      </c>
      <c r="I6" s="6" t="s">
        <v>18</v>
      </c>
      <c r="J6" s="7" t="s">
        <v>19</v>
      </c>
      <c r="K6" s="208"/>
      <c r="L6" s="210"/>
      <c r="M6" s="206"/>
      <c r="N6" s="186"/>
      <c r="O6" s="188"/>
      <c r="P6" s="5" t="s">
        <v>17</v>
      </c>
      <c r="Q6" s="6" t="s">
        <v>18</v>
      </c>
      <c r="R6" s="7" t="s">
        <v>19</v>
      </c>
    </row>
    <row r="7" spans="1:18" ht="18.600000000000001">
      <c r="A7" s="8"/>
      <c r="B7" s="9" t="s">
        <v>20</v>
      </c>
      <c r="C7" s="10"/>
      <c r="D7" s="11"/>
      <c r="E7" s="12"/>
      <c r="F7" s="12"/>
      <c r="G7" s="13"/>
      <c r="H7" s="14"/>
      <c r="I7" s="15"/>
      <c r="J7" s="11"/>
      <c r="K7" s="16"/>
      <c r="L7" s="17"/>
      <c r="M7" s="18"/>
      <c r="N7" s="19"/>
      <c r="O7" s="13"/>
      <c r="P7" s="13"/>
      <c r="Q7" s="13"/>
      <c r="R7" s="20"/>
    </row>
    <row r="8" spans="1:18" ht="18.600000000000001">
      <c r="A8" s="8">
        <v>1</v>
      </c>
      <c r="B8" s="21"/>
      <c r="C8" s="22"/>
      <c r="D8" s="23">
        <v>0</v>
      </c>
      <c r="E8" s="24"/>
      <c r="F8" s="24"/>
      <c r="G8" s="25"/>
      <c r="H8" s="26">
        <v>0</v>
      </c>
      <c r="I8" s="27">
        <f>H8*0.07</f>
        <v>0</v>
      </c>
      <c r="J8" s="23">
        <v>0</v>
      </c>
      <c r="K8" s="28"/>
      <c r="L8" s="29"/>
      <c r="M8" s="30">
        <v>0</v>
      </c>
      <c r="N8" s="31"/>
      <c r="O8" s="25"/>
      <c r="P8" s="27">
        <f>ROUND(R8*100/107,2)</f>
        <v>0</v>
      </c>
      <c r="Q8" s="27">
        <f>P8*0.07</f>
        <v>0</v>
      </c>
      <c r="R8" s="32">
        <f>D8+J8-M8</f>
        <v>0</v>
      </c>
    </row>
    <row r="9" spans="1:18" ht="18.600000000000001">
      <c r="A9" s="8">
        <f>+A8+1</f>
        <v>2</v>
      </c>
      <c r="B9" s="33" t="s">
        <v>21</v>
      </c>
      <c r="C9" s="22"/>
      <c r="D9" s="23">
        <v>0</v>
      </c>
      <c r="E9" s="24"/>
      <c r="F9" s="24"/>
      <c r="G9" s="25"/>
      <c r="H9" s="34">
        <v>0</v>
      </c>
      <c r="I9" s="35">
        <f>H9*0.07</f>
        <v>0</v>
      </c>
      <c r="J9" s="36">
        <v>0</v>
      </c>
      <c r="K9" s="28"/>
      <c r="L9" s="29"/>
      <c r="M9" s="30">
        <v>0</v>
      </c>
      <c r="N9" s="31"/>
      <c r="O9" s="25"/>
      <c r="P9" s="27">
        <f>ROUND(R9*100/107,2)</f>
        <v>0</v>
      </c>
      <c r="Q9" s="27">
        <f>P9*0.07</f>
        <v>0</v>
      </c>
      <c r="R9" s="32">
        <f>D9+J9-M9</f>
        <v>0</v>
      </c>
    </row>
    <row r="10" spans="1:18" ht="18.600000000000001">
      <c r="A10" s="8">
        <f>+A9+1</f>
        <v>3</v>
      </c>
      <c r="B10" s="37"/>
      <c r="C10" s="22"/>
      <c r="D10" s="23">
        <v>0</v>
      </c>
      <c r="E10" s="24"/>
      <c r="F10" s="38"/>
      <c r="G10" s="39"/>
      <c r="H10" s="40">
        <f>J10*100/107</f>
        <v>0</v>
      </c>
      <c r="I10" s="40">
        <f>H10*0.07</f>
        <v>0</v>
      </c>
      <c r="J10" s="41">
        <v>0</v>
      </c>
      <c r="K10" s="28"/>
      <c r="L10" s="29"/>
      <c r="M10" s="30">
        <v>0</v>
      </c>
      <c r="N10" s="31"/>
      <c r="O10" s="25"/>
      <c r="P10" s="27">
        <f>ROUND(R10*100/107,2)</f>
        <v>0</v>
      </c>
      <c r="Q10" s="27">
        <f>P10*0.07</f>
        <v>0</v>
      </c>
      <c r="R10" s="32">
        <f>D10+J10-M10</f>
        <v>0</v>
      </c>
    </row>
    <row r="11" spans="1:18" ht="19.2" thickBot="1">
      <c r="A11" s="42"/>
      <c r="B11" s="191" t="s">
        <v>19</v>
      </c>
      <c r="C11" s="192"/>
      <c r="D11" s="43">
        <f>SUM(D8:D10)</f>
        <v>0</v>
      </c>
      <c r="E11" s="43"/>
      <c r="F11" s="43"/>
      <c r="G11" s="44"/>
      <c r="H11" s="44">
        <f>SUM(H8:H10)</f>
        <v>0</v>
      </c>
      <c r="I11" s="44">
        <f>SUM(I8:I10)</f>
        <v>0</v>
      </c>
      <c r="J11" s="44">
        <f>SUM(J8:J10)</f>
        <v>0</v>
      </c>
      <c r="K11" s="45"/>
      <c r="L11" s="46"/>
      <c r="M11" s="47">
        <f>SUM(M8:M10)</f>
        <v>0</v>
      </c>
      <c r="N11" s="48"/>
      <c r="O11" s="43"/>
      <c r="P11" s="49">
        <f>ROUND(R11*100/107,2)</f>
        <v>0</v>
      </c>
      <c r="Q11" s="49">
        <f>P11*0.07</f>
        <v>0</v>
      </c>
      <c r="R11" s="50">
        <f>SUM(R8:R10)</f>
        <v>0</v>
      </c>
    </row>
    <row r="12" spans="1:18" ht="19.2" thickTop="1">
      <c r="A12" s="8"/>
      <c r="B12" s="51" t="s">
        <v>22</v>
      </c>
      <c r="C12" s="52"/>
      <c r="D12" s="11"/>
      <c r="E12" s="12"/>
      <c r="F12" s="12"/>
      <c r="G12" s="53"/>
      <c r="H12" s="14"/>
      <c r="I12" s="15"/>
      <c r="J12" s="11"/>
      <c r="K12" s="16"/>
      <c r="L12" s="17"/>
      <c r="M12" s="18"/>
      <c r="N12" s="19"/>
      <c r="O12" s="13"/>
      <c r="P12" s="13"/>
      <c r="Q12" s="13"/>
      <c r="R12" s="20"/>
    </row>
    <row r="13" spans="1:18" ht="34.5" customHeight="1">
      <c r="A13" s="8">
        <v>1</v>
      </c>
      <c r="B13" s="203"/>
      <c r="C13" s="204"/>
      <c r="D13" s="23">
        <v>0</v>
      </c>
      <c r="E13" s="54"/>
      <c r="F13" s="54"/>
      <c r="G13" s="25"/>
      <c r="H13" s="26">
        <v>0</v>
      </c>
      <c r="I13" s="27">
        <f>H13*0.07</f>
        <v>0</v>
      </c>
      <c r="J13" s="23">
        <f>SUM(H13:I13)</f>
        <v>0</v>
      </c>
      <c r="K13" s="55">
        <v>0</v>
      </c>
      <c r="L13" s="56"/>
      <c r="M13" s="55">
        <v>0</v>
      </c>
      <c r="N13" s="31"/>
      <c r="O13" s="25"/>
      <c r="P13" s="27">
        <f>ROUND(R13*100/107,2)</f>
        <v>0</v>
      </c>
      <c r="Q13" s="27">
        <f>P13*0.07</f>
        <v>0</v>
      </c>
      <c r="R13" s="32">
        <f>D13+J13-M13</f>
        <v>0</v>
      </c>
    </row>
    <row r="14" spans="1:18" ht="29.25" customHeight="1">
      <c r="A14" s="8">
        <v>2</v>
      </c>
      <c r="B14" s="197" t="s">
        <v>21</v>
      </c>
      <c r="C14" s="198"/>
      <c r="D14" s="23">
        <v>0</v>
      </c>
      <c r="E14" s="31"/>
      <c r="F14" s="31"/>
      <c r="G14" s="25"/>
      <c r="H14" s="34">
        <v>0</v>
      </c>
      <c r="I14" s="27">
        <f>H14*0.07</f>
        <v>0</v>
      </c>
      <c r="J14" s="23">
        <f>SUM(H14:I14)</f>
        <v>0</v>
      </c>
      <c r="K14" s="58">
        <v>0</v>
      </c>
      <c r="L14" s="56"/>
      <c r="M14" s="55">
        <v>0</v>
      </c>
      <c r="N14" s="31"/>
      <c r="O14" s="25"/>
      <c r="P14" s="27">
        <f>ROUND(R14*100/107,2)</f>
        <v>0</v>
      </c>
      <c r="Q14" s="27">
        <f>P14*0.07</f>
        <v>0</v>
      </c>
      <c r="R14" s="32">
        <f>D14+J14-M14</f>
        <v>0</v>
      </c>
    </row>
    <row r="15" spans="1:18" ht="28.5" customHeight="1">
      <c r="A15" s="8">
        <f>+A14+1</f>
        <v>3</v>
      </c>
      <c r="B15" s="195"/>
      <c r="C15" s="196"/>
      <c r="D15" s="23">
        <v>0</v>
      </c>
      <c r="E15" s="24"/>
      <c r="F15" s="24"/>
      <c r="G15" s="25"/>
      <c r="H15" s="34">
        <v>0</v>
      </c>
      <c r="I15" s="27">
        <f>H15*0.07</f>
        <v>0</v>
      </c>
      <c r="J15" s="23">
        <f>SUM(H15:I15)</f>
        <v>0</v>
      </c>
      <c r="K15" s="55">
        <v>0</v>
      </c>
      <c r="L15" s="60"/>
      <c r="M15" s="55">
        <v>0</v>
      </c>
      <c r="N15" s="31"/>
      <c r="O15" s="25"/>
      <c r="P15" s="27">
        <f>ROUND(R15*100/107,2)</f>
        <v>0</v>
      </c>
      <c r="Q15" s="27">
        <f>P15*0.07</f>
        <v>0</v>
      </c>
      <c r="R15" s="32">
        <f>D15+J15-M15</f>
        <v>0</v>
      </c>
    </row>
    <row r="16" spans="1:18" ht="19.2" thickBot="1">
      <c r="A16" s="42"/>
      <c r="B16" s="191" t="s">
        <v>19</v>
      </c>
      <c r="C16" s="192"/>
      <c r="D16" s="43">
        <f>SUM(D13:D15)</f>
        <v>0</v>
      </c>
      <c r="E16" s="43"/>
      <c r="F16" s="43"/>
      <c r="G16" s="43"/>
      <c r="H16" s="43">
        <f>SUM(H13:H15)</f>
        <v>0</v>
      </c>
      <c r="I16" s="43">
        <f>SUM(I13:I15)</f>
        <v>0</v>
      </c>
      <c r="J16" s="43">
        <f>SUM(J13:J15)</f>
        <v>0</v>
      </c>
      <c r="K16" s="45"/>
      <c r="L16" s="46"/>
      <c r="M16" s="47">
        <f>SUM(M13:M15)</f>
        <v>0</v>
      </c>
      <c r="N16" s="48"/>
      <c r="O16" s="43"/>
      <c r="P16" s="49">
        <f>ROUND(R16*100/107,2)</f>
        <v>0</v>
      </c>
      <c r="Q16" s="49">
        <f>P16*0.07</f>
        <v>0</v>
      </c>
      <c r="R16" s="50">
        <f>SUM(R13:R15)</f>
        <v>0</v>
      </c>
    </row>
    <row r="17" spans="1:18" ht="19.2" thickTop="1">
      <c r="A17" s="8"/>
      <c r="B17" s="51" t="s">
        <v>23</v>
      </c>
      <c r="C17" s="52"/>
      <c r="D17" s="11"/>
      <c r="E17" s="12"/>
      <c r="F17" s="12"/>
      <c r="G17" s="13"/>
      <c r="H17" s="61"/>
      <c r="I17" s="35"/>
      <c r="J17" s="11"/>
      <c r="K17" s="16"/>
      <c r="L17" s="17"/>
      <c r="M17" s="18"/>
      <c r="N17" s="19"/>
      <c r="O17" s="13"/>
      <c r="P17" s="13"/>
      <c r="Q17" s="13"/>
      <c r="R17" s="20"/>
    </row>
    <row r="18" spans="1:18" ht="18.600000000000001">
      <c r="A18" s="8">
        <v>1</v>
      </c>
      <c r="B18" s="62"/>
      <c r="C18" s="63"/>
      <c r="D18" s="23">
        <v>0</v>
      </c>
      <c r="E18" s="24"/>
      <c r="F18" s="24"/>
      <c r="G18" s="25"/>
      <c r="H18" s="26">
        <v>0</v>
      </c>
      <c r="I18" s="27">
        <f>H18*0.07</f>
        <v>0</v>
      </c>
      <c r="J18" s="23">
        <v>0</v>
      </c>
      <c r="K18" s="28"/>
      <c r="L18" s="29"/>
      <c r="M18" s="30">
        <v>0</v>
      </c>
      <c r="N18" s="31"/>
      <c r="O18" s="25"/>
      <c r="P18" s="27">
        <f>ROUND(R18*100/107,2)</f>
        <v>0</v>
      </c>
      <c r="Q18" s="27">
        <f>P18*0.07</f>
        <v>0</v>
      </c>
      <c r="R18" s="32">
        <f>D18+J18-M18</f>
        <v>0</v>
      </c>
    </row>
    <row r="19" spans="1:18" ht="18.600000000000001">
      <c r="A19" s="8">
        <f>+A18+1</f>
        <v>2</v>
      </c>
      <c r="B19" s="64" t="s">
        <v>21</v>
      </c>
      <c r="C19" s="63"/>
      <c r="D19" s="23">
        <v>0</v>
      </c>
      <c r="E19" s="24"/>
      <c r="F19" s="24"/>
      <c r="G19" s="25"/>
      <c r="H19" s="34">
        <v>0</v>
      </c>
      <c r="I19" s="35">
        <f>H19*0.07</f>
        <v>0</v>
      </c>
      <c r="J19" s="36">
        <v>0</v>
      </c>
      <c r="K19" s="28"/>
      <c r="L19" s="29"/>
      <c r="M19" s="30">
        <v>0</v>
      </c>
      <c r="N19" s="31"/>
      <c r="O19" s="25"/>
      <c r="P19" s="27">
        <f>ROUND(R19*100/107,2)</f>
        <v>0</v>
      </c>
      <c r="Q19" s="27">
        <f>P19*0.07</f>
        <v>0</v>
      </c>
      <c r="R19" s="32">
        <f>D19+J19-M19</f>
        <v>0</v>
      </c>
    </row>
    <row r="20" spans="1:18" ht="18.600000000000001">
      <c r="A20" s="8">
        <f>+A19+1</f>
        <v>3</v>
      </c>
      <c r="B20" s="65"/>
      <c r="C20" s="63"/>
      <c r="D20" s="23">
        <v>0</v>
      </c>
      <c r="E20" s="24"/>
      <c r="F20" s="38"/>
      <c r="G20" s="39"/>
      <c r="H20" s="40">
        <f>J20*100/107</f>
        <v>0</v>
      </c>
      <c r="I20" s="40">
        <f>H20*0.07</f>
        <v>0</v>
      </c>
      <c r="J20" s="41">
        <v>0</v>
      </c>
      <c r="K20" s="28"/>
      <c r="L20" s="29"/>
      <c r="M20" s="30">
        <v>0</v>
      </c>
      <c r="N20" s="31"/>
      <c r="O20" s="25"/>
      <c r="P20" s="27">
        <f>ROUND(R20*100/107,2)</f>
        <v>0</v>
      </c>
      <c r="Q20" s="27">
        <f>P20*0.07</f>
        <v>0</v>
      </c>
      <c r="R20" s="32">
        <f>D20+J20-M20</f>
        <v>0</v>
      </c>
    </row>
    <row r="21" spans="1:18" ht="19.2" thickBot="1">
      <c r="A21" s="42"/>
      <c r="B21" s="191" t="s">
        <v>19</v>
      </c>
      <c r="C21" s="192"/>
      <c r="D21" s="43">
        <f>SUM(D18:D20)</f>
        <v>0</v>
      </c>
      <c r="E21" s="43"/>
      <c r="F21" s="43"/>
      <c r="G21" s="44"/>
      <c r="H21" s="44">
        <f>SUM(H18:H20)</f>
        <v>0</v>
      </c>
      <c r="I21" s="44">
        <f>SUM(I18:I20)</f>
        <v>0</v>
      </c>
      <c r="J21" s="44">
        <f>SUM(J18:J20)</f>
        <v>0</v>
      </c>
      <c r="K21" s="45"/>
      <c r="L21" s="46"/>
      <c r="M21" s="47">
        <f>SUM(M18:M20)</f>
        <v>0</v>
      </c>
      <c r="N21" s="48"/>
      <c r="O21" s="43"/>
      <c r="P21" s="49">
        <f>ROUND(R21*100/107,2)</f>
        <v>0</v>
      </c>
      <c r="Q21" s="49">
        <f>P21*0.07</f>
        <v>0</v>
      </c>
      <c r="R21" s="50">
        <f>SUM(R18:R20)</f>
        <v>0</v>
      </c>
    </row>
    <row r="22" spans="1:18" ht="19.2" thickTop="1">
      <c r="A22" s="8"/>
      <c r="B22" s="51" t="s">
        <v>24</v>
      </c>
      <c r="C22" s="52"/>
      <c r="D22" s="11"/>
      <c r="E22" s="12"/>
      <c r="F22" s="12"/>
      <c r="G22" s="53"/>
      <c r="H22" s="14"/>
      <c r="I22" s="15"/>
      <c r="J22" s="11"/>
      <c r="K22" s="16"/>
      <c r="L22" s="17"/>
      <c r="M22" s="18"/>
      <c r="N22" s="19"/>
      <c r="O22" s="13"/>
      <c r="P22" s="13"/>
      <c r="Q22" s="13"/>
      <c r="R22" s="20"/>
    </row>
    <row r="23" spans="1:18" ht="18.600000000000001">
      <c r="A23" s="8">
        <v>1</v>
      </c>
      <c r="B23" s="62"/>
      <c r="C23" s="63"/>
      <c r="D23" s="23"/>
      <c r="E23" s="24"/>
      <c r="F23" s="24"/>
      <c r="G23" s="25"/>
      <c r="H23" s="26">
        <v>0</v>
      </c>
      <c r="I23" s="27">
        <f>H23*0.07</f>
        <v>0</v>
      </c>
      <c r="J23" s="23">
        <v>0</v>
      </c>
      <c r="K23" s="28"/>
      <c r="L23" s="29"/>
      <c r="M23" s="30">
        <v>0</v>
      </c>
      <c r="N23" s="31"/>
      <c r="O23" s="25"/>
      <c r="P23" s="27">
        <f>ROUND(R23*100/107,2)</f>
        <v>0</v>
      </c>
      <c r="Q23" s="27">
        <f>P23*0.07</f>
        <v>0</v>
      </c>
      <c r="R23" s="32">
        <f>D23+J23-M23</f>
        <v>0</v>
      </c>
    </row>
    <row r="24" spans="1:18" ht="18.600000000000001">
      <c r="A24" s="8">
        <f>+A23+1</f>
        <v>2</v>
      </c>
      <c r="B24" s="64" t="s">
        <v>21</v>
      </c>
      <c r="C24" s="63"/>
      <c r="D24" s="23"/>
      <c r="E24" s="24"/>
      <c r="F24" s="24"/>
      <c r="G24" s="25"/>
      <c r="H24" s="26">
        <v>0</v>
      </c>
      <c r="I24" s="27">
        <f>H24*0.07</f>
        <v>0</v>
      </c>
      <c r="J24" s="23">
        <v>0</v>
      </c>
      <c r="K24" s="28"/>
      <c r="L24" s="29"/>
      <c r="M24" s="55">
        <v>0</v>
      </c>
      <c r="N24" s="31"/>
      <c r="O24" s="25"/>
      <c r="P24" s="27">
        <f>ROUND(R24*100/107,2)</f>
        <v>0</v>
      </c>
      <c r="Q24" s="27">
        <f>P24*0.07</f>
        <v>0</v>
      </c>
      <c r="R24" s="32">
        <f>D24+J24-M24</f>
        <v>0</v>
      </c>
    </row>
    <row r="25" spans="1:18" ht="18.600000000000001">
      <c r="A25" s="8">
        <f>+A24+1</f>
        <v>3</v>
      </c>
      <c r="B25" s="65"/>
      <c r="C25" s="63"/>
      <c r="D25" s="23"/>
      <c r="E25" s="24"/>
      <c r="F25" s="38"/>
      <c r="G25" s="39"/>
      <c r="H25" s="40">
        <v>0</v>
      </c>
      <c r="I25" s="40">
        <f>H25*0.07</f>
        <v>0</v>
      </c>
      <c r="J25" s="66">
        <v>0</v>
      </c>
      <c r="K25" s="28"/>
      <c r="L25" s="29"/>
      <c r="M25" s="55">
        <v>0</v>
      </c>
      <c r="N25" s="31"/>
      <c r="O25" s="25"/>
      <c r="P25" s="27">
        <f>ROUND(R25*100/107,2)</f>
        <v>0</v>
      </c>
      <c r="Q25" s="27">
        <f>P25*0.07</f>
        <v>0</v>
      </c>
      <c r="R25" s="32">
        <f>D25+J25-M25</f>
        <v>0</v>
      </c>
    </row>
    <row r="26" spans="1:18" ht="19.2" thickBot="1">
      <c r="A26" s="42"/>
      <c r="B26" s="191" t="s">
        <v>19</v>
      </c>
      <c r="C26" s="192"/>
      <c r="D26" s="43">
        <f>SUM(D23:D25)</f>
        <v>0</v>
      </c>
      <c r="E26" s="43"/>
      <c r="F26" s="43"/>
      <c r="G26" s="44"/>
      <c r="H26" s="44">
        <f>SUM(H23:H25)</f>
        <v>0</v>
      </c>
      <c r="I26" s="44">
        <f>SUM(I23:I25)</f>
        <v>0</v>
      </c>
      <c r="J26" s="44">
        <f>SUM(J23:J25)</f>
        <v>0</v>
      </c>
      <c r="K26" s="45"/>
      <c r="L26" s="46"/>
      <c r="M26" s="47">
        <f>SUM(M23:M25)</f>
        <v>0</v>
      </c>
      <c r="N26" s="48"/>
      <c r="O26" s="43"/>
      <c r="P26" s="49">
        <f>ROUND(R26*100/107,2)</f>
        <v>0</v>
      </c>
      <c r="Q26" s="49">
        <f>P26*0.07</f>
        <v>0</v>
      </c>
      <c r="R26" s="50">
        <f>SUM(R23:R25)</f>
        <v>0</v>
      </c>
    </row>
    <row r="27" spans="1:18" ht="19.2" thickTop="1">
      <c r="A27" s="8"/>
      <c r="B27" s="67"/>
      <c r="C27" s="68"/>
      <c r="D27" s="69"/>
      <c r="E27" s="70"/>
      <c r="F27" s="70"/>
      <c r="G27" s="71"/>
      <c r="H27" s="72"/>
      <c r="I27" s="73"/>
      <c r="J27" s="69"/>
      <c r="K27" s="74"/>
      <c r="L27" s="75"/>
      <c r="M27" s="76"/>
      <c r="N27" s="77"/>
      <c r="O27" s="78"/>
      <c r="P27" s="78"/>
      <c r="Q27" s="78"/>
      <c r="R27" s="79"/>
    </row>
    <row r="28" spans="1:18" ht="18.600000000000001">
      <c r="A28" s="8"/>
      <c r="B28" s="80" t="s">
        <v>25</v>
      </c>
      <c r="C28" s="68"/>
      <c r="D28" s="23"/>
      <c r="E28" s="24"/>
      <c r="F28" s="24"/>
      <c r="G28" s="25"/>
      <c r="H28" s="81"/>
      <c r="I28" s="27"/>
      <c r="J28" s="23"/>
      <c r="K28" s="28"/>
      <c r="L28" s="29"/>
      <c r="M28" s="55"/>
      <c r="N28" s="31"/>
      <c r="O28" s="25"/>
      <c r="P28" s="25"/>
      <c r="Q28" s="25"/>
      <c r="R28" s="32"/>
    </row>
    <row r="29" spans="1:18" ht="18.600000000000001">
      <c r="A29" s="8">
        <f>+A28+1</f>
        <v>1</v>
      </c>
      <c r="B29" s="195"/>
      <c r="C29" s="196"/>
      <c r="D29" s="23">
        <v>0</v>
      </c>
      <c r="E29" s="24"/>
      <c r="F29" s="24"/>
      <c r="G29" s="25"/>
      <c r="H29" s="34">
        <v>0</v>
      </c>
      <c r="I29" s="27">
        <f>H29*0.07</f>
        <v>0</v>
      </c>
      <c r="J29" s="36">
        <v>0</v>
      </c>
      <c r="K29" s="82"/>
      <c r="L29" s="83"/>
      <c r="M29" s="30">
        <v>0</v>
      </c>
      <c r="N29" s="31"/>
      <c r="O29" s="25"/>
      <c r="P29" s="27">
        <f>ROUND(R29*100/107,2)</f>
        <v>0</v>
      </c>
      <c r="Q29" s="27">
        <f>P29*0.07</f>
        <v>0</v>
      </c>
      <c r="R29" s="32">
        <f>D29+J29-M29</f>
        <v>0</v>
      </c>
    </row>
    <row r="30" spans="1:18" ht="18.600000000000001">
      <c r="A30" s="8">
        <v>2</v>
      </c>
      <c r="B30" s="57" t="s">
        <v>21</v>
      </c>
      <c r="C30" s="59"/>
      <c r="D30" s="23">
        <v>0</v>
      </c>
      <c r="E30" s="24"/>
      <c r="F30" s="38"/>
      <c r="G30" s="84"/>
      <c r="H30" s="34">
        <v>0</v>
      </c>
      <c r="I30" s="85">
        <v>0</v>
      </c>
      <c r="J30" s="86">
        <v>0</v>
      </c>
      <c r="K30" s="82"/>
      <c r="L30" s="83"/>
      <c r="M30" s="30"/>
      <c r="N30" s="31"/>
      <c r="O30" s="25"/>
      <c r="P30" s="27">
        <f>ROUND(R30*100/107,2)</f>
        <v>0</v>
      </c>
      <c r="Q30" s="27">
        <f>P30*0.07</f>
        <v>0</v>
      </c>
      <c r="R30" s="32">
        <f>D30+J30-M30</f>
        <v>0</v>
      </c>
    </row>
    <row r="31" spans="1:18" ht="18.600000000000001">
      <c r="A31" s="8">
        <v>3</v>
      </c>
      <c r="B31" s="195"/>
      <c r="C31" s="196"/>
      <c r="D31" s="23">
        <v>0</v>
      </c>
      <c r="E31" s="24"/>
      <c r="F31" s="38"/>
      <c r="G31" s="39"/>
      <c r="H31" s="40">
        <f>J31*100/107</f>
        <v>0</v>
      </c>
      <c r="I31" s="40">
        <f>H31*0.07</f>
        <v>0</v>
      </c>
      <c r="J31" s="41">
        <v>0</v>
      </c>
      <c r="K31" s="82"/>
      <c r="L31" s="83"/>
      <c r="M31" s="30">
        <v>0</v>
      </c>
      <c r="N31" s="31"/>
      <c r="O31" s="25"/>
      <c r="P31" s="27">
        <f>ROUND(R31*100/107,2)</f>
        <v>0</v>
      </c>
      <c r="Q31" s="27">
        <f>P31*0.07</f>
        <v>0</v>
      </c>
      <c r="R31" s="32">
        <f>D31+J31-M31</f>
        <v>0</v>
      </c>
    </row>
    <row r="32" spans="1:18" ht="19.2" thickBot="1">
      <c r="A32" s="42"/>
      <c r="B32" s="191" t="s">
        <v>19</v>
      </c>
      <c r="C32" s="192"/>
      <c r="D32" s="43">
        <f>SUM(D28:D31)</f>
        <v>0</v>
      </c>
      <c r="E32" s="43"/>
      <c r="F32" s="43"/>
      <c r="G32" s="44"/>
      <c r="H32" s="44">
        <f>SUM(H28:H31)</f>
        <v>0</v>
      </c>
      <c r="I32" s="44">
        <f>SUM(I28:I31)</f>
        <v>0</v>
      </c>
      <c r="J32" s="44">
        <f>SUM(J28:J31)</f>
        <v>0</v>
      </c>
      <c r="K32" s="45"/>
      <c r="L32" s="46"/>
      <c r="M32" s="47">
        <f>SUM(M28:M31)</f>
        <v>0</v>
      </c>
      <c r="N32" s="48"/>
      <c r="O32" s="43"/>
      <c r="P32" s="49">
        <f>ROUND(R32*100/107,2)</f>
        <v>0</v>
      </c>
      <c r="Q32" s="49">
        <f>P32*0.07</f>
        <v>0</v>
      </c>
      <c r="R32" s="50">
        <f>SUM(R28:R31)</f>
        <v>0</v>
      </c>
    </row>
    <row r="33" spans="1:18" ht="19.2" thickTop="1">
      <c r="A33" s="8"/>
      <c r="B33" s="51" t="s">
        <v>26</v>
      </c>
      <c r="C33" s="52"/>
      <c r="D33" s="11"/>
      <c r="E33" s="12"/>
      <c r="F33" s="12"/>
      <c r="G33" s="53"/>
      <c r="H33" s="14"/>
      <c r="I33" s="15"/>
      <c r="J33" s="11"/>
      <c r="K33" s="16"/>
      <c r="L33" s="17"/>
      <c r="M33" s="18"/>
      <c r="N33" s="19"/>
      <c r="O33" s="13"/>
      <c r="P33" s="13"/>
      <c r="Q33" s="13"/>
      <c r="R33" s="20"/>
    </row>
    <row r="34" spans="1:18" ht="18.600000000000001">
      <c r="A34" s="8">
        <v>1</v>
      </c>
      <c r="B34" s="33" t="s">
        <v>21</v>
      </c>
      <c r="C34" s="87"/>
      <c r="D34" s="23">
        <v>0</v>
      </c>
      <c r="E34" s="24"/>
      <c r="F34" s="24"/>
      <c r="G34" s="25"/>
      <c r="H34" s="27">
        <v>0</v>
      </c>
      <c r="I34" s="27">
        <f>H34*0.07</f>
        <v>0</v>
      </c>
      <c r="J34" s="36">
        <v>0</v>
      </c>
      <c r="K34" s="28"/>
      <c r="L34" s="29"/>
      <c r="M34" s="30">
        <v>0</v>
      </c>
      <c r="N34" s="31"/>
      <c r="O34" s="25"/>
      <c r="P34" s="27">
        <f>ROUND(R34*100/107,2)</f>
        <v>0</v>
      </c>
      <c r="Q34" s="27">
        <f>P34*0.07</f>
        <v>0</v>
      </c>
      <c r="R34" s="32">
        <f>D34+J34-M34</f>
        <v>0</v>
      </c>
    </row>
    <row r="35" spans="1:18" ht="18.600000000000001">
      <c r="A35" s="8">
        <v>2</v>
      </c>
      <c r="B35" s="33"/>
      <c r="C35" s="87"/>
      <c r="D35" s="23"/>
      <c r="E35" s="24"/>
      <c r="F35" s="38"/>
      <c r="G35" s="84"/>
      <c r="H35" s="34"/>
      <c r="I35" s="34"/>
      <c r="J35" s="86"/>
      <c r="K35" s="28"/>
      <c r="L35" s="29"/>
      <c r="M35" s="30"/>
      <c r="N35" s="31"/>
      <c r="O35" s="25"/>
      <c r="P35" s="27"/>
      <c r="Q35" s="27"/>
      <c r="R35" s="32"/>
    </row>
    <row r="36" spans="1:18" ht="18.600000000000001">
      <c r="A36" s="8">
        <v>3</v>
      </c>
      <c r="B36" s="37"/>
      <c r="C36" s="22"/>
      <c r="D36" s="23">
        <v>0</v>
      </c>
      <c r="E36" s="24"/>
      <c r="F36" s="38"/>
      <c r="G36" s="39"/>
      <c r="H36" s="40">
        <f>J36*100/107</f>
        <v>0</v>
      </c>
      <c r="I36" s="40">
        <f>H36*0.07</f>
        <v>0</v>
      </c>
      <c r="J36" s="41">
        <v>0</v>
      </c>
      <c r="K36" s="28"/>
      <c r="L36" s="29"/>
      <c r="M36" s="30">
        <v>0</v>
      </c>
      <c r="N36" s="31"/>
      <c r="O36" s="25"/>
      <c r="P36" s="27">
        <f>ROUND(R36*100/107,2)</f>
        <v>0</v>
      </c>
      <c r="Q36" s="27">
        <f>P36*0.07</f>
        <v>0</v>
      </c>
      <c r="R36" s="32">
        <f>D36+J36-M36</f>
        <v>0</v>
      </c>
    </row>
    <row r="37" spans="1:18" ht="19.2" thickBot="1">
      <c r="A37" s="42"/>
      <c r="B37" s="191" t="s">
        <v>19</v>
      </c>
      <c r="C37" s="192"/>
      <c r="D37" s="43">
        <f>SUM(D34:D36)</f>
        <v>0</v>
      </c>
      <c r="E37" s="43"/>
      <c r="F37" s="43"/>
      <c r="G37" s="44"/>
      <c r="H37" s="44">
        <f>SUM(H34:H36)</f>
        <v>0</v>
      </c>
      <c r="I37" s="44">
        <f>SUM(I34:I36)</f>
        <v>0</v>
      </c>
      <c r="J37" s="44">
        <f>SUM(J34:J36)</f>
        <v>0</v>
      </c>
      <c r="K37" s="45"/>
      <c r="L37" s="46"/>
      <c r="M37" s="47">
        <f>SUM(M34:M36)</f>
        <v>0</v>
      </c>
      <c r="N37" s="48"/>
      <c r="O37" s="43"/>
      <c r="P37" s="49">
        <f>ROUND(R37*100/107,2)</f>
        <v>0</v>
      </c>
      <c r="Q37" s="49">
        <f>P37*0.07</f>
        <v>0</v>
      </c>
      <c r="R37" s="50">
        <f>SUM(R34:R36)</f>
        <v>0</v>
      </c>
    </row>
    <row r="38" spans="1:18" ht="19.2" thickTop="1">
      <c r="A38" s="42"/>
      <c r="B38" s="88" t="s">
        <v>27</v>
      </c>
      <c r="C38" s="52"/>
      <c r="D38" s="11"/>
      <c r="E38" s="12"/>
      <c r="F38" s="12"/>
      <c r="G38" s="13"/>
      <c r="H38" s="13"/>
      <c r="I38" s="13"/>
      <c r="J38" s="11"/>
      <c r="K38" s="16"/>
      <c r="L38" s="17"/>
      <c r="M38" s="18"/>
      <c r="N38" s="19"/>
      <c r="O38" s="13"/>
      <c r="P38" s="13"/>
      <c r="Q38" s="13"/>
      <c r="R38" s="89"/>
    </row>
    <row r="39" spans="1:18" ht="30.75" customHeight="1">
      <c r="A39" s="42">
        <v>1</v>
      </c>
      <c r="B39" s="195"/>
      <c r="C39" s="196"/>
      <c r="D39" s="23">
        <v>0</v>
      </c>
      <c r="E39" s="31"/>
      <c r="F39" s="31"/>
      <c r="G39" s="25"/>
      <c r="H39" s="90">
        <v>0</v>
      </c>
      <c r="I39" s="27">
        <f>H39*0.07</f>
        <v>0</v>
      </c>
      <c r="J39" s="23">
        <f>SUM(H39:I39)</f>
        <v>0</v>
      </c>
      <c r="K39" s="56"/>
      <c r="L39" s="91"/>
      <c r="M39" s="55">
        <v>0</v>
      </c>
      <c r="N39" s="31"/>
      <c r="O39" s="25"/>
      <c r="P39" s="27">
        <f>ROUND(R39*100/107,2)</f>
        <v>0</v>
      </c>
      <c r="Q39" s="27">
        <f>P39*0.07</f>
        <v>0</v>
      </c>
      <c r="R39" s="92">
        <f>D39+J39-M39</f>
        <v>0</v>
      </c>
    </row>
    <row r="40" spans="1:18" ht="30" customHeight="1">
      <c r="A40" s="8">
        <v>2</v>
      </c>
      <c r="B40" s="197" t="s">
        <v>21</v>
      </c>
      <c r="C40" s="198"/>
      <c r="D40" s="23">
        <v>0</v>
      </c>
      <c r="E40" s="31"/>
      <c r="F40" s="31"/>
      <c r="G40" s="25"/>
      <c r="H40" s="34">
        <v>0</v>
      </c>
      <c r="I40" s="27">
        <f>H40*0.07</f>
        <v>0</v>
      </c>
      <c r="J40" s="23">
        <f>SUM(H40:I40)</f>
        <v>0</v>
      </c>
      <c r="K40" s="56"/>
      <c r="L40" s="56"/>
      <c r="M40" s="55">
        <v>0</v>
      </c>
      <c r="N40" s="31"/>
      <c r="O40" s="25"/>
      <c r="P40" s="27">
        <f>ROUND(R40*100/107,2)</f>
        <v>0</v>
      </c>
      <c r="Q40" s="27">
        <f>P40*0.07</f>
        <v>0</v>
      </c>
      <c r="R40" s="32">
        <f>D40+J40-M40</f>
        <v>0</v>
      </c>
    </row>
    <row r="41" spans="1:18" ht="27" customHeight="1">
      <c r="A41" s="42">
        <v>3</v>
      </c>
      <c r="B41" s="203"/>
      <c r="C41" s="204"/>
      <c r="D41" s="23">
        <v>0</v>
      </c>
      <c r="E41" s="31"/>
      <c r="F41" s="31"/>
      <c r="G41" s="25"/>
      <c r="H41" s="90">
        <v>0</v>
      </c>
      <c r="I41" s="27">
        <f>H41*0.07</f>
        <v>0</v>
      </c>
      <c r="J41" s="23">
        <f>SUM(H41:I41)</f>
        <v>0</v>
      </c>
      <c r="K41" s="56"/>
      <c r="L41" s="56"/>
      <c r="M41" s="55">
        <v>0</v>
      </c>
      <c r="N41" s="31"/>
      <c r="O41" s="25"/>
      <c r="P41" s="27">
        <f>ROUND(R41*100/107,2)</f>
        <v>0</v>
      </c>
      <c r="Q41" s="27">
        <f>P41*0.07</f>
        <v>0</v>
      </c>
      <c r="R41" s="92">
        <f>D41+J41-M41</f>
        <v>0</v>
      </c>
    </row>
    <row r="42" spans="1:18" ht="19.2" thickBot="1">
      <c r="A42" s="93"/>
      <c r="B42" s="191" t="s">
        <v>19</v>
      </c>
      <c r="C42" s="192"/>
      <c r="D42" s="43">
        <f>SUM(D39:D41)</f>
        <v>0</v>
      </c>
      <c r="E42" s="43"/>
      <c r="F42" s="43"/>
      <c r="G42" s="43"/>
      <c r="H42" s="43">
        <f>SUM(H39:H41)</f>
        <v>0</v>
      </c>
      <c r="I42" s="43">
        <f>SUM(I39:I41)</f>
        <v>0</v>
      </c>
      <c r="J42" s="43">
        <f>SUM(J39:J41)</f>
        <v>0</v>
      </c>
      <c r="K42" s="45"/>
      <c r="L42" s="46"/>
      <c r="M42" s="47">
        <f>SUM(M39:M41)</f>
        <v>0</v>
      </c>
      <c r="N42" s="48"/>
      <c r="O42" s="43"/>
      <c r="P42" s="43">
        <f>SUM(P39:P41)</f>
        <v>0</v>
      </c>
      <c r="Q42" s="43">
        <f>SUM(Q39:Q41)</f>
        <v>0</v>
      </c>
      <c r="R42" s="43">
        <f>SUM(R39:R41)</f>
        <v>0</v>
      </c>
    </row>
    <row r="43" spans="1:18" ht="19.2" thickTop="1">
      <c r="A43" s="8"/>
      <c r="B43" s="51" t="s">
        <v>28</v>
      </c>
      <c r="C43" s="94"/>
      <c r="D43" s="11"/>
      <c r="E43" s="12"/>
      <c r="F43" s="12"/>
      <c r="G43" s="53"/>
      <c r="H43" s="14"/>
      <c r="I43" s="15"/>
      <c r="J43" s="11"/>
      <c r="K43" s="16"/>
      <c r="L43" s="17"/>
      <c r="M43" s="18"/>
      <c r="N43" s="19"/>
      <c r="O43" s="13"/>
      <c r="P43" s="13"/>
      <c r="Q43" s="13"/>
      <c r="R43" s="20"/>
    </row>
    <row r="44" spans="1:18" ht="18.600000000000001">
      <c r="A44" s="8">
        <v>1</v>
      </c>
      <c r="B44" s="62"/>
      <c r="C44" s="63"/>
      <c r="D44" s="23">
        <v>0</v>
      </c>
      <c r="E44" s="24"/>
      <c r="F44" s="24"/>
      <c r="G44" s="25"/>
      <c r="H44" s="26">
        <v>0</v>
      </c>
      <c r="I44" s="27">
        <f>H44*0.07</f>
        <v>0</v>
      </c>
      <c r="J44" s="23">
        <v>0</v>
      </c>
      <c r="K44" s="28"/>
      <c r="L44" s="29"/>
      <c r="M44" s="30">
        <v>0</v>
      </c>
      <c r="N44" s="31"/>
      <c r="O44" s="25"/>
      <c r="P44" s="27">
        <f>ROUND(R44*100/107,2)</f>
        <v>0</v>
      </c>
      <c r="Q44" s="27">
        <f>P44*0.07</f>
        <v>0</v>
      </c>
      <c r="R44" s="32">
        <f>D44+J44-M44</f>
        <v>0</v>
      </c>
    </row>
    <row r="45" spans="1:18" ht="18.600000000000001">
      <c r="A45" s="8">
        <f>+A44+1</f>
        <v>2</v>
      </c>
      <c r="B45" s="64" t="s">
        <v>21</v>
      </c>
      <c r="C45" s="63"/>
      <c r="D45" s="23">
        <v>0</v>
      </c>
      <c r="E45" s="24"/>
      <c r="F45" s="24"/>
      <c r="G45" s="25"/>
      <c r="H45" s="27">
        <v>0</v>
      </c>
      <c r="I45" s="27">
        <f>H45*0.07</f>
        <v>0</v>
      </c>
      <c r="J45" s="36">
        <v>0</v>
      </c>
      <c r="K45" s="28"/>
      <c r="L45" s="29"/>
      <c r="M45" s="30">
        <v>0</v>
      </c>
      <c r="N45" s="31"/>
      <c r="O45" s="25"/>
      <c r="P45" s="27">
        <f>ROUND(R45*100/107,2)</f>
        <v>0</v>
      </c>
      <c r="Q45" s="27">
        <f>P45*0.07</f>
        <v>0</v>
      </c>
      <c r="R45" s="32">
        <f>D45+J45-M45</f>
        <v>0</v>
      </c>
    </row>
    <row r="46" spans="1:18" ht="18.600000000000001">
      <c r="A46" s="8">
        <f>+A45+1</f>
        <v>3</v>
      </c>
      <c r="B46" s="65"/>
      <c r="C46" s="63"/>
      <c r="D46" s="23">
        <v>0</v>
      </c>
      <c r="E46" s="24"/>
      <c r="F46" s="38"/>
      <c r="G46" s="39"/>
      <c r="H46" s="40">
        <f>J46*100/107</f>
        <v>0</v>
      </c>
      <c r="I46" s="40">
        <f>H46*0.07</f>
        <v>0</v>
      </c>
      <c r="J46" s="41">
        <v>0</v>
      </c>
      <c r="K46" s="28"/>
      <c r="L46" s="29"/>
      <c r="M46" s="30">
        <v>0</v>
      </c>
      <c r="N46" s="31"/>
      <c r="O46" s="25"/>
      <c r="P46" s="27">
        <f>ROUND(R46*100/107,2)</f>
        <v>0</v>
      </c>
      <c r="Q46" s="27">
        <f>P46*0.07</f>
        <v>0</v>
      </c>
      <c r="R46" s="32">
        <f>D46+J46-M46</f>
        <v>0</v>
      </c>
    </row>
    <row r="47" spans="1:18" ht="19.2" thickBot="1">
      <c r="A47" s="42"/>
      <c r="B47" s="191" t="s">
        <v>19</v>
      </c>
      <c r="C47" s="192"/>
      <c r="D47" s="43">
        <f>SUM(D44:D46)</f>
        <v>0</v>
      </c>
      <c r="E47" s="43"/>
      <c r="F47" s="43"/>
      <c r="G47" s="44"/>
      <c r="H47" s="44">
        <f>SUM(H44:H46)</f>
        <v>0</v>
      </c>
      <c r="I47" s="44">
        <f>SUM(I44:I46)</f>
        <v>0</v>
      </c>
      <c r="J47" s="44">
        <f>SUM(J44:J46)</f>
        <v>0</v>
      </c>
      <c r="K47" s="45"/>
      <c r="L47" s="46"/>
      <c r="M47" s="47">
        <f>SUM(M44:M46)</f>
        <v>0</v>
      </c>
      <c r="N47" s="48"/>
      <c r="O47" s="43"/>
      <c r="P47" s="49">
        <f>ROUND(R47*100/107,2)</f>
        <v>0</v>
      </c>
      <c r="Q47" s="49">
        <f>P47*0.07</f>
        <v>0</v>
      </c>
      <c r="R47" s="50">
        <f>SUM(R44:R46)</f>
        <v>0</v>
      </c>
    </row>
    <row r="48" spans="1:18" ht="19.2" thickTop="1">
      <c r="A48" s="8"/>
      <c r="B48" s="67" t="s">
        <v>29</v>
      </c>
      <c r="C48" s="68"/>
      <c r="D48" s="69"/>
      <c r="E48" s="70"/>
      <c r="F48" s="70"/>
      <c r="G48" s="71"/>
      <c r="H48" s="72"/>
      <c r="I48" s="73"/>
      <c r="J48" s="69"/>
      <c r="K48" s="74"/>
      <c r="L48" s="75"/>
      <c r="M48" s="76"/>
      <c r="N48" s="77"/>
      <c r="O48" s="78"/>
      <c r="P48" s="78"/>
      <c r="Q48" s="78"/>
      <c r="R48" s="79"/>
    </row>
    <row r="49" spans="1:18" ht="18.600000000000001">
      <c r="A49" s="8">
        <v>1</v>
      </c>
      <c r="B49" s="62"/>
      <c r="C49" s="63"/>
      <c r="D49" s="23">
        <v>0</v>
      </c>
      <c r="E49" s="24"/>
      <c r="F49" s="24"/>
      <c r="G49" s="25"/>
      <c r="H49" s="26">
        <v>0</v>
      </c>
      <c r="I49" s="27">
        <f>H49*0.07</f>
        <v>0</v>
      </c>
      <c r="J49" s="23">
        <v>0</v>
      </c>
      <c r="K49" s="28"/>
      <c r="L49" s="29"/>
      <c r="M49" s="30">
        <v>0</v>
      </c>
      <c r="N49" s="31"/>
      <c r="O49" s="25"/>
      <c r="P49" s="27">
        <f>ROUND(R49*100/107,2)</f>
        <v>0</v>
      </c>
      <c r="Q49" s="27">
        <f>P49*0.07</f>
        <v>0</v>
      </c>
      <c r="R49" s="32">
        <f>D49+J49-M49</f>
        <v>0</v>
      </c>
    </row>
    <row r="50" spans="1:18" ht="18.600000000000001">
      <c r="A50" s="8">
        <f>+A49+1</f>
        <v>2</v>
      </c>
      <c r="B50" s="64" t="s">
        <v>21</v>
      </c>
      <c r="C50" s="63"/>
      <c r="D50" s="23">
        <v>0</v>
      </c>
      <c r="E50" s="24"/>
      <c r="F50" s="24"/>
      <c r="G50" s="25"/>
      <c r="H50" s="27">
        <v>0</v>
      </c>
      <c r="I50" s="27">
        <f>H50*0.07</f>
        <v>0</v>
      </c>
      <c r="J50" s="36">
        <v>0</v>
      </c>
      <c r="K50" s="28"/>
      <c r="L50" s="29"/>
      <c r="M50" s="30">
        <v>0</v>
      </c>
      <c r="N50" s="31"/>
      <c r="O50" s="25"/>
      <c r="P50" s="27">
        <f>ROUND(R50*100/107,2)</f>
        <v>0</v>
      </c>
      <c r="Q50" s="27">
        <f>P50*0.07</f>
        <v>0</v>
      </c>
      <c r="R50" s="32">
        <f>D50+J50-M50</f>
        <v>0</v>
      </c>
    </row>
    <row r="51" spans="1:18" ht="18.600000000000001">
      <c r="A51" s="8">
        <f>+A50+1</f>
        <v>3</v>
      </c>
      <c r="B51" s="65"/>
      <c r="C51" s="63"/>
      <c r="D51" s="23">
        <v>0</v>
      </c>
      <c r="E51" s="24"/>
      <c r="F51" s="38"/>
      <c r="G51" s="39"/>
      <c r="H51" s="40">
        <f>J51*100/107</f>
        <v>0</v>
      </c>
      <c r="I51" s="40">
        <f>H51*0.07</f>
        <v>0</v>
      </c>
      <c r="J51" s="41">
        <v>0</v>
      </c>
      <c r="K51" s="28"/>
      <c r="L51" s="29"/>
      <c r="M51" s="30">
        <v>0</v>
      </c>
      <c r="N51" s="31"/>
      <c r="O51" s="25"/>
      <c r="P51" s="27">
        <f>ROUND(R51*100/107,2)</f>
        <v>0</v>
      </c>
      <c r="Q51" s="27">
        <f>P51*0.07</f>
        <v>0</v>
      </c>
      <c r="R51" s="32">
        <f>D51+J51-M51</f>
        <v>0</v>
      </c>
    </row>
    <row r="52" spans="1:18" ht="19.2" thickBot="1">
      <c r="A52" s="42"/>
      <c r="B52" s="191" t="s">
        <v>19</v>
      </c>
      <c r="C52" s="192"/>
      <c r="D52" s="43">
        <f>SUM(D49:D51)</f>
        <v>0</v>
      </c>
      <c r="E52" s="43"/>
      <c r="F52" s="43"/>
      <c r="G52" s="44"/>
      <c r="H52" s="44">
        <f>SUM(H49:H51)</f>
        <v>0</v>
      </c>
      <c r="I52" s="44">
        <f>SUM(I49:I51)</f>
        <v>0</v>
      </c>
      <c r="J52" s="44">
        <f>SUM(J49:J51)</f>
        <v>0</v>
      </c>
      <c r="K52" s="45"/>
      <c r="L52" s="46"/>
      <c r="M52" s="47">
        <f>SUM(M49:M51)</f>
        <v>0</v>
      </c>
      <c r="N52" s="48"/>
      <c r="O52" s="43"/>
      <c r="P52" s="49">
        <f>ROUND(R52*100/107,2)</f>
        <v>0</v>
      </c>
      <c r="Q52" s="49">
        <f>P52*0.07</f>
        <v>0</v>
      </c>
      <c r="R52" s="50">
        <f>SUM(R49:R51)</f>
        <v>0</v>
      </c>
    </row>
    <row r="53" spans="1:18" ht="19.2" thickTop="1">
      <c r="A53" s="8"/>
      <c r="B53" s="51" t="s">
        <v>30</v>
      </c>
      <c r="C53" s="52"/>
      <c r="D53" s="11"/>
      <c r="E53" s="12"/>
      <c r="F53" s="12"/>
      <c r="G53" s="53"/>
      <c r="H53" s="14"/>
      <c r="I53" s="15"/>
      <c r="J53" s="11"/>
      <c r="K53" s="16"/>
      <c r="L53" s="17"/>
      <c r="M53" s="18"/>
      <c r="N53" s="19"/>
      <c r="O53" s="13"/>
      <c r="P53" s="13"/>
      <c r="Q53" s="13"/>
      <c r="R53" s="20"/>
    </row>
    <row r="54" spans="1:18" ht="18.600000000000001">
      <c r="A54" s="8">
        <v>1</v>
      </c>
      <c r="B54" s="62"/>
      <c r="C54" s="63"/>
      <c r="D54" s="23">
        <v>0</v>
      </c>
      <c r="E54" s="24"/>
      <c r="F54" s="24"/>
      <c r="G54" s="25"/>
      <c r="H54" s="26">
        <v>0</v>
      </c>
      <c r="I54" s="27">
        <f>H54*0.07</f>
        <v>0</v>
      </c>
      <c r="J54" s="23">
        <v>0</v>
      </c>
      <c r="K54" s="28"/>
      <c r="L54" s="29"/>
      <c r="M54" s="30">
        <v>0</v>
      </c>
      <c r="N54" s="31"/>
      <c r="O54" s="25"/>
      <c r="P54" s="27">
        <f>ROUND(R54*100/107,2)</f>
        <v>0</v>
      </c>
      <c r="Q54" s="27">
        <f>P54*0.07</f>
        <v>0</v>
      </c>
      <c r="R54" s="32">
        <f>D54+J54-M54</f>
        <v>0</v>
      </c>
    </row>
    <row r="55" spans="1:18" ht="18.600000000000001">
      <c r="A55" s="8">
        <f>+A54+1</f>
        <v>2</v>
      </c>
      <c r="B55" s="64" t="s">
        <v>21</v>
      </c>
      <c r="C55" s="63"/>
      <c r="D55" s="23">
        <v>0</v>
      </c>
      <c r="E55" s="24"/>
      <c r="F55" s="24"/>
      <c r="G55" s="25"/>
      <c r="H55" s="27">
        <v>0</v>
      </c>
      <c r="I55" s="27">
        <f>H55*0.07</f>
        <v>0</v>
      </c>
      <c r="J55" s="36">
        <v>0</v>
      </c>
      <c r="K55" s="28"/>
      <c r="L55" s="29"/>
      <c r="M55" s="30">
        <v>0</v>
      </c>
      <c r="N55" s="31"/>
      <c r="O55" s="25"/>
      <c r="P55" s="27">
        <f>ROUND(R55*100/107,2)</f>
        <v>0</v>
      </c>
      <c r="Q55" s="27">
        <f>P55*0.07</f>
        <v>0</v>
      </c>
      <c r="R55" s="32">
        <f>D55+J55-M55</f>
        <v>0</v>
      </c>
    </row>
    <row r="56" spans="1:18" ht="18.600000000000001">
      <c r="A56" s="8">
        <f>+A55+1</f>
        <v>3</v>
      </c>
      <c r="B56" s="65"/>
      <c r="C56" s="63"/>
      <c r="D56" s="23">
        <v>0</v>
      </c>
      <c r="E56" s="24"/>
      <c r="F56" s="38"/>
      <c r="G56" s="39"/>
      <c r="H56" s="40">
        <f>J56*100/107</f>
        <v>0</v>
      </c>
      <c r="I56" s="40">
        <f>H56*0.07</f>
        <v>0</v>
      </c>
      <c r="J56" s="41">
        <v>0</v>
      </c>
      <c r="K56" s="28"/>
      <c r="L56" s="29"/>
      <c r="M56" s="30">
        <v>0</v>
      </c>
      <c r="N56" s="31"/>
      <c r="O56" s="25"/>
      <c r="P56" s="27">
        <f>ROUND(R56*100/107,2)</f>
        <v>0</v>
      </c>
      <c r="Q56" s="27">
        <f>P56*0.07</f>
        <v>0</v>
      </c>
      <c r="R56" s="32">
        <f>D56+J56-M56</f>
        <v>0</v>
      </c>
    </row>
    <row r="57" spans="1:18" ht="19.2" thickBot="1">
      <c r="A57" s="42"/>
      <c r="B57" s="191" t="s">
        <v>19</v>
      </c>
      <c r="C57" s="192"/>
      <c r="D57" s="43">
        <f>SUM(D54:D56)</f>
        <v>0</v>
      </c>
      <c r="E57" s="43"/>
      <c r="F57" s="43"/>
      <c r="G57" s="44"/>
      <c r="H57" s="44">
        <f>SUM(H54:H56)</f>
        <v>0</v>
      </c>
      <c r="I57" s="44">
        <f>SUM(I54:I56)</f>
        <v>0</v>
      </c>
      <c r="J57" s="44">
        <f>SUM(J54:J56)</f>
        <v>0</v>
      </c>
      <c r="K57" s="45"/>
      <c r="L57" s="46"/>
      <c r="M57" s="47">
        <f>SUM(M54:M56)</f>
        <v>0</v>
      </c>
      <c r="N57" s="48"/>
      <c r="O57" s="43"/>
      <c r="P57" s="49">
        <f>ROUND(R57*100/107,2)</f>
        <v>0</v>
      </c>
      <c r="Q57" s="49">
        <f>P57*0.07</f>
        <v>0</v>
      </c>
      <c r="R57" s="50">
        <f>SUM(R54:R56)</f>
        <v>0</v>
      </c>
    </row>
    <row r="58" spans="1:18" ht="19.2" thickTop="1">
      <c r="A58" s="8"/>
      <c r="B58" s="95" t="s">
        <v>31</v>
      </c>
      <c r="C58" s="68"/>
      <c r="D58" s="69"/>
      <c r="E58" s="70"/>
      <c r="F58" s="70"/>
      <c r="G58" s="78"/>
      <c r="H58" s="78"/>
      <c r="I58" s="78"/>
      <c r="J58" s="69"/>
      <c r="K58" s="74"/>
      <c r="L58" s="75"/>
      <c r="M58" s="76"/>
      <c r="N58" s="77"/>
      <c r="O58" s="78"/>
      <c r="P58" s="78"/>
      <c r="Q58" s="78"/>
      <c r="R58" s="96"/>
    </row>
    <row r="59" spans="1:18" ht="18.600000000000001">
      <c r="A59" s="42">
        <v>1</v>
      </c>
      <c r="B59" s="97" t="s">
        <v>32</v>
      </c>
      <c r="C59" s="98" t="s">
        <v>33</v>
      </c>
      <c r="D59" s="98">
        <v>0</v>
      </c>
      <c r="E59" s="24" t="s">
        <v>34</v>
      </c>
      <c r="F59" s="24"/>
      <c r="G59" s="25"/>
      <c r="H59" s="27">
        <v>322273.98</v>
      </c>
      <c r="I59" s="81">
        <v>0</v>
      </c>
      <c r="J59" s="23">
        <f>SUM(H59:I59)</f>
        <v>322273.98</v>
      </c>
      <c r="K59" s="28"/>
      <c r="L59" s="29"/>
      <c r="M59" s="55">
        <v>0</v>
      </c>
      <c r="N59" s="24" t="s">
        <v>34</v>
      </c>
      <c r="O59" s="25"/>
      <c r="P59" s="27">
        <f>+D59+H59-M59</f>
        <v>322273.98</v>
      </c>
      <c r="Q59" s="27">
        <v>0</v>
      </c>
      <c r="R59" s="99">
        <f>D59+J59-M59</f>
        <v>322273.98</v>
      </c>
    </row>
    <row r="60" spans="1:18" ht="18.600000000000001">
      <c r="A60" s="42"/>
      <c r="B60" s="100" t="s">
        <v>35</v>
      </c>
      <c r="C60" s="98" t="s">
        <v>36</v>
      </c>
      <c r="D60" s="98"/>
      <c r="E60" s="24"/>
      <c r="F60" s="24"/>
      <c r="G60" s="25"/>
      <c r="H60" s="25"/>
      <c r="I60" s="25"/>
      <c r="J60" s="23"/>
      <c r="K60" s="28"/>
      <c r="L60" s="29"/>
      <c r="M60" s="55"/>
      <c r="N60" s="31"/>
      <c r="O60" s="25"/>
      <c r="P60" s="27"/>
      <c r="Q60" s="27"/>
      <c r="R60" s="99"/>
    </row>
    <row r="61" spans="1:18" ht="18.600000000000001">
      <c r="A61" s="42"/>
      <c r="B61" s="100" t="s">
        <v>37</v>
      </c>
      <c r="C61" s="101"/>
      <c r="D61" s="23"/>
      <c r="E61" s="24"/>
      <c r="F61" s="24"/>
      <c r="G61" s="25"/>
      <c r="H61" s="25"/>
      <c r="I61" s="25"/>
      <c r="J61" s="23"/>
      <c r="K61" s="28"/>
      <c r="L61" s="29"/>
      <c r="M61" s="55"/>
      <c r="N61" s="31"/>
      <c r="O61" s="25"/>
      <c r="P61" s="27"/>
      <c r="Q61" s="27"/>
      <c r="R61" s="99"/>
    </row>
    <row r="62" spans="1:18" ht="18.600000000000001">
      <c r="A62" s="42"/>
      <c r="B62" s="100" t="s">
        <v>38</v>
      </c>
      <c r="C62" s="101"/>
      <c r="D62" s="23"/>
      <c r="E62" s="24"/>
      <c r="F62" s="24"/>
      <c r="G62" s="25"/>
      <c r="H62" s="25"/>
      <c r="I62" s="25"/>
      <c r="J62" s="23"/>
      <c r="K62" s="28"/>
      <c r="L62" s="29"/>
      <c r="M62" s="55"/>
      <c r="N62" s="31"/>
      <c r="O62" s="25"/>
      <c r="P62" s="27"/>
      <c r="Q62" s="27"/>
      <c r="R62" s="99"/>
    </row>
    <row r="63" spans="1:18" ht="18.600000000000001">
      <c r="A63" s="8">
        <f>+A59+1</f>
        <v>2</v>
      </c>
      <c r="B63" s="102" t="s">
        <v>32</v>
      </c>
      <c r="C63" s="98" t="s">
        <v>39</v>
      </c>
      <c r="D63" s="98">
        <v>0</v>
      </c>
      <c r="E63" s="62" t="s">
        <v>40</v>
      </c>
      <c r="F63" s="62">
        <v>16</v>
      </c>
      <c r="G63" s="25"/>
      <c r="H63" s="27">
        <v>5208581.93</v>
      </c>
      <c r="I63" s="26">
        <v>0</v>
      </c>
      <c r="J63" s="23">
        <f>SUM(H63:I63)</f>
        <v>5208581.93</v>
      </c>
      <c r="K63" s="28"/>
      <c r="L63" s="29"/>
      <c r="M63" s="55">
        <v>0</v>
      </c>
      <c r="N63" s="62" t="s">
        <v>40</v>
      </c>
      <c r="O63" s="25">
        <v>16</v>
      </c>
      <c r="P63" s="27">
        <f>+D63+H63-M63</f>
        <v>5208581.93</v>
      </c>
      <c r="Q63" s="27">
        <v>0</v>
      </c>
      <c r="R63" s="99">
        <f>D63+J63-M63</f>
        <v>5208581.93</v>
      </c>
    </row>
    <row r="64" spans="1:18" ht="18.600000000000001">
      <c r="A64" s="8"/>
      <c r="B64" s="100" t="s">
        <v>41</v>
      </c>
      <c r="C64" s="101"/>
      <c r="D64" s="23"/>
      <c r="E64" s="62" t="s">
        <v>42</v>
      </c>
      <c r="F64" s="62"/>
      <c r="G64" s="25"/>
      <c r="H64" s="25"/>
      <c r="I64" s="25"/>
      <c r="J64" s="23"/>
      <c r="K64" s="28"/>
      <c r="L64" s="29"/>
      <c r="M64" s="55"/>
      <c r="N64" s="62" t="s">
        <v>42</v>
      </c>
      <c r="O64" s="25"/>
      <c r="P64" s="27"/>
      <c r="Q64" s="25"/>
      <c r="R64" s="92"/>
    </row>
    <row r="65" spans="1:18" ht="18.600000000000001">
      <c r="A65" s="8"/>
      <c r="B65" s="103" t="s">
        <v>43</v>
      </c>
      <c r="C65" s="104"/>
      <c r="D65" s="23"/>
      <c r="E65" s="24"/>
      <c r="F65" s="24"/>
      <c r="G65" s="25"/>
      <c r="H65" s="25"/>
      <c r="I65" s="25"/>
      <c r="J65" s="23"/>
      <c r="K65" s="28"/>
      <c r="L65" s="29"/>
      <c r="M65" s="55"/>
      <c r="N65" s="31"/>
      <c r="O65" s="25"/>
      <c r="P65" s="27"/>
      <c r="Q65" s="25"/>
      <c r="R65" s="92"/>
    </row>
    <row r="66" spans="1:18" ht="18.600000000000001">
      <c r="A66" s="8"/>
      <c r="B66" s="103" t="s">
        <v>44</v>
      </c>
      <c r="C66" s="104"/>
      <c r="D66" s="23"/>
      <c r="E66" s="24"/>
      <c r="F66" s="24"/>
      <c r="G66" s="25"/>
      <c r="H66" s="25"/>
      <c r="I66" s="25"/>
      <c r="J66" s="23"/>
      <c r="K66" s="28"/>
      <c r="L66" s="29"/>
      <c r="M66" s="55"/>
      <c r="N66" s="31"/>
      <c r="O66" s="25"/>
      <c r="P66" s="27"/>
      <c r="Q66" s="25"/>
      <c r="R66" s="92"/>
    </row>
    <row r="67" spans="1:18" ht="18.600000000000001">
      <c r="A67" s="8"/>
      <c r="B67" s="199" t="s">
        <v>19</v>
      </c>
      <c r="C67" s="200"/>
      <c r="D67" s="23"/>
      <c r="E67" s="24"/>
      <c r="F67" s="24"/>
      <c r="G67" s="25"/>
      <c r="H67" s="25"/>
      <c r="I67" s="25"/>
      <c r="J67" s="23"/>
      <c r="K67" s="28"/>
      <c r="L67" s="29"/>
      <c r="M67" s="55"/>
      <c r="N67" s="31"/>
      <c r="O67" s="25"/>
      <c r="P67" s="27"/>
      <c r="Q67" s="25"/>
      <c r="R67" s="92"/>
    </row>
    <row r="68" spans="1:18" ht="21.6" thickBot="1">
      <c r="A68" s="105"/>
      <c r="B68" s="201"/>
      <c r="C68" s="202"/>
      <c r="D68" s="106">
        <f>SUM(D59:D67)</f>
        <v>0</v>
      </c>
      <c r="E68" s="106"/>
      <c r="F68" s="106"/>
      <c r="G68" s="106"/>
      <c r="H68" s="106">
        <f t="shared" ref="H68:M68" si="0">SUM(H59:H67)</f>
        <v>5530855.9100000001</v>
      </c>
      <c r="I68" s="106">
        <f t="shared" si="0"/>
        <v>0</v>
      </c>
      <c r="J68" s="106">
        <f t="shared" si="0"/>
        <v>5530855.9100000001</v>
      </c>
      <c r="K68" s="107"/>
      <c r="L68" s="107"/>
      <c r="M68" s="107">
        <f t="shared" si="0"/>
        <v>0</v>
      </c>
      <c r="N68" s="108"/>
      <c r="O68" s="106"/>
      <c r="P68" s="106">
        <f>SUM(P59:P67)</f>
        <v>5530855.9100000001</v>
      </c>
      <c r="Q68" s="106">
        <f>SUM(Q59:Q67)</f>
        <v>0</v>
      </c>
      <c r="R68" s="106">
        <f>SUM(R59:R67)</f>
        <v>5530855.9100000001</v>
      </c>
    </row>
    <row r="69" spans="1:18" ht="19.2" thickTop="1">
      <c r="A69" s="8"/>
      <c r="B69" s="51" t="s">
        <v>45</v>
      </c>
      <c r="C69" s="52"/>
      <c r="D69" s="11"/>
      <c r="E69" s="12"/>
      <c r="F69" s="12"/>
      <c r="G69" s="53"/>
      <c r="H69" s="14"/>
      <c r="I69" s="15"/>
      <c r="J69" s="11"/>
      <c r="K69" s="16"/>
      <c r="L69" s="17"/>
      <c r="M69" s="18"/>
      <c r="N69" s="19"/>
      <c r="O69" s="13"/>
      <c r="P69" s="13"/>
      <c r="Q69" s="13"/>
      <c r="R69" s="20"/>
    </row>
    <row r="70" spans="1:18" ht="18.600000000000001">
      <c r="A70" s="8">
        <v>1</v>
      </c>
      <c r="B70" s="62"/>
      <c r="C70" s="63"/>
      <c r="D70" s="23">
        <v>0</v>
      </c>
      <c r="E70" s="24"/>
      <c r="F70" s="24"/>
      <c r="G70" s="25"/>
      <c r="H70" s="26">
        <v>0</v>
      </c>
      <c r="I70" s="27">
        <f>H70*0.07</f>
        <v>0</v>
      </c>
      <c r="J70" s="23">
        <v>0</v>
      </c>
      <c r="K70" s="28"/>
      <c r="L70" s="29"/>
      <c r="M70" s="30">
        <v>0</v>
      </c>
      <c r="N70" s="31"/>
      <c r="O70" s="25"/>
      <c r="P70" s="27">
        <f>ROUND(R70*100/107,2)</f>
        <v>0</v>
      </c>
      <c r="Q70" s="27">
        <f>P70*0.07</f>
        <v>0</v>
      </c>
      <c r="R70" s="32">
        <f>D70+J70-M70</f>
        <v>0</v>
      </c>
    </row>
    <row r="71" spans="1:18" ht="18.600000000000001">
      <c r="A71" s="8">
        <f>+A70+1</f>
        <v>2</v>
      </c>
      <c r="B71" s="64" t="s">
        <v>21</v>
      </c>
      <c r="C71" s="63"/>
      <c r="D71" s="23">
        <v>0</v>
      </c>
      <c r="E71" s="24"/>
      <c r="F71" s="24"/>
      <c r="G71" s="25"/>
      <c r="H71" s="34">
        <v>0</v>
      </c>
      <c r="I71" s="35">
        <f>H71*0.07</f>
        <v>0</v>
      </c>
      <c r="J71" s="36">
        <v>0</v>
      </c>
      <c r="K71" s="28"/>
      <c r="L71" s="29"/>
      <c r="M71" s="30">
        <v>0</v>
      </c>
      <c r="N71" s="31"/>
      <c r="O71" s="25"/>
      <c r="P71" s="27">
        <f>ROUND(R71*100/107,2)</f>
        <v>0</v>
      </c>
      <c r="Q71" s="27">
        <f>P71*0.07</f>
        <v>0</v>
      </c>
      <c r="R71" s="32">
        <f>D71+J71-M71</f>
        <v>0</v>
      </c>
    </row>
    <row r="72" spans="1:18" ht="18.600000000000001">
      <c r="A72" s="8">
        <f>+A71+1</f>
        <v>3</v>
      </c>
      <c r="B72" s="65"/>
      <c r="C72" s="63"/>
      <c r="D72" s="23">
        <v>0</v>
      </c>
      <c r="E72" s="24"/>
      <c r="F72" s="38"/>
      <c r="G72" s="39"/>
      <c r="H72" s="40">
        <f>J72*100/107</f>
        <v>0</v>
      </c>
      <c r="I72" s="40">
        <f>H72*0.07</f>
        <v>0</v>
      </c>
      <c r="J72" s="41">
        <v>0</v>
      </c>
      <c r="K72" s="28"/>
      <c r="L72" s="29"/>
      <c r="M72" s="30">
        <v>0</v>
      </c>
      <c r="N72" s="31"/>
      <c r="O72" s="25"/>
      <c r="P72" s="27">
        <f>ROUND(R72*100/107,2)</f>
        <v>0</v>
      </c>
      <c r="Q72" s="27">
        <f>P72*0.07</f>
        <v>0</v>
      </c>
      <c r="R72" s="32">
        <f>D72+J72-M72</f>
        <v>0</v>
      </c>
    </row>
    <row r="73" spans="1:18" ht="19.2" thickBot="1">
      <c r="A73" s="42"/>
      <c r="B73" s="191" t="s">
        <v>19</v>
      </c>
      <c r="C73" s="192"/>
      <c r="D73" s="43">
        <f>SUM(D70:D72)</f>
        <v>0</v>
      </c>
      <c r="E73" s="43"/>
      <c r="F73" s="43"/>
      <c r="G73" s="44"/>
      <c r="H73" s="44">
        <f>SUM(H70:H72)</f>
        <v>0</v>
      </c>
      <c r="I73" s="44">
        <f>SUM(I70:I72)</f>
        <v>0</v>
      </c>
      <c r="J73" s="44">
        <f>SUM(J70:J72)</f>
        <v>0</v>
      </c>
      <c r="K73" s="45"/>
      <c r="L73" s="46"/>
      <c r="M73" s="47">
        <f>SUM(M70:M72)</f>
        <v>0</v>
      </c>
      <c r="N73" s="48"/>
      <c r="O73" s="43"/>
      <c r="P73" s="49">
        <f>ROUND(R73*100/107,2)</f>
        <v>0</v>
      </c>
      <c r="Q73" s="49">
        <f>P73*0.07</f>
        <v>0</v>
      </c>
      <c r="R73" s="50">
        <f>SUM(R70:R72)</f>
        <v>0</v>
      </c>
    </row>
    <row r="74" spans="1:18" ht="19.2" thickTop="1">
      <c r="A74" s="42"/>
      <c r="B74" s="109" t="s">
        <v>46</v>
      </c>
      <c r="C74" s="110"/>
      <c r="D74" s="69"/>
      <c r="E74" s="70"/>
      <c r="F74" s="70"/>
      <c r="G74" s="78"/>
      <c r="H74" s="85">
        <f>J74*100/107</f>
        <v>0</v>
      </c>
      <c r="I74" s="85">
        <f>H74*0.07</f>
        <v>0</v>
      </c>
      <c r="J74" s="111"/>
      <c r="K74" s="74"/>
      <c r="L74" s="75"/>
      <c r="M74" s="76"/>
      <c r="N74" s="77"/>
      <c r="O74" s="78"/>
      <c r="P74" s="78"/>
      <c r="Q74" s="78"/>
      <c r="R74" s="79"/>
    </row>
    <row r="75" spans="1:18" ht="18.600000000000001">
      <c r="A75" s="42">
        <v>1</v>
      </c>
      <c r="B75" s="97"/>
      <c r="C75" s="112"/>
      <c r="D75" s="23">
        <v>0</v>
      </c>
      <c r="E75" s="24"/>
      <c r="F75" s="24"/>
      <c r="G75" s="25"/>
      <c r="H75" s="26">
        <v>0</v>
      </c>
      <c r="I75" s="27">
        <f>H75*0.07</f>
        <v>0</v>
      </c>
      <c r="J75" s="23">
        <v>0</v>
      </c>
      <c r="K75" s="28"/>
      <c r="L75" s="29"/>
      <c r="M75" s="55">
        <v>0</v>
      </c>
      <c r="N75" s="54"/>
      <c r="O75" s="25"/>
      <c r="P75" s="27">
        <f>ROUND(R75*100/107,2)</f>
        <v>0</v>
      </c>
      <c r="Q75" s="27">
        <f>P75*0.07</f>
        <v>0</v>
      </c>
      <c r="R75" s="32">
        <f>D75+J75-M75</f>
        <v>0</v>
      </c>
    </row>
    <row r="76" spans="1:18" ht="18.600000000000001">
      <c r="A76" s="42">
        <f>+A75+1</f>
        <v>2</v>
      </c>
      <c r="B76" s="113" t="s">
        <v>21</v>
      </c>
      <c r="C76" s="112"/>
      <c r="D76" s="23">
        <v>0</v>
      </c>
      <c r="E76" s="24"/>
      <c r="F76" s="24"/>
      <c r="G76" s="25"/>
      <c r="H76" s="26">
        <v>0</v>
      </c>
      <c r="I76" s="27">
        <f>H76*0.07</f>
        <v>0</v>
      </c>
      <c r="J76" s="23">
        <v>0</v>
      </c>
      <c r="K76" s="28"/>
      <c r="L76" s="29"/>
      <c r="M76" s="55">
        <v>0</v>
      </c>
      <c r="N76" s="31"/>
      <c r="O76" s="25"/>
      <c r="P76" s="27">
        <v>0</v>
      </c>
      <c r="Q76" s="27">
        <f>P76*0.07</f>
        <v>0</v>
      </c>
      <c r="R76" s="32">
        <f>D76+J76-M76</f>
        <v>0</v>
      </c>
    </row>
    <row r="77" spans="1:18" ht="18.600000000000001">
      <c r="A77" s="42">
        <f>+A76+1</f>
        <v>3</v>
      </c>
      <c r="B77" s="62"/>
      <c r="C77" s="112"/>
      <c r="D77" s="23">
        <v>0</v>
      </c>
      <c r="E77" s="24"/>
      <c r="F77" s="24"/>
      <c r="G77" s="25"/>
      <c r="H77" s="26">
        <v>0</v>
      </c>
      <c r="I77" s="27">
        <f>H77*0.07</f>
        <v>0</v>
      </c>
      <c r="J77" s="23">
        <v>0</v>
      </c>
      <c r="K77" s="28"/>
      <c r="L77" s="29"/>
      <c r="M77" s="55">
        <v>0</v>
      </c>
      <c r="N77" s="31"/>
      <c r="O77" s="25"/>
      <c r="P77" s="27">
        <f>ROUND(R77*100/107,2)</f>
        <v>0</v>
      </c>
      <c r="Q77" s="27">
        <f>P77*0.07</f>
        <v>0</v>
      </c>
      <c r="R77" s="32">
        <f>D77+J77-M77</f>
        <v>0</v>
      </c>
    </row>
    <row r="78" spans="1:18" ht="19.2" thickBot="1">
      <c r="A78" s="42"/>
      <c r="B78" s="191" t="s">
        <v>19</v>
      </c>
      <c r="C78" s="192"/>
      <c r="D78" s="106">
        <f>SUM(D75:D77)</f>
        <v>0</v>
      </c>
      <c r="E78" s="106"/>
      <c r="F78" s="106"/>
      <c r="G78" s="106"/>
      <c r="H78" s="106">
        <f>SUM(H75:H77)</f>
        <v>0</v>
      </c>
      <c r="I78" s="106">
        <f>SUM(I75:I77)</f>
        <v>0</v>
      </c>
      <c r="J78" s="106">
        <f>SUM(J75:J77)</f>
        <v>0</v>
      </c>
      <c r="K78" s="114"/>
      <c r="L78" s="114"/>
      <c r="M78" s="107">
        <f>SUM(M75:M77)</f>
        <v>0</v>
      </c>
      <c r="N78" s="108"/>
      <c r="O78" s="106"/>
      <c r="P78" s="106">
        <f>SUM(P75:P77)</f>
        <v>0</v>
      </c>
      <c r="Q78" s="106">
        <f>SUM(Q75:Q77)</f>
        <v>0</v>
      </c>
      <c r="R78" s="106">
        <f>SUM(R75:R77)</f>
        <v>0</v>
      </c>
    </row>
    <row r="79" spans="1:18" ht="19.2" thickTop="1">
      <c r="A79" s="42"/>
      <c r="B79" s="115" t="s">
        <v>47</v>
      </c>
      <c r="C79" s="94"/>
      <c r="D79" s="111"/>
      <c r="E79" s="70"/>
      <c r="F79" s="70"/>
      <c r="G79" s="78"/>
      <c r="H79" s="116"/>
      <c r="I79" s="78"/>
      <c r="J79" s="69"/>
      <c r="K79" s="16"/>
      <c r="L79" s="17"/>
      <c r="M79" s="18"/>
      <c r="N79" s="77"/>
      <c r="O79" s="78"/>
      <c r="P79" s="78"/>
      <c r="Q79" s="78"/>
      <c r="R79" s="96"/>
    </row>
    <row r="80" spans="1:18" ht="18.600000000000001">
      <c r="A80" s="42">
        <v>1</v>
      </c>
      <c r="B80" s="195"/>
      <c r="C80" s="196"/>
      <c r="D80" s="23">
        <v>0</v>
      </c>
      <c r="E80" s="77"/>
      <c r="F80" s="77"/>
      <c r="G80" s="78"/>
      <c r="H80" s="34">
        <v>0</v>
      </c>
      <c r="I80" s="27">
        <f>H80*0.07</f>
        <v>0</v>
      </c>
      <c r="J80" s="23">
        <f>SUM(H80:I80)</f>
        <v>0</v>
      </c>
      <c r="K80" s="56"/>
      <c r="L80" s="56"/>
      <c r="M80" s="55">
        <v>0</v>
      </c>
      <c r="N80" s="77"/>
      <c r="O80" s="78"/>
      <c r="P80" s="27">
        <f>R80*100/107</f>
        <v>0</v>
      </c>
      <c r="Q80" s="27">
        <f>P80*0.07</f>
        <v>0</v>
      </c>
      <c r="R80" s="32">
        <f>D80+J80-M80</f>
        <v>0</v>
      </c>
    </row>
    <row r="81" spans="1:18" ht="18.600000000000001">
      <c r="A81" s="8">
        <v>2</v>
      </c>
      <c r="B81" s="197" t="s">
        <v>21</v>
      </c>
      <c r="C81" s="198"/>
      <c r="D81" s="23">
        <v>0</v>
      </c>
      <c r="E81" s="31"/>
      <c r="F81" s="31"/>
      <c r="G81" s="25"/>
      <c r="H81" s="34">
        <v>0</v>
      </c>
      <c r="I81" s="27">
        <f>H81*0.07</f>
        <v>0</v>
      </c>
      <c r="J81" s="23">
        <f>SUM(H81:I81)</f>
        <v>0</v>
      </c>
      <c r="K81" s="56"/>
      <c r="L81" s="117"/>
      <c r="M81" s="55">
        <v>0</v>
      </c>
      <c r="N81" s="31"/>
      <c r="O81" s="25"/>
      <c r="P81" s="27">
        <f>ROUND(R81*100/107,2)</f>
        <v>0</v>
      </c>
      <c r="Q81" s="27">
        <f>P81*0.07</f>
        <v>0</v>
      </c>
      <c r="R81" s="32">
        <f>D81+J81-M81</f>
        <v>0</v>
      </c>
    </row>
    <row r="82" spans="1:18" ht="18.600000000000001">
      <c r="A82" s="42">
        <v>3</v>
      </c>
      <c r="B82" s="195"/>
      <c r="C82" s="196"/>
      <c r="D82" s="118">
        <v>0</v>
      </c>
      <c r="E82" s="54"/>
      <c r="F82" s="54"/>
      <c r="G82" s="25"/>
      <c r="H82" s="81">
        <v>0</v>
      </c>
      <c r="I82" s="27">
        <f>H82*0.07</f>
        <v>0</v>
      </c>
      <c r="J82" s="23">
        <f>SUM(H82:I82)</f>
        <v>0</v>
      </c>
      <c r="K82" s="56"/>
      <c r="L82" s="91"/>
      <c r="M82" s="55">
        <v>0</v>
      </c>
      <c r="N82" s="54"/>
      <c r="O82" s="25"/>
      <c r="P82" s="27">
        <f>R82*100/107</f>
        <v>0</v>
      </c>
      <c r="Q82" s="27">
        <f>P82*0.07</f>
        <v>0</v>
      </c>
      <c r="R82" s="32">
        <f>D82+J82-M82</f>
        <v>0</v>
      </c>
    </row>
    <row r="83" spans="1:18" ht="19.2" thickBot="1">
      <c r="A83" s="42"/>
      <c r="B83" s="191" t="s">
        <v>19</v>
      </c>
      <c r="C83" s="192"/>
      <c r="D83" s="43">
        <f>SUM(D80:D82)</f>
        <v>0</v>
      </c>
      <c r="E83" s="43"/>
      <c r="F83" s="43"/>
      <c r="G83" s="43"/>
      <c r="H83" s="43">
        <f>SUM(H80:H82)</f>
        <v>0</v>
      </c>
      <c r="I83" s="43">
        <f>SUM(I80:I82)</f>
        <v>0</v>
      </c>
      <c r="J83" s="43">
        <f>SUM(J80:J82)</f>
        <v>0</v>
      </c>
      <c r="K83" s="119"/>
      <c r="L83" s="119"/>
      <c r="M83" s="47">
        <f>SUM(M80:M82)</f>
        <v>0</v>
      </c>
      <c r="N83" s="48"/>
      <c r="O83" s="43"/>
      <c r="P83" s="43">
        <f>SUM(P80:P82)</f>
        <v>0</v>
      </c>
      <c r="Q83" s="43">
        <f>SUM(Q80:Q82)</f>
        <v>0</v>
      </c>
      <c r="R83" s="43">
        <f>SUM(R80:R82)</f>
        <v>0</v>
      </c>
    </row>
    <row r="84" spans="1:18" ht="19.2" thickTop="1">
      <c r="A84" s="8"/>
      <c r="B84" s="51" t="s">
        <v>48</v>
      </c>
      <c r="C84" s="52"/>
      <c r="D84" s="11"/>
      <c r="E84" s="12"/>
      <c r="F84" s="12"/>
      <c r="G84" s="53"/>
      <c r="H84" s="14"/>
      <c r="I84" s="15"/>
      <c r="J84" s="11"/>
      <c r="K84" s="16"/>
      <c r="L84" s="17"/>
      <c r="M84" s="18"/>
      <c r="N84" s="19"/>
      <c r="O84" s="13"/>
      <c r="P84" s="13"/>
      <c r="Q84" s="13"/>
      <c r="R84" s="20"/>
    </row>
    <row r="85" spans="1:18" ht="18.600000000000001">
      <c r="A85" s="8">
        <v>1</v>
      </c>
      <c r="B85" s="62"/>
      <c r="C85" s="63"/>
      <c r="D85" s="23">
        <v>0</v>
      </c>
      <c r="E85" s="24"/>
      <c r="F85" s="24"/>
      <c r="G85" s="25"/>
      <c r="H85" s="26">
        <v>0</v>
      </c>
      <c r="I85" s="27">
        <f>H85*0.07</f>
        <v>0</v>
      </c>
      <c r="J85" s="23">
        <v>0</v>
      </c>
      <c r="K85" s="28"/>
      <c r="L85" s="29"/>
      <c r="M85" s="30">
        <v>0</v>
      </c>
      <c r="N85" s="31"/>
      <c r="O85" s="25"/>
      <c r="P85" s="27">
        <f>ROUND(R85*100/107,2)</f>
        <v>0</v>
      </c>
      <c r="Q85" s="27">
        <f>P85*0.07</f>
        <v>0</v>
      </c>
      <c r="R85" s="32">
        <f>D85+J85-M85</f>
        <v>0</v>
      </c>
    </row>
    <row r="86" spans="1:18" ht="18.600000000000001">
      <c r="A86" s="8">
        <f>+A85+1</f>
        <v>2</v>
      </c>
      <c r="B86" s="64" t="s">
        <v>21</v>
      </c>
      <c r="C86" s="63"/>
      <c r="D86" s="23">
        <v>0</v>
      </c>
      <c r="E86" s="24"/>
      <c r="F86" s="24"/>
      <c r="G86" s="25"/>
      <c r="H86" s="34">
        <v>0</v>
      </c>
      <c r="I86" s="35">
        <f>H86*0.07</f>
        <v>0</v>
      </c>
      <c r="J86" s="36">
        <v>0</v>
      </c>
      <c r="K86" s="28"/>
      <c r="L86" s="29"/>
      <c r="M86" s="30">
        <v>0</v>
      </c>
      <c r="N86" s="31"/>
      <c r="O86" s="25"/>
      <c r="P86" s="27">
        <f>ROUND(R86*100/107,2)</f>
        <v>0</v>
      </c>
      <c r="Q86" s="27">
        <f>P86*0.07</f>
        <v>0</v>
      </c>
      <c r="R86" s="32">
        <f>D86+J86-M86</f>
        <v>0</v>
      </c>
    </row>
    <row r="87" spans="1:18" ht="18.600000000000001">
      <c r="A87" s="8">
        <f>+A86+1</f>
        <v>3</v>
      </c>
      <c r="B87" s="65"/>
      <c r="C87" s="63"/>
      <c r="D87" s="23">
        <v>0</v>
      </c>
      <c r="E87" s="24"/>
      <c r="F87" s="38"/>
      <c r="G87" s="39"/>
      <c r="H87" s="40">
        <f>J87*100/107</f>
        <v>0</v>
      </c>
      <c r="I87" s="40">
        <f>H87*0.07</f>
        <v>0</v>
      </c>
      <c r="J87" s="41">
        <v>0</v>
      </c>
      <c r="K87" s="28"/>
      <c r="L87" s="29"/>
      <c r="M87" s="30">
        <v>0</v>
      </c>
      <c r="N87" s="31"/>
      <c r="O87" s="25"/>
      <c r="P87" s="27">
        <f>ROUND(R87*100/107,2)</f>
        <v>0</v>
      </c>
      <c r="Q87" s="27">
        <f>P87*0.07</f>
        <v>0</v>
      </c>
      <c r="R87" s="32">
        <f>D87+J87-M87</f>
        <v>0</v>
      </c>
    </row>
    <row r="88" spans="1:18" ht="19.2" thickBot="1">
      <c r="A88" s="42"/>
      <c r="B88" s="191" t="s">
        <v>19</v>
      </c>
      <c r="C88" s="192"/>
      <c r="D88" s="43">
        <f>SUM(D85:D87)</f>
        <v>0</v>
      </c>
      <c r="E88" s="43"/>
      <c r="F88" s="43"/>
      <c r="G88" s="44"/>
      <c r="H88" s="44">
        <f>SUM(H85:H87)</f>
        <v>0</v>
      </c>
      <c r="I88" s="44">
        <f>SUM(I85:I87)</f>
        <v>0</v>
      </c>
      <c r="J88" s="44">
        <f>SUM(J85:J87)</f>
        <v>0</v>
      </c>
      <c r="K88" s="45"/>
      <c r="L88" s="46"/>
      <c r="M88" s="47">
        <f>SUM(M85:M87)</f>
        <v>0</v>
      </c>
      <c r="N88" s="48"/>
      <c r="O88" s="43"/>
      <c r="P88" s="49">
        <f>ROUND(R88*100/107,2)</f>
        <v>0</v>
      </c>
      <c r="Q88" s="49">
        <f>P88*0.07</f>
        <v>0</v>
      </c>
      <c r="R88" s="50">
        <f>SUM(R85:R87)</f>
        <v>0</v>
      </c>
    </row>
    <row r="89" spans="1:18" ht="19.2" thickTop="1">
      <c r="A89" s="8"/>
      <c r="B89" s="67" t="s">
        <v>49</v>
      </c>
      <c r="C89" s="68"/>
      <c r="D89" s="69"/>
      <c r="E89" s="70"/>
      <c r="F89" s="70"/>
      <c r="G89" s="71"/>
      <c r="H89" s="72"/>
      <c r="I89" s="73"/>
      <c r="J89" s="69"/>
      <c r="K89" s="74"/>
      <c r="L89" s="75"/>
      <c r="M89" s="76"/>
      <c r="N89" s="77"/>
      <c r="O89" s="78"/>
      <c r="P89" s="78"/>
      <c r="Q89" s="78"/>
      <c r="R89" s="79"/>
    </row>
    <row r="90" spans="1:18" ht="18.600000000000001">
      <c r="A90" s="8">
        <v>1</v>
      </c>
      <c r="B90" s="62"/>
      <c r="C90" s="63"/>
      <c r="D90" s="23">
        <v>0</v>
      </c>
      <c r="E90" s="24"/>
      <c r="F90" s="24"/>
      <c r="G90" s="25"/>
      <c r="H90" s="81">
        <v>0</v>
      </c>
      <c r="I90" s="27">
        <f>H90*0.07</f>
        <v>0</v>
      </c>
      <c r="J90" s="23">
        <v>0</v>
      </c>
      <c r="K90" s="28"/>
      <c r="L90" s="29"/>
      <c r="M90" s="30">
        <v>0</v>
      </c>
      <c r="N90" s="31"/>
      <c r="O90" s="25"/>
      <c r="P90" s="27">
        <f>ROUND(R90*100/107,2)</f>
        <v>0</v>
      </c>
      <c r="Q90" s="27">
        <f>P90*0.07</f>
        <v>0</v>
      </c>
      <c r="R90" s="32">
        <f>D90+J90-M90</f>
        <v>0</v>
      </c>
    </row>
    <row r="91" spans="1:18" ht="18.600000000000001">
      <c r="A91" s="8">
        <f>+A90+1</f>
        <v>2</v>
      </c>
      <c r="B91" s="64" t="s">
        <v>21</v>
      </c>
      <c r="C91" s="63"/>
      <c r="D91" s="23">
        <v>0</v>
      </c>
      <c r="E91" s="24"/>
      <c r="F91" s="24"/>
      <c r="G91" s="25"/>
      <c r="H91" s="34">
        <v>0</v>
      </c>
      <c r="I91" s="35">
        <f>H91*0.07</f>
        <v>0</v>
      </c>
      <c r="J91" s="36">
        <v>0</v>
      </c>
      <c r="K91" s="28"/>
      <c r="L91" s="29"/>
      <c r="M91" s="30">
        <v>0</v>
      </c>
      <c r="N91" s="31"/>
      <c r="O91" s="25"/>
      <c r="P91" s="27">
        <f>ROUND(R91*100/107,2)</f>
        <v>0</v>
      </c>
      <c r="Q91" s="27">
        <f>P91*0.07</f>
        <v>0</v>
      </c>
      <c r="R91" s="32">
        <f>D91+J91-M91</f>
        <v>0</v>
      </c>
    </row>
    <row r="92" spans="1:18" ht="18.600000000000001">
      <c r="A92" s="8">
        <f>+A91+1</f>
        <v>3</v>
      </c>
      <c r="B92" s="65"/>
      <c r="C92" s="63"/>
      <c r="D92" s="23">
        <v>0</v>
      </c>
      <c r="E92" s="24"/>
      <c r="F92" s="38"/>
      <c r="G92" s="39"/>
      <c r="H92" s="40">
        <f>J92*100/107</f>
        <v>0</v>
      </c>
      <c r="I92" s="40">
        <f>H92*0.07</f>
        <v>0</v>
      </c>
      <c r="J92" s="41">
        <v>0</v>
      </c>
      <c r="K92" s="28"/>
      <c r="L92" s="29"/>
      <c r="M92" s="30">
        <v>0</v>
      </c>
      <c r="N92" s="31"/>
      <c r="O92" s="25"/>
      <c r="P92" s="27">
        <f>ROUND(R92*100/107,2)</f>
        <v>0</v>
      </c>
      <c r="Q92" s="27">
        <f>P92*0.07</f>
        <v>0</v>
      </c>
      <c r="R92" s="32">
        <f>D92+J92-M92</f>
        <v>0</v>
      </c>
    </row>
    <row r="93" spans="1:18" ht="19.2" thickBot="1">
      <c r="A93" s="42"/>
      <c r="B93" s="191" t="s">
        <v>19</v>
      </c>
      <c r="C93" s="192"/>
      <c r="D93" s="43">
        <f>SUM(D90:D92)</f>
        <v>0</v>
      </c>
      <c r="E93" s="43"/>
      <c r="F93" s="43"/>
      <c r="G93" s="44"/>
      <c r="H93" s="44">
        <f>SUM(H90:H92)</f>
        <v>0</v>
      </c>
      <c r="I93" s="44">
        <f>SUM(I90:I92)</f>
        <v>0</v>
      </c>
      <c r="J93" s="44">
        <f>SUM(J90:J92)</f>
        <v>0</v>
      </c>
      <c r="K93" s="45"/>
      <c r="L93" s="46"/>
      <c r="M93" s="47">
        <f>SUM(M90:M92)</f>
        <v>0</v>
      </c>
      <c r="N93" s="48"/>
      <c r="O93" s="43"/>
      <c r="P93" s="49">
        <f>ROUND(R93*100/107,2)</f>
        <v>0</v>
      </c>
      <c r="Q93" s="49">
        <f>P93*0.07</f>
        <v>0</v>
      </c>
      <c r="R93" s="50">
        <f>SUM(R90:R92)</f>
        <v>0</v>
      </c>
    </row>
    <row r="94" spans="1:18" ht="19.2" thickTop="1">
      <c r="A94" s="8"/>
      <c r="B94" s="67" t="s">
        <v>50</v>
      </c>
      <c r="C94" s="68"/>
      <c r="D94" s="69"/>
      <c r="E94" s="70"/>
      <c r="F94" s="70"/>
      <c r="G94" s="71"/>
      <c r="H94" s="72"/>
      <c r="I94" s="73"/>
      <c r="J94" s="69"/>
      <c r="K94" s="74"/>
      <c r="L94" s="75"/>
      <c r="M94" s="76"/>
      <c r="N94" s="77"/>
      <c r="O94" s="78"/>
      <c r="P94" s="78"/>
      <c r="Q94" s="78"/>
      <c r="R94" s="79"/>
    </row>
    <row r="95" spans="1:18" ht="18.600000000000001">
      <c r="A95" s="8">
        <v>1</v>
      </c>
      <c r="B95" s="62"/>
      <c r="C95" s="63"/>
      <c r="D95" s="23">
        <v>0</v>
      </c>
      <c r="E95" s="24"/>
      <c r="F95" s="24"/>
      <c r="G95" s="25"/>
      <c r="H95" s="81">
        <v>0</v>
      </c>
      <c r="I95" s="27">
        <f>H95*0.07</f>
        <v>0</v>
      </c>
      <c r="J95" s="23">
        <v>0</v>
      </c>
      <c r="K95" s="28"/>
      <c r="L95" s="29"/>
      <c r="M95" s="30">
        <v>0</v>
      </c>
      <c r="N95" s="31"/>
      <c r="O95" s="25"/>
      <c r="P95" s="27">
        <f>ROUND(R95*100/107,2)</f>
        <v>0</v>
      </c>
      <c r="Q95" s="27">
        <f>P95*0.07</f>
        <v>0</v>
      </c>
      <c r="R95" s="32">
        <f>D95+J95-M95</f>
        <v>0</v>
      </c>
    </row>
    <row r="96" spans="1:18" ht="18.600000000000001">
      <c r="A96" s="8">
        <f>+A95+1</f>
        <v>2</v>
      </c>
      <c r="B96" s="64" t="s">
        <v>21</v>
      </c>
      <c r="C96" s="63"/>
      <c r="D96" s="23">
        <v>0</v>
      </c>
      <c r="E96" s="24"/>
      <c r="F96" s="24"/>
      <c r="G96" s="25"/>
      <c r="H96" s="27">
        <v>0</v>
      </c>
      <c r="I96" s="27">
        <f>H96*0.07</f>
        <v>0</v>
      </c>
      <c r="J96" s="36">
        <v>0</v>
      </c>
      <c r="K96" s="28"/>
      <c r="L96" s="29"/>
      <c r="M96" s="30">
        <v>0</v>
      </c>
      <c r="N96" s="31"/>
      <c r="O96" s="25"/>
      <c r="P96" s="27">
        <f>ROUND(R96*100/107,2)</f>
        <v>0</v>
      </c>
      <c r="Q96" s="27">
        <f>P96*0.07</f>
        <v>0</v>
      </c>
      <c r="R96" s="32">
        <f>D96+J96-M96</f>
        <v>0</v>
      </c>
    </row>
    <row r="97" spans="1:18" ht="18.600000000000001">
      <c r="A97" s="8">
        <f>+A96+1</f>
        <v>3</v>
      </c>
      <c r="B97" s="65"/>
      <c r="C97" s="63"/>
      <c r="D97" s="23">
        <v>0</v>
      </c>
      <c r="E97" s="24"/>
      <c r="F97" s="38"/>
      <c r="G97" s="39"/>
      <c r="H97" s="40">
        <f>J97*100/107</f>
        <v>0</v>
      </c>
      <c r="I97" s="40">
        <f>H97*0.07</f>
        <v>0</v>
      </c>
      <c r="J97" s="41">
        <v>0</v>
      </c>
      <c r="K97" s="28"/>
      <c r="L97" s="29"/>
      <c r="M97" s="30">
        <v>0</v>
      </c>
      <c r="N97" s="31"/>
      <c r="O97" s="25"/>
      <c r="P97" s="27">
        <f>ROUND(R97*100/107,2)</f>
        <v>0</v>
      </c>
      <c r="Q97" s="27">
        <f>P97*0.07</f>
        <v>0</v>
      </c>
      <c r="R97" s="32">
        <f>D97+J97-M97</f>
        <v>0</v>
      </c>
    </row>
    <row r="98" spans="1:18" ht="19.2" thickBot="1">
      <c r="A98" s="42"/>
      <c r="B98" s="191" t="s">
        <v>19</v>
      </c>
      <c r="C98" s="192"/>
      <c r="D98" s="43">
        <f>SUM(D95:D97)</f>
        <v>0</v>
      </c>
      <c r="E98" s="43"/>
      <c r="F98" s="43"/>
      <c r="G98" s="44"/>
      <c r="H98" s="44">
        <f>SUM(H95:H97)</f>
        <v>0</v>
      </c>
      <c r="I98" s="44">
        <f>SUM(I95:I97)</f>
        <v>0</v>
      </c>
      <c r="J98" s="44">
        <f>SUM(J95:J97)</f>
        <v>0</v>
      </c>
      <c r="K98" s="45"/>
      <c r="L98" s="46"/>
      <c r="M98" s="47">
        <f>SUM(M95:M97)</f>
        <v>0</v>
      </c>
      <c r="N98" s="48"/>
      <c r="O98" s="43"/>
      <c r="P98" s="49">
        <f>ROUND(R98*100/107,2)</f>
        <v>0</v>
      </c>
      <c r="Q98" s="49">
        <f>P98*0.07</f>
        <v>0</v>
      </c>
      <c r="R98" s="50">
        <f>SUM(R95:R97)</f>
        <v>0</v>
      </c>
    </row>
    <row r="99" spans="1:18" ht="19.2" thickTop="1">
      <c r="A99" s="8"/>
      <c r="B99" s="67" t="s">
        <v>51</v>
      </c>
      <c r="C99" s="68"/>
      <c r="D99" s="69"/>
      <c r="E99" s="70"/>
      <c r="F99" s="70"/>
      <c r="G99" s="71"/>
      <c r="H99" s="72"/>
      <c r="I99" s="73"/>
      <c r="J99" s="69"/>
      <c r="K99" s="74"/>
      <c r="L99" s="75"/>
      <c r="M99" s="76"/>
      <c r="N99" s="77"/>
      <c r="O99" s="78"/>
      <c r="P99" s="78"/>
      <c r="Q99" s="78"/>
      <c r="R99" s="79"/>
    </row>
    <row r="100" spans="1:18" ht="18.600000000000001">
      <c r="A100" s="8">
        <v>1</v>
      </c>
      <c r="B100" s="62"/>
      <c r="C100" s="63"/>
      <c r="D100" s="23">
        <v>0</v>
      </c>
      <c r="E100" s="24"/>
      <c r="F100" s="24"/>
      <c r="G100" s="25"/>
      <c r="H100" s="26">
        <v>0</v>
      </c>
      <c r="I100" s="27">
        <f>H100*0.07</f>
        <v>0</v>
      </c>
      <c r="J100" s="23">
        <v>0</v>
      </c>
      <c r="K100" s="28"/>
      <c r="L100" s="29"/>
      <c r="M100" s="30">
        <v>0</v>
      </c>
      <c r="N100" s="31"/>
      <c r="O100" s="25"/>
      <c r="P100" s="27">
        <f>ROUND(R100*100/107,2)</f>
        <v>0</v>
      </c>
      <c r="Q100" s="27">
        <f>P100*0.07</f>
        <v>0</v>
      </c>
      <c r="R100" s="32">
        <f>D100+J100-M100</f>
        <v>0</v>
      </c>
    </row>
    <row r="101" spans="1:18" ht="18.600000000000001">
      <c r="A101" s="8">
        <f>+A100+1</f>
        <v>2</v>
      </c>
      <c r="B101" s="64" t="s">
        <v>21</v>
      </c>
      <c r="C101" s="63"/>
      <c r="D101" s="23">
        <v>0</v>
      </c>
      <c r="E101" s="24"/>
      <c r="F101" s="24"/>
      <c r="G101" s="25"/>
      <c r="H101" s="34">
        <v>0</v>
      </c>
      <c r="I101" s="35">
        <f>H101*0.07</f>
        <v>0</v>
      </c>
      <c r="J101" s="36">
        <v>0</v>
      </c>
      <c r="K101" s="28"/>
      <c r="L101" s="29"/>
      <c r="M101" s="30">
        <v>0</v>
      </c>
      <c r="N101" s="31"/>
      <c r="O101" s="25"/>
      <c r="P101" s="27">
        <f>ROUND(R101*100/107,2)</f>
        <v>0</v>
      </c>
      <c r="Q101" s="27">
        <f>P101*0.07</f>
        <v>0</v>
      </c>
      <c r="R101" s="32">
        <f>D101+J101-M101</f>
        <v>0</v>
      </c>
    </row>
    <row r="102" spans="1:18" ht="18.600000000000001">
      <c r="A102" s="8">
        <f>+A101+1</f>
        <v>3</v>
      </c>
      <c r="B102" s="65"/>
      <c r="C102" s="63"/>
      <c r="D102" s="23">
        <v>0</v>
      </c>
      <c r="E102" s="24"/>
      <c r="F102" s="38"/>
      <c r="G102" s="39"/>
      <c r="H102" s="40">
        <f>J102*100/107</f>
        <v>0</v>
      </c>
      <c r="I102" s="40">
        <f>H102*0.07</f>
        <v>0</v>
      </c>
      <c r="J102" s="41">
        <v>0</v>
      </c>
      <c r="K102" s="28"/>
      <c r="L102" s="29"/>
      <c r="M102" s="30">
        <v>0</v>
      </c>
      <c r="N102" s="31"/>
      <c r="O102" s="25"/>
      <c r="P102" s="27">
        <f>ROUND(R102*100/107,2)</f>
        <v>0</v>
      </c>
      <c r="Q102" s="27">
        <f>P102*0.07</f>
        <v>0</v>
      </c>
      <c r="R102" s="32">
        <f>D102+J102-M102</f>
        <v>0</v>
      </c>
    </row>
    <row r="103" spans="1:18" ht="19.2" thickBot="1">
      <c r="A103" s="42"/>
      <c r="B103" s="191" t="s">
        <v>19</v>
      </c>
      <c r="C103" s="192"/>
      <c r="D103" s="43">
        <f>SUM(D100:D102)</f>
        <v>0</v>
      </c>
      <c r="E103" s="43"/>
      <c r="F103" s="43"/>
      <c r="G103" s="44"/>
      <c r="H103" s="44">
        <f>SUM(H100:H102)</f>
        <v>0</v>
      </c>
      <c r="I103" s="44">
        <f>SUM(I100:I102)</f>
        <v>0</v>
      </c>
      <c r="J103" s="44">
        <f>SUM(J100:J102)</f>
        <v>0</v>
      </c>
      <c r="K103" s="45"/>
      <c r="L103" s="46"/>
      <c r="M103" s="47">
        <f>SUM(M100:M102)</f>
        <v>0</v>
      </c>
      <c r="N103" s="48"/>
      <c r="O103" s="43"/>
      <c r="P103" s="49">
        <f>ROUND(R103*100/107,2)</f>
        <v>0</v>
      </c>
      <c r="Q103" s="49">
        <f>P103*0.07</f>
        <v>0</v>
      </c>
      <c r="R103" s="50">
        <f>SUM(R100:R102)</f>
        <v>0</v>
      </c>
    </row>
    <row r="104" spans="1:18" ht="19.2" thickTop="1">
      <c r="A104" s="8"/>
      <c r="B104" s="67" t="s">
        <v>52</v>
      </c>
      <c r="C104" s="68"/>
      <c r="D104" s="69"/>
      <c r="E104" s="70"/>
      <c r="F104" s="70"/>
      <c r="G104" s="71"/>
      <c r="H104" s="72"/>
      <c r="I104" s="73"/>
      <c r="J104" s="69"/>
      <c r="K104" s="74"/>
      <c r="L104" s="75"/>
      <c r="M104" s="76"/>
      <c r="N104" s="77"/>
      <c r="O104" s="78"/>
      <c r="P104" s="78"/>
      <c r="Q104" s="78"/>
      <c r="R104" s="79"/>
    </row>
    <row r="105" spans="1:18" ht="18.600000000000001">
      <c r="A105" s="8">
        <v>1</v>
      </c>
      <c r="B105" s="62"/>
      <c r="C105" s="63"/>
      <c r="D105" s="23">
        <v>0</v>
      </c>
      <c r="E105" s="24"/>
      <c r="F105" s="24"/>
      <c r="G105" s="25"/>
      <c r="H105" s="26">
        <v>0</v>
      </c>
      <c r="I105" s="27">
        <f>H105*0.07</f>
        <v>0</v>
      </c>
      <c r="J105" s="23">
        <v>0</v>
      </c>
      <c r="K105" s="28"/>
      <c r="L105" s="29"/>
      <c r="M105" s="30">
        <v>0</v>
      </c>
      <c r="N105" s="31"/>
      <c r="O105" s="25"/>
      <c r="P105" s="27">
        <f>ROUND(R105*100/107,2)</f>
        <v>0</v>
      </c>
      <c r="Q105" s="27">
        <f>P105*0.07</f>
        <v>0</v>
      </c>
      <c r="R105" s="32">
        <f>D105+J105-M105</f>
        <v>0</v>
      </c>
    </row>
    <row r="106" spans="1:18" ht="18.600000000000001">
      <c r="A106" s="8">
        <f>+A105+1</f>
        <v>2</v>
      </c>
      <c r="B106" s="64" t="s">
        <v>21</v>
      </c>
      <c r="C106" s="63"/>
      <c r="D106" s="23">
        <v>0</v>
      </c>
      <c r="E106" s="24"/>
      <c r="F106" s="24"/>
      <c r="G106" s="25"/>
      <c r="H106" s="34">
        <v>0</v>
      </c>
      <c r="I106" s="35">
        <f>H106*0.07</f>
        <v>0</v>
      </c>
      <c r="J106" s="36">
        <v>0</v>
      </c>
      <c r="K106" s="28"/>
      <c r="L106" s="29"/>
      <c r="M106" s="30">
        <v>0</v>
      </c>
      <c r="N106" s="31"/>
      <c r="O106" s="25"/>
      <c r="P106" s="27">
        <f>ROUND(R106*100/107,2)</f>
        <v>0</v>
      </c>
      <c r="Q106" s="27">
        <f>P106*0.07</f>
        <v>0</v>
      </c>
      <c r="R106" s="32">
        <f>D106+J106-M106</f>
        <v>0</v>
      </c>
    </row>
    <row r="107" spans="1:18" ht="18.600000000000001">
      <c r="A107" s="8">
        <f>+A106+1</f>
        <v>3</v>
      </c>
      <c r="B107" s="65"/>
      <c r="C107" s="63"/>
      <c r="D107" s="23">
        <v>0</v>
      </c>
      <c r="E107" s="24"/>
      <c r="F107" s="38"/>
      <c r="G107" s="39"/>
      <c r="H107" s="40">
        <f>J107*100/107</f>
        <v>0</v>
      </c>
      <c r="I107" s="40">
        <f>H107*0.07</f>
        <v>0</v>
      </c>
      <c r="J107" s="41">
        <v>0</v>
      </c>
      <c r="K107" s="28"/>
      <c r="L107" s="29"/>
      <c r="M107" s="30">
        <v>0</v>
      </c>
      <c r="N107" s="31"/>
      <c r="O107" s="25"/>
      <c r="P107" s="27">
        <f>ROUND(R107*100/107,2)</f>
        <v>0</v>
      </c>
      <c r="Q107" s="27">
        <f>P107*0.07</f>
        <v>0</v>
      </c>
      <c r="R107" s="32">
        <f>D107+J107-M107</f>
        <v>0</v>
      </c>
    </row>
    <row r="108" spans="1:18" ht="19.2" thickBot="1">
      <c r="A108" s="42"/>
      <c r="B108" s="191" t="s">
        <v>19</v>
      </c>
      <c r="C108" s="192"/>
      <c r="D108" s="43">
        <f>SUM(D105:D107)</f>
        <v>0</v>
      </c>
      <c r="E108" s="43"/>
      <c r="F108" s="43"/>
      <c r="G108" s="44"/>
      <c r="H108" s="44">
        <f>SUM(H105:H107)</f>
        <v>0</v>
      </c>
      <c r="I108" s="44">
        <f>SUM(I105:I107)</f>
        <v>0</v>
      </c>
      <c r="J108" s="44">
        <f>SUM(J105:J107)</f>
        <v>0</v>
      </c>
      <c r="K108" s="45"/>
      <c r="L108" s="46"/>
      <c r="M108" s="47">
        <f>SUM(M105:M107)</f>
        <v>0</v>
      </c>
      <c r="N108" s="48"/>
      <c r="O108" s="43"/>
      <c r="P108" s="49">
        <f>ROUND(R108*100/107,2)</f>
        <v>0</v>
      </c>
      <c r="Q108" s="49">
        <f>P108*0.07</f>
        <v>0</v>
      </c>
      <c r="R108" s="50">
        <f>SUM(R105:R107)</f>
        <v>0</v>
      </c>
    </row>
    <row r="109" spans="1:18" ht="19.8" thickTop="1" thickBot="1">
      <c r="A109" s="120"/>
      <c r="B109" s="193" t="s">
        <v>53</v>
      </c>
      <c r="C109" s="194"/>
      <c r="D109" s="106">
        <f>+D11+D16+D21+D26+D32+D37+D42+D47+D52+D57+D68+D73+D78+D83+D88+D93+D98+D103+D108</f>
        <v>0</v>
      </c>
      <c r="E109" s="106"/>
      <c r="F109" s="106"/>
      <c r="G109" s="106"/>
      <c r="H109" s="106">
        <f>+H11+H16+H21+H26+H32+H37+H42+H47+H52+H57+H68+H73+H78+H83+H88+H93+H98+H103+H108</f>
        <v>5530855.9100000001</v>
      </c>
      <c r="I109" s="106">
        <f>+I11+I16+I21+I26+I32+I37+I42+I47+I52+I57+I68+I73+I78+I83+I88+I93+I98+I103+I108</f>
        <v>0</v>
      </c>
      <c r="J109" s="106">
        <f>+J11+J16+J21+J26+J32+J37+J42+J47+J52+J57+J68+J73+J78+J83+J88+J93+J98+J103+J108</f>
        <v>5530855.9100000001</v>
      </c>
      <c r="K109" s="114"/>
      <c r="L109" s="114"/>
      <c r="M109" s="107">
        <f>+M11+M16+M21+M26+M32+M37+M42+M47+M52+M57+M68+M73+M78+M83+M88+M93+M98+M103+M108</f>
        <v>0</v>
      </c>
      <c r="N109" s="108"/>
      <c r="O109" s="106"/>
      <c r="P109" s="106">
        <f>+P11+P16+P21+P26+P32+P37+P42+P47+P52+P57+P68+P73+P78+P83+P88+P93+P98+P103+P108</f>
        <v>5530855.9100000001</v>
      </c>
      <c r="Q109" s="106">
        <f>+Q11+Q16+Q21+Q26+Q32+Q37+Q42+Q47+Q52+Q57+Q68+Q73+Q78+Q83+Q88+Q93+Q98+Q103+Q108</f>
        <v>0</v>
      </c>
      <c r="R109" s="106">
        <f>+R11+R16+R21+R26+R32+R37+R42+R47+R52+R57+R68+R73+R78+R83+R88+R93+R98+R103+R108</f>
        <v>5530855.9100000001</v>
      </c>
    </row>
    <row r="110" spans="1:18" ht="19.2" thickTop="1">
      <c r="A110" s="120"/>
      <c r="B110" s="121"/>
      <c r="C110" s="121"/>
      <c r="D110" s="121"/>
      <c r="E110" s="121"/>
      <c r="F110" s="121"/>
      <c r="G110" s="121"/>
      <c r="H110" s="121"/>
      <c r="I110" s="121"/>
      <c r="J110" s="121"/>
      <c r="K110" s="122"/>
      <c r="L110" s="123"/>
      <c r="M110" s="124"/>
      <c r="N110" s="125"/>
      <c r="O110" s="121"/>
      <c r="P110" s="121"/>
      <c r="Q110" s="121"/>
      <c r="R110" s="126"/>
    </row>
    <row r="111" spans="1:18" ht="6.75" customHeight="1">
      <c r="A111" s="120"/>
      <c r="B111" s="121"/>
      <c r="C111" s="121"/>
      <c r="D111" s="121"/>
      <c r="E111" s="121"/>
      <c r="F111" s="121"/>
      <c r="G111" s="121"/>
      <c r="H111" s="121"/>
      <c r="I111" s="121"/>
      <c r="J111" s="121"/>
      <c r="K111" s="122"/>
      <c r="L111" s="123"/>
      <c r="M111" s="124"/>
      <c r="N111" s="125"/>
      <c r="O111" s="121"/>
      <c r="P111" s="121"/>
      <c r="Q111" s="121"/>
      <c r="R111" s="126"/>
    </row>
    <row r="112" spans="1:18" ht="18.600000000000001">
      <c r="A112" s="120"/>
      <c r="B112" s="121"/>
      <c r="C112" s="121"/>
      <c r="D112" s="121"/>
      <c r="E112" s="127"/>
      <c r="F112" s="127"/>
      <c r="G112" s="121"/>
      <c r="H112" s="121"/>
      <c r="I112" s="121"/>
      <c r="J112" s="121"/>
      <c r="K112" s="122"/>
      <c r="L112" s="123"/>
      <c r="M112" s="124"/>
      <c r="N112" s="189" t="s">
        <v>54</v>
      </c>
      <c r="O112" s="189"/>
      <c r="P112" s="189"/>
      <c r="Q112" s="121"/>
      <c r="R112" s="126"/>
    </row>
    <row r="113" spans="1:18" ht="18.600000000000001">
      <c r="B113" s="128"/>
      <c r="C113" s="121"/>
      <c r="D113" s="121"/>
      <c r="E113" s="121"/>
      <c r="F113" s="121"/>
      <c r="G113" s="121"/>
      <c r="H113" s="190"/>
      <c r="I113" s="190"/>
      <c r="J113" s="190"/>
      <c r="K113" s="122"/>
      <c r="L113" s="123"/>
      <c r="M113" s="124"/>
      <c r="N113" s="125"/>
      <c r="O113" s="121" t="s">
        <v>55</v>
      </c>
      <c r="P113" s="121"/>
      <c r="Q113" s="121"/>
      <c r="R113" s="126"/>
    </row>
    <row r="114" spans="1:18" ht="18.600000000000001">
      <c r="A114" s="129"/>
      <c r="B114" s="130"/>
      <c r="C114" s="129"/>
      <c r="D114" s="131"/>
      <c r="E114" s="129"/>
      <c r="F114" s="129"/>
      <c r="G114" s="132"/>
      <c r="H114" s="132"/>
      <c r="I114" s="132"/>
      <c r="J114" s="133"/>
      <c r="K114" s="134"/>
      <c r="L114" s="135"/>
      <c r="M114" s="136"/>
      <c r="N114" s="137"/>
      <c r="O114" s="132"/>
      <c r="P114" s="132"/>
      <c r="Q114" s="132"/>
      <c r="R114" s="138"/>
    </row>
  </sheetData>
  <mergeCells count="54">
    <mergeCell ref="N112:P112"/>
    <mergeCell ref="H113:J113"/>
    <mergeCell ref="B88:C88"/>
    <mergeCell ref="B93:C93"/>
    <mergeCell ref="B98:C98"/>
    <mergeCell ref="B103:C103"/>
    <mergeCell ref="B108:C108"/>
    <mergeCell ref="B109:C109"/>
    <mergeCell ref="B83:C83"/>
    <mergeCell ref="B42:C42"/>
    <mergeCell ref="B47:C47"/>
    <mergeCell ref="B52:C52"/>
    <mergeCell ref="B57:C57"/>
    <mergeCell ref="B67:C67"/>
    <mergeCell ref="B68:C68"/>
    <mergeCell ref="B73:C73"/>
    <mergeCell ref="B78:C78"/>
    <mergeCell ref="B80:C80"/>
    <mergeCell ref="B81:C81"/>
    <mergeCell ref="B82:C82"/>
    <mergeCell ref="B41:C41"/>
    <mergeCell ref="B14:C14"/>
    <mergeCell ref="B15:C15"/>
    <mergeCell ref="B16:C16"/>
    <mergeCell ref="B21:C21"/>
    <mergeCell ref="B26:C26"/>
    <mergeCell ref="B29:C29"/>
    <mergeCell ref="B31:C31"/>
    <mergeCell ref="B32:C32"/>
    <mergeCell ref="B37:C37"/>
    <mergeCell ref="B39:C39"/>
    <mergeCell ref="B40:C40"/>
    <mergeCell ref="B13:C13"/>
    <mergeCell ref="E5:E6"/>
    <mergeCell ref="F5:F6"/>
    <mergeCell ref="G5:G6"/>
    <mergeCell ref="H5:J5"/>
    <mergeCell ref="B11:C11"/>
    <mergeCell ref="A1:R1"/>
    <mergeCell ref="A2:R2"/>
    <mergeCell ref="A3:R3"/>
    <mergeCell ref="A4:A6"/>
    <mergeCell ref="B4:B6"/>
    <mergeCell ref="C4:C6"/>
    <mergeCell ref="D4:D6"/>
    <mergeCell ref="E4:J4"/>
    <mergeCell ref="K4:M4"/>
    <mergeCell ref="N4:R4"/>
    <mergeCell ref="M5:M6"/>
    <mergeCell ref="N5:N6"/>
    <mergeCell ref="O5:O6"/>
    <mergeCell ref="P5:R5"/>
    <mergeCell ref="K5:K6"/>
    <mergeCell ref="L5:L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76F72-840A-45B0-A135-FB712E2C5D5D}">
  <sheetPr>
    <tabColor rgb="FFFFC000"/>
  </sheetPr>
  <dimension ref="A1:F14"/>
  <sheetViews>
    <sheetView workbookViewId="0">
      <pane ySplit="6" topLeftCell="A7" activePane="bottomLeft" state="frozen"/>
      <selection pane="bottomLeft" activeCell="A4" sqref="A4:A6"/>
    </sheetView>
  </sheetViews>
  <sheetFormatPr defaultColWidth="10.375" defaultRowHeight="14.4"/>
  <cols>
    <col min="1" max="1" width="10.375" style="1"/>
    <col min="2" max="2" width="33.25" style="1" customWidth="1"/>
    <col min="3" max="3" width="10.375" style="1"/>
    <col min="4" max="4" width="10.375" style="139"/>
    <col min="5" max="5" width="11.625" style="139" bestFit="1" customWidth="1"/>
    <col min="6" max="6" width="10.375" style="139"/>
    <col min="7" max="242" width="10.375" style="1"/>
    <col min="243" max="243" width="33.25" style="1" customWidth="1"/>
    <col min="244" max="248" width="10.375" style="1"/>
    <col min="249" max="249" width="13.625" style="1" customWidth="1"/>
    <col min="250" max="250" width="10.375" style="1"/>
    <col min="251" max="251" width="14.375" style="1" customWidth="1"/>
    <col min="252" max="252" width="10.375" style="1"/>
    <col min="253" max="253" width="11.625" style="1" bestFit="1" customWidth="1"/>
    <col min="254" max="256" width="10.375" style="1"/>
    <col min="257" max="257" width="12.875" style="1" customWidth="1"/>
    <col min="258" max="258" width="10.375" style="1"/>
    <col min="259" max="259" width="13" style="1" customWidth="1"/>
    <col min="260" max="498" width="10.375" style="1"/>
    <col min="499" max="499" width="33.25" style="1" customWidth="1"/>
    <col min="500" max="504" width="10.375" style="1"/>
    <col min="505" max="505" width="13.625" style="1" customWidth="1"/>
    <col min="506" max="506" width="10.375" style="1"/>
    <col min="507" max="507" width="14.375" style="1" customWidth="1"/>
    <col min="508" max="508" width="10.375" style="1"/>
    <col min="509" max="509" width="11.625" style="1" bestFit="1" customWidth="1"/>
    <col min="510" max="512" width="10.375" style="1"/>
    <col min="513" max="513" width="12.875" style="1" customWidth="1"/>
    <col min="514" max="514" width="10.375" style="1"/>
    <col min="515" max="515" width="13" style="1" customWidth="1"/>
    <col min="516" max="754" width="10.375" style="1"/>
    <col min="755" max="755" width="33.25" style="1" customWidth="1"/>
    <col min="756" max="760" width="10.375" style="1"/>
    <col min="761" max="761" width="13.625" style="1" customWidth="1"/>
    <col min="762" max="762" width="10.375" style="1"/>
    <col min="763" max="763" width="14.375" style="1" customWidth="1"/>
    <col min="764" max="764" width="10.375" style="1"/>
    <col min="765" max="765" width="11.625" style="1" bestFit="1" customWidth="1"/>
    <col min="766" max="768" width="10.375" style="1"/>
    <col min="769" max="769" width="12.875" style="1" customWidth="1"/>
    <col min="770" max="770" width="10.375" style="1"/>
    <col min="771" max="771" width="13" style="1" customWidth="1"/>
    <col min="772" max="1010" width="10.375" style="1"/>
    <col min="1011" max="1011" width="33.25" style="1" customWidth="1"/>
    <col min="1012" max="1016" width="10.375" style="1"/>
    <col min="1017" max="1017" width="13.625" style="1" customWidth="1"/>
    <col min="1018" max="1018" width="10.375" style="1"/>
    <col min="1019" max="1019" width="14.375" style="1" customWidth="1"/>
    <col min="1020" max="1020" width="10.375" style="1"/>
    <col min="1021" max="1021" width="11.625" style="1" bestFit="1" customWidth="1"/>
    <col min="1022" max="1024" width="10.375" style="1"/>
    <col min="1025" max="1025" width="12.875" style="1" customWidth="1"/>
    <col min="1026" max="1026" width="10.375" style="1"/>
    <col min="1027" max="1027" width="13" style="1" customWidth="1"/>
    <col min="1028" max="1266" width="10.375" style="1"/>
    <col min="1267" max="1267" width="33.25" style="1" customWidth="1"/>
    <col min="1268" max="1272" width="10.375" style="1"/>
    <col min="1273" max="1273" width="13.625" style="1" customWidth="1"/>
    <col min="1274" max="1274" width="10.375" style="1"/>
    <col min="1275" max="1275" width="14.375" style="1" customWidth="1"/>
    <col min="1276" max="1276" width="10.375" style="1"/>
    <col min="1277" max="1277" width="11.625" style="1" bestFit="1" customWidth="1"/>
    <col min="1278" max="1280" width="10.375" style="1"/>
    <col min="1281" max="1281" width="12.875" style="1" customWidth="1"/>
    <col min="1282" max="1282" width="10.375" style="1"/>
    <col min="1283" max="1283" width="13" style="1" customWidth="1"/>
    <col min="1284" max="1522" width="10.375" style="1"/>
    <col min="1523" max="1523" width="33.25" style="1" customWidth="1"/>
    <col min="1524" max="1528" width="10.375" style="1"/>
    <col min="1529" max="1529" width="13.625" style="1" customWidth="1"/>
    <col min="1530" max="1530" width="10.375" style="1"/>
    <col min="1531" max="1531" width="14.375" style="1" customWidth="1"/>
    <col min="1532" max="1532" width="10.375" style="1"/>
    <col min="1533" max="1533" width="11.625" style="1" bestFit="1" customWidth="1"/>
    <col min="1534" max="1536" width="10.375" style="1"/>
    <col min="1537" max="1537" width="12.875" style="1" customWidth="1"/>
    <col min="1538" max="1538" width="10.375" style="1"/>
    <col min="1539" max="1539" width="13" style="1" customWidth="1"/>
    <col min="1540" max="1778" width="10.375" style="1"/>
    <col min="1779" max="1779" width="33.25" style="1" customWidth="1"/>
    <col min="1780" max="1784" width="10.375" style="1"/>
    <col min="1785" max="1785" width="13.625" style="1" customWidth="1"/>
    <col min="1786" max="1786" width="10.375" style="1"/>
    <col min="1787" max="1787" width="14.375" style="1" customWidth="1"/>
    <col min="1788" max="1788" width="10.375" style="1"/>
    <col min="1789" max="1789" width="11.625" style="1" bestFit="1" customWidth="1"/>
    <col min="1790" max="1792" width="10.375" style="1"/>
    <col min="1793" max="1793" width="12.875" style="1" customWidth="1"/>
    <col min="1794" max="1794" width="10.375" style="1"/>
    <col min="1795" max="1795" width="13" style="1" customWidth="1"/>
    <col min="1796" max="2034" width="10.375" style="1"/>
    <col min="2035" max="2035" width="33.25" style="1" customWidth="1"/>
    <col min="2036" max="2040" width="10.375" style="1"/>
    <col min="2041" max="2041" width="13.625" style="1" customWidth="1"/>
    <col min="2042" max="2042" width="10.375" style="1"/>
    <col min="2043" max="2043" width="14.375" style="1" customWidth="1"/>
    <col min="2044" max="2044" width="10.375" style="1"/>
    <col min="2045" max="2045" width="11.625" style="1" bestFit="1" customWidth="1"/>
    <col min="2046" max="2048" width="10.375" style="1"/>
    <col min="2049" max="2049" width="12.875" style="1" customWidth="1"/>
    <col min="2050" max="2050" width="10.375" style="1"/>
    <col min="2051" max="2051" width="13" style="1" customWidth="1"/>
    <col min="2052" max="2290" width="10.375" style="1"/>
    <col min="2291" max="2291" width="33.25" style="1" customWidth="1"/>
    <col min="2292" max="2296" width="10.375" style="1"/>
    <col min="2297" max="2297" width="13.625" style="1" customWidth="1"/>
    <col min="2298" max="2298" width="10.375" style="1"/>
    <col min="2299" max="2299" width="14.375" style="1" customWidth="1"/>
    <col min="2300" max="2300" width="10.375" style="1"/>
    <col min="2301" max="2301" width="11.625" style="1" bestFit="1" customWidth="1"/>
    <col min="2302" max="2304" width="10.375" style="1"/>
    <col min="2305" max="2305" width="12.875" style="1" customWidth="1"/>
    <col min="2306" max="2306" width="10.375" style="1"/>
    <col min="2307" max="2307" width="13" style="1" customWidth="1"/>
    <col min="2308" max="2546" width="10.375" style="1"/>
    <col min="2547" max="2547" width="33.25" style="1" customWidth="1"/>
    <col min="2548" max="2552" width="10.375" style="1"/>
    <col min="2553" max="2553" width="13.625" style="1" customWidth="1"/>
    <col min="2554" max="2554" width="10.375" style="1"/>
    <col min="2555" max="2555" width="14.375" style="1" customWidth="1"/>
    <col min="2556" max="2556" width="10.375" style="1"/>
    <col min="2557" max="2557" width="11.625" style="1" bestFit="1" customWidth="1"/>
    <col min="2558" max="2560" width="10.375" style="1"/>
    <col min="2561" max="2561" width="12.875" style="1" customWidth="1"/>
    <col min="2562" max="2562" width="10.375" style="1"/>
    <col min="2563" max="2563" width="13" style="1" customWidth="1"/>
    <col min="2564" max="2802" width="10.375" style="1"/>
    <col min="2803" max="2803" width="33.25" style="1" customWidth="1"/>
    <col min="2804" max="2808" width="10.375" style="1"/>
    <col min="2809" max="2809" width="13.625" style="1" customWidth="1"/>
    <col min="2810" max="2810" width="10.375" style="1"/>
    <col min="2811" max="2811" width="14.375" style="1" customWidth="1"/>
    <col min="2812" max="2812" width="10.375" style="1"/>
    <col min="2813" max="2813" width="11.625" style="1" bestFit="1" customWidth="1"/>
    <col min="2814" max="2816" width="10.375" style="1"/>
    <col min="2817" max="2817" width="12.875" style="1" customWidth="1"/>
    <col min="2818" max="2818" width="10.375" style="1"/>
    <col min="2819" max="2819" width="13" style="1" customWidth="1"/>
    <col min="2820" max="3058" width="10.375" style="1"/>
    <col min="3059" max="3059" width="33.25" style="1" customWidth="1"/>
    <col min="3060" max="3064" width="10.375" style="1"/>
    <col min="3065" max="3065" width="13.625" style="1" customWidth="1"/>
    <col min="3066" max="3066" width="10.375" style="1"/>
    <col min="3067" max="3067" width="14.375" style="1" customWidth="1"/>
    <col min="3068" max="3068" width="10.375" style="1"/>
    <col min="3069" max="3069" width="11.625" style="1" bestFit="1" customWidth="1"/>
    <col min="3070" max="3072" width="10.375" style="1"/>
    <col min="3073" max="3073" width="12.875" style="1" customWidth="1"/>
    <col min="3074" max="3074" width="10.375" style="1"/>
    <col min="3075" max="3075" width="13" style="1" customWidth="1"/>
    <col min="3076" max="3314" width="10.375" style="1"/>
    <col min="3315" max="3315" width="33.25" style="1" customWidth="1"/>
    <col min="3316" max="3320" width="10.375" style="1"/>
    <col min="3321" max="3321" width="13.625" style="1" customWidth="1"/>
    <col min="3322" max="3322" width="10.375" style="1"/>
    <col min="3323" max="3323" width="14.375" style="1" customWidth="1"/>
    <col min="3324" max="3324" width="10.375" style="1"/>
    <col min="3325" max="3325" width="11.625" style="1" bestFit="1" customWidth="1"/>
    <col min="3326" max="3328" width="10.375" style="1"/>
    <col min="3329" max="3329" width="12.875" style="1" customWidth="1"/>
    <col min="3330" max="3330" width="10.375" style="1"/>
    <col min="3331" max="3331" width="13" style="1" customWidth="1"/>
    <col min="3332" max="3570" width="10.375" style="1"/>
    <col min="3571" max="3571" width="33.25" style="1" customWidth="1"/>
    <col min="3572" max="3576" width="10.375" style="1"/>
    <col min="3577" max="3577" width="13.625" style="1" customWidth="1"/>
    <col min="3578" max="3578" width="10.375" style="1"/>
    <col min="3579" max="3579" width="14.375" style="1" customWidth="1"/>
    <col min="3580" max="3580" width="10.375" style="1"/>
    <col min="3581" max="3581" width="11.625" style="1" bestFit="1" customWidth="1"/>
    <col min="3582" max="3584" width="10.375" style="1"/>
    <col min="3585" max="3585" width="12.875" style="1" customWidth="1"/>
    <col min="3586" max="3586" width="10.375" style="1"/>
    <col min="3587" max="3587" width="13" style="1" customWidth="1"/>
    <col min="3588" max="3826" width="10.375" style="1"/>
    <col min="3827" max="3827" width="33.25" style="1" customWidth="1"/>
    <col min="3828" max="3832" width="10.375" style="1"/>
    <col min="3833" max="3833" width="13.625" style="1" customWidth="1"/>
    <col min="3834" max="3834" width="10.375" style="1"/>
    <col min="3835" max="3835" width="14.375" style="1" customWidth="1"/>
    <col min="3836" max="3836" width="10.375" style="1"/>
    <col min="3837" max="3837" width="11.625" style="1" bestFit="1" customWidth="1"/>
    <col min="3838" max="3840" width="10.375" style="1"/>
    <col min="3841" max="3841" width="12.875" style="1" customWidth="1"/>
    <col min="3842" max="3842" width="10.375" style="1"/>
    <col min="3843" max="3843" width="13" style="1" customWidth="1"/>
    <col min="3844" max="4082" width="10.375" style="1"/>
    <col min="4083" max="4083" width="33.25" style="1" customWidth="1"/>
    <col min="4084" max="4088" width="10.375" style="1"/>
    <col min="4089" max="4089" width="13.625" style="1" customWidth="1"/>
    <col min="4090" max="4090" width="10.375" style="1"/>
    <col min="4091" max="4091" width="14.375" style="1" customWidth="1"/>
    <col min="4092" max="4092" width="10.375" style="1"/>
    <col min="4093" max="4093" width="11.625" style="1" bestFit="1" customWidth="1"/>
    <col min="4094" max="4096" width="10.375" style="1"/>
    <col min="4097" max="4097" width="12.875" style="1" customWidth="1"/>
    <col min="4098" max="4098" width="10.375" style="1"/>
    <col min="4099" max="4099" width="13" style="1" customWidth="1"/>
    <col min="4100" max="4338" width="10.375" style="1"/>
    <col min="4339" max="4339" width="33.25" style="1" customWidth="1"/>
    <col min="4340" max="4344" width="10.375" style="1"/>
    <col min="4345" max="4345" width="13.625" style="1" customWidth="1"/>
    <col min="4346" max="4346" width="10.375" style="1"/>
    <col min="4347" max="4347" width="14.375" style="1" customWidth="1"/>
    <col min="4348" max="4348" width="10.375" style="1"/>
    <col min="4349" max="4349" width="11.625" style="1" bestFit="1" customWidth="1"/>
    <col min="4350" max="4352" width="10.375" style="1"/>
    <col min="4353" max="4353" width="12.875" style="1" customWidth="1"/>
    <col min="4354" max="4354" width="10.375" style="1"/>
    <col min="4355" max="4355" width="13" style="1" customWidth="1"/>
    <col min="4356" max="4594" width="10.375" style="1"/>
    <col min="4595" max="4595" width="33.25" style="1" customWidth="1"/>
    <col min="4596" max="4600" width="10.375" style="1"/>
    <col min="4601" max="4601" width="13.625" style="1" customWidth="1"/>
    <col min="4602" max="4602" width="10.375" style="1"/>
    <col min="4603" max="4603" width="14.375" style="1" customWidth="1"/>
    <col min="4604" max="4604" width="10.375" style="1"/>
    <col min="4605" max="4605" width="11.625" style="1" bestFit="1" customWidth="1"/>
    <col min="4606" max="4608" width="10.375" style="1"/>
    <col min="4609" max="4609" width="12.875" style="1" customWidth="1"/>
    <col min="4610" max="4610" width="10.375" style="1"/>
    <col min="4611" max="4611" width="13" style="1" customWidth="1"/>
    <col min="4612" max="4850" width="10.375" style="1"/>
    <col min="4851" max="4851" width="33.25" style="1" customWidth="1"/>
    <col min="4852" max="4856" width="10.375" style="1"/>
    <col min="4857" max="4857" width="13.625" style="1" customWidth="1"/>
    <col min="4858" max="4858" width="10.375" style="1"/>
    <col min="4859" max="4859" width="14.375" style="1" customWidth="1"/>
    <col min="4860" max="4860" width="10.375" style="1"/>
    <col min="4861" max="4861" width="11.625" style="1" bestFit="1" customWidth="1"/>
    <col min="4862" max="4864" width="10.375" style="1"/>
    <col min="4865" max="4865" width="12.875" style="1" customWidth="1"/>
    <col min="4866" max="4866" width="10.375" style="1"/>
    <col min="4867" max="4867" width="13" style="1" customWidth="1"/>
    <col min="4868" max="5106" width="10.375" style="1"/>
    <col min="5107" max="5107" width="33.25" style="1" customWidth="1"/>
    <col min="5108" max="5112" width="10.375" style="1"/>
    <col min="5113" max="5113" width="13.625" style="1" customWidth="1"/>
    <col min="5114" max="5114" width="10.375" style="1"/>
    <col min="5115" max="5115" width="14.375" style="1" customWidth="1"/>
    <col min="5116" max="5116" width="10.375" style="1"/>
    <col min="5117" max="5117" width="11.625" style="1" bestFit="1" customWidth="1"/>
    <col min="5118" max="5120" width="10.375" style="1"/>
    <col min="5121" max="5121" width="12.875" style="1" customWidth="1"/>
    <col min="5122" max="5122" width="10.375" style="1"/>
    <col min="5123" max="5123" width="13" style="1" customWidth="1"/>
    <col min="5124" max="5362" width="10.375" style="1"/>
    <col min="5363" max="5363" width="33.25" style="1" customWidth="1"/>
    <col min="5364" max="5368" width="10.375" style="1"/>
    <col min="5369" max="5369" width="13.625" style="1" customWidth="1"/>
    <col min="5370" max="5370" width="10.375" style="1"/>
    <col min="5371" max="5371" width="14.375" style="1" customWidth="1"/>
    <col min="5372" max="5372" width="10.375" style="1"/>
    <col min="5373" max="5373" width="11.625" style="1" bestFit="1" customWidth="1"/>
    <col min="5374" max="5376" width="10.375" style="1"/>
    <col min="5377" max="5377" width="12.875" style="1" customWidth="1"/>
    <col min="5378" max="5378" width="10.375" style="1"/>
    <col min="5379" max="5379" width="13" style="1" customWidth="1"/>
    <col min="5380" max="5618" width="10.375" style="1"/>
    <col min="5619" max="5619" width="33.25" style="1" customWidth="1"/>
    <col min="5620" max="5624" width="10.375" style="1"/>
    <col min="5625" max="5625" width="13.625" style="1" customWidth="1"/>
    <col min="5626" max="5626" width="10.375" style="1"/>
    <col min="5627" max="5627" width="14.375" style="1" customWidth="1"/>
    <col min="5628" max="5628" width="10.375" style="1"/>
    <col min="5629" max="5629" width="11.625" style="1" bestFit="1" customWidth="1"/>
    <col min="5630" max="5632" width="10.375" style="1"/>
    <col min="5633" max="5633" width="12.875" style="1" customWidth="1"/>
    <col min="5634" max="5634" width="10.375" style="1"/>
    <col min="5635" max="5635" width="13" style="1" customWidth="1"/>
    <col min="5636" max="5874" width="10.375" style="1"/>
    <col min="5875" max="5875" width="33.25" style="1" customWidth="1"/>
    <col min="5876" max="5880" width="10.375" style="1"/>
    <col min="5881" max="5881" width="13.625" style="1" customWidth="1"/>
    <col min="5882" max="5882" width="10.375" style="1"/>
    <col min="5883" max="5883" width="14.375" style="1" customWidth="1"/>
    <col min="5884" max="5884" width="10.375" style="1"/>
    <col min="5885" max="5885" width="11.625" style="1" bestFit="1" customWidth="1"/>
    <col min="5886" max="5888" width="10.375" style="1"/>
    <col min="5889" max="5889" width="12.875" style="1" customWidth="1"/>
    <col min="5890" max="5890" width="10.375" style="1"/>
    <col min="5891" max="5891" width="13" style="1" customWidth="1"/>
    <col min="5892" max="6130" width="10.375" style="1"/>
    <col min="6131" max="6131" width="33.25" style="1" customWidth="1"/>
    <col min="6132" max="6136" width="10.375" style="1"/>
    <col min="6137" max="6137" width="13.625" style="1" customWidth="1"/>
    <col min="6138" max="6138" width="10.375" style="1"/>
    <col min="6139" max="6139" width="14.375" style="1" customWidth="1"/>
    <col min="6140" max="6140" width="10.375" style="1"/>
    <col min="6141" max="6141" width="11.625" style="1" bestFit="1" customWidth="1"/>
    <col min="6142" max="6144" width="10.375" style="1"/>
    <col min="6145" max="6145" width="12.875" style="1" customWidth="1"/>
    <col min="6146" max="6146" width="10.375" style="1"/>
    <col min="6147" max="6147" width="13" style="1" customWidth="1"/>
    <col min="6148" max="6386" width="10.375" style="1"/>
    <col min="6387" max="6387" width="33.25" style="1" customWidth="1"/>
    <col min="6388" max="6392" width="10.375" style="1"/>
    <col min="6393" max="6393" width="13.625" style="1" customWidth="1"/>
    <col min="6394" max="6394" width="10.375" style="1"/>
    <col min="6395" max="6395" width="14.375" style="1" customWidth="1"/>
    <col min="6396" max="6396" width="10.375" style="1"/>
    <col min="6397" max="6397" width="11.625" style="1" bestFit="1" customWidth="1"/>
    <col min="6398" max="6400" width="10.375" style="1"/>
    <col min="6401" max="6401" width="12.875" style="1" customWidth="1"/>
    <col min="6402" max="6402" width="10.375" style="1"/>
    <col min="6403" max="6403" width="13" style="1" customWidth="1"/>
    <col min="6404" max="6642" width="10.375" style="1"/>
    <col min="6643" max="6643" width="33.25" style="1" customWidth="1"/>
    <col min="6644" max="6648" width="10.375" style="1"/>
    <col min="6649" max="6649" width="13.625" style="1" customWidth="1"/>
    <col min="6650" max="6650" width="10.375" style="1"/>
    <col min="6651" max="6651" width="14.375" style="1" customWidth="1"/>
    <col min="6652" max="6652" width="10.375" style="1"/>
    <col min="6653" max="6653" width="11.625" style="1" bestFit="1" customWidth="1"/>
    <col min="6654" max="6656" width="10.375" style="1"/>
    <col min="6657" max="6657" width="12.875" style="1" customWidth="1"/>
    <col min="6658" max="6658" width="10.375" style="1"/>
    <col min="6659" max="6659" width="13" style="1" customWidth="1"/>
    <col min="6660" max="6898" width="10.375" style="1"/>
    <col min="6899" max="6899" width="33.25" style="1" customWidth="1"/>
    <col min="6900" max="6904" width="10.375" style="1"/>
    <col min="6905" max="6905" width="13.625" style="1" customWidth="1"/>
    <col min="6906" max="6906" width="10.375" style="1"/>
    <col min="6907" max="6907" width="14.375" style="1" customWidth="1"/>
    <col min="6908" max="6908" width="10.375" style="1"/>
    <col min="6909" max="6909" width="11.625" style="1" bestFit="1" customWidth="1"/>
    <col min="6910" max="6912" width="10.375" style="1"/>
    <col min="6913" max="6913" width="12.875" style="1" customWidth="1"/>
    <col min="6914" max="6914" width="10.375" style="1"/>
    <col min="6915" max="6915" width="13" style="1" customWidth="1"/>
    <col min="6916" max="7154" width="10.375" style="1"/>
    <col min="7155" max="7155" width="33.25" style="1" customWidth="1"/>
    <col min="7156" max="7160" width="10.375" style="1"/>
    <col min="7161" max="7161" width="13.625" style="1" customWidth="1"/>
    <col min="7162" max="7162" width="10.375" style="1"/>
    <col min="7163" max="7163" width="14.375" style="1" customWidth="1"/>
    <col min="7164" max="7164" width="10.375" style="1"/>
    <col min="7165" max="7165" width="11.625" style="1" bestFit="1" customWidth="1"/>
    <col min="7166" max="7168" width="10.375" style="1"/>
    <col min="7169" max="7169" width="12.875" style="1" customWidth="1"/>
    <col min="7170" max="7170" width="10.375" style="1"/>
    <col min="7171" max="7171" width="13" style="1" customWidth="1"/>
    <col min="7172" max="7410" width="10.375" style="1"/>
    <col min="7411" max="7411" width="33.25" style="1" customWidth="1"/>
    <col min="7412" max="7416" width="10.375" style="1"/>
    <col min="7417" max="7417" width="13.625" style="1" customWidth="1"/>
    <col min="7418" max="7418" width="10.375" style="1"/>
    <col min="7419" max="7419" width="14.375" style="1" customWidth="1"/>
    <col min="7420" max="7420" width="10.375" style="1"/>
    <col min="7421" max="7421" width="11.625" style="1" bestFit="1" customWidth="1"/>
    <col min="7422" max="7424" width="10.375" style="1"/>
    <col min="7425" max="7425" width="12.875" style="1" customWidth="1"/>
    <col min="7426" max="7426" width="10.375" style="1"/>
    <col min="7427" max="7427" width="13" style="1" customWidth="1"/>
    <col min="7428" max="7666" width="10.375" style="1"/>
    <col min="7667" max="7667" width="33.25" style="1" customWidth="1"/>
    <col min="7668" max="7672" width="10.375" style="1"/>
    <col min="7673" max="7673" width="13.625" style="1" customWidth="1"/>
    <col min="7674" max="7674" width="10.375" style="1"/>
    <col min="7675" max="7675" width="14.375" style="1" customWidth="1"/>
    <col min="7676" max="7676" width="10.375" style="1"/>
    <col min="7677" max="7677" width="11.625" style="1" bestFit="1" customWidth="1"/>
    <col min="7678" max="7680" width="10.375" style="1"/>
    <col min="7681" max="7681" width="12.875" style="1" customWidth="1"/>
    <col min="7682" max="7682" width="10.375" style="1"/>
    <col min="7683" max="7683" width="13" style="1" customWidth="1"/>
    <col min="7684" max="7922" width="10.375" style="1"/>
    <col min="7923" max="7923" width="33.25" style="1" customWidth="1"/>
    <col min="7924" max="7928" width="10.375" style="1"/>
    <col min="7929" max="7929" width="13.625" style="1" customWidth="1"/>
    <col min="7930" max="7930" width="10.375" style="1"/>
    <col min="7931" max="7931" width="14.375" style="1" customWidth="1"/>
    <col min="7932" max="7932" width="10.375" style="1"/>
    <col min="7933" max="7933" width="11.625" style="1" bestFit="1" customWidth="1"/>
    <col min="7934" max="7936" width="10.375" style="1"/>
    <col min="7937" max="7937" width="12.875" style="1" customWidth="1"/>
    <col min="7938" max="7938" width="10.375" style="1"/>
    <col min="7939" max="7939" width="13" style="1" customWidth="1"/>
    <col min="7940" max="8178" width="10.375" style="1"/>
    <col min="8179" max="8179" width="33.25" style="1" customWidth="1"/>
    <col min="8180" max="8184" width="10.375" style="1"/>
    <col min="8185" max="8185" width="13.625" style="1" customWidth="1"/>
    <col min="8186" max="8186" width="10.375" style="1"/>
    <col min="8187" max="8187" width="14.375" style="1" customWidth="1"/>
    <col min="8188" max="8188" width="10.375" style="1"/>
    <col min="8189" max="8189" width="11.625" style="1" bestFit="1" customWidth="1"/>
    <col min="8190" max="8192" width="10.375" style="1"/>
    <col min="8193" max="8193" width="12.875" style="1" customWidth="1"/>
    <col min="8194" max="8194" width="10.375" style="1"/>
    <col min="8195" max="8195" width="13" style="1" customWidth="1"/>
    <col min="8196" max="8434" width="10.375" style="1"/>
    <col min="8435" max="8435" width="33.25" style="1" customWidth="1"/>
    <col min="8436" max="8440" width="10.375" style="1"/>
    <col min="8441" max="8441" width="13.625" style="1" customWidth="1"/>
    <col min="8442" max="8442" width="10.375" style="1"/>
    <col min="8443" max="8443" width="14.375" style="1" customWidth="1"/>
    <col min="8444" max="8444" width="10.375" style="1"/>
    <col min="8445" max="8445" width="11.625" style="1" bestFit="1" customWidth="1"/>
    <col min="8446" max="8448" width="10.375" style="1"/>
    <col min="8449" max="8449" width="12.875" style="1" customWidth="1"/>
    <col min="8450" max="8450" width="10.375" style="1"/>
    <col min="8451" max="8451" width="13" style="1" customWidth="1"/>
    <col min="8452" max="8690" width="10.375" style="1"/>
    <col min="8691" max="8691" width="33.25" style="1" customWidth="1"/>
    <col min="8692" max="8696" width="10.375" style="1"/>
    <col min="8697" max="8697" width="13.625" style="1" customWidth="1"/>
    <col min="8698" max="8698" width="10.375" style="1"/>
    <col min="8699" max="8699" width="14.375" style="1" customWidth="1"/>
    <col min="8700" max="8700" width="10.375" style="1"/>
    <col min="8701" max="8701" width="11.625" style="1" bestFit="1" customWidth="1"/>
    <col min="8702" max="8704" width="10.375" style="1"/>
    <col min="8705" max="8705" width="12.875" style="1" customWidth="1"/>
    <col min="8706" max="8706" width="10.375" style="1"/>
    <col min="8707" max="8707" width="13" style="1" customWidth="1"/>
    <col min="8708" max="8946" width="10.375" style="1"/>
    <col min="8947" max="8947" width="33.25" style="1" customWidth="1"/>
    <col min="8948" max="8952" width="10.375" style="1"/>
    <col min="8953" max="8953" width="13.625" style="1" customWidth="1"/>
    <col min="8954" max="8954" width="10.375" style="1"/>
    <col min="8955" max="8955" width="14.375" style="1" customWidth="1"/>
    <col min="8956" max="8956" width="10.375" style="1"/>
    <col min="8957" max="8957" width="11.625" style="1" bestFit="1" customWidth="1"/>
    <col min="8958" max="8960" width="10.375" style="1"/>
    <col min="8961" max="8961" width="12.875" style="1" customWidth="1"/>
    <col min="8962" max="8962" width="10.375" style="1"/>
    <col min="8963" max="8963" width="13" style="1" customWidth="1"/>
    <col min="8964" max="9202" width="10.375" style="1"/>
    <col min="9203" max="9203" width="33.25" style="1" customWidth="1"/>
    <col min="9204" max="9208" width="10.375" style="1"/>
    <col min="9209" max="9209" width="13.625" style="1" customWidth="1"/>
    <col min="9210" max="9210" width="10.375" style="1"/>
    <col min="9211" max="9211" width="14.375" style="1" customWidth="1"/>
    <col min="9212" max="9212" width="10.375" style="1"/>
    <col min="9213" max="9213" width="11.625" style="1" bestFit="1" customWidth="1"/>
    <col min="9214" max="9216" width="10.375" style="1"/>
    <col min="9217" max="9217" width="12.875" style="1" customWidth="1"/>
    <col min="9218" max="9218" width="10.375" style="1"/>
    <col min="9219" max="9219" width="13" style="1" customWidth="1"/>
    <col min="9220" max="9458" width="10.375" style="1"/>
    <col min="9459" max="9459" width="33.25" style="1" customWidth="1"/>
    <col min="9460" max="9464" width="10.375" style="1"/>
    <col min="9465" max="9465" width="13.625" style="1" customWidth="1"/>
    <col min="9466" max="9466" width="10.375" style="1"/>
    <col min="9467" max="9467" width="14.375" style="1" customWidth="1"/>
    <col min="9468" max="9468" width="10.375" style="1"/>
    <col min="9469" max="9469" width="11.625" style="1" bestFit="1" customWidth="1"/>
    <col min="9470" max="9472" width="10.375" style="1"/>
    <col min="9473" max="9473" width="12.875" style="1" customWidth="1"/>
    <col min="9474" max="9474" width="10.375" style="1"/>
    <col min="9475" max="9475" width="13" style="1" customWidth="1"/>
    <col min="9476" max="9714" width="10.375" style="1"/>
    <col min="9715" max="9715" width="33.25" style="1" customWidth="1"/>
    <col min="9716" max="9720" width="10.375" style="1"/>
    <col min="9721" max="9721" width="13.625" style="1" customWidth="1"/>
    <col min="9722" max="9722" width="10.375" style="1"/>
    <col min="9723" max="9723" width="14.375" style="1" customWidth="1"/>
    <col min="9724" max="9724" width="10.375" style="1"/>
    <col min="9725" max="9725" width="11.625" style="1" bestFit="1" customWidth="1"/>
    <col min="9726" max="9728" width="10.375" style="1"/>
    <col min="9729" max="9729" width="12.875" style="1" customWidth="1"/>
    <col min="9730" max="9730" width="10.375" style="1"/>
    <col min="9731" max="9731" width="13" style="1" customWidth="1"/>
    <col min="9732" max="9970" width="10.375" style="1"/>
    <col min="9971" max="9971" width="33.25" style="1" customWidth="1"/>
    <col min="9972" max="9976" width="10.375" style="1"/>
    <col min="9977" max="9977" width="13.625" style="1" customWidth="1"/>
    <col min="9978" max="9978" width="10.375" style="1"/>
    <col min="9979" max="9979" width="14.375" style="1" customWidth="1"/>
    <col min="9980" max="9980" width="10.375" style="1"/>
    <col min="9981" max="9981" width="11.625" style="1" bestFit="1" customWidth="1"/>
    <col min="9982" max="9984" width="10.375" style="1"/>
    <col min="9985" max="9985" width="12.875" style="1" customWidth="1"/>
    <col min="9986" max="9986" width="10.375" style="1"/>
    <col min="9987" max="9987" width="13" style="1" customWidth="1"/>
    <col min="9988" max="10226" width="10.375" style="1"/>
    <col min="10227" max="10227" width="33.25" style="1" customWidth="1"/>
    <col min="10228" max="10232" width="10.375" style="1"/>
    <col min="10233" max="10233" width="13.625" style="1" customWidth="1"/>
    <col min="10234" max="10234" width="10.375" style="1"/>
    <col min="10235" max="10235" width="14.375" style="1" customWidth="1"/>
    <col min="10236" max="10236" width="10.375" style="1"/>
    <col min="10237" max="10237" width="11.625" style="1" bestFit="1" customWidth="1"/>
    <col min="10238" max="10240" width="10.375" style="1"/>
    <col min="10241" max="10241" width="12.875" style="1" customWidth="1"/>
    <col min="10242" max="10242" width="10.375" style="1"/>
    <col min="10243" max="10243" width="13" style="1" customWidth="1"/>
    <col min="10244" max="10482" width="10.375" style="1"/>
    <col min="10483" max="10483" width="33.25" style="1" customWidth="1"/>
    <col min="10484" max="10488" width="10.375" style="1"/>
    <col min="10489" max="10489" width="13.625" style="1" customWidth="1"/>
    <col min="10490" max="10490" width="10.375" style="1"/>
    <col min="10491" max="10491" width="14.375" style="1" customWidth="1"/>
    <col min="10492" max="10492" width="10.375" style="1"/>
    <col min="10493" max="10493" width="11.625" style="1" bestFit="1" customWidth="1"/>
    <col min="10494" max="10496" width="10.375" style="1"/>
    <col min="10497" max="10497" width="12.875" style="1" customWidth="1"/>
    <col min="10498" max="10498" width="10.375" style="1"/>
    <col min="10499" max="10499" width="13" style="1" customWidth="1"/>
    <col min="10500" max="10738" width="10.375" style="1"/>
    <col min="10739" max="10739" width="33.25" style="1" customWidth="1"/>
    <col min="10740" max="10744" width="10.375" style="1"/>
    <col min="10745" max="10745" width="13.625" style="1" customWidth="1"/>
    <col min="10746" max="10746" width="10.375" style="1"/>
    <col min="10747" max="10747" width="14.375" style="1" customWidth="1"/>
    <col min="10748" max="10748" width="10.375" style="1"/>
    <col min="10749" max="10749" width="11.625" style="1" bestFit="1" customWidth="1"/>
    <col min="10750" max="10752" width="10.375" style="1"/>
    <col min="10753" max="10753" width="12.875" style="1" customWidth="1"/>
    <col min="10754" max="10754" width="10.375" style="1"/>
    <col min="10755" max="10755" width="13" style="1" customWidth="1"/>
    <col min="10756" max="10994" width="10.375" style="1"/>
    <col min="10995" max="10995" width="33.25" style="1" customWidth="1"/>
    <col min="10996" max="11000" width="10.375" style="1"/>
    <col min="11001" max="11001" width="13.625" style="1" customWidth="1"/>
    <col min="11002" max="11002" width="10.375" style="1"/>
    <col min="11003" max="11003" width="14.375" style="1" customWidth="1"/>
    <col min="11004" max="11004" width="10.375" style="1"/>
    <col min="11005" max="11005" width="11.625" style="1" bestFit="1" customWidth="1"/>
    <col min="11006" max="11008" width="10.375" style="1"/>
    <col min="11009" max="11009" width="12.875" style="1" customWidth="1"/>
    <col min="11010" max="11010" width="10.375" style="1"/>
    <col min="11011" max="11011" width="13" style="1" customWidth="1"/>
    <col min="11012" max="11250" width="10.375" style="1"/>
    <col min="11251" max="11251" width="33.25" style="1" customWidth="1"/>
    <col min="11252" max="11256" width="10.375" style="1"/>
    <col min="11257" max="11257" width="13.625" style="1" customWidth="1"/>
    <col min="11258" max="11258" width="10.375" style="1"/>
    <col min="11259" max="11259" width="14.375" style="1" customWidth="1"/>
    <col min="11260" max="11260" width="10.375" style="1"/>
    <col min="11261" max="11261" width="11.625" style="1" bestFit="1" customWidth="1"/>
    <col min="11262" max="11264" width="10.375" style="1"/>
    <col min="11265" max="11265" width="12.875" style="1" customWidth="1"/>
    <col min="11266" max="11266" width="10.375" style="1"/>
    <col min="11267" max="11267" width="13" style="1" customWidth="1"/>
    <col min="11268" max="11506" width="10.375" style="1"/>
    <col min="11507" max="11507" width="33.25" style="1" customWidth="1"/>
    <col min="11508" max="11512" width="10.375" style="1"/>
    <col min="11513" max="11513" width="13.625" style="1" customWidth="1"/>
    <col min="11514" max="11514" width="10.375" style="1"/>
    <col min="11515" max="11515" width="14.375" style="1" customWidth="1"/>
    <col min="11516" max="11516" width="10.375" style="1"/>
    <col min="11517" max="11517" width="11.625" style="1" bestFit="1" customWidth="1"/>
    <col min="11518" max="11520" width="10.375" style="1"/>
    <col min="11521" max="11521" width="12.875" style="1" customWidth="1"/>
    <col min="11522" max="11522" width="10.375" style="1"/>
    <col min="11523" max="11523" width="13" style="1" customWidth="1"/>
    <col min="11524" max="11762" width="10.375" style="1"/>
    <col min="11763" max="11763" width="33.25" style="1" customWidth="1"/>
    <col min="11764" max="11768" width="10.375" style="1"/>
    <col min="11769" max="11769" width="13.625" style="1" customWidth="1"/>
    <col min="11770" max="11770" width="10.375" style="1"/>
    <col min="11771" max="11771" width="14.375" style="1" customWidth="1"/>
    <col min="11772" max="11772" width="10.375" style="1"/>
    <col min="11773" max="11773" width="11.625" style="1" bestFit="1" customWidth="1"/>
    <col min="11774" max="11776" width="10.375" style="1"/>
    <col min="11777" max="11777" width="12.875" style="1" customWidth="1"/>
    <col min="11778" max="11778" width="10.375" style="1"/>
    <col min="11779" max="11779" width="13" style="1" customWidth="1"/>
    <col min="11780" max="12018" width="10.375" style="1"/>
    <col min="12019" max="12019" width="33.25" style="1" customWidth="1"/>
    <col min="12020" max="12024" width="10.375" style="1"/>
    <col min="12025" max="12025" width="13.625" style="1" customWidth="1"/>
    <col min="12026" max="12026" width="10.375" style="1"/>
    <col min="12027" max="12027" width="14.375" style="1" customWidth="1"/>
    <col min="12028" max="12028" width="10.375" style="1"/>
    <col min="12029" max="12029" width="11.625" style="1" bestFit="1" customWidth="1"/>
    <col min="12030" max="12032" width="10.375" style="1"/>
    <col min="12033" max="12033" width="12.875" style="1" customWidth="1"/>
    <col min="12034" max="12034" width="10.375" style="1"/>
    <col min="12035" max="12035" width="13" style="1" customWidth="1"/>
    <col min="12036" max="12274" width="10.375" style="1"/>
    <col min="12275" max="12275" width="33.25" style="1" customWidth="1"/>
    <col min="12276" max="12280" width="10.375" style="1"/>
    <col min="12281" max="12281" width="13.625" style="1" customWidth="1"/>
    <col min="12282" max="12282" width="10.375" style="1"/>
    <col min="12283" max="12283" width="14.375" style="1" customWidth="1"/>
    <col min="12284" max="12284" width="10.375" style="1"/>
    <col min="12285" max="12285" width="11.625" style="1" bestFit="1" customWidth="1"/>
    <col min="12286" max="12288" width="10.375" style="1"/>
    <col min="12289" max="12289" width="12.875" style="1" customWidth="1"/>
    <col min="12290" max="12290" width="10.375" style="1"/>
    <col min="12291" max="12291" width="13" style="1" customWidth="1"/>
    <col min="12292" max="12530" width="10.375" style="1"/>
    <col min="12531" max="12531" width="33.25" style="1" customWidth="1"/>
    <col min="12532" max="12536" width="10.375" style="1"/>
    <col min="12537" max="12537" width="13.625" style="1" customWidth="1"/>
    <col min="12538" max="12538" width="10.375" style="1"/>
    <col min="12539" max="12539" width="14.375" style="1" customWidth="1"/>
    <col min="12540" max="12540" width="10.375" style="1"/>
    <col min="12541" max="12541" width="11.625" style="1" bestFit="1" customWidth="1"/>
    <col min="12542" max="12544" width="10.375" style="1"/>
    <col min="12545" max="12545" width="12.875" style="1" customWidth="1"/>
    <col min="12546" max="12546" width="10.375" style="1"/>
    <col min="12547" max="12547" width="13" style="1" customWidth="1"/>
    <col min="12548" max="12786" width="10.375" style="1"/>
    <col min="12787" max="12787" width="33.25" style="1" customWidth="1"/>
    <col min="12788" max="12792" width="10.375" style="1"/>
    <col min="12793" max="12793" width="13.625" style="1" customWidth="1"/>
    <col min="12794" max="12794" width="10.375" style="1"/>
    <col min="12795" max="12795" width="14.375" style="1" customWidth="1"/>
    <col min="12796" max="12796" width="10.375" style="1"/>
    <col min="12797" max="12797" width="11.625" style="1" bestFit="1" customWidth="1"/>
    <col min="12798" max="12800" width="10.375" style="1"/>
    <col min="12801" max="12801" width="12.875" style="1" customWidth="1"/>
    <col min="12802" max="12802" width="10.375" style="1"/>
    <col min="12803" max="12803" width="13" style="1" customWidth="1"/>
    <col min="12804" max="13042" width="10.375" style="1"/>
    <col min="13043" max="13043" width="33.25" style="1" customWidth="1"/>
    <col min="13044" max="13048" width="10.375" style="1"/>
    <col min="13049" max="13049" width="13.625" style="1" customWidth="1"/>
    <col min="13050" max="13050" width="10.375" style="1"/>
    <col min="13051" max="13051" width="14.375" style="1" customWidth="1"/>
    <col min="13052" max="13052" width="10.375" style="1"/>
    <col min="13053" max="13053" width="11.625" style="1" bestFit="1" customWidth="1"/>
    <col min="13054" max="13056" width="10.375" style="1"/>
    <col min="13057" max="13057" width="12.875" style="1" customWidth="1"/>
    <col min="13058" max="13058" width="10.375" style="1"/>
    <col min="13059" max="13059" width="13" style="1" customWidth="1"/>
    <col min="13060" max="13298" width="10.375" style="1"/>
    <col min="13299" max="13299" width="33.25" style="1" customWidth="1"/>
    <col min="13300" max="13304" width="10.375" style="1"/>
    <col min="13305" max="13305" width="13.625" style="1" customWidth="1"/>
    <col min="13306" max="13306" width="10.375" style="1"/>
    <col min="13307" max="13307" width="14.375" style="1" customWidth="1"/>
    <col min="13308" max="13308" width="10.375" style="1"/>
    <col min="13309" max="13309" width="11.625" style="1" bestFit="1" customWidth="1"/>
    <col min="13310" max="13312" width="10.375" style="1"/>
    <col min="13313" max="13313" width="12.875" style="1" customWidth="1"/>
    <col min="13314" max="13314" width="10.375" style="1"/>
    <col min="13315" max="13315" width="13" style="1" customWidth="1"/>
    <col min="13316" max="13554" width="10.375" style="1"/>
    <col min="13555" max="13555" width="33.25" style="1" customWidth="1"/>
    <col min="13556" max="13560" width="10.375" style="1"/>
    <col min="13561" max="13561" width="13.625" style="1" customWidth="1"/>
    <col min="13562" max="13562" width="10.375" style="1"/>
    <col min="13563" max="13563" width="14.375" style="1" customWidth="1"/>
    <col min="13564" max="13564" width="10.375" style="1"/>
    <col min="13565" max="13565" width="11.625" style="1" bestFit="1" customWidth="1"/>
    <col min="13566" max="13568" width="10.375" style="1"/>
    <col min="13569" max="13569" width="12.875" style="1" customWidth="1"/>
    <col min="13570" max="13570" width="10.375" style="1"/>
    <col min="13571" max="13571" width="13" style="1" customWidth="1"/>
    <col min="13572" max="13810" width="10.375" style="1"/>
    <col min="13811" max="13811" width="33.25" style="1" customWidth="1"/>
    <col min="13812" max="13816" width="10.375" style="1"/>
    <col min="13817" max="13817" width="13.625" style="1" customWidth="1"/>
    <col min="13818" max="13818" width="10.375" style="1"/>
    <col min="13819" max="13819" width="14.375" style="1" customWidth="1"/>
    <col min="13820" max="13820" width="10.375" style="1"/>
    <col min="13821" max="13821" width="11.625" style="1" bestFit="1" customWidth="1"/>
    <col min="13822" max="13824" width="10.375" style="1"/>
    <col min="13825" max="13825" width="12.875" style="1" customWidth="1"/>
    <col min="13826" max="13826" width="10.375" style="1"/>
    <col min="13827" max="13827" width="13" style="1" customWidth="1"/>
    <col min="13828" max="14066" width="10.375" style="1"/>
    <col min="14067" max="14067" width="33.25" style="1" customWidth="1"/>
    <col min="14068" max="14072" width="10.375" style="1"/>
    <col min="14073" max="14073" width="13.625" style="1" customWidth="1"/>
    <col min="14074" max="14074" width="10.375" style="1"/>
    <col min="14075" max="14075" width="14.375" style="1" customWidth="1"/>
    <col min="14076" max="14076" width="10.375" style="1"/>
    <col min="14077" max="14077" width="11.625" style="1" bestFit="1" customWidth="1"/>
    <col min="14078" max="14080" width="10.375" style="1"/>
    <col min="14081" max="14081" width="12.875" style="1" customWidth="1"/>
    <col min="14082" max="14082" width="10.375" style="1"/>
    <col min="14083" max="14083" width="13" style="1" customWidth="1"/>
    <col min="14084" max="14322" width="10.375" style="1"/>
    <col min="14323" max="14323" width="33.25" style="1" customWidth="1"/>
    <col min="14324" max="14328" width="10.375" style="1"/>
    <col min="14329" max="14329" width="13.625" style="1" customWidth="1"/>
    <col min="14330" max="14330" width="10.375" style="1"/>
    <col min="14331" max="14331" width="14.375" style="1" customWidth="1"/>
    <col min="14332" max="14332" width="10.375" style="1"/>
    <col min="14333" max="14333" width="11.625" style="1" bestFit="1" customWidth="1"/>
    <col min="14334" max="14336" width="10.375" style="1"/>
    <col min="14337" max="14337" width="12.875" style="1" customWidth="1"/>
    <col min="14338" max="14338" width="10.375" style="1"/>
    <col min="14339" max="14339" width="13" style="1" customWidth="1"/>
    <col min="14340" max="14578" width="10.375" style="1"/>
    <col min="14579" max="14579" width="33.25" style="1" customWidth="1"/>
    <col min="14580" max="14584" width="10.375" style="1"/>
    <col min="14585" max="14585" width="13.625" style="1" customWidth="1"/>
    <col min="14586" max="14586" width="10.375" style="1"/>
    <col min="14587" max="14587" width="14.375" style="1" customWidth="1"/>
    <col min="14588" max="14588" width="10.375" style="1"/>
    <col min="14589" max="14589" width="11.625" style="1" bestFit="1" customWidth="1"/>
    <col min="14590" max="14592" width="10.375" style="1"/>
    <col min="14593" max="14593" width="12.875" style="1" customWidth="1"/>
    <col min="14594" max="14594" width="10.375" style="1"/>
    <col min="14595" max="14595" width="13" style="1" customWidth="1"/>
    <col min="14596" max="14834" width="10.375" style="1"/>
    <col min="14835" max="14835" width="33.25" style="1" customWidth="1"/>
    <col min="14836" max="14840" width="10.375" style="1"/>
    <col min="14841" max="14841" width="13.625" style="1" customWidth="1"/>
    <col min="14842" max="14842" width="10.375" style="1"/>
    <col min="14843" max="14843" width="14.375" style="1" customWidth="1"/>
    <col min="14844" max="14844" width="10.375" style="1"/>
    <col min="14845" max="14845" width="11.625" style="1" bestFit="1" customWidth="1"/>
    <col min="14846" max="14848" width="10.375" style="1"/>
    <col min="14849" max="14849" width="12.875" style="1" customWidth="1"/>
    <col min="14850" max="14850" width="10.375" style="1"/>
    <col min="14851" max="14851" width="13" style="1" customWidth="1"/>
    <col min="14852" max="15090" width="10.375" style="1"/>
    <col min="15091" max="15091" width="33.25" style="1" customWidth="1"/>
    <col min="15092" max="15096" width="10.375" style="1"/>
    <col min="15097" max="15097" width="13.625" style="1" customWidth="1"/>
    <col min="15098" max="15098" width="10.375" style="1"/>
    <col min="15099" max="15099" width="14.375" style="1" customWidth="1"/>
    <col min="15100" max="15100" width="10.375" style="1"/>
    <col min="15101" max="15101" width="11.625" style="1" bestFit="1" customWidth="1"/>
    <col min="15102" max="15104" width="10.375" style="1"/>
    <col min="15105" max="15105" width="12.875" style="1" customWidth="1"/>
    <col min="15106" max="15106" width="10.375" style="1"/>
    <col min="15107" max="15107" width="13" style="1" customWidth="1"/>
    <col min="15108" max="15346" width="10.375" style="1"/>
    <col min="15347" max="15347" width="33.25" style="1" customWidth="1"/>
    <col min="15348" max="15352" width="10.375" style="1"/>
    <col min="15353" max="15353" width="13.625" style="1" customWidth="1"/>
    <col min="15354" max="15354" width="10.375" style="1"/>
    <col min="15355" max="15355" width="14.375" style="1" customWidth="1"/>
    <col min="15356" max="15356" width="10.375" style="1"/>
    <col min="15357" max="15357" width="11.625" style="1" bestFit="1" customWidth="1"/>
    <col min="15358" max="15360" width="10.375" style="1"/>
    <col min="15361" max="15361" width="12.875" style="1" customWidth="1"/>
    <col min="15362" max="15362" width="10.375" style="1"/>
    <col min="15363" max="15363" width="13" style="1" customWidth="1"/>
    <col min="15364" max="15602" width="10.375" style="1"/>
    <col min="15603" max="15603" width="33.25" style="1" customWidth="1"/>
    <col min="15604" max="15608" width="10.375" style="1"/>
    <col min="15609" max="15609" width="13.625" style="1" customWidth="1"/>
    <col min="15610" max="15610" width="10.375" style="1"/>
    <col min="15611" max="15611" width="14.375" style="1" customWidth="1"/>
    <col min="15612" max="15612" width="10.375" style="1"/>
    <col min="15613" max="15613" width="11.625" style="1" bestFit="1" customWidth="1"/>
    <col min="15614" max="15616" width="10.375" style="1"/>
    <col min="15617" max="15617" width="12.875" style="1" customWidth="1"/>
    <col min="15618" max="15618" width="10.375" style="1"/>
    <col min="15619" max="15619" width="13" style="1" customWidth="1"/>
    <col min="15620" max="15858" width="10.375" style="1"/>
    <col min="15859" max="15859" width="33.25" style="1" customWidth="1"/>
    <col min="15860" max="15864" width="10.375" style="1"/>
    <col min="15865" max="15865" width="13.625" style="1" customWidth="1"/>
    <col min="15866" max="15866" width="10.375" style="1"/>
    <col min="15867" max="15867" width="14.375" style="1" customWidth="1"/>
    <col min="15868" max="15868" width="10.375" style="1"/>
    <col min="15869" max="15869" width="11.625" style="1" bestFit="1" customWidth="1"/>
    <col min="15870" max="15872" width="10.375" style="1"/>
    <col min="15873" max="15873" width="12.875" style="1" customWidth="1"/>
    <col min="15874" max="15874" width="10.375" style="1"/>
    <col min="15875" max="15875" width="13" style="1" customWidth="1"/>
    <col min="15876" max="16114" width="10.375" style="1"/>
    <col min="16115" max="16115" width="33.25" style="1" customWidth="1"/>
    <col min="16116" max="16120" width="10.375" style="1"/>
    <col min="16121" max="16121" width="13.625" style="1" customWidth="1"/>
    <col min="16122" max="16122" width="10.375" style="1"/>
    <col min="16123" max="16123" width="14.375" style="1" customWidth="1"/>
    <col min="16124" max="16124" width="10.375" style="1"/>
    <col min="16125" max="16125" width="11.625" style="1" bestFit="1" customWidth="1"/>
    <col min="16126" max="16128" width="10.375" style="1"/>
    <col min="16129" max="16129" width="12.875" style="1" customWidth="1"/>
    <col min="16130" max="16130" width="10.375" style="1"/>
    <col min="16131" max="16131" width="13" style="1" customWidth="1"/>
    <col min="16132" max="16384" width="10.375" style="1"/>
  </cols>
  <sheetData>
    <row r="1" spans="1:6" ht="18.600000000000001">
      <c r="A1" s="175" t="s">
        <v>0</v>
      </c>
      <c r="B1" s="175"/>
      <c r="C1" s="175"/>
      <c r="D1" s="175"/>
      <c r="E1" s="175"/>
      <c r="F1" s="175"/>
    </row>
    <row r="2" spans="1:6" ht="18.600000000000001">
      <c r="A2" s="176" t="s">
        <v>1</v>
      </c>
      <c r="B2" s="176"/>
      <c r="C2" s="176"/>
      <c r="D2" s="176"/>
      <c r="E2" s="176"/>
      <c r="F2" s="176"/>
    </row>
    <row r="3" spans="1:6" ht="18.600000000000001">
      <c r="A3" s="177" t="s">
        <v>65</v>
      </c>
      <c r="B3" s="177"/>
      <c r="C3" s="177"/>
      <c r="D3" s="177"/>
      <c r="E3" s="177"/>
      <c r="F3" s="177"/>
    </row>
    <row r="4" spans="1:6" ht="18.600000000000001">
      <c r="A4" s="178" t="s">
        <v>3</v>
      </c>
      <c r="B4" s="173" t="s">
        <v>4</v>
      </c>
      <c r="C4" s="173" t="s">
        <v>5</v>
      </c>
      <c r="D4" s="214" t="s">
        <v>8</v>
      </c>
      <c r="E4" s="215"/>
      <c r="F4" s="216"/>
    </row>
    <row r="5" spans="1:6">
      <c r="A5" s="179"/>
      <c r="B5" s="181"/>
      <c r="C5" s="181"/>
      <c r="D5" s="207" t="s">
        <v>14</v>
      </c>
      <c r="E5" s="209" t="s">
        <v>15</v>
      </c>
      <c r="F5" s="205" t="s">
        <v>16</v>
      </c>
    </row>
    <row r="6" spans="1:6">
      <c r="A6" s="180"/>
      <c r="B6" s="174"/>
      <c r="C6" s="174"/>
      <c r="D6" s="208"/>
      <c r="E6" s="210"/>
      <c r="F6" s="206"/>
    </row>
    <row r="7" spans="1:6" ht="18.600000000000001">
      <c r="A7" s="217" t="s">
        <v>57</v>
      </c>
      <c r="B7" s="218"/>
      <c r="C7" s="219"/>
      <c r="D7" s="142"/>
      <c r="E7" s="143"/>
      <c r="F7" s="144"/>
    </row>
    <row r="8" spans="1:6" ht="18.600000000000001">
      <c r="A8" s="140"/>
      <c r="B8" s="141"/>
      <c r="C8" s="141"/>
      <c r="D8" s="142"/>
      <c r="E8" s="143"/>
      <c r="F8" s="144"/>
    </row>
    <row r="9" spans="1:6" ht="23.25" customHeight="1" thickBot="1">
      <c r="A9" s="220" t="s">
        <v>53</v>
      </c>
      <c r="B9" s="220"/>
      <c r="C9" s="221"/>
      <c r="D9" s="114"/>
      <c r="E9" s="114"/>
      <c r="F9" s="107">
        <v>0</v>
      </c>
    </row>
    <row r="10" spans="1:6" ht="19.2" thickTop="1">
      <c r="A10" s="120"/>
      <c r="B10" s="121"/>
      <c r="C10" s="121"/>
      <c r="D10" s="122"/>
      <c r="E10" s="123"/>
      <c r="F10" s="124"/>
    </row>
    <row r="11" spans="1:6" ht="6.75" customHeight="1">
      <c r="A11" s="120"/>
      <c r="B11" s="121"/>
      <c r="C11" s="121"/>
      <c r="D11" s="122"/>
      <c r="E11" s="123"/>
      <c r="F11" s="124"/>
    </row>
    <row r="12" spans="1:6" ht="18.600000000000001">
      <c r="A12" s="120"/>
      <c r="B12" s="121"/>
      <c r="C12" s="121"/>
      <c r="D12" s="122"/>
      <c r="E12" s="123"/>
      <c r="F12" s="124"/>
    </row>
    <row r="13" spans="1:6" ht="18.600000000000001">
      <c r="B13" s="128"/>
      <c r="C13" s="121"/>
      <c r="D13" s="122"/>
      <c r="E13" s="123"/>
      <c r="F13" s="124"/>
    </row>
    <row r="14" spans="1:6" ht="18.600000000000001">
      <c r="A14" s="129"/>
      <c r="B14" s="130"/>
      <c r="C14" s="129"/>
      <c r="D14" s="134"/>
      <c r="E14" s="135"/>
      <c r="F14" s="136"/>
    </row>
  </sheetData>
  <mergeCells count="12">
    <mergeCell ref="A7:C7"/>
    <mergeCell ref="A9:C9"/>
    <mergeCell ref="A1:F1"/>
    <mergeCell ref="A2:F2"/>
    <mergeCell ref="A3:F3"/>
    <mergeCell ref="A4:A6"/>
    <mergeCell ref="B4:B6"/>
    <mergeCell ref="C4:C6"/>
    <mergeCell ref="D4:F4"/>
    <mergeCell ref="D5:D6"/>
    <mergeCell ref="E5:E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2DD0E-5616-42A7-80AA-7BEAD52A4A86}">
  <sheetPr>
    <tabColor rgb="FFFFC000"/>
  </sheetPr>
  <dimension ref="A1:F21"/>
  <sheetViews>
    <sheetView workbookViewId="0">
      <pane ySplit="6" topLeftCell="A7" activePane="bottomLeft" state="frozen"/>
      <selection pane="bottomLeft" activeCell="A4" sqref="A4:A6"/>
    </sheetView>
  </sheetViews>
  <sheetFormatPr defaultColWidth="10.375" defaultRowHeight="14.4"/>
  <cols>
    <col min="1" max="1" width="10.375" style="1"/>
    <col min="2" max="2" width="33.25" style="1" customWidth="1"/>
    <col min="3" max="5" width="10.375" style="1"/>
    <col min="6" max="6" width="13" style="1" customWidth="1"/>
    <col min="7" max="245" width="10.375" style="1"/>
    <col min="246" max="246" width="33.25" style="1" customWidth="1"/>
    <col min="247" max="251" width="10.375" style="1"/>
    <col min="252" max="252" width="13.625" style="1" customWidth="1"/>
    <col min="253" max="253" width="10.375" style="1"/>
    <col min="254" max="254" width="14.375" style="1" customWidth="1"/>
    <col min="255" max="255" width="10.375" style="1"/>
    <col min="256" max="256" width="11.625" style="1" bestFit="1" customWidth="1"/>
    <col min="257" max="259" width="10.375" style="1"/>
    <col min="260" max="260" width="12.875" style="1" customWidth="1"/>
    <col min="261" max="261" width="10.375" style="1"/>
    <col min="262" max="262" width="13" style="1" customWidth="1"/>
    <col min="263" max="501" width="10.375" style="1"/>
    <col min="502" max="502" width="33.25" style="1" customWidth="1"/>
    <col min="503" max="507" width="10.375" style="1"/>
    <col min="508" max="508" width="13.625" style="1" customWidth="1"/>
    <col min="509" max="509" width="10.375" style="1"/>
    <col min="510" max="510" width="14.375" style="1" customWidth="1"/>
    <col min="511" max="511" width="10.375" style="1"/>
    <col min="512" max="512" width="11.625" style="1" bestFit="1" customWidth="1"/>
    <col min="513" max="515" width="10.375" style="1"/>
    <col min="516" max="516" width="12.875" style="1" customWidth="1"/>
    <col min="517" max="517" width="10.375" style="1"/>
    <col min="518" max="518" width="13" style="1" customWidth="1"/>
    <col min="519" max="757" width="10.375" style="1"/>
    <col min="758" max="758" width="33.25" style="1" customWidth="1"/>
    <col min="759" max="763" width="10.375" style="1"/>
    <col min="764" max="764" width="13.625" style="1" customWidth="1"/>
    <col min="765" max="765" width="10.375" style="1"/>
    <col min="766" max="766" width="14.375" style="1" customWidth="1"/>
    <col min="767" max="767" width="10.375" style="1"/>
    <col min="768" max="768" width="11.625" style="1" bestFit="1" customWidth="1"/>
    <col min="769" max="771" width="10.375" style="1"/>
    <col min="772" max="772" width="12.875" style="1" customWidth="1"/>
    <col min="773" max="773" width="10.375" style="1"/>
    <col min="774" max="774" width="13" style="1" customWidth="1"/>
    <col min="775" max="1013" width="10.375" style="1"/>
    <col min="1014" max="1014" width="33.25" style="1" customWidth="1"/>
    <col min="1015" max="1019" width="10.375" style="1"/>
    <col min="1020" max="1020" width="13.625" style="1" customWidth="1"/>
    <col min="1021" max="1021" width="10.375" style="1"/>
    <col min="1022" max="1022" width="14.375" style="1" customWidth="1"/>
    <col min="1023" max="1023" width="10.375" style="1"/>
    <col min="1024" max="1024" width="11.625" style="1" bestFit="1" customWidth="1"/>
    <col min="1025" max="1027" width="10.375" style="1"/>
    <col min="1028" max="1028" width="12.875" style="1" customWidth="1"/>
    <col min="1029" max="1029" width="10.375" style="1"/>
    <col min="1030" max="1030" width="13" style="1" customWidth="1"/>
    <col min="1031" max="1269" width="10.375" style="1"/>
    <col min="1270" max="1270" width="33.25" style="1" customWidth="1"/>
    <col min="1271" max="1275" width="10.375" style="1"/>
    <col min="1276" max="1276" width="13.625" style="1" customWidth="1"/>
    <col min="1277" max="1277" width="10.375" style="1"/>
    <col min="1278" max="1278" width="14.375" style="1" customWidth="1"/>
    <col min="1279" max="1279" width="10.375" style="1"/>
    <col min="1280" max="1280" width="11.625" style="1" bestFit="1" customWidth="1"/>
    <col min="1281" max="1283" width="10.375" style="1"/>
    <col min="1284" max="1284" width="12.875" style="1" customWidth="1"/>
    <col min="1285" max="1285" width="10.375" style="1"/>
    <col min="1286" max="1286" width="13" style="1" customWidth="1"/>
    <col min="1287" max="1525" width="10.375" style="1"/>
    <col min="1526" max="1526" width="33.25" style="1" customWidth="1"/>
    <col min="1527" max="1531" width="10.375" style="1"/>
    <col min="1532" max="1532" width="13.625" style="1" customWidth="1"/>
    <col min="1533" max="1533" width="10.375" style="1"/>
    <col min="1534" max="1534" width="14.375" style="1" customWidth="1"/>
    <col min="1535" max="1535" width="10.375" style="1"/>
    <col min="1536" max="1536" width="11.625" style="1" bestFit="1" customWidth="1"/>
    <col min="1537" max="1539" width="10.375" style="1"/>
    <col min="1540" max="1540" width="12.875" style="1" customWidth="1"/>
    <col min="1541" max="1541" width="10.375" style="1"/>
    <col min="1542" max="1542" width="13" style="1" customWidth="1"/>
    <col min="1543" max="1781" width="10.375" style="1"/>
    <col min="1782" max="1782" width="33.25" style="1" customWidth="1"/>
    <col min="1783" max="1787" width="10.375" style="1"/>
    <col min="1788" max="1788" width="13.625" style="1" customWidth="1"/>
    <col min="1789" max="1789" width="10.375" style="1"/>
    <col min="1790" max="1790" width="14.375" style="1" customWidth="1"/>
    <col min="1791" max="1791" width="10.375" style="1"/>
    <col min="1792" max="1792" width="11.625" style="1" bestFit="1" customWidth="1"/>
    <col min="1793" max="1795" width="10.375" style="1"/>
    <col min="1796" max="1796" width="12.875" style="1" customWidth="1"/>
    <col min="1797" max="1797" width="10.375" style="1"/>
    <col min="1798" max="1798" width="13" style="1" customWidth="1"/>
    <col min="1799" max="2037" width="10.375" style="1"/>
    <col min="2038" max="2038" width="33.25" style="1" customWidth="1"/>
    <col min="2039" max="2043" width="10.375" style="1"/>
    <col min="2044" max="2044" width="13.625" style="1" customWidth="1"/>
    <col min="2045" max="2045" width="10.375" style="1"/>
    <col min="2046" max="2046" width="14.375" style="1" customWidth="1"/>
    <col min="2047" max="2047" width="10.375" style="1"/>
    <col min="2048" max="2048" width="11.625" style="1" bestFit="1" customWidth="1"/>
    <col min="2049" max="2051" width="10.375" style="1"/>
    <col min="2052" max="2052" width="12.875" style="1" customWidth="1"/>
    <col min="2053" max="2053" width="10.375" style="1"/>
    <col min="2054" max="2054" width="13" style="1" customWidth="1"/>
    <col min="2055" max="2293" width="10.375" style="1"/>
    <col min="2294" max="2294" width="33.25" style="1" customWidth="1"/>
    <col min="2295" max="2299" width="10.375" style="1"/>
    <col min="2300" max="2300" width="13.625" style="1" customWidth="1"/>
    <col min="2301" max="2301" width="10.375" style="1"/>
    <col min="2302" max="2302" width="14.375" style="1" customWidth="1"/>
    <col min="2303" max="2303" width="10.375" style="1"/>
    <col min="2304" max="2304" width="11.625" style="1" bestFit="1" customWidth="1"/>
    <col min="2305" max="2307" width="10.375" style="1"/>
    <col min="2308" max="2308" width="12.875" style="1" customWidth="1"/>
    <col min="2309" max="2309" width="10.375" style="1"/>
    <col min="2310" max="2310" width="13" style="1" customWidth="1"/>
    <col min="2311" max="2549" width="10.375" style="1"/>
    <col min="2550" max="2550" width="33.25" style="1" customWidth="1"/>
    <col min="2551" max="2555" width="10.375" style="1"/>
    <col min="2556" max="2556" width="13.625" style="1" customWidth="1"/>
    <col min="2557" max="2557" width="10.375" style="1"/>
    <col min="2558" max="2558" width="14.375" style="1" customWidth="1"/>
    <col min="2559" max="2559" width="10.375" style="1"/>
    <col min="2560" max="2560" width="11.625" style="1" bestFit="1" customWidth="1"/>
    <col min="2561" max="2563" width="10.375" style="1"/>
    <col min="2564" max="2564" width="12.875" style="1" customWidth="1"/>
    <col min="2565" max="2565" width="10.375" style="1"/>
    <col min="2566" max="2566" width="13" style="1" customWidth="1"/>
    <col min="2567" max="2805" width="10.375" style="1"/>
    <col min="2806" max="2806" width="33.25" style="1" customWidth="1"/>
    <col min="2807" max="2811" width="10.375" style="1"/>
    <col min="2812" max="2812" width="13.625" style="1" customWidth="1"/>
    <col min="2813" max="2813" width="10.375" style="1"/>
    <col min="2814" max="2814" width="14.375" style="1" customWidth="1"/>
    <col min="2815" max="2815" width="10.375" style="1"/>
    <col min="2816" max="2816" width="11.625" style="1" bestFit="1" customWidth="1"/>
    <col min="2817" max="2819" width="10.375" style="1"/>
    <col min="2820" max="2820" width="12.875" style="1" customWidth="1"/>
    <col min="2821" max="2821" width="10.375" style="1"/>
    <col min="2822" max="2822" width="13" style="1" customWidth="1"/>
    <col min="2823" max="3061" width="10.375" style="1"/>
    <col min="3062" max="3062" width="33.25" style="1" customWidth="1"/>
    <col min="3063" max="3067" width="10.375" style="1"/>
    <col min="3068" max="3068" width="13.625" style="1" customWidth="1"/>
    <col min="3069" max="3069" width="10.375" style="1"/>
    <col min="3070" max="3070" width="14.375" style="1" customWidth="1"/>
    <col min="3071" max="3071" width="10.375" style="1"/>
    <col min="3072" max="3072" width="11.625" style="1" bestFit="1" customWidth="1"/>
    <col min="3073" max="3075" width="10.375" style="1"/>
    <col min="3076" max="3076" width="12.875" style="1" customWidth="1"/>
    <col min="3077" max="3077" width="10.375" style="1"/>
    <col min="3078" max="3078" width="13" style="1" customWidth="1"/>
    <col min="3079" max="3317" width="10.375" style="1"/>
    <col min="3318" max="3318" width="33.25" style="1" customWidth="1"/>
    <col min="3319" max="3323" width="10.375" style="1"/>
    <col min="3324" max="3324" width="13.625" style="1" customWidth="1"/>
    <col min="3325" max="3325" width="10.375" style="1"/>
    <col min="3326" max="3326" width="14.375" style="1" customWidth="1"/>
    <col min="3327" max="3327" width="10.375" style="1"/>
    <col min="3328" max="3328" width="11.625" style="1" bestFit="1" customWidth="1"/>
    <col min="3329" max="3331" width="10.375" style="1"/>
    <col min="3332" max="3332" width="12.875" style="1" customWidth="1"/>
    <col min="3333" max="3333" width="10.375" style="1"/>
    <col min="3334" max="3334" width="13" style="1" customWidth="1"/>
    <col min="3335" max="3573" width="10.375" style="1"/>
    <col min="3574" max="3574" width="33.25" style="1" customWidth="1"/>
    <col min="3575" max="3579" width="10.375" style="1"/>
    <col min="3580" max="3580" width="13.625" style="1" customWidth="1"/>
    <col min="3581" max="3581" width="10.375" style="1"/>
    <col min="3582" max="3582" width="14.375" style="1" customWidth="1"/>
    <col min="3583" max="3583" width="10.375" style="1"/>
    <col min="3584" max="3584" width="11.625" style="1" bestFit="1" customWidth="1"/>
    <col min="3585" max="3587" width="10.375" style="1"/>
    <col min="3588" max="3588" width="12.875" style="1" customWidth="1"/>
    <col min="3589" max="3589" width="10.375" style="1"/>
    <col min="3590" max="3590" width="13" style="1" customWidth="1"/>
    <col min="3591" max="3829" width="10.375" style="1"/>
    <col min="3830" max="3830" width="33.25" style="1" customWidth="1"/>
    <col min="3831" max="3835" width="10.375" style="1"/>
    <col min="3836" max="3836" width="13.625" style="1" customWidth="1"/>
    <col min="3837" max="3837" width="10.375" style="1"/>
    <col min="3838" max="3838" width="14.375" style="1" customWidth="1"/>
    <col min="3839" max="3839" width="10.375" style="1"/>
    <col min="3840" max="3840" width="11.625" style="1" bestFit="1" customWidth="1"/>
    <col min="3841" max="3843" width="10.375" style="1"/>
    <col min="3844" max="3844" width="12.875" style="1" customWidth="1"/>
    <col min="3845" max="3845" width="10.375" style="1"/>
    <col min="3846" max="3846" width="13" style="1" customWidth="1"/>
    <col min="3847" max="4085" width="10.375" style="1"/>
    <col min="4086" max="4086" width="33.25" style="1" customWidth="1"/>
    <col min="4087" max="4091" width="10.375" style="1"/>
    <col min="4092" max="4092" width="13.625" style="1" customWidth="1"/>
    <col min="4093" max="4093" width="10.375" style="1"/>
    <col min="4094" max="4094" width="14.375" style="1" customWidth="1"/>
    <col min="4095" max="4095" width="10.375" style="1"/>
    <col min="4096" max="4096" width="11.625" style="1" bestFit="1" customWidth="1"/>
    <col min="4097" max="4099" width="10.375" style="1"/>
    <col min="4100" max="4100" width="12.875" style="1" customWidth="1"/>
    <col min="4101" max="4101" width="10.375" style="1"/>
    <col min="4102" max="4102" width="13" style="1" customWidth="1"/>
    <col min="4103" max="4341" width="10.375" style="1"/>
    <col min="4342" max="4342" width="33.25" style="1" customWidth="1"/>
    <col min="4343" max="4347" width="10.375" style="1"/>
    <col min="4348" max="4348" width="13.625" style="1" customWidth="1"/>
    <col min="4349" max="4349" width="10.375" style="1"/>
    <col min="4350" max="4350" width="14.375" style="1" customWidth="1"/>
    <col min="4351" max="4351" width="10.375" style="1"/>
    <col min="4352" max="4352" width="11.625" style="1" bestFit="1" customWidth="1"/>
    <col min="4353" max="4355" width="10.375" style="1"/>
    <col min="4356" max="4356" width="12.875" style="1" customWidth="1"/>
    <col min="4357" max="4357" width="10.375" style="1"/>
    <col min="4358" max="4358" width="13" style="1" customWidth="1"/>
    <col min="4359" max="4597" width="10.375" style="1"/>
    <col min="4598" max="4598" width="33.25" style="1" customWidth="1"/>
    <col min="4599" max="4603" width="10.375" style="1"/>
    <col min="4604" max="4604" width="13.625" style="1" customWidth="1"/>
    <col min="4605" max="4605" width="10.375" style="1"/>
    <col min="4606" max="4606" width="14.375" style="1" customWidth="1"/>
    <col min="4607" max="4607" width="10.375" style="1"/>
    <col min="4608" max="4608" width="11.625" style="1" bestFit="1" customWidth="1"/>
    <col min="4609" max="4611" width="10.375" style="1"/>
    <col min="4612" max="4612" width="12.875" style="1" customWidth="1"/>
    <col min="4613" max="4613" width="10.375" style="1"/>
    <col min="4614" max="4614" width="13" style="1" customWidth="1"/>
    <col min="4615" max="4853" width="10.375" style="1"/>
    <col min="4854" max="4854" width="33.25" style="1" customWidth="1"/>
    <col min="4855" max="4859" width="10.375" style="1"/>
    <col min="4860" max="4860" width="13.625" style="1" customWidth="1"/>
    <col min="4861" max="4861" width="10.375" style="1"/>
    <col min="4862" max="4862" width="14.375" style="1" customWidth="1"/>
    <col min="4863" max="4863" width="10.375" style="1"/>
    <col min="4864" max="4864" width="11.625" style="1" bestFit="1" customWidth="1"/>
    <col min="4865" max="4867" width="10.375" style="1"/>
    <col min="4868" max="4868" width="12.875" style="1" customWidth="1"/>
    <col min="4869" max="4869" width="10.375" style="1"/>
    <col min="4870" max="4870" width="13" style="1" customWidth="1"/>
    <col min="4871" max="5109" width="10.375" style="1"/>
    <col min="5110" max="5110" width="33.25" style="1" customWidth="1"/>
    <col min="5111" max="5115" width="10.375" style="1"/>
    <col min="5116" max="5116" width="13.625" style="1" customWidth="1"/>
    <col min="5117" max="5117" width="10.375" style="1"/>
    <col min="5118" max="5118" width="14.375" style="1" customWidth="1"/>
    <col min="5119" max="5119" width="10.375" style="1"/>
    <col min="5120" max="5120" width="11.625" style="1" bestFit="1" customWidth="1"/>
    <col min="5121" max="5123" width="10.375" style="1"/>
    <col min="5124" max="5124" width="12.875" style="1" customWidth="1"/>
    <col min="5125" max="5125" width="10.375" style="1"/>
    <col min="5126" max="5126" width="13" style="1" customWidth="1"/>
    <col min="5127" max="5365" width="10.375" style="1"/>
    <col min="5366" max="5366" width="33.25" style="1" customWidth="1"/>
    <col min="5367" max="5371" width="10.375" style="1"/>
    <col min="5372" max="5372" width="13.625" style="1" customWidth="1"/>
    <col min="5373" max="5373" width="10.375" style="1"/>
    <col min="5374" max="5374" width="14.375" style="1" customWidth="1"/>
    <col min="5375" max="5375" width="10.375" style="1"/>
    <col min="5376" max="5376" width="11.625" style="1" bestFit="1" customWidth="1"/>
    <col min="5377" max="5379" width="10.375" style="1"/>
    <col min="5380" max="5380" width="12.875" style="1" customWidth="1"/>
    <col min="5381" max="5381" width="10.375" style="1"/>
    <col min="5382" max="5382" width="13" style="1" customWidth="1"/>
    <col min="5383" max="5621" width="10.375" style="1"/>
    <col min="5622" max="5622" width="33.25" style="1" customWidth="1"/>
    <col min="5623" max="5627" width="10.375" style="1"/>
    <col min="5628" max="5628" width="13.625" style="1" customWidth="1"/>
    <col min="5629" max="5629" width="10.375" style="1"/>
    <col min="5630" max="5630" width="14.375" style="1" customWidth="1"/>
    <col min="5631" max="5631" width="10.375" style="1"/>
    <col min="5632" max="5632" width="11.625" style="1" bestFit="1" customWidth="1"/>
    <col min="5633" max="5635" width="10.375" style="1"/>
    <col min="5636" max="5636" width="12.875" style="1" customWidth="1"/>
    <col min="5637" max="5637" width="10.375" style="1"/>
    <col min="5638" max="5638" width="13" style="1" customWidth="1"/>
    <col min="5639" max="5877" width="10.375" style="1"/>
    <col min="5878" max="5878" width="33.25" style="1" customWidth="1"/>
    <col min="5879" max="5883" width="10.375" style="1"/>
    <col min="5884" max="5884" width="13.625" style="1" customWidth="1"/>
    <col min="5885" max="5885" width="10.375" style="1"/>
    <col min="5886" max="5886" width="14.375" style="1" customWidth="1"/>
    <col min="5887" max="5887" width="10.375" style="1"/>
    <col min="5888" max="5888" width="11.625" style="1" bestFit="1" customWidth="1"/>
    <col min="5889" max="5891" width="10.375" style="1"/>
    <col min="5892" max="5892" width="12.875" style="1" customWidth="1"/>
    <col min="5893" max="5893" width="10.375" style="1"/>
    <col min="5894" max="5894" width="13" style="1" customWidth="1"/>
    <col min="5895" max="6133" width="10.375" style="1"/>
    <col min="6134" max="6134" width="33.25" style="1" customWidth="1"/>
    <col min="6135" max="6139" width="10.375" style="1"/>
    <col min="6140" max="6140" width="13.625" style="1" customWidth="1"/>
    <col min="6141" max="6141" width="10.375" style="1"/>
    <col min="6142" max="6142" width="14.375" style="1" customWidth="1"/>
    <col min="6143" max="6143" width="10.375" style="1"/>
    <col min="6144" max="6144" width="11.625" style="1" bestFit="1" customWidth="1"/>
    <col min="6145" max="6147" width="10.375" style="1"/>
    <col min="6148" max="6148" width="12.875" style="1" customWidth="1"/>
    <col min="6149" max="6149" width="10.375" style="1"/>
    <col min="6150" max="6150" width="13" style="1" customWidth="1"/>
    <col min="6151" max="6389" width="10.375" style="1"/>
    <col min="6390" max="6390" width="33.25" style="1" customWidth="1"/>
    <col min="6391" max="6395" width="10.375" style="1"/>
    <col min="6396" max="6396" width="13.625" style="1" customWidth="1"/>
    <col min="6397" max="6397" width="10.375" style="1"/>
    <col min="6398" max="6398" width="14.375" style="1" customWidth="1"/>
    <col min="6399" max="6399" width="10.375" style="1"/>
    <col min="6400" max="6400" width="11.625" style="1" bestFit="1" customWidth="1"/>
    <col min="6401" max="6403" width="10.375" style="1"/>
    <col min="6404" max="6404" width="12.875" style="1" customWidth="1"/>
    <col min="6405" max="6405" width="10.375" style="1"/>
    <col min="6406" max="6406" width="13" style="1" customWidth="1"/>
    <col min="6407" max="6645" width="10.375" style="1"/>
    <col min="6646" max="6646" width="33.25" style="1" customWidth="1"/>
    <col min="6647" max="6651" width="10.375" style="1"/>
    <col min="6652" max="6652" width="13.625" style="1" customWidth="1"/>
    <col min="6653" max="6653" width="10.375" style="1"/>
    <col min="6654" max="6654" width="14.375" style="1" customWidth="1"/>
    <col min="6655" max="6655" width="10.375" style="1"/>
    <col min="6656" max="6656" width="11.625" style="1" bestFit="1" customWidth="1"/>
    <col min="6657" max="6659" width="10.375" style="1"/>
    <col min="6660" max="6660" width="12.875" style="1" customWidth="1"/>
    <col min="6661" max="6661" width="10.375" style="1"/>
    <col min="6662" max="6662" width="13" style="1" customWidth="1"/>
    <col min="6663" max="6901" width="10.375" style="1"/>
    <col min="6902" max="6902" width="33.25" style="1" customWidth="1"/>
    <col min="6903" max="6907" width="10.375" style="1"/>
    <col min="6908" max="6908" width="13.625" style="1" customWidth="1"/>
    <col min="6909" max="6909" width="10.375" style="1"/>
    <col min="6910" max="6910" width="14.375" style="1" customWidth="1"/>
    <col min="6911" max="6911" width="10.375" style="1"/>
    <col min="6912" max="6912" width="11.625" style="1" bestFit="1" customWidth="1"/>
    <col min="6913" max="6915" width="10.375" style="1"/>
    <col min="6916" max="6916" width="12.875" style="1" customWidth="1"/>
    <col min="6917" max="6917" width="10.375" style="1"/>
    <col min="6918" max="6918" width="13" style="1" customWidth="1"/>
    <col min="6919" max="7157" width="10.375" style="1"/>
    <col min="7158" max="7158" width="33.25" style="1" customWidth="1"/>
    <col min="7159" max="7163" width="10.375" style="1"/>
    <col min="7164" max="7164" width="13.625" style="1" customWidth="1"/>
    <col min="7165" max="7165" width="10.375" style="1"/>
    <col min="7166" max="7166" width="14.375" style="1" customWidth="1"/>
    <col min="7167" max="7167" width="10.375" style="1"/>
    <col min="7168" max="7168" width="11.625" style="1" bestFit="1" customWidth="1"/>
    <col min="7169" max="7171" width="10.375" style="1"/>
    <col min="7172" max="7172" width="12.875" style="1" customWidth="1"/>
    <col min="7173" max="7173" width="10.375" style="1"/>
    <col min="7174" max="7174" width="13" style="1" customWidth="1"/>
    <col min="7175" max="7413" width="10.375" style="1"/>
    <col min="7414" max="7414" width="33.25" style="1" customWidth="1"/>
    <col min="7415" max="7419" width="10.375" style="1"/>
    <col min="7420" max="7420" width="13.625" style="1" customWidth="1"/>
    <col min="7421" max="7421" width="10.375" style="1"/>
    <col min="7422" max="7422" width="14.375" style="1" customWidth="1"/>
    <col min="7423" max="7423" width="10.375" style="1"/>
    <col min="7424" max="7424" width="11.625" style="1" bestFit="1" customWidth="1"/>
    <col min="7425" max="7427" width="10.375" style="1"/>
    <col min="7428" max="7428" width="12.875" style="1" customWidth="1"/>
    <col min="7429" max="7429" width="10.375" style="1"/>
    <col min="7430" max="7430" width="13" style="1" customWidth="1"/>
    <col min="7431" max="7669" width="10.375" style="1"/>
    <col min="7670" max="7670" width="33.25" style="1" customWidth="1"/>
    <col min="7671" max="7675" width="10.375" style="1"/>
    <col min="7676" max="7676" width="13.625" style="1" customWidth="1"/>
    <col min="7677" max="7677" width="10.375" style="1"/>
    <col min="7678" max="7678" width="14.375" style="1" customWidth="1"/>
    <col min="7679" max="7679" width="10.375" style="1"/>
    <col min="7680" max="7680" width="11.625" style="1" bestFit="1" customWidth="1"/>
    <col min="7681" max="7683" width="10.375" style="1"/>
    <col min="7684" max="7684" width="12.875" style="1" customWidth="1"/>
    <col min="7685" max="7685" width="10.375" style="1"/>
    <col min="7686" max="7686" width="13" style="1" customWidth="1"/>
    <col min="7687" max="7925" width="10.375" style="1"/>
    <col min="7926" max="7926" width="33.25" style="1" customWidth="1"/>
    <col min="7927" max="7931" width="10.375" style="1"/>
    <col min="7932" max="7932" width="13.625" style="1" customWidth="1"/>
    <col min="7933" max="7933" width="10.375" style="1"/>
    <col min="7934" max="7934" width="14.375" style="1" customWidth="1"/>
    <col min="7935" max="7935" width="10.375" style="1"/>
    <col min="7936" max="7936" width="11.625" style="1" bestFit="1" customWidth="1"/>
    <col min="7937" max="7939" width="10.375" style="1"/>
    <col min="7940" max="7940" width="12.875" style="1" customWidth="1"/>
    <col min="7941" max="7941" width="10.375" style="1"/>
    <col min="7942" max="7942" width="13" style="1" customWidth="1"/>
    <col min="7943" max="8181" width="10.375" style="1"/>
    <col min="8182" max="8182" width="33.25" style="1" customWidth="1"/>
    <col min="8183" max="8187" width="10.375" style="1"/>
    <col min="8188" max="8188" width="13.625" style="1" customWidth="1"/>
    <col min="8189" max="8189" width="10.375" style="1"/>
    <col min="8190" max="8190" width="14.375" style="1" customWidth="1"/>
    <col min="8191" max="8191" width="10.375" style="1"/>
    <col min="8192" max="8192" width="11.625" style="1" bestFit="1" customWidth="1"/>
    <col min="8193" max="8195" width="10.375" style="1"/>
    <col min="8196" max="8196" width="12.875" style="1" customWidth="1"/>
    <col min="8197" max="8197" width="10.375" style="1"/>
    <col min="8198" max="8198" width="13" style="1" customWidth="1"/>
    <col min="8199" max="8437" width="10.375" style="1"/>
    <col min="8438" max="8438" width="33.25" style="1" customWidth="1"/>
    <col min="8439" max="8443" width="10.375" style="1"/>
    <col min="8444" max="8444" width="13.625" style="1" customWidth="1"/>
    <col min="8445" max="8445" width="10.375" style="1"/>
    <col min="8446" max="8446" width="14.375" style="1" customWidth="1"/>
    <col min="8447" max="8447" width="10.375" style="1"/>
    <col min="8448" max="8448" width="11.625" style="1" bestFit="1" customWidth="1"/>
    <col min="8449" max="8451" width="10.375" style="1"/>
    <col min="8452" max="8452" width="12.875" style="1" customWidth="1"/>
    <col min="8453" max="8453" width="10.375" style="1"/>
    <col min="8454" max="8454" width="13" style="1" customWidth="1"/>
    <col min="8455" max="8693" width="10.375" style="1"/>
    <col min="8694" max="8694" width="33.25" style="1" customWidth="1"/>
    <col min="8695" max="8699" width="10.375" style="1"/>
    <col min="8700" max="8700" width="13.625" style="1" customWidth="1"/>
    <col min="8701" max="8701" width="10.375" style="1"/>
    <col min="8702" max="8702" width="14.375" style="1" customWidth="1"/>
    <col min="8703" max="8703" width="10.375" style="1"/>
    <col min="8704" max="8704" width="11.625" style="1" bestFit="1" customWidth="1"/>
    <col min="8705" max="8707" width="10.375" style="1"/>
    <col min="8708" max="8708" width="12.875" style="1" customWidth="1"/>
    <col min="8709" max="8709" width="10.375" style="1"/>
    <col min="8710" max="8710" width="13" style="1" customWidth="1"/>
    <col min="8711" max="8949" width="10.375" style="1"/>
    <col min="8950" max="8950" width="33.25" style="1" customWidth="1"/>
    <col min="8951" max="8955" width="10.375" style="1"/>
    <col min="8956" max="8956" width="13.625" style="1" customWidth="1"/>
    <col min="8957" max="8957" width="10.375" style="1"/>
    <col min="8958" max="8958" width="14.375" style="1" customWidth="1"/>
    <col min="8959" max="8959" width="10.375" style="1"/>
    <col min="8960" max="8960" width="11.625" style="1" bestFit="1" customWidth="1"/>
    <col min="8961" max="8963" width="10.375" style="1"/>
    <col min="8964" max="8964" width="12.875" style="1" customWidth="1"/>
    <col min="8965" max="8965" width="10.375" style="1"/>
    <col min="8966" max="8966" width="13" style="1" customWidth="1"/>
    <col min="8967" max="9205" width="10.375" style="1"/>
    <col min="9206" max="9206" width="33.25" style="1" customWidth="1"/>
    <col min="9207" max="9211" width="10.375" style="1"/>
    <col min="9212" max="9212" width="13.625" style="1" customWidth="1"/>
    <col min="9213" max="9213" width="10.375" style="1"/>
    <col min="9214" max="9214" width="14.375" style="1" customWidth="1"/>
    <col min="9215" max="9215" width="10.375" style="1"/>
    <col min="9216" max="9216" width="11.625" style="1" bestFit="1" customWidth="1"/>
    <col min="9217" max="9219" width="10.375" style="1"/>
    <col min="9220" max="9220" width="12.875" style="1" customWidth="1"/>
    <col min="9221" max="9221" width="10.375" style="1"/>
    <col min="9222" max="9222" width="13" style="1" customWidth="1"/>
    <col min="9223" max="9461" width="10.375" style="1"/>
    <col min="9462" max="9462" width="33.25" style="1" customWidth="1"/>
    <col min="9463" max="9467" width="10.375" style="1"/>
    <col min="9468" max="9468" width="13.625" style="1" customWidth="1"/>
    <col min="9469" max="9469" width="10.375" style="1"/>
    <col min="9470" max="9470" width="14.375" style="1" customWidth="1"/>
    <col min="9471" max="9471" width="10.375" style="1"/>
    <col min="9472" max="9472" width="11.625" style="1" bestFit="1" customWidth="1"/>
    <col min="9473" max="9475" width="10.375" style="1"/>
    <col min="9476" max="9476" width="12.875" style="1" customWidth="1"/>
    <col min="9477" max="9477" width="10.375" style="1"/>
    <col min="9478" max="9478" width="13" style="1" customWidth="1"/>
    <col min="9479" max="9717" width="10.375" style="1"/>
    <col min="9718" max="9718" width="33.25" style="1" customWidth="1"/>
    <col min="9719" max="9723" width="10.375" style="1"/>
    <col min="9724" max="9724" width="13.625" style="1" customWidth="1"/>
    <col min="9725" max="9725" width="10.375" style="1"/>
    <col min="9726" max="9726" width="14.375" style="1" customWidth="1"/>
    <col min="9727" max="9727" width="10.375" style="1"/>
    <col min="9728" max="9728" width="11.625" style="1" bestFit="1" customWidth="1"/>
    <col min="9729" max="9731" width="10.375" style="1"/>
    <col min="9732" max="9732" width="12.875" style="1" customWidth="1"/>
    <col min="9733" max="9733" width="10.375" style="1"/>
    <col min="9734" max="9734" width="13" style="1" customWidth="1"/>
    <col min="9735" max="9973" width="10.375" style="1"/>
    <col min="9974" max="9974" width="33.25" style="1" customWidth="1"/>
    <col min="9975" max="9979" width="10.375" style="1"/>
    <col min="9980" max="9980" width="13.625" style="1" customWidth="1"/>
    <col min="9981" max="9981" width="10.375" style="1"/>
    <col min="9982" max="9982" width="14.375" style="1" customWidth="1"/>
    <col min="9983" max="9983" width="10.375" style="1"/>
    <col min="9984" max="9984" width="11.625" style="1" bestFit="1" customWidth="1"/>
    <col min="9985" max="9987" width="10.375" style="1"/>
    <col min="9988" max="9988" width="12.875" style="1" customWidth="1"/>
    <col min="9989" max="9989" width="10.375" style="1"/>
    <col min="9990" max="9990" width="13" style="1" customWidth="1"/>
    <col min="9991" max="10229" width="10.375" style="1"/>
    <col min="10230" max="10230" width="33.25" style="1" customWidth="1"/>
    <col min="10231" max="10235" width="10.375" style="1"/>
    <col min="10236" max="10236" width="13.625" style="1" customWidth="1"/>
    <col min="10237" max="10237" width="10.375" style="1"/>
    <col min="10238" max="10238" width="14.375" style="1" customWidth="1"/>
    <col min="10239" max="10239" width="10.375" style="1"/>
    <col min="10240" max="10240" width="11.625" style="1" bestFit="1" customWidth="1"/>
    <col min="10241" max="10243" width="10.375" style="1"/>
    <col min="10244" max="10244" width="12.875" style="1" customWidth="1"/>
    <col min="10245" max="10245" width="10.375" style="1"/>
    <col min="10246" max="10246" width="13" style="1" customWidth="1"/>
    <col min="10247" max="10485" width="10.375" style="1"/>
    <col min="10486" max="10486" width="33.25" style="1" customWidth="1"/>
    <col min="10487" max="10491" width="10.375" style="1"/>
    <col min="10492" max="10492" width="13.625" style="1" customWidth="1"/>
    <col min="10493" max="10493" width="10.375" style="1"/>
    <col min="10494" max="10494" width="14.375" style="1" customWidth="1"/>
    <col min="10495" max="10495" width="10.375" style="1"/>
    <col min="10496" max="10496" width="11.625" style="1" bestFit="1" customWidth="1"/>
    <col min="10497" max="10499" width="10.375" style="1"/>
    <col min="10500" max="10500" width="12.875" style="1" customWidth="1"/>
    <col min="10501" max="10501" width="10.375" style="1"/>
    <col min="10502" max="10502" width="13" style="1" customWidth="1"/>
    <col min="10503" max="10741" width="10.375" style="1"/>
    <col min="10742" max="10742" width="33.25" style="1" customWidth="1"/>
    <col min="10743" max="10747" width="10.375" style="1"/>
    <col min="10748" max="10748" width="13.625" style="1" customWidth="1"/>
    <col min="10749" max="10749" width="10.375" style="1"/>
    <col min="10750" max="10750" width="14.375" style="1" customWidth="1"/>
    <col min="10751" max="10751" width="10.375" style="1"/>
    <col min="10752" max="10752" width="11.625" style="1" bestFit="1" customWidth="1"/>
    <col min="10753" max="10755" width="10.375" style="1"/>
    <col min="10756" max="10756" width="12.875" style="1" customWidth="1"/>
    <col min="10757" max="10757" width="10.375" style="1"/>
    <col min="10758" max="10758" width="13" style="1" customWidth="1"/>
    <col min="10759" max="10997" width="10.375" style="1"/>
    <col min="10998" max="10998" width="33.25" style="1" customWidth="1"/>
    <col min="10999" max="11003" width="10.375" style="1"/>
    <col min="11004" max="11004" width="13.625" style="1" customWidth="1"/>
    <col min="11005" max="11005" width="10.375" style="1"/>
    <col min="11006" max="11006" width="14.375" style="1" customWidth="1"/>
    <col min="11007" max="11007" width="10.375" style="1"/>
    <col min="11008" max="11008" width="11.625" style="1" bestFit="1" customWidth="1"/>
    <col min="11009" max="11011" width="10.375" style="1"/>
    <col min="11012" max="11012" width="12.875" style="1" customWidth="1"/>
    <col min="11013" max="11013" width="10.375" style="1"/>
    <col min="11014" max="11014" width="13" style="1" customWidth="1"/>
    <col min="11015" max="11253" width="10.375" style="1"/>
    <col min="11254" max="11254" width="33.25" style="1" customWidth="1"/>
    <col min="11255" max="11259" width="10.375" style="1"/>
    <col min="11260" max="11260" width="13.625" style="1" customWidth="1"/>
    <col min="11261" max="11261" width="10.375" style="1"/>
    <col min="11262" max="11262" width="14.375" style="1" customWidth="1"/>
    <col min="11263" max="11263" width="10.375" style="1"/>
    <col min="11264" max="11264" width="11.625" style="1" bestFit="1" customWidth="1"/>
    <col min="11265" max="11267" width="10.375" style="1"/>
    <col min="11268" max="11268" width="12.875" style="1" customWidth="1"/>
    <col min="11269" max="11269" width="10.375" style="1"/>
    <col min="11270" max="11270" width="13" style="1" customWidth="1"/>
    <col min="11271" max="11509" width="10.375" style="1"/>
    <col min="11510" max="11510" width="33.25" style="1" customWidth="1"/>
    <col min="11511" max="11515" width="10.375" style="1"/>
    <col min="11516" max="11516" width="13.625" style="1" customWidth="1"/>
    <col min="11517" max="11517" width="10.375" style="1"/>
    <col min="11518" max="11518" width="14.375" style="1" customWidth="1"/>
    <col min="11519" max="11519" width="10.375" style="1"/>
    <col min="11520" max="11520" width="11.625" style="1" bestFit="1" customWidth="1"/>
    <col min="11521" max="11523" width="10.375" style="1"/>
    <col min="11524" max="11524" width="12.875" style="1" customWidth="1"/>
    <col min="11525" max="11525" width="10.375" style="1"/>
    <col min="11526" max="11526" width="13" style="1" customWidth="1"/>
    <col min="11527" max="11765" width="10.375" style="1"/>
    <col min="11766" max="11766" width="33.25" style="1" customWidth="1"/>
    <col min="11767" max="11771" width="10.375" style="1"/>
    <col min="11772" max="11772" width="13.625" style="1" customWidth="1"/>
    <col min="11773" max="11773" width="10.375" style="1"/>
    <col min="11774" max="11774" width="14.375" style="1" customWidth="1"/>
    <col min="11775" max="11775" width="10.375" style="1"/>
    <col min="11776" max="11776" width="11.625" style="1" bestFit="1" customWidth="1"/>
    <col min="11777" max="11779" width="10.375" style="1"/>
    <col min="11780" max="11780" width="12.875" style="1" customWidth="1"/>
    <col min="11781" max="11781" width="10.375" style="1"/>
    <col min="11782" max="11782" width="13" style="1" customWidth="1"/>
    <col min="11783" max="12021" width="10.375" style="1"/>
    <col min="12022" max="12022" width="33.25" style="1" customWidth="1"/>
    <col min="12023" max="12027" width="10.375" style="1"/>
    <col min="12028" max="12028" width="13.625" style="1" customWidth="1"/>
    <col min="12029" max="12029" width="10.375" style="1"/>
    <col min="12030" max="12030" width="14.375" style="1" customWidth="1"/>
    <col min="12031" max="12031" width="10.375" style="1"/>
    <col min="12032" max="12032" width="11.625" style="1" bestFit="1" customWidth="1"/>
    <col min="12033" max="12035" width="10.375" style="1"/>
    <col min="12036" max="12036" width="12.875" style="1" customWidth="1"/>
    <col min="12037" max="12037" width="10.375" style="1"/>
    <col min="12038" max="12038" width="13" style="1" customWidth="1"/>
    <col min="12039" max="12277" width="10.375" style="1"/>
    <col min="12278" max="12278" width="33.25" style="1" customWidth="1"/>
    <col min="12279" max="12283" width="10.375" style="1"/>
    <col min="12284" max="12284" width="13.625" style="1" customWidth="1"/>
    <col min="12285" max="12285" width="10.375" style="1"/>
    <col min="12286" max="12286" width="14.375" style="1" customWidth="1"/>
    <col min="12287" max="12287" width="10.375" style="1"/>
    <col min="12288" max="12288" width="11.625" style="1" bestFit="1" customWidth="1"/>
    <col min="12289" max="12291" width="10.375" style="1"/>
    <col min="12292" max="12292" width="12.875" style="1" customWidth="1"/>
    <col min="12293" max="12293" width="10.375" style="1"/>
    <col min="12294" max="12294" width="13" style="1" customWidth="1"/>
    <col min="12295" max="12533" width="10.375" style="1"/>
    <col min="12534" max="12534" width="33.25" style="1" customWidth="1"/>
    <col min="12535" max="12539" width="10.375" style="1"/>
    <col min="12540" max="12540" width="13.625" style="1" customWidth="1"/>
    <col min="12541" max="12541" width="10.375" style="1"/>
    <col min="12542" max="12542" width="14.375" style="1" customWidth="1"/>
    <col min="12543" max="12543" width="10.375" style="1"/>
    <col min="12544" max="12544" width="11.625" style="1" bestFit="1" customWidth="1"/>
    <col min="12545" max="12547" width="10.375" style="1"/>
    <col min="12548" max="12548" width="12.875" style="1" customWidth="1"/>
    <col min="12549" max="12549" width="10.375" style="1"/>
    <col min="12550" max="12550" width="13" style="1" customWidth="1"/>
    <col min="12551" max="12789" width="10.375" style="1"/>
    <col min="12790" max="12790" width="33.25" style="1" customWidth="1"/>
    <col min="12791" max="12795" width="10.375" style="1"/>
    <col min="12796" max="12796" width="13.625" style="1" customWidth="1"/>
    <col min="12797" max="12797" width="10.375" style="1"/>
    <col min="12798" max="12798" width="14.375" style="1" customWidth="1"/>
    <col min="12799" max="12799" width="10.375" style="1"/>
    <col min="12800" max="12800" width="11.625" style="1" bestFit="1" customWidth="1"/>
    <col min="12801" max="12803" width="10.375" style="1"/>
    <col min="12804" max="12804" width="12.875" style="1" customWidth="1"/>
    <col min="12805" max="12805" width="10.375" style="1"/>
    <col min="12806" max="12806" width="13" style="1" customWidth="1"/>
    <col min="12807" max="13045" width="10.375" style="1"/>
    <col min="13046" max="13046" width="33.25" style="1" customWidth="1"/>
    <col min="13047" max="13051" width="10.375" style="1"/>
    <col min="13052" max="13052" width="13.625" style="1" customWidth="1"/>
    <col min="13053" max="13053" width="10.375" style="1"/>
    <col min="13054" max="13054" width="14.375" style="1" customWidth="1"/>
    <col min="13055" max="13055" width="10.375" style="1"/>
    <col min="13056" max="13056" width="11.625" style="1" bestFit="1" customWidth="1"/>
    <col min="13057" max="13059" width="10.375" style="1"/>
    <col min="13060" max="13060" width="12.875" style="1" customWidth="1"/>
    <col min="13061" max="13061" width="10.375" style="1"/>
    <col min="13062" max="13062" width="13" style="1" customWidth="1"/>
    <col min="13063" max="13301" width="10.375" style="1"/>
    <col min="13302" max="13302" width="33.25" style="1" customWidth="1"/>
    <col min="13303" max="13307" width="10.375" style="1"/>
    <col min="13308" max="13308" width="13.625" style="1" customWidth="1"/>
    <col min="13309" max="13309" width="10.375" style="1"/>
    <col min="13310" max="13310" width="14.375" style="1" customWidth="1"/>
    <col min="13311" max="13311" width="10.375" style="1"/>
    <col min="13312" max="13312" width="11.625" style="1" bestFit="1" customWidth="1"/>
    <col min="13313" max="13315" width="10.375" style="1"/>
    <col min="13316" max="13316" width="12.875" style="1" customWidth="1"/>
    <col min="13317" max="13317" width="10.375" style="1"/>
    <col min="13318" max="13318" width="13" style="1" customWidth="1"/>
    <col min="13319" max="13557" width="10.375" style="1"/>
    <col min="13558" max="13558" width="33.25" style="1" customWidth="1"/>
    <col min="13559" max="13563" width="10.375" style="1"/>
    <col min="13564" max="13564" width="13.625" style="1" customWidth="1"/>
    <col min="13565" max="13565" width="10.375" style="1"/>
    <col min="13566" max="13566" width="14.375" style="1" customWidth="1"/>
    <col min="13567" max="13567" width="10.375" style="1"/>
    <col min="13568" max="13568" width="11.625" style="1" bestFit="1" customWidth="1"/>
    <col min="13569" max="13571" width="10.375" style="1"/>
    <col min="13572" max="13572" width="12.875" style="1" customWidth="1"/>
    <col min="13573" max="13573" width="10.375" style="1"/>
    <col min="13574" max="13574" width="13" style="1" customWidth="1"/>
    <col min="13575" max="13813" width="10.375" style="1"/>
    <col min="13814" max="13814" width="33.25" style="1" customWidth="1"/>
    <col min="13815" max="13819" width="10.375" style="1"/>
    <col min="13820" max="13820" width="13.625" style="1" customWidth="1"/>
    <col min="13821" max="13821" width="10.375" style="1"/>
    <col min="13822" max="13822" width="14.375" style="1" customWidth="1"/>
    <col min="13823" max="13823" width="10.375" style="1"/>
    <col min="13824" max="13824" width="11.625" style="1" bestFit="1" customWidth="1"/>
    <col min="13825" max="13827" width="10.375" style="1"/>
    <col min="13828" max="13828" width="12.875" style="1" customWidth="1"/>
    <col min="13829" max="13829" width="10.375" style="1"/>
    <col min="13830" max="13830" width="13" style="1" customWidth="1"/>
    <col min="13831" max="14069" width="10.375" style="1"/>
    <col min="14070" max="14070" width="33.25" style="1" customWidth="1"/>
    <col min="14071" max="14075" width="10.375" style="1"/>
    <col min="14076" max="14076" width="13.625" style="1" customWidth="1"/>
    <col min="14077" max="14077" width="10.375" style="1"/>
    <col min="14078" max="14078" width="14.375" style="1" customWidth="1"/>
    <col min="14079" max="14079" width="10.375" style="1"/>
    <col min="14080" max="14080" width="11.625" style="1" bestFit="1" customWidth="1"/>
    <col min="14081" max="14083" width="10.375" style="1"/>
    <col min="14084" max="14084" width="12.875" style="1" customWidth="1"/>
    <col min="14085" max="14085" width="10.375" style="1"/>
    <col min="14086" max="14086" width="13" style="1" customWidth="1"/>
    <col min="14087" max="14325" width="10.375" style="1"/>
    <col min="14326" max="14326" width="33.25" style="1" customWidth="1"/>
    <col min="14327" max="14331" width="10.375" style="1"/>
    <col min="14332" max="14332" width="13.625" style="1" customWidth="1"/>
    <col min="14333" max="14333" width="10.375" style="1"/>
    <col min="14334" max="14334" width="14.375" style="1" customWidth="1"/>
    <col min="14335" max="14335" width="10.375" style="1"/>
    <col min="14336" max="14336" width="11.625" style="1" bestFit="1" customWidth="1"/>
    <col min="14337" max="14339" width="10.375" style="1"/>
    <col min="14340" max="14340" width="12.875" style="1" customWidth="1"/>
    <col min="14341" max="14341" width="10.375" style="1"/>
    <col min="14342" max="14342" width="13" style="1" customWidth="1"/>
    <col min="14343" max="14581" width="10.375" style="1"/>
    <col min="14582" max="14582" width="33.25" style="1" customWidth="1"/>
    <col min="14583" max="14587" width="10.375" style="1"/>
    <col min="14588" max="14588" width="13.625" style="1" customWidth="1"/>
    <col min="14589" max="14589" width="10.375" style="1"/>
    <col min="14590" max="14590" width="14.375" style="1" customWidth="1"/>
    <col min="14591" max="14591" width="10.375" style="1"/>
    <col min="14592" max="14592" width="11.625" style="1" bestFit="1" customWidth="1"/>
    <col min="14593" max="14595" width="10.375" style="1"/>
    <col min="14596" max="14596" width="12.875" style="1" customWidth="1"/>
    <col min="14597" max="14597" width="10.375" style="1"/>
    <col min="14598" max="14598" width="13" style="1" customWidth="1"/>
    <col min="14599" max="14837" width="10.375" style="1"/>
    <col min="14838" max="14838" width="33.25" style="1" customWidth="1"/>
    <col min="14839" max="14843" width="10.375" style="1"/>
    <col min="14844" max="14844" width="13.625" style="1" customWidth="1"/>
    <col min="14845" max="14845" width="10.375" style="1"/>
    <col min="14846" max="14846" width="14.375" style="1" customWidth="1"/>
    <col min="14847" max="14847" width="10.375" style="1"/>
    <col min="14848" max="14848" width="11.625" style="1" bestFit="1" customWidth="1"/>
    <col min="14849" max="14851" width="10.375" style="1"/>
    <col min="14852" max="14852" width="12.875" style="1" customWidth="1"/>
    <col min="14853" max="14853" width="10.375" style="1"/>
    <col min="14854" max="14854" width="13" style="1" customWidth="1"/>
    <col min="14855" max="15093" width="10.375" style="1"/>
    <col min="15094" max="15094" width="33.25" style="1" customWidth="1"/>
    <col min="15095" max="15099" width="10.375" style="1"/>
    <col min="15100" max="15100" width="13.625" style="1" customWidth="1"/>
    <col min="15101" max="15101" width="10.375" style="1"/>
    <col min="15102" max="15102" width="14.375" style="1" customWidth="1"/>
    <col min="15103" max="15103" width="10.375" style="1"/>
    <col min="15104" max="15104" width="11.625" style="1" bestFit="1" customWidth="1"/>
    <col min="15105" max="15107" width="10.375" style="1"/>
    <col min="15108" max="15108" width="12.875" style="1" customWidth="1"/>
    <col min="15109" max="15109" width="10.375" style="1"/>
    <col min="15110" max="15110" width="13" style="1" customWidth="1"/>
    <col min="15111" max="15349" width="10.375" style="1"/>
    <col min="15350" max="15350" width="33.25" style="1" customWidth="1"/>
    <col min="15351" max="15355" width="10.375" style="1"/>
    <col min="15356" max="15356" width="13.625" style="1" customWidth="1"/>
    <col min="15357" max="15357" width="10.375" style="1"/>
    <col min="15358" max="15358" width="14.375" style="1" customWidth="1"/>
    <col min="15359" max="15359" width="10.375" style="1"/>
    <col min="15360" max="15360" width="11.625" style="1" bestFit="1" customWidth="1"/>
    <col min="15361" max="15363" width="10.375" style="1"/>
    <col min="15364" max="15364" width="12.875" style="1" customWidth="1"/>
    <col min="15365" max="15365" width="10.375" style="1"/>
    <col min="15366" max="15366" width="13" style="1" customWidth="1"/>
    <col min="15367" max="15605" width="10.375" style="1"/>
    <col min="15606" max="15606" width="33.25" style="1" customWidth="1"/>
    <col min="15607" max="15611" width="10.375" style="1"/>
    <col min="15612" max="15612" width="13.625" style="1" customWidth="1"/>
    <col min="15613" max="15613" width="10.375" style="1"/>
    <col min="15614" max="15614" width="14.375" style="1" customWidth="1"/>
    <col min="15615" max="15615" width="10.375" style="1"/>
    <col min="15616" max="15616" width="11.625" style="1" bestFit="1" customWidth="1"/>
    <col min="15617" max="15619" width="10.375" style="1"/>
    <col min="15620" max="15620" width="12.875" style="1" customWidth="1"/>
    <col min="15621" max="15621" width="10.375" style="1"/>
    <col min="15622" max="15622" width="13" style="1" customWidth="1"/>
    <col min="15623" max="15861" width="10.375" style="1"/>
    <col min="15862" max="15862" width="33.25" style="1" customWidth="1"/>
    <col min="15863" max="15867" width="10.375" style="1"/>
    <col min="15868" max="15868" width="13.625" style="1" customWidth="1"/>
    <col min="15869" max="15869" width="10.375" style="1"/>
    <col min="15870" max="15870" width="14.375" style="1" customWidth="1"/>
    <col min="15871" max="15871" width="10.375" style="1"/>
    <col min="15872" max="15872" width="11.625" style="1" bestFit="1" customWidth="1"/>
    <col min="15873" max="15875" width="10.375" style="1"/>
    <col min="15876" max="15876" width="12.875" style="1" customWidth="1"/>
    <col min="15877" max="15877" width="10.375" style="1"/>
    <col min="15878" max="15878" width="13" style="1" customWidth="1"/>
    <col min="15879" max="16117" width="10.375" style="1"/>
    <col min="16118" max="16118" width="33.25" style="1" customWidth="1"/>
    <col min="16119" max="16123" width="10.375" style="1"/>
    <col min="16124" max="16124" width="13.625" style="1" customWidth="1"/>
    <col min="16125" max="16125" width="10.375" style="1"/>
    <col min="16126" max="16126" width="14.375" style="1" customWidth="1"/>
    <col min="16127" max="16127" width="10.375" style="1"/>
    <col min="16128" max="16128" width="11.625" style="1" bestFit="1" customWidth="1"/>
    <col min="16129" max="16131" width="10.375" style="1"/>
    <col min="16132" max="16132" width="12.875" style="1" customWidth="1"/>
    <col min="16133" max="16133" width="10.375" style="1"/>
    <col min="16134" max="16134" width="13" style="1" customWidth="1"/>
    <col min="16135" max="16384" width="10.375" style="1"/>
  </cols>
  <sheetData>
    <row r="1" spans="1:6" ht="18.600000000000001">
      <c r="A1" s="175" t="s">
        <v>0</v>
      </c>
      <c r="B1" s="175"/>
      <c r="C1" s="175"/>
      <c r="D1" s="175"/>
      <c r="E1" s="175"/>
      <c r="F1" s="175"/>
    </row>
    <row r="2" spans="1:6" ht="18.600000000000001">
      <c r="A2" s="176" t="s">
        <v>1</v>
      </c>
      <c r="B2" s="176"/>
      <c r="C2" s="176"/>
      <c r="D2" s="176"/>
      <c r="E2" s="176"/>
      <c r="F2" s="176"/>
    </row>
    <row r="3" spans="1:6" ht="18.600000000000001">
      <c r="A3" s="177" t="s">
        <v>65</v>
      </c>
      <c r="B3" s="177"/>
      <c r="C3" s="177"/>
      <c r="D3" s="177"/>
      <c r="E3" s="177"/>
      <c r="F3" s="177"/>
    </row>
    <row r="4" spans="1:6" ht="18.600000000000001">
      <c r="A4" s="178" t="s">
        <v>3</v>
      </c>
      <c r="B4" s="173" t="s">
        <v>4</v>
      </c>
      <c r="C4" s="146"/>
      <c r="D4" s="182" t="s">
        <v>9</v>
      </c>
      <c r="E4" s="183"/>
      <c r="F4" s="184"/>
    </row>
    <row r="5" spans="1:6" ht="18.600000000000001">
      <c r="A5" s="179"/>
      <c r="B5" s="181"/>
      <c r="C5" s="3" t="s">
        <v>58</v>
      </c>
      <c r="D5" s="185" t="s">
        <v>10</v>
      </c>
      <c r="E5" s="187" t="s">
        <v>12</v>
      </c>
      <c r="F5" s="2"/>
    </row>
    <row r="6" spans="1:6" ht="18.600000000000001">
      <c r="A6" s="180"/>
      <c r="B6" s="174"/>
      <c r="C6" s="4"/>
      <c r="D6" s="186"/>
      <c r="E6" s="188"/>
      <c r="F6" s="7" t="s">
        <v>19</v>
      </c>
    </row>
    <row r="7" spans="1:6" ht="18.600000000000001">
      <c r="A7" s="156"/>
      <c r="B7" s="173" t="s">
        <v>59</v>
      </c>
      <c r="C7" s="157"/>
      <c r="D7" s="158"/>
      <c r="E7" s="159"/>
      <c r="F7" s="160"/>
    </row>
    <row r="8" spans="1:6" ht="21.75" customHeight="1">
      <c r="A8" s="164"/>
      <c r="B8" s="174"/>
      <c r="C8" s="165"/>
      <c r="D8" s="150"/>
      <c r="E8" s="84"/>
      <c r="F8" s="166"/>
    </row>
    <row r="9" spans="1:6" ht="19.2" thickBot="1">
      <c r="A9" s="167"/>
      <c r="B9" s="168"/>
      <c r="C9" s="168"/>
      <c r="D9" s="169"/>
      <c r="E9" s="170"/>
      <c r="F9" s="171"/>
    </row>
    <row r="10" spans="1:6" ht="19.2" thickTop="1">
      <c r="A10" s="161"/>
      <c r="B10" s="162"/>
      <c r="C10" s="162"/>
      <c r="D10" s="77"/>
      <c r="E10" s="78"/>
      <c r="F10" s="163"/>
    </row>
    <row r="11" spans="1:6" ht="18.600000000000001">
      <c r="A11" s="151"/>
      <c r="B11" s="155" t="s">
        <v>31</v>
      </c>
      <c r="C11" s="147"/>
      <c r="D11" s="77"/>
      <c r="E11" s="78"/>
      <c r="F11" s="96"/>
    </row>
    <row r="12" spans="1:6" ht="18.600000000000001">
      <c r="A12" s="42">
        <v>1</v>
      </c>
      <c r="B12" s="97" t="s">
        <v>32</v>
      </c>
      <c r="C12" s="98"/>
      <c r="D12" s="24" t="s">
        <v>34</v>
      </c>
      <c r="E12" s="25"/>
      <c r="F12" s="99">
        <v>322273.98</v>
      </c>
    </row>
    <row r="13" spans="1:6" ht="18.600000000000001">
      <c r="A13" s="42"/>
      <c r="B13" s="100" t="s">
        <v>35</v>
      </c>
      <c r="C13" s="98"/>
      <c r="D13" s="31"/>
      <c r="E13" s="25"/>
      <c r="F13" s="99"/>
    </row>
    <row r="14" spans="1:6" ht="18.600000000000001">
      <c r="A14" s="42"/>
      <c r="B14" s="100" t="s">
        <v>37</v>
      </c>
      <c r="C14" s="101"/>
      <c r="D14" s="31"/>
      <c r="E14" s="25"/>
      <c r="F14" s="99"/>
    </row>
    <row r="15" spans="1:6" ht="18.600000000000001">
      <c r="A15" s="42"/>
      <c r="B15" s="100" t="s">
        <v>38</v>
      </c>
      <c r="C15" s="101"/>
      <c r="D15" s="31"/>
      <c r="E15" s="25"/>
      <c r="F15" s="99"/>
    </row>
    <row r="16" spans="1:6" ht="18.600000000000001">
      <c r="A16" s="8">
        <v>2</v>
      </c>
      <c r="B16" s="102" t="s">
        <v>32</v>
      </c>
      <c r="C16" s="98"/>
      <c r="D16" s="62" t="s">
        <v>40</v>
      </c>
      <c r="E16" s="25">
        <v>16</v>
      </c>
      <c r="F16" s="99">
        <v>5208581.93</v>
      </c>
    </row>
    <row r="17" spans="1:6" ht="18.600000000000001">
      <c r="A17" s="8"/>
      <c r="B17" s="153" t="s">
        <v>41</v>
      </c>
      <c r="C17" s="101"/>
      <c r="D17" s="62" t="s">
        <v>42</v>
      </c>
      <c r="E17" s="25"/>
      <c r="F17" s="92"/>
    </row>
    <row r="18" spans="1:6" ht="18.600000000000001">
      <c r="A18" s="8"/>
      <c r="B18" s="103" t="s">
        <v>43</v>
      </c>
      <c r="C18" s="101"/>
      <c r="D18" s="31"/>
      <c r="E18" s="25"/>
      <c r="F18" s="92"/>
    </row>
    <row r="19" spans="1:6" ht="18.600000000000001">
      <c r="A19" s="148"/>
      <c r="B19" s="149" t="s">
        <v>44</v>
      </c>
      <c r="C19" s="154"/>
      <c r="D19" s="150"/>
      <c r="E19" s="25"/>
      <c r="F19" s="92"/>
    </row>
    <row r="20" spans="1:6" ht="19.2" thickBot="1">
      <c r="A20" s="152"/>
      <c r="B20" s="172" t="s">
        <v>53</v>
      </c>
      <c r="C20" s="145"/>
      <c r="D20" s="108"/>
      <c r="E20" s="106"/>
      <c r="F20" s="106">
        <f>SUM(F12:F18)</f>
        <v>5530855.9100000001</v>
      </c>
    </row>
    <row r="21" spans="1:6" ht="19.2" thickTop="1">
      <c r="A21" s="120"/>
      <c r="B21" s="121"/>
      <c r="C21" s="121"/>
      <c r="D21" s="125"/>
      <c r="E21" s="121"/>
      <c r="F21" s="126"/>
    </row>
  </sheetData>
  <mergeCells count="9">
    <mergeCell ref="B7:B8"/>
    <mergeCell ref="A1:F1"/>
    <mergeCell ref="A2:F2"/>
    <mergeCell ref="A3:F3"/>
    <mergeCell ref="A4:A6"/>
    <mergeCell ref="B4:B6"/>
    <mergeCell ref="D4:F4"/>
    <mergeCell ref="D5:D6"/>
    <mergeCell ref="E5:E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C415D-DA57-4902-A306-F99B355F7620}">
  <sheetPr>
    <tabColor rgb="FFFFC000"/>
  </sheetPr>
  <dimension ref="A1:E21"/>
  <sheetViews>
    <sheetView workbookViewId="0">
      <pane ySplit="6" topLeftCell="A7" activePane="bottomLeft" state="frozen"/>
      <selection pane="bottomLeft" activeCell="B29" sqref="B29"/>
    </sheetView>
  </sheetViews>
  <sheetFormatPr defaultColWidth="10.375" defaultRowHeight="14.4"/>
  <cols>
    <col min="1" max="1" width="10.375" style="1"/>
    <col min="2" max="2" width="33.25" style="1" customWidth="1"/>
    <col min="3" max="4" width="10.375" style="1"/>
    <col min="5" max="5" width="13" style="1" customWidth="1"/>
    <col min="6" max="244" width="10.375" style="1"/>
    <col min="245" max="245" width="33.25" style="1" customWidth="1"/>
    <col min="246" max="250" width="10.375" style="1"/>
    <col min="251" max="251" width="13.625" style="1" customWidth="1"/>
    <col min="252" max="252" width="10.375" style="1"/>
    <col min="253" max="253" width="14.375" style="1" customWidth="1"/>
    <col min="254" max="254" width="10.375" style="1"/>
    <col min="255" max="255" width="11.625" style="1" bestFit="1" customWidth="1"/>
    <col min="256" max="258" width="10.375" style="1"/>
    <col min="259" max="259" width="12.875" style="1" customWidth="1"/>
    <col min="260" max="260" width="10.375" style="1"/>
    <col min="261" max="261" width="13" style="1" customWidth="1"/>
    <col min="262" max="500" width="10.375" style="1"/>
    <col min="501" max="501" width="33.25" style="1" customWidth="1"/>
    <col min="502" max="506" width="10.375" style="1"/>
    <col min="507" max="507" width="13.625" style="1" customWidth="1"/>
    <col min="508" max="508" width="10.375" style="1"/>
    <col min="509" max="509" width="14.375" style="1" customWidth="1"/>
    <col min="510" max="510" width="10.375" style="1"/>
    <col min="511" max="511" width="11.625" style="1" bestFit="1" customWidth="1"/>
    <col min="512" max="514" width="10.375" style="1"/>
    <col min="515" max="515" width="12.875" style="1" customWidth="1"/>
    <col min="516" max="516" width="10.375" style="1"/>
    <col min="517" max="517" width="13" style="1" customWidth="1"/>
    <col min="518" max="756" width="10.375" style="1"/>
    <col min="757" max="757" width="33.25" style="1" customWidth="1"/>
    <col min="758" max="762" width="10.375" style="1"/>
    <col min="763" max="763" width="13.625" style="1" customWidth="1"/>
    <col min="764" max="764" width="10.375" style="1"/>
    <col min="765" max="765" width="14.375" style="1" customWidth="1"/>
    <col min="766" max="766" width="10.375" style="1"/>
    <col min="767" max="767" width="11.625" style="1" bestFit="1" customWidth="1"/>
    <col min="768" max="770" width="10.375" style="1"/>
    <col min="771" max="771" width="12.875" style="1" customWidth="1"/>
    <col min="772" max="772" width="10.375" style="1"/>
    <col min="773" max="773" width="13" style="1" customWidth="1"/>
    <col min="774" max="1012" width="10.375" style="1"/>
    <col min="1013" max="1013" width="33.25" style="1" customWidth="1"/>
    <col min="1014" max="1018" width="10.375" style="1"/>
    <col min="1019" max="1019" width="13.625" style="1" customWidth="1"/>
    <col min="1020" max="1020" width="10.375" style="1"/>
    <col min="1021" max="1021" width="14.375" style="1" customWidth="1"/>
    <col min="1022" max="1022" width="10.375" style="1"/>
    <col min="1023" max="1023" width="11.625" style="1" bestFit="1" customWidth="1"/>
    <col min="1024" max="1026" width="10.375" style="1"/>
    <col min="1027" max="1027" width="12.875" style="1" customWidth="1"/>
    <col min="1028" max="1028" width="10.375" style="1"/>
    <col min="1029" max="1029" width="13" style="1" customWidth="1"/>
    <col min="1030" max="1268" width="10.375" style="1"/>
    <col min="1269" max="1269" width="33.25" style="1" customWidth="1"/>
    <col min="1270" max="1274" width="10.375" style="1"/>
    <col min="1275" max="1275" width="13.625" style="1" customWidth="1"/>
    <col min="1276" max="1276" width="10.375" style="1"/>
    <col min="1277" max="1277" width="14.375" style="1" customWidth="1"/>
    <col min="1278" max="1278" width="10.375" style="1"/>
    <col min="1279" max="1279" width="11.625" style="1" bestFit="1" customWidth="1"/>
    <col min="1280" max="1282" width="10.375" style="1"/>
    <col min="1283" max="1283" width="12.875" style="1" customWidth="1"/>
    <col min="1284" max="1284" width="10.375" style="1"/>
    <col min="1285" max="1285" width="13" style="1" customWidth="1"/>
    <col min="1286" max="1524" width="10.375" style="1"/>
    <col min="1525" max="1525" width="33.25" style="1" customWidth="1"/>
    <col min="1526" max="1530" width="10.375" style="1"/>
    <col min="1531" max="1531" width="13.625" style="1" customWidth="1"/>
    <col min="1532" max="1532" width="10.375" style="1"/>
    <col min="1533" max="1533" width="14.375" style="1" customWidth="1"/>
    <col min="1534" max="1534" width="10.375" style="1"/>
    <col min="1535" max="1535" width="11.625" style="1" bestFit="1" customWidth="1"/>
    <col min="1536" max="1538" width="10.375" style="1"/>
    <col min="1539" max="1539" width="12.875" style="1" customWidth="1"/>
    <col min="1540" max="1540" width="10.375" style="1"/>
    <col min="1541" max="1541" width="13" style="1" customWidth="1"/>
    <col min="1542" max="1780" width="10.375" style="1"/>
    <col min="1781" max="1781" width="33.25" style="1" customWidth="1"/>
    <col min="1782" max="1786" width="10.375" style="1"/>
    <col min="1787" max="1787" width="13.625" style="1" customWidth="1"/>
    <col min="1788" max="1788" width="10.375" style="1"/>
    <col min="1789" max="1789" width="14.375" style="1" customWidth="1"/>
    <col min="1790" max="1790" width="10.375" style="1"/>
    <col min="1791" max="1791" width="11.625" style="1" bestFit="1" customWidth="1"/>
    <col min="1792" max="1794" width="10.375" style="1"/>
    <col min="1795" max="1795" width="12.875" style="1" customWidth="1"/>
    <col min="1796" max="1796" width="10.375" style="1"/>
    <col min="1797" max="1797" width="13" style="1" customWidth="1"/>
    <col min="1798" max="2036" width="10.375" style="1"/>
    <col min="2037" max="2037" width="33.25" style="1" customWidth="1"/>
    <col min="2038" max="2042" width="10.375" style="1"/>
    <col min="2043" max="2043" width="13.625" style="1" customWidth="1"/>
    <col min="2044" max="2044" width="10.375" style="1"/>
    <col min="2045" max="2045" width="14.375" style="1" customWidth="1"/>
    <col min="2046" max="2046" width="10.375" style="1"/>
    <col min="2047" max="2047" width="11.625" style="1" bestFit="1" customWidth="1"/>
    <col min="2048" max="2050" width="10.375" style="1"/>
    <col min="2051" max="2051" width="12.875" style="1" customWidth="1"/>
    <col min="2052" max="2052" width="10.375" style="1"/>
    <col min="2053" max="2053" width="13" style="1" customWidth="1"/>
    <col min="2054" max="2292" width="10.375" style="1"/>
    <col min="2293" max="2293" width="33.25" style="1" customWidth="1"/>
    <col min="2294" max="2298" width="10.375" style="1"/>
    <col min="2299" max="2299" width="13.625" style="1" customWidth="1"/>
    <col min="2300" max="2300" width="10.375" style="1"/>
    <col min="2301" max="2301" width="14.375" style="1" customWidth="1"/>
    <col min="2302" max="2302" width="10.375" style="1"/>
    <col min="2303" max="2303" width="11.625" style="1" bestFit="1" customWidth="1"/>
    <col min="2304" max="2306" width="10.375" style="1"/>
    <col min="2307" max="2307" width="12.875" style="1" customWidth="1"/>
    <col min="2308" max="2308" width="10.375" style="1"/>
    <col min="2309" max="2309" width="13" style="1" customWidth="1"/>
    <col min="2310" max="2548" width="10.375" style="1"/>
    <col min="2549" max="2549" width="33.25" style="1" customWidth="1"/>
    <col min="2550" max="2554" width="10.375" style="1"/>
    <col min="2555" max="2555" width="13.625" style="1" customWidth="1"/>
    <col min="2556" max="2556" width="10.375" style="1"/>
    <col min="2557" max="2557" width="14.375" style="1" customWidth="1"/>
    <col min="2558" max="2558" width="10.375" style="1"/>
    <col min="2559" max="2559" width="11.625" style="1" bestFit="1" customWidth="1"/>
    <col min="2560" max="2562" width="10.375" style="1"/>
    <col min="2563" max="2563" width="12.875" style="1" customWidth="1"/>
    <col min="2564" max="2564" width="10.375" style="1"/>
    <col min="2565" max="2565" width="13" style="1" customWidth="1"/>
    <col min="2566" max="2804" width="10.375" style="1"/>
    <col min="2805" max="2805" width="33.25" style="1" customWidth="1"/>
    <col min="2806" max="2810" width="10.375" style="1"/>
    <col min="2811" max="2811" width="13.625" style="1" customWidth="1"/>
    <col min="2812" max="2812" width="10.375" style="1"/>
    <col min="2813" max="2813" width="14.375" style="1" customWidth="1"/>
    <col min="2814" max="2814" width="10.375" style="1"/>
    <col min="2815" max="2815" width="11.625" style="1" bestFit="1" customWidth="1"/>
    <col min="2816" max="2818" width="10.375" style="1"/>
    <col min="2819" max="2819" width="12.875" style="1" customWidth="1"/>
    <col min="2820" max="2820" width="10.375" style="1"/>
    <col min="2821" max="2821" width="13" style="1" customWidth="1"/>
    <col min="2822" max="3060" width="10.375" style="1"/>
    <col min="3061" max="3061" width="33.25" style="1" customWidth="1"/>
    <col min="3062" max="3066" width="10.375" style="1"/>
    <col min="3067" max="3067" width="13.625" style="1" customWidth="1"/>
    <col min="3068" max="3068" width="10.375" style="1"/>
    <col min="3069" max="3069" width="14.375" style="1" customWidth="1"/>
    <col min="3070" max="3070" width="10.375" style="1"/>
    <col min="3071" max="3071" width="11.625" style="1" bestFit="1" customWidth="1"/>
    <col min="3072" max="3074" width="10.375" style="1"/>
    <col min="3075" max="3075" width="12.875" style="1" customWidth="1"/>
    <col min="3076" max="3076" width="10.375" style="1"/>
    <col min="3077" max="3077" width="13" style="1" customWidth="1"/>
    <col min="3078" max="3316" width="10.375" style="1"/>
    <col min="3317" max="3317" width="33.25" style="1" customWidth="1"/>
    <col min="3318" max="3322" width="10.375" style="1"/>
    <col min="3323" max="3323" width="13.625" style="1" customWidth="1"/>
    <col min="3324" max="3324" width="10.375" style="1"/>
    <col min="3325" max="3325" width="14.375" style="1" customWidth="1"/>
    <col min="3326" max="3326" width="10.375" style="1"/>
    <col min="3327" max="3327" width="11.625" style="1" bestFit="1" customWidth="1"/>
    <col min="3328" max="3330" width="10.375" style="1"/>
    <col min="3331" max="3331" width="12.875" style="1" customWidth="1"/>
    <col min="3332" max="3332" width="10.375" style="1"/>
    <col min="3333" max="3333" width="13" style="1" customWidth="1"/>
    <col min="3334" max="3572" width="10.375" style="1"/>
    <col min="3573" max="3573" width="33.25" style="1" customWidth="1"/>
    <col min="3574" max="3578" width="10.375" style="1"/>
    <col min="3579" max="3579" width="13.625" style="1" customWidth="1"/>
    <col min="3580" max="3580" width="10.375" style="1"/>
    <col min="3581" max="3581" width="14.375" style="1" customWidth="1"/>
    <col min="3582" max="3582" width="10.375" style="1"/>
    <col min="3583" max="3583" width="11.625" style="1" bestFit="1" customWidth="1"/>
    <col min="3584" max="3586" width="10.375" style="1"/>
    <col min="3587" max="3587" width="12.875" style="1" customWidth="1"/>
    <col min="3588" max="3588" width="10.375" style="1"/>
    <col min="3589" max="3589" width="13" style="1" customWidth="1"/>
    <col min="3590" max="3828" width="10.375" style="1"/>
    <col min="3829" max="3829" width="33.25" style="1" customWidth="1"/>
    <col min="3830" max="3834" width="10.375" style="1"/>
    <col min="3835" max="3835" width="13.625" style="1" customWidth="1"/>
    <col min="3836" max="3836" width="10.375" style="1"/>
    <col min="3837" max="3837" width="14.375" style="1" customWidth="1"/>
    <col min="3838" max="3838" width="10.375" style="1"/>
    <col min="3839" max="3839" width="11.625" style="1" bestFit="1" customWidth="1"/>
    <col min="3840" max="3842" width="10.375" style="1"/>
    <col min="3843" max="3843" width="12.875" style="1" customWidth="1"/>
    <col min="3844" max="3844" width="10.375" style="1"/>
    <col min="3845" max="3845" width="13" style="1" customWidth="1"/>
    <col min="3846" max="4084" width="10.375" style="1"/>
    <col min="4085" max="4085" width="33.25" style="1" customWidth="1"/>
    <col min="4086" max="4090" width="10.375" style="1"/>
    <col min="4091" max="4091" width="13.625" style="1" customWidth="1"/>
    <col min="4092" max="4092" width="10.375" style="1"/>
    <col min="4093" max="4093" width="14.375" style="1" customWidth="1"/>
    <col min="4094" max="4094" width="10.375" style="1"/>
    <col min="4095" max="4095" width="11.625" style="1" bestFit="1" customWidth="1"/>
    <col min="4096" max="4098" width="10.375" style="1"/>
    <col min="4099" max="4099" width="12.875" style="1" customWidth="1"/>
    <col min="4100" max="4100" width="10.375" style="1"/>
    <col min="4101" max="4101" width="13" style="1" customWidth="1"/>
    <col min="4102" max="4340" width="10.375" style="1"/>
    <col min="4341" max="4341" width="33.25" style="1" customWidth="1"/>
    <col min="4342" max="4346" width="10.375" style="1"/>
    <col min="4347" max="4347" width="13.625" style="1" customWidth="1"/>
    <col min="4348" max="4348" width="10.375" style="1"/>
    <col min="4349" max="4349" width="14.375" style="1" customWidth="1"/>
    <col min="4350" max="4350" width="10.375" style="1"/>
    <col min="4351" max="4351" width="11.625" style="1" bestFit="1" customWidth="1"/>
    <col min="4352" max="4354" width="10.375" style="1"/>
    <col min="4355" max="4355" width="12.875" style="1" customWidth="1"/>
    <col min="4356" max="4356" width="10.375" style="1"/>
    <col min="4357" max="4357" width="13" style="1" customWidth="1"/>
    <col min="4358" max="4596" width="10.375" style="1"/>
    <col min="4597" max="4597" width="33.25" style="1" customWidth="1"/>
    <col min="4598" max="4602" width="10.375" style="1"/>
    <col min="4603" max="4603" width="13.625" style="1" customWidth="1"/>
    <col min="4604" max="4604" width="10.375" style="1"/>
    <col min="4605" max="4605" width="14.375" style="1" customWidth="1"/>
    <col min="4606" max="4606" width="10.375" style="1"/>
    <col min="4607" max="4607" width="11.625" style="1" bestFit="1" customWidth="1"/>
    <col min="4608" max="4610" width="10.375" style="1"/>
    <col min="4611" max="4611" width="12.875" style="1" customWidth="1"/>
    <col min="4612" max="4612" width="10.375" style="1"/>
    <col min="4613" max="4613" width="13" style="1" customWidth="1"/>
    <col min="4614" max="4852" width="10.375" style="1"/>
    <col min="4853" max="4853" width="33.25" style="1" customWidth="1"/>
    <col min="4854" max="4858" width="10.375" style="1"/>
    <col min="4859" max="4859" width="13.625" style="1" customWidth="1"/>
    <col min="4860" max="4860" width="10.375" style="1"/>
    <col min="4861" max="4861" width="14.375" style="1" customWidth="1"/>
    <col min="4862" max="4862" width="10.375" style="1"/>
    <col min="4863" max="4863" width="11.625" style="1" bestFit="1" customWidth="1"/>
    <col min="4864" max="4866" width="10.375" style="1"/>
    <col min="4867" max="4867" width="12.875" style="1" customWidth="1"/>
    <col min="4868" max="4868" width="10.375" style="1"/>
    <col min="4869" max="4869" width="13" style="1" customWidth="1"/>
    <col min="4870" max="5108" width="10.375" style="1"/>
    <col min="5109" max="5109" width="33.25" style="1" customWidth="1"/>
    <col min="5110" max="5114" width="10.375" style="1"/>
    <col min="5115" max="5115" width="13.625" style="1" customWidth="1"/>
    <col min="5116" max="5116" width="10.375" style="1"/>
    <col min="5117" max="5117" width="14.375" style="1" customWidth="1"/>
    <col min="5118" max="5118" width="10.375" style="1"/>
    <col min="5119" max="5119" width="11.625" style="1" bestFit="1" customWidth="1"/>
    <col min="5120" max="5122" width="10.375" style="1"/>
    <col min="5123" max="5123" width="12.875" style="1" customWidth="1"/>
    <col min="5124" max="5124" width="10.375" style="1"/>
    <col min="5125" max="5125" width="13" style="1" customWidth="1"/>
    <col min="5126" max="5364" width="10.375" style="1"/>
    <col min="5365" max="5365" width="33.25" style="1" customWidth="1"/>
    <col min="5366" max="5370" width="10.375" style="1"/>
    <col min="5371" max="5371" width="13.625" style="1" customWidth="1"/>
    <col min="5372" max="5372" width="10.375" style="1"/>
    <col min="5373" max="5373" width="14.375" style="1" customWidth="1"/>
    <col min="5374" max="5374" width="10.375" style="1"/>
    <col min="5375" max="5375" width="11.625" style="1" bestFit="1" customWidth="1"/>
    <col min="5376" max="5378" width="10.375" style="1"/>
    <col min="5379" max="5379" width="12.875" style="1" customWidth="1"/>
    <col min="5380" max="5380" width="10.375" style="1"/>
    <col min="5381" max="5381" width="13" style="1" customWidth="1"/>
    <col min="5382" max="5620" width="10.375" style="1"/>
    <col min="5621" max="5621" width="33.25" style="1" customWidth="1"/>
    <col min="5622" max="5626" width="10.375" style="1"/>
    <col min="5627" max="5627" width="13.625" style="1" customWidth="1"/>
    <col min="5628" max="5628" width="10.375" style="1"/>
    <col min="5629" max="5629" width="14.375" style="1" customWidth="1"/>
    <col min="5630" max="5630" width="10.375" style="1"/>
    <col min="5631" max="5631" width="11.625" style="1" bestFit="1" customWidth="1"/>
    <col min="5632" max="5634" width="10.375" style="1"/>
    <col min="5635" max="5635" width="12.875" style="1" customWidth="1"/>
    <col min="5636" max="5636" width="10.375" style="1"/>
    <col min="5637" max="5637" width="13" style="1" customWidth="1"/>
    <col min="5638" max="5876" width="10.375" style="1"/>
    <col min="5877" max="5877" width="33.25" style="1" customWidth="1"/>
    <col min="5878" max="5882" width="10.375" style="1"/>
    <col min="5883" max="5883" width="13.625" style="1" customWidth="1"/>
    <col min="5884" max="5884" width="10.375" style="1"/>
    <col min="5885" max="5885" width="14.375" style="1" customWidth="1"/>
    <col min="5886" max="5886" width="10.375" style="1"/>
    <col min="5887" max="5887" width="11.625" style="1" bestFit="1" customWidth="1"/>
    <col min="5888" max="5890" width="10.375" style="1"/>
    <col min="5891" max="5891" width="12.875" style="1" customWidth="1"/>
    <col min="5892" max="5892" width="10.375" style="1"/>
    <col min="5893" max="5893" width="13" style="1" customWidth="1"/>
    <col min="5894" max="6132" width="10.375" style="1"/>
    <col min="6133" max="6133" width="33.25" style="1" customWidth="1"/>
    <col min="6134" max="6138" width="10.375" style="1"/>
    <col min="6139" max="6139" width="13.625" style="1" customWidth="1"/>
    <col min="6140" max="6140" width="10.375" style="1"/>
    <col min="6141" max="6141" width="14.375" style="1" customWidth="1"/>
    <col min="6142" max="6142" width="10.375" style="1"/>
    <col min="6143" max="6143" width="11.625" style="1" bestFit="1" customWidth="1"/>
    <col min="6144" max="6146" width="10.375" style="1"/>
    <col min="6147" max="6147" width="12.875" style="1" customWidth="1"/>
    <col min="6148" max="6148" width="10.375" style="1"/>
    <col min="6149" max="6149" width="13" style="1" customWidth="1"/>
    <col min="6150" max="6388" width="10.375" style="1"/>
    <col min="6389" max="6389" width="33.25" style="1" customWidth="1"/>
    <col min="6390" max="6394" width="10.375" style="1"/>
    <col min="6395" max="6395" width="13.625" style="1" customWidth="1"/>
    <col min="6396" max="6396" width="10.375" style="1"/>
    <col min="6397" max="6397" width="14.375" style="1" customWidth="1"/>
    <col min="6398" max="6398" width="10.375" style="1"/>
    <col min="6399" max="6399" width="11.625" style="1" bestFit="1" customWidth="1"/>
    <col min="6400" max="6402" width="10.375" style="1"/>
    <col min="6403" max="6403" width="12.875" style="1" customWidth="1"/>
    <col min="6404" max="6404" width="10.375" style="1"/>
    <col min="6405" max="6405" width="13" style="1" customWidth="1"/>
    <col min="6406" max="6644" width="10.375" style="1"/>
    <col min="6645" max="6645" width="33.25" style="1" customWidth="1"/>
    <col min="6646" max="6650" width="10.375" style="1"/>
    <col min="6651" max="6651" width="13.625" style="1" customWidth="1"/>
    <col min="6652" max="6652" width="10.375" style="1"/>
    <col min="6653" max="6653" width="14.375" style="1" customWidth="1"/>
    <col min="6654" max="6654" width="10.375" style="1"/>
    <col min="6655" max="6655" width="11.625" style="1" bestFit="1" customWidth="1"/>
    <col min="6656" max="6658" width="10.375" style="1"/>
    <col min="6659" max="6659" width="12.875" style="1" customWidth="1"/>
    <col min="6660" max="6660" width="10.375" style="1"/>
    <col min="6661" max="6661" width="13" style="1" customWidth="1"/>
    <col min="6662" max="6900" width="10.375" style="1"/>
    <col min="6901" max="6901" width="33.25" style="1" customWidth="1"/>
    <col min="6902" max="6906" width="10.375" style="1"/>
    <col min="6907" max="6907" width="13.625" style="1" customWidth="1"/>
    <col min="6908" max="6908" width="10.375" style="1"/>
    <col min="6909" max="6909" width="14.375" style="1" customWidth="1"/>
    <col min="6910" max="6910" width="10.375" style="1"/>
    <col min="6911" max="6911" width="11.625" style="1" bestFit="1" customWidth="1"/>
    <col min="6912" max="6914" width="10.375" style="1"/>
    <col min="6915" max="6915" width="12.875" style="1" customWidth="1"/>
    <col min="6916" max="6916" width="10.375" style="1"/>
    <col min="6917" max="6917" width="13" style="1" customWidth="1"/>
    <col min="6918" max="7156" width="10.375" style="1"/>
    <col min="7157" max="7157" width="33.25" style="1" customWidth="1"/>
    <col min="7158" max="7162" width="10.375" style="1"/>
    <col min="7163" max="7163" width="13.625" style="1" customWidth="1"/>
    <col min="7164" max="7164" width="10.375" style="1"/>
    <col min="7165" max="7165" width="14.375" style="1" customWidth="1"/>
    <col min="7166" max="7166" width="10.375" style="1"/>
    <col min="7167" max="7167" width="11.625" style="1" bestFit="1" customWidth="1"/>
    <col min="7168" max="7170" width="10.375" style="1"/>
    <col min="7171" max="7171" width="12.875" style="1" customWidth="1"/>
    <col min="7172" max="7172" width="10.375" style="1"/>
    <col min="7173" max="7173" width="13" style="1" customWidth="1"/>
    <col min="7174" max="7412" width="10.375" style="1"/>
    <col min="7413" max="7413" width="33.25" style="1" customWidth="1"/>
    <col min="7414" max="7418" width="10.375" style="1"/>
    <col min="7419" max="7419" width="13.625" style="1" customWidth="1"/>
    <col min="7420" max="7420" width="10.375" style="1"/>
    <col min="7421" max="7421" width="14.375" style="1" customWidth="1"/>
    <col min="7422" max="7422" width="10.375" style="1"/>
    <col min="7423" max="7423" width="11.625" style="1" bestFit="1" customWidth="1"/>
    <col min="7424" max="7426" width="10.375" style="1"/>
    <col min="7427" max="7427" width="12.875" style="1" customWidth="1"/>
    <col min="7428" max="7428" width="10.375" style="1"/>
    <col min="7429" max="7429" width="13" style="1" customWidth="1"/>
    <col min="7430" max="7668" width="10.375" style="1"/>
    <col min="7669" max="7669" width="33.25" style="1" customWidth="1"/>
    <col min="7670" max="7674" width="10.375" style="1"/>
    <col min="7675" max="7675" width="13.625" style="1" customWidth="1"/>
    <col min="7676" max="7676" width="10.375" style="1"/>
    <col min="7677" max="7677" width="14.375" style="1" customWidth="1"/>
    <col min="7678" max="7678" width="10.375" style="1"/>
    <col min="7679" max="7679" width="11.625" style="1" bestFit="1" customWidth="1"/>
    <col min="7680" max="7682" width="10.375" style="1"/>
    <col min="7683" max="7683" width="12.875" style="1" customWidth="1"/>
    <col min="7684" max="7684" width="10.375" style="1"/>
    <col min="7685" max="7685" width="13" style="1" customWidth="1"/>
    <col min="7686" max="7924" width="10.375" style="1"/>
    <col min="7925" max="7925" width="33.25" style="1" customWidth="1"/>
    <col min="7926" max="7930" width="10.375" style="1"/>
    <col min="7931" max="7931" width="13.625" style="1" customWidth="1"/>
    <col min="7932" max="7932" width="10.375" style="1"/>
    <col min="7933" max="7933" width="14.375" style="1" customWidth="1"/>
    <col min="7934" max="7934" width="10.375" style="1"/>
    <col min="7935" max="7935" width="11.625" style="1" bestFit="1" customWidth="1"/>
    <col min="7936" max="7938" width="10.375" style="1"/>
    <col min="7939" max="7939" width="12.875" style="1" customWidth="1"/>
    <col min="7940" max="7940" width="10.375" style="1"/>
    <col min="7941" max="7941" width="13" style="1" customWidth="1"/>
    <col min="7942" max="8180" width="10.375" style="1"/>
    <col min="8181" max="8181" width="33.25" style="1" customWidth="1"/>
    <col min="8182" max="8186" width="10.375" style="1"/>
    <col min="8187" max="8187" width="13.625" style="1" customWidth="1"/>
    <col min="8188" max="8188" width="10.375" style="1"/>
    <col min="8189" max="8189" width="14.375" style="1" customWidth="1"/>
    <col min="8190" max="8190" width="10.375" style="1"/>
    <col min="8191" max="8191" width="11.625" style="1" bestFit="1" customWidth="1"/>
    <col min="8192" max="8194" width="10.375" style="1"/>
    <col min="8195" max="8195" width="12.875" style="1" customWidth="1"/>
    <col min="8196" max="8196" width="10.375" style="1"/>
    <col min="8197" max="8197" width="13" style="1" customWidth="1"/>
    <col min="8198" max="8436" width="10.375" style="1"/>
    <col min="8437" max="8437" width="33.25" style="1" customWidth="1"/>
    <col min="8438" max="8442" width="10.375" style="1"/>
    <col min="8443" max="8443" width="13.625" style="1" customWidth="1"/>
    <col min="8444" max="8444" width="10.375" style="1"/>
    <col min="8445" max="8445" width="14.375" style="1" customWidth="1"/>
    <col min="8446" max="8446" width="10.375" style="1"/>
    <col min="8447" max="8447" width="11.625" style="1" bestFit="1" customWidth="1"/>
    <col min="8448" max="8450" width="10.375" style="1"/>
    <col min="8451" max="8451" width="12.875" style="1" customWidth="1"/>
    <col min="8452" max="8452" width="10.375" style="1"/>
    <col min="8453" max="8453" width="13" style="1" customWidth="1"/>
    <col min="8454" max="8692" width="10.375" style="1"/>
    <col min="8693" max="8693" width="33.25" style="1" customWidth="1"/>
    <col min="8694" max="8698" width="10.375" style="1"/>
    <col min="8699" max="8699" width="13.625" style="1" customWidth="1"/>
    <col min="8700" max="8700" width="10.375" style="1"/>
    <col min="8701" max="8701" width="14.375" style="1" customWidth="1"/>
    <col min="8702" max="8702" width="10.375" style="1"/>
    <col min="8703" max="8703" width="11.625" style="1" bestFit="1" customWidth="1"/>
    <col min="8704" max="8706" width="10.375" style="1"/>
    <col min="8707" max="8707" width="12.875" style="1" customWidth="1"/>
    <col min="8708" max="8708" width="10.375" style="1"/>
    <col min="8709" max="8709" width="13" style="1" customWidth="1"/>
    <col min="8710" max="8948" width="10.375" style="1"/>
    <col min="8949" max="8949" width="33.25" style="1" customWidth="1"/>
    <col min="8950" max="8954" width="10.375" style="1"/>
    <col min="8955" max="8955" width="13.625" style="1" customWidth="1"/>
    <col min="8956" max="8956" width="10.375" style="1"/>
    <col min="8957" max="8957" width="14.375" style="1" customWidth="1"/>
    <col min="8958" max="8958" width="10.375" style="1"/>
    <col min="8959" max="8959" width="11.625" style="1" bestFit="1" customWidth="1"/>
    <col min="8960" max="8962" width="10.375" style="1"/>
    <col min="8963" max="8963" width="12.875" style="1" customWidth="1"/>
    <col min="8964" max="8964" width="10.375" style="1"/>
    <col min="8965" max="8965" width="13" style="1" customWidth="1"/>
    <col min="8966" max="9204" width="10.375" style="1"/>
    <col min="9205" max="9205" width="33.25" style="1" customWidth="1"/>
    <col min="9206" max="9210" width="10.375" style="1"/>
    <col min="9211" max="9211" width="13.625" style="1" customWidth="1"/>
    <col min="9212" max="9212" width="10.375" style="1"/>
    <col min="9213" max="9213" width="14.375" style="1" customWidth="1"/>
    <col min="9214" max="9214" width="10.375" style="1"/>
    <col min="9215" max="9215" width="11.625" style="1" bestFit="1" customWidth="1"/>
    <col min="9216" max="9218" width="10.375" style="1"/>
    <col min="9219" max="9219" width="12.875" style="1" customWidth="1"/>
    <col min="9220" max="9220" width="10.375" style="1"/>
    <col min="9221" max="9221" width="13" style="1" customWidth="1"/>
    <col min="9222" max="9460" width="10.375" style="1"/>
    <col min="9461" max="9461" width="33.25" style="1" customWidth="1"/>
    <col min="9462" max="9466" width="10.375" style="1"/>
    <col min="9467" max="9467" width="13.625" style="1" customWidth="1"/>
    <col min="9468" max="9468" width="10.375" style="1"/>
    <col min="9469" max="9469" width="14.375" style="1" customWidth="1"/>
    <col min="9470" max="9470" width="10.375" style="1"/>
    <col min="9471" max="9471" width="11.625" style="1" bestFit="1" customWidth="1"/>
    <col min="9472" max="9474" width="10.375" style="1"/>
    <col min="9475" max="9475" width="12.875" style="1" customWidth="1"/>
    <col min="9476" max="9476" width="10.375" style="1"/>
    <col min="9477" max="9477" width="13" style="1" customWidth="1"/>
    <col min="9478" max="9716" width="10.375" style="1"/>
    <col min="9717" max="9717" width="33.25" style="1" customWidth="1"/>
    <col min="9718" max="9722" width="10.375" style="1"/>
    <col min="9723" max="9723" width="13.625" style="1" customWidth="1"/>
    <col min="9724" max="9724" width="10.375" style="1"/>
    <col min="9725" max="9725" width="14.375" style="1" customWidth="1"/>
    <col min="9726" max="9726" width="10.375" style="1"/>
    <col min="9727" max="9727" width="11.625" style="1" bestFit="1" customWidth="1"/>
    <col min="9728" max="9730" width="10.375" style="1"/>
    <col min="9731" max="9731" width="12.875" style="1" customWidth="1"/>
    <col min="9732" max="9732" width="10.375" style="1"/>
    <col min="9733" max="9733" width="13" style="1" customWidth="1"/>
    <col min="9734" max="9972" width="10.375" style="1"/>
    <col min="9973" max="9973" width="33.25" style="1" customWidth="1"/>
    <col min="9974" max="9978" width="10.375" style="1"/>
    <col min="9979" max="9979" width="13.625" style="1" customWidth="1"/>
    <col min="9980" max="9980" width="10.375" style="1"/>
    <col min="9981" max="9981" width="14.375" style="1" customWidth="1"/>
    <col min="9982" max="9982" width="10.375" style="1"/>
    <col min="9983" max="9983" width="11.625" style="1" bestFit="1" customWidth="1"/>
    <col min="9984" max="9986" width="10.375" style="1"/>
    <col min="9987" max="9987" width="12.875" style="1" customWidth="1"/>
    <col min="9988" max="9988" width="10.375" style="1"/>
    <col min="9989" max="9989" width="13" style="1" customWidth="1"/>
    <col min="9990" max="10228" width="10.375" style="1"/>
    <col min="10229" max="10229" width="33.25" style="1" customWidth="1"/>
    <col min="10230" max="10234" width="10.375" style="1"/>
    <col min="10235" max="10235" width="13.625" style="1" customWidth="1"/>
    <col min="10236" max="10236" width="10.375" style="1"/>
    <col min="10237" max="10237" width="14.375" style="1" customWidth="1"/>
    <col min="10238" max="10238" width="10.375" style="1"/>
    <col min="10239" max="10239" width="11.625" style="1" bestFit="1" customWidth="1"/>
    <col min="10240" max="10242" width="10.375" style="1"/>
    <col min="10243" max="10243" width="12.875" style="1" customWidth="1"/>
    <col min="10244" max="10244" width="10.375" style="1"/>
    <col min="10245" max="10245" width="13" style="1" customWidth="1"/>
    <col min="10246" max="10484" width="10.375" style="1"/>
    <col min="10485" max="10485" width="33.25" style="1" customWidth="1"/>
    <col min="10486" max="10490" width="10.375" style="1"/>
    <col min="10491" max="10491" width="13.625" style="1" customWidth="1"/>
    <col min="10492" max="10492" width="10.375" style="1"/>
    <col min="10493" max="10493" width="14.375" style="1" customWidth="1"/>
    <col min="10494" max="10494" width="10.375" style="1"/>
    <col min="10495" max="10495" width="11.625" style="1" bestFit="1" customWidth="1"/>
    <col min="10496" max="10498" width="10.375" style="1"/>
    <col min="10499" max="10499" width="12.875" style="1" customWidth="1"/>
    <col min="10500" max="10500" width="10.375" style="1"/>
    <col min="10501" max="10501" width="13" style="1" customWidth="1"/>
    <col min="10502" max="10740" width="10.375" style="1"/>
    <col min="10741" max="10741" width="33.25" style="1" customWidth="1"/>
    <col min="10742" max="10746" width="10.375" style="1"/>
    <col min="10747" max="10747" width="13.625" style="1" customWidth="1"/>
    <col min="10748" max="10748" width="10.375" style="1"/>
    <col min="10749" max="10749" width="14.375" style="1" customWidth="1"/>
    <col min="10750" max="10750" width="10.375" style="1"/>
    <col min="10751" max="10751" width="11.625" style="1" bestFit="1" customWidth="1"/>
    <col min="10752" max="10754" width="10.375" style="1"/>
    <col min="10755" max="10755" width="12.875" style="1" customWidth="1"/>
    <col min="10756" max="10756" width="10.375" style="1"/>
    <col min="10757" max="10757" width="13" style="1" customWidth="1"/>
    <col min="10758" max="10996" width="10.375" style="1"/>
    <col min="10997" max="10997" width="33.25" style="1" customWidth="1"/>
    <col min="10998" max="11002" width="10.375" style="1"/>
    <col min="11003" max="11003" width="13.625" style="1" customWidth="1"/>
    <col min="11004" max="11004" width="10.375" style="1"/>
    <col min="11005" max="11005" width="14.375" style="1" customWidth="1"/>
    <col min="11006" max="11006" width="10.375" style="1"/>
    <col min="11007" max="11007" width="11.625" style="1" bestFit="1" customWidth="1"/>
    <col min="11008" max="11010" width="10.375" style="1"/>
    <col min="11011" max="11011" width="12.875" style="1" customWidth="1"/>
    <col min="11012" max="11012" width="10.375" style="1"/>
    <col min="11013" max="11013" width="13" style="1" customWidth="1"/>
    <col min="11014" max="11252" width="10.375" style="1"/>
    <col min="11253" max="11253" width="33.25" style="1" customWidth="1"/>
    <col min="11254" max="11258" width="10.375" style="1"/>
    <col min="11259" max="11259" width="13.625" style="1" customWidth="1"/>
    <col min="11260" max="11260" width="10.375" style="1"/>
    <col min="11261" max="11261" width="14.375" style="1" customWidth="1"/>
    <col min="11262" max="11262" width="10.375" style="1"/>
    <col min="11263" max="11263" width="11.625" style="1" bestFit="1" customWidth="1"/>
    <col min="11264" max="11266" width="10.375" style="1"/>
    <col min="11267" max="11267" width="12.875" style="1" customWidth="1"/>
    <col min="11268" max="11268" width="10.375" style="1"/>
    <col min="11269" max="11269" width="13" style="1" customWidth="1"/>
    <col min="11270" max="11508" width="10.375" style="1"/>
    <col min="11509" max="11509" width="33.25" style="1" customWidth="1"/>
    <col min="11510" max="11514" width="10.375" style="1"/>
    <col min="11515" max="11515" width="13.625" style="1" customWidth="1"/>
    <col min="11516" max="11516" width="10.375" style="1"/>
    <col min="11517" max="11517" width="14.375" style="1" customWidth="1"/>
    <col min="11518" max="11518" width="10.375" style="1"/>
    <col min="11519" max="11519" width="11.625" style="1" bestFit="1" customWidth="1"/>
    <col min="11520" max="11522" width="10.375" style="1"/>
    <col min="11523" max="11523" width="12.875" style="1" customWidth="1"/>
    <col min="11524" max="11524" width="10.375" style="1"/>
    <col min="11525" max="11525" width="13" style="1" customWidth="1"/>
    <col min="11526" max="11764" width="10.375" style="1"/>
    <col min="11765" max="11765" width="33.25" style="1" customWidth="1"/>
    <col min="11766" max="11770" width="10.375" style="1"/>
    <col min="11771" max="11771" width="13.625" style="1" customWidth="1"/>
    <col min="11772" max="11772" width="10.375" style="1"/>
    <col min="11773" max="11773" width="14.375" style="1" customWidth="1"/>
    <col min="11774" max="11774" width="10.375" style="1"/>
    <col min="11775" max="11775" width="11.625" style="1" bestFit="1" customWidth="1"/>
    <col min="11776" max="11778" width="10.375" style="1"/>
    <col min="11779" max="11779" width="12.875" style="1" customWidth="1"/>
    <col min="11780" max="11780" width="10.375" style="1"/>
    <col min="11781" max="11781" width="13" style="1" customWidth="1"/>
    <col min="11782" max="12020" width="10.375" style="1"/>
    <col min="12021" max="12021" width="33.25" style="1" customWidth="1"/>
    <col min="12022" max="12026" width="10.375" style="1"/>
    <col min="12027" max="12027" width="13.625" style="1" customWidth="1"/>
    <col min="12028" max="12028" width="10.375" style="1"/>
    <col min="12029" max="12029" width="14.375" style="1" customWidth="1"/>
    <col min="12030" max="12030" width="10.375" style="1"/>
    <col min="12031" max="12031" width="11.625" style="1" bestFit="1" customWidth="1"/>
    <col min="12032" max="12034" width="10.375" style="1"/>
    <col min="12035" max="12035" width="12.875" style="1" customWidth="1"/>
    <col min="12036" max="12036" width="10.375" style="1"/>
    <col min="12037" max="12037" width="13" style="1" customWidth="1"/>
    <col min="12038" max="12276" width="10.375" style="1"/>
    <col min="12277" max="12277" width="33.25" style="1" customWidth="1"/>
    <col min="12278" max="12282" width="10.375" style="1"/>
    <col min="12283" max="12283" width="13.625" style="1" customWidth="1"/>
    <col min="12284" max="12284" width="10.375" style="1"/>
    <col min="12285" max="12285" width="14.375" style="1" customWidth="1"/>
    <col min="12286" max="12286" width="10.375" style="1"/>
    <col min="12287" max="12287" width="11.625" style="1" bestFit="1" customWidth="1"/>
    <col min="12288" max="12290" width="10.375" style="1"/>
    <col min="12291" max="12291" width="12.875" style="1" customWidth="1"/>
    <col min="12292" max="12292" width="10.375" style="1"/>
    <col min="12293" max="12293" width="13" style="1" customWidth="1"/>
    <col min="12294" max="12532" width="10.375" style="1"/>
    <col min="12533" max="12533" width="33.25" style="1" customWidth="1"/>
    <col min="12534" max="12538" width="10.375" style="1"/>
    <col min="12539" max="12539" width="13.625" style="1" customWidth="1"/>
    <col min="12540" max="12540" width="10.375" style="1"/>
    <col min="12541" max="12541" width="14.375" style="1" customWidth="1"/>
    <col min="12542" max="12542" width="10.375" style="1"/>
    <col min="12543" max="12543" width="11.625" style="1" bestFit="1" customWidth="1"/>
    <col min="12544" max="12546" width="10.375" style="1"/>
    <col min="12547" max="12547" width="12.875" style="1" customWidth="1"/>
    <col min="12548" max="12548" width="10.375" style="1"/>
    <col min="12549" max="12549" width="13" style="1" customWidth="1"/>
    <col min="12550" max="12788" width="10.375" style="1"/>
    <col min="12789" max="12789" width="33.25" style="1" customWidth="1"/>
    <col min="12790" max="12794" width="10.375" style="1"/>
    <col min="12795" max="12795" width="13.625" style="1" customWidth="1"/>
    <col min="12796" max="12796" width="10.375" style="1"/>
    <col min="12797" max="12797" width="14.375" style="1" customWidth="1"/>
    <col min="12798" max="12798" width="10.375" style="1"/>
    <col min="12799" max="12799" width="11.625" style="1" bestFit="1" customWidth="1"/>
    <col min="12800" max="12802" width="10.375" style="1"/>
    <col min="12803" max="12803" width="12.875" style="1" customWidth="1"/>
    <col min="12804" max="12804" width="10.375" style="1"/>
    <col min="12805" max="12805" width="13" style="1" customWidth="1"/>
    <col min="12806" max="13044" width="10.375" style="1"/>
    <col min="13045" max="13045" width="33.25" style="1" customWidth="1"/>
    <col min="13046" max="13050" width="10.375" style="1"/>
    <col min="13051" max="13051" width="13.625" style="1" customWidth="1"/>
    <col min="13052" max="13052" width="10.375" style="1"/>
    <col min="13053" max="13053" width="14.375" style="1" customWidth="1"/>
    <col min="13054" max="13054" width="10.375" style="1"/>
    <col min="13055" max="13055" width="11.625" style="1" bestFit="1" customWidth="1"/>
    <col min="13056" max="13058" width="10.375" style="1"/>
    <col min="13059" max="13059" width="12.875" style="1" customWidth="1"/>
    <col min="13060" max="13060" width="10.375" style="1"/>
    <col min="13061" max="13061" width="13" style="1" customWidth="1"/>
    <col min="13062" max="13300" width="10.375" style="1"/>
    <col min="13301" max="13301" width="33.25" style="1" customWidth="1"/>
    <col min="13302" max="13306" width="10.375" style="1"/>
    <col min="13307" max="13307" width="13.625" style="1" customWidth="1"/>
    <col min="13308" max="13308" width="10.375" style="1"/>
    <col min="13309" max="13309" width="14.375" style="1" customWidth="1"/>
    <col min="13310" max="13310" width="10.375" style="1"/>
    <col min="13311" max="13311" width="11.625" style="1" bestFit="1" customWidth="1"/>
    <col min="13312" max="13314" width="10.375" style="1"/>
    <col min="13315" max="13315" width="12.875" style="1" customWidth="1"/>
    <col min="13316" max="13316" width="10.375" style="1"/>
    <col min="13317" max="13317" width="13" style="1" customWidth="1"/>
    <col min="13318" max="13556" width="10.375" style="1"/>
    <col min="13557" max="13557" width="33.25" style="1" customWidth="1"/>
    <col min="13558" max="13562" width="10.375" style="1"/>
    <col min="13563" max="13563" width="13.625" style="1" customWidth="1"/>
    <col min="13564" max="13564" width="10.375" style="1"/>
    <col min="13565" max="13565" width="14.375" style="1" customWidth="1"/>
    <col min="13566" max="13566" width="10.375" style="1"/>
    <col min="13567" max="13567" width="11.625" style="1" bestFit="1" customWidth="1"/>
    <col min="13568" max="13570" width="10.375" style="1"/>
    <col min="13571" max="13571" width="12.875" style="1" customWidth="1"/>
    <col min="13572" max="13572" width="10.375" style="1"/>
    <col min="13573" max="13573" width="13" style="1" customWidth="1"/>
    <col min="13574" max="13812" width="10.375" style="1"/>
    <col min="13813" max="13813" width="33.25" style="1" customWidth="1"/>
    <col min="13814" max="13818" width="10.375" style="1"/>
    <col min="13819" max="13819" width="13.625" style="1" customWidth="1"/>
    <col min="13820" max="13820" width="10.375" style="1"/>
    <col min="13821" max="13821" width="14.375" style="1" customWidth="1"/>
    <col min="13822" max="13822" width="10.375" style="1"/>
    <col min="13823" max="13823" width="11.625" style="1" bestFit="1" customWidth="1"/>
    <col min="13824" max="13826" width="10.375" style="1"/>
    <col min="13827" max="13827" width="12.875" style="1" customWidth="1"/>
    <col min="13828" max="13828" width="10.375" style="1"/>
    <col min="13829" max="13829" width="13" style="1" customWidth="1"/>
    <col min="13830" max="14068" width="10.375" style="1"/>
    <col min="14069" max="14069" width="33.25" style="1" customWidth="1"/>
    <col min="14070" max="14074" width="10.375" style="1"/>
    <col min="14075" max="14075" width="13.625" style="1" customWidth="1"/>
    <col min="14076" max="14076" width="10.375" style="1"/>
    <col min="14077" max="14077" width="14.375" style="1" customWidth="1"/>
    <col min="14078" max="14078" width="10.375" style="1"/>
    <col min="14079" max="14079" width="11.625" style="1" bestFit="1" customWidth="1"/>
    <col min="14080" max="14082" width="10.375" style="1"/>
    <col min="14083" max="14083" width="12.875" style="1" customWidth="1"/>
    <col min="14084" max="14084" width="10.375" style="1"/>
    <col min="14085" max="14085" width="13" style="1" customWidth="1"/>
    <col min="14086" max="14324" width="10.375" style="1"/>
    <col min="14325" max="14325" width="33.25" style="1" customWidth="1"/>
    <col min="14326" max="14330" width="10.375" style="1"/>
    <col min="14331" max="14331" width="13.625" style="1" customWidth="1"/>
    <col min="14332" max="14332" width="10.375" style="1"/>
    <col min="14333" max="14333" width="14.375" style="1" customWidth="1"/>
    <col min="14334" max="14334" width="10.375" style="1"/>
    <col min="14335" max="14335" width="11.625" style="1" bestFit="1" customWidth="1"/>
    <col min="14336" max="14338" width="10.375" style="1"/>
    <col min="14339" max="14339" width="12.875" style="1" customWidth="1"/>
    <col min="14340" max="14340" width="10.375" style="1"/>
    <col min="14341" max="14341" width="13" style="1" customWidth="1"/>
    <col min="14342" max="14580" width="10.375" style="1"/>
    <col min="14581" max="14581" width="33.25" style="1" customWidth="1"/>
    <col min="14582" max="14586" width="10.375" style="1"/>
    <col min="14587" max="14587" width="13.625" style="1" customWidth="1"/>
    <col min="14588" max="14588" width="10.375" style="1"/>
    <col min="14589" max="14589" width="14.375" style="1" customWidth="1"/>
    <col min="14590" max="14590" width="10.375" style="1"/>
    <col min="14591" max="14591" width="11.625" style="1" bestFit="1" customWidth="1"/>
    <col min="14592" max="14594" width="10.375" style="1"/>
    <col min="14595" max="14595" width="12.875" style="1" customWidth="1"/>
    <col min="14596" max="14596" width="10.375" style="1"/>
    <col min="14597" max="14597" width="13" style="1" customWidth="1"/>
    <col min="14598" max="14836" width="10.375" style="1"/>
    <col min="14837" max="14837" width="33.25" style="1" customWidth="1"/>
    <col min="14838" max="14842" width="10.375" style="1"/>
    <col min="14843" max="14843" width="13.625" style="1" customWidth="1"/>
    <col min="14844" max="14844" width="10.375" style="1"/>
    <col min="14845" max="14845" width="14.375" style="1" customWidth="1"/>
    <col min="14846" max="14846" width="10.375" style="1"/>
    <col min="14847" max="14847" width="11.625" style="1" bestFit="1" customWidth="1"/>
    <col min="14848" max="14850" width="10.375" style="1"/>
    <col min="14851" max="14851" width="12.875" style="1" customWidth="1"/>
    <col min="14852" max="14852" width="10.375" style="1"/>
    <col min="14853" max="14853" width="13" style="1" customWidth="1"/>
    <col min="14854" max="15092" width="10.375" style="1"/>
    <col min="15093" max="15093" width="33.25" style="1" customWidth="1"/>
    <col min="15094" max="15098" width="10.375" style="1"/>
    <col min="15099" max="15099" width="13.625" style="1" customWidth="1"/>
    <col min="15100" max="15100" width="10.375" style="1"/>
    <col min="15101" max="15101" width="14.375" style="1" customWidth="1"/>
    <col min="15102" max="15102" width="10.375" style="1"/>
    <col min="15103" max="15103" width="11.625" style="1" bestFit="1" customWidth="1"/>
    <col min="15104" max="15106" width="10.375" style="1"/>
    <col min="15107" max="15107" width="12.875" style="1" customWidth="1"/>
    <col min="15108" max="15108" width="10.375" style="1"/>
    <col min="15109" max="15109" width="13" style="1" customWidth="1"/>
    <col min="15110" max="15348" width="10.375" style="1"/>
    <col min="15349" max="15349" width="33.25" style="1" customWidth="1"/>
    <col min="15350" max="15354" width="10.375" style="1"/>
    <col min="15355" max="15355" width="13.625" style="1" customWidth="1"/>
    <col min="15356" max="15356" width="10.375" style="1"/>
    <col min="15357" max="15357" width="14.375" style="1" customWidth="1"/>
    <col min="15358" max="15358" width="10.375" style="1"/>
    <col min="15359" max="15359" width="11.625" style="1" bestFit="1" customWidth="1"/>
    <col min="15360" max="15362" width="10.375" style="1"/>
    <col min="15363" max="15363" width="12.875" style="1" customWidth="1"/>
    <col min="15364" max="15364" width="10.375" style="1"/>
    <col min="15365" max="15365" width="13" style="1" customWidth="1"/>
    <col min="15366" max="15604" width="10.375" style="1"/>
    <col min="15605" max="15605" width="33.25" style="1" customWidth="1"/>
    <col min="15606" max="15610" width="10.375" style="1"/>
    <col min="15611" max="15611" width="13.625" style="1" customWidth="1"/>
    <col min="15612" max="15612" width="10.375" style="1"/>
    <col min="15613" max="15613" width="14.375" style="1" customWidth="1"/>
    <col min="15614" max="15614" width="10.375" style="1"/>
    <col min="15615" max="15615" width="11.625" style="1" bestFit="1" customWidth="1"/>
    <col min="15616" max="15618" width="10.375" style="1"/>
    <col min="15619" max="15619" width="12.875" style="1" customWidth="1"/>
    <col min="15620" max="15620" width="10.375" style="1"/>
    <col min="15621" max="15621" width="13" style="1" customWidth="1"/>
    <col min="15622" max="15860" width="10.375" style="1"/>
    <col min="15861" max="15861" width="33.25" style="1" customWidth="1"/>
    <col min="15862" max="15866" width="10.375" style="1"/>
    <col min="15867" max="15867" width="13.625" style="1" customWidth="1"/>
    <col min="15868" max="15868" width="10.375" style="1"/>
    <col min="15869" max="15869" width="14.375" style="1" customWidth="1"/>
    <col min="15870" max="15870" width="10.375" style="1"/>
    <col min="15871" max="15871" width="11.625" style="1" bestFit="1" customWidth="1"/>
    <col min="15872" max="15874" width="10.375" style="1"/>
    <col min="15875" max="15875" width="12.875" style="1" customWidth="1"/>
    <col min="15876" max="15876" width="10.375" style="1"/>
    <col min="15877" max="15877" width="13" style="1" customWidth="1"/>
    <col min="15878" max="16116" width="10.375" style="1"/>
    <col min="16117" max="16117" width="33.25" style="1" customWidth="1"/>
    <col min="16118" max="16122" width="10.375" style="1"/>
    <col min="16123" max="16123" width="13.625" style="1" customWidth="1"/>
    <col min="16124" max="16124" width="10.375" style="1"/>
    <col min="16125" max="16125" width="14.375" style="1" customWidth="1"/>
    <col min="16126" max="16126" width="10.375" style="1"/>
    <col min="16127" max="16127" width="11.625" style="1" bestFit="1" customWidth="1"/>
    <col min="16128" max="16130" width="10.375" style="1"/>
    <col min="16131" max="16131" width="12.875" style="1" customWidth="1"/>
    <col min="16132" max="16132" width="10.375" style="1"/>
    <col min="16133" max="16133" width="13" style="1" customWidth="1"/>
    <col min="16134" max="16384" width="10.375" style="1"/>
  </cols>
  <sheetData>
    <row r="1" spans="1:5" ht="18.600000000000001">
      <c r="A1" s="175" t="s">
        <v>0</v>
      </c>
      <c r="B1" s="175"/>
      <c r="C1" s="175"/>
      <c r="D1" s="175"/>
      <c r="E1" s="175"/>
    </row>
    <row r="2" spans="1:5" ht="18.600000000000001">
      <c r="A2" s="176" t="s">
        <v>1</v>
      </c>
      <c r="B2" s="176"/>
      <c r="C2" s="176"/>
      <c r="D2" s="176"/>
      <c r="E2" s="176"/>
    </row>
    <row r="3" spans="1:5" ht="18.600000000000001">
      <c r="A3" s="177" t="s">
        <v>65</v>
      </c>
      <c r="B3" s="177"/>
      <c r="C3" s="177"/>
      <c r="D3" s="177"/>
      <c r="E3" s="177"/>
    </row>
    <row r="4" spans="1:5" ht="18.600000000000001">
      <c r="A4" s="178" t="s">
        <v>3</v>
      </c>
      <c r="B4" s="173" t="s">
        <v>4</v>
      </c>
      <c r="C4" s="182" t="s">
        <v>9</v>
      </c>
      <c r="D4" s="183"/>
      <c r="E4" s="184"/>
    </row>
    <row r="5" spans="1:5" ht="18.600000000000001">
      <c r="A5" s="179"/>
      <c r="B5" s="181"/>
      <c r="C5" s="185" t="s">
        <v>10</v>
      </c>
      <c r="D5" s="187" t="s">
        <v>12</v>
      </c>
      <c r="E5" s="2"/>
    </row>
    <row r="6" spans="1:5" ht="16.8">
      <c r="A6" s="180"/>
      <c r="B6" s="174"/>
      <c r="C6" s="186"/>
      <c r="D6" s="188"/>
      <c r="E6" s="7" t="s">
        <v>19</v>
      </c>
    </row>
    <row r="7" spans="1:5" ht="18.600000000000001">
      <c r="A7" s="156"/>
      <c r="B7" s="173" t="s">
        <v>59</v>
      </c>
      <c r="C7" s="158"/>
      <c r="D7" s="159"/>
      <c r="E7" s="160"/>
    </row>
    <row r="8" spans="1:5" ht="21.75" customHeight="1">
      <c r="A8" s="164"/>
      <c r="B8" s="174"/>
      <c r="C8" s="150"/>
      <c r="D8" s="84"/>
      <c r="E8" s="166"/>
    </row>
    <row r="9" spans="1:5" ht="19.2" thickBot="1">
      <c r="A9" s="167"/>
      <c r="B9" s="168"/>
      <c r="C9" s="169"/>
      <c r="D9" s="170"/>
      <c r="E9" s="171"/>
    </row>
    <row r="10" spans="1:5" ht="19.2" thickTop="1">
      <c r="A10" s="161"/>
      <c r="B10" s="162"/>
      <c r="C10" s="77"/>
      <c r="D10" s="78"/>
      <c r="E10" s="163"/>
    </row>
    <row r="11" spans="1:5" ht="18.600000000000001">
      <c r="A11" s="151"/>
      <c r="B11" s="155" t="s">
        <v>31</v>
      </c>
      <c r="C11" s="77"/>
      <c r="D11" s="78"/>
      <c r="E11" s="96"/>
    </row>
    <row r="12" spans="1:5" ht="18.600000000000001">
      <c r="A12" s="42">
        <v>1</v>
      </c>
      <c r="B12" s="97" t="s">
        <v>32</v>
      </c>
      <c r="C12" s="24" t="s">
        <v>34</v>
      </c>
      <c r="D12" s="25"/>
      <c r="E12" s="99">
        <v>322273.98</v>
      </c>
    </row>
    <row r="13" spans="1:5" ht="18.600000000000001">
      <c r="A13" s="42"/>
      <c r="B13" s="100" t="s">
        <v>35</v>
      </c>
      <c r="C13" s="31"/>
      <c r="D13" s="25"/>
      <c r="E13" s="99"/>
    </row>
    <row r="14" spans="1:5" ht="18.600000000000001">
      <c r="A14" s="42"/>
      <c r="B14" s="100" t="s">
        <v>37</v>
      </c>
      <c r="C14" s="31"/>
      <c r="D14" s="25"/>
      <c r="E14" s="99"/>
    </row>
    <row r="15" spans="1:5" ht="18.600000000000001">
      <c r="A15" s="42"/>
      <c r="B15" s="100" t="s">
        <v>38</v>
      </c>
      <c r="C15" s="31"/>
      <c r="D15" s="25"/>
      <c r="E15" s="99"/>
    </row>
    <row r="16" spans="1:5" ht="18.600000000000001">
      <c r="A16" s="8">
        <v>2</v>
      </c>
      <c r="B16" s="102" t="s">
        <v>32</v>
      </c>
      <c r="C16" s="62" t="s">
        <v>40</v>
      </c>
      <c r="D16" s="25">
        <v>16</v>
      </c>
      <c r="E16" s="99">
        <v>5208581.93</v>
      </c>
    </row>
    <row r="17" spans="1:5" ht="18.600000000000001">
      <c r="A17" s="8"/>
      <c r="B17" s="153" t="s">
        <v>41</v>
      </c>
      <c r="C17" s="62" t="s">
        <v>42</v>
      </c>
      <c r="D17" s="25"/>
      <c r="E17" s="92"/>
    </row>
    <row r="18" spans="1:5" ht="18.600000000000001">
      <c r="A18" s="8"/>
      <c r="B18" s="103" t="s">
        <v>43</v>
      </c>
      <c r="C18" s="31"/>
      <c r="D18" s="25"/>
      <c r="E18" s="92"/>
    </row>
    <row r="19" spans="1:5" ht="18.600000000000001">
      <c r="A19" s="148"/>
      <c r="B19" s="149" t="s">
        <v>44</v>
      </c>
      <c r="C19" s="150"/>
      <c r="D19" s="25"/>
      <c r="E19" s="92"/>
    </row>
    <row r="20" spans="1:5" ht="19.2" thickBot="1">
      <c r="A20" s="152"/>
      <c r="B20" s="172" t="s">
        <v>53</v>
      </c>
      <c r="C20" s="108"/>
      <c r="D20" s="106"/>
      <c r="E20" s="106">
        <f>SUM(E12:E18)</f>
        <v>5530855.9100000001</v>
      </c>
    </row>
    <row r="21" spans="1:5" ht="19.2" thickTop="1">
      <c r="A21" s="120"/>
      <c r="B21" s="121"/>
      <c r="C21" s="125"/>
      <c r="D21" s="121"/>
      <c r="E21" s="126"/>
    </row>
  </sheetData>
  <mergeCells count="9">
    <mergeCell ref="B7:B8"/>
    <mergeCell ref="A1:E1"/>
    <mergeCell ref="A2:E2"/>
    <mergeCell ref="A3:E3"/>
    <mergeCell ref="A4:A6"/>
    <mergeCell ref="B4:B6"/>
    <mergeCell ref="C4:E4"/>
    <mergeCell ref="C5:C6"/>
    <mergeCell ref="D5:D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6084D-C434-4073-AC95-7B5184F622F4}">
  <sheetPr>
    <tabColor rgb="FFFFFF00"/>
  </sheetPr>
  <dimension ref="A1:R114"/>
  <sheetViews>
    <sheetView workbookViewId="0">
      <pane ySplit="6" topLeftCell="A56" activePane="bottomLeft" state="frozen"/>
      <selection pane="bottomLeft" activeCell="D71" sqref="D71"/>
    </sheetView>
  </sheetViews>
  <sheetFormatPr defaultColWidth="10.375" defaultRowHeight="14.4"/>
  <cols>
    <col min="1" max="1" width="10.375" style="1"/>
    <col min="2" max="2" width="33.25" style="1" customWidth="1"/>
    <col min="3" max="7" width="10.375" style="1"/>
    <col min="8" max="8" width="13.625" style="1" customWidth="1"/>
    <col min="9" max="9" width="10.375" style="1"/>
    <col min="10" max="10" width="14.375" style="1" customWidth="1"/>
    <col min="11" max="11" width="10.375" style="139"/>
    <col min="12" max="12" width="11.625" style="139" bestFit="1" customWidth="1"/>
    <col min="13" max="13" width="10.375" style="139"/>
    <col min="14" max="15" width="10.375" style="1"/>
    <col min="16" max="16" width="12.875" style="1" customWidth="1"/>
    <col min="17" max="17" width="10.375" style="1"/>
    <col min="18" max="18" width="13" style="1" customWidth="1"/>
    <col min="19" max="257" width="10.375" style="1"/>
    <col min="258" max="258" width="33.25" style="1" customWidth="1"/>
    <col min="259" max="263" width="10.375" style="1"/>
    <col min="264" max="264" width="13.625" style="1" customWidth="1"/>
    <col min="265" max="265" width="10.375" style="1"/>
    <col min="266" max="266" width="14.375" style="1" customWidth="1"/>
    <col min="267" max="267" width="10.375" style="1"/>
    <col min="268" max="268" width="11.625" style="1" bestFit="1" customWidth="1"/>
    <col min="269" max="271" width="10.375" style="1"/>
    <col min="272" max="272" width="12.875" style="1" customWidth="1"/>
    <col min="273" max="273" width="10.375" style="1"/>
    <col min="274" max="274" width="13" style="1" customWidth="1"/>
    <col min="275" max="513" width="10.375" style="1"/>
    <col min="514" max="514" width="33.25" style="1" customWidth="1"/>
    <col min="515" max="519" width="10.375" style="1"/>
    <col min="520" max="520" width="13.625" style="1" customWidth="1"/>
    <col min="521" max="521" width="10.375" style="1"/>
    <col min="522" max="522" width="14.375" style="1" customWidth="1"/>
    <col min="523" max="523" width="10.375" style="1"/>
    <col min="524" max="524" width="11.625" style="1" bestFit="1" customWidth="1"/>
    <col min="525" max="527" width="10.375" style="1"/>
    <col min="528" max="528" width="12.875" style="1" customWidth="1"/>
    <col min="529" max="529" width="10.375" style="1"/>
    <col min="530" max="530" width="13" style="1" customWidth="1"/>
    <col min="531" max="769" width="10.375" style="1"/>
    <col min="770" max="770" width="33.25" style="1" customWidth="1"/>
    <col min="771" max="775" width="10.375" style="1"/>
    <col min="776" max="776" width="13.625" style="1" customWidth="1"/>
    <col min="777" max="777" width="10.375" style="1"/>
    <col min="778" max="778" width="14.375" style="1" customWidth="1"/>
    <col min="779" max="779" width="10.375" style="1"/>
    <col min="780" max="780" width="11.625" style="1" bestFit="1" customWidth="1"/>
    <col min="781" max="783" width="10.375" style="1"/>
    <col min="784" max="784" width="12.875" style="1" customWidth="1"/>
    <col min="785" max="785" width="10.375" style="1"/>
    <col min="786" max="786" width="13" style="1" customWidth="1"/>
    <col min="787" max="1025" width="10.375" style="1"/>
    <col min="1026" max="1026" width="33.25" style="1" customWidth="1"/>
    <col min="1027" max="1031" width="10.375" style="1"/>
    <col min="1032" max="1032" width="13.625" style="1" customWidth="1"/>
    <col min="1033" max="1033" width="10.375" style="1"/>
    <col min="1034" max="1034" width="14.375" style="1" customWidth="1"/>
    <col min="1035" max="1035" width="10.375" style="1"/>
    <col min="1036" max="1036" width="11.625" style="1" bestFit="1" customWidth="1"/>
    <col min="1037" max="1039" width="10.375" style="1"/>
    <col min="1040" max="1040" width="12.875" style="1" customWidth="1"/>
    <col min="1041" max="1041" width="10.375" style="1"/>
    <col min="1042" max="1042" width="13" style="1" customWidth="1"/>
    <col min="1043" max="1281" width="10.375" style="1"/>
    <col min="1282" max="1282" width="33.25" style="1" customWidth="1"/>
    <col min="1283" max="1287" width="10.375" style="1"/>
    <col min="1288" max="1288" width="13.625" style="1" customWidth="1"/>
    <col min="1289" max="1289" width="10.375" style="1"/>
    <col min="1290" max="1290" width="14.375" style="1" customWidth="1"/>
    <col min="1291" max="1291" width="10.375" style="1"/>
    <col min="1292" max="1292" width="11.625" style="1" bestFit="1" customWidth="1"/>
    <col min="1293" max="1295" width="10.375" style="1"/>
    <col min="1296" max="1296" width="12.875" style="1" customWidth="1"/>
    <col min="1297" max="1297" width="10.375" style="1"/>
    <col min="1298" max="1298" width="13" style="1" customWidth="1"/>
    <col min="1299" max="1537" width="10.375" style="1"/>
    <col min="1538" max="1538" width="33.25" style="1" customWidth="1"/>
    <col min="1539" max="1543" width="10.375" style="1"/>
    <col min="1544" max="1544" width="13.625" style="1" customWidth="1"/>
    <col min="1545" max="1545" width="10.375" style="1"/>
    <col min="1546" max="1546" width="14.375" style="1" customWidth="1"/>
    <col min="1547" max="1547" width="10.375" style="1"/>
    <col min="1548" max="1548" width="11.625" style="1" bestFit="1" customWidth="1"/>
    <col min="1549" max="1551" width="10.375" style="1"/>
    <col min="1552" max="1552" width="12.875" style="1" customWidth="1"/>
    <col min="1553" max="1553" width="10.375" style="1"/>
    <col min="1554" max="1554" width="13" style="1" customWidth="1"/>
    <col min="1555" max="1793" width="10.375" style="1"/>
    <col min="1794" max="1794" width="33.25" style="1" customWidth="1"/>
    <col min="1795" max="1799" width="10.375" style="1"/>
    <col min="1800" max="1800" width="13.625" style="1" customWidth="1"/>
    <col min="1801" max="1801" width="10.375" style="1"/>
    <col min="1802" max="1802" width="14.375" style="1" customWidth="1"/>
    <col min="1803" max="1803" width="10.375" style="1"/>
    <col min="1804" max="1804" width="11.625" style="1" bestFit="1" customWidth="1"/>
    <col min="1805" max="1807" width="10.375" style="1"/>
    <col min="1808" max="1808" width="12.875" style="1" customWidth="1"/>
    <col min="1809" max="1809" width="10.375" style="1"/>
    <col min="1810" max="1810" width="13" style="1" customWidth="1"/>
    <col min="1811" max="2049" width="10.375" style="1"/>
    <col min="2050" max="2050" width="33.25" style="1" customWidth="1"/>
    <col min="2051" max="2055" width="10.375" style="1"/>
    <col min="2056" max="2056" width="13.625" style="1" customWidth="1"/>
    <col min="2057" max="2057" width="10.375" style="1"/>
    <col min="2058" max="2058" width="14.375" style="1" customWidth="1"/>
    <col min="2059" max="2059" width="10.375" style="1"/>
    <col min="2060" max="2060" width="11.625" style="1" bestFit="1" customWidth="1"/>
    <col min="2061" max="2063" width="10.375" style="1"/>
    <col min="2064" max="2064" width="12.875" style="1" customWidth="1"/>
    <col min="2065" max="2065" width="10.375" style="1"/>
    <col min="2066" max="2066" width="13" style="1" customWidth="1"/>
    <col min="2067" max="2305" width="10.375" style="1"/>
    <col min="2306" max="2306" width="33.25" style="1" customWidth="1"/>
    <col min="2307" max="2311" width="10.375" style="1"/>
    <col min="2312" max="2312" width="13.625" style="1" customWidth="1"/>
    <col min="2313" max="2313" width="10.375" style="1"/>
    <col min="2314" max="2314" width="14.375" style="1" customWidth="1"/>
    <col min="2315" max="2315" width="10.375" style="1"/>
    <col min="2316" max="2316" width="11.625" style="1" bestFit="1" customWidth="1"/>
    <col min="2317" max="2319" width="10.375" style="1"/>
    <col min="2320" max="2320" width="12.875" style="1" customWidth="1"/>
    <col min="2321" max="2321" width="10.375" style="1"/>
    <col min="2322" max="2322" width="13" style="1" customWidth="1"/>
    <col min="2323" max="2561" width="10.375" style="1"/>
    <col min="2562" max="2562" width="33.25" style="1" customWidth="1"/>
    <col min="2563" max="2567" width="10.375" style="1"/>
    <col min="2568" max="2568" width="13.625" style="1" customWidth="1"/>
    <col min="2569" max="2569" width="10.375" style="1"/>
    <col min="2570" max="2570" width="14.375" style="1" customWidth="1"/>
    <col min="2571" max="2571" width="10.375" style="1"/>
    <col min="2572" max="2572" width="11.625" style="1" bestFit="1" customWidth="1"/>
    <col min="2573" max="2575" width="10.375" style="1"/>
    <col min="2576" max="2576" width="12.875" style="1" customWidth="1"/>
    <col min="2577" max="2577" width="10.375" style="1"/>
    <col min="2578" max="2578" width="13" style="1" customWidth="1"/>
    <col min="2579" max="2817" width="10.375" style="1"/>
    <col min="2818" max="2818" width="33.25" style="1" customWidth="1"/>
    <col min="2819" max="2823" width="10.375" style="1"/>
    <col min="2824" max="2824" width="13.625" style="1" customWidth="1"/>
    <col min="2825" max="2825" width="10.375" style="1"/>
    <col min="2826" max="2826" width="14.375" style="1" customWidth="1"/>
    <col min="2827" max="2827" width="10.375" style="1"/>
    <col min="2828" max="2828" width="11.625" style="1" bestFit="1" customWidth="1"/>
    <col min="2829" max="2831" width="10.375" style="1"/>
    <col min="2832" max="2832" width="12.875" style="1" customWidth="1"/>
    <col min="2833" max="2833" width="10.375" style="1"/>
    <col min="2834" max="2834" width="13" style="1" customWidth="1"/>
    <col min="2835" max="3073" width="10.375" style="1"/>
    <col min="3074" max="3074" width="33.25" style="1" customWidth="1"/>
    <col min="3075" max="3079" width="10.375" style="1"/>
    <col min="3080" max="3080" width="13.625" style="1" customWidth="1"/>
    <col min="3081" max="3081" width="10.375" style="1"/>
    <col min="3082" max="3082" width="14.375" style="1" customWidth="1"/>
    <col min="3083" max="3083" width="10.375" style="1"/>
    <col min="3084" max="3084" width="11.625" style="1" bestFit="1" customWidth="1"/>
    <col min="3085" max="3087" width="10.375" style="1"/>
    <col min="3088" max="3088" width="12.875" style="1" customWidth="1"/>
    <col min="3089" max="3089" width="10.375" style="1"/>
    <col min="3090" max="3090" width="13" style="1" customWidth="1"/>
    <col min="3091" max="3329" width="10.375" style="1"/>
    <col min="3330" max="3330" width="33.25" style="1" customWidth="1"/>
    <col min="3331" max="3335" width="10.375" style="1"/>
    <col min="3336" max="3336" width="13.625" style="1" customWidth="1"/>
    <col min="3337" max="3337" width="10.375" style="1"/>
    <col min="3338" max="3338" width="14.375" style="1" customWidth="1"/>
    <col min="3339" max="3339" width="10.375" style="1"/>
    <col min="3340" max="3340" width="11.625" style="1" bestFit="1" customWidth="1"/>
    <col min="3341" max="3343" width="10.375" style="1"/>
    <col min="3344" max="3344" width="12.875" style="1" customWidth="1"/>
    <col min="3345" max="3345" width="10.375" style="1"/>
    <col min="3346" max="3346" width="13" style="1" customWidth="1"/>
    <col min="3347" max="3585" width="10.375" style="1"/>
    <col min="3586" max="3586" width="33.25" style="1" customWidth="1"/>
    <col min="3587" max="3591" width="10.375" style="1"/>
    <col min="3592" max="3592" width="13.625" style="1" customWidth="1"/>
    <col min="3593" max="3593" width="10.375" style="1"/>
    <col min="3594" max="3594" width="14.375" style="1" customWidth="1"/>
    <col min="3595" max="3595" width="10.375" style="1"/>
    <col min="3596" max="3596" width="11.625" style="1" bestFit="1" customWidth="1"/>
    <col min="3597" max="3599" width="10.375" style="1"/>
    <col min="3600" max="3600" width="12.875" style="1" customWidth="1"/>
    <col min="3601" max="3601" width="10.375" style="1"/>
    <col min="3602" max="3602" width="13" style="1" customWidth="1"/>
    <col min="3603" max="3841" width="10.375" style="1"/>
    <col min="3842" max="3842" width="33.25" style="1" customWidth="1"/>
    <col min="3843" max="3847" width="10.375" style="1"/>
    <col min="3848" max="3848" width="13.625" style="1" customWidth="1"/>
    <col min="3849" max="3849" width="10.375" style="1"/>
    <col min="3850" max="3850" width="14.375" style="1" customWidth="1"/>
    <col min="3851" max="3851" width="10.375" style="1"/>
    <col min="3852" max="3852" width="11.625" style="1" bestFit="1" customWidth="1"/>
    <col min="3853" max="3855" width="10.375" style="1"/>
    <col min="3856" max="3856" width="12.875" style="1" customWidth="1"/>
    <col min="3857" max="3857" width="10.375" style="1"/>
    <col min="3858" max="3858" width="13" style="1" customWidth="1"/>
    <col min="3859" max="4097" width="10.375" style="1"/>
    <col min="4098" max="4098" width="33.25" style="1" customWidth="1"/>
    <col min="4099" max="4103" width="10.375" style="1"/>
    <col min="4104" max="4104" width="13.625" style="1" customWidth="1"/>
    <col min="4105" max="4105" width="10.375" style="1"/>
    <col min="4106" max="4106" width="14.375" style="1" customWidth="1"/>
    <col min="4107" max="4107" width="10.375" style="1"/>
    <col min="4108" max="4108" width="11.625" style="1" bestFit="1" customWidth="1"/>
    <col min="4109" max="4111" width="10.375" style="1"/>
    <col min="4112" max="4112" width="12.875" style="1" customWidth="1"/>
    <col min="4113" max="4113" width="10.375" style="1"/>
    <col min="4114" max="4114" width="13" style="1" customWidth="1"/>
    <col min="4115" max="4353" width="10.375" style="1"/>
    <col min="4354" max="4354" width="33.25" style="1" customWidth="1"/>
    <col min="4355" max="4359" width="10.375" style="1"/>
    <col min="4360" max="4360" width="13.625" style="1" customWidth="1"/>
    <col min="4361" max="4361" width="10.375" style="1"/>
    <col min="4362" max="4362" width="14.375" style="1" customWidth="1"/>
    <col min="4363" max="4363" width="10.375" style="1"/>
    <col min="4364" max="4364" width="11.625" style="1" bestFit="1" customWidth="1"/>
    <col min="4365" max="4367" width="10.375" style="1"/>
    <col min="4368" max="4368" width="12.875" style="1" customWidth="1"/>
    <col min="4369" max="4369" width="10.375" style="1"/>
    <col min="4370" max="4370" width="13" style="1" customWidth="1"/>
    <col min="4371" max="4609" width="10.375" style="1"/>
    <col min="4610" max="4610" width="33.25" style="1" customWidth="1"/>
    <col min="4611" max="4615" width="10.375" style="1"/>
    <col min="4616" max="4616" width="13.625" style="1" customWidth="1"/>
    <col min="4617" max="4617" width="10.375" style="1"/>
    <col min="4618" max="4618" width="14.375" style="1" customWidth="1"/>
    <col min="4619" max="4619" width="10.375" style="1"/>
    <col min="4620" max="4620" width="11.625" style="1" bestFit="1" customWidth="1"/>
    <col min="4621" max="4623" width="10.375" style="1"/>
    <col min="4624" max="4624" width="12.875" style="1" customWidth="1"/>
    <col min="4625" max="4625" width="10.375" style="1"/>
    <col min="4626" max="4626" width="13" style="1" customWidth="1"/>
    <col min="4627" max="4865" width="10.375" style="1"/>
    <col min="4866" max="4866" width="33.25" style="1" customWidth="1"/>
    <col min="4867" max="4871" width="10.375" style="1"/>
    <col min="4872" max="4872" width="13.625" style="1" customWidth="1"/>
    <col min="4873" max="4873" width="10.375" style="1"/>
    <col min="4874" max="4874" width="14.375" style="1" customWidth="1"/>
    <col min="4875" max="4875" width="10.375" style="1"/>
    <col min="4876" max="4876" width="11.625" style="1" bestFit="1" customWidth="1"/>
    <col min="4877" max="4879" width="10.375" style="1"/>
    <col min="4880" max="4880" width="12.875" style="1" customWidth="1"/>
    <col min="4881" max="4881" width="10.375" style="1"/>
    <col min="4882" max="4882" width="13" style="1" customWidth="1"/>
    <col min="4883" max="5121" width="10.375" style="1"/>
    <col min="5122" max="5122" width="33.25" style="1" customWidth="1"/>
    <col min="5123" max="5127" width="10.375" style="1"/>
    <col min="5128" max="5128" width="13.625" style="1" customWidth="1"/>
    <col min="5129" max="5129" width="10.375" style="1"/>
    <col min="5130" max="5130" width="14.375" style="1" customWidth="1"/>
    <col min="5131" max="5131" width="10.375" style="1"/>
    <col min="5132" max="5132" width="11.625" style="1" bestFit="1" customWidth="1"/>
    <col min="5133" max="5135" width="10.375" style="1"/>
    <col min="5136" max="5136" width="12.875" style="1" customWidth="1"/>
    <col min="5137" max="5137" width="10.375" style="1"/>
    <col min="5138" max="5138" width="13" style="1" customWidth="1"/>
    <col min="5139" max="5377" width="10.375" style="1"/>
    <col min="5378" max="5378" width="33.25" style="1" customWidth="1"/>
    <col min="5379" max="5383" width="10.375" style="1"/>
    <col min="5384" max="5384" width="13.625" style="1" customWidth="1"/>
    <col min="5385" max="5385" width="10.375" style="1"/>
    <col min="5386" max="5386" width="14.375" style="1" customWidth="1"/>
    <col min="5387" max="5387" width="10.375" style="1"/>
    <col min="5388" max="5388" width="11.625" style="1" bestFit="1" customWidth="1"/>
    <col min="5389" max="5391" width="10.375" style="1"/>
    <col min="5392" max="5392" width="12.875" style="1" customWidth="1"/>
    <col min="5393" max="5393" width="10.375" style="1"/>
    <col min="5394" max="5394" width="13" style="1" customWidth="1"/>
    <col min="5395" max="5633" width="10.375" style="1"/>
    <col min="5634" max="5634" width="33.25" style="1" customWidth="1"/>
    <col min="5635" max="5639" width="10.375" style="1"/>
    <col min="5640" max="5640" width="13.625" style="1" customWidth="1"/>
    <col min="5641" max="5641" width="10.375" style="1"/>
    <col min="5642" max="5642" width="14.375" style="1" customWidth="1"/>
    <col min="5643" max="5643" width="10.375" style="1"/>
    <col min="5644" max="5644" width="11.625" style="1" bestFit="1" customWidth="1"/>
    <col min="5645" max="5647" width="10.375" style="1"/>
    <col min="5648" max="5648" width="12.875" style="1" customWidth="1"/>
    <col min="5649" max="5649" width="10.375" style="1"/>
    <col min="5650" max="5650" width="13" style="1" customWidth="1"/>
    <col min="5651" max="5889" width="10.375" style="1"/>
    <col min="5890" max="5890" width="33.25" style="1" customWidth="1"/>
    <col min="5891" max="5895" width="10.375" style="1"/>
    <col min="5896" max="5896" width="13.625" style="1" customWidth="1"/>
    <col min="5897" max="5897" width="10.375" style="1"/>
    <col min="5898" max="5898" width="14.375" style="1" customWidth="1"/>
    <col min="5899" max="5899" width="10.375" style="1"/>
    <col min="5900" max="5900" width="11.625" style="1" bestFit="1" customWidth="1"/>
    <col min="5901" max="5903" width="10.375" style="1"/>
    <col min="5904" max="5904" width="12.875" style="1" customWidth="1"/>
    <col min="5905" max="5905" width="10.375" style="1"/>
    <col min="5906" max="5906" width="13" style="1" customWidth="1"/>
    <col min="5907" max="6145" width="10.375" style="1"/>
    <col min="6146" max="6146" width="33.25" style="1" customWidth="1"/>
    <col min="6147" max="6151" width="10.375" style="1"/>
    <col min="6152" max="6152" width="13.625" style="1" customWidth="1"/>
    <col min="6153" max="6153" width="10.375" style="1"/>
    <col min="6154" max="6154" width="14.375" style="1" customWidth="1"/>
    <col min="6155" max="6155" width="10.375" style="1"/>
    <col min="6156" max="6156" width="11.625" style="1" bestFit="1" customWidth="1"/>
    <col min="6157" max="6159" width="10.375" style="1"/>
    <col min="6160" max="6160" width="12.875" style="1" customWidth="1"/>
    <col min="6161" max="6161" width="10.375" style="1"/>
    <col min="6162" max="6162" width="13" style="1" customWidth="1"/>
    <col min="6163" max="6401" width="10.375" style="1"/>
    <col min="6402" max="6402" width="33.25" style="1" customWidth="1"/>
    <col min="6403" max="6407" width="10.375" style="1"/>
    <col min="6408" max="6408" width="13.625" style="1" customWidth="1"/>
    <col min="6409" max="6409" width="10.375" style="1"/>
    <col min="6410" max="6410" width="14.375" style="1" customWidth="1"/>
    <col min="6411" max="6411" width="10.375" style="1"/>
    <col min="6412" max="6412" width="11.625" style="1" bestFit="1" customWidth="1"/>
    <col min="6413" max="6415" width="10.375" style="1"/>
    <col min="6416" max="6416" width="12.875" style="1" customWidth="1"/>
    <col min="6417" max="6417" width="10.375" style="1"/>
    <col min="6418" max="6418" width="13" style="1" customWidth="1"/>
    <col min="6419" max="6657" width="10.375" style="1"/>
    <col min="6658" max="6658" width="33.25" style="1" customWidth="1"/>
    <col min="6659" max="6663" width="10.375" style="1"/>
    <col min="6664" max="6664" width="13.625" style="1" customWidth="1"/>
    <col min="6665" max="6665" width="10.375" style="1"/>
    <col min="6666" max="6666" width="14.375" style="1" customWidth="1"/>
    <col min="6667" max="6667" width="10.375" style="1"/>
    <col min="6668" max="6668" width="11.625" style="1" bestFit="1" customWidth="1"/>
    <col min="6669" max="6671" width="10.375" style="1"/>
    <col min="6672" max="6672" width="12.875" style="1" customWidth="1"/>
    <col min="6673" max="6673" width="10.375" style="1"/>
    <col min="6674" max="6674" width="13" style="1" customWidth="1"/>
    <col min="6675" max="6913" width="10.375" style="1"/>
    <col min="6914" max="6914" width="33.25" style="1" customWidth="1"/>
    <col min="6915" max="6919" width="10.375" style="1"/>
    <col min="6920" max="6920" width="13.625" style="1" customWidth="1"/>
    <col min="6921" max="6921" width="10.375" style="1"/>
    <col min="6922" max="6922" width="14.375" style="1" customWidth="1"/>
    <col min="6923" max="6923" width="10.375" style="1"/>
    <col min="6924" max="6924" width="11.625" style="1" bestFit="1" customWidth="1"/>
    <col min="6925" max="6927" width="10.375" style="1"/>
    <col min="6928" max="6928" width="12.875" style="1" customWidth="1"/>
    <col min="6929" max="6929" width="10.375" style="1"/>
    <col min="6930" max="6930" width="13" style="1" customWidth="1"/>
    <col min="6931" max="7169" width="10.375" style="1"/>
    <col min="7170" max="7170" width="33.25" style="1" customWidth="1"/>
    <col min="7171" max="7175" width="10.375" style="1"/>
    <col min="7176" max="7176" width="13.625" style="1" customWidth="1"/>
    <col min="7177" max="7177" width="10.375" style="1"/>
    <col min="7178" max="7178" width="14.375" style="1" customWidth="1"/>
    <col min="7179" max="7179" width="10.375" style="1"/>
    <col min="7180" max="7180" width="11.625" style="1" bestFit="1" customWidth="1"/>
    <col min="7181" max="7183" width="10.375" style="1"/>
    <col min="7184" max="7184" width="12.875" style="1" customWidth="1"/>
    <col min="7185" max="7185" width="10.375" style="1"/>
    <col min="7186" max="7186" width="13" style="1" customWidth="1"/>
    <col min="7187" max="7425" width="10.375" style="1"/>
    <col min="7426" max="7426" width="33.25" style="1" customWidth="1"/>
    <col min="7427" max="7431" width="10.375" style="1"/>
    <col min="7432" max="7432" width="13.625" style="1" customWidth="1"/>
    <col min="7433" max="7433" width="10.375" style="1"/>
    <col min="7434" max="7434" width="14.375" style="1" customWidth="1"/>
    <col min="7435" max="7435" width="10.375" style="1"/>
    <col min="7436" max="7436" width="11.625" style="1" bestFit="1" customWidth="1"/>
    <col min="7437" max="7439" width="10.375" style="1"/>
    <col min="7440" max="7440" width="12.875" style="1" customWidth="1"/>
    <col min="7441" max="7441" width="10.375" style="1"/>
    <col min="7442" max="7442" width="13" style="1" customWidth="1"/>
    <col min="7443" max="7681" width="10.375" style="1"/>
    <col min="7682" max="7682" width="33.25" style="1" customWidth="1"/>
    <col min="7683" max="7687" width="10.375" style="1"/>
    <col min="7688" max="7688" width="13.625" style="1" customWidth="1"/>
    <col min="7689" max="7689" width="10.375" style="1"/>
    <col min="7690" max="7690" width="14.375" style="1" customWidth="1"/>
    <col min="7691" max="7691" width="10.375" style="1"/>
    <col min="7692" max="7692" width="11.625" style="1" bestFit="1" customWidth="1"/>
    <col min="7693" max="7695" width="10.375" style="1"/>
    <col min="7696" max="7696" width="12.875" style="1" customWidth="1"/>
    <col min="7697" max="7697" width="10.375" style="1"/>
    <col min="7698" max="7698" width="13" style="1" customWidth="1"/>
    <col min="7699" max="7937" width="10.375" style="1"/>
    <col min="7938" max="7938" width="33.25" style="1" customWidth="1"/>
    <col min="7939" max="7943" width="10.375" style="1"/>
    <col min="7944" max="7944" width="13.625" style="1" customWidth="1"/>
    <col min="7945" max="7945" width="10.375" style="1"/>
    <col min="7946" max="7946" width="14.375" style="1" customWidth="1"/>
    <col min="7947" max="7947" width="10.375" style="1"/>
    <col min="7948" max="7948" width="11.625" style="1" bestFit="1" customWidth="1"/>
    <col min="7949" max="7951" width="10.375" style="1"/>
    <col min="7952" max="7952" width="12.875" style="1" customWidth="1"/>
    <col min="7953" max="7953" width="10.375" style="1"/>
    <col min="7954" max="7954" width="13" style="1" customWidth="1"/>
    <col min="7955" max="8193" width="10.375" style="1"/>
    <col min="8194" max="8194" width="33.25" style="1" customWidth="1"/>
    <col min="8195" max="8199" width="10.375" style="1"/>
    <col min="8200" max="8200" width="13.625" style="1" customWidth="1"/>
    <col min="8201" max="8201" width="10.375" style="1"/>
    <col min="8202" max="8202" width="14.375" style="1" customWidth="1"/>
    <col min="8203" max="8203" width="10.375" style="1"/>
    <col min="8204" max="8204" width="11.625" style="1" bestFit="1" customWidth="1"/>
    <col min="8205" max="8207" width="10.375" style="1"/>
    <col min="8208" max="8208" width="12.875" style="1" customWidth="1"/>
    <col min="8209" max="8209" width="10.375" style="1"/>
    <col min="8210" max="8210" width="13" style="1" customWidth="1"/>
    <col min="8211" max="8449" width="10.375" style="1"/>
    <col min="8450" max="8450" width="33.25" style="1" customWidth="1"/>
    <col min="8451" max="8455" width="10.375" style="1"/>
    <col min="8456" max="8456" width="13.625" style="1" customWidth="1"/>
    <col min="8457" max="8457" width="10.375" style="1"/>
    <col min="8458" max="8458" width="14.375" style="1" customWidth="1"/>
    <col min="8459" max="8459" width="10.375" style="1"/>
    <col min="8460" max="8460" width="11.625" style="1" bestFit="1" customWidth="1"/>
    <col min="8461" max="8463" width="10.375" style="1"/>
    <col min="8464" max="8464" width="12.875" style="1" customWidth="1"/>
    <col min="8465" max="8465" width="10.375" style="1"/>
    <col min="8466" max="8466" width="13" style="1" customWidth="1"/>
    <col min="8467" max="8705" width="10.375" style="1"/>
    <col min="8706" max="8706" width="33.25" style="1" customWidth="1"/>
    <col min="8707" max="8711" width="10.375" style="1"/>
    <col min="8712" max="8712" width="13.625" style="1" customWidth="1"/>
    <col min="8713" max="8713" width="10.375" style="1"/>
    <col min="8714" max="8714" width="14.375" style="1" customWidth="1"/>
    <col min="8715" max="8715" width="10.375" style="1"/>
    <col min="8716" max="8716" width="11.625" style="1" bestFit="1" customWidth="1"/>
    <col min="8717" max="8719" width="10.375" style="1"/>
    <col min="8720" max="8720" width="12.875" style="1" customWidth="1"/>
    <col min="8721" max="8721" width="10.375" style="1"/>
    <col min="8722" max="8722" width="13" style="1" customWidth="1"/>
    <col min="8723" max="8961" width="10.375" style="1"/>
    <col min="8962" max="8962" width="33.25" style="1" customWidth="1"/>
    <col min="8963" max="8967" width="10.375" style="1"/>
    <col min="8968" max="8968" width="13.625" style="1" customWidth="1"/>
    <col min="8969" max="8969" width="10.375" style="1"/>
    <col min="8970" max="8970" width="14.375" style="1" customWidth="1"/>
    <col min="8971" max="8971" width="10.375" style="1"/>
    <col min="8972" max="8972" width="11.625" style="1" bestFit="1" customWidth="1"/>
    <col min="8973" max="8975" width="10.375" style="1"/>
    <col min="8976" max="8976" width="12.875" style="1" customWidth="1"/>
    <col min="8977" max="8977" width="10.375" style="1"/>
    <col min="8978" max="8978" width="13" style="1" customWidth="1"/>
    <col min="8979" max="9217" width="10.375" style="1"/>
    <col min="9218" max="9218" width="33.25" style="1" customWidth="1"/>
    <col min="9219" max="9223" width="10.375" style="1"/>
    <col min="9224" max="9224" width="13.625" style="1" customWidth="1"/>
    <col min="9225" max="9225" width="10.375" style="1"/>
    <col min="9226" max="9226" width="14.375" style="1" customWidth="1"/>
    <col min="9227" max="9227" width="10.375" style="1"/>
    <col min="9228" max="9228" width="11.625" style="1" bestFit="1" customWidth="1"/>
    <col min="9229" max="9231" width="10.375" style="1"/>
    <col min="9232" max="9232" width="12.875" style="1" customWidth="1"/>
    <col min="9233" max="9233" width="10.375" style="1"/>
    <col min="9234" max="9234" width="13" style="1" customWidth="1"/>
    <col min="9235" max="9473" width="10.375" style="1"/>
    <col min="9474" max="9474" width="33.25" style="1" customWidth="1"/>
    <col min="9475" max="9479" width="10.375" style="1"/>
    <col min="9480" max="9480" width="13.625" style="1" customWidth="1"/>
    <col min="9481" max="9481" width="10.375" style="1"/>
    <col min="9482" max="9482" width="14.375" style="1" customWidth="1"/>
    <col min="9483" max="9483" width="10.375" style="1"/>
    <col min="9484" max="9484" width="11.625" style="1" bestFit="1" customWidth="1"/>
    <col min="9485" max="9487" width="10.375" style="1"/>
    <col min="9488" max="9488" width="12.875" style="1" customWidth="1"/>
    <col min="9489" max="9489" width="10.375" style="1"/>
    <col min="9490" max="9490" width="13" style="1" customWidth="1"/>
    <col min="9491" max="9729" width="10.375" style="1"/>
    <col min="9730" max="9730" width="33.25" style="1" customWidth="1"/>
    <col min="9731" max="9735" width="10.375" style="1"/>
    <col min="9736" max="9736" width="13.625" style="1" customWidth="1"/>
    <col min="9737" max="9737" width="10.375" style="1"/>
    <col min="9738" max="9738" width="14.375" style="1" customWidth="1"/>
    <col min="9739" max="9739" width="10.375" style="1"/>
    <col min="9740" max="9740" width="11.625" style="1" bestFit="1" customWidth="1"/>
    <col min="9741" max="9743" width="10.375" style="1"/>
    <col min="9744" max="9744" width="12.875" style="1" customWidth="1"/>
    <col min="9745" max="9745" width="10.375" style="1"/>
    <col min="9746" max="9746" width="13" style="1" customWidth="1"/>
    <col min="9747" max="9985" width="10.375" style="1"/>
    <col min="9986" max="9986" width="33.25" style="1" customWidth="1"/>
    <col min="9987" max="9991" width="10.375" style="1"/>
    <col min="9992" max="9992" width="13.625" style="1" customWidth="1"/>
    <col min="9993" max="9993" width="10.375" style="1"/>
    <col min="9994" max="9994" width="14.375" style="1" customWidth="1"/>
    <col min="9995" max="9995" width="10.375" style="1"/>
    <col min="9996" max="9996" width="11.625" style="1" bestFit="1" customWidth="1"/>
    <col min="9997" max="9999" width="10.375" style="1"/>
    <col min="10000" max="10000" width="12.875" style="1" customWidth="1"/>
    <col min="10001" max="10001" width="10.375" style="1"/>
    <col min="10002" max="10002" width="13" style="1" customWidth="1"/>
    <col min="10003" max="10241" width="10.375" style="1"/>
    <col min="10242" max="10242" width="33.25" style="1" customWidth="1"/>
    <col min="10243" max="10247" width="10.375" style="1"/>
    <col min="10248" max="10248" width="13.625" style="1" customWidth="1"/>
    <col min="10249" max="10249" width="10.375" style="1"/>
    <col min="10250" max="10250" width="14.375" style="1" customWidth="1"/>
    <col min="10251" max="10251" width="10.375" style="1"/>
    <col min="10252" max="10252" width="11.625" style="1" bestFit="1" customWidth="1"/>
    <col min="10253" max="10255" width="10.375" style="1"/>
    <col min="10256" max="10256" width="12.875" style="1" customWidth="1"/>
    <col min="10257" max="10257" width="10.375" style="1"/>
    <col min="10258" max="10258" width="13" style="1" customWidth="1"/>
    <col min="10259" max="10497" width="10.375" style="1"/>
    <col min="10498" max="10498" width="33.25" style="1" customWidth="1"/>
    <col min="10499" max="10503" width="10.375" style="1"/>
    <col min="10504" max="10504" width="13.625" style="1" customWidth="1"/>
    <col min="10505" max="10505" width="10.375" style="1"/>
    <col min="10506" max="10506" width="14.375" style="1" customWidth="1"/>
    <col min="10507" max="10507" width="10.375" style="1"/>
    <col min="10508" max="10508" width="11.625" style="1" bestFit="1" customWidth="1"/>
    <col min="10509" max="10511" width="10.375" style="1"/>
    <col min="10512" max="10512" width="12.875" style="1" customWidth="1"/>
    <col min="10513" max="10513" width="10.375" style="1"/>
    <col min="10514" max="10514" width="13" style="1" customWidth="1"/>
    <col min="10515" max="10753" width="10.375" style="1"/>
    <col min="10754" max="10754" width="33.25" style="1" customWidth="1"/>
    <col min="10755" max="10759" width="10.375" style="1"/>
    <col min="10760" max="10760" width="13.625" style="1" customWidth="1"/>
    <col min="10761" max="10761" width="10.375" style="1"/>
    <col min="10762" max="10762" width="14.375" style="1" customWidth="1"/>
    <col min="10763" max="10763" width="10.375" style="1"/>
    <col min="10764" max="10764" width="11.625" style="1" bestFit="1" customWidth="1"/>
    <col min="10765" max="10767" width="10.375" style="1"/>
    <col min="10768" max="10768" width="12.875" style="1" customWidth="1"/>
    <col min="10769" max="10769" width="10.375" style="1"/>
    <col min="10770" max="10770" width="13" style="1" customWidth="1"/>
    <col min="10771" max="11009" width="10.375" style="1"/>
    <col min="11010" max="11010" width="33.25" style="1" customWidth="1"/>
    <col min="11011" max="11015" width="10.375" style="1"/>
    <col min="11016" max="11016" width="13.625" style="1" customWidth="1"/>
    <col min="11017" max="11017" width="10.375" style="1"/>
    <col min="11018" max="11018" width="14.375" style="1" customWidth="1"/>
    <col min="11019" max="11019" width="10.375" style="1"/>
    <col min="11020" max="11020" width="11.625" style="1" bestFit="1" customWidth="1"/>
    <col min="11021" max="11023" width="10.375" style="1"/>
    <col min="11024" max="11024" width="12.875" style="1" customWidth="1"/>
    <col min="11025" max="11025" width="10.375" style="1"/>
    <col min="11026" max="11026" width="13" style="1" customWidth="1"/>
    <col min="11027" max="11265" width="10.375" style="1"/>
    <col min="11266" max="11266" width="33.25" style="1" customWidth="1"/>
    <col min="11267" max="11271" width="10.375" style="1"/>
    <col min="11272" max="11272" width="13.625" style="1" customWidth="1"/>
    <col min="11273" max="11273" width="10.375" style="1"/>
    <col min="11274" max="11274" width="14.375" style="1" customWidth="1"/>
    <col min="11275" max="11275" width="10.375" style="1"/>
    <col min="11276" max="11276" width="11.625" style="1" bestFit="1" customWidth="1"/>
    <col min="11277" max="11279" width="10.375" style="1"/>
    <col min="11280" max="11280" width="12.875" style="1" customWidth="1"/>
    <col min="11281" max="11281" width="10.375" style="1"/>
    <col min="11282" max="11282" width="13" style="1" customWidth="1"/>
    <col min="11283" max="11521" width="10.375" style="1"/>
    <col min="11522" max="11522" width="33.25" style="1" customWidth="1"/>
    <col min="11523" max="11527" width="10.375" style="1"/>
    <col min="11528" max="11528" width="13.625" style="1" customWidth="1"/>
    <col min="11529" max="11529" width="10.375" style="1"/>
    <col min="11530" max="11530" width="14.375" style="1" customWidth="1"/>
    <col min="11531" max="11531" width="10.375" style="1"/>
    <col min="11532" max="11532" width="11.625" style="1" bestFit="1" customWidth="1"/>
    <col min="11533" max="11535" width="10.375" style="1"/>
    <col min="11536" max="11536" width="12.875" style="1" customWidth="1"/>
    <col min="11537" max="11537" width="10.375" style="1"/>
    <col min="11538" max="11538" width="13" style="1" customWidth="1"/>
    <col min="11539" max="11777" width="10.375" style="1"/>
    <col min="11778" max="11778" width="33.25" style="1" customWidth="1"/>
    <col min="11779" max="11783" width="10.375" style="1"/>
    <col min="11784" max="11784" width="13.625" style="1" customWidth="1"/>
    <col min="11785" max="11785" width="10.375" style="1"/>
    <col min="11786" max="11786" width="14.375" style="1" customWidth="1"/>
    <col min="11787" max="11787" width="10.375" style="1"/>
    <col min="11788" max="11788" width="11.625" style="1" bestFit="1" customWidth="1"/>
    <col min="11789" max="11791" width="10.375" style="1"/>
    <col min="11792" max="11792" width="12.875" style="1" customWidth="1"/>
    <col min="11793" max="11793" width="10.375" style="1"/>
    <col min="11794" max="11794" width="13" style="1" customWidth="1"/>
    <col min="11795" max="12033" width="10.375" style="1"/>
    <col min="12034" max="12034" width="33.25" style="1" customWidth="1"/>
    <col min="12035" max="12039" width="10.375" style="1"/>
    <col min="12040" max="12040" width="13.625" style="1" customWidth="1"/>
    <col min="12041" max="12041" width="10.375" style="1"/>
    <col min="12042" max="12042" width="14.375" style="1" customWidth="1"/>
    <col min="12043" max="12043" width="10.375" style="1"/>
    <col min="12044" max="12044" width="11.625" style="1" bestFit="1" customWidth="1"/>
    <col min="12045" max="12047" width="10.375" style="1"/>
    <col min="12048" max="12048" width="12.875" style="1" customWidth="1"/>
    <col min="12049" max="12049" width="10.375" style="1"/>
    <col min="12050" max="12050" width="13" style="1" customWidth="1"/>
    <col min="12051" max="12289" width="10.375" style="1"/>
    <col min="12290" max="12290" width="33.25" style="1" customWidth="1"/>
    <col min="12291" max="12295" width="10.375" style="1"/>
    <col min="12296" max="12296" width="13.625" style="1" customWidth="1"/>
    <col min="12297" max="12297" width="10.375" style="1"/>
    <col min="12298" max="12298" width="14.375" style="1" customWidth="1"/>
    <col min="12299" max="12299" width="10.375" style="1"/>
    <col min="12300" max="12300" width="11.625" style="1" bestFit="1" customWidth="1"/>
    <col min="12301" max="12303" width="10.375" style="1"/>
    <col min="12304" max="12304" width="12.875" style="1" customWidth="1"/>
    <col min="12305" max="12305" width="10.375" style="1"/>
    <col min="12306" max="12306" width="13" style="1" customWidth="1"/>
    <col min="12307" max="12545" width="10.375" style="1"/>
    <col min="12546" max="12546" width="33.25" style="1" customWidth="1"/>
    <col min="12547" max="12551" width="10.375" style="1"/>
    <col min="12552" max="12552" width="13.625" style="1" customWidth="1"/>
    <col min="12553" max="12553" width="10.375" style="1"/>
    <col min="12554" max="12554" width="14.375" style="1" customWidth="1"/>
    <col min="12555" max="12555" width="10.375" style="1"/>
    <col min="12556" max="12556" width="11.625" style="1" bestFit="1" customWidth="1"/>
    <col min="12557" max="12559" width="10.375" style="1"/>
    <col min="12560" max="12560" width="12.875" style="1" customWidth="1"/>
    <col min="12561" max="12561" width="10.375" style="1"/>
    <col min="12562" max="12562" width="13" style="1" customWidth="1"/>
    <col min="12563" max="12801" width="10.375" style="1"/>
    <col min="12802" max="12802" width="33.25" style="1" customWidth="1"/>
    <col min="12803" max="12807" width="10.375" style="1"/>
    <col min="12808" max="12808" width="13.625" style="1" customWidth="1"/>
    <col min="12809" max="12809" width="10.375" style="1"/>
    <col min="12810" max="12810" width="14.375" style="1" customWidth="1"/>
    <col min="12811" max="12811" width="10.375" style="1"/>
    <col min="12812" max="12812" width="11.625" style="1" bestFit="1" customWidth="1"/>
    <col min="12813" max="12815" width="10.375" style="1"/>
    <col min="12816" max="12816" width="12.875" style="1" customWidth="1"/>
    <col min="12817" max="12817" width="10.375" style="1"/>
    <col min="12818" max="12818" width="13" style="1" customWidth="1"/>
    <col min="12819" max="13057" width="10.375" style="1"/>
    <col min="13058" max="13058" width="33.25" style="1" customWidth="1"/>
    <col min="13059" max="13063" width="10.375" style="1"/>
    <col min="13064" max="13064" width="13.625" style="1" customWidth="1"/>
    <col min="13065" max="13065" width="10.375" style="1"/>
    <col min="13066" max="13066" width="14.375" style="1" customWidth="1"/>
    <col min="13067" max="13067" width="10.375" style="1"/>
    <col min="13068" max="13068" width="11.625" style="1" bestFit="1" customWidth="1"/>
    <col min="13069" max="13071" width="10.375" style="1"/>
    <col min="13072" max="13072" width="12.875" style="1" customWidth="1"/>
    <col min="13073" max="13073" width="10.375" style="1"/>
    <col min="13074" max="13074" width="13" style="1" customWidth="1"/>
    <col min="13075" max="13313" width="10.375" style="1"/>
    <col min="13314" max="13314" width="33.25" style="1" customWidth="1"/>
    <col min="13315" max="13319" width="10.375" style="1"/>
    <col min="13320" max="13320" width="13.625" style="1" customWidth="1"/>
    <col min="13321" max="13321" width="10.375" style="1"/>
    <col min="13322" max="13322" width="14.375" style="1" customWidth="1"/>
    <col min="13323" max="13323" width="10.375" style="1"/>
    <col min="13324" max="13324" width="11.625" style="1" bestFit="1" customWidth="1"/>
    <col min="13325" max="13327" width="10.375" style="1"/>
    <col min="13328" max="13328" width="12.875" style="1" customWidth="1"/>
    <col min="13329" max="13329" width="10.375" style="1"/>
    <col min="13330" max="13330" width="13" style="1" customWidth="1"/>
    <col min="13331" max="13569" width="10.375" style="1"/>
    <col min="13570" max="13570" width="33.25" style="1" customWidth="1"/>
    <col min="13571" max="13575" width="10.375" style="1"/>
    <col min="13576" max="13576" width="13.625" style="1" customWidth="1"/>
    <col min="13577" max="13577" width="10.375" style="1"/>
    <col min="13578" max="13578" width="14.375" style="1" customWidth="1"/>
    <col min="13579" max="13579" width="10.375" style="1"/>
    <col min="13580" max="13580" width="11.625" style="1" bestFit="1" customWidth="1"/>
    <col min="13581" max="13583" width="10.375" style="1"/>
    <col min="13584" max="13584" width="12.875" style="1" customWidth="1"/>
    <col min="13585" max="13585" width="10.375" style="1"/>
    <col min="13586" max="13586" width="13" style="1" customWidth="1"/>
    <col min="13587" max="13825" width="10.375" style="1"/>
    <col min="13826" max="13826" width="33.25" style="1" customWidth="1"/>
    <col min="13827" max="13831" width="10.375" style="1"/>
    <col min="13832" max="13832" width="13.625" style="1" customWidth="1"/>
    <col min="13833" max="13833" width="10.375" style="1"/>
    <col min="13834" max="13834" width="14.375" style="1" customWidth="1"/>
    <col min="13835" max="13835" width="10.375" style="1"/>
    <col min="13836" max="13836" width="11.625" style="1" bestFit="1" customWidth="1"/>
    <col min="13837" max="13839" width="10.375" style="1"/>
    <col min="13840" max="13840" width="12.875" style="1" customWidth="1"/>
    <col min="13841" max="13841" width="10.375" style="1"/>
    <col min="13842" max="13842" width="13" style="1" customWidth="1"/>
    <col min="13843" max="14081" width="10.375" style="1"/>
    <col min="14082" max="14082" width="33.25" style="1" customWidth="1"/>
    <col min="14083" max="14087" width="10.375" style="1"/>
    <col min="14088" max="14088" width="13.625" style="1" customWidth="1"/>
    <col min="14089" max="14089" width="10.375" style="1"/>
    <col min="14090" max="14090" width="14.375" style="1" customWidth="1"/>
    <col min="14091" max="14091" width="10.375" style="1"/>
    <col min="14092" max="14092" width="11.625" style="1" bestFit="1" customWidth="1"/>
    <col min="14093" max="14095" width="10.375" style="1"/>
    <col min="14096" max="14096" width="12.875" style="1" customWidth="1"/>
    <col min="14097" max="14097" width="10.375" style="1"/>
    <col min="14098" max="14098" width="13" style="1" customWidth="1"/>
    <col min="14099" max="14337" width="10.375" style="1"/>
    <col min="14338" max="14338" width="33.25" style="1" customWidth="1"/>
    <col min="14339" max="14343" width="10.375" style="1"/>
    <col min="14344" max="14344" width="13.625" style="1" customWidth="1"/>
    <col min="14345" max="14345" width="10.375" style="1"/>
    <col min="14346" max="14346" width="14.375" style="1" customWidth="1"/>
    <col min="14347" max="14347" width="10.375" style="1"/>
    <col min="14348" max="14348" width="11.625" style="1" bestFit="1" customWidth="1"/>
    <col min="14349" max="14351" width="10.375" style="1"/>
    <col min="14352" max="14352" width="12.875" style="1" customWidth="1"/>
    <col min="14353" max="14353" width="10.375" style="1"/>
    <col min="14354" max="14354" width="13" style="1" customWidth="1"/>
    <col min="14355" max="14593" width="10.375" style="1"/>
    <col min="14594" max="14594" width="33.25" style="1" customWidth="1"/>
    <col min="14595" max="14599" width="10.375" style="1"/>
    <col min="14600" max="14600" width="13.625" style="1" customWidth="1"/>
    <col min="14601" max="14601" width="10.375" style="1"/>
    <col min="14602" max="14602" width="14.375" style="1" customWidth="1"/>
    <col min="14603" max="14603" width="10.375" style="1"/>
    <col min="14604" max="14604" width="11.625" style="1" bestFit="1" customWidth="1"/>
    <col min="14605" max="14607" width="10.375" style="1"/>
    <col min="14608" max="14608" width="12.875" style="1" customWidth="1"/>
    <col min="14609" max="14609" width="10.375" style="1"/>
    <col min="14610" max="14610" width="13" style="1" customWidth="1"/>
    <col min="14611" max="14849" width="10.375" style="1"/>
    <col min="14850" max="14850" width="33.25" style="1" customWidth="1"/>
    <col min="14851" max="14855" width="10.375" style="1"/>
    <col min="14856" max="14856" width="13.625" style="1" customWidth="1"/>
    <col min="14857" max="14857" width="10.375" style="1"/>
    <col min="14858" max="14858" width="14.375" style="1" customWidth="1"/>
    <col min="14859" max="14859" width="10.375" style="1"/>
    <col min="14860" max="14860" width="11.625" style="1" bestFit="1" customWidth="1"/>
    <col min="14861" max="14863" width="10.375" style="1"/>
    <col min="14864" max="14864" width="12.875" style="1" customWidth="1"/>
    <col min="14865" max="14865" width="10.375" style="1"/>
    <col min="14866" max="14866" width="13" style="1" customWidth="1"/>
    <col min="14867" max="15105" width="10.375" style="1"/>
    <col min="15106" max="15106" width="33.25" style="1" customWidth="1"/>
    <col min="15107" max="15111" width="10.375" style="1"/>
    <col min="15112" max="15112" width="13.625" style="1" customWidth="1"/>
    <col min="15113" max="15113" width="10.375" style="1"/>
    <col min="15114" max="15114" width="14.375" style="1" customWidth="1"/>
    <col min="15115" max="15115" width="10.375" style="1"/>
    <col min="15116" max="15116" width="11.625" style="1" bestFit="1" customWidth="1"/>
    <col min="15117" max="15119" width="10.375" style="1"/>
    <col min="15120" max="15120" width="12.875" style="1" customWidth="1"/>
    <col min="15121" max="15121" width="10.375" style="1"/>
    <col min="15122" max="15122" width="13" style="1" customWidth="1"/>
    <col min="15123" max="15361" width="10.375" style="1"/>
    <col min="15362" max="15362" width="33.25" style="1" customWidth="1"/>
    <col min="15363" max="15367" width="10.375" style="1"/>
    <col min="15368" max="15368" width="13.625" style="1" customWidth="1"/>
    <col min="15369" max="15369" width="10.375" style="1"/>
    <col min="15370" max="15370" width="14.375" style="1" customWidth="1"/>
    <col min="15371" max="15371" width="10.375" style="1"/>
    <col min="15372" max="15372" width="11.625" style="1" bestFit="1" customWidth="1"/>
    <col min="15373" max="15375" width="10.375" style="1"/>
    <col min="15376" max="15376" width="12.875" style="1" customWidth="1"/>
    <col min="15377" max="15377" width="10.375" style="1"/>
    <col min="15378" max="15378" width="13" style="1" customWidth="1"/>
    <col min="15379" max="15617" width="10.375" style="1"/>
    <col min="15618" max="15618" width="33.25" style="1" customWidth="1"/>
    <col min="15619" max="15623" width="10.375" style="1"/>
    <col min="15624" max="15624" width="13.625" style="1" customWidth="1"/>
    <col min="15625" max="15625" width="10.375" style="1"/>
    <col min="15626" max="15626" width="14.375" style="1" customWidth="1"/>
    <col min="15627" max="15627" width="10.375" style="1"/>
    <col min="15628" max="15628" width="11.625" style="1" bestFit="1" customWidth="1"/>
    <col min="15629" max="15631" width="10.375" style="1"/>
    <col min="15632" max="15632" width="12.875" style="1" customWidth="1"/>
    <col min="15633" max="15633" width="10.375" style="1"/>
    <col min="15634" max="15634" width="13" style="1" customWidth="1"/>
    <col min="15635" max="15873" width="10.375" style="1"/>
    <col min="15874" max="15874" width="33.25" style="1" customWidth="1"/>
    <col min="15875" max="15879" width="10.375" style="1"/>
    <col min="15880" max="15880" width="13.625" style="1" customWidth="1"/>
    <col min="15881" max="15881" width="10.375" style="1"/>
    <col min="15882" max="15882" width="14.375" style="1" customWidth="1"/>
    <col min="15883" max="15883" width="10.375" style="1"/>
    <col min="15884" max="15884" width="11.625" style="1" bestFit="1" customWidth="1"/>
    <col min="15885" max="15887" width="10.375" style="1"/>
    <col min="15888" max="15888" width="12.875" style="1" customWidth="1"/>
    <col min="15889" max="15889" width="10.375" style="1"/>
    <col min="15890" max="15890" width="13" style="1" customWidth="1"/>
    <col min="15891" max="16129" width="10.375" style="1"/>
    <col min="16130" max="16130" width="33.25" style="1" customWidth="1"/>
    <col min="16131" max="16135" width="10.375" style="1"/>
    <col min="16136" max="16136" width="13.625" style="1" customWidth="1"/>
    <col min="16137" max="16137" width="10.375" style="1"/>
    <col min="16138" max="16138" width="14.375" style="1" customWidth="1"/>
    <col min="16139" max="16139" width="10.375" style="1"/>
    <col min="16140" max="16140" width="11.625" style="1" bestFit="1" customWidth="1"/>
    <col min="16141" max="16143" width="10.375" style="1"/>
    <col min="16144" max="16144" width="12.875" style="1" customWidth="1"/>
    <col min="16145" max="16145" width="10.375" style="1"/>
    <col min="16146" max="16146" width="13" style="1" customWidth="1"/>
    <col min="16147" max="16384" width="10.375" style="1"/>
  </cols>
  <sheetData>
    <row r="1" spans="1:18" ht="18.600000000000001">
      <c r="A1" s="175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</row>
    <row r="2" spans="1:18" ht="18.600000000000001">
      <c r="A2" s="176" t="s">
        <v>1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</row>
    <row r="3" spans="1:18" ht="18.600000000000001">
      <c r="A3" s="177" t="s">
        <v>64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</row>
    <row r="4" spans="1:18" ht="18.600000000000001">
      <c r="A4" s="178" t="s">
        <v>3</v>
      </c>
      <c r="B4" s="173" t="s">
        <v>4</v>
      </c>
      <c r="C4" s="173" t="s">
        <v>5</v>
      </c>
      <c r="D4" s="211" t="s">
        <v>6</v>
      </c>
      <c r="E4" s="182" t="s">
        <v>7</v>
      </c>
      <c r="F4" s="183"/>
      <c r="G4" s="183"/>
      <c r="H4" s="183"/>
      <c r="I4" s="183"/>
      <c r="J4" s="184"/>
      <c r="K4" s="214" t="s">
        <v>8</v>
      </c>
      <c r="L4" s="215"/>
      <c r="M4" s="216"/>
      <c r="N4" s="182" t="s">
        <v>9</v>
      </c>
      <c r="O4" s="183"/>
      <c r="P4" s="183"/>
      <c r="Q4" s="183"/>
      <c r="R4" s="184"/>
    </row>
    <row r="5" spans="1:18" ht="18.600000000000001">
      <c r="A5" s="179"/>
      <c r="B5" s="181"/>
      <c r="C5" s="181"/>
      <c r="D5" s="212"/>
      <c r="E5" s="178" t="s">
        <v>10</v>
      </c>
      <c r="F5" s="187" t="s">
        <v>11</v>
      </c>
      <c r="G5" s="187" t="s">
        <v>12</v>
      </c>
      <c r="H5" s="182" t="s">
        <v>13</v>
      </c>
      <c r="I5" s="183"/>
      <c r="J5" s="184"/>
      <c r="K5" s="207" t="s">
        <v>14</v>
      </c>
      <c r="L5" s="209" t="s">
        <v>15</v>
      </c>
      <c r="M5" s="205" t="s">
        <v>16</v>
      </c>
      <c r="N5" s="185" t="s">
        <v>10</v>
      </c>
      <c r="O5" s="187" t="s">
        <v>12</v>
      </c>
      <c r="P5" s="182" t="s">
        <v>13</v>
      </c>
      <c r="Q5" s="183"/>
      <c r="R5" s="184"/>
    </row>
    <row r="6" spans="1:18" ht="16.8">
      <c r="A6" s="180"/>
      <c r="B6" s="174"/>
      <c r="C6" s="174"/>
      <c r="D6" s="213"/>
      <c r="E6" s="180"/>
      <c r="F6" s="188"/>
      <c r="G6" s="188"/>
      <c r="H6" s="5" t="s">
        <v>17</v>
      </c>
      <c r="I6" s="6" t="s">
        <v>18</v>
      </c>
      <c r="J6" s="7" t="s">
        <v>19</v>
      </c>
      <c r="K6" s="208"/>
      <c r="L6" s="210"/>
      <c r="M6" s="206"/>
      <c r="N6" s="186"/>
      <c r="O6" s="188"/>
      <c r="P6" s="5" t="s">
        <v>17</v>
      </c>
      <c r="Q6" s="6" t="s">
        <v>18</v>
      </c>
      <c r="R6" s="7" t="s">
        <v>19</v>
      </c>
    </row>
    <row r="7" spans="1:18" ht="18.600000000000001">
      <c r="A7" s="8"/>
      <c r="B7" s="9" t="s">
        <v>20</v>
      </c>
      <c r="C7" s="10"/>
      <c r="D7" s="11"/>
      <c r="E7" s="12"/>
      <c r="F7" s="12"/>
      <c r="G7" s="13"/>
      <c r="H7" s="14"/>
      <c r="I7" s="15"/>
      <c r="J7" s="11"/>
      <c r="K7" s="16"/>
      <c r="L7" s="17"/>
      <c r="M7" s="18"/>
      <c r="N7" s="19"/>
      <c r="O7" s="13"/>
      <c r="P7" s="13"/>
      <c r="Q7" s="13"/>
      <c r="R7" s="20"/>
    </row>
    <row r="8" spans="1:18" ht="18.600000000000001">
      <c r="A8" s="8">
        <v>1</v>
      </c>
      <c r="B8" s="21"/>
      <c r="C8" s="22"/>
      <c r="D8" s="23">
        <v>0</v>
      </c>
      <c r="E8" s="24"/>
      <c r="F8" s="24"/>
      <c r="G8" s="25"/>
      <c r="H8" s="26">
        <v>0</v>
      </c>
      <c r="I8" s="27">
        <f>H8*0.07</f>
        <v>0</v>
      </c>
      <c r="J8" s="23">
        <v>0</v>
      </c>
      <c r="K8" s="28"/>
      <c r="L8" s="29"/>
      <c r="M8" s="30">
        <v>0</v>
      </c>
      <c r="N8" s="31"/>
      <c r="O8" s="25"/>
      <c r="P8" s="27">
        <f>ROUND(R8*100/107,2)</f>
        <v>0</v>
      </c>
      <c r="Q8" s="27">
        <f>P8*0.07</f>
        <v>0</v>
      </c>
      <c r="R8" s="32">
        <f>D8+J8-M8</f>
        <v>0</v>
      </c>
    </row>
    <row r="9" spans="1:18" ht="18.600000000000001">
      <c r="A9" s="8">
        <f>+A8+1</f>
        <v>2</v>
      </c>
      <c r="B9" s="33" t="s">
        <v>21</v>
      </c>
      <c r="C9" s="22"/>
      <c r="D9" s="23">
        <v>0</v>
      </c>
      <c r="E9" s="24"/>
      <c r="F9" s="24"/>
      <c r="G9" s="25"/>
      <c r="H9" s="34">
        <v>0</v>
      </c>
      <c r="I9" s="35">
        <f>H9*0.07</f>
        <v>0</v>
      </c>
      <c r="J9" s="36">
        <v>0</v>
      </c>
      <c r="K9" s="28"/>
      <c r="L9" s="29"/>
      <c r="M9" s="30">
        <v>0</v>
      </c>
      <c r="N9" s="31"/>
      <c r="O9" s="25"/>
      <c r="P9" s="27">
        <f>ROUND(R9*100/107,2)</f>
        <v>0</v>
      </c>
      <c r="Q9" s="27">
        <f>P9*0.07</f>
        <v>0</v>
      </c>
      <c r="R9" s="32">
        <f>D9+J9-M9</f>
        <v>0</v>
      </c>
    </row>
    <row r="10" spans="1:18" ht="18.600000000000001">
      <c r="A10" s="8">
        <f>+A9+1</f>
        <v>3</v>
      </c>
      <c r="B10" s="37"/>
      <c r="C10" s="22"/>
      <c r="D10" s="23">
        <v>0</v>
      </c>
      <c r="E10" s="24"/>
      <c r="F10" s="38"/>
      <c r="G10" s="39"/>
      <c r="H10" s="40">
        <f>J10*100/107</f>
        <v>0</v>
      </c>
      <c r="I10" s="40">
        <f>H10*0.07</f>
        <v>0</v>
      </c>
      <c r="J10" s="41">
        <v>0</v>
      </c>
      <c r="K10" s="28"/>
      <c r="L10" s="29"/>
      <c r="M10" s="30">
        <v>0</v>
      </c>
      <c r="N10" s="31"/>
      <c r="O10" s="25"/>
      <c r="P10" s="27">
        <f>ROUND(R10*100/107,2)</f>
        <v>0</v>
      </c>
      <c r="Q10" s="27">
        <f>P10*0.07</f>
        <v>0</v>
      </c>
      <c r="R10" s="32">
        <f>D10+J10-M10</f>
        <v>0</v>
      </c>
    </row>
    <row r="11" spans="1:18" ht="19.2" thickBot="1">
      <c r="A11" s="42"/>
      <c r="B11" s="191" t="s">
        <v>19</v>
      </c>
      <c r="C11" s="192"/>
      <c r="D11" s="43">
        <f>SUM(D8:D10)</f>
        <v>0</v>
      </c>
      <c r="E11" s="43"/>
      <c r="F11" s="43"/>
      <c r="G11" s="44"/>
      <c r="H11" s="44">
        <f>SUM(H8:H10)</f>
        <v>0</v>
      </c>
      <c r="I11" s="44">
        <f>SUM(I8:I10)</f>
        <v>0</v>
      </c>
      <c r="J11" s="44">
        <f>SUM(J8:J10)</f>
        <v>0</v>
      </c>
      <c r="K11" s="45"/>
      <c r="L11" s="46"/>
      <c r="M11" s="47">
        <f>SUM(M8:M10)</f>
        <v>0</v>
      </c>
      <c r="N11" s="48"/>
      <c r="O11" s="43"/>
      <c r="P11" s="49">
        <f>ROUND(R11*100/107,2)</f>
        <v>0</v>
      </c>
      <c r="Q11" s="49">
        <f>P11*0.07</f>
        <v>0</v>
      </c>
      <c r="R11" s="50">
        <f>SUM(R8:R10)</f>
        <v>0</v>
      </c>
    </row>
    <row r="12" spans="1:18" ht="19.2" thickTop="1">
      <c r="A12" s="8"/>
      <c r="B12" s="51" t="s">
        <v>22</v>
      </c>
      <c r="C12" s="52"/>
      <c r="D12" s="11"/>
      <c r="E12" s="12"/>
      <c r="F12" s="12"/>
      <c r="G12" s="53"/>
      <c r="H12" s="14"/>
      <c r="I12" s="15"/>
      <c r="J12" s="11"/>
      <c r="K12" s="16"/>
      <c r="L12" s="17"/>
      <c r="M12" s="18"/>
      <c r="N12" s="19"/>
      <c r="O12" s="13"/>
      <c r="P12" s="13"/>
      <c r="Q12" s="13"/>
      <c r="R12" s="20"/>
    </row>
    <row r="13" spans="1:18" ht="34.5" customHeight="1">
      <c r="A13" s="8">
        <v>1</v>
      </c>
      <c r="B13" s="203"/>
      <c r="C13" s="204"/>
      <c r="D13" s="23">
        <v>0</v>
      </c>
      <c r="E13" s="54"/>
      <c r="F13" s="54"/>
      <c r="G13" s="25"/>
      <c r="H13" s="26">
        <v>0</v>
      </c>
      <c r="I13" s="27">
        <f>H13*0.07</f>
        <v>0</v>
      </c>
      <c r="J13" s="23">
        <f>SUM(H13:I13)</f>
        <v>0</v>
      </c>
      <c r="K13" s="55">
        <v>0</v>
      </c>
      <c r="L13" s="56"/>
      <c r="M13" s="55">
        <v>0</v>
      </c>
      <c r="N13" s="31"/>
      <c r="O13" s="25"/>
      <c r="P13" s="27">
        <f>ROUND(R13*100/107,2)</f>
        <v>0</v>
      </c>
      <c r="Q13" s="27">
        <f>P13*0.07</f>
        <v>0</v>
      </c>
      <c r="R13" s="32">
        <f>D13+J13-M13</f>
        <v>0</v>
      </c>
    </row>
    <row r="14" spans="1:18" ht="29.25" customHeight="1">
      <c r="A14" s="8">
        <v>2</v>
      </c>
      <c r="B14" s="197" t="s">
        <v>21</v>
      </c>
      <c r="C14" s="198"/>
      <c r="D14" s="23">
        <v>0</v>
      </c>
      <c r="E14" s="31"/>
      <c r="F14" s="31"/>
      <c r="G14" s="25"/>
      <c r="H14" s="34">
        <v>0</v>
      </c>
      <c r="I14" s="27">
        <f>H14*0.07</f>
        <v>0</v>
      </c>
      <c r="J14" s="23">
        <f>SUM(H14:I14)</f>
        <v>0</v>
      </c>
      <c r="K14" s="58">
        <v>0</v>
      </c>
      <c r="L14" s="56"/>
      <c r="M14" s="55">
        <v>0</v>
      </c>
      <c r="N14" s="31"/>
      <c r="O14" s="25"/>
      <c r="P14" s="27">
        <f>ROUND(R14*100/107,2)</f>
        <v>0</v>
      </c>
      <c r="Q14" s="27">
        <f>P14*0.07</f>
        <v>0</v>
      </c>
      <c r="R14" s="32">
        <f>D14+J14-M14</f>
        <v>0</v>
      </c>
    </row>
    <row r="15" spans="1:18" ht="28.5" customHeight="1">
      <c r="A15" s="8">
        <f>+A14+1</f>
        <v>3</v>
      </c>
      <c r="B15" s="195"/>
      <c r="C15" s="196"/>
      <c r="D15" s="23">
        <v>0</v>
      </c>
      <c r="E15" s="24"/>
      <c r="F15" s="24"/>
      <c r="G15" s="25"/>
      <c r="H15" s="34">
        <v>0</v>
      </c>
      <c r="I15" s="27">
        <f>H15*0.07</f>
        <v>0</v>
      </c>
      <c r="J15" s="23">
        <f>SUM(H15:I15)</f>
        <v>0</v>
      </c>
      <c r="K15" s="55">
        <v>0</v>
      </c>
      <c r="L15" s="60"/>
      <c r="M15" s="55">
        <v>0</v>
      </c>
      <c r="N15" s="31"/>
      <c r="O15" s="25"/>
      <c r="P15" s="27">
        <f>ROUND(R15*100/107,2)</f>
        <v>0</v>
      </c>
      <c r="Q15" s="27">
        <f>P15*0.07</f>
        <v>0</v>
      </c>
      <c r="R15" s="32">
        <f>D15+J15-M15</f>
        <v>0</v>
      </c>
    </row>
    <row r="16" spans="1:18" ht="19.2" thickBot="1">
      <c r="A16" s="42"/>
      <c r="B16" s="191" t="s">
        <v>19</v>
      </c>
      <c r="C16" s="192"/>
      <c r="D16" s="43">
        <f>SUM(D13:D15)</f>
        <v>0</v>
      </c>
      <c r="E16" s="43"/>
      <c r="F16" s="43"/>
      <c r="G16" s="43"/>
      <c r="H16" s="43">
        <f>SUM(H13:H15)</f>
        <v>0</v>
      </c>
      <c r="I16" s="43">
        <f>SUM(I13:I15)</f>
        <v>0</v>
      </c>
      <c r="J16" s="43">
        <f>SUM(J13:J15)</f>
        <v>0</v>
      </c>
      <c r="K16" s="45"/>
      <c r="L16" s="46"/>
      <c r="M16" s="47">
        <f>SUM(M13:M15)</f>
        <v>0</v>
      </c>
      <c r="N16" s="48"/>
      <c r="O16" s="43"/>
      <c r="P16" s="49">
        <f>ROUND(R16*100/107,2)</f>
        <v>0</v>
      </c>
      <c r="Q16" s="49">
        <f>P16*0.07</f>
        <v>0</v>
      </c>
      <c r="R16" s="50">
        <f>SUM(R13:R15)</f>
        <v>0</v>
      </c>
    </row>
    <row r="17" spans="1:18" ht="19.2" thickTop="1">
      <c r="A17" s="8"/>
      <c r="B17" s="51" t="s">
        <v>23</v>
      </c>
      <c r="C17" s="52"/>
      <c r="D17" s="11"/>
      <c r="E17" s="12"/>
      <c r="F17" s="12"/>
      <c r="G17" s="13"/>
      <c r="H17" s="61"/>
      <c r="I17" s="35"/>
      <c r="J17" s="11"/>
      <c r="K17" s="16"/>
      <c r="L17" s="17"/>
      <c r="M17" s="18"/>
      <c r="N17" s="19"/>
      <c r="O17" s="13"/>
      <c r="P17" s="13"/>
      <c r="Q17" s="13"/>
      <c r="R17" s="20"/>
    </row>
    <row r="18" spans="1:18" ht="18.600000000000001">
      <c r="A18" s="8">
        <v>1</v>
      </c>
      <c r="B18" s="62"/>
      <c r="C18" s="63"/>
      <c r="D18" s="23">
        <v>0</v>
      </c>
      <c r="E18" s="24"/>
      <c r="F18" s="24"/>
      <c r="G18" s="25"/>
      <c r="H18" s="26">
        <v>0</v>
      </c>
      <c r="I18" s="27">
        <f>H18*0.07</f>
        <v>0</v>
      </c>
      <c r="J18" s="23">
        <v>0</v>
      </c>
      <c r="K18" s="28"/>
      <c r="L18" s="29"/>
      <c r="M18" s="30">
        <v>0</v>
      </c>
      <c r="N18" s="31"/>
      <c r="O18" s="25"/>
      <c r="P18" s="27">
        <f>ROUND(R18*100/107,2)</f>
        <v>0</v>
      </c>
      <c r="Q18" s="27">
        <f>P18*0.07</f>
        <v>0</v>
      </c>
      <c r="R18" s="32">
        <f>D18+J18-M18</f>
        <v>0</v>
      </c>
    </row>
    <row r="19" spans="1:18" ht="18.600000000000001">
      <c r="A19" s="8">
        <f>+A18+1</f>
        <v>2</v>
      </c>
      <c r="B19" s="64" t="s">
        <v>21</v>
      </c>
      <c r="C19" s="63"/>
      <c r="D19" s="23">
        <v>0</v>
      </c>
      <c r="E19" s="24"/>
      <c r="F19" s="24"/>
      <c r="G19" s="25"/>
      <c r="H19" s="34">
        <v>0</v>
      </c>
      <c r="I19" s="35">
        <f>H19*0.07</f>
        <v>0</v>
      </c>
      <c r="J19" s="36">
        <v>0</v>
      </c>
      <c r="K19" s="28"/>
      <c r="L19" s="29"/>
      <c r="M19" s="30">
        <v>0</v>
      </c>
      <c r="N19" s="31"/>
      <c r="O19" s="25"/>
      <c r="P19" s="27">
        <f>ROUND(R19*100/107,2)</f>
        <v>0</v>
      </c>
      <c r="Q19" s="27">
        <f>P19*0.07</f>
        <v>0</v>
      </c>
      <c r="R19" s="32">
        <f>D19+J19-M19</f>
        <v>0</v>
      </c>
    </row>
    <row r="20" spans="1:18" ht="18.600000000000001">
      <c r="A20" s="8">
        <f>+A19+1</f>
        <v>3</v>
      </c>
      <c r="B20" s="65"/>
      <c r="C20" s="63"/>
      <c r="D20" s="23">
        <v>0</v>
      </c>
      <c r="E20" s="24"/>
      <c r="F20" s="38"/>
      <c r="G20" s="39"/>
      <c r="H20" s="40">
        <f>J20*100/107</f>
        <v>0</v>
      </c>
      <c r="I20" s="40">
        <f>H20*0.07</f>
        <v>0</v>
      </c>
      <c r="J20" s="41">
        <v>0</v>
      </c>
      <c r="K20" s="28"/>
      <c r="L20" s="29"/>
      <c r="M20" s="30">
        <v>0</v>
      </c>
      <c r="N20" s="31"/>
      <c r="O20" s="25"/>
      <c r="P20" s="27">
        <f>ROUND(R20*100/107,2)</f>
        <v>0</v>
      </c>
      <c r="Q20" s="27">
        <f>P20*0.07</f>
        <v>0</v>
      </c>
      <c r="R20" s="32">
        <f>D20+J20-M20</f>
        <v>0</v>
      </c>
    </row>
    <row r="21" spans="1:18" ht="19.2" thickBot="1">
      <c r="A21" s="42"/>
      <c r="B21" s="191" t="s">
        <v>19</v>
      </c>
      <c r="C21" s="192"/>
      <c r="D21" s="43">
        <f>SUM(D18:D20)</f>
        <v>0</v>
      </c>
      <c r="E21" s="43"/>
      <c r="F21" s="43"/>
      <c r="G21" s="44"/>
      <c r="H21" s="44">
        <f>SUM(H18:H20)</f>
        <v>0</v>
      </c>
      <c r="I21" s="44">
        <f>SUM(I18:I20)</f>
        <v>0</v>
      </c>
      <c r="J21" s="44">
        <f>SUM(J18:J20)</f>
        <v>0</v>
      </c>
      <c r="K21" s="45"/>
      <c r="L21" s="46"/>
      <c r="M21" s="47">
        <f>SUM(M18:M20)</f>
        <v>0</v>
      </c>
      <c r="N21" s="48"/>
      <c r="O21" s="43"/>
      <c r="P21" s="49">
        <f>ROUND(R21*100/107,2)</f>
        <v>0</v>
      </c>
      <c r="Q21" s="49">
        <f>P21*0.07</f>
        <v>0</v>
      </c>
      <c r="R21" s="50">
        <f>SUM(R18:R20)</f>
        <v>0</v>
      </c>
    </row>
    <row r="22" spans="1:18" ht="19.2" thickTop="1">
      <c r="A22" s="8"/>
      <c r="B22" s="51" t="s">
        <v>24</v>
      </c>
      <c r="C22" s="52"/>
      <c r="D22" s="11"/>
      <c r="E22" s="12"/>
      <c r="F22" s="12"/>
      <c r="G22" s="53"/>
      <c r="H22" s="14"/>
      <c r="I22" s="15"/>
      <c r="J22" s="11"/>
      <c r="K22" s="16"/>
      <c r="L22" s="17"/>
      <c r="M22" s="18"/>
      <c r="N22" s="19"/>
      <c r="O22" s="13"/>
      <c r="P22" s="13"/>
      <c r="Q22" s="13"/>
      <c r="R22" s="20"/>
    </row>
    <row r="23" spans="1:18" ht="18.600000000000001">
      <c r="A23" s="8">
        <v>1</v>
      </c>
      <c r="B23" s="62"/>
      <c r="C23" s="63"/>
      <c r="D23" s="23"/>
      <c r="E23" s="24"/>
      <c r="F23" s="24"/>
      <c r="G23" s="25"/>
      <c r="H23" s="26">
        <v>0</v>
      </c>
      <c r="I23" s="27">
        <f>H23*0.07</f>
        <v>0</v>
      </c>
      <c r="J23" s="23">
        <v>0</v>
      </c>
      <c r="K23" s="28"/>
      <c r="L23" s="29"/>
      <c r="M23" s="30">
        <v>0</v>
      </c>
      <c r="N23" s="31"/>
      <c r="O23" s="25"/>
      <c r="P23" s="27">
        <f>ROUND(R23*100/107,2)</f>
        <v>0</v>
      </c>
      <c r="Q23" s="27">
        <f>P23*0.07</f>
        <v>0</v>
      </c>
      <c r="R23" s="32">
        <f>D23+J23-M23</f>
        <v>0</v>
      </c>
    </row>
    <row r="24" spans="1:18" ht="18.600000000000001">
      <c r="A24" s="8">
        <f>+A23+1</f>
        <v>2</v>
      </c>
      <c r="B24" s="64" t="s">
        <v>21</v>
      </c>
      <c r="C24" s="63"/>
      <c r="D24" s="23"/>
      <c r="E24" s="24"/>
      <c r="F24" s="24"/>
      <c r="G24" s="25"/>
      <c r="H24" s="26">
        <v>0</v>
      </c>
      <c r="I24" s="27">
        <f>H24*0.07</f>
        <v>0</v>
      </c>
      <c r="J24" s="23">
        <v>0</v>
      </c>
      <c r="K24" s="28"/>
      <c r="L24" s="29"/>
      <c r="M24" s="55">
        <v>0</v>
      </c>
      <c r="N24" s="31"/>
      <c r="O24" s="25"/>
      <c r="P24" s="27">
        <f>ROUND(R24*100/107,2)</f>
        <v>0</v>
      </c>
      <c r="Q24" s="27">
        <f>P24*0.07</f>
        <v>0</v>
      </c>
      <c r="R24" s="32">
        <f>D24+J24-M24</f>
        <v>0</v>
      </c>
    </row>
    <row r="25" spans="1:18" ht="18.600000000000001">
      <c r="A25" s="8">
        <f>+A24+1</f>
        <v>3</v>
      </c>
      <c r="B25" s="65"/>
      <c r="C25" s="63"/>
      <c r="D25" s="23"/>
      <c r="E25" s="24"/>
      <c r="F25" s="38"/>
      <c r="G25" s="39"/>
      <c r="H25" s="40">
        <v>0</v>
      </c>
      <c r="I25" s="40">
        <f>H25*0.07</f>
        <v>0</v>
      </c>
      <c r="J25" s="66">
        <v>0</v>
      </c>
      <c r="K25" s="28"/>
      <c r="L25" s="29"/>
      <c r="M25" s="55">
        <v>0</v>
      </c>
      <c r="N25" s="31"/>
      <c r="O25" s="25"/>
      <c r="P25" s="27">
        <f>ROUND(R25*100/107,2)</f>
        <v>0</v>
      </c>
      <c r="Q25" s="27">
        <f>P25*0.07</f>
        <v>0</v>
      </c>
      <c r="R25" s="32">
        <f>D25+J25-M25</f>
        <v>0</v>
      </c>
    </row>
    <row r="26" spans="1:18" ht="19.2" thickBot="1">
      <c r="A26" s="42"/>
      <c r="B26" s="191" t="s">
        <v>19</v>
      </c>
      <c r="C26" s="192"/>
      <c r="D26" s="43">
        <f>SUM(D23:D25)</f>
        <v>0</v>
      </c>
      <c r="E26" s="43"/>
      <c r="F26" s="43"/>
      <c r="G26" s="44"/>
      <c r="H26" s="44">
        <f>SUM(H23:H25)</f>
        <v>0</v>
      </c>
      <c r="I26" s="44">
        <f>SUM(I23:I25)</f>
        <v>0</v>
      </c>
      <c r="J26" s="44">
        <f>SUM(J23:J25)</f>
        <v>0</v>
      </c>
      <c r="K26" s="45"/>
      <c r="L26" s="46"/>
      <c r="M26" s="47">
        <f>SUM(M23:M25)</f>
        <v>0</v>
      </c>
      <c r="N26" s="48"/>
      <c r="O26" s="43"/>
      <c r="P26" s="49">
        <f>ROUND(R26*100/107,2)</f>
        <v>0</v>
      </c>
      <c r="Q26" s="49">
        <f>P26*0.07</f>
        <v>0</v>
      </c>
      <c r="R26" s="50">
        <f>SUM(R23:R25)</f>
        <v>0</v>
      </c>
    </row>
    <row r="27" spans="1:18" ht="19.2" thickTop="1">
      <c r="A27" s="8"/>
      <c r="B27" s="67"/>
      <c r="C27" s="68"/>
      <c r="D27" s="69"/>
      <c r="E27" s="70"/>
      <c r="F27" s="70"/>
      <c r="G27" s="71"/>
      <c r="H27" s="72"/>
      <c r="I27" s="73"/>
      <c r="J27" s="69"/>
      <c r="K27" s="74"/>
      <c r="L27" s="75"/>
      <c r="M27" s="76"/>
      <c r="N27" s="77"/>
      <c r="O27" s="78"/>
      <c r="P27" s="78"/>
      <c r="Q27" s="78"/>
      <c r="R27" s="79"/>
    </row>
    <row r="28" spans="1:18" ht="18.600000000000001">
      <c r="A28" s="8"/>
      <c r="B28" s="80" t="s">
        <v>25</v>
      </c>
      <c r="C28" s="68"/>
      <c r="D28" s="23"/>
      <c r="E28" s="24"/>
      <c r="F28" s="24"/>
      <c r="G28" s="25"/>
      <c r="H28" s="81"/>
      <c r="I28" s="27"/>
      <c r="J28" s="23"/>
      <c r="K28" s="28"/>
      <c r="L28" s="29"/>
      <c r="M28" s="55"/>
      <c r="N28" s="31"/>
      <c r="O28" s="25"/>
      <c r="P28" s="25"/>
      <c r="Q28" s="25"/>
      <c r="R28" s="32"/>
    </row>
    <row r="29" spans="1:18" ht="18.600000000000001">
      <c r="A29" s="8">
        <f>+A28+1</f>
        <v>1</v>
      </c>
      <c r="B29" s="195"/>
      <c r="C29" s="196"/>
      <c r="D29" s="23">
        <v>0</v>
      </c>
      <c r="E29" s="24"/>
      <c r="F29" s="24"/>
      <c r="G29" s="25"/>
      <c r="H29" s="34">
        <v>0</v>
      </c>
      <c r="I29" s="27">
        <f>H29*0.07</f>
        <v>0</v>
      </c>
      <c r="J29" s="36">
        <v>0</v>
      </c>
      <c r="K29" s="82"/>
      <c r="L29" s="83"/>
      <c r="M29" s="30">
        <v>0</v>
      </c>
      <c r="N29" s="31"/>
      <c r="O29" s="25"/>
      <c r="P29" s="27">
        <f>ROUND(R29*100/107,2)</f>
        <v>0</v>
      </c>
      <c r="Q29" s="27">
        <f>P29*0.07</f>
        <v>0</v>
      </c>
      <c r="R29" s="32">
        <f>D29+J29-M29</f>
        <v>0</v>
      </c>
    </row>
    <row r="30" spans="1:18" ht="18.600000000000001">
      <c r="A30" s="8">
        <v>2</v>
      </c>
      <c r="B30" s="57" t="s">
        <v>21</v>
      </c>
      <c r="C30" s="59"/>
      <c r="D30" s="23">
        <v>0</v>
      </c>
      <c r="E30" s="24"/>
      <c r="F30" s="38"/>
      <c r="G30" s="84"/>
      <c r="H30" s="34">
        <v>0</v>
      </c>
      <c r="I30" s="85">
        <v>0</v>
      </c>
      <c r="J30" s="86">
        <v>0</v>
      </c>
      <c r="K30" s="82"/>
      <c r="L30" s="83"/>
      <c r="M30" s="30"/>
      <c r="N30" s="31"/>
      <c r="O30" s="25"/>
      <c r="P30" s="27">
        <f>ROUND(R30*100/107,2)</f>
        <v>0</v>
      </c>
      <c r="Q30" s="27">
        <f>P30*0.07</f>
        <v>0</v>
      </c>
      <c r="R30" s="32">
        <f>D30+J30-M30</f>
        <v>0</v>
      </c>
    </row>
    <row r="31" spans="1:18" ht="18.600000000000001">
      <c r="A31" s="8">
        <v>3</v>
      </c>
      <c r="B31" s="195"/>
      <c r="C31" s="196"/>
      <c r="D31" s="23">
        <v>0</v>
      </c>
      <c r="E31" s="24"/>
      <c r="F31" s="38"/>
      <c r="G31" s="39"/>
      <c r="H31" s="40">
        <f>J31*100/107</f>
        <v>0</v>
      </c>
      <c r="I31" s="40">
        <f>H31*0.07</f>
        <v>0</v>
      </c>
      <c r="J31" s="41">
        <v>0</v>
      </c>
      <c r="K31" s="82"/>
      <c r="L31" s="83"/>
      <c r="M31" s="30">
        <v>0</v>
      </c>
      <c r="N31" s="31"/>
      <c r="O31" s="25"/>
      <c r="P31" s="27">
        <f>ROUND(R31*100/107,2)</f>
        <v>0</v>
      </c>
      <c r="Q31" s="27">
        <f>P31*0.07</f>
        <v>0</v>
      </c>
      <c r="R31" s="32">
        <f>D31+J31-M31</f>
        <v>0</v>
      </c>
    </row>
    <row r="32" spans="1:18" ht="19.2" thickBot="1">
      <c r="A32" s="42"/>
      <c r="B32" s="191" t="s">
        <v>19</v>
      </c>
      <c r="C32" s="192"/>
      <c r="D32" s="43">
        <f>SUM(D28:D31)</f>
        <v>0</v>
      </c>
      <c r="E32" s="43"/>
      <c r="F32" s="43"/>
      <c r="G32" s="44"/>
      <c r="H32" s="44">
        <f>SUM(H28:H31)</f>
        <v>0</v>
      </c>
      <c r="I32" s="44">
        <f>SUM(I28:I31)</f>
        <v>0</v>
      </c>
      <c r="J32" s="44">
        <f>SUM(J28:J31)</f>
        <v>0</v>
      </c>
      <c r="K32" s="45"/>
      <c r="L32" s="46"/>
      <c r="M32" s="47">
        <f>SUM(M28:M31)</f>
        <v>0</v>
      </c>
      <c r="N32" s="48"/>
      <c r="O32" s="43"/>
      <c r="P32" s="49">
        <f>ROUND(R32*100/107,2)</f>
        <v>0</v>
      </c>
      <c r="Q32" s="49">
        <f>P32*0.07</f>
        <v>0</v>
      </c>
      <c r="R32" s="50">
        <f>SUM(R28:R31)</f>
        <v>0</v>
      </c>
    </row>
    <row r="33" spans="1:18" ht="19.2" thickTop="1">
      <c r="A33" s="8"/>
      <c r="B33" s="51" t="s">
        <v>26</v>
      </c>
      <c r="C33" s="52"/>
      <c r="D33" s="11"/>
      <c r="E33" s="12"/>
      <c r="F33" s="12"/>
      <c r="G33" s="53"/>
      <c r="H33" s="14"/>
      <c r="I33" s="15"/>
      <c r="J33" s="11"/>
      <c r="K33" s="16"/>
      <c r="L33" s="17"/>
      <c r="M33" s="18"/>
      <c r="N33" s="19"/>
      <c r="O33" s="13"/>
      <c r="P33" s="13"/>
      <c r="Q33" s="13"/>
      <c r="R33" s="20"/>
    </row>
    <row r="34" spans="1:18" ht="18.600000000000001">
      <c r="A34" s="8">
        <v>1</v>
      </c>
      <c r="B34" s="33" t="s">
        <v>21</v>
      </c>
      <c r="C34" s="87"/>
      <c r="D34" s="23">
        <v>0</v>
      </c>
      <c r="E34" s="24"/>
      <c r="F34" s="24"/>
      <c r="G34" s="25"/>
      <c r="H34" s="27">
        <v>0</v>
      </c>
      <c r="I34" s="27">
        <f>H34*0.07</f>
        <v>0</v>
      </c>
      <c r="J34" s="36">
        <v>0</v>
      </c>
      <c r="K34" s="28"/>
      <c r="L34" s="29"/>
      <c r="M34" s="30">
        <v>0</v>
      </c>
      <c r="N34" s="31"/>
      <c r="O34" s="25"/>
      <c r="P34" s="27">
        <f>ROUND(R34*100/107,2)</f>
        <v>0</v>
      </c>
      <c r="Q34" s="27">
        <f>P34*0.07</f>
        <v>0</v>
      </c>
      <c r="R34" s="32">
        <f>D34+J34-M34</f>
        <v>0</v>
      </c>
    </row>
    <row r="35" spans="1:18" ht="18.600000000000001">
      <c r="A35" s="8">
        <v>2</v>
      </c>
      <c r="B35" s="33"/>
      <c r="C35" s="87"/>
      <c r="D35" s="23"/>
      <c r="E35" s="24"/>
      <c r="F35" s="38"/>
      <c r="G35" s="84"/>
      <c r="H35" s="34"/>
      <c r="I35" s="34"/>
      <c r="J35" s="86"/>
      <c r="K35" s="28"/>
      <c r="L35" s="29"/>
      <c r="M35" s="30"/>
      <c r="N35" s="31"/>
      <c r="O35" s="25"/>
      <c r="P35" s="27"/>
      <c r="Q35" s="27"/>
      <c r="R35" s="32"/>
    </row>
    <row r="36" spans="1:18" ht="18.600000000000001">
      <c r="A36" s="8">
        <v>3</v>
      </c>
      <c r="B36" s="37"/>
      <c r="C36" s="22"/>
      <c r="D36" s="23">
        <v>0</v>
      </c>
      <c r="E36" s="24"/>
      <c r="F36" s="38"/>
      <c r="G36" s="39"/>
      <c r="H36" s="40">
        <f>J36*100/107</f>
        <v>0</v>
      </c>
      <c r="I36" s="40">
        <f>H36*0.07</f>
        <v>0</v>
      </c>
      <c r="J36" s="41">
        <v>0</v>
      </c>
      <c r="K36" s="28"/>
      <c r="L36" s="29"/>
      <c r="M36" s="30">
        <v>0</v>
      </c>
      <c r="N36" s="31"/>
      <c r="O36" s="25"/>
      <c r="P36" s="27">
        <f>ROUND(R36*100/107,2)</f>
        <v>0</v>
      </c>
      <c r="Q36" s="27">
        <f>P36*0.07</f>
        <v>0</v>
      </c>
      <c r="R36" s="32">
        <f>D36+J36-M36</f>
        <v>0</v>
      </c>
    </row>
    <row r="37" spans="1:18" ht="19.2" thickBot="1">
      <c r="A37" s="42"/>
      <c r="B37" s="191" t="s">
        <v>19</v>
      </c>
      <c r="C37" s="192"/>
      <c r="D37" s="43">
        <f>SUM(D34:D36)</f>
        <v>0</v>
      </c>
      <c r="E37" s="43"/>
      <c r="F37" s="43"/>
      <c r="G37" s="44"/>
      <c r="H37" s="44">
        <f>SUM(H34:H36)</f>
        <v>0</v>
      </c>
      <c r="I37" s="44">
        <f>SUM(I34:I36)</f>
        <v>0</v>
      </c>
      <c r="J37" s="44">
        <f>SUM(J34:J36)</f>
        <v>0</v>
      </c>
      <c r="K37" s="45"/>
      <c r="L37" s="46"/>
      <c r="M37" s="47">
        <f>SUM(M34:M36)</f>
        <v>0</v>
      </c>
      <c r="N37" s="48"/>
      <c r="O37" s="43"/>
      <c r="P37" s="49">
        <f>ROUND(R37*100/107,2)</f>
        <v>0</v>
      </c>
      <c r="Q37" s="49">
        <f>P37*0.07</f>
        <v>0</v>
      </c>
      <c r="R37" s="50">
        <f>SUM(R34:R36)</f>
        <v>0</v>
      </c>
    </row>
    <row r="38" spans="1:18" ht="19.2" thickTop="1">
      <c r="A38" s="42"/>
      <c r="B38" s="88" t="s">
        <v>27</v>
      </c>
      <c r="C38" s="52"/>
      <c r="D38" s="11"/>
      <c r="E38" s="12"/>
      <c r="F38" s="12"/>
      <c r="G38" s="13"/>
      <c r="H38" s="13"/>
      <c r="I38" s="13"/>
      <c r="J38" s="11"/>
      <c r="K38" s="16"/>
      <c r="L38" s="17"/>
      <c r="M38" s="18"/>
      <c r="N38" s="19"/>
      <c r="O38" s="13"/>
      <c r="P38" s="13"/>
      <c r="Q38" s="13"/>
      <c r="R38" s="89"/>
    </row>
    <row r="39" spans="1:18" ht="30.75" customHeight="1">
      <c r="A39" s="42">
        <v>1</v>
      </c>
      <c r="B39" s="195"/>
      <c r="C39" s="196"/>
      <c r="D39" s="23">
        <v>0</v>
      </c>
      <c r="E39" s="31"/>
      <c r="F39" s="31"/>
      <c r="G39" s="25"/>
      <c r="H39" s="90">
        <v>0</v>
      </c>
      <c r="I39" s="27">
        <f>H39*0.07</f>
        <v>0</v>
      </c>
      <c r="J39" s="23">
        <f>SUM(H39:I39)</f>
        <v>0</v>
      </c>
      <c r="K39" s="56"/>
      <c r="L39" s="91"/>
      <c r="M39" s="55">
        <v>0</v>
      </c>
      <c r="N39" s="31"/>
      <c r="O39" s="25"/>
      <c r="P39" s="27">
        <f>ROUND(R39*100/107,2)</f>
        <v>0</v>
      </c>
      <c r="Q39" s="27">
        <f>P39*0.07</f>
        <v>0</v>
      </c>
      <c r="R39" s="92">
        <f>D39+J39-M39</f>
        <v>0</v>
      </c>
    </row>
    <row r="40" spans="1:18" ht="30" customHeight="1">
      <c r="A40" s="8">
        <v>2</v>
      </c>
      <c r="B40" s="197" t="s">
        <v>21</v>
      </c>
      <c r="C40" s="198"/>
      <c r="D40" s="23">
        <v>0</v>
      </c>
      <c r="E40" s="31"/>
      <c r="F40" s="31"/>
      <c r="G40" s="25"/>
      <c r="H40" s="34">
        <v>0</v>
      </c>
      <c r="I40" s="27">
        <f>H40*0.07</f>
        <v>0</v>
      </c>
      <c r="J40" s="23">
        <f>SUM(H40:I40)</f>
        <v>0</v>
      </c>
      <c r="K40" s="56"/>
      <c r="L40" s="56"/>
      <c r="M40" s="55">
        <v>0</v>
      </c>
      <c r="N40" s="31"/>
      <c r="O40" s="25"/>
      <c r="P40" s="27">
        <f>ROUND(R40*100/107,2)</f>
        <v>0</v>
      </c>
      <c r="Q40" s="27">
        <f>P40*0.07</f>
        <v>0</v>
      </c>
      <c r="R40" s="32">
        <f>D40+J40-M40</f>
        <v>0</v>
      </c>
    </row>
    <row r="41" spans="1:18" ht="27" customHeight="1">
      <c r="A41" s="42">
        <v>3</v>
      </c>
      <c r="B41" s="203"/>
      <c r="C41" s="204"/>
      <c r="D41" s="23">
        <v>0</v>
      </c>
      <c r="E41" s="31"/>
      <c r="F41" s="31"/>
      <c r="G41" s="25"/>
      <c r="H41" s="90">
        <v>0</v>
      </c>
      <c r="I41" s="27">
        <f>H41*0.07</f>
        <v>0</v>
      </c>
      <c r="J41" s="23">
        <f>SUM(H41:I41)</f>
        <v>0</v>
      </c>
      <c r="K41" s="56"/>
      <c r="L41" s="56"/>
      <c r="M41" s="55">
        <v>0</v>
      </c>
      <c r="N41" s="31"/>
      <c r="O41" s="25"/>
      <c r="P41" s="27">
        <f>ROUND(R41*100/107,2)</f>
        <v>0</v>
      </c>
      <c r="Q41" s="27">
        <f>P41*0.07</f>
        <v>0</v>
      </c>
      <c r="R41" s="92">
        <f>D41+J41-M41</f>
        <v>0</v>
      </c>
    </row>
    <row r="42" spans="1:18" ht="19.2" thickBot="1">
      <c r="A42" s="93"/>
      <c r="B42" s="191" t="s">
        <v>19</v>
      </c>
      <c r="C42" s="192"/>
      <c r="D42" s="43">
        <f>SUM(D39:D41)</f>
        <v>0</v>
      </c>
      <c r="E42" s="43"/>
      <c r="F42" s="43"/>
      <c r="G42" s="43"/>
      <c r="H42" s="43">
        <f>SUM(H39:H41)</f>
        <v>0</v>
      </c>
      <c r="I42" s="43">
        <f>SUM(I39:I41)</f>
        <v>0</v>
      </c>
      <c r="J42" s="43">
        <f>SUM(J39:J41)</f>
        <v>0</v>
      </c>
      <c r="K42" s="45"/>
      <c r="L42" s="46"/>
      <c r="M42" s="47">
        <f>SUM(M39:M41)</f>
        <v>0</v>
      </c>
      <c r="N42" s="48"/>
      <c r="O42" s="43"/>
      <c r="P42" s="43">
        <f>SUM(P39:P41)</f>
        <v>0</v>
      </c>
      <c r="Q42" s="43">
        <f>SUM(Q39:Q41)</f>
        <v>0</v>
      </c>
      <c r="R42" s="43">
        <f>SUM(R39:R41)</f>
        <v>0</v>
      </c>
    </row>
    <row r="43" spans="1:18" ht="19.2" thickTop="1">
      <c r="A43" s="8"/>
      <c r="B43" s="51" t="s">
        <v>28</v>
      </c>
      <c r="C43" s="94"/>
      <c r="D43" s="11"/>
      <c r="E43" s="12"/>
      <c r="F43" s="12"/>
      <c r="G43" s="53"/>
      <c r="H43" s="14"/>
      <c r="I43" s="15"/>
      <c r="J43" s="11"/>
      <c r="K43" s="16"/>
      <c r="L43" s="17"/>
      <c r="M43" s="18"/>
      <c r="N43" s="19"/>
      <c r="O43" s="13"/>
      <c r="P43" s="13"/>
      <c r="Q43" s="13"/>
      <c r="R43" s="20"/>
    </row>
    <row r="44" spans="1:18" ht="18.600000000000001">
      <c r="A44" s="8">
        <v>1</v>
      </c>
      <c r="B44" s="62"/>
      <c r="C44" s="63"/>
      <c r="D44" s="23">
        <v>0</v>
      </c>
      <c r="E44" s="24"/>
      <c r="F44" s="24"/>
      <c r="G44" s="25"/>
      <c r="H44" s="26">
        <v>0</v>
      </c>
      <c r="I44" s="27">
        <f>H44*0.07</f>
        <v>0</v>
      </c>
      <c r="J44" s="23">
        <v>0</v>
      </c>
      <c r="K44" s="28"/>
      <c r="L44" s="29"/>
      <c r="M44" s="30">
        <v>0</v>
      </c>
      <c r="N44" s="31"/>
      <c r="O44" s="25"/>
      <c r="P44" s="27">
        <f>ROUND(R44*100/107,2)</f>
        <v>0</v>
      </c>
      <c r="Q44" s="27">
        <f>P44*0.07</f>
        <v>0</v>
      </c>
      <c r="R44" s="32">
        <f>D44+J44-M44</f>
        <v>0</v>
      </c>
    </row>
    <row r="45" spans="1:18" ht="18.600000000000001">
      <c r="A45" s="8">
        <f>+A44+1</f>
        <v>2</v>
      </c>
      <c r="B45" s="64" t="s">
        <v>21</v>
      </c>
      <c r="C45" s="63"/>
      <c r="D45" s="23">
        <v>0</v>
      </c>
      <c r="E45" s="24"/>
      <c r="F45" s="24"/>
      <c r="G45" s="25"/>
      <c r="H45" s="27">
        <v>0</v>
      </c>
      <c r="I45" s="27">
        <f>H45*0.07</f>
        <v>0</v>
      </c>
      <c r="J45" s="36">
        <v>0</v>
      </c>
      <c r="K45" s="28"/>
      <c r="L45" s="29"/>
      <c r="M45" s="30">
        <v>0</v>
      </c>
      <c r="N45" s="31"/>
      <c r="O45" s="25"/>
      <c r="P45" s="27">
        <f>ROUND(R45*100/107,2)</f>
        <v>0</v>
      </c>
      <c r="Q45" s="27">
        <f>P45*0.07</f>
        <v>0</v>
      </c>
      <c r="R45" s="32">
        <f>D45+J45-M45</f>
        <v>0</v>
      </c>
    </row>
    <row r="46" spans="1:18" ht="18.600000000000001">
      <c r="A46" s="8">
        <f>+A45+1</f>
        <v>3</v>
      </c>
      <c r="B46" s="65"/>
      <c r="C46" s="63"/>
      <c r="D46" s="23">
        <v>0</v>
      </c>
      <c r="E46" s="24"/>
      <c r="F46" s="38"/>
      <c r="G46" s="39"/>
      <c r="H46" s="40">
        <f>J46*100/107</f>
        <v>0</v>
      </c>
      <c r="I46" s="40">
        <f>H46*0.07</f>
        <v>0</v>
      </c>
      <c r="J46" s="41">
        <v>0</v>
      </c>
      <c r="K46" s="28"/>
      <c r="L46" s="29"/>
      <c r="M46" s="30">
        <v>0</v>
      </c>
      <c r="N46" s="31"/>
      <c r="O46" s="25"/>
      <c r="P46" s="27">
        <f>ROUND(R46*100/107,2)</f>
        <v>0</v>
      </c>
      <c r="Q46" s="27">
        <f>P46*0.07</f>
        <v>0</v>
      </c>
      <c r="R46" s="32">
        <f>D46+J46-M46</f>
        <v>0</v>
      </c>
    </row>
    <row r="47" spans="1:18" ht="19.2" thickBot="1">
      <c r="A47" s="42"/>
      <c r="B47" s="191" t="s">
        <v>19</v>
      </c>
      <c r="C47" s="192"/>
      <c r="D47" s="43">
        <f>SUM(D44:D46)</f>
        <v>0</v>
      </c>
      <c r="E47" s="43"/>
      <c r="F47" s="43"/>
      <c r="G47" s="44"/>
      <c r="H47" s="44">
        <f>SUM(H44:H46)</f>
        <v>0</v>
      </c>
      <c r="I47" s="44">
        <f>SUM(I44:I46)</f>
        <v>0</v>
      </c>
      <c r="J47" s="44">
        <f>SUM(J44:J46)</f>
        <v>0</v>
      </c>
      <c r="K47" s="45"/>
      <c r="L47" s="46"/>
      <c r="M47" s="47">
        <f>SUM(M44:M46)</f>
        <v>0</v>
      </c>
      <c r="N47" s="48"/>
      <c r="O47" s="43"/>
      <c r="P47" s="49">
        <f>ROUND(R47*100/107,2)</f>
        <v>0</v>
      </c>
      <c r="Q47" s="49">
        <f>P47*0.07</f>
        <v>0</v>
      </c>
      <c r="R47" s="50">
        <f>SUM(R44:R46)</f>
        <v>0</v>
      </c>
    </row>
    <row r="48" spans="1:18" ht="19.2" thickTop="1">
      <c r="A48" s="8"/>
      <c r="B48" s="67" t="s">
        <v>29</v>
      </c>
      <c r="C48" s="68"/>
      <c r="D48" s="69"/>
      <c r="E48" s="70"/>
      <c r="F48" s="70"/>
      <c r="G48" s="71"/>
      <c r="H48" s="72"/>
      <c r="I48" s="73"/>
      <c r="J48" s="69"/>
      <c r="K48" s="74"/>
      <c r="L48" s="75"/>
      <c r="M48" s="76"/>
      <c r="N48" s="77"/>
      <c r="O48" s="78"/>
      <c r="P48" s="78"/>
      <c r="Q48" s="78"/>
      <c r="R48" s="79"/>
    </row>
    <row r="49" spans="1:18" ht="18.600000000000001">
      <c r="A49" s="8">
        <v>1</v>
      </c>
      <c r="B49" s="62"/>
      <c r="C49" s="63"/>
      <c r="D49" s="23">
        <v>0</v>
      </c>
      <c r="E49" s="24"/>
      <c r="F49" s="24"/>
      <c r="G49" s="25"/>
      <c r="H49" s="26">
        <v>0</v>
      </c>
      <c r="I49" s="27">
        <f>H49*0.07</f>
        <v>0</v>
      </c>
      <c r="J49" s="23">
        <v>0</v>
      </c>
      <c r="K49" s="28"/>
      <c r="L49" s="29"/>
      <c r="M49" s="30">
        <v>0</v>
      </c>
      <c r="N49" s="31"/>
      <c r="O49" s="25"/>
      <c r="P49" s="27">
        <f>ROUND(R49*100/107,2)</f>
        <v>0</v>
      </c>
      <c r="Q49" s="27">
        <f>P49*0.07</f>
        <v>0</v>
      </c>
      <c r="R49" s="32">
        <f>D49+J49-M49</f>
        <v>0</v>
      </c>
    </row>
    <row r="50" spans="1:18" ht="18.600000000000001">
      <c r="A50" s="8">
        <f>+A49+1</f>
        <v>2</v>
      </c>
      <c r="B50" s="64" t="s">
        <v>21</v>
      </c>
      <c r="C50" s="63"/>
      <c r="D50" s="23">
        <v>0</v>
      </c>
      <c r="E50" s="24"/>
      <c r="F50" s="24"/>
      <c r="G50" s="25"/>
      <c r="H50" s="27">
        <v>0</v>
      </c>
      <c r="I50" s="27">
        <f>H50*0.07</f>
        <v>0</v>
      </c>
      <c r="J50" s="36">
        <v>0</v>
      </c>
      <c r="K50" s="28"/>
      <c r="L50" s="29"/>
      <c r="M50" s="30">
        <v>0</v>
      </c>
      <c r="N50" s="31"/>
      <c r="O50" s="25"/>
      <c r="P50" s="27">
        <f>ROUND(R50*100/107,2)</f>
        <v>0</v>
      </c>
      <c r="Q50" s="27">
        <f>P50*0.07</f>
        <v>0</v>
      </c>
      <c r="R50" s="32">
        <f>D50+J50-M50</f>
        <v>0</v>
      </c>
    </row>
    <row r="51" spans="1:18" ht="18.600000000000001">
      <c r="A51" s="8">
        <f>+A50+1</f>
        <v>3</v>
      </c>
      <c r="B51" s="65"/>
      <c r="C51" s="63"/>
      <c r="D51" s="23">
        <v>0</v>
      </c>
      <c r="E51" s="24"/>
      <c r="F51" s="38"/>
      <c r="G51" s="39"/>
      <c r="H51" s="40">
        <f>J51*100/107</f>
        <v>0</v>
      </c>
      <c r="I51" s="40">
        <f>H51*0.07</f>
        <v>0</v>
      </c>
      <c r="J51" s="41">
        <v>0</v>
      </c>
      <c r="K51" s="28"/>
      <c r="L51" s="29"/>
      <c r="M51" s="30">
        <v>0</v>
      </c>
      <c r="N51" s="31"/>
      <c r="O51" s="25"/>
      <c r="P51" s="27">
        <f>ROUND(R51*100/107,2)</f>
        <v>0</v>
      </c>
      <c r="Q51" s="27">
        <f>P51*0.07</f>
        <v>0</v>
      </c>
      <c r="R51" s="32">
        <f>D51+J51-M51</f>
        <v>0</v>
      </c>
    </row>
    <row r="52" spans="1:18" ht="19.2" thickBot="1">
      <c r="A52" s="42"/>
      <c r="B52" s="191" t="s">
        <v>19</v>
      </c>
      <c r="C52" s="192"/>
      <c r="D52" s="43">
        <f>SUM(D49:D51)</f>
        <v>0</v>
      </c>
      <c r="E52" s="43"/>
      <c r="F52" s="43"/>
      <c r="G52" s="44"/>
      <c r="H52" s="44">
        <f>SUM(H49:H51)</f>
        <v>0</v>
      </c>
      <c r="I52" s="44">
        <f>SUM(I49:I51)</f>
        <v>0</v>
      </c>
      <c r="J52" s="44">
        <f>SUM(J49:J51)</f>
        <v>0</v>
      </c>
      <c r="K52" s="45"/>
      <c r="L52" s="46"/>
      <c r="M52" s="47">
        <f>SUM(M49:M51)</f>
        <v>0</v>
      </c>
      <c r="N52" s="48"/>
      <c r="O52" s="43"/>
      <c r="P52" s="49">
        <f>ROUND(R52*100/107,2)</f>
        <v>0</v>
      </c>
      <c r="Q52" s="49">
        <f>P52*0.07</f>
        <v>0</v>
      </c>
      <c r="R52" s="50">
        <f>SUM(R49:R51)</f>
        <v>0</v>
      </c>
    </row>
    <row r="53" spans="1:18" ht="19.2" thickTop="1">
      <c r="A53" s="8"/>
      <c r="B53" s="51" t="s">
        <v>30</v>
      </c>
      <c r="C53" s="52"/>
      <c r="D53" s="11"/>
      <c r="E53" s="12"/>
      <c r="F53" s="12"/>
      <c r="G53" s="53"/>
      <c r="H53" s="14"/>
      <c r="I53" s="15"/>
      <c r="J53" s="11"/>
      <c r="K53" s="16"/>
      <c r="L53" s="17"/>
      <c r="M53" s="18"/>
      <c r="N53" s="19"/>
      <c r="O53" s="13"/>
      <c r="P53" s="13"/>
      <c r="Q53" s="13"/>
      <c r="R53" s="20"/>
    </row>
    <row r="54" spans="1:18" ht="18.600000000000001">
      <c r="A54" s="8">
        <v>1</v>
      </c>
      <c r="B54" s="62"/>
      <c r="C54" s="63"/>
      <c r="D54" s="23">
        <v>0</v>
      </c>
      <c r="E54" s="24"/>
      <c r="F54" s="24"/>
      <c r="G54" s="25"/>
      <c r="H54" s="26">
        <v>0</v>
      </c>
      <c r="I54" s="27">
        <f>H54*0.07</f>
        <v>0</v>
      </c>
      <c r="J54" s="23">
        <v>0</v>
      </c>
      <c r="K54" s="28"/>
      <c r="L54" s="29"/>
      <c r="M54" s="30">
        <v>0</v>
      </c>
      <c r="N54" s="31"/>
      <c r="O54" s="25"/>
      <c r="P54" s="27">
        <f>ROUND(R54*100/107,2)</f>
        <v>0</v>
      </c>
      <c r="Q54" s="27">
        <f>P54*0.07</f>
        <v>0</v>
      </c>
      <c r="R54" s="32">
        <f>D54+J54-M54</f>
        <v>0</v>
      </c>
    </row>
    <row r="55" spans="1:18" ht="18.600000000000001">
      <c r="A55" s="8">
        <f>+A54+1</f>
        <v>2</v>
      </c>
      <c r="B55" s="64" t="s">
        <v>21</v>
      </c>
      <c r="C55" s="63"/>
      <c r="D55" s="23">
        <v>0</v>
      </c>
      <c r="E55" s="24"/>
      <c r="F55" s="24"/>
      <c r="G55" s="25"/>
      <c r="H55" s="27">
        <v>0</v>
      </c>
      <c r="I55" s="27">
        <f>H55*0.07</f>
        <v>0</v>
      </c>
      <c r="J55" s="36">
        <v>0</v>
      </c>
      <c r="K55" s="28"/>
      <c r="L55" s="29"/>
      <c r="M55" s="30">
        <v>0</v>
      </c>
      <c r="N55" s="31"/>
      <c r="O55" s="25"/>
      <c r="P55" s="27">
        <f>ROUND(R55*100/107,2)</f>
        <v>0</v>
      </c>
      <c r="Q55" s="27">
        <f>P55*0.07</f>
        <v>0</v>
      </c>
      <c r="R55" s="32">
        <f>D55+J55-M55</f>
        <v>0</v>
      </c>
    </row>
    <row r="56" spans="1:18" ht="18.600000000000001">
      <c r="A56" s="8">
        <f>+A55+1</f>
        <v>3</v>
      </c>
      <c r="B56" s="65"/>
      <c r="C56" s="63"/>
      <c r="D56" s="23">
        <v>0</v>
      </c>
      <c r="E56" s="24"/>
      <c r="F56" s="38"/>
      <c r="G56" s="39"/>
      <c r="H56" s="40">
        <f>J56*100/107</f>
        <v>0</v>
      </c>
      <c r="I56" s="40">
        <f>H56*0.07</f>
        <v>0</v>
      </c>
      <c r="J56" s="41">
        <v>0</v>
      </c>
      <c r="K56" s="28"/>
      <c r="L56" s="29"/>
      <c r="M56" s="30">
        <v>0</v>
      </c>
      <c r="N56" s="31"/>
      <c r="O56" s="25"/>
      <c r="P56" s="27">
        <f>ROUND(R56*100/107,2)</f>
        <v>0</v>
      </c>
      <c r="Q56" s="27">
        <f>P56*0.07</f>
        <v>0</v>
      </c>
      <c r="R56" s="32">
        <f>D56+J56-M56</f>
        <v>0</v>
      </c>
    </row>
    <row r="57" spans="1:18" ht="19.2" thickBot="1">
      <c r="A57" s="42"/>
      <c r="B57" s="191" t="s">
        <v>19</v>
      </c>
      <c r="C57" s="192"/>
      <c r="D57" s="43">
        <f>SUM(D54:D56)</f>
        <v>0</v>
      </c>
      <c r="E57" s="43"/>
      <c r="F57" s="43"/>
      <c r="G57" s="44"/>
      <c r="H57" s="44">
        <f>SUM(H54:H56)</f>
        <v>0</v>
      </c>
      <c r="I57" s="44">
        <f>SUM(I54:I56)</f>
        <v>0</v>
      </c>
      <c r="J57" s="44">
        <f>SUM(J54:J56)</f>
        <v>0</v>
      </c>
      <c r="K57" s="45"/>
      <c r="L57" s="46"/>
      <c r="M57" s="47">
        <f>SUM(M54:M56)</f>
        <v>0</v>
      </c>
      <c r="N57" s="48"/>
      <c r="O57" s="43"/>
      <c r="P57" s="49">
        <f>ROUND(R57*100/107,2)</f>
        <v>0</v>
      </c>
      <c r="Q57" s="49">
        <f>P57*0.07</f>
        <v>0</v>
      </c>
      <c r="R57" s="50">
        <f>SUM(R54:R56)</f>
        <v>0</v>
      </c>
    </row>
    <row r="58" spans="1:18" ht="19.2" thickTop="1">
      <c r="A58" s="8"/>
      <c r="B58" s="95" t="s">
        <v>31</v>
      </c>
      <c r="C58" s="68"/>
      <c r="D58" s="69"/>
      <c r="E58" s="70"/>
      <c r="F58" s="70"/>
      <c r="G58" s="78"/>
      <c r="H58" s="78"/>
      <c r="I58" s="78"/>
      <c r="J58" s="69"/>
      <c r="K58" s="74"/>
      <c r="L58" s="75"/>
      <c r="M58" s="76"/>
      <c r="N58" s="77"/>
      <c r="O58" s="78"/>
      <c r="P58" s="78"/>
      <c r="Q58" s="78"/>
      <c r="R58" s="96"/>
    </row>
    <row r="59" spans="1:18" ht="18.600000000000001">
      <c r="A59" s="42">
        <v>1</v>
      </c>
      <c r="B59" s="97" t="s">
        <v>32</v>
      </c>
      <c r="C59" s="98" t="s">
        <v>33</v>
      </c>
      <c r="D59" s="98">
        <v>0</v>
      </c>
      <c r="E59" s="24" t="s">
        <v>34</v>
      </c>
      <c r="F59" s="24"/>
      <c r="G59" s="25"/>
      <c r="H59" s="27">
        <v>322273.98</v>
      </c>
      <c r="I59" s="81">
        <v>0</v>
      </c>
      <c r="J59" s="23">
        <f>SUM(H59:I59)</f>
        <v>322273.98</v>
      </c>
      <c r="K59" s="28"/>
      <c r="L59" s="29"/>
      <c r="M59" s="55">
        <v>0</v>
      </c>
      <c r="N59" s="24" t="s">
        <v>34</v>
      </c>
      <c r="O59" s="25"/>
      <c r="P59" s="27">
        <f>+D59+H59-M59</f>
        <v>322273.98</v>
      </c>
      <c r="Q59" s="27">
        <v>0</v>
      </c>
      <c r="R59" s="99">
        <f>D59+J59-M59</f>
        <v>322273.98</v>
      </c>
    </row>
    <row r="60" spans="1:18" ht="18.600000000000001">
      <c r="A60" s="42"/>
      <c r="B60" s="100" t="s">
        <v>35</v>
      </c>
      <c r="C60" s="98" t="s">
        <v>36</v>
      </c>
      <c r="D60" s="98"/>
      <c r="E60" s="24"/>
      <c r="F60" s="24"/>
      <c r="G60" s="25"/>
      <c r="H60" s="25"/>
      <c r="I60" s="25"/>
      <c r="J60" s="23"/>
      <c r="K60" s="28"/>
      <c r="L60" s="29"/>
      <c r="M60" s="55"/>
      <c r="N60" s="31"/>
      <c r="O60" s="25"/>
      <c r="P60" s="27"/>
      <c r="Q60" s="27"/>
      <c r="R60" s="99"/>
    </row>
    <row r="61" spans="1:18" ht="18.600000000000001">
      <c r="A61" s="42"/>
      <c r="B61" s="100" t="s">
        <v>37</v>
      </c>
      <c r="C61" s="101"/>
      <c r="D61" s="23"/>
      <c r="E61" s="24"/>
      <c r="F61" s="24"/>
      <c r="G61" s="25"/>
      <c r="H61" s="25"/>
      <c r="I61" s="25"/>
      <c r="J61" s="23"/>
      <c r="K61" s="28"/>
      <c r="L61" s="29"/>
      <c r="M61" s="55"/>
      <c r="N61" s="31"/>
      <c r="O61" s="25"/>
      <c r="P61" s="27"/>
      <c r="Q61" s="27"/>
      <c r="R61" s="99"/>
    </row>
    <row r="62" spans="1:18" ht="18.600000000000001">
      <c r="A62" s="42"/>
      <c r="B62" s="100" t="s">
        <v>38</v>
      </c>
      <c r="C62" s="101"/>
      <c r="D62" s="23"/>
      <c r="E62" s="24"/>
      <c r="F62" s="24"/>
      <c r="G62" s="25"/>
      <c r="H62" s="25"/>
      <c r="I62" s="25"/>
      <c r="J62" s="23"/>
      <c r="K62" s="28"/>
      <c r="L62" s="29"/>
      <c r="M62" s="55"/>
      <c r="N62" s="31"/>
      <c r="O62" s="25"/>
      <c r="P62" s="27"/>
      <c r="Q62" s="27"/>
      <c r="R62" s="99"/>
    </row>
    <row r="63" spans="1:18" ht="18.600000000000001">
      <c r="A63" s="8">
        <f>+A59+1</f>
        <v>2</v>
      </c>
      <c r="B63" s="102" t="s">
        <v>32</v>
      </c>
      <c r="C63" s="98" t="s">
        <v>39</v>
      </c>
      <c r="D63" s="98">
        <v>0</v>
      </c>
      <c r="E63" s="62" t="s">
        <v>40</v>
      </c>
      <c r="F63" s="62">
        <v>16</v>
      </c>
      <c r="G63" s="25"/>
      <c r="H63" s="27">
        <v>5208581.93</v>
      </c>
      <c r="I63" s="26">
        <v>0</v>
      </c>
      <c r="J63" s="23">
        <f>SUM(H63:I63)</f>
        <v>5208581.93</v>
      </c>
      <c r="K63" s="28"/>
      <c r="L63" s="29"/>
      <c r="M63" s="55">
        <v>0</v>
      </c>
      <c r="N63" s="62" t="s">
        <v>40</v>
      </c>
      <c r="O63" s="25">
        <v>16</v>
      </c>
      <c r="P63" s="27">
        <f>+D63+H63-M63</f>
        <v>5208581.93</v>
      </c>
      <c r="Q63" s="27">
        <v>0</v>
      </c>
      <c r="R63" s="99">
        <f>D63+J63-M63</f>
        <v>5208581.93</v>
      </c>
    </row>
    <row r="64" spans="1:18" ht="18.600000000000001">
      <c r="A64" s="8"/>
      <c r="B64" s="100" t="s">
        <v>41</v>
      </c>
      <c r="C64" s="101"/>
      <c r="D64" s="23"/>
      <c r="E64" s="62" t="s">
        <v>42</v>
      </c>
      <c r="F64" s="62"/>
      <c r="G64" s="25"/>
      <c r="H64" s="25"/>
      <c r="I64" s="25"/>
      <c r="J64" s="23"/>
      <c r="K64" s="28"/>
      <c r="L64" s="29"/>
      <c r="M64" s="55"/>
      <c r="N64" s="62" t="s">
        <v>42</v>
      </c>
      <c r="O64" s="25"/>
      <c r="P64" s="27"/>
      <c r="Q64" s="25"/>
      <c r="R64" s="92"/>
    </row>
    <row r="65" spans="1:18" ht="18.600000000000001">
      <c r="A65" s="8"/>
      <c r="B65" s="103" t="s">
        <v>43</v>
      </c>
      <c r="C65" s="104"/>
      <c r="D65" s="23"/>
      <c r="E65" s="24"/>
      <c r="F65" s="24"/>
      <c r="G65" s="25"/>
      <c r="H65" s="25"/>
      <c r="I65" s="25"/>
      <c r="J65" s="23"/>
      <c r="K65" s="28"/>
      <c r="L65" s="29"/>
      <c r="M65" s="55"/>
      <c r="N65" s="31"/>
      <c r="O65" s="25"/>
      <c r="P65" s="27"/>
      <c r="Q65" s="25"/>
      <c r="R65" s="92"/>
    </row>
    <row r="66" spans="1:18" ht="18.600000000000001">
      <c r="A66" s="8"/>
      <c r="B66" s="103" t="s">
        <v>44</v>
      </c>
      <c r="C66" s="104"/>
      <c r="D66" s="23"/>
      <c r="E66" s="24"/>
      <c r="F66" s="24"/>
      <c r="G66" s="25"/>
      <c r="H66" s="25"/>
      <c r="I66" s="25"/>
      <c r="J66" s="23"/>
      <c r="K66" s="28"/>
      <c r="L66" s="29"/>
      <c r="M66" s="55"/>
      <c r="N66" s="31"/>
      <c r="O66" s="25"/>
      <c r="P66" s="27"/>
      <c r="Q66" s="25"/>
      <c r="R66" s="92"/>
    </row>
    <row r="67" spans="1:18" ht="18.600000000000001">
      <c r="A67" s="8"/>
      <c r="B67" s="199" t="s">
        <v>19</v>
      </c>
      <c r="C67" s="200"/>
      <c r="D67" s="23"/>
      <c r="E67" s="24"/>
      <c r="F67" s="24"/>
      <c r="G67" s="25"/>
      <c r="H67" s="25"/>
      <c r="I67" s="25"/>
      <c r="J67" s="23"/>
      <c r="K67" s="28"/>
      <c r="L67" s="29"/>
      <c r="M67" s="55"/>
      <c r="N67" s="31"/>
      <c r="O67" s="25"/>
      <c r="P67" s="27"/>
      <c r="Q67" s="25"/>
      <c r="R67" s="92"/>
    </row>
    <row r="68" spans="1:18" ht="21.6" thickBot="1">
      <c r="A68" s="105"/>
      <c r="B68" s="201"/>
      <c r="C68" s="202"/>
      <c r="D68" s="106">
        <f>SUM(D59:D67)</f>
        <v>0</v>
      </c>
      <c r="E68" s="106"/>
      <c r="F68" s="106"/>
      <c r="G68" s="106"/>
      <c r="H68" s="106">
        <f t="shared" ref="H68:M68" si="0">SUM(H59:H67)</f>
        <v>5530855.9100000001</v>
      </c>
      <c r="I68" s="106">
        <f t="shared" si="0"/>
        <v>0</v>
      </c>
      <c r="J68" s="106">
        <f t="shared" si="0"/>
        <v>5530855.9100000001</v>
      </c>
      <c r="K68" s="107"/>
      <c r="L68" s="107"/>
      <c r="M68" s="107">
        <f t="shared" si="0"/>
        <v>0</v>
      </c>
      <c r="N68" s="108"/>
      <c r="O68" s="106"/>
      <c r="P68" s="106">
        <f>SUM(P59:P67)</f>
        <v>5530855.9100000001</v>
      </c>
      <c r="Q68" s="106">
        <f>SUM(Q59:Q67)</f>
        <v>0</v>
      </c>
      <c r="R68" s="106">
        <f>SUM(R59:R67)</f>
        <v>5530855.9100000001</v>
      </c>
    </row>
    <row r="69" spans="1:18" ht="19.2" thickTop="1">
      <c r="A69" s="8"/>
      <c r="B69" s="51" t="s">
        <v>45</v>
      </c>
      <c r="C69" s="52"/>
      <c r="D69" s="11"/>
      <c r="E69" s="12"/>
      <c r="F69" s="12"/>
      <c r="G69" s="53"/>
      <c r="H69" s="14"/>
      <c r="I69" s="15"/>
      <c r="J69" s="11"/>
      <c r="K69" s="16"/>
      <c r="L69" s="17"/>
      <c r="M69" s="18"/>
      <c r="N69" s="19"/>
      <c r="O69" s="13"/>
      <c r="P69" s="13"/>
      <c r="Q69" s="13"/>
      <c r="R69" s="20"/>
    </row>
    <row r="70" spans="1:18" ht="18.600000000000001">
      <c r="A70" s="8">
        <v>1</v>
      </c>
      <c r="B70" s="62"/>
      <c r="C70" s="63"/>
      <c r="D70" s="23">
        <v>0</v>
      </c>
      <c r="E70" s="24"/>
      <c r="F70" s="24"/>
      <c r="G70" s="25"/>
      <c r="H70" s="26">
        <v>0</v>
      </c>
      <c r="I70" s="27">
        <f>H70*0.07</f>
        <v>0</v>
      </c>
      <c r="J70" s="23">
        <v>0</v>
      </c>
      <c r="K70" s="28"/>
      <c r="L70" s="29"/>
      <c r="M70" s="30">
        <v>0</v>
      </c>
      <c r="N70" s="31"/>
      <c r="O70" s="25"/>
      <c r="P70" s="27">
        <f>ROUND(R70*100/107,2)</f>
        <v>0</v>
      </c>
      <c r="Q70" s="27">
        <f>P70*0.07</f>
        <v>0</v>
      </c>
      <c r="R70" s="32">
        <f>D70+J70-M70</f>
        <v>0</v>
      </c>
    </row>
    <row r="71" spans="1:18" ht="18.600000000000001">
      <c r="A71" s="8">
        <f>+A70+1</f>
        <v>2</v>
      </c>
      <c r="B71" s="64" t="s">
        <v>21</v>
      </c>
      <c r="C71" s="63"/>
      <c r="D71" s="23">
        <v>0</v>
      </c>
      <c r="E71" s="24"/>
      <c r="F71" s="24"/>
      <c r="G71" s="25"/>
      <c r="H71" s="34">
        <v>0</v>
      </c>
      <c r="I71" s="35">
        <f>H71*0.07</f>
        <v>0</v>
      </c>
      <c r="J71" s="36">
        <v>0</v>
      </c>
      <c r="K71" s="28"/>
      <c r="L71" s="29"/>
      <c r="M71" s="30">
        <v>0</v>
      </c>
      <c r="N71" s="31"/>
      <c r="O71" s="25"/>
      <c r="P71" s="27">
        <f>ROUND(R71*100/107,2)</f>
        <v>0</v>
      </c>
      <c r="Q71" s="27">
        <f>P71*0.07</f>
        <v>0</v>
      </c>
      <c r="R71" s="32">
        <f>D71+J71-M71</f>
        <v>0</v>
      </c>
    </row>
    <row r="72" spans="1:18" ht="18.600000000000001">
      <c r="A72" s="8">
        <f>+A71+1</f>
        <v>3</v>
      </c>
      <c r="B72" s="65"/>
      <c r="C72" s="63"/>
      <c r="D72" s="23">
        <v>0</v>
      </c>
      <c r="E72" s="24"/>
      <c r="F72" s="38"/>
      <c r="G72" s="39"/>
      <c r="H72" s="40">
        <f>J72*100/107</f>
        <v>0</v>
      </c>
      <c r="I72" s="40">
        <f>H72*0.07</f>
        <v>0</v>
      </c>
      <c r="J72" s="41">
        <v>0</v>
      </c>
      <c r="K72" s="28"/>
      <c r="L72" s="29"/>
      <c r="M72" s="30">
        <v>0</v>
      </c>
      <c r="N72" s="31"/>
      <c r="O72" s="25"/>
      <c r="P72" s="27">
        <f>ROUND(R72*100/107,2)</f>
        <v>0</v>
      </c>
      <c r="Q72" s="27">
        <f>P72*0.07</f>
        <v>0</v>
      </c>
      <c r="R72" s="32">
        <f>D72+J72-M72</f>
        <v>0</v>
      </c>
    </row>
    <row r="73" spans="1:18" ht="19.2" thickBot="1">
      <c r="A73" s="42"/>
      <c r="B73" s="191" t="s">
        <v>19</v>
      </c>
      <c r="C73" s="192"/>
      <c r="D73" s="43">
        <f>SUM(D70:D72)</f>
        <v>0</v>
      </c>
      <c r="E73" s="43"/>
      <c r="F73" s="43"/>
      <c r="G73" s="44"/>
      <c r="H73" s="44">
        <f>SUM(H70:H72)</f>
        <v>0</v>
      </c>
      <c r="I73" s="44">
        <f>SUM(I70:I72)</f>
        <v>0</v>
      </c>
      <c r="J73" s="44">
        <f>SUM(J70:J72)</f>
        <v>0</v>
      </c>
      <c r="K73" s="45"/>
      <c r="L73" s="46"/>
      <c r="M73" s="47">
        <f>SUM(M70:M72)</f>
        <v>0</v>
      </c>
      <c r="N73" s="48"/>
      <c r="O73" s="43"/>
      <c r="P73" s="49">
        <f>ROUND(R73*100/107,2)</f>
        <v>0</v>
      </c>
      <c r="Q73" s="49">
        <f>P73*0.07</f>
        <v>0</v>
      </c>
      <c r="R73" s="50">
        <f>SUM(R70:R72)</f>
        <v>0</v>
      </c>
    </row>
    <row r="74" spans="1:18" ht="19.2" thickTop="1">
      <c r="A74" s="42"/>
      <c r="B74" s="109" t="s">
        <v>46</v>
      </c>
      <c r="C74" s="110"/>
      <c r="D74" s="69"/>
      <c r="E74" s="70"/>
      <c r="F74" s="70"/>
      <c r="G74" s="78"/>
      <c r="H74" s="85">
        <f>J74*100/107</f>
        <v>0</v>
      </c>
      <c r="I74" s="85">
        <f>H74*0.07</f>
        <v>0</v>
      </c>
      <c r="J74" s="111"/>
      <c r="K74" s="74"/>
      <c r="L74" s="75"/>
      <c r="M74" s="76"/>
      <c r="N74" s="77"/>
      <c r="O74" s="78"/>
      <c r="P74" s="78"/>
      <c r="Q74" s="78"/>
      <c r="R74" s="79"/>
    </row>
    <row r="75" spans="1:18" ht="18.600000000000001">
      <c r="A75" s="42">
        <v>1</v>
      </c>
      <c r="B75" s="97"/>
      <c r="C75" s="112"/>
      <c r="D75" s="23">
        <v>0</v>
      </c>
      <c r="E75" s="24"/>
      <c r="F75" s="24"/>
      <c r="G75" s="25"/>
      <c r="H75" s="26">
        <v>0</v>
      </c>
      <c r="I75" s="27">
        <f>H75*0.07</f>
        <v>0</v>
      </c>
      <c r="J75" s="23">
        <v>0</v>
      </c>
      <c r="K75" s="28"/>
      <c r="L75" s="29"/>
      <c r="M75" s="55">
        <v>0</v>
      </c>
      <c r="N75" s="54"/>
      <c r="O75" s="25"/>
      <c r="P75" s="27">
        <f>ROUND(R75*100/107,2)</f>
        <v>0</v>
      </c>
      <c r="Q75" s="27">
        <f>P75*0.07</f>
        <v>0</v>
      </c>
      <c r="R75" s="32">
        <f>D75+J75-M75</f>
        <v>0</v>
      </c>
    </row>
    <row r="76" spans="1:18" ht="18.600000000000001">
      <c r="A76" s="42">
        <f>+A75+1</f>
        <v>2</v>
      </c>
      <c r="B76" s="113" t="s">
        <v>21</v>
      </c>
      <c r="C76" s="112"/>
      <c r="D76" s="23">
        <v>0</v>
      </c>
      <c r="E76" s="24"/>
      <c r="F76" s="24"/>
      <c r="G76" s="25"/>
      <c r="H76" s="26">
        <v>0</v>
      </c>
      <c r="I76" s="27">
        <f>H76*0.07</f>
        <v>0</v>
      </c>
      <c r="J76" s="23">
        <v>0</v>
      </c>
      <c r="K76" s="28"/>
      <c r="L76" s="29"/>
      <c r="M76" s="55">
        <v>0</v>
      </c>
      <c r="N76" s="31"/>
      <c r="O76" s="25"/>
      <c r="P76" s="27">
        <v>0</v>
      </c>
      <c r="Q76" s="27">
        <f>P76*0.07</f>
        <v>0</v>
      </c>
      <c r="R76" s="32">
        <f>D76+J76-M76</f>
        <v>0</v>
      </c>
    </row>
    <row r="77" spans="1:18" ht="18.600000000000001">
      <c r="A77" s="42">
        <f>+A76+1</f>
        <v>3</v>
      </c>
      <c r="B77" s="62"/>
      <c r="C77" s="112"/>
      <c r="D77" s="23">
        <v>0</v>
      </c>
      <c r="E77" s="24"/>
      <c r="F77" s="24"/>
      <c r="G77" s="25"/>
      <c r="H77" s="26">
        <v>0</v>
      </c>
      <c r="I77" s="27">
        <f>H77*0.07</f>
        <v>0</v>
      </c>
      <c r="J77" s="23">
        <v>0</v>
      </c>
      <c r="K77" s="28"/>
      <c r="L77" s="29"/>
      <c r="M77" s="55">
        <v>0</v>
      </c>
      <c r="N77" s="31"/>
      <c r="O77" s="25"/>
      <c r="P77" s="27">
        <f>ROUND(R77*100/107,2)</f>
        <v>0</v>
      </c>
      <c r="Q77" s="27">
        <f>P77*0.07</f>
        <v>0</v>
      </c>
      <c r="R77" s="32">
        <f>D77+J77-M77</f>
        <v>0</v>
      </c>
    </row>
    <row r="78" spans="1:18" ht="19.2" thickBot="1">
      <c r="A78" s="42"/>
      <c r="B78" s="191" t="s">
        <v>19</v>
      </c>
      <c r="C78" s="192"/>
      <c r="D78" s="106">
        <f>SUM(D75:D77)</f>
        <v>0</v>
      </c>
      <c r="E78" s="106"/>
      <c r="F78" s="106"/>
      <c r="G78" s="106"/>
      <c r="H78" s="106">
        <f>SUM(H75:H77)</f>
        <v>0</v>
      </c>
      <c r="I78" s="106">
        <f>SUM(I75:I77)</f>
        <v>0</v>
      </c>
      <c r="J78" s="106">
        <f>SUM(J75:J77)</f>
        <v>0</v>
      </c>
      <c r="K78" s="114"/>
      <c r="L78" s="114"/>
      <c r="M78" s="107">
        <f>SUM(M75:M77)</f>
        <v>0</v>
      </c>
      <c r="N78" s="108"/>
      <c r="O78" s="106"/>
      <c r="P78" s="106">
        <f>SUM(P75:P77)</f>
        <v>0</v>
      </c>
      <c r="Q78" s="106">
        <f>SUM(Q75:Q77)</f>
        <v>0</v>
      </c>
      <c r="R78" s="106">
        <f>SUM(R75:R77)</f>
        <v>0</v>
      </c>
    </row>
    <row r="79" spans="1:18" ht="19.2" thickTop="1">
      <c r="A79" s="42"/>
      <c r="B79" s="115" t="s">
        <v>47</v>
      </c>
      <c r="C79" s="94"/>
      <c r="D79" s="111"/>
      <c r="E79" s="70"/>
      <c r="F79" s="70"/>
      <c r="G79" s="78"/>
      <c r="H79" s="116"/>
      <c r="I79" s="78"/>
      <c r="J79" s="69"/>
      <c r="K79" s="16"/>
      <c r="L79" s="17"/>
      <c r="M79" s="18"/>
      <c r="N79" s="77"/>
      <c r="O79" s="78"/>
      <c r="P79" s="78"/>
      <c r="Q79" s="78"/>
      <c r="R79" s="96"/>
    </row>
    <row r="80" spans="1:18" ht="18.600000000000001">
      <c r="A80" s="42">
        <v>1</v>
      </c>
      <c r="B80" s="195"/>
      <c r="C80" s="196"/>
      <c r="D80" s="23">
        <v>0</v>
      </c>
      <c r="E80" s="77"/>
      <c r="F80" s="77"/>
      <c r="G80" s="78"/>
      <c r="H80" s="34">
        <v>0</v>
      </c>
      <c r="I80" s="27">
        <f>H80*0.07</f>
        <v>0</v>
      </c>
      <c r="J80" s="23">
        <f>SUM(H80:I80)</f>
        <v>0</v>
      </c>
      <c r="K80" s="56"/>
      <c r="L80" s="56"/>
      <c r="M80" s="55">
        <v>0</v>
      </c>
      <c r="N80" s="77"/>
      <c r="O80" s="78"/>
      <c r="P80" s="27">
        <f>R80*100/107</f>
        <v>0</v>
      </c>
      <c r="Q80" s="27">
        <f>P80*0.07</f>
        <v>0</v>
      </c>
      <c r="R80" s="32">
        <f>D80+J80-M80</f>
        <v>0</v>
      </c>
    </row>
    <row r="81" spans="1:18" ht="18.600000000000001">
      <c r="A81" s="8">
        <v>2</v>
      </c>
      <c r="B81" s="197" t="s">
        <v>21</v>
      </c>
      <c r="C81" s="198"/>
      <c r="D81" s="23">
        <v>0</v>
      </c>
      <c r="E81" s="31"/>
      <c r="F81" s="31"/>
      <c r="G81" s="25"/>
      <c r="H81" s="34">
        <v>0</v>
      </c>
      <c r="I81" s="27">
        <f>H81*0.07</f>
        <v>0</v>
      </c>
      <c r="J81" s="23">
        <f>SUM(H81:I81)</f>
        <v>0</v>
      </c>
      <c r="K81" s="56"/>
      <c r="L81" s="117"/>
      <c r="M81" s="55">
        <v>0</v>
      </c>
      <c r="N81" s="31"/>
      <c r="O81" s="25"/>
      <c r="P81" s="27">
        <f>ROUND(R81*100/107,2)</f>
        <v>0</v>
      </c>
      <c r="Q81" s="27">
        <f>P81*0.07</f>
        <v>0</v>
      </c>
      <c r="R81" s="32">
        <f>D81+J81-M81</f>
        <v>0</v>
      </c>
    </row>
    <row r="82" spans="1:18" ht="18.600000000000001">
      <c r="A82" s="42">
        <v>3</v>
      </c>
      <c r="B82" s="195"/>
      <c r="C82" s="196"/>
      <c r="D82" s="118">
        <v>0</v>
      </c>
      <c r="E82" s="54"/>
      <c r="F82" s="54"/>
      <c r="G82" s="25"/>
      <c r="H82" s="81">
        <v>0</v>
      </c>
      <c r="I82" s="27">
        <f>H82*0.07</f>
        <v>0</v>
      </c>
      <c r="J82" s="23">
        <f>SUM(H82:I82)</f>
        <v>0</v>
      </c>
      <c r="K82" s="56"/>
      <c r="L82" s="91"/>
      <c r="M82" s="55">
        <v>0</v>
      </c>
      <c r="N82" s="54"/>
      <c r="O82" s="25"/>
      <c r="P82" s="27">
        <f>R82*100/107</f>
        <v>0</v>
      </c>
      <c r="Q82" s="27">
        <f>P82*0.07</f>
        <v>0</v>
      </c>
      <c r="R82" s="32">
        <f>D82+J82-M82</f>
        <v>0</v>
      </c>
    </row>
    <row r="83" spans="1:18" ht="19.2" thickBot="1">
      <c r="A83" s="42"/>
      <c r="B83" s="191" t="s">
        <v>19</v>
      </c>
      <c r="C83" s="192"/>
      <c r="D83" s="43">
        <f>SUM(D80:D82)</f>
        <v>0</v>
      </c>
      <c r="E83" s="43"/>
      <c r="F83" s="43"/>
      <c r="G83" s="43"/>
      <c r="H83" s="43">
        <f>SUM(H80:H82)</f>
        <v>0</v>
      </c>
      <c r="I83" s="43">
        <f>SUM(I80:I82)</f>
        <v>0</v>
      </c>
      <c r="J83" s="43">
        <f>SUM(J80:J82)</f>
        <v>0</v>
      </c>
      <c r="K83" s="119"/>
      <c r="L83" s="119"/>
      <c r="M83" s="47">
        <f>SUM(M80:M82)</f>
        <v>0</v>
      </c>
      <c r="N83" s="48"/>
      <c r="O83" s="43"/>
      <c r="P83" s="43">
        <f>SUM(P80:P82)</f>
        <v>0</v>
      </c>
      <c r="Q83" s="43">
        <f>SUM(Q80:Q82)</f>
        <v>0</v>
      </c>
      <c r="R83" s="43">
        <f>SUM(R80:R82)</f>
        <v>0</v>
      </c>
    </row>
    <row r="84" spans="1:18" ht="19.2" thickTop="1">
      <c r="A84" s="8"/>
      <c r="B84" s="51" t="s">
        <v>48</v>
      </c>
      <c r="C84" s="52"/>
      <c r="D84" s="11"/>
      <c r="E84" s="12"/>
      <c r="F84" s="12"/>
      <c r="G84" s="53"/>
      <c r="H84" s="14"/>
      <c r="I84" s="15"/>
      <c r="J84" s="11"/>
      <c r="K84" s="16"/>
      <c r="L84" s="17"/>
      <c r="M84" s="18"/>
      <c r="N84" s="19"/>
      <c r="O84" s="13"/>
      <c r="P84" s="13"/>
      <c r="Q84" s="13"/>
      <c r="R84" s="20"/>
    </row>
    <row r="85" spans="1:18" ht="18.600000000000001">
      <c r="A85" s="8">
        <v>1</v>
      </c>
      <c r="B85" s="62"/>
      <c r="C85" s="63"/>
      <c r="D85" s="23">
        <v>0</v>
      </c>
      <c r="E85" s="24"/>
      <c r="F85" s="24"/>
      <c r="G85" s="25"/>
      <c r="H85" s="26">
        <v>0</v>
      </c>
      <c r="I85" s="27">
        <f>H85*0.07</f>
        <v>0</v>
      </c>
      <c r="J85" s="23">
        <v>0</v>
      </c>
      <c r="K85" s="28"/>
      <c r="L85" s="29"/>
      <c r="M85" s="30">
        <v>0</v>
      </c>
      <c r="N85" s="31"/>
      <c r="O85" s="25"/>
      <c r="P85" s="27">
        <f>ROUND(R85*100/107,2)</f>
        <v>0</v>
      </c>
      <c r="Q85" s="27">
        <f>P85*0.07</f>
        <v>0</v>
      </c>
      <c r="R85" s="32">
        <f>D85+J85-M85</f>
        <v>0</v>
      </c>
    </row>
    <row r="86" spans="1:18" ht="18.600000000000001">
      <c r="A86" s="8">
        <f>+A85+1</f>
        <v>2</v>
      </c>
      <c r="B86" s="64" t="s">
        <v>21</v>
      </c>
      <c r="C86" s="63"/>
      <c r="D86" s="23">
        <v>0</v>
      </c>
      <c r="E86" s="24"/>
      <c r="F86" s="24"/>
      <c r="G86" s="25"/>
      <c r="H86" s="34">
        <v>0</v>
      </c>
      <c r="I86" s="35">
        <f>H86*0.07</f>
        <v>0</v>
      </c>
      <c r="J86" s="36">
        <v>0</v>
      </c>
      <c r="K86" s="28"/>
      <c r="L86" s="29"/>
      <c r="M86" s="30">
        <v>0</v>
      </c>
      <c r="N86" s="31"/>
      <c r="O86" s="25"/>
      <c r="P86" s="27">
        <f>ROUND(R86*100/107,2)</f>
        <v>0</v>
      </c>
      <c r="Q86" s="27">
        <f>P86*0.07</f>
        <v>0</v>
      </c>
      <c r="R86" s="32">
        <f>D86+J86-M86</f>
        <v>0</v>
      </c>
    </row>
    <row r="87" spans="1:18" ht="18.600000000000001">
      <c r="A87" s="8">
        <f>+A86+1</f>
        <v>3</v>
      </c>
      <c r="B87" s="65"/>
      <c r="C87" s="63"/>
      <c r="D87" s="23">
        <v>0</v>
      </c>
      <c r="E87" s="24"/>
      <c r="F87" s="38"/>
      <c r="G87" s="39"/>
      <c r="H87" s="40">
        <f>J87*100/107</f>
        <v>0</v>
      </c>
      <c r="I87" s="40">
        <f>H87*0.07</f>
        <v>0</v>
      </c>
      <c r="J87" s="41">
        <v>0</v>
      </c>
      <c r="K87" s="28"/>
      <c r="L87" s="29"/>
      <c r="M87" s="30">
        <v>0</v>
      </c>
      <c r="N87" s="31"/>
      <c r="O87" s="25"/>
      <c r="P87" s="27">
        <f>ROUND(R87*100/107,2)</f>
        <v>0</v>
      </c>
      <c r="Q87" s="27">
        <f>P87*0.07</f>
        <v>0</v>
      </c>
      <c r="R87" s="32">
        <f>D87+J87-M87</f>
        <v>0</v>
      </c>
    </row>
    <row r="88" spans="1:18" ht="19.2" thickBot="1">
      <c r="A88" s="42"/>
      <c r="B88" s="191" t="s">
        <v>19</v>
      </c>
      <c r="C88" s="192"/>
      <c r="D88" s="43">
        <f>SUM(D85:D87)</f>
        <v>0</v>
      </c>
      <c r="E88" s="43"/>
      <c r="F88" s="43"/>
      <c r="G88" s="44"/>
      <c r="H88" s="44">
        <f>SUM(H85:H87)</f>
        <v>0</v>
      </c>
      <c r="I88" s="44">
        <f>SUM(I85:I87)</f>
        <v>0</v>
      </c>
      <c r="J88" s="44">
        <f>SUM(J85:J87)</f>
        <v>0</v>
      </c>
      <c r="K88" s="45"/>
      <c r="L88" s="46"/>
      <c r="M88" s="47">
        <f>SUM(M85:M87)</f>
        <v>0</v>
      </c>
      <c r="N88" s="48"/>
      <c r="O88" s="43"/>
      <c r="P88" s="49">
        <f>ROUND(R88*100/107,2)</f>
        <v>0</v>
      </c>
      <c r="Q88" s="49">
        <f>P88*0.07</f>
        <v>0</v>
      </c>
      <c r="R88" s="50">
        <f>SUM(R85:R87)</f>
        <v>0</v>
      </c>
    </row>
    <row r="89" spans="1:18" ht="19.2" thickTop="1">
      <c r="A89" s="8"/>
      <c r="B89" s="67" t="s">
        <v>49</v>
      </c>
      <c r="C89" s="68"/>
      <c r="D89" s="69"/>
      <c r="E89" s="70"/>
      <c r="F89" s="70"/>
      <c r="G89" s="71"/>
      <c r="H89" s="72"/>
      <c r="I89" s="73"/>
      <c r="J89" s="69"/>
      <c r="K89" s="74"/>
      <c r="L89" s="75"/>
      <c r="M89" s="76"/>
      <c r="N89" s="77"/>
      <c r="O89" s="78"/>
      <c r="P89" s="78"/>
      <c r="Q89" s="78"/>
      <c r="R89" s="79"/>
    </row>
    <row r="90" spans="1:18" ht="18.600000000000001">
      <c r="A90" s="8">
        <v>1</v>
      </c>
      <c r="B90" s="62"/>
      <c r="C90" s="63"/>
      <c r="D90" s="23">
        <v>0</v>
      </c>
      <c r="E90" s="24"/>
      <c r="F90" s="24"/>
      <c r="G90" s="25"/>
      <c r="H90" s="81">
        <v>0</v>
      </c>
      <c r="I90" s="27">
        <f>H90*0.07</f>
        <v>0</v>
      </c>
      <c r="J90" s="23">
        <v>0</v>
      </c>
      <c r="K90" s="28"/>
      <c r="L90" s="29"/>
      <c r="M90" s="30">
        <v>0</v>
      </c>
      <c r="N90" s="31"/>
      <c r="O90" s="25"/>
      <c r="P90" s="27">
        <f>ROUND(R90*100/107,2)</f>
        <v>0</v>
      </c>
      <c r="Q90" s="27">
        <f>P90*0.07</f>
        <v>0</v>
      </c>
      <c r="R90" s="32">
        <f>D90+J90-M90</f>
        <v>0</v>
      </c>
    </row>
    <row r="91" spans="1:18" ht="18.600000000000001">
      <c r="A91" s="8">
        <f>+A90+1</f>
        <v>2</v>
      </c>
      <c r="B91" s="64" t="s">
        <v>21</v>
      </c>
      <c r="C91" s="63"/>
      <c r="D91" s="23">
        <v>0</v>
      </c>
      <c r="E91" s="24"/>
      <c r="F91" s="24"/>
      <c r="G91" s="25"/>
      <c r="H91" s="34">
        <v>0</v>
      </c>
      <c r="I91" s="35">
        <f>H91*0.07</f>
        <v>0</v>
      </c>
      <c r="J91" s="36">
        <v>0</v>
      </c>
      <c r="K91" s="28"/>
      <c r="L91" s="29"/>
      <c r="M91" s="30">
        <v>0</v>
      </c>
      <c r="N91" s="31"/>
      <c r="O91" s="25"/>
      <c r="P91" s="27">
        <f>ROUND(R91*100/107,2)</f>
        <v>0</v>
      </c>
      <c r="Q91" s="27">
        <f>P91*0.07</f>
        <v>0</v>
      </c>
      <c r="R91" s="32">
        <f>D91+J91-M91</f>
        <v>0</v>
      </c>
    </row>
    <row r="92" spans="1:18" ht="18.600000000000001">
      <c r="A92" s="8">
        <f>+A91+1</f>
        <v>3</v>
      </c>
      <c r="B92" s="65"/>
      <c r="C92" s="63"/>
      <c r="D92" s="23">
        <v>0</v>
      </c>
      <c r="E92" s="24"/>
      <c r="F92" s="38"/>
      <c r="G92" s="39"/>
      <c r="H92" s="40">
        <f>J92*100/107</f>
        <v>0</v>
      </c>
      <c r="I92" s="40">
        <f>H92*0.07</f>
        <v>0</v>
      </c>
      <c r="J92" s="41">
        <v>0</v>
      </c>
      <c r="K92" s="28"/>
      <c r="L92" s="29"/>
      <c r="M92" s="30">
        <v>0</v>
      </c>
      <c r="N92" s="31"/>
      <c r="O92" s="25"/>
      <c r="P92" s="27">
        <f>ROUND(R92*100/107,2)</f>
        <v>0</v>
      </c>
      <c r="Q92" s="27">
        <f>P92*0.07</f>
        <v>0</v>
      </c>
      <c r="R92" s="32">
        <f>D92+J92-M92</f>
        <v>0</v>
      </c>
    </row>
    <row r="93" spans="1:18" ht="19.2" thickBot="1">
      <c r="A93" s="42"/>
      <c r="B93" s="191" t="s">
        <v>19</v>
      </c>
      <c r="C93" s="192"/>
      <c r="D93" s="43">
        <f>SUM(D90:D92)</f>
        <v>0</v>
      </c>
      <c r="E93" s="43"/>
      <c r="F93" s="43"/>
      <c r="G93" s="44"/>
      <c r="H93" s="44">
        <f>SUM(H90:H92)</f>
        <v>0</v>
      </c>
      <c r="I93" s="44">
        <f>SUM(I90:I92)</f>
        <v>0</v>
      </c>
      <c r="J93" s="44">
        <f>SUM(J90:J92)</f>
        <v>0</v>
      </c>
      <c r="K93" s="45"/>
      <c r="L93" s="46"/>
      <c r="M93" s="47">
        <f>SUM(M90:M92)</f>
        <v>0</v>
      </c>
      <c r="N93" s="48"/>
      <c r="O93" s="43"/>
      <c r="P93" s="49">
        <f>ROUND(R93*100/107,2)</f>
        <v>0</v>
      </c>
      <c r="Q93" s="49">
        <f>P93*0.07</f>
        <v>0</v>
      </c>
      <c r="R93" s="50">
        <f>SUM(R90:R92)</f>
        <v>0</v>
      </c>
    </row>
    <row r="94" spans="1:18" ht="19.2" thickTop="1">
      <c r="A94" s="8"/>
      <c r="B94" s="67" t="s">
        <v>50</v>
      </c>
      <c r="C94" s="68"/>
      <c r="D94" s="69"/>
      <c r="E94" s="70"/>
      <c r="F94" s="70"/>
      <c r="G94" s="71"/>
      <c r="H94" s="72"/>
      <c r="I94" s="73"/>
      <c r="J94" s="69"/>
      <c r="K94" s="74"/>
      <c r="L94" s="75"/>
      <c r="M94" s="76"/>
      <c r="N94" s="77"/>
      <c r="O94" s="78"/>
      <c r="P94" s="78"/>
      <c r="Q94" s="78"/>
      <c r="R94" s="79"/>
    </row>
    <row r="95" spans="1:18" ht="18.600000000000001">
      <c r="A95" s="8">
        <v>1</v>
      </c>
      <c r="B95" s="62"/>
      <c r="C95" s="63"/>
      <c r="D95" s="23">
        <v>0</v>
      </c>
      <c r="E95" s="24"/>
      <c r="F95" s="24"/>
      <c r="G95" s="25"/>
      <c r="H95" s="81">
        <v>0</v>
      </c>
      <c r="I95" s="27">
        <f>H95*0.07</f>
        <v>0</v>
      </c>
      <c r="J95" s="23">
        <v>0</v>
      </c>
      <c r="K95" s="28"/>
      <c r="L95" s="29"/>
      <c r="M95" s="30">
        <v>0</v>
      </c>
      <c r="N95" s="31"/>
      <c r="O95" s="25"/>
      <c r="P95" s="27">
        <f>ROUND(R95*100/107,2)</f>
        <v>0</v>
      </c>
      <c r="Q95" s="27">
        <f>P95*0.07</f>
        <v>0</v>
      </c>
      <c r="R95" s="32">
        <f>D95+J95-M95</f>
        <v>0</v>
      </c>
    </row>
    <row r="96" spans="1:18" ht="18.600000000000001">
      <c r="A96" s="8">
        <f>+A95+1</f>
        <v>2</v>
      </c>
      <c r="B96" s="64" t="s">
        <v>21</v>
      </c>
      <c r="C96" s="63"/>
      <c r="D96" s="23">
        <v>0</v>
      </c>
      <c r="E96" s="24"/>
      <c r="F96" s="24"/>
      <c r="G96" s="25"/>
      <c r="H96" s="27">
        <v>0</v>
      </c>
      <c r="I96" s="27">
        <f>H96*0.07</f>
        <v>0</v>
      </c>
      <c r="J96" s="36">
        <v>0</v>
      </c>
      <c r="K96" s="28"/>
      <c r="L96" s="29"/>
      <c r="M96" s="30">
        <v>0</v>
      </c>
      <c r="N96" s="31"/>
      <c r="O96" s="25"/>
      <c r="P96" s="27">
        <f>ROUND(R96*100/107,2)</f>
        <v>0</v>
      </c>
      <c r="Q96" s="27">
        <f>P96*0.07</f>
        <v>0</v>
      </c>
      <c r="R96" s="32">
        <f>D96+J96-M96</f>
        <v>0</v>
      </c>
    </row>
    <row r="97" spans="1:18" ht="18.600000000000001">
      <c r="A97" s="8">
        <f>+A96+1</f>
        <v>3</v>
      </c>
      <c r="B97" s="65"/>
      <c r="C97" s="63"/>
      <c r="D97" s="23">
        <v>0</v>
      </c>
      <c r="E97" s="24"/>
      <c r="F97" s="38"/>
      <c r="G97" s="39"/>
      <c r="H97" s="40">
        <f>J97*100/107</f>
        <v>0</v>
      </c>
      <c r="I97" s="40">
        <f>H97*0.07</f>
        <v>0</v>
      </c>
      <c r="J97" s="41">
        <v>0</v>
      </c>
      <c r="K97" s="28"/>
      <c r="L97" s="29"/>
      <c r="M97" s="30">
        <v>0</v>
      </c>
      <c r="N97" s="31"/>
      <c r="O97" s="25"/>
      <c r="P97" s="27">
        <f>ROUND(R97*100/107,2)</f>
        <v>0</v>
      </c>
      <c r="Q97" s="27">
        <f>P97*0.07</f>
        <v>0</v>
      </c>
      <c r="R97" s="32">
        <f>D97+J97-M97</f>
        <v>0</v>
      </c>
    </row>
    <row r="98" spans="1:18" ht="19.2" thickBot="1">
      <c r="A98" s="42"/>
      <c r="B98" s="191" t="s">
        <v>19</v>
      </c>
      <c r="C98" s="192"/>
      <c r="D98" s="43">
        <f>SUM(D95:D97)</f>
        <v>0</v>
      </c>
      <c r="E98" s="43"/>
      <c r="F98" s="43"/>
      <c r="G98" s="44"/>
      <c r="H98" s="44">
        <f>SUM(H95:H97)</f>
        <v>0</v>
      </c>
      <c r="I98" s="44">
        <f>SUM(I95:I97)</f>
        <v>0</v>
      </c>
      <c r="J98" s="44">
        <f>SUM(J95:J97)</f>
        <v>0</v>
      </c>
      <c r="K98" s="45"/>
      <c r="L98" s="46"/>
      <c r="M98" s="47">
        <f>SUM(M95:M97)</f>
        <v>0</v>
      </c>
      <c r="N98" s="48"/>
      <c r="O98" s="43"/>
      <c r="P98" s="49">
        <f>ROUND(R98*100/107,2)</f>
        <v>0</v>
      </c>
      <c r="Q98" s="49">
        <f>P98*0.07</f>
        <v>0</v>
      </c>
      <c r="R98" s="50">
        <f>SUM(R95:R97)</f>
        <v>0</v>
      </c>
    </row>
    <row r="99" spans="1:18" ht="19.2" thickTop="1">
      <c r="A99" s="8"/>
      <c r="B99" s="67" t="s">
        <v>51</v>
      </c>
      <c r="C99" s="68"/>
      <c r="D99" s="69"/>
      <c r="E99" s="70"/>
      <c r="F99" s="70"/>
      <c r="G99" s="71"/>
      <c r="H99" s="72"/>
      <c r="I99" s="73"/>
      <c r="J99" s="69"/>
      <c r="K99" s="74"/>
      <c r="L99" s="75"/>
      <c r="M99" s="76"/>
      <c r="N99" s="77"/>
      <c r="O99" s="78"/>
      <c r="P99" s="78"/>
      <c r="Q99" s="78"/>
      <c r="R99" s="79"/>
    </row>
    <row r="100" spans="1:18" ht="18.600000000000001">
      <c r="A100" s="8">
        <v>1</v>
      </c>
      <c r="B100" s="62"/>
      <c r="C100" s="63"/>
      <c r="D100" s="23">
        <v>0</v>
      </c>
      <c r="E100" s="24"/>
      <c r="F100" s="24"/>
      <c r="G100" s="25"/>
      <c r="H100" s="26">
        <v>0</v>
      </c>
      <c r="I100" s="27">
        <f>H100*0.07</f>
        <v>0</v>
      </c>
      <c r="J100" s="23">
        <v>0</v>
      </c>
      <c r="K100" s="28"/>
      <c r="L100" s="29"/>
      <c r="M100" s="30">
        <v>0</v>
      </c>
      <c r="N100" s="31"/>
      <c r="O100" s="25"/>
      <c r="P100" s="27">
        <f>ROUND(R100*100/107,2)</f>
        <v>0</v>
      </c>
      <c r="Q100" s="27">
        <f>P100*0.07</f>
        <v>0</v>
      </c>
      <c r="R100" s="32">
        <f>D100+J100-M100</f>
        <v>0</v>
      </c>
    </row>
    <row r="101" spans="1:18" ht="18.600000000000001">
      <c r="A101" s="8">
        <f>+A100+1</f>
        <v>2</v>
      </c>
      <c r="B101" s="64" t="s">
        <v>21</v>
      </c>
      <c r="C101" s="63"/>
      <c r="D101" s="23">
        <v>0</v>
      </c>
      <c r="E101" s="24"/>
      <c r="F101" s="24"/>
      <c r="G101" s="25"/>
      <c r="H101" s="34">
        <v>0</v>
      </c>
      <c r="I101" s="35">
        <f>H101*0.07</f>
        <v>0</v>
      </c>
      <c r="J101" s="36">
        <v>0</v>
      </c>
      <c r="K101" s="28"/>
      <c r="L101" s="29"/>
      <c r="M101" s="30">
        <v>0</v>
      </c>
      <c r="N101" s="31"/>
      <c r="O101" s="25"/>
      <c r="P101" s="27">
        <f>ROUND(R101*100/107,2)</f>
        <v>0</v>
      </c>
      <c r="Q101" s="27">
        <f>P101*0.07</f>
        <v>0</v>
      </c>
      <c r="R101" s="32">
        <f>D101+J101-M101</f>
        <v>0</v>
      </c>
    </row>
    <row r="102" spans="1:18" ht="18.600000000000001">
      <c r="A102" s="8">
        <f>+A101+1</f>
        <v>3</v>
      </c>
      <c r="B102" s="65"/>
      <c r="C102" s="63"/>
      <c r="D102" s="23">
        <v>0</v>
      </c>
      <c r="E102" s="24"/>
      <c r="F102" s="38"/>
      <c r="G102" s="39"/>
      <c r="H102" s="40">
        <f>J102*100/107</f>
        <v>0</v>
      </c>
      <c r="I102" s="40">
        <f>H102*0.07</f>
        <v>0</v>
      </c>
      <c r="J102" s="41">
        <v>0</v>
      </c>
      <c r="K102" s="28"/>
      <c r="L102" s="29"/>
      <c r="M102" s="30">
        <v>0</v>
      </c>
      <c r="N102" s="31"/>
      <c r="O102" s="25"/>
      <c r="P102" s="27">
        <f>ROUND(R102*100/107,2)</f>
        <v>0</v>
      </c>
      <c r="Q102" s="27">
        <f>P102*0.07</f>
        <v>0</v>
      </c>
      <c r="R102" s="32">
        <f>D102+J102-M102</f>
        <v>0</v>
      </c>
    </row>
    <row r="103" spans="1:18" ht="19.2" thickBot="1">
      <c r="A103" s="42"/>
      <c r="B103" s="191" t="s">
        <v>19</v>
      </c>
      <c r="C103" s="192"/>
      <c r="D103" s="43">
        <f>SUM(D100:D102)</f>
        <v>0</v>
      </c>
      <c r="E103" s="43"/>
      <c r="F103" s="43"/>
      <c r="G103" s="44"/>
      <c r="H103" s="44">
        <f>SUM(H100:H102)</f>
        <v>0</v>
      </c>
      <c r="I103" s="44">
        <f>SUM(I100:I102)</f>
        <v>0</v>
      </c>
      <c r="J103" s="44">
        <f>SUM(J100:J102)</f>
        <v>0</v>
      </c>
      <c r="K103" s="45"/>
      <c r="L103" s="46"/>
      <c r="M103" s="47">
        <f>SUM(M100:M102)</f>
        <v>0</v>
      </c>
      <c r="N103" s="48"/>
      <c r="O103" s="43"/>
      <c r="P103" s="49">
        <f>ROUND(R103*100/107,2)</f>
        <v>0</v>
      </c>
      <c r="Q103" s="49">
        <f>P103*0.07</f>
        <v>0</v>
      </c>
      <c r="R103" s="50">
        <f>SUM(R100:R102)</f>
        <v>0</v>
      </c>
    </row>
    <row r="104" spans="1:18" ht="19.2" thickTop="1">
      <c r="A104" s="8"/>
      <c r="B104" s="67" t="s">
        <v>52</v>
      </c>
      <c r="C104" s="68"/>
      <c r="D104" s="69"/>
      <c r="E104" s="70"/>
      <c r="F104" s="70"/>
      <c r="G104" s="71"/>
      <c r="H104" s="72"/>
      <c r="I104" s="73"/>
      <c r="J104" s="69"/>
      <c r="K104" s="74"/>
      <c r="L104" s="75"/>
      <c r="M104" s="76"/>
      <c r="N104" s="77"/>
      <c r="O104" s="78"/>
      <c r="P104" s="78"/>
      <c r="Q104" s="78"/>
      <c r="R104" s="79"/>
    </row>
    <row r="105" spans="1:18" ht="18.600000000000001">
      <c r="A105" s="8">
        <v>1</v>
      </c>
      <c r="B105" s="62"/>
      <c r="C105" s="63"/>
      <c r="D105" s="23">
        <v>0</v>
      </c>
      <c r="E105" s="24"/>
      <c r="F105" s="24"/>
      <c r="G105" s="25"/>
      <c r="H105" s="26">
        <v>0</v>
      </c>
      <c r="I105" s="27">
        <f>H105*0.07</f>
        <v>0</v>
      </c>
      <c r="J105" s="23">
        <v>0</v>
      </c>
      <c r="K105" s="28"/>
      <c r="L105" s="29"/>
      <c r="M105" s="30">
        <v>0</v>
      </c>
      <c r="N105" s="31"/>
      <c r="O105" s="25"/>
      <c r="P105" s="27">
        <f>ROUND(R105*100/107,2)</f>
        <v>0</v>
      </c>
      <c r="Q105" s="27">
        <f>P105*0.07</f>
        <v>0</v>
      </c>
      <c r="R105" s="32">
        <f>D105+J105-M105</f>
        <v>0</v>
      </c>
    </row>
    <row r="106" spans="1:18" ht="18.600000000000001">
      <c r="A106" s="8">
        <f>+A105+1</f>
        <v>2</v>
      </c>
      <c r="B106" s="64" t="s">
        <v>21</v>
      </c>
      <c r="C106" s="63"/>
      <c r="D106" s="23">
        <v>0</v>
      </c>
      <c r="E106" s="24"/>
      <c r="F106" s="24"/>
      <c r="G106" s="25"/>
      <c r="H106" s="34">
        <v>0</v>
      </c>
      <c r="I106" s="35">
        <f>H106*0.07</f>
        <v>0</v>
      </c>
      <c r="J106" s="36">
        <v>0</v>
      </c>
      <c r="K106" s="28"/>
      <c r="L106" s="29"/>
      <c r="M106" s="30">
        <v>0</v>
      </c>
      <c r="N106" s="31"/>
      <c r="O106" s="25"/>
      <c r="P106" s="27">
        <f>ROUND(R106*100/107,2)</f>
        <v>0</v>
      </c>
      <c r="Q106" s="27">
        <f>P106*0.07</f>
        <v>0</v>
      </c>
      <c r="R106" s="32">
        <f>D106+J106-M106</f>
        <v>0</v>
      </c>
    </row>
    <row r="107" spans="1:18" ht="18.600000000000001">
      <c r="A107" s="8">
        <f>+A106+1</f>
        <v>3</v>
      </c>
      <c r="B107" s="65"/>
      <c r="C107" s="63"/>
      <c r="D107" s="23">
        <v>0</v>
      </c>
      <c r="E107" s="24"/>
      <c r="F107" s="38"/>
      <c r="G107" s="39"/>
      <c r="H107" s="40">
        <f>J107*100/107</f>
        <v>0</v>
      </c>
      <c r="I107" s="40">
        <f>H107*0.07</f>
        <v>0</v>
      </c>
      <c r="J107" s="41">
        <v>0</v>
      </c>
      <c r="K107" s="28"/>
      <c r="L107" s="29"/>
      <c r="M107" s="30">
        <v>0</v>
      </c>
      <c r="N107" s="31"/>
      <c r="O107" s="25"/>
      <c r="P107" s="27">
        <f>ROUND(R107*100/107,2)</f>
        <v>0</v>
      </c>
      <c r="Q107" s="27">
        <f>P107*0.07</f>
        <v>0</v>
      </c>
      <c r="R107" s="32">
        <f>D107+J107-M107</f>
        <v>0</v>
      </c>
    </row>
    <row r="108" spans="1:18" ht="19.2" thickBot="1">
      <c r="A108" s="42"/>
      <c r="B108" s="191" t="s">
        <v>19</v>
      </c>
      <c r="C108" s="192"/>
      <c r="D108" s="43">
        <f>SUM(D105:D107)</f>
        <v>0</v>
      </c>
      <c r="E108" s="43"/>
      <c r="F108" s="43"/>
      <c r="G108" s="44"/>
      <c r="H108" s="44">
        <f>SUM(H105:H107)</f>
        <v>0</v>
      </c>
      <c r="I108" s="44">
        <f>SUM(I105:I107)</f>
        <v>0</v>
      </c>
      <c r="J108" s="44">
        <f>SUM(J105:J107)</f>
        <v>0</v>
      </c>
      <c r="K108" s="45"/>
      <c r="L108" s="46"/>
      <c r="M108" s="47">
        <f>SUM(M105:M107)</f>
        <v>0</v>
      </c>
      <c r="N108" s="48"/>
      <c r="O108" s="43"/>
      <c r="P108" s="49">
        <f>ROUND(R108*100/107,2)</f>
        <v>0</v>
      </c>
      <c r="Q108" s="49">
        <f>P108*0.07</f>
        <v>0</v>
      </c>
      <c r="R108" s="50">
        <f>SUM(R105:R107)</f>
        <v>0</v>
      </c>
    </row>
    <row r="109" spans="1:18" ht="19.8" thickTop="1" thickBot="1">
      <c r="A109" s="120"/>
      <c r="B109" s="193" t="s">
        <v>53</v>
      </c>
      <c r="C109" s="194"/>
      <c r="D109" s="106">
        <f>+D11+D16+D21+D26+D32+D37+D42+D47+D52+D57+D68+D73+D78+D83+D88+D93+D98+D103+D108</f>
        <v>0</v>
      </c>
      <c r="E109" s="106"/>
      <c r="F109" s="106"/>
      <c r="G109" s="106"/>
      <c r="H109" s="106">
        <f>+H11+H16+H21+H26+H32+H37+H42+H47+H52+H57+H68+H73+H78+H83+H88+H93+H98+H103+H108</f>
        <v>5530855.9100000001</v>
      </c>
      <c r="I109" s="106">
        <f>+I11+I16+I21+I26+I32+I37+I42+I47+I52+I57+I68+I73+I78+I83+I88+I93+I98+I103+I108</f>
        <v>0</v>
      </c>
      <c r="J109" s="106">
        <f>+J11+J16+J21+J26+J32+J37+J42+J47+J52+J57+J68+J73+J78+J83+J88+J93+J98+J103+J108</f>
        <v>5530855.9100000001</v>
      </c>
      <c r="K109" s="114"/>
      <c r="L109" s="114"/>
      <c r="M109" s="107">
        <f>+M11+M16+M21+M26+M32+M37+M42+M47+M52+M57+M68+M73+M78+M83+M88+M93+M98+M103+M108</f>
        <v>0</v>
      </c>
      <c r="N109" s="108"/>
      <c r="O109" s="106"/>
      <c r="P109" s="106">
        <f>+P11+P16+P21+P26+P32+P37+P42+P47+P52+P57+P68+P73+P78+P83+P88+P93+P98+P103+P108</f>
        <v>5530855.9100000001</v>
      </c>
      <c r="Q109" s="106">
        <f>+Q11+Q16+Q21+Q26+Q32+Q37+Q42+Q47+Q52+Q57+Q68+Q73+Q78+Q83+Q88+Q93+Q98+Q103+Q108</f>
        <v>0</v>
      </c>
      <c r="R109" s="106">
        <f>+R11+R16+R21+R26+R32+R37+R42+R47+R52+R57+R68+R73+R78+R83+R88+R93+R98+R103+R108</f>
        <v>5530855.9100000001</v>
      </c>
    </row>
    <row r="110" spans="1:18" ht="19.2" thickTop="1">
      <c r="A110" s="120"/>
      <c r="B110" s="121"/>
      <c r="C110" s="121"/>
      <c r="D110" s="121"/>
      <c r="E110" s="121"/>
      <c r="F110" s="121"/>
      <c r="G110" s="121"/>
      <c r="H110" s="121"/>
      <c r="I110" s="121"/>
      <c r="J110" s="121"/>
      <c r="K110" s="122"/>
      <c r="L110" s="123"/>
      <c r="M110" s="124"/>
      <c r="N110" s="125"/>
      <c r="O110" s="121"/>
      <c r="P110" s="121"/>
      <c r="Q110" s="121"/>
      <c r="R110" s="126"/>
    </row>
    <row r="111" spans="1:18" ht="6.75" customHeight="1">
      <c r="A111" s="120"/>
      <c r="B111" s="121"/>
      <c r="C111" s="121"/>
      <c r="D111" s="121"/>
      <c r="E111" s="121"/>
      <c r="F111" s="121"/>
      <c r="G111" s="121"/>
      <c r="H111" s="121"/>
      <c r="I111" s="121"/>
      <c r="J111" s="121"/>
      <c r="K111" s="122"/>
      <c r="L111" s="123"/>
      <c r="M111" s="124"/>
      <c r="N111" s="125"/>
      <c r="O111" s="121"/>
      <c r="P111" s="121"/>
      <c r="Q111" s="121"/>
      <c r="R111" s="126"/>
    </row>
    <row r="112" spans="1:18" ht="18.600000000000001">
      <c r="A112" s="120"/>
      <c r="B112" s="121"/>
      <c r="C112" s="121"/>
      <c r="D112" s="121"/>
      <c r="E112" s="127"/>
      <c r="F112" s="127"/>
      <c r="G112" s="121"/>
      <c r="H112" s="121"/>
      <c r="I112" s="121"/>
      <c r="J112" s="121"/>
      <c r="K112" s="122"/>
      <c r="L112" s="123"/>
      <c r="M112" s="124"/>
      <c r="N112" s="189" t="s">
        <v>54</v>
      </c>
      <c r="O112" s="189"/>
      <c r="P112" s="189"/>
      <c r="Q112" s="121"/>
      <c r="R112" s="126"/>
    </row>
    <row r="113" spans="1:18" ht="18.600000000000001">
      <c r="B113" s="128"/>
      <c r="C113" s="121"/>
      <c r="D113" s="121"/>
      <c r="E113" s="121"/>
      <c r="F113" s="121"/>
      <c r="G113" s="121"/>
      <c r="H113" s="190"/>
      <c r="I113" s="190"/>
      <c r="J113" s="190"/>
      <c r="K113" s="122"/>
      <c r="L113" s="123"/>
      <c r="M113" s="124"/>
      <c r="N113" s="125"/>
      <c r="O113" s="121" t="s">
        <v>55</v>
      </c>
      <c r="P113" s="121"/>
      <c r="Q113" s="121"/>
      <c r="R113" s="126"/>
    </row>
    <row r="114" spans="1:18" ht="18.600000000000001">
      <c r="A114" s="129"/>
      <c r="B114" s="130"/>
      <c r="C114" s="129"/>
      <c r="D114" s="131"/>
      <c r="E114" s="129"/>
      <c r="F114" s="129"/>
      <c r="G114" s="132"/>
      <c r="H114" s="132"/>
      <c r="I114" s="132"/>
      <c r="J114" s="133"/>
      <c r="K114" s="134"/>
      <c r="L114" s="135"/>
      <c r="M114" s="136"/>
      <c r="N114" s="137"/>
      <c r="O114" s="132"/>
      <c r="P114" s="132"/>
      <c r="Q114" s="132"/>
      <c r="R114" s="138"/>
    </row>
  </sheetData>
  <mergeCells count="54">
    <mergeCell ref="A1:R1"/>
    <mergeCell ref="A2:R2"/>
    <mergeCell ref="A3:R3"/>
    <mergeCell ref="A4:A6"/>
    <mergeCell ref="B4:B6"/>
    <mergeCell ref="C4:C6"/>
    <mergeCell ref="D4:D6"/>
    <mergeCell ref="E4:J4"/>
    <mergeCell ref="K4:M4"/>
    <mergeCell ref="N4:R4"/>
    <mergeCell ref="M5:M6"/>
    <mergeCell ref="N5:N6"/>
    <mergeCell ref="O5:O6"/>
    <mergeCell ref="P5:R5"/>
    <mergeCell ref="K5:K6"/>
    <mergeCell ref="L5:L6"/>
    <mergeCell ref="B13:C13"/>
    <mergeCell ref="E5:E6"/>
    <mergeCell ref="F5:F6"/>
    <mergeCell ref="G5:G6"/>
    <mergeCell ref="H5:J5"/>
    <mergeCell ref="B11:C11"/>
    <mergeCell ref="B41:C41"/>
    <mergeCell ref="B14:C14"/>
    <mergeCell ref="B15:C15"/>
    <mergeCell ref="B16:C16"/>
    <mergeCell ref="B21:C21"/>
    <mergeCell ref="B26:C26"/>
    <mergeCell ref="B29:C29"/>
    <mergeCell ref="B31:C31"/>
    <mergeCell ref="B32:C32"/>
    <mergeCell ref="B37:C37"/>
    <mergeCell ref="B39:C39"/>
    <mergeCell ref="B40:C40"/>
    <mergeCell ref="B83:C83"/>
    <mergeCell ref="B42:C42"/>
    <mergeCell ref="B47:C47"/>
    <mergeCell ref="B52:C52"/>
    <mergeCell ref="B57:C57"/>
    <mergeCell ref="B67:C67"/>
    <mergeCell ref="B68:C68"/>
    <mergeCell ref="B73:C73"/>
    <mergeCell ref="B78:C78"/>
    <mergeCell ref="B80:C80"/>
    <mergeCell ref="B81:C81"/>
    <mergeCell ref="B82:C82"/>
    <mergeCell ref="N112:P112"/>
    <mergeCell ref="H113:J113"/>
    <mergeCell ref="B88:C88"/>
    <mergeCell ref="B93:C93"/>
    <mergeCell ref="B98:C98"/>
    <mergeCell ref="B103:C103"/>
    <mergeCell ref="B108:C108"/>
    <mergeCell ref="B109:C10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88ED-65AF-4034-9CA2-E507349B96B2}">
  <sheetPr>
    <tabColor rgb="FFFFFF00"/>
  </sheetPr>
  <dimension ref="A1:F14"/>
  <sheetViews>
    <sheetView workbookViewId="0">
      <pane ySplit="6" topLeftCell="A7" activePane="bottomLeft" state="frozen"/>
      <selection pane="bottomLeft" activeCell="A3" sqref="A3:F3"/>
    </sheetView>
  </sheetViews>
  <sheetFormatPr defaultColWidth="10.375" defaultRowHeight="14.4"/>
  <cols>
    <col min="1" max="1" width="10.375" style="1"/>
    <col min="2" max="2" width="33.25" style="1" customWidth="1"/>
    <col min="3" max="3" width="10.375" style="1"/>
    <col min="4" max="4" width="10.375" style="139"/>
    <col min="5" max="5" width="11.625" style="139" bestFit="1" customWidth="1"/>
    <col min="6" max="6" width="10.375" style="139"/>
    <col min="7" max="242" width="10.375" style="1"/>
    <col min="243" max="243" width="33.25" style="1" customWidth="1"/>
    <col min="244" max="248" width="10.375" style="1"/>
    <col min="249" max="249" width="13.625" style="1" customWidth="1"/>
    <col min="250" max="250" width="10.375" style="1"/>
    <col min="251" max="251" width="14.375" style="1" customWidth="1"/>
    <col min="252" max="252" width="10.375" style="1"/>
    <col min="253" max="253" width="11.625" style="1" bestFit="1" customWidth="1"/>
    <col min="254" max="256" width="10.375" style="1"/>
    <col min="257" max="257" width="12.875" style="1" customWidth="1"/>
    <col min="258" max="258" width="10.375" style="1"/>
    <col min="259" max="259" width="13" style="1" customWidth="1"/>
    <col min="260" max="498" width="10.375" style="1"/>
    <col min="499" max="499" width="33.25" style="1" customWidth="1"/>
    <col min="500" max="504" width="10.375" style="1"/>
    <col min="505" max="505" width="13.625" style="1" customWidth="1"/>
    <col min="506" max="506" width="10.375" style="1"/>
    <col min="507" max="507" width="14.375" style="1" customWidth="1"/>
    <col min="508" max="508" width="10.375" style="1"/>
    <col min="509" max="509" width="11.625" style="1" bestFit="1" customWidth="1"/>
    <col min="510" max="512" width="10.375" style="1"/>
    <col min="513" max="513" width="12.875" style="1" customWidth="1"/>
    <col min="514" max="514" width="10.375" style="1"/>
    <col min="515" max="515" width="13" style="1" customWidth="1"/>
    <col min="516" max="754" width="10.375" style="1"/>
    <col min="755" max="755" width="33.25" style="1" customWidth="1"/>
    <col min="756" max="760" width="10.375" style="1"/>
    <col min="761" max="761" width="13.625" style="1" customWidth="1"/>
    <col min="762" max="762" width="10.375" style="1"/>
    <col min="763" max="763" width="14.375" style="1" customWidth="1"/>
    <col min="764" max="764" width="10.375" style="1"/>
    <col min="765" max="765" width="11.625" style="1" bestFit="1" customWidth="1"/>
    <col min="766" max="768" width="10.375" style="1"/>
    <col min="769" max="769" width="12.875" style="1" customWidth="1"/>
    <col min="770" max="770" width="10.375" style="1"/>
    <col min="771" max="771" width="13" style="1" customWidth="1"/>
    <col min="772" max="1010" width="10.375" style="1"/>
    <col min="1011" max="1011" width="33.25" style="1" customWidth="1"/>
    <col min="1012" max="1016" width="10.375" style="1"/>
    <col min="1017" max="1017" width="13.625" style="1" customWidth="1"/>
    <col min="1018" max="1018" width="10.375" style="1"/>
    <col min="1019" max="1019" width="14.375" style="1" customWidth="1"/>
    <col min="1020" max="1020" width="10.375" style="1"/>
    <col min="1021" max="1021" width="11.625" style="1" bestFit="1" customWidth="1"/>
    <col min="1022" max="1024" width="10.375" style="1"/>
    <col min="1025" max="1025" width="12.875" style="1" customWidth="1"/>
    <col min="1026" max="1026" width="10.375" style="1"/>
    <col min="1027" max="1027" width="13" style="1" customWidth="1"/>
    <col min="1028" max="1266" width="10.375" style="1"/>
    <col min="1267" max="1267" width="33.25" style="1" customWidth="1"/>
    <col min="1268" max="1272" width="10.375" style="1"/>
    <col min="1273" max="1273" width="13.625" style="1" customWidth="1"/>
    <col min="1274" max="1274" width="10.375" style="1"/>
    <col min="1275" max="1275" width="14.375" style="1" customWidth="1"/>
    <col min="1276" max="1276" width="10.375" style="1"/>
    <col min="1277" max="1277" width="11.625" style="1" bestFit="1" customWidth="1"/>
    <col min="1278" max="1280" width="10.375" style="1"/>
    <col min="1281" max="1281" width="12.875" style="1" customWidth="1"/>
    <col min="1282" max="1282" width="10.375" style="1"/>
    <col min="1283" max="1283" width="13" style="1" customWidth="1"/>
    <col min="1284" max="1522" width="10.375" style="1"/>
    <col min="1523" max="1523" width="33.25" style="1" customWidth="1"/>
    <col min="1524" max="1528" width="10.375" style="1"/>
    <col min="1529" max="1529" width="13.625" style="1" customWidth="1"/>
    <col min="1530" max="1530" width="10.375" style="1"/>
    <col min="1531" max="1531" width="14.375" style="1" customWidth="1"/>
    <col min="1532" max="1532" width="10.375" style="1"/>
    <col min="1533" max="1533" width="11.625" style="1" bestFit="1" customWidth="1"/>
    <col min="1534" max="1536" width="10.375" style="1"/>
    <col min="1537" max="1537" width="12.875" style="1" customWidth="1"/>
    <col min="1538" max="1538" width="10.375" style="1"/>
    <col min="1539" max="1539" width="13" style="1" customWidth="1"/>
    <col min="1540" max="1778" width="10.375" style="1"/>
    <col min="1779" max="1779" width="33.25" style="1" customWidth="1"/>
    <col min="1780" max="1784" width="10.375" style="1"/>
    <col min="1785" max="1785" width="13.625" style="1" customWidth="1"/>
    <col min="1786" max="1786" width="10.375" style="1"/>
    <col min="1787" max="1787" width="14.375" style="1" customWidth="1"/>
    <col min="1788" max="1788" width="10.375" style="1"/>
    <col min="1789" max="1789" width="11.625" style="1" bestFit="1" customWidth="1"/>
    <col min="1790" max="1792" width="10.375" style="1"/>
    <col min="1793" max="1793" width="12.875" style="1" customWidth="1"/>
    <col min="1794" max="1794" width="10.375" style="1"/>
    <col min="1795" max="1795" width="13" style="1" customWidth="1"/>
    <col min="1796" max="2034" width="10.375" style="1"/>
    <col min="2035" max="2035" width="33.25" style="1" customWidth="1"/>
    <col min="2036" max="2040" width="10.375" style="1"/>
    <col min="2041" max="2041" width="13.625" style="1" customWidth="1"/>
    <col min="2042" max="2042" width="10.375" style="1"/>
    <col min="2043" max="2043" width="14.375" style="1" customWidth="1"/>
    <col min="2044" max="2044" width="10.375" style="1"/>
    <col min="2045" max="2045" width="11.625" style="1" bestFit="1" customWidth="1"/>
    <col min="2046" max="2048" width="10.375" style="1"/>
    <col min="2049" max="2049" width="12.875" style="1" customWidth="1"/>
    <col min="2050" max="2050" width="10.375" style="1"/>
    <col min="2051" max="2051" width="13" style="1" customWidth="1"/>
    <col min="2052" max="2290" width="10.375" style="1"/>
    <col min="2291" max="2291" width="33.25" style="1" customWidth="1"/>
    <col min="2292" max="2296" width="10.375" style="1"/>
    <col min="2297" max="2297" width="13.625" style="1" customWidth="1"/>
    <col min="2298" max="2298" width="10.375" style="1"/>
    <col min="2299" max="2299" width="14.375" style="1" customWidth="1"/>
    <col min="2300" max="2300" width="10.375" style="1"/>
    <col min="2301" max="2301" width="11.625" style="1" bestFit="1" customWidth="1"/>
    <col min="2302" max="2304" width="10.375" style="1"/>
    <col min="2305" max="2305" width="12.875" style="1" customWidth="1"/>
    <col min="2306" max="2306" width="10.375" style="1"/>
    <col min="2307" max="2307" width="13" style="1" customWidth="1"/>
    <col min="2308" max="2546" width="10.375" style="1"/>
    <col min="2547" max="2547" width="33.25" style="1" customWidth="1"/>
    <col min="2548" max="2552" width="10.375" style="1"/>
    <col min="2553" max="2553" width="13.625" style="1" customWidth="1"/>
    <col min="2554" max="2554" width="10.375" style="1"/>
    <col min="2555" max="2555" width="14.375" style="1" customWidth="1"/>
    <col min="2556" max="2556" width="10.375" style="1"/>
    <col min="2557" max="2557" width="11.625" style="1" bestFit="1" customWidth="1"/>
    <col min="2558" max="2560" width="10.375" style="1"/>
    <col min="2561" max="2561" width="12.875" style="1" customWidth="1"/>
    <col min="2562" max="2562" width="10.375" style="1"/>
    <col min="2563" max="2563" width="13" style="1" customWidth="1"/>
    <col min="2564" max="2802" width="10.375" style="1"/>
    <col min="2803" max="2803" width="33.25" style="1" customWidth="1"/>
    <col min="2804" max="2808" width="10.375" style="1"/>
    <col min="2809" max="2809" width="13.625" style="1" customWidth="1"/>
    <col min="2810" max="2810" width="10.375" style="1"/>
    <col min="2811" max="2811" width="14.375" style="1" customWidth="1"/>
    <col min="2812" max="2812" width="10.375" style="1"/>
    <col min="2813" max="2813" width="11.625" style="1" bestFit="1" customWidth="1"/>
    <col min="2814" max="2816" width="10.375" style="1"/>
    <col min="2817" max="2817" width="12.875" style="1" customWidth="1"/>
    <col min="2818" max="2818" width="10.375" style="1"/>
    <col min="2819" max="2819" width="13" style="1" customWidth="1"/>
    <col min="2820" max="3058" width="10.375" style="1"/>
    <col min="3059" max="3059" width="33.25" style="1" customWidth="1"/>
    <col min="3060" max="3064" width="10.375" style="1"/>
    <col min="3065" max="3065" width="13.625" style="1" customWidth="1"/>
    <col min="3066" max="3066" width="10.375" style="1"/>
    <col min="3067" max="3067" width="14.375" style="1" customWidth="1"/>
    <col min="3068" max="3068" width="10.375" style="1"/>
    <col min="3069" max="3069" width="11.625" style="1" bestFit="1" customWidth="1"/>
    <col min="3070" max="3072" width="10.375" style="1"/>
    <col min="3073" max="3073" width="12.875" style="1" customWidth="1"/>
    <col min="3074" max="3074" width="10.375" style="1"/>
    <col min="3075" max="3075" width="13" style="1" customWidth="1"/>
    <col min="3076" max="3314" width="10.375" style="1"/>
    <col min="3315" max="3315" width="33.25" style="1" customWidth="1"/>
    <col min="3316" max="3320" width="10.375" style="1"/>
    <col min="3321" max="3321" width="13.625" style="1" customWidth="1"/>
    <col min="3322" max="3322" width="10.375" style="1"/>
    <col min="3323" max="3323" width="14.375" style="1" customWidth="1"/>
    <col min="3324" max="3324" width="10.375" style="1"/>
    <col min="3325" max="3325" width="11.625" style="1" bestFit="1" customWidth="1"/>
    <col min="3326" max="3328" width="10.375" style="1"/>
    <col min="3329" max="3329" width="12.875" style="1" customWidth="1"/>
    <col min="3330" max="3330" width="10.375" style="1"/>
    <col min="3331" max="3331" width="13" style="1" customWidth="1"/>
    <col min="3332" max="3570" width="10.375" style="1"/>
    <col min="3571" max="3571" width="33.25" style="1" customWidth="1"/>
    <col min="3572" max="3576" width="10.375" style="1"/>
    <col min="3577" max="3577" width="13.625" style="1" customWidth="1"/>
    <col min="3578" max="3578" width="10.375" style="1"/>
    <col min="3579" max="3579" width="14.375" style="1" customWidth="1"/>
    <col min="3580" max="3580" width="10.375" style="1"/>
    <col min="3581" max="3581" width="11.625" style="1" bestFit="1" customWidth="1"/>
    <col min="3582" max="3584" width="10.375" style="1"/>
    <col min="3585" max="3585" width="12.875" style="1" customWidth="1"/>
    <col min="3586" max="3586" width="10.375" style="1"/>
    <col min="3587" max="3587" width="13" style="1" customWidth="1"/>
    <col min="3588" max="3826" width="10.375" style="1"/>
    <col min="3827" max="3827" width="33.25" style="1" customWidth="1"/>
    <col min="3828" max="3832" width="10.375" style="1"/>
    <col min="3833" max="3833" width="13.625" style="1" customWidth="1"/>
    <col min="3834" max="3834" width="10.375" style="1"/>
    <col min="3835" max="3835" width="14.375" style="1" customWidth="1"/>
    <col min="3836" max="3836" width="10.375" style="1"/>
    <col min="3837" max="3837" width="11.625" style="1" bestFit="1" customWidth="1"/>
    <col min="3838" max="3840" width="10.375" style="1"/>
    <col min="3841" max="3841" width="12.875" style="1" customWidth="1"/>
    <col min="3842" max="3842" width="10.375" style="1"/>
    <col min="3843" max="3843" width="13" style="1" customWidth="1"/>
    <col min="3844" max="4082" width="10.375" style="1"/>
    <col min="4083" max="4083" width="33.25" style="1" customWidth="1"/>
    <col min="4084" max="4088" width="10.375" style="1"/>
    <col min="4089" max="4089" width="13.625" style="1" customWidth="1"/>
    <col min="4090" max="4090" width="10.375" style="1"/>
    <col min="4091" max="4091" width="14.375" style="1" customWidth="1"/>
    <col min="4092" max="4092" width="10.375" style="1"/>
    <col min="4093" max="4093" width="11.625" style="1" bestFit="1" customWidth="1"/>
    <col min="4094" max="4096" width="10.375" style="1"/>
    <col min="4097" max="4097" width="12.875" style="1" customWidth="1"/>
    <col min="4098" max="4098" width="10.375" style="1"/>
    <col min="4099" max="4099" width="13" style="1" customWidth="1"/>
    <col min="4100" max="4338" width="10.375" style="1"/>
    <col min="4339" max="4339" width="33.25" style="1" customWidth="1"/>
    <col min="4340" max="4344" width="10.375" style="1"/>
    <col min="4345" max="4345" width="13.625" style="1" customWidth="1"/>
    <col min="4346" max="4346" width="10.375" style="1"/>
    <col min="4347" max="4347" width="14.375" style="1" customWidth="1"/>
    <col min="4348" max="4348" width="10.375" style="1"/>
    <col min="4349" max="4349" width="11.625" style="1" bestFit="1" customWidth="1"/>
    <col min="4350" max="4352" width="10.375" style="1"/>
    <col min="4353" max="4353" width="12.875" style="1" customWidth="1"/>
    <col min="4354" max="4354" width="10.375" style="1"/>
    <col min="4355" max="4355" width="13" style="1" customWidth="1"/>
    <col min="4356" max="4594" width="10.375" style="1"/>
    <col min="4595" max="4595" width="33.25" style="1" customWidth="1"/>
    <col min="4596" max="4600" width="10.375" style="1"/>
    <col min="4601" max="4601" width="13.625" style="1" customWidth="1"/>
    <col min="4602" max="4602" width="10.375" style="1"/>
    <col min="4603" max="4603" width="14.375" style="1" customWidth="1"/>
    <col min="4604" max="4604" width="10.375" style="1"/>
    <col min="4605" max="4605" width="11.625" style="1" bestFit="1" customWidth="1"/>
    <col min="4606" max="4608" width="10.375" style="1"/>
    <col min="4609" max="4609" width="12.875" style="1" customWidth="1"/>
    <col min="4610" max="4610" width="10.375" style="1"/>
    <col min="4611" max="4611" width="13" style="1" customWidth="1"/>
    <col min="4612" max="4850" width="10.375" style="1"/>
    <col min="4851" max="4851" width="33.25" style="1" customWidth="1"/>
    <col min="4852" max="4856" width="10.375" style="1"/>
    <col min="4857" max="4857" width="13.625" style="1" customWidth="1"/>
    <col min="4858" max="4858" width="10.375" style="1"/>
    <col min="4859" max="4859" width="14.375" style="1" customWidth="1"/>
    <col min="4860" max="4860" width="10.375" style="1"/>
    <col min="4861" max="4861" width="11.625" style="1" bestFit="1" customWidth="1"/>
    <col min="4862" max="4864" width="10.375" style="1"/>
    <col min="4865" max="4865" width="12.875" style="1" customWidth="1"/>
    <col min="4866" max="4866" width="10.375" style="1"/>
    <col min="4867" max="4867" width="13" style="1" customWidth="1"/>
    <col min="4868" max="5106" width="10.375" style="1"/>
    <col min="5107" max="5107" width="33.25" style="1" customWidth="1"/>
    <col min="5108" max="5112" width="10.375" style="1"/>
    <col min="5113" max="5113" width="13.625" style="1" customWidth="1"/>
    <col min="5114" max="5114" width="10.375" style="1"/>
    <col min="5115" max="5115" width="14.375" style="1" customWidth="1"/>
    <col min="5116" max="5116" width="10.375" style="1"/>
    <col min="5117" max="5117" width="11.625" style="1" bestFit="1" customWidth="1"/>
    <col min="5118" max="5120" width="10.375" style="1"/>
    <col min="5121" max="5121" width="12.875" style="1" customWidth="1"/>
    <col min="5122" max="5122" width="10.375" style="1"/>
    <col min="5123" max="5123" width="13" style="1" customWidth="1"/>
    <col min="5124" max="5362" width="10.375" style="1"/>
    <col min="5363" max="5363" width="33.25" style="1" customWidth="1"/>
    <col min="5364" max="5368" width="10.375" style="1"/>
    <col min="5369" max="5369" width="13.625" style="1" customWidth="1"/>
    <col min="5370" max="5370" width="10.375" style="1"/>
    <col min="5371" max="5371" width="14.375" style="1" customWidth="1"/>
    <col min="5372" max="5372" width="10.375" style="1"/>
    <col min="5373" max="5373" width="11.625" style="1" bestFit="1" customWidth="1"/>
    <col min="5374" max="5376" width="10.375" style="1"/>
    <col min="5377" max="5377" width="12.875" style="1" customWidth="1"/>
    <col min="5378" max="5378" width="10.375" style="1"/>
    <col min="5379" max="5379" width="13" style="1" customWidth="1"/>
    <col min="5380" max="5618" width="10.375" style="1"/>
    <col min="5619" max="5619" width="33.25" style="1" customWidth="1"/>
    <col min="5620" max="5624" width="10.375" style="1"/>
    <col min="5625" max="5625" width="13.625" style="1" customWidth="1"/>
    <col min="5626" max="5626" width="10.375" style="1"/>
    <col min="5627" max="5627" width="14.375" style="1" customWidth="1"/>
    <col min="5628" max="5628" width="10.375" style="1"/>
    <col min="5629" max="5629" width="11.625" style="1" bestFit="1" customWidth="1"/>
    <col min="5630" max="5632" width="10.375" style="1"/>
    <col min="5633" max="5633" width="12.875" style="1" customWidth="1"/>
    <col min="5634" max="5634" width="10.375" style="1"/>
    <col min="5635" max="5635" width="13" style="1" customWidth="1"/>
    <col min="5636" max="5874" width="10.375" style="1"/>
    <col min="5875" max="5875" width="33.25" style="1" customWidth="1"/>
    <col min="5876" max="5880" width="10.375" style="1"/>
    <col min="5881" max="5881" width="13.625" style="1" customWidth="1"/>
    <col min="5882" max="5882" width="10.375" style="1"/>
    <col min="5883" max="5883" width="14.375" style="1" customWidth="1"/>
    <col min="5884" max="5884" width="10.375" style="1"/>
    <col min="5885" max="5885" width="11.625" style="1" bestFit="1" customWidth="1"/>
    <col min="5886" max="5888" width="10.375" style="1"/>
    <col min="5889" max="5889" width="12.875" style="1" customWidth="1"/>
    <col min="5890" max="5890" width="10.375" style="1"/>
    <col min="5891" max="5891" width="13" style="1" customWidth="1"/>
    <col min="5892" max="6130" width="10.375" style="1"/>
    <col min="6131" max="6131" width="33.25" style="1" customWidth="1"/>
    <col min="6132" max="6136" width="10.375" style="1"/>
    <col min="6137" max="6137" width="13.625" style="1" customWidth="1"/>
    <col min="6138" max="6138" width="10.375" style="1"/>
    <col min="6139" max="6139" width="14.375" style="1" customWidth="1"/>
    <col min="6140" max="6140" width="10.375" style="1"/>
    <col min="6141" max="6141" width="11.625" style="1" bestFit="1" customWidth="1"/>
    <col min="6142" max="6144" width="10.375" style="1"/>
    <col min="6145" max="6145" width="12.875" style="1" customWidth="1"/>
    <col min="6146" max="6146" width="10.375" style="1"/>
    <col min="6147" max="6147" width="13" style="1" customWidth="1"/>
    <col min="6148" max="6386" width="10.375" style="1"/>
    <col min="6387" max="6387" width="33.25" style="1" customWidth="1"/>
    <col min="6388" max="6392" width="10.375" style="1"/>
    <col min="6393" max="6393" width="13.625" style="1" customWidth="1"/>
    <col min="6394" max="6394" width="10.375" style="1"/>
    <col min="6395" max="6395" width="14.375" style="1" customWidth="1"/>
    <col min="6396" max="6396" width="10.375" style="1"/>
    <col min="6397" max="6397" width="11.625" style="1" bestFit="1" customWidth="1"/>
    <col min="6398" max="6400" width="10.375" style="1"/>
    <col min="6401" max="6401" width="12.875" style="1" customWidth="1"/>
    <col min="6402" max="6402" width="10.375" style="1"/>
    <col min="6403" max="6403" width="13" style="1" customWidth="1"/>
    <col min="6404" max="6642" width="10.375" style="1"/>
    <col min="6643" max="6643" width="33.25" style="1" customWidth="1"/>
    <col min="6644" max="6648" width="10.375" style="1"/>
    <col min="6649" max="6649" width="13.625" style="1" customWidth="1"/>
    <col min="6650" max="6650" width="10.375" style="1"/>
    <col min="6651" max="6651" width="14.375" style="1" customWidth="1"/>
    <col min="6652" max="6652" width="10.375" style="1"/>
    <col min="6653" max="6653" width="11.625" style="1" bestFit="1" customWidth="1"/>
    <col min="6654" max="6656" width="10.375" style="1"/>
    <col min="6657" max="6657" width="12.875" style="1" customWidth="1"/>
    <col min="6658" max="6658" width="10.375" style="1"/>
    <col min="6659" max="6659" width="13" style="1" customWidth="1"/>
    <col min="6660" max="6898" width="10.375" style="1"/>
    <col min="6899" max="6899" width="33.25" style="1" customWidth="1"/>
    <col min="6900" max="6904" width="10.375" style="1"/>
    <col min="6905" max="6905" width="13.625" style="1" customWidth="1"/>
    <col min="6906" max="6906" width="10.375" style="1"/>
    <col min="6907" max="6907" width="14.375" style="1" customWidth="1"/>
    <col min="6908" max="6908" width="10.375" style="1"/>
    <col min="6909" max="6909" width="11.625" style="1" bestFit="1" customWidth="1"/>
    <col min="6910" max="6912" width="10.375" style="1"/>
    <col min="6913" max="6913" width="12.875" style="1" customWidth="1"/>
    <col min="6914" max="6914" width="10.375" style="1"/>
    <col min="6915" max="6915" width="13" style="1" customWidth="1"/>
    <col min="6916" max="7154" width="10.375" style="1"/>
    <col min="7155" max="7155" width="33.25" style="1" customWidth="1"/>
    <col min="7156" max="7160" width="10.375" style="1"/>
    <col min="7161" max="7161" width="13.625" style="1" customWidth="1"/>
    <col min="7162" max="7162" width="10.375" style="1"/>
    <col min="7163" max="7163" width="14.375" style="1" customWidth="1"/>
    <col min="7164" max="7164" width="10.375" style="1"/>
    <col min="7165" max="7165" width="11.625" style="1" bestFit="1" customWidth="1"/>
    <col min="7166" max="7168" width="10.375" style="1"/>
    <col min="7169" max="7169" width="12.875" style="1" customWidth="1"/>
    <col min="7170" max="7170" width="10.375" style="1"/>
    <col min="7171" max="7171" width="13" style="1" customWidth="1"/>
    <col min="7172" max="7410" width="10.375" style="1"/>
    <col min="7411" max="7411" width="33.25" style="1" customWidth="1"/>
    <col min="7412" max="7416" width="10.375" style="1"/>
    <col min="7417" max="7417" width="13.625" style="1" customWidth="1"/>
    <col min="7418" max="7418" width="10.375" style="1"/>
    <col min="7419" max="7419" width="14.375" style="1" customWidth="1"/>
    <col min="7420" max="7420" width="10.375" style="1"/>
    <col min="7421" max="7421" width="11.625" style="1" bestFit="1" customWidth="1"/>
    <col min="7422" max="7424" width="10.375" style="1"/>
    <col min="7425" max="7425" width="12.875" style="1" customWidth="1"/>
    <col min="7426" max="7426" width="10.375" style="1"/>
    <col min="7427" max="7427" width="13" style="1" customWidth="1"/>
    <col min="7428" max="7666" width="10.375" style="1"/>
    <col min="7667" max="7667" width="33.25" style="1" customWidth="1"/>
    <col min="7668" max="7672" width="10.375" style="1"/>
    <col min="7673" max="7673" width="13.625" style="1" customWidth="1"/>
    <col min="7674" max="7674" width="10.375" style="1"/>
    <col min="7675" max="7675" width="14.375" style="1" customWidth="1"/>
    <col min="7676" max="7676" width="10.375" style="1"/>
    <col min="7677" max="7677" width="11.625" style="1" bestFit="1" customWidth="1"/>
    <col min="7678" max="7680" width="10.375" style="1"/>
    <col min="7681" max="7681" width="12.875" style="1" customWidth="1"/>
    <col min="7682" max="7682" width="10.375" style="1"/>
    <col min="7683" max="7683" width="13" style="1" customWidth="1"/>
    <col min="7684" max="7922" width="10.375" style="1"/>
    <col min="7923" max="7923" width="33.25" style="1" customWidth="1"/>
    <col min="7924" max="7928" width="10.375" style="1"/>
    <col min="7929" max="7929" width="13.625" style="1" customWidth="1"/>
    <col min="7930" max="7930" width="10.375" style="1"/>
    <col min="7931" max="7931" width="14.375" style="1" customWidth="1"/>
    <col min="7932" max="7932" width="10.375" style="1"/>
    <col min="7933" max="7933" width="11.625" style="1" bestFit="1" customWidth="1"/>
    <col min="7934" max="7936" width="10.375" style="1"/>
    <col min="7937" max="7937" width="12.875" style="1" customWidth="1"/>
    <col min="7938" max="7938" width="10.375" style="1"/>
    <col min="7939" max="7939" width="13" style="1" customWidth="1"/>
    <col min="7940" max="8178" width="10.375" style="1"/>
    <col min="8179" max="8179" width="33.25" style="1" customWidth="1"/>
    <col min="8180" max="8184" width="10.375" style="1"/>
    <col min="8185" max="8185" width="13.625" style="1" customWidth="1"/>
    <col min="8186" max="8186" width="10.375" style="1"/>
    <col min="8187" max="8187" width="14.375" style="1" customWidth="1"/>
    <col min="8188" max="8188" width="10.375" style="1"/>
    <col min="8189" max="8189" width="11.625" style="1" bestFit="1" customWidth="1"/>
    <col min="8190" max="8192" width="10.375" style="1"/>
    <col min="8193" max="8193" width="12.875" style="1" customWidth="1"/>
    <col min="8194" max="8194" width="10.375" style="1"/>
    <col min="8195" max="8195" width="13" style="1" customWidth="1"/>
    <col min="8196" max="8434" width="10.375" style="1"/>
    <col min="8435" max="8435" width="33.25" style="1" customWidth="1"/>
    <col min="8436" max="8440" width="10.375" style="1"/>
    <col min="8441" max="8441" width="13.625" style="1" customWidth="1"/>
    <col min="8442" max="8442" width="10.375" style="1"/>
    <col min="8443" max="8443" width="14.375" style="1" customWidth="1"/>
    <col min="8444" max="8444" width="10.375" style="1"/>
    <col min="8445" max="8445" width="11.625" style="1" bestFit="1" customWidth="1"/>
    <col min="8446" max="8448" width="10.375" style="1"/>
    <col min="8449" max="8449" width="12.875" style="1" customWidth="1"/>
    <col min="8450" max="8450" width="10.375" style="1"/>
    <col min="8451" max="8451" width="13" style="1" customWidth="1"/>
    <col min="8452" max="8690" width="10.375" style="1"/>
    <col min="8691" max="8691" width="33.25" style="1" customWidth="1"/>
    <col min="8692" max="8696" width="10.375" style="1"/>
    <col min="8697" max="8697" width="13.625" style="1" customWidth="1"/>
    <col min="8698" max="8698" width="10.375" style="1"/>
    <col min="8699" max="8699" width="14.375" style="1" customWidth="1"/>
    <col min="8700" max="8700" width="10.375" style="1"/>
    <col min="8701" max="8701" width="11.625" style="1" bestFit="1" customWidth="1"/>
    <col min="8702" max="8704" width="10.375" style="1"/>
    <col min="8705" max="8705" width="12.875" style="1" customWidth="1"/>
    <col min="8706" max="8706" width="10.375" style="1"/>
    <col min="8707" max="8707" width="13" style="1" customWidth="1"/>
    <col min="8708" max="8946" width="10.375" style="1"/>
    <col min="8947" max="8947" width="33.25" style="1" customWidth="1"/>
    <col min="8948" max="8952" width="10.375" style="1"/>
    <col min="8953" max="8953" width="13.625" style="1" customWidth="1"/>
    <col min="8954" max="8954" width="10.375" style="1"/>
    <col min="8955" max="8955" width="14.375" style="1" customWidth="1"/>
    <col min="8956" max="8956" width="10.375" style="1"/>
    <col min="8957" max="8957" width="11.625" style="1" bestFit="1" customWidth="1"/>
    <col min="8958" max="8960" width="10.375" style="1"/>
    <col min="8961" max="8961" width="12.875" style="1" customWidth="1"/>
    <col min="8962" max="8962" width="10.375" style="1"/>
    <col min="8963" max="8963" width="13" style="1" customWidth="1"/>
    <col min="8964" max="9202" width="10.375" style="1"/>
    <col min="9203" max="9203" width="33.25" style="1" customWidth="1"/>
    <col min="9204" max="9208" width="10.375" style="1"/>
    <col min="9209" max="9209" width="13.625" style="1" customWidth="1"/>
    <col min="9210" max="9210" width="10.375" style="1"/>
    <col min="9211" max="9211" width="14.375" style="1" customWidth="1"/>
    <col min="9212" max="9212" width="10.375" style="1"/>
    <col min="9213" max="9213" width="11.625" style="1" bestFit="1" customWidth="1"/>
    <col min="9214" max="9216" width="10.375" style="1"/>
    <col min="9217" max="9217" width="12.875" style="1" customWidth="1"/>
    <col min="9218" max="9218" width="10.375" style="1"/>
    <col min="9219" max="9219" width="13" style="1" customWidth="1"/>
    <col min="9220" max="9458" width="10.375" style="1"/>
    <col min="9459" max="9459" width="33.25" style="1" customWidth="1"/>
    <col min="9460" max="9464" width="10.375" style="1"/>
    <col min="9465" max="9465" width="13.625" style="1" customWidth="1"/>
    <col min="9466" max="9466" width="10.375" style="1"/>
    <col min="9467" max="9467" width="14.375" style="1" customWidth="1"/>
    <col min="9468" max="9468" width="10.375" style="1"/>
    <col min="9469" max="9469" width="11.625" style="1" bestFit="1" customWidth="1"/>
    <col min="9470" max="9472" width="10.375" style="1"/>
    <col min="9473" max="9473" width="12.875" style="1" customWidth="1"/>
    <col min="9474" max="9474" width="10.375" style="1"/>
    <col min="9475" max="9475" width="13" style="1" customWidth="1"/>
    <col min="9476" max="9714" width="10.375" style="1"/>
    <col min="9715" max="9715" width="33.25" style="1" customWidth="1"/>
    <col min="9716" max="9720" width="10.375" style="1"/>
    <col min="9721" max="9721" width="13.625" style="1" customWidth="1"/>
    <col min="9722" max="9722" width="10.375" style="1"/>
    <col min="9723" max="9723" width="14.375" style="1" customWidth="1"/>
    <col min="9724" max="9724" width="10.375" style="1"/>
    <col min="9725" max="9725" width="11.625" style="1" bestFit="1" customWidth="1"/>
    <col min="9726" max="9728" width="10.375" style="1"/>
    <col min="9729" max="9729" width="12.875" style="1" customWidth="1"/>
    <col min="9730" max="9730" width="10.375" style="1"/>
    <col min="9731" max="9731" width="13" style="1" customWidth="1"/>
    <col min="9732" max="9970" width="10.375" style="1"/>
    <col min="9971" max="9971" width="33.25" style="1" customWidth="1"/>
    <col min="9972" max="9976" width="10.375" style="1"/>
    <col min="9977" max="9977" width="13.625" style="1" customWidth="1"/>
    <col min="9978" max="9978" width="10.375" style="1"/>
    <col min="9979" max="9979" width="14.375" style="1" customWidth="1"/>
    <col min="9980" max="9980" width="10.375" style="1"/>
    <col min="9981" max="9981" width="11.625" style="1" bestFit="1" customWidth="1"/>
    <col min="9982" max="9984" width="10.375" style="1"/>
    <col min="9985" max="9985" width="12.875" style="1" customWidth="1"/>
    <col min="9986" max="9986" width="10.375" style="1"/>
    <col min="9987" max="9987" width="13" style="1" customWidth="1"/>
    <col min="9988" max="10226" width="10.375" style="1"/>
    <col min="10227" max="10227" width="33.25" style="1" customWidth="1"/>
    <col min="10228" max="10232" width="10.375" style="1"/>
    <col min="10233" max="10233" width="13.625" style="1" customWidth="1"/>
    <col min="10234" max="10234" width="10.375" style="1"/>
    <col min="10235" max="10235" width="14.375" style="1" customWidth="1"/>
    <col min="10236" max="10236" width="10.375" style="1"/>
    <col min="10237" max="10237" width="11.625" style="1" bestFit="1" customWidth="1"/>
    <col min="10238" max="10240" width="10.375" style="1"/>
    <col min="10241" max="10241" width="12.875" style="1" customWidth="1"/>
    <col min="10242" max="10242" width="10.375" style="1"/>
    <col min="10243" max="10243" width="13" style="1" customWidth="1"/>
    <col min="10244" max="10482" width="10.375" style="1"/>
    <col min="10483" max="10483" width="33.25" style="1" customWidth="1"/>
    <col min="10484" max="10488" width="10.375" style="1"/>
    <col min="10489" max="10489" width="13.625" style="1" customWidth="1"/>
    <col min="10490" max="10490" width="10.375" style="1"/>
    <col min="10491" max="10491" width="14.375" style="1" customWidth="1"/>
    <col min="10492" max="10492" width="10.375" style="1"/>
    <col min="10493" max="10493" width="11.625" style="1" bestFit="1" customWidth="1"/>
    <col min="10494" max="10496" width="10.375" style="1"/>
    <col min="10497" max="10497" width="12.875" style="1" customWidth="1"/>
    <col min="10498" max="10498" width="10.375" style="1"/>
    <col min="10499" max="10499" width="13" style="1" customWidth="1"/>
    <col min="10500" max="10738" width="10.375" style="1"/>
    <col min="10739" max="10739" width="33.25" style="1" customWidth="1"/>
    <col min="10740" max="10744" width="10.375" style="1"/>
    <col min="10745" max="10745" width="13.625" style="1" customWidth="1"/>
    <col min="10746" max="10746" width="10.375" style="1"/>
    <col min="10747" max="10747" width="14.375" style="1" customWidth="1"/>
    <col min="10748" max="10748" width="10.375" style="1"/>
    <col min="10749" max="10749" width="11.625" style="1" bestFit="1" customWidth="1"/>
    <col min="10750" max="10752" width="10.375" style="1"/>
    <col min="10753" max="10753" width="12.875" style="1" customWidth="1"/>
    <col min="10754" max="10754" width="10.375" style="1"/>
    <col min="10755" max="10755" width="13" style="1" customWidth="1"/>
    <col min="10756" max="10994" width="10.375" style="1"/>
    <col min="10995" max="10995" width="33.25" style="1" customWidth="1"/>
    <col min="10996" max="11000" width="10.375" style="1"/>
    <col min="11001" max="11001" width="13.625" style="1" customWidth="1"/>
    <col min="11002" max="11002" width="10.375" style="1"/>
    <col min="11003" max="11003" width="14.375" style="1" customWidth="1"/>
    <col min="11004" max="11004" width="10.375" style="1"/>
    <col min="11005" max="11005" width="11.625" style="1" bestFit="1" customWidth="1"/>
    <col min="11006" max="11008" width="10.375" style="1"/>
    <col min="11009" max="11009" width="12.875" style="1" customWidth="1"/>
    <col min="11010" max="11010" width="10.375" style="1"/>
    <col min="11011" max="11011" width="13" style="1" customWidth="1"/>
    <col min="11012" max="11250" width="10.375" style="1"/>
    <col min="11251" max="11251" width="33.25" style="1" customWidth="1"/>
    <col min="11252" max="11256" width="10.375" style="1"/>
    <col min="11257" max="11257" width="13.625" style="1" customWidth="1"/>
    <col min="11258" max="11258" width="10.375" style="1"/>
    <col min="11259" max="11259" width="14.375" style="1" customWidth="1"/>
    <col min="11260" max="11260" width="10.375" style="1"/>
    <col min="11261" max="11261" width="11.625" style="1" bestFit="1" customWidth="1"/>
    <col min="11262" max="11264" width="10.375" style="1"/>
    <col min="11265" max="11265" width="12.875" style="1" customWidth="1"/>
    <col min="11266" max="11266" width="10.375" style="1"/>
    <col min="11267" max="11267" width="13" style="1" customWidth="1"/>
    <col min="11268" max="11506" width="10.375" style="1"/>
    <col min="11507" max="11507" width="33.25" style="1" customWidth="1"/>
    <col min="11508" max="11512" width="10.375" style="1"/>
    <col min="11513" max="11513" width="13.625" style="1" customWidth="1"/>
    <col min="11514" max="11514" width="10.375" style="1"/>
    <col min="11515" max="11515" width="14.375" style="1" customWidth="1"/>
    <col min="11516" max="11516" width="10.375" style="1"/>
    <col min="11517" max="11517" width="11.625" style="1" bestFit="1" customWidth="1"/>
    <col min="11518" max="11520" width="10.375" style="1"/>
    <col min="11521" max="11521" width="12.875" style="1" customWidth="1"/>
    <col min="11522" max="11522" width="10.375" style="1"/>
    <col min="11523" max="11523" width="13" style="1" customWidth="1"/>
    <col min="11524" max="11762" width="10.375" style="1"/>
    <col min="11763" max="11763" width="33.25" style="1" customWidth="1"/>
    <col min="11764" max="11768" width="10.375" style="1"/>
    <col min="11769" max="11769" width="13.625" style="1" customWidth="1"/>
    <col min="11770" max="11770" width="10.375" style="1"/>
    <col min="11771" max="11771" width="14.375" style="1" customWidth="1"/>
    <col min="11772" max="11772" width="10.375" style="1"/>
    <col min="11773" max="11773" width="11.625" style="1" bestFit="1" customWidth="1"/>
    <col min="11774" max="11776" width="10.375" style="1"/>
    <col min="11777" max="11777" width="12.875" style="1" customWidth="1"/>
    <col min="11778" max="11778" width="10.375" style="1"/>
    <col min="11779" max="11779" width="13" style="1" customWidth="1"/>
    <col min="11780" max="12018" width="10.375" style="1"/>
    <col min="12019" max="12019" width="33.25" style="1" customWidth="1"/>
    <col min="12020" max="12024" width="10.375" style="1"/>
    <col min="12025" max="12025" width="13.625" style="1" customWidth="1"/>
    <col min="12026" max="12026" width="10.375" style="1"/>
    <col min="12027" max="12027" width="14.375" style="1" customWidth="1"/>
    <col min="12028" max="12028" width="10.375" style="1"/>
    <col min="12029" max="12029" width="11.625" style="1" bestFit="1" customWidth="1"/>
    <col min="12030" max="12032" width="10.375" style="1"/>
    <col min="12033" max="12033" width="12.875" style="1" customWidth="1"/>
    <col min="12034" max="12034" width="10.375" style="1"/>
    <col min="12035" max="12035" width="13" style="1" customWidth="1"/>
    <col min="12036" max="12274" width="10.375" style="1"/>
    <col min="12275" max="12275" width="33.25" style="1" customWidth="1"/>
    <col min="12276" max="12280" width="10.375" style="1"/>
    <col min="12281" max="12281" width="13.625" style="1" customWidth="1"/>
    <col min="12282" max="12282" width="10.375" style="1"/>
    <col min="12283" max="12283" width="14.375" style="1" customWidth="1"/>
    <col min="12284" max="12284" width="10.375" style="1"/>
    <col min="12285" max="12285" width="11.625" style="1" bestFit="1" customWidth="1"/>
    <col min="12286" max="12288" width="10.375" style="1"/>
    <col min="12289" max="12289" width="12.875" style="1" customWidth="1"/>
    <col min="12290" max="12290" width="10.375" style="1"/>
    <col min="12291" max="12291" width="13" style="1" customWidth="1"/>
    <col min="12292" max="12530" width="10.375" style="1"/>
    <col min="12531" max="12531" width="33.25" style="1" customWidth="1"/>
    <col min="12532" max="12536" width="10.375" style="1"/>
    <col min="12537" max="12537" width="13.625" style="1" customWidth="1"/>
    <col min="12538" max="12538" width="10.375" style="1"/>
    <col min="12539" max="12539" width="14.375" style="1" customWidth="1"/>
    <col min="12540" max="12540" width="10.375" style="1"/>
    <col min="12541" max="12541" width="11.625" style="1" bestFit="1" customWidth="1"/>
    <col min="12542" max="12544" width="10.375" style="1"/>
    <col min="12545" max="12545" width="12.875" style="1" customWidth="1"/>
    <col min="12546" max="12546" width="10.375" style="1"/>
    <col min="12547" max="12547" width="13" style="1" customWidth="1"/>
    <col min="12548" max="12786" width="10.375" style="1"/>
    <col min="12787" max="12787" width="33.25" style="1" customWidth="1"/>
    <col min="12788" max="12792" width="10.375" style="1"/>
    <col min="12793" max="12793" width="13.625" style="1" customWidth="1"/>
    <col min="12794" max="12794" width="10.375" style="1"/>
    <col min="12795" max="12795" width="14.375" style="1" customWidth="1"/>
    <col min="12796" max="12796" width="10.375" style="1"/>
    <col min="12797" max="12797" width="11.625" style="1" bestFit="1" customWidth="1"/>
    <col min="12798" max="12800" width="10.375" style="1"/>
    <col min="12801" max="12801" width="12.875" style="1" customWidth="1"/>
    <col min="12802" max="12802" width="10.375" style="1"/>
    <col min="12803" max="12803" width="13" style="1" customWidth="1"/>
    <col min="12804" max="13042" width="10.375" style="1"/>
    <col min="13043" max="13043" width="33.25" style="1" customWidth="1"/>
    <col min="13044" max="13048" width="10.375" style="1"/>
    <col min="13049" max="13049" width="13.625" style="1" customWidth="1"/>
    <col min="13050" max="13050" width="10.375" style="1"/>
    <col min="13051" max="13051" width="14.375" style="1" customWidth="1"/>
    <col min="13052" max="13052" width="10.375" style="1"/>
    <col min="13053" max="13053" width="11.625" style="1" bestFit="1" customWidth="1"/>
    <col min="13054" max="13056" width="10.375" style="1"/>
    <col min="13057" max="13057" width="12.875" style="1" customWidth="1"/>
    <col min="13058" max="13058" width="10.375" style="1"/>
    <col min="13059" max="13059" width="13" style="1" customWidth="1"/>
    <col min="13060" max="13298" width="10.375" style="1"/>
    <col min="13299" max="13299" width="33.25" style="1" customWidth="1"/>
    <col min="13300" max="13304" width="10.375" style="1"/>
    <col min="13305" max="13305" width="13.625" style="1" customWidth="1"/>
    <col min="13306" max="13306" width="10.375" style="1"/>
    <col min="13307" max="13307" width="14.375" style="1" customWidth="1"/>
    <col min="13308" max="13308" width="10.375" style="1"/>
    <col min="13309" max="13309" width="11.625" style="1" bestFit="1" customWidth="1"/>
    <col min="13310" max="13312" width="10.375" style="1"/>
    <col min="13313" max="13313" width="12.875" style="1" customWidth="1"/>
    <col min="13314" max="13314" width="10.375" style="1"/>
    <col min="13315" max="13315" width="13" style="1" customWidth="1"/>
    <col min="13316" max="13554" width="10.375" style="1"/>
    <col min="13555" max="13555" width="33.25" style="1" customWidth="1"/>
    <col min="13556" max="13560" width="10.375" style="1"/>
    <col min="13561" max="13561" width="13.625" style="1" customWidth="1"/>
    <col min="13562" max="13562" width="10.375" style="1"/>
    <col min="13563" max="13563" width="14.375" style="1" customWidth="1"/>
    <col min="13564" max="13564" width="10.375" style="1"/>
    <col min="13565" max="13565" width="11.625" style="1" bestFit="1" customWidth="1"/>
    <col min="13566" max="13568" width="10.375" style="1"/>
    <col min="13569" max="13569" width="12.875" style="1" customWidth="1"/>
    <col min="13570" max="13570" width="10.375" style="1"/>
    <col min="13571" max="13571" width="13" style="1" customWidth="1"/>
    <col min="13572" max="13810" width="10.375" style="1"/>
    <col min="13811" max="13811" width="33.25" style="1" customWidth="1"/>
    <col min="13812" max="13816" width="10.375" style="1"/>
    <col min="13817" max="13817" width="13.625" style="1" customWidth="1"/>
    <col min="13818" max="13818" width="10.375" style="1"/>
    <col min="13819" max="13819" width="14.375" style="1" customWidth="1"/>
    <col min="13820" max="13820" width="10.375" style="1"/>
    <col min="13821" max="13821" width="11.625" style="1" bestFit="1" customWidth="1"/>
    <col min="13822" max="13824" width="10.375" style="1"/>
    <col min="13825" max="13825" width="12.875" style="1" customWidth="1"/>
    <col min="13826" max="13826" width="10.375" style="1"/>
    <col min="13827" max="13827" width="13" style="1" customWidth="1"/>
    <col min="13828" max="14066" width="10.375" style="1"/>
    <col min="14067" max="14067" width="33.25" style="1" customWidth="1"/>
    <col min="14068" max="14072" width="10.375" style="1"/>
    <col min="14073" max="14073" width="13.625" style="1" customWidth="1"/>
    <col min="14074" max="14074" width="10.375" style="1"/>
    <col min="14075" max="14075" width="14.375" style="1" customWidth="1"/>
    <col min="14076" max="14076" width="10.375" style="1"/>
    <col min="14077" max="14077" width="11.625" style="1" bestFit="1" customWidth="1"/>
    <col min="14078" max="14080" width="10.375" style="1"/>
    <col min="14081" max="14081" width="12.875" style="1" customWidth="1"/>
    <col min="14082" max="14082" width="10.375" style="1"/>
    <col min="14083" max="14083" width="13" style="1" customWidth="1"/>
    <col min="14084" max="14322" width="10.375" style="1"/>
    <col min="14323" max="14323" width="33.25" style="1" customWidth="1"/>
    <col min="14324" max="14328" width="10.375" style="1"/>
    <col min="14329" max="14329" width="13.625" style="1" customWidth="1"/>
    <col min="14330" max="14330" width="10.375" style="1"/>
    <col min="14331" max="14331" width="14.375" style="1" customWidth="1"/>
    <col min="14332" max="14332" width="10.375" style="1"/>
    <col min="14333" max="14333" width="11.625" style="1" bestFit="1" customWidth="1"/>
    <col min="14334" max="14336" width="10.375" style="1"/>
    <col min="14337" max="14337" width="12.875" style="1" customWidth="1"/>
    <col min="14338" max="14338" width="10.375" style="1"/>
    <col min="14339" max="14339" width="13" style="1" customWidth="1"/>
    <col min="14340" max="14578" width="10.375" style="1"/>
    <col min="14579" max="14579" width="33.25" style="1" customWidth="1"/>
    <col min="14580" max="14584" width="10.375" style="1"/>
    <col min="14585" max="14585" width="13.625" style="1" customWidth="1"/>
    <col min="14586" max="14586" width="10.375" style="1"/>
    <col min="14587" max="14587" width="14.375" style="1" customWidth="1"/>
    <col min="14588" max="14588" width="10.375" style="1"/>
    <col min="14589" max="14589" width="11.625" style="1" bestFit="1" customWidth="1"/>
    <col min="14590" max="14592" width="10.375" style="1"/>
    <col min="14593" max="14593" width="12.875" style="1" customWidth="1"/>
    <col min="14594" max="14594" width="10.375" style="1"/>
    <col min="14595" max="14595" width="13" style="1" customWidth="1"/>
    <col min="14596" max="14834" width="10.375" style="1"/>
    <col min="14835" max="14835" width="33.25" style="1" customWidth="1"/>
    <col min="14836" max="14840" width="10.375" style="1"/>
    <col min="14841" max="14841" width="13.625" style="1" customWidth="1"/>
    <col min="14842" max="14842" width="10.375" style="1"/>
    <col min="14843" max="14843" width="14.375" style="1" customWidth="1"/>
    <col min="14844" max="14844" width="10.375" style="1"/>
    <col min="14845" max="14845" width="11.625" style="1" bestFit="1" customWidth="1"/>
    <col min="14846" max="14848" width="10.375" style="1"/>
    <col min="14849" max="14849" width="12.875" style="1" customWidth="1"/>
    <col min="14850" max="14850" width="10.375" style="1"/>
    <col min="14851" max="14851" width="13" style="1" customWidth="1"/>
    <col min="14852" max="15090" width="10.375" style="1"/>
    <col min="15091" max="15091" width="33.25" style="1" customWidth="1"/>
    <col min="15092" max="15096" width="10.375" style="1"/>
    <col min="15097" max="15097" width="13.625" style="1" customWidth="1"/>
    <col min="15098" max="15098" width="10.375" style="1"/>
    <col min="15099" max="15099" width="14.375" style="1" customWidth="1"/>
    <col min="15100" max="15100" width="10.375" style="1"/>
    <col min="15101" max="15101" width="11.625" style="1" bestFit="1" customWidth="1"/>
    <col min="15102" max="15104" width="10.375" style="1"/>
    <col min="15105" max="15105" width="12.875" style="1" customWidth="1"/>
    <col min="15106" max="15106" width="10.375" style="1"/>
    <col min="15107" max="15107" width="13" style="1" customWidth="1"/>
    <col min="15108" max="15346" width="10.375" style="1"/>
    <col min="15347" max="15347" width="33.25" style="1" customWidth="1"/>
    <col min="15348" max="15352" width="10.375" style="1"/>
    <col min="15353" max="15353" width="13.625" style="1" customWidth="1"/>
    <col min="15354" max="15354" width="10.375" style="1"/>
    <col min="15355" max="15355" width="14.375" style="1" customWidth="1"/>
    <col min="15356" max="15356" width="10.375" style="1"/>
    <col min="15357" max="15357" width="11.625" style="1" bestFit="1" customWidth="1"/>
    <col min="15358" max="15360" width="10.375" style="1"/>
    <col min="15361" max="15361" width="12.875" style="1" customWidth="1"/>
    <col min="15362" max="15362" width="10.375" style="1"/>
    <col min="15363" max="15363" width="13" style="1" customWidth="1"/>
    <col min="15364" max="15602" width="10.375" style="1"/>
    <col min="15603" max="15603" width="33.25" style="1" customWidth="1"/>
    <col min="15604" max="15608" width="10.375" style="1"/>
    <col min="15609" max="15609" width="13.625" style="1" customWidth="1"/>
    <col min="15610" max="15610" width="10.375" style="1"/>
    <col min="15611" max="15611" width="14.375" style="1" customWidth="1"/>
    <col min="15612" max="15612" width="10.375" style="1"/>
    <col min="15613" max="15613" width="11.625" style="1" bestFit="1" customWidth="1"/>
    <col min="15614" max="15616" width="10.375" style="1"/>
    <col min="15617" max="15617" width="12.875" style="1" customWidth="1"/>
    <col min="15618" max="15618" width="10.375" style="1"/>
    <col min="15619" max="15619" width="13" style="1" customWidth="1"/>
    <col min="15620" max="15858" width="10.375" style="1"/>
    <col min="15859" max="15859" width="33.25" style="1" customWidth="1"/>
    <col min="15860" max="15864" width="10.375" style="1"/>
    <col min="15865" max="15865" width="13.625" style="1" customWidth="1"/>
    <col min="15866" max="15866" width="10.375" style="1"/>
    <col min="15867" max="15867" width="14.375" style="1" customWidth="1"/>
    <col min="15868" max="15868" width="10.375" style="1"/>
    <col min="15869" max="15869" width="11.625" style="1" bestFit="1" customWidth="1"/>
    <col min="15870" max="15872" width="10.375" style="1"/>
    <col min="15873" max="15873" width="12.875" style="1" customWidth="1"/>
    <col min="15874" max="15874" width="10.375" style="1"/>
    <col min="15875" max="15875" width="13" style="1" customWidth="1"/>
    <col min="15876" max="16114" width="10.375" style="1"/>
    <col min="16115" max="16115" width="33.25" style="1" customWidth="1"/>
    <col min="16116" max="16120" width="10.375" style="1"/>
    <col min="16121" max="16121" width="13.625" style="1" customWidth="1"/>
    <col min="16122" max="16122" width="10.375" style="1"/>
    <col min="16123" max="16123" width="14.375" style="1" customWidth="1"/>
    <col min="16124" max="16124" width="10.375" style="1"/>
    <col min="16125" max="16125" width="11.625" style="1" bestFit="1" customWidth="1"/>
    <col min="16126" max="16128" width="10.375" style="1"/>
    <col min="16129" max="16129" width="12.875" style="1" customWidth="1"/>
    <col min="16130" max="16130" width="10.375" style="1"/>
    <col min="16131" max="16131" width="13" style="1" customWidth="1"/>
    <col min="16132" max="16384" width="10.375" style="1"/>
  </cols>
  <sheetData>
    <row r="1" spans="1:6" ht="18.600000000000001">
      <c r="A1" s="175" t="s">
        <v>0</v>
      </c>
      <c r="B1" s="175"/>
      <c r="C1" s="175"/>
      <c r="D1" s="175"/>
      <c r="E1" s="175"/>
      <c r="F1" s="175"/>
    </row>
    <row r="2" spans="1:6" ht="18.600000000000001">
      <c r="A2" s="176" t="s">
        <v>1</v>
      </c>
      <c r="B2" s="176"/>
      <c r="C2" s="176"/>
      <c r="D2" s="176"/>
      <c r="E2" s="176"/>
      <c r="F2" s="176"/>
    </row>
    <row r="3" spans="1:6" ht="18.600000000000001">
      <c r="A3" s="177" t="s">
        <v>64</v>
      </c>
      <c r="B3" s="177"/>
      <c r="C3" s="177"/>
      <c r="D3" s="177"/>
      <c r="E3" s="177"/>
      <c r="F3" s="177"/>
    </row>
    <row r="4" spans="1:6" ht="18.600000000000001">
      <c r="A4" s="178" t="s">
        <v>3</v>
      </c>
      <c r="B4" s="173" t="s">
        <v>4</v>
      </c>
      <c r="C4" s="173" t="s">
        <v>5</v>
      </c>
      <c r="D4" s="214" t="s">
        <v>8</v>
      </c>
      <c r="E4" s="215"/>
      <c r="F4" s="216"/>
    </row>
    <row r="5" spans="1:6">
      <c r="A5" s="179"/>
      <c r="B5" s="181"/>
      <c r="C5" s="181"/>
      <c r="D5" s="207" t="s">
        <v>14</v>
      </c>
      <c r="E5" s="209" t="s">
        <v>15</v>
      </c>
      <c r="F5" s="205" t="s">
        <v>16</v>
      </c>
    </row>
    <row r="6" spans="1:6">
      <c r="A6" s="180"/>
      <c r="B6" s="174"/>
      <c r="C6" s="174"/>
      <c r="D6" s="208"/>
      <c r="E6" s="210"/>
      <c r="F6" s="206"/>
    </row>
    <row r="7" spans="1:6" ht="18.600000000000001">
      <c r="A7" s="217" t="s">
        <v>57</v>
      </c>
      <c r="B7" s="218"/>
      <c r="C7" s="219"/>
      <c r="D7" s="142"/>
      <c r="E7" s="143"/>
      <c r="F7" s="144"/>
    </row>
    <row r="8" spans="1:6" ht="18.600000000000001">
      <c r="A8" s="140"/>
      <c r="B8" s="141"/>
      <c r="C8" s="141"/>
      <c r="D8" s="142"/>
      <c r="E8" s="143"/>
      <c r="F8" s="144"/>
    </row>
    <row r="9" spans="1:6" ht="23.25" customHeight="1" thickBot="1">
      <c r="A9" s="220" t="s">
        <v>53</v>
      </c>
      <c r="B9" s="220"/>
      <c r="C9" s="221"/>
      <c r="D9" s="114"/>
      <c r="E9" s="114"/>
      <c r="F9" s="107">
        <v>0</v>
      </c>
    </row>
    <row r="10" spans="1:6" ht="19.2" thickTop="1">
      <c r="A10" s="120"/>
      <c r="B10" s="121"/>
      <c r="C10" s="121"/>
      <c r="D10" s="122"/>
      <c r="E10" s="123"/>
      <c r="F10" s="124"/>
    </row>
    <row r="11" spans="1:6" ht="6.75" customHeight="1">
      <c r="A11" s="120"/>
      <c r="B11" s="121"/>
      <c r="C11" s="121"/>
      <c r="D11" s="122"/>
      <c r="E11" s="123"/>
      <c r="F11" s="124"/>
    </row>
    <row r="12" spans="1:6" ht="18.600000000000001">
      <c r="A12" s="120"/>
      <c r="B12" s="121"/>
      <c r="C12" s="121"/>
      <c r="D12" s="122"/>
      <c r="E12" s="123"/>
      <c r="F12" s="124"/>
    </row>
    <row r="13" spans="1:6" ht="18.600000000000001">
      <c r="B13" s="128"/>
      <c r="C13" s="121"/>
      <c r="D13" s="122"/>
      <c r="E13" s="123"/>
      <c r="F13" s="124"/>
    </row>
    <row r="14" spans="1:6" ht="18.600000000000001">
      <c r="A14" s="129"/>
      <c r="B14" s="130"/>
      <c r="C14" s="129"/>
      <c r="D14" s="134"/>
      <c r="E14" s="135"/>
      <c r="F14" s="136"/>
    </row>
  </sheetData>
  <mergeCells count="12">
    <mergeCell ref="A7:C7"/>
    <mergeCell ref="A9:C9"/>
    <mergeCell ref="A1:F1"/>
    <mergeCell ref="A2:F2"/>
    <mergeCell ref="A3:F3"/>
    <mergeCell ref="A4:A6"/>
    <mergeCell ref="B4:B6"/>
    <mergeCell ref="C4:C6"/>
    <mergeCell ref="D4:F4"/>
    <mergeCell ref="D5:D6"/>
    <mergeCell ref="E5:E6"/>
    <mergeCell ref="F5:F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0D225-7EDA-4E4D-A3DD-33C484D0F7B8}">
  <sheetPr>
    <tabColor rgb="FFFFFF00"/>
  </sheetPr>
  <dimension ref="A1:F21"/>
  <sheetViews>
    <sheetView workbookViewId="0">
      <pane ySplit="6" topLeftCell="A7" activePane="bottomLeft" state="frozen"/>
      <selection pane="bottomLeft" activeCell="F9" sqref="F9"/>
    </sheetView>
  </sheetViews>
  <sheetFormatPr defaultColWidth="10.375" defaultRowHeight="14.4"/>
  <cols>
    <col min="1" max="1" width="10.375" style="1"/>
    <col min="2" max="2" width="33.25" style="1" customWidth="1"/>
    <col min="3" max="5" width="10.375" style="1"/>
    <col min="6" max="6" width="13" style="1" customWidth="1"/>
    <col min="7" max="245" width="10.375" style="1"/>
    <col min="246" max="246" width="33.25" style="1" customWidth="1"/>
    <col min="247" max="251" width="10.375" style="1"/>
    <col min="252" max="252" width="13.625" style="1" customWidth="1"/>
    <col min="253" max="253" width="10.375" style="1"/>
    <col min="254" max="254" width="14.375" style="1" customWidth="1"/>
    <col min="255" max="255" width="10.375" style="1"/>
    <col min="256" max="256" width="11.625" style="1" bestFit="1" customWidth="1"/>
    <col min="257" max="259" width="10.375" style="1"/>
    <col min="260" max="260" width="12.875" style="1" customWidth="1"/>
    <col min="261" max="261" width="10.375" style="1"/>
    <col min="262" max="262" width="13" style="1" customWidth="1"/>
    <col min="263" max="501" width="10.375" style="1"/>
    <col min="502" max="502" width="33.25" style="1" customWidth="1"/>
    <col min="503" max="507" width="10.375" style="1"/>
    <col min="508" max="508" width="13.625" style="1" customWidth="1"/>
    <col min="509" max="509" width="10.375" style="1"/>
    <col min="510" max="510" width="14.375" style="1" customWidth="1"/>
    <col min="511" max="511" width="10.375" style="1"/>
    <col min="512" max="512" width="11.625" style="1" bestFit="1" customWidth="1"/>
    <col min="513" max="515" width="10.375" style="1"/>
    <col min="516" max="516" width="12.875" style="1" customWidth="1"/>
    <col min="517" max="517" width="10.375" style="1"/>
    <col min="518" max="518" width="13" style="1" customWidth="1"/>
    <col min="519" max="757" width="10.375" style="1"/>
    <col min="758" max="758" width="33.25" style="1" customWidth="1"/>
    <col min="759" max="763" width="10.375" style="1"/>
    <col min="764" max="764" width="13.625" style="1" customWidth="1"/>
    <col min="765" max="765" width="10.375" style="1"/>
    <col min="766" max="766" width="14.375" style="1" customWidth="1"/>
    <col min="767" max="767" width="10.375" style="1"/>
    <col min="768" max="768" width="11.625" style="1" bestFit="1" customWidth="1"/>
    <col min="769" max="771" width="10.375" style="1"/>
    <col min="772" max="772" width="12.875" style="1" customWidth="1"/>
    <col min="773" max="773" width="10.375" style="1"/>
    <col min="774" max="774" width="13" style="1" customWidth="1"/>
    <col min="775" max="1013" width="10.375" style="1"/>
    <col min="1014" max="1014" width="33.25" style="1" customWidth="1"/>
    <col min="1015" max="1019" width="10.375" style="1"/>
    <col min="1020" max="1020" width="13.625" style="1" customWidth="1"/>
    <col min="1021" max="1021" width="10.375" style="1"/>
    <col min="1022" max="1022" width="14.375" style="1" customWidth="1"/>
    <col min="1023" max="1023" width="10.375" style="1"/>
    <col min="1024" max="1024" width="11.625" style="1" bestFit="1" customWidth="1"/>
    <col min="1025" max="1027" width="10.375" style="1"/>
    <col min="1028" max="1028" width="12.875" style="1" customWidth="1"/>
    <col min="1029" max="1029" width="10.375" style="1"/>
    <col min="1030" max="1030" width="13" style="1" customWidth="1"/>
    <col min="1031" max="1269" width="10.375" style="1"/>
    <col min="1270" max="1270" width="33.25" style="1" customWidth="1"/>
    <col min="1271" max="1275" width="10.375" style="1"/>
    <col min="1276" max="1276" width="13.625" style="1" customWidth="1"/>
    <col min="1277" max="1277" width="10.375" style="1"/>
    <col min="1278" max="1278" width="14.375" style="1" customWidth="1"/>
    <col min="1279" max="1279" width="10.375" style="1"/>
    <col min="1280" max="1280" width="11.625" style="1" bestFit="1" customWidth="1"/>
    <col min="1281" max="1283" width="10.375" style="1"/>
    <col min="1284" max="1284" width="12.875" style="1" customWidth="1"/>
    <col min="1285" max="1285" width="10.375" style="1"/>
    <col min="1286" max="1286" width="13" style="1" customWidth="1"/>
    <col min="1287" max="1525" width="10.375" style="1"/>
    <col min="1526" max="1526" width="33.25" style="1" customWidth="1"/>
    <col min="1527" max="1531" width="10.375" style="1"/>
    <col min="1532" max="1532" width="13.625" style="1" customWidth="1"/>
    <col min="1533" max="1533" width="10.375" style="1"/>
    <col min="1534" max="1534" width="14.375" style="1" customWidth="1"/>
    <col min="1535" max="1535" width="10.375" style="1"/>
    <col min="1536" max="1536" width="11.625" style="1" bestFit="1" customWidth="1"/>
    <col min="1537" max="1539" width="10.375" style="1"/>
    <col min="1540" max="1540" width="12.875" style="1" customWidth="1"/>
    <col min="1541" max="1541" width="10.375" style="1"/>
    <col min="1542" max="1542" width="13" style="1" customWidth="1"/>
    <col min="1543" max="1781" width="10.375" style="1"/>
    <col min="1782" max="1782" width="33.25" style="1" customWidth="1"/>
    <col min="1783" max="1787" width="10.375" style="1"/>
    <col min="1788" max="1788" width="13.625" style="1" customWidth="1"/>
    <col min="1789" max="1789" width="10.375" style="1"/>
    <col min="1790" max="1790" width="14.375" style="1" customWidth="1"/>
    <col min="1791" max="1791" width="10.375" style="1"/>
    <col min="1792" max="1792" width="11.625" style="1" bestFit="1" customWidth="1"/>
    <col min="1793" max="1795" width="10.375" style="1"/>
    <col min="1796" max="1796" width="12.875" style="1" customWidth="1"/>
    <col min="1797" max="1797" width="10.375" style="1"/>
    <col min="1798" max="1798" width="13" style="1" customWidth="1"/>
    <col min="1799" max="2037" width="10.375" style="1"/>
    <col min="2038" max="2038" width="33.25" style="1" customWidth="1"/>
    <col min="2039" max="2043" width="10.375" style="1"/>
    <col min="2044" max="2044" width="13.625" style="1" customWidth="1"/>
    <col min="2045" max="2045" width="10.375" style="1"/>
    <col min="2046" max="2046" width="14.375" style="1" customWidth="1"/>
    <col min="2047" max="2047" width="10.375" style="1"/>
    <col min="2048" max="2048" width="11.625" style="1" bestFit="1" customWidth="1"/>
    <col min="2049" max="2051" width="10.375" style="1"/>
    <col min="2052" max="2052" width="12.875" style="1" customWidth="1"/>
    <col min="2053" max="2053" width="10.375" style="1"/>
    <col min="2054" max="2054" width="13" style="1" customWidth="1"/>
    <col min="2055" max="2293" width="10.375" style="1"/>
    <col min="2294" max="2294" width="33.25" style="1" customWidth="1"/>
    <col min="2295" max="2299" width="10.375" style="1"/>
    <col min="2300" max="2300" width="13.625" style="1" customWidth="1"/>
    <col min="2301" max="2301" width="10.375" style="1"/>
    <col min="2302" max="2302" width="14.375" style="1" customWidth="1"/>
    <col min="2303" max="2303" width="10.375" style="1"/>
    <col min="2304" max="2304" width="11.625" style="1" bestFit="1" customWidth="1"/>
    <col min="2305" max="2307" width="10.375" style="1"/>
    <col min="2308" max="2308" width="12.875" style="1" customWidth="1"/>
    <col min="2309" max="2309" width="10.375" style="1"/>
    <col min="2310" max="2310" width="13" style="1" customWidth="1"/>
    <col min="2311" max="2549" width="10.375" style="1"/>
    <col min="2550" max="2550" width="33.25" style="1" customWidth="1"/>
    <col min="2551" max="2555" width="10.375" style="1"/>
    <col min="2556" max="2556" width="13.625" style="1" customWidth="1"/>
    <col min="2557" max="2557" width="10.375" style="1"/>
    <col min="2558" max="2558" width="14.375" style="1" customWidth="1"/>
    <col min="2559" max="2559" width="10.375" style="1"/>
    <col min="2560" max="2560" width="11.625" style="1" bestFit="1" customWidth="1"/>
    <col min="2561" max="2563" width="10.375" style="1"/>
    <col min="2564" max="2564" width="12.875" style="1" customWidth="1"/>
    <col min="2565" max="2565" width="10.375" style="1"/>
    <col min="2566" max="2566" width="13" style="1" customWidth="1"/>
    <col min="2567" max="2805" width="10.375" style="1"/>
    <col min="2806" max="2806" width="33.25" style="1" customWidth="1"/>
    <col min="2807" max="2811" width="10.375" style="1"/>
    <col min="2812" max="2812" width="13.625" style="1" customWidth="1"/>
    <col min="2813" max="2813" width="10.375" style="1"/>
    <col min="2814" max="2814" width="14.375" style="1" customWidth="1"/>
    <col min="2815" max="2815" width="10.375" style="1"/>
    <col min="2816" max="2816" width="11.625" style="1" bestFit="1" customWidth="1"/>
    <col min="2817" max="2819" width="10.375" style="1"/>
    <col min="2820" max="2820" width="12.875" style="1" customWidth="1"/>
    <col min="2821" max="2821" width="10.375" style="1"/>
    <col min="2822" max="2822" width="13" style="1" customWidth="1"/>
    <col min="2823" max="3061" width="10.375" style="1"/>
    <col min="3062" max="3062" width="33.25" style="1" customWidth="1"/>
    <col min="3063" max="3067" width="10.375" style="1"/>
    <col min="3068" max="3068" width="13.625" style="1" customWidth="1"/>
    <col min="3069" max="3069" width="10.375" style="1"/>
    <col min="3070" max="3070" width="14.375" style="1" customWidth="1"/>
    <col min="3071" max="3071" width="10.375" style="1"/>
    <col min="3072" max="3072" width="11.625" style="1" bestFit="1" customWidth="1"/>
    <col min="3073" max="3075" width="10.375" style="1"/>
    <col min="3076" max="3076" width="12.875" style="1" customWidth="1"/>
    <col min="3077" max="3077" width="10.375" style="1"/>
    <col min="3078" max="3078" width="13" style="1" customWidth="1"/>
    <col min="3079" max="3317" width="10.375" style="1"/>
    <col min="3318" max="3318" width="33.25" style="1" customWidth="1"/>
    <col min="3319" max="3323" width="10.375" style="1"/>
    <col min="3324" max="3324" width="13.625" style="1" customWidth="1"/>
    <col min="3325" max="3325" width="10.375" style="1"/>
    <col min="3326" max="3326" width="14.375" style="1" customWidth="1"/>
    <col min="3327" max="3327" width="10.375" style="1"/>
    <col min="3328" max="3328" width="11.625" style="1" bestFit="1" customWidth="1"/>
    <col min="3329" max="3331" width="10.375" style="1"/>
    <col min="3332" max="3332" width="12.875" style="1" customWidth="1"/>
    <col min="3333" max="3333" width="10.375" style="1"/>
    <col min="3334" max="3334" width="13" style="1" customWidth="1"/>
    <col min="3335" max="3573" width="10.375" style="1"/>
    <col min="3574" max="3574" width="33.25" style="1" customWidth="1"/>
    <col min="3575" max="3579" width="10.375" style="1"/>
    <col min="3580" max="3580" width="13.625" style="1" customWidth="1"/>
    <col min="3581" max="3581" width="10.375" style="1"/>
    <col min="3582" max="3582" width="14.375" style="1" customWidth="1"/>
    <col min="3583" max="3583" width="10.375" style="1"/>
    <col min="3584" max="3584" width="11.625" style="1" bestFit="1" customWidth="1"/>
    <col min="3585" max="3587" width="10.375" style="1"/>
    <col min="3588" max="3588" width="12.875" style="1" customWidth="1"/>
    <col min="3589" max="3589" width="10.375" style="1"/>
    <col min="3590" max="3590" width="13" style="1" customWidth="1"/>
    <col min="3591" max="3829" width="10.375" style="1"/>
    <col min="3830" max="3830" width="33.25" style="1" customWidth="1"/>
    <col min="3831" max="3835" width="10.375" style="1"/>
    <col min="3836" max="3836" width="13.625" style="1" customWidth="1"/>
    <col min="3837" max="3837" width="10.375" style="1"/>
    <col min="3838" max="3838" width="14.375" style="1" customWidth="1"/>
    <col min="3839" max="3839" width="10.375" style="1"/>
    <col min="3840" max="3840" width="11.625" style="1" bestFit="1" customWidth="1"/>
    <col min="3841" max="3843" width="10.375" style="1"/>
    <col min="3844" max="3844" width="12.875" style="1" customWidth="1"/>
    <col min="3845" max="3845" width="10.375" style="1"/>
    <col min="3846" max="3846" width="13" style="1" customWidth="1"/>
    <col min="3847" max="4085" width="10.375" style="1"/>
    <col min="4086" max="4086" width="33.25" style="1" customWidth="1"/>
    <col min="4087" max="4091" width="10.375" style="1"/>
    <col min="4092" max="4092" width="13.625" style="1" customWidth="1"/>
    <col min="4093" max="4093" width="10.375" style="1"/>
    <col min="4094" max="4094" width="14.375" style="1" customWidth="1"/>
    <col min="4095" max="4095" width="10.375" style="1"/>
    <col min="4096" max="4096" width="11.625" style="1" bestFit="1" customWidth="1"/>
    <col min="4097" max="4099" width="10.375" style="1"/>
    <col min="4100" max="4100" width="12.875" style="1" customWidth="1"/>
    <col min="4101" max="4101" width="10.375" style="1"/>
    <col min="4102" max="4102" width="13" style="1" customWidth="1"/>
    <col min="4103" max="4341" width="10.375" style="1"/>
    <col min="4342" max="4342" width="33.25" style="1" customWidth="1"/>
    <col min="4343" max="4347" width="10.375" style="1"/>
    <col min="4348" max="4348" width="13.625" style="1" customWidth="1"/>
    <col min="4349" max="4349" width="10.375" style="1"/>
    <col min="4350" max="4350" width="14.375" style="1" customWidth="1"/>
    <col min="4351" max="4351" width="10.375" style="1"/>
    <col min="4352" max="4352" width="11.625" style="1" bestFit="1" customWidth="1"/>
    <col min="4353" max="4355" width="10.375" style="1"/>
    <col min="4356" max="4356" width="12.875" style="1" customWidth="1"/>
    <col min="4357" max="4357" width="10.375" style="1"/>
    <col min="4358" max="4358" width="13" style="1" customWidth="1"/>
    <col min="4359" max="4597" width="10.375" style="1"/>
    <col min="4598" max="4598" width="33.25" style="1" customWidth="1"/>
    <col min="4599" max="4603" width="10.375" style="1"/>
    <col min="4604" max="4604" width="13.625" style="1" customWidth="1"/>
    <col min="4605" max="4605" width="10.375" style="1"/>
    <col min="4606" max="4606" width="14.375" style="1" customWidth="1"/>
    <col min="4607" max="4607" width="10.375" style="1"/>
    <col min="4608" max="4608" width="11.625" style="1" bestFit="1" customWidth="1"/>
    <col min="4609" max="4611" width="10.375" style="1"/>
    <col min="4612" max="4612" width="12.875" style="1" customWidth="1"/>
    <col min="4613" max="4613" width="10.375" style="1"/>
    <col min="4614" max="4614" width="13" style="1" customWidth="1"/>
    <col min="4615" max="4853" width="10.375" style="1"/>
    <col min="4854" max="4854" width="33.25" style="1" customWidth="1"/>
    <col min="4855" max="4859" width="10.375" style="1"/>
    <col min="4860" max="4860" width="13.625" style="1" customWidth="1"/>
    <col min="4861" max="4861" width="10.375" style="1"/>
    <col min="4862" max="4862" width="14.375" style="1" customWidth="1"/>
    <col min="4863" max="4863" width="10.375" style="1"/>
    <col min="4864" max="4864" width="11.625" style="1" bestFit="1" customWidth="1"/>
    <col min="4865" max="4867" width="10.375" style="1"/>
    <col min="4868" max="4868" width="12.875" style="1" customWidth="1"/>
    <col min="4869" max="4869" width="10.375" style="1"/>
    <col min="4870" max="4870" width="13" style="1" customWidth="1"/>
    <col min="4871" max="5109" width="10.375" style="1"/>
    <col min="5110" max="5110" width="33.25" style="1" customWidth="1"/>
    <col min="5111" max="5115" width="10.375" style="1"/>
    <col min="5116" max="5116" width="13.625" style="1" customWidth="1"/>
    <col min="5117" max="5117" width="10.375" style="1"/>
    <col min="5118" max="5118" width="14.375" style="1" customWidth="1"/>
    <col min="5119" max="5119" width="10.375" style="1"/>
    <col min="5120" max="5120" width="11.625" style="1" bestFit="1" customWidth="1"/>
    <col min="5121" max="5123" width="10.375" style="1"/>
    <col min="5124" max="5124" width="12.875" style="1" customWidth="1"/>
    <col min="5125" max="5125" width="10.375" style="1"/>
    <col min="5126" max="5126" width="13" style="1" customWidth="1"/>
    <col min="5127" max="5365" width="10.375" style="1"/>
    <col min="5366" max="5366" width="33.25" style="1" customWidth="1"/>
    <col min="5367" max="5371" width="10.375" style="1"/>
    <col min="5372" max="5372" width="13.625" style="1" customWidth="1"/>
    <col min="5373" max="5373" width="10.375" style="1"/>
    <col min="5374" max="5374" width="14.375" style="1" customWidth="1"/>
    <col min="5375" max="5375" width="10.375" style="1"/>
    <col min="5376" max="5376" width="11.625" style="1" bestFit="1" customWidth="1"/>
    <col min="5377" max="5379" width="10.375" style="1"/>
    <col min="5380" max="5380" width="12.875" style="1" customWidth="1"/>
    <col min="5381" max="5381" width="10.375" style="1"/>
    <col min="5382" max="5382" width="13" style="1" customWidth="1"/>
    <col min="5383" max="5621" width="10.375" style="1"/>
    <col min="5622" max="5622" width="33.25" style="1" customWidth="1"/>
    <col min="5623" max="5627" width="10.375" style="1"/>
    <col min="5628" max="5628" width="13.625" style="1" customWidth="1"/>
    <col min="5629" max="5629" width="10.375" style="1"/>
    <col min="5630" max="5630" width="14.375" style="1" customWidth="1"/>
    <col min="5631" max="5631" width="10.375" style="1"/>
    <col min="5632" max="5632" width="11.625" style="1" bestFit="1" customWidth="1"/>
    <col min="5633" max="5635" width="10.375" style="1"/>
    <col min="5636" max="5636" width="12.875" style="1" customWidth="1"/>
    <col min="5637" max="5637" width="10.375" style="1"/>
    <col min="5638" max="5638" width="13" style="1" customWidth="1"/>
    <col min="5639" max="5877" width="10.375" style="1"/>
    <col min="5878" max="5878" width="33.25" style="1" customWidth="1"/>
    <col min="5879" max="5883" width="10.375" style="1"/>
    <col min="5884" max="5884" width="13.625" style="1" customWidth="1"/>
    <col min="5885" max="5885" width="10.375" style="1"/>
    <col min="5886" max="5886" width="14.375" style="1" customWidth="1"/>
    <col min="5887" max="5887" width="10.375" style="1"/>
    <col min="5888" max="5888" width="11.625" style="1" bestFit="1" customWidth="1"/>
    <col min="5889" max="5891" width="10.375" style="1"/>
    <col min="5892" max="5892" width="12.875" style="1" customWidth="1"/>
    <col min="5893" max="5893" width="10.375" style="1"/>
    <col min="5894" max="5894" width="13" style="1" customWidth="1"/>
    <col min="5895" max="6133" width="10.375" style="1"/>
    <col min="6134" max="6134" width="33.25" style="1" customWidth="1"/>
    <col min="6135" max="6139" width="10.375" style="1"/>
    <col min="6140" max="6140" width="13.625" style="1" customWidth="1"/>
    <col min="6141" max="6141" width="10.375" style="1"/>
    <col min="6142" max="6142" width="14.375" style="1" customWidth="1"/>
    <col min="6143" max="6143" width="10.375" style="1"/>
    <col min="6144" max="6144" width="11.625" style="1" bestFit="1" customWidth="1"/>
    <col min="6145" max="6147" width="10.375" style="1"/>
    <col min="6148" max="6148" width="12.875" style="1" customWidth="1"/>
    <col min="6149" max="6149" width="10.375" style="1"/>
    <col min="6150" max="6150" width="13" style="1" customWidth="1"/>
    <col min="6151" max="6389" width="10.375" style="1"/>
    <col min="6390" max="6390" width="33.25" style="1" customWidth="1"/>
    <col min="6391" max="6395" width="10.375" style="1"/>
    <col min="6396" max="6396" width="13.625" style="1" customWidth="1"/>
    <col min="6397" max="6397" width="10.375" style="1"/>
    <col min="6398" max="6398" width="14.375" style="1" customWidth="1"/>
    <col min="6399" max="6399" width="10.375" style="1"/>
    <col min="6400" max="6400" width="11.625" style="1" bestFit="1" customWidth="1"/>
    <col min="6401" max="6403" width="10.375" style="1"/>
    <col min="6404" max="6404" width="12.875" style="1" customWidth="1"/>
    <col min="6405" max="6405" width="10.375" style="1"/>
    <col min="6406" max="6406" width="13" style="1" customWidth="1"/>
    <col min="6407" max="6645" width="10.375" style="1"/>
    <col min="6646" max="6646" width="33.25" style="1" customWidth="1"/>
    <col min="6647" max="6651" width="10.375" style="1"/>
    <col min="6652" max="6652" width="13.625" style="1" customWidth="1"/>
    <col min="6653" max="6653" width="10.375" style="1"/>
    <col min="6654" max="6654" width="14.375" style="1" customWidth="1"/>
    <col min="6655" max="6655" width="10.375" style="1"/>
    <col min="6656" max="6656" width="11.625" style="1" bestFit="1" customWidth="1"/>
    <col min="6657" max="6659" width="10.375" style="1"/>
    <col min="6660" max="6660" width="12.875" style="1" customWidth="1"/>
    <col min="6661" max="6661" width="10.375" style="1"/>
    <col min="6662" max="6662" width="13" style="1" customWidth="1"/>
    <col min="6663" max="6901" width="10.375" style="1"/>
    <col min="6902" max="6902" width="33.25" style="1" customWidth="1"/>
    <col min="6903" max="6907" width="10.375" style="1"/>
    <col min="6908" max="6908" width="13.625" style="1" customWidth="1"/>
    <col min="6909" max="6909" width="10.375" style="1"/>
    <col min="6910" max="6910" width="14.375" style="1" customWidth="1"/>
    <col min="6911" max="6911" width="10.375" style="1"/>
    <col min="6912" max="6912" width="11.625" style="1" bestFit="1" customWidth="1"/>
    <col min="6913" max="6915" width="10.375" style="1"/>
    <col min="6916" max="6916" width="12.875" style="1" customWidth="1"/>
    <col min="6917" max="6917" width="10.375" style="1"/>
    <col min="6918" max="6918" width="13" style="1" customWidth="1"/>
    <col min="6919" max="7157" width="10.375" style="1"/>
    <col min="7158" max="7158" width="33.25" style="1" customWidth="1"/>
    <col min="7159" max="7163" width="10.375" style="1"/>
    <col min="7164" max="7164" width="13.625" style="1" customWidth="1"/>
    <col min="7165" max="7165" width="10.375" style="1"/>
    <col min="7166" max="7166" width="14.375" style="1" customWidth="1"/>
    <col min="7167" max="7167" width="10.375" style="1"/>
    <col min="7168" max="7168" width="11.625" style="1" bestFit="1" customWidth="1"/>
    <col min="7169" max="7171" width="10.375" style="1"/>
    <col min="7172" max="7172" width="12.875" style="1" customWidth="1"/>
    <col min="7173" max="7173" width="10.375" style="1"/>
    <col min="7174" max="7174" width="13" style="1" customWidth="1"/>
    <col min="7175" max="7413" width="10.375" style="1"/>
    <col min="7414" max="7414" width="33.25" style="1" customWidth="1"/>
    <col min="7415" max="7419" width="10.375" style="1"/>
    <col min="7420" max="7420" width="13.625" style="1" customWidth="1"/>
    <col min="7421" max="7421" width="10.375" style="1"/>
    <col min="7422" max="7422" width="14.375" style="1" customWidth="1"/>
    <col min="7423" max="7423" width="10.375" style="1"/>
    <col min="7424" max="7424" width="11.625" style="1" bestFit="1" customWidth="1"/>
    <col min="7425" max="7427" width="10.375" style="1"/>
    <col min="7428" max="7428" width="12.875" style="1" customWidth="1"/>
    <col min="7429" max="7429" width="10.375" style="1"/>
    <col min="7430" max="7430" width="13" style="1" customWidth="1"/>
    <col min="7431" max="7669" width="10.375" style="1"/>
    <col min="7670" max="7670" width="33.25" style="1" customWidth="1"/>
    <col min="7671" max="7675" width="10.375" style="1"/>
    <col min="7676" max="7676" width="13.625" style="1" customWidth="1"/>
    <col min="7677" max="7677" width="10.375" style="1"/>
    <col min="7678" max="7678" width="14.375" style="1" customWidth="1"/>
    <col min="7679" max="7679" width="10.375" style="1"/>
    <col min="7680" max="7680" width="11.625" style="1" bestFit="1" customWidth="1"/>
    <col min="7681" max="7683" width="10.375" style="1"/>
    <col min="7684" max="7684" width="12.875" style="1" customWidth="1"/>
    <col min="7685" max="7685" width="10.375" style="1"/>
    <col min="7686" max="7686" width="13" style="1" customWidth="1"/>
    <col min="7687" max="7925" width="10.375" style="1"/>
    <col min="7926" max="7926" width="33.25" style="1" customWidth="1"/>
    <col min="7927" max="7931" width="10.375" style="1"/>
    <col min="7932" max="7932" width="13.625" style="1" customWidth="1"/>
    <col min="7933" max="7933" width="10.375" style="1"/>
    <col min="7934" max="7934" width="14.375" style="1" customWidth="1"/>
    <col min="7935" max="7935" width="10.375" style="1"/>
    <col min="7936" max="7936" width="11.625" style="1" bestFit="1" customWidth="1"/>
    <col min="7937" max="7939" width="10.375" style="1"/>
    <col min="7940" max="7940" width="12.875" style="1" customWidth="1"/>
    <col min="7941" max="7941" width="10.375" style="1"/>
    <col min="7942" max="7942" width="13" style="1" customWidth="1"/>
    <col min="7943" max="8181" width="10.375" style="1"/>
    <col min="8182" max="8182" width="33.25" style="1" customWidth="1"/>
    <col min="8183" max="8187" width="10.375" style="1"/>
    <col min="8188" max="8188" width="13.625" style="1" customWidth="1"/>
    <col min="8189" max="8189" width="10.375" style="1"/>
    <col min="8190" max="8190" width="14.375" style="1" customWidth="1"/>
    <col min="8191" max="8191" width="10.375" style="1"/>
    <col min="8192" max="8192" width="11.625" style="1" bestFit="1" customWidth="1"/>
    <col min="8193" max="8195" width="10.375" style="1"/>
    <col min="8196" max="8196" width="12.875" style="1" customWidth="1"/>
    <col min="8197" max="8197" width="10.375" style="1"/>
    <col min="8198" max="8198" width="13" style="1" customWidth="1"/>
    <col min="8199" max="8437" width="10.375" style="1"/>
    <col min="8438" max="8438" width="33.25" style="1" customWidth="1"/>
    <col min="8439" max="8443" width="10.375" style="1"/>
    <col min="8444" max="8444" width="13.625" style="1" customWidth="1"/>
    <col min="8445" max="8445" width="10.375" style="1"/>
    <col min="8446" max="8446" width="14.375" style="1" customWidth="1"/>
    <col min="8447" max="8447" width="10.375" style="1"/>
    <col min="8448" max="8448" width="11.625" style="1" bestFit="1" customWidth="1"/>
    <col min="8449" max="8451" width="10.375" style="1"/>
    <col min="8452" max="8452" width="12.875" style="1" customWidth="1"/>
    <col min="8453" max="8453" width="10.375" style="1"/>
    <col min="8454" max="8454" width="13" style="1" customWidth="1"/>
    <col min="8455" max="8693" width="10.375" style="1"/>
    <col min="8694" max="8694" width="33.25" style="1" customWidth="1"/>
    <col min="8695" max="8699" width="10.375" style="1"/>
    <col min="8700" max="8700" width="13.625" style="1" customWidth="1"/>
    <col min="8701" max="8701" width="10.375" style="1"/>
    <col min="8702" max="8702" width="14.375" style="1" customWidth="1"/>
    <col min="8703" max="8703" width="10.375" style="1"/>
    <col min="8704" max="8704" width="11.625" style="1" bestFit="1" customWidth="1"/>
    <col min="8705" max="8707" width="10.375" style="1"/>
    <col min="8708" max="8708" width="12.875" style="1" customWidth="1"/>
    <col min="8709" max="8709" width="10.375" style="1"/>
    <col min="8710" max="8710" width="13" style="1" customWidth="1"/>
    <col min="8711" max="8949" width="10.375" style="1"/>
    <col min="8950" max="8950" width="33.25" style="1" customWidth="1"/>
    <col min="8951" max="8955" width="10.375" style="1"/>
    <col min="8956" max="8956" width="13.625" style="1" customWidth="1"/>
    <col min="8957" max="8957" width="10.375" style="1"/>
    <col min="8958" max="8958" width="14.375" style="1" customWidth="1"/>
    <col min="8959" max="8959" width="10.375" style="1"/>
    <col min="8960" max="8960" width="11.625" style="1" bestFit="1" customWidth="1"/>
    <col min="8961" max="8963" width="10.375" style="1"/>
    <col min="8964" max="8964" width="12.875" style="1" customWidth="1"/>
    <col min="8965" max="8965" width="10.375" style="1"/>
    <col min="8966" max="8966" width="13" style="1" customWidth="1"/>
    <col min="8967" max="9205" width="10.375" style="1"/>
    <col min="9206" max="9206" width="33.25" style="1" customWidth="1"/>
    <col min="9207" max="9211" width="10.375" style="1"/>
    <col min="9212" max="9212" width="13.625" style="1" customWidth="1"/>
    <col min="9213" max="9213" width="10.375" style="1"/>
    <col min="9214" max="9214" width="14.375" style="1" customWidth="1"/>
    <col min="9215" max="9215" width="10.375" style="1"/>
    <col min="9216" max="9216" width="11.625" style="1" bestFit="1" customWidth="1"/>
    <col min="9217" max="9219" width="10.375" style="1"/>
    <col min="9220" max="9220" width="12.875" style="1" customWidth="1"/>
    <col min="9221" max="9221" width="10.375" style="1"/>
    <col min="9222" max="9222" width="13" style="1" customWidth="1"/>
    <col min="9223" max="9461" width="10.375" style="1"/>
    <col min="9462" max="9462" width="33.25" style="1" customWidth="1"/>
    <col min="9463" max="9467" width="10.375" style="1"/>
    <col min="9468" max="9468" width="13.625" style="1" customWidth="1"/>
    <col min="9469" max="9469" width="10.375" style="1"/>
    <col min="9470" max="9470" width="14.375" style="1" customWidth="1"/>
    <col min="9471" max="9471" width="10.375" style="1"/>
    <col min="9472" max="9472" width="11.625" style="1" bestFit="1" customWidth="1"/>
    <col min="9473" max="9475" width="10.375" style="1"/>
    <col min="9476" max="9476" width="12.875" style="1" customWidth="1"/>
    <col min="9477" max="9477" width="10.375" style="1"/>
    <col min="9478" max="9478" width="13" style="1" customWidth="1"/>
    <col min="9479" max="9717" width="10.375" style="1"/>
    <col min="9718" max="9718" width="33.25" style="1" customWidth="1"/>
    <col min="9719" max="9723" width="10.375" style="1"/>
    <col min="9724" max="9724" width="13.625" style="1" customWidth="1"/>
    <col min="9725" max="9725" width="10.375" style="1"/>
    <col min="9726" max="9726" width="14.375" style="1" customWidth="1"/>
    <col min="9727" max="9727" width="10.375" style="1"/>
    <col min="9728" max="9728" width="11.625" style="1" bestFit="1" customWidth="1"/>
    <col min="9729" max="9731" width="10.375" style="1"/>
    <col min="9732" max="9732" width="12.875" style="1" customWidth="1"/>
    <col min="9733" max="9733" width="10.375" style="1"/>
    <col min="9734" max="9734" width="13" style="1" customWidth="1"/>
    <col min="9735" max="9973" width="10.375" style="1"/>
    <col min="9974" max="9974" width="33.25" style="1" customWidth="1"/>
    <col min="9975" max="9979" width="10.375" style="1"/>
    <col min="9980" max="9980" width="13.625" style="1" customWidth="1"/>
    <col min="9981" max="9981" width="10.375" style="1"/>
    <col min="9982" max="9982" width="14.375" style="1" customWidth="1"/>
    <col min="9983" max="9983" width="10.375" style="1"/>
    <col min="9984" max="9984" width="11.625" style="1" bestFit="1" customWidth="1"/>
    <col min="9985" max="9987" width="10.375" style="1"/>
    <col min="9988" max="9988" width="12.875" style="1" customWidth="1"/>
    <col min="9989" max="9989" width="10.375" style="1"/>
    <col min="9990" max="9990" width="13" style="1" customWidth="1"/>
    <col min="9991" max="10229" width="10.375" style="1"/>
    <col min="10230" max="10230" width="33.25" style="1" customWidth="1"/>
    <col min="10231" max="10235" width="10.375" style="1"/>
    <col min="10236" max="10236" width="13.625" style="1" customWidth="1"/>
    <col min="10237" max="10237" width="10.375" style="1"/>
    <col min="10238" max="10238" width="14.375" style="1" customWidth="1"/>
    <col min="10239" max="10239" width="10.375" style="1"/>
    <col min="10240" max="10240" width="11.625" style="1" bestFit="1" customWidth="1"/>
    <col min="10241" max="10243" width="10.375" style="1"/>
    <col min="10244" max="10244" width="12.875" style="1" customWidth="1"/>
    <col min="10245" max="10245" width="10.375" style="1"/>
    <col min="10246" max="10246" width="13" style="1" customWidth="1"/>
    <col min="10247" max="10485" width="10.375" style="1"/>
    <col min="10486" max="10486" width="33.25" style="1" customWidth="1"/>
    <col min="10487" max="10491" width="10.375" style="1"/>
    <col min="10492" max="10492" width="13.625" style="1" customWidth="1"/>
    <col min="10493" max="10493" width="10.375" style="1"/>
    <col min="10494" max="10494" width="14.375" style="1" customWidth="1"/>
    <col min="10495" max="10495" width="10.375" style="1"/>
    <col min="10496" max="10496" width="11.625" style="1" bestFit="1" customWidth="1"/>
    <col min="10497" max="10499" width="10.375" style="1"/>
    <col min="10500" max="10500" width="12.875" style="1" customWidth="1"/>
    <col min="10501" max="10501" width="10.375" style="1"/>
    <col min="10502" max="10502" width="13" style="1" customWidth="1"/>
    <col min="10503" max="10741" width="10.375" style="1"/>
    <col min="10742" max="10742" width="33.25" style="1" customWidth="1"/>
    <col min="10743" max="10747" width="10.375" style="1"/>
    <col min="10748" max="10748" width="13.625" style="1" customWidth="1"/>
    <col min="10749" max="10749" width="10.375" style="1"/>
    <col min="10750" max="10750" width="14.375" style="1" customWidth="1"/>
    <col min="10751" max="10751" width="10.375" style="1"/>
    <col min="10752" max="10752" width="11.625" style="1" bestFit="1" customWidth="1"/>
    <col min="10753" max="10755" width="10.375" style="1"/>
    <col min="10756" max="10756" width="12.875" style="1" customWidth="1"/>
    <col min="10757" max="10757" width="10.375" style="1"/>
    <col min="10758" max="10758" width="13" style="1" customWidth="1"/>
    <col min="10759" max="10997" width="10.375" style="1"/>
    <col min="10998" max="10998" width="33.25" style="1" customWidth="1"/>
    <col min="10999" max="11003" width="10.375" style="1"/>
    <col min="11004" max="11004" width="13.625" style="1" customWidth="1"/>
    <col min="11005" max="11005" width="10.375" style="1"/>
    <col min="11006" max="11006" width="14.375" style="1" customWidth="1"/>
    <col min="11007" max="11007" width="10.375" style="1"/>
    <col min="11008" max="11008" width="11.625" style="1" bestFit="1" customWidth="1"/>
    <col min="11009" max="11011" width="10.375" style="1"/>
    <col min="11012" max="11012" width="12.875" style="1" customWidth="1"/>
    <col min="11013" max="11013" width="10.375" style="1"/>
    <col min="11014" max="11014" width="13" style="1" customWidth="1"/>
    <col min="11015" max="11253" width="10.375" style="1"/>
    <col min="11254" max="11254" width="33.25" style="1" customWidth="1"/>
    <col min="11255" max="11259" width="10.375" style="1"/>
    <col min="11260" max="11260" width="13.625" style="1" customWidth="1"/>
    <col min="11261" max="11261" width="10.375" style="1"/>
    <col min="11262" max="11262" width="14.375" style="1" customWidth="1"/>
    <col min="11263" max="11263" width="10.375" style="1"/>
    <col min="11264" max="11264" width="11.625" style="1" bestFit="1" customWidth="1"/>
    <col min="11265" max="11267" width="10.375" style="1"/>
    <col min="11268" max="11268" width="12.875" style="1" customWidth="1"/>
    <col min="11269" max="11269" width="10.375" style="1"/>
    <col min="11270" max="11270" width="13" style="1" customWidth="1"/>
    <col min="11271" max="11509" width="10.375" style="1"/>
    <col min="11510" max="11510" width="33.25" style="1" customWidth="1"/>
    <col min="11511" max="11515" width="10.375" style="1"/>
    <col min="11516" max="11516" width="13.625" style="1" customWidth="1"/>
    <col min="11517" max="11517" width="10.375" style="1"/>
    <col min="11518" max="11518" width="14.375" style="1" customWidth="1"/>
    <col min="11519" max="11519" width="10.375" style="1"/>
    <col min="11520" max="11520" width="11.625" style="1" bestFit="1" customWidth="1"/>
    <col min="11521" max="11523" width="10.375" style="1"/>
    <col min="11524" max="11524" width="12.875" style="1" customWidth="1"/>
    <col min="11525" max="11525" width="10.375" style="1"/>
    <col min="11526" max="11526" width="13" style="1" customWidth="1"/>
    <col min="11527" max="11765" width="10.375" style="1"/>
    <col min="11766" max="11766" width="33.25" style="1" customWidth="1"/>
    <col min="11767" max="11771" width="10.375" style="1"/>
    <col min="11772" max="11772" width="13.625" style="1" customWidth="1"/>
    <col min="11773" max="11773" width="10.375" style="1"/>
    <col min="11774" max="11774" width="14.375" style="1" customWidth="1"/>
    <col min="11775" max="11775" width="10.375" style="1"/>
    <col min="11776" max="11776" width="11.625" style="1" bestFit="1" customWidth="1"/>
    <col min="11777" max="11779" width="10.375" style="1"/>
    <col min="11780" max="11780" width="12.875" style="1" customWidth="1"/>
    <col min="11781" max="11781" width="10.375" style="1"/>
    <col min="11782" max="11782" width="13" style="1" customWidth="1"/>
    <col min="11783" max="12021" width="10.375" style="1"/>
    <col min="12022" max="12022" width="33.25" style="1" customWidth="1"/>
    <col min="12023" max="12027" width="10.375" style="1"/>
    <col min="12028" max="12028" width="13.625" style="1" customWidth="1"/>
    <col min="12029" max="12029" width="10.375" style="1"/>
    <col min="12030" max="12030" width="14.375" style="1" customWidth="1"/>
    <col min="12031" max="12031" width="10.375" style="1"/>
    <col min="12032" max="12032" width="11.625" style="1" bestFit="1" customWidth="1"/>
    <col min="12033" max="12035" width="10.375" style="1"/>
    <col min="12036" max="12036" width="12.875" style="1" customWidth="1"/>
    <col min="12037" max="12037" width="10.375" style="1"/>
    <col min="12038" max="12038" width="13" style="1" customWidth="1"/>
    <col min="12039" max="12277" width="10.375" style="1"/>
    <col min="12278" max="12278" width="33.25" style="1" customWidth="1"/>
    <col min="12279" max="12283" width="10.375" style="1"/>
    <col min="12284" max="12284" width="13.625" style="1" customWidth="1"/>
    <col min="12285" max="12285" width="10.375" style="1"/>
    <col min="12286" max="12286" width="14.375" style="1" customWidth="1"/>
    <col min="12287" max="12287" width="10.375" style="1"/>
    <col min="12288" max="12288" width="11.625" style="1" bestFit="1" customWidth="1"/>
    <col min="12289" max="12291" width="10.375" style="1"/>
    <col min="12292" max="12292" width="12.875" style="1" customWidth="1"/>
    <col min="12293" max="12293" width="10.375" style="1"/>
    <col min="12294" max="12294" width="13" style="1" customWidth="1"/>
    <col min="12295" max="12533" width="10.375" style="1"/>
    <col min="12534" max="12534" width="33.25" style="1" customWidth="1"/>
    <col min="12535" max="12539" width="10.375" style="1"/>
    <col min="12540" max="12540" width="13.625" style="1" customWidth="1"/>
    <col min="12541" max="12541" width="10.375" style="1"/>
    <col min="12542" max="12542" width="14.375" style="1" customWidth="1"/>
    <col min="12543" max="12543" width="10.375" style="1"/>
    <col min="12544" max="12544" width="11.625" style="1" bestFit="1" customWidth="1"/>
    <col min="12545" max="12547" width="10.375" style="1"/>
    <col min="12548" max="12548" width="12.875" style="1" customWidth="1"/>
    <col min="12549" max="12549" width="10.375" style="1"/>
    <col min="12550" max="12550" width="13" style="1" customWidth="1"/>
    <col min="12551" max="12789" width="10.375" style="1"/>
    <col min="12790" max="12790" width="33.25" style="1" customWidth="1"/>
    <col min="12791" max="12795" width="10.375" style="1"/>
    <col min="12796" max="12796" width="13.625" style="1" customWidth="1"/>
    <col min="12797" max="12797" width="10.375" style="1"/>
    <col min="12798" max="12798" width="14.375" style="1" customWidth="1"/>
    <col min="12799" max="12799" width="10.375" style="1"/>
    <col min="12800" max="12800" width="11.625" style="1" bestFit="1" customWidth="1"/>
    <col min="12801" max="12803" width="10.375" style="1"/>
    <col min="12804" max="12804" width="12.875" style="1" customWidth="1"/>
    <col min="12805" max="12805" width="10.375" style="1"/>
    <col min="12806" max="12806" width="13" style="1" customWidth="1"/>
    <col min="12807" max="13045" width="10.375" style="1"/>
    <col min="13046" max="13046" width="33.25" style="1" customWidth="1"/>
    <col min="13047" max="13051" width="10.375" style="1"/>
    <col min="13052" max="13052" width="13.625" style="1" customWidth="1"/>
    <col min="13053" max="13053" width="10.375" style="1"/>
    <col min="13054" max="13054" width="14.375" style="1" customWidth="1"/>
    <col min="13055" max="13055" width="10.375" style="1"/>
    <col min="13056" max="13056" width="11.625" style="1" bestFit="1" customWidth="1"/>
    <col min="13057" max="13059" width="10.375" style="1"/>
    <col min="13060" max="13060" width="12.875" style="1" customWidth="1"/>
    <col min="13061" max="13061" width="10.375" style="1"/>
    <col min="13062" max="13062" width="13" style="1" customWidth="1"/>
    <col min="13063" max="13301" width="10.375" style="1"/>
    <col min="13302" max="13302" width="33.25" style="1" customWidth="1"/>
    <col min="13303" max="13307" width="10.375" style="1"/>
    <col min="13308" max="13308" width="13.625" style="1" customWidth="1"/>
    <col min="13309" max="13309" width="10.375" style="1"/>
    <col min="13310" max="13310" width="14.375" style="1" customWidth="1"/>
    <col min="13311" max="13311" width="10.375" style="1"/>
    <col min="13312" max="13312" width="11.625" style="1" bestFit="1" customWidth="1"/>
    <col min="13313" max="13315" width="10.375" style="1"/>
    <col min="13316" max="13316" width="12.875" style="1" customWidth="1"/>
    <col min="13317" max="13317" width="10.375" style="1"/>
    <col min="13318" max="13318" width="13" style="1" customWidth="1"/>
    <col min="13319" max="13557" width="10.375" style="1"/>
    <col min="13558" max="13558" width="33.25" style="1" customWidth="1"/>
    <col min="13559" max="13563" width="10.375" style="1"/>
    <col min="13564" max="13564" width="13.625" style="1" customWidth="1"/>
    <col min="13565" max="13565" width="10.375" style="1"/>
    <col min="13566" max="13566" width="14.375" style="1" customWidth="1"/>
    <col min="13567" max="13567" width="10.375" style="1"/>
    <col min="13568" max="13568" width="11.625" style="1" bestFit="1" customWidth="1"/>
    <col min="13569" max="13571" width="10.375" style="1"/>
    <col min="13572" max="13572" width="12.875" style="1" customWidth="1"/>
    <col min="13573" max="13573" width="10.375" style="1"/>
    <col min="13574" max="13574" width="13" style="1" customWidth="1"/>
    <col min="13575" max="13813" width="10.375" style="1"/>
    <col min="13814" max="13814" width="33.25" style="1" customWidth="1"/>
    <col min="13815" max="13819" width="10.375" style="1"/>
    <col min="13820" max="13820" width="13.625" style="1" customWidth="1"/>
    <col min="13821" max="13821" width="10.375" style="1"/>
    <col min="13822" max="13822" width="14.375" style="1" customWidth="1"/>
    <col min="13823" max="13823" width="10.375" style="1"/>
    <col min="13824" max="13824" width="11.625" style="1" bestFit="1" customWidth="1"/>
    <col min="13825" max="13827" width="10.375" style="1"/>
    <col min="13828" max="13828" width="12.875" style="1" customWidth="1"/>
    <col min="13829" max="13829" width="10.375" style="1"/>
    <col min="13830" max="13830" width="13" style="1" customWidth="1"/>
    <col min="13831" max="14069" width="10.375" style="1"/>
    <col min="14070" max="14070" width="33.25" style="1" customWidth="1"/>
    <col min="14071" max="14075" width="10.375" style="1"/>
    <col min="14076" max="14076" width="13.625" style="1" customWidth="1"/>
    <col min="14077" max="14077" width="10.375" style="1"/>
    <col min="14078" max="14078" width="14.375" style="1" customWidth="1"/>
    <col min="14079" max="14079" width="10.375" style="1"/>
    <col min="14080" max="14080" width="11.625" style="1" bestFit="1" customWidth="1"/>
    <col min="14081" max="14083" width="10.375" style="1"/>
    <col min="14084" max="14084" width="12.875" style="1" customWidth="1"/>
    <col min="14085" max="14085" width="10.375" style="1"/>
    <col min="14086" max="14086" width="13" style="1" customWidth="1"/>
    <col min="14087" max="14325" width="10.375" style="1"/>
    <col min="14326" max="14326" width="33.25" style="1" customWidth="1"/>
    <col min="14327" max="14331" width="10.375" style="1"/>
    <col min="14332" max="14332" width="13.625" style="1" customWidth="1"/>
    <col min="14333" max="14333" width="10.375" style="1"/>
    <col min="14334" max="14334" width="14.375" style="1" customWidth="1"/>
    <col min="14335" max="14335" width="10.375" style="1"/>
    <col min="14336" max="14336" width="11.625" style="1" bestFit="1" customWidth="1"/>
    <col min="14337" max="14339" width="10.375" style="1"/>
    <col min="14340" max="14340" width="12.875" style="1" customWidth="1"/>
    <col min="14341" max="14341" width="10.375" style="1"/>
    <col min="14342" max="14342" width="13" style="1" customWidth="1"/>
    <col min="14343" max="14581" width="10.375" style="1"/>
    <col min="14582" max="14582" width="33.25" style="1" customWidth="1"/>
    <col min="14583" max="14587" width="10.375" style="1"/>
    <col min="14588" max="14588" width="13.625" style="1" customWidth="1"/>
    <col min="14589" max="14589" width="10.375" style="1"/>
    <col min="14590" max="14590" width="14.375" style="1" customWidth="1"/>
    <col min="14591" max="14591" width="10.375" style="1"/>
    <col min="14592" max="14592" width="11.625" style="1" bestFit="1" customWidth="1"/>
    <col min="14593" max="14595" width="10.375" style="1"/>
    <col min="14596" max="14596" width="12.875" style="1" customWidth="1"/>
    <col min="14597" max="14597" width="10.375" style="1"/>
    <col min="14598" max="14598" width="13" style="1" customWidth="1"/>
    <col min="14599" max="14837" width="10.375" style="1"/>
    <col min="14838" max="14838" width="33.25" style="1" customWidth="1"/>
    <col min="14839" max="14843" width="10.375" style="1"/>
    <col min="14844" max="14844" width="13.625" style="1" customWidth="1"/>
    <col min="14845" max="14845" width="10.375" style="1"/>
    <col min="14846" max="14846" width="14.375" style="1" customWidth="1"/>
    <col min="14847" max="14847" width="10.375" style="1"/>
    <col min="14848" max="14848" width="11.625" style="1" bestFit="1" customWidth="1"/>
    <col min="14849" max="14851" width="10.375" style="1"/>
    <col min="14852" max="14852" width="12.875" style="1" customWidth="1"/>
    <col min="14853" max="14853" width="10.375" style="1"/>
    <col min="14854" max="14854" width="13" style="1" customWidth="1"/>
    <col min="14855" max="15093" width="10.375" style="1"/>
    <col min="15094" max="15094" width="33.25" style="1" customWidth="1"/>
    <col min="15095" max="15099" width="10.375" style="1"/>
    <col min="15100" max="15100" width="13.625" style="1" customWidth="1"/>
    <col min="15101" max="15101" width="10.375" style="1"/>
    <col min="15102" max="15102" width="14.375" style="1" customWidth="1"/>
    <col min="15103" max="15103" width="10.375" style="1"/>
    <col min="15104" max="15104" width="11.625" style="1" bestFit="1" customWidth="1"/>
    <col min="15105" max="15107" width="10.375" style="1"/>
    <col min="15108" max="15108" width="12.875" style="1" customWidth="1"/>
    <col min="15109" max="15109" width="10.375" style="1"/>
    <col min="15110" max="15110" width="13" style="1" customWidth="1"/>
    <col min="15111" max="15349" width="10.375" style="1"/>
    <col min="15350" max="15350" width="33.25" style="1" customWidth="1"/>
    <col min="15351" max="15355" width="10.375" style="1"/>
    <col min="15356" max="15356" width="13.625" style="1" customWidth="1"/>
    <col min="15357" max="15357" width="10.375" style="1"/>
    <col min="15358" max="15358" width="14.375" style="1" customWidth="1"/>
    <col min="15359" max="15359" width="10.375" style="1"/>
    <col min="15360" max="15360" width="11.625" style="1" bestFit="1" customWidth="1"/>
    <col min="15361" max="15363" width="10.375" style="1"/>
    <col min="15364" max="15364" width="12.875" style="1" customWidth="1"/>
    <col min="15365" max="15365" width="10.375" style="1"/>
    <col min="15366" max="15366" width="13" style="1" customWidth="1"/>
    <col min="15367" max="15605" width="10.375" style="1"/>
    <col min="15606" max="15606" width="33.25" style="1" customWidth="1"/>
    <col min="15607" max="15611" width="10.375" style="1"/>
    <col min="15612" max="15612" width="13.625" style="1" customWidth="1"/>
    <col min="15613" max="15613" width="10.375" style="1"/>
    <col min="15614" max="15614" width="14.375" style="1" customWidth="1"/>
    <col min="15615" max="15615" width="10.375" style="1"/>
    <col min="15616" max="15616" width="11.625" style="1" bestFit="1" customWidth="1"/>
    <col min="15617" max="15619" width="10.375" style="1"/>
    <col min="15620" max="15620" width="12.875" style="1" customWidth="1"/>
    <col min="15621" max="15621" width="10.375" style="1"/>
    <col min="15622" max="15622" width="13" style="1" customWidth="1"/>
    <col min="15623" max="15861" width="10.375" style="1"/>
    <col min="15862" max="15862" width="33.25" style="1" customWidth="1"/>
    <col min="15863" max="15867" width="10.375" style="1"/>
    <col min="15868" max="15868" width="13.625" style="1" customWidth="1"/>
    <col min="15869" max="15869" width="10.375" style="1"/>
    <col min="15870" max="15870" width="14.375" style="1" customWidth="1"/>
    <col min="15871" max="15871" width="10.375" style="1"/>
    <col min="15872" max="15872" width="11.625" style="1" bestFit="1" customWidth="1"/>
    <col min="15873" max="15875" width="10.375" style="1"/>
    <col min="15876" max="15876" width="12.875" style="1" customWidth="1"/>
    <col min="15877" max="15877" width="10.375" style="1"/>
    <col min="15878" max="15878" width="13" style="1" customWidth="1"/>
    <col min="15879" max="16117" width="10.375" style="1"/>
    <col min="16118" max="16118" width="33.25" style="1" customWidth="1"/>
    <col min="16119" max="16123" width="10.375" style="1"/>
    <col min="16124" max="16124" width="13.625" style="1" customWidth="1"/>
    <col min="16125" max="16125" width="10.375" style="1"/>
    <col min="16126" max="16126" width="14.375" style="1" customWidth="1"/>
    <col min="16127" max="16127" width="10.375" style="1"/>
    <col min="16128" max="16128" width="11.625" style="1" bestFit="1" customWidth="1"/>
    <col min="16129" max="16131" width="10.375" style="1"/>
    <col min="16132" max="16132" width="12.875" style="1" customWidth="1"/>
    <col min="16133" max="16133" width="10.375" style="1"/>
    <col min="16134" max="16134" width="13" style="1" customWidth="1"/>
    <col min="16135" max="16384" width="10.375" style="1"/>
  </cols>
  <sheetData>
    <row r="1" spans="1:6" ht="18.600000000000001">
      <c r="A1" s="175" t="s">
        <v>0</v>
      </c>
      <c r="B1" s="175"/>
      <c r="C1" s="175"/>
      <c r="D1" s="175"/>
      <c r="E1" s="175"/>
      <c r="F1" s="175"/>
    </row>
    <row r="2" spans="1:6" ht="18.600000000000001">
      <c r="A2" s="176" t="s">
        <v>1</v>
      </c>
      <c r="B2" s="176"/>
      <c r="C2" s="176"/>
      <c r="D2" s="176"/>
      <c r="E2" s="176"/>
      <c r="F2" s="176"/>
    </row>
    <row r="3" spans="1:6" ht="18.600000000000001">
      <c r="A3" s="177" t="s">
        <v>64</v>
      </c>
      <c r="B3" s="177"/>
      <c r="C3" s="177"/>
      <c r="D3" s="177"/>
      <c r="E3" s="177"/>
      <c r="F3" s="177"/>
    </row>
    <row r="4" spans="1:6" ht="18.600000000000001">
      <c r="A4" s="178" t="s">
        <v>3</v>
      </c>
      <c r="B4" s="173" t="s">
        <v>4</v>
      </c>
      <c r="C4" s="146"/>
      <c r="D4" s="182" t="s">
        <v>9</v>
      </c>
      <c r="E4" s="183"/>
      <c r="F4" s="184"/>
    </row>
    <row r="5" spans="1:6" ht="18.600000000000001">
      <c r="A5" s="179"/>
      <c r="B5" s="181"/>
      <c r="C5" s="3" t="s">
        <v>58</v>
      </c>
      <c r="D5" s="185" t="s">
        <v>10</v>
      </c>
      <c r="E5" s="187" t="s">
        <v>12</v>
      </c>
      <c r="F5" s="2"/>
    </row>
    <row r="6" spans="1:6" ht="18.600000000000001">
      <c r="A6" s="180"/>
      <c r="B6" s="174"/>
      <c r="C6" s="4"/>
      <c r="D6" s="186"/>
      <c r="E6" s="188"/>
      <c r="F6" s="7" t="s">
        <v>19</v>
      </c>
    </row>
    <row r="7" spans="1:6" ht="18.600000000000001">
      <c r="A7" s="156"/>
      <c r="B7" s="173" t="s">
        <v>59</v>
      </c>
      <c r="C7" s="157"/>
      <c r="D7" s="158"/>
      <c r="E7" s="159"/>
      <c r="F7" s="160"/>
    </row>
    <row r="8" spans="1:6" ht="21.75" customHeight="1">
      <c r="A8" s="164"/>
      <c r="B8" s="174"/>
      <c r="C8" s="165"/>
      <c r="D8" s="150"/>
      <c r="E8" s="84"/>
      <c r="F8" s="166"/>
    </row>
    <row r="9" spans="1:6" ht="19.2" thickBot="1">
      <c r="A9" s="167"/>
      <c r="B9" s="168"/>
      <c r="C9" s="168"/>
      <c r="D9" s="169"/>
      <c r="E9" s="170"/>
      <c r="F9" s="171"/>
    </row>
    <row r="10" spans="1:6" ht="19.2" thickTop="1">
      <c r="A10" s="161"/>
      <c r="B10" s="162"/>
      <c r="C10" s="162"/>
      <c r="D10" s="77"/>
      <c r="E10" s="78"/>
      <c r="F10" s="163"/>
    </row>
    <row r="11" spans="1:6" ht="18.600000000000001">
      <c r="A11" s="151"/>
      <c r="B11" s="155" t="s">
        <v>31</v>
      </c>
      <c r="C11" s="147"/>
      <c r="D11" s="77"/>
      <c r="E11" s="78"/>
      <c r="F11" s="96"/>
    </row>
    <row r="12" spans="1:6" ht="18.600000000000001">
      <c r="A12" s="42">
        <v>1</v>
      </c>
      <c r="B12" s="97" t="s">
        <v>32</v>
      </c>
      <c r="C12" s="98"/>
      <c r="D12" s="24" t="s">
        <v>34</v>
      </c>
      <c r="E12" s="25"/>
      <c r="F12" s="99">
        <v>322273.98</v>
      </c>
    </row>
    <row r="13" spans="1:6" ht="18.600000000000001">
      <c r="A13" s="42"/>
      <c r="B13" s="100" t="s">
        <v>35</v>
      </c>
      <c r="C13" s="98"/>
      <c r="D13" s="31"/>
      <c r="E13" s="25"/>
      <c r="F13" s="99"/>
    </row>
    <row r="14" spans="1:6" ht="18.600000000000001">
      <c r="A14" s="42"/>
      <c r="B14" s="100" t="s">
        <v>37</v>
      </c>
      <c r="C14" s="101"/>
      <c r="D14" s="31"/>
      <c r="E14" s="25"/>
      <c r="F14" s="99"/>
    </row>
    <row r="15" spans="1:6" ht="18.600000000000001">
      <c r="A15" s="42"/>
      <c r="B15" s="100" t="s">
        <v>38</v>
      </c>
      <c r="C15" s="101"/>
      <c r="D15" s="31"/>
      <c r="E15" s="25"/>
      <c r="F15" s="99"/>
    </row>
    <row r="16" spans="1:6" ht="18.600000000000001">
      <c r="A16" s="8">
        <v>2</v>
      </c>
      <c r="B16" s="102" t="s">
        <v>32</v>
      </c>
      <c r="C16" s="98"/>
      <c r="D16" s="62" t="s">
        <v>40</v>
      </c>
      <c r="E16" s="25">
        <v>16</v>
      </c>
      <c r="F16" s="99">
        <v>5208581.93</v>
      </c>
    </row>
    <row r="17" spans="1:6" ht="18.600000000000001">
      <c r="A17" s="8"/>
      <c r="B17" s="153" t="s">
        <v>41</v>
      </c>
      <c r="C17" s="101"/>
      <c r="D17" s="62" t="s">
        <v>42</v>
      </c>
      <c r="E17" s="25"/>
      <c r="F17" s="92"/>
    </row>
    <row r="18" spans="1:6" ht="18.600000000000001">
      <c r="A18" s="8"/>
      <c r="B18" s="103" t="s">
        <v>43</v>
      </c>
      <c r="C18" s="101"/>
      <c r="D18" s="31"/>
      <c r="E18" s="25"/>
      <c r="F18" s="92"/>
    </row>
    <row r="19" spans="1:6" ht="18.600000000000001">
      <c r="A19" s="148"/>
      <c r="B19" s="149" t="s">
        <v>44</v>
      </c>
      <c r="C19" s="154"/>
      <c r="D19" s="150"/>
      <c r="E19" s="25"/>
      <c r="F19" s="92"/>
    </row>
    <row r="20" spans="1:6" ht="19.2" thickBot="1">
      <c r="A20" s="152"/>
      <c r="B20" s="172" t="s">
        <v>53</v>
      </c>
      <c r="C20" s="145"/>
      <c r="D20" s="108"/>
      <c r="E20" s="106"/>
      <c r="F20" s="106">
        <f>SUM(F12:F18)</f>
        <v>5530855.9100000001</v>
      </c>
    </row>
    <row r="21" spans="1:6" ht="19.2" thickTop="1">
      <c r="A21" s="120"/>
      <c r="B21" s="121"/>
      <c r="C21" s="121"/>
      <c r="D21" s="125"/>
      <c r="E21" s="121"/>
      <c r="F21" s="126"/>
    </row>
  </sheetData>
  <mergeCells count="9">
    <mergeCell ref="B7:B8"/>
    <mergeCell ref="A1:F1"/>
    <mergeCell ref="A2:F2"/>
    <mergeCell ref="A3:F3"/>
    <mergeCell ref="A4:A6"/>
    <mergeCell ref="B4:B6"/>
    <mergeCell ref="D4:F4"/>
    <mergeCell ref="D5:D6"/>
    <mergeCell ref="E5:E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4157-09DB-412E-AEF7-918E78ECF569}">
  <sheetPr>
    <tabColor rgb="FFFFFF00"/>
  </sheetPr>
  <dimension ref="A1:E21"/>
  <sheetViews>
    <sheetView workbookViewId="0">
      <pane ySplit="6" topLeftCell="A7" activePane="bottomLeft" state="frozen"/>
      <selection pane="bottomLeft" activeCell="G23" sqref="G23"/>
    </sheetView>
  </sheetViews>
  <sheetFormatPr defaultColWidth="10.375" defaultRowHeight="14.4"/>
  <cols>
    <col min="1" max="1" width="10.375" style="1"/>
    <col min="2" max="2" width="33.25" style="1" customWidth="1"/>
    <col min="3" max="4" width="10.375" style="1"/>
    <col min="5" max="5" width="13" style="1" customWidth="1"/>
    <col min="6" max="244" width="10.375" style="1"/>
    <col min="245" max="245" width="33.25" style="1" customWidth="1"/>
    <col min="246" max="250" width="10.375" style="1"/>
    <col min="251" max="251" width="13.625" style="1" customWidth="1"/>
    <col min="252" max="252" width="10.375" style="1"/>
    <col min="253" max="253" width="14.375" style="1" customWidth="1"/>
    <col min="254" max="254" width="10.375" style="1"/>
    <col min="255" max="255" width="11.625" style="1" bestFit="1" customWidth="1"/>
    <col min="256" max="258" width="10.375" style="1"/>
    <col min="259" max="259" width="12.875" style="1" customWidth="1"/>
    <col min="260" max="260" width="10.375" style="1"/>
    <col min="261" max="261" width="13" style="1" customWidth="1"/>
    <col min="262" max="500" width="10.375" style="1"/>
    <col min="501" max="501" width="33.25" style="1" customWidth="1"/>
    <col min="502" max="506" width="10.375" style="1"/>
    <col min="507" max="507" width="13.625" style="1" customWidth="1"/>
    <col min="508" max="508" width="10.375" style="1"/>
    <col min="509" max="509" width="14.375" style="1" customWidth="1"/>
    <col min="510" max="510" width="10.375" style="1"/>
    <col min="511" max="511" width="11.625" style="1" bestFit="1" customWidth="1"/>
    <col min="512" max="514" width="10.375" style="1"/>
    <col min="515" max="515" width="12.875" style="1" customWidth="1"/>
    <col min="516" max="516" width="10.375" style="1"/>
    <col min="517" max="517" width="13" style="1" customWidth="1"/>
    <col min="518" max="756" width="10.375" style="1"/>
    <col min="757" max="757" width="33.25" style="1" customWidth="1"/>
    <col min="758" max="762" width="10.375" style="1"/>
    <col min="763" max="763" width="13.625" style="1" customWidth="1"/>
    <col min="764" max="764" width="10.375" style="1"/>
    <col min="765" max="765" width="14.375" style="1" customWidth="1"/>
    <col min="766" max="766" width="10.375" style="1"/>
    <col min="767" max="767" width="11.625" style="1" bestFit="1" customWidth="1"/>
    <col min="768" max="770" width="10.375" style="1"/>
    <col min="771" max="771" width="12.875" style="1" customWidth="1"/>
    <col min="772" max="772" width="10.375" style="1"/>
    <col min="773" max="773" width="13" style="1" customWidth="1"/>
    <col min="774" max="1012" width="10.375" style="1"/>
    <col min="1013" max="1013" width="33.25" style="1" customWidth="1"/>
    <col min="1014" max="1018" width="10.375" style="1"/>
    <col min="1019" max="1019" width="13.625" style="1" customWidth="1"/>
    <col min="1020" max="1020" width="10.375" style="1"/>
    <col min="1021" max="1021" width="14.375" style="1" customWidth="1"/>
    <col min="1022" max="1022" width="10.375" style="1"/>
    <col min="1023" max="1023" width="11.625" style="1" bestFit="1" customWidth="1"/>
    <col min="1024" max="1026" width="10.375" style="1"/>
    <col min="1027" max="1027" width="12.875" style="1" customWidth="1"/>
    <col min="1028" max="1028" width="10.375" style="1"/>
    <col min="1029" max="1029" width="13" style="1" customWidth="1"/>
    <col min="1030" max="1268" width="10.375" style="1"/>
    <col min="1269" max="1269" width="33.25" style="1" customWidth="1"/>
    <col min="1270" max="1274" width="10.375" style="1"/>
    <col min="1275" max="1275" width="13.625" style="1" customWidth="1"/>
    <col min="1276" max="1276" width="10.375" style="1"/>
    <col min="1277" max="1277" width="14.375" style="1" customWidth="1"/>
    <col min="1278" max="1278" width="10.375" style="1"/>
    <col min="1279" max="1279" width="11.625" style="1" bestFit="1" customWidth="1"/>
    <col min="1280" max="1282" width="10.375" style="1"/>
    <col min="1283" max="1283" width="12.875" style="1" customWidth="1"/>
    <col min="1284" max="1284" width="10.375" style="1"/>
    <col min="1285" max="1285" width="13" style="1" customWidth="1"/>
    <col min="1286" max="1524" width="10.375" style="1"/>
    <col min="1525" max="1525" width="33.25" style="1" customWidth="1"/>
    <col min="1526" max="1530" width="10.375" style="1"/>
    <col min="1531" max="1531" width="13.625" style="1" customWidth="1"/>
    <col min="1532" max="1532" width="10.375" style="1"/>
    <col min="1533" max="1533" width="14.375" style="1" customWidth="1"/>
    <col min="1534" max="1534" width="10.375" style="1"/>
    <col min="1535" max="1535" width="11.625" style="1" bestFit="1" customWidth="1"/>
    <col min="1536" max="1538" width="10.375" style="1"/>
    <col min="1539" max="1539" width="12.875" style="1" customWidth="1"/>
    <col min="1540" max="1540" width="10.375" style="1"/>
    <col min="1541" max="1541" width="13" style="1" customWidth="1"/>
    <col min="1542" max="1780" width="10.375" style="1"/>
    <col min="1781" max="1781" width="33.25" style="1" customWidth="1"/>
    <col min="1782" max="1786" width="10.375" style="1"/>
    <col min="1787" max="1787" width="13.625" style="1" customWidth="1"/>
    <col min="1788" max="1788" width="10.375" style="1"/>
    <col min="1789" max="1789" width="14.375" style="1" customWidth="1"/>
    <col min="1790" max="1790" width="10.375" style="1"/>
    <col min="1791" max="1791" width="11.625" style="1" bestFit="1" customWidth="1"/>
    <col min="1792" max="1794" width="10.375" style="1"/>
    <col min="1795" max="1795" width="12.875" style="1" customWidth="1"/>
    <col min="1796" max="1796" width="10.375" style="1"/>
    <col min="1797" max="1797" width="13" style="1" customWidth="1"/>
    <col min="1798" max="2036" width="10.375" style="1"/>
    <col min="2037" max="2037" width="33.25" style="1" customWidth="1"/>
    <col min="2038" max="2042" width="10.375" style="1"/>
    <col min="2043" max="2043" width="13.625" style="1" customWidth="1"/>
    <col min="2044" max="2044" width="10.375" style="1"/>
    <col min="2045" max="2045" width="14.375" style="1" customWidth="1"/>
    <col min="2046" max="2046" width="10.375" style="1"/>
    <col min="2047" max="2047" width="11.625" style="1" bestFit="1" customWidth="1"/>
    <col min="2048" max="2050" width="10.375" style="1"/>
    <col min="2051" max="2051" width="12.875" style="1" customWidth="1"/>
    <col min="2052" max="2052" width="10.375" style="1"/>
    <col min="2053" max="2053" width="13" style="1" customWidth="1"/>
    <col min="2054" max="2292" width="10.375" style="1"/>
    <col min="2293" max="2293" width="33.25" style="1" customWidth="1"/>
    <col min="2294" max="2298" width="10.375" style="1"/>
    <col min="2299" max="2299" width="13.625" style="1" customWidth="1"/>
    <col min="2300" max="2300" width="10.375" style="1"/>
    <col min="2301" max="2301" width="14.375" style="1" customWidth="1"/>
    <col min="2302" max="2302" width="10.375" style="1"/>
    <col min="2303" max="2303" width="11.625" style="1" bestFit="1" customWidth="1"/>
    <col min="2304" max="2306" width="10.375" style="1"/>
    <col min="2307" max="2307" width="12.875" style="1" customWidth="1"/>
    <col min="2308" max="2308" width="10.375" style="1"/>
    <col min="2309" max="2309" width="13" style="1" customWidth="1"/>
    <col min="2310" max="2548" width="10.375" style="1"/>
    <col min="2549" max="2549" width="33.25" style="1" customWidth="1"/>
    <col min="2550" max="2554" width="10.375" style="1"/>
    <col min="2555" max="2555" width="13.625" style="1" customWidth="1"/>
    <col min="2556" max="2556" width="10.375" style="1"/>
    <col min="2557" max="2557" width="14.375" style="1" customWidth="1"/>
    <col min="2558" max="2558" width="10.375" style="1"/>
    <col min="2559" max="2559" width="11.625" style="1" bestFit="1" customWidth="1"/>
    <col min="2560" max="2562" width="10.375" style="1"/>
    <col min="2563" max="2563" width="12.875" style="1" customWidth="1"/>
    <col min="2564" max="2564" width="10.375" style="1"/>
    <col min="2565" max="2565" width="13" style="1" customWidth="1"/>
    <col min="2566" max="2804" width="10.375" style="1"/>
    <col min="2805" max="2805" width="33.25" style="1" customWidth="1"/>
    <col min="2806" max="2810" width="10.375" style="1"/>
    <col min="2811" max="2811" width="13.625" style="1" customWidth="1"/>
    <col min="2812" max="2812" width="10.375" style="1"/>
    <col min="2813" max="2813" width="14.375" style="1" customWidth="1"/>
    <col min="2814" max="2814" width="10.375" style="1"/>
    <col min="2815" max="2815" width="11.625" style="1" bestFit="1" customWidth="1"/>
    <col min="2816" max="2818" width="10.375" style="1"/>
    <col min="2819" max="2819" width="12.875" style="1" customWidth="1"/>
    <col min="2820" max="2820" width="10.375" style="1"/>
    <col min="2821" max="2821" width="13" style="1" customWidth="1"/>
    <col min="2822" max="3060" width="10.375" style="1"/>
    <col min="3061" max="3061" width="33.25" style="1" customWidth="1"/>
    <col min="3062" max="3066" width="10.375" style="1"/>
    <col min="3067" max="3067" width="13.625" style="1" customWidth="1"/>
    <col min="3068" max="3068" width="10.375" style="1"/>
    <col min="3069" max="3069" width="14.375" style="1" customWidth="1"/>
    <col min="3070" max="3070" width="10.375" style="1"/>
    <col min="3071" max="3071" width="11.625" style="1" bestFit="1" customWidth="1"/>
    <col min="3072" max="3074" width="10.375" style="1"/>
    <col min="3075" max="3075" width="12.875" style="1" customWidth="1"/>
    <col min="3076" max="3076" width="10.375" style="1"/>
    <col min="3077" max="3077" width="13" style="1" customWidth="1"/>
    <col min="3078" max="3316" width="10.375" style="1"/>
    <col min="3317" max="3317" width="33.25" style="1" customWidth="1"/>
    <col min="3318" max="3322" width="10.375" style="1"/>
    <col min="3323" max="3323" width="13.625" style="1" customWidth="1"/>
    <col min="3324" max="3324" width="10.375" style="1"/>
    <col min="3325" max="3325" width="14.375" style="1" customWidth="1"/>
    <col min="3326" max="3326" width="10.375" style="1"/>
    <col min="3327" max="3327" width="11.625" style="1" bestFit="1" customWidth="1"/>
    <col min="3328" max="3330" width="10.375" style="1"/>
    <col min="3331" max="3331" width="12.875" style="1" customWidth="1"/>
    <col min="3332" max="3332" width="10.375" style="1"/>
    <col min="3333" max="3333" width="13" style="1" customWidth="1"/>
    <col min="3334" max="3572" width="10.375" style="1"/>
    <col min="3573" max="3573" width="33.25" style="1" customWidth="1"/>
    <col min="3574" max="3578" width="10.375" style="1"/>
    <col min="3579" max="3579" width="13.625" style="1" customWidth="1"/>
    <col min="3580" max="3580" width="10.375" style="1"/>
    <col min="3581" max="3581" width="14.375" style="1" customWidth="1"/>
    <col min="3582" max="3582" width="10.375" style="1"/>
    <col min="3583" max="3583" width="11.625" style="1" bestFit="1" customWidth="1"/>
    <col min="3584" max="3586" width="10.375" style="1"/>
    <col min="3587" max="3587" width="12.875" style="1" customWidth="1"/>
    <col min="3588" max="3588" width="10.375" style="1"/>
    <col min="3589" max="3589" width="13" style="1" customWidth="1"/>
    <col min="3590" max="3828" width="10.375" style="1"/>
    <col min="3829" max="3829" width="33.25" style="1" customWidth="1"/>
    <col min="3830" max="3834" width="10.375" style="1"/>
    <col min="3835" max="3835" width="13.625" style="1" customWidth="1"/>
    <col min="3836" max="3836" width="10.375" style="1"/>
    <col min="3837" max="3837" width="14.375" style="1" customWidth="1"/>
    <col min="3838" max="3838" width="10.375" style="1"/>
    <col min="3839" max="3839" width="11.625" style="1" bestFit="1" customWidth="1"/>
    <col min="3840" max="3842" width="10.375" style="1"/>
    <col min="3843" max="3843" width="12.875" style="1" customWidth="1"/>
    <col min="3844" max="3844" width="10.375" style="1"/>
    <col min="3845" max="3845" width="13" style="1" customWidth="1"/>
    <col min="3846" max="4084" width="10.375" style="1"/>
    <col min="4085" max="4085" width="33.25" style="1" customWidth="1"/>
    <col min="4086" max="4090" width="10.375" style="1"/>
    <col min="4091" max="4091" width="13.625" style="1" customWidth="1"/>
    <col min="4092" max="4092" width="10.375" style="1"/>
    <col min="4093" max="4093" width="14.375" style="1" customWidth="1"/>
    <col min="4094" max="4094" width="10.375" style="1"/>
    <col min="4095" max="4095" width="11.625" style="1" bestFit="1" customWidth="1"/>
    <col min="4096" max="4098" width="10.375" style="1"/>
    <col min="4099" max="4099" width="12.875" style="1" customWidth="1"/>
    <col min="4100" max="4100" width="10.375" style="1"/>
    <col min="4101" max="4101" width="13" style="1" customWidth="1"/>
    <col min="4102" max="4340" width="10.375" style="1"/>
    <col min="4341" max="4341" width="33.25" style="1" customWidth="1"/>
    <col min="4342" max="4346" width="10.375" style="1"/>
    <col min="4347" max="4347" width="13.625" style="1" customWidth="1"/>
    <col min="4348" max="4348" width="10.375" style="1"/>
    <col min="4349" max="4349" width="14.375" style="1" customWidth="1"/>
    <col min="4350" max="4350" width="10.375" style="1"/>
    <col min="4351" max="4351" width="11.625" style="1" bestFit="1" customWidth="1"/>
    <col min="4352" max="4354" width="10.375" style="1"/>
    <col min="4355" max="4355" width="12.875" style="1" customWidth="1"/>
    <col min="4356" max="4356" width="10.375" style="1"/>
    <col min="4357" max="4357" width="13" style="1" customWidth="1"/>
    <col min="4358" max="4596" width="10.375" style="1"/>
    <col min="4597" max="4597" width="33.25" style="1" customWidth="1"/>
    <col min="4598" max="4602" width="10.375" style="1"/>
    <col min="4603" max="4603" width="13.625" style="1" customWidth="1"/>
    <col min="4604" max="4604" width="10.375" style="1"/>
    <col min="4605" max="4605" width="14.375" style="1" customWidth="1"/>
    <col min="4606" max="4606" width="10.375" style="1"/>
    <col min="4607" max="4607" width="11.625" style="1" bestFit="1" customWidth="1"/>
    <col min="4608" max="4610" width="10.375" style="1"/>
    <col min="4611" max="4611" width="12.875" style="1" customWidth="1"/>
    <col min="4612" max="4612" width="10.375" style="1"/>
    <col min="4613" max="4613" width="13" style="1" customWidth="1"/>
    <col min="4614" max="4852" width="10.375" style="1"/>
    <col min="4853" max="4853" width="33.25" style="1" customWidth="1"/>
    <col min="4854" max="4858" width="10.375" style="1"/>
    <col min="4859" max="4859" width="13.625" style="1" customWidth="1"/>
    <col min="4860" max="4860" width="10.375" style="1"/>
    <col min="4861" max="4861" width="14.375" style="1" customWidth="1"/>
    <col min="4862" max="4862" width="10.375" style="1"/>
    <col min="4863" max="4863" width="11.625" style="1" bestFit="1" customWidth="1"/>
    <col min="4864" max="4866" width="10.375" style="1"/>
    <col min="4867" max="4867" width="12.875" style="1" customWidth="1"/>
    <col min="4868" max="4868" width="10.375" style="1"/>
    <col min="4869" max="4869" width="13" style="1" customWidth="1"/>
    <col min="4870" max="5108" width="10.375" style="1"/>
    <col min="5109" max="5109" width="33.25" style="1" customWidth="1"/>
    <col min="5110" max="5114" width="10.375" style="1"/>
    <col min="5115" max="5115" width="13.625" style="1" customWidth="1"/>
    <col min="5116" max="5116" width="10.375" style="1"/>
    <col min="5117" max="5117" width="14.375" style="1" customWidth="1"/>
    <col min="5118" max="5118" width="10.375" style="1"/>
    <col min="5119" max="5119" width="11.625" style="1" bestFit="1" customWidth="1"/>
    <col min="5120" max="5122" width="10.375" style="1"/>
    <col min="5123" max="5123" width="12.875" style="1" customWidth="1"/>
    <col min="5124" max="5124" width="10.375" style="1"/>
    <col min="5125" max="5125" width="13" style="1" customWidth="1"/>
    <col min="5126" max="5364" width="10.375" style="1"/>
    <col min="5365" max="5365" width="33.25" style="1" customWidth="1"/>
    <col min="5366" max="5370" width="10.375" style="1"/>
    <col min="5371" max="5371" width="13.625" style="1" customWidth="1"/>
    <col min="5372" max="5372" width="10.375" style="1"/>
    <col min="5373" max="5373" width="14.375" style="1" customWidth="1"/>
    <col min="5374" max="5374" width="10.375" style="1"/>
    <col min="5375" max="5375" width="11.625" style="1" bestFit="1" customWidth="1"/>
    <col min="5376" max="5378" width="10.375" style="1"/>
    <col min="5379" max="5379" width="12.875" style="1" customWidth="1"/>
    <col min="5380" max="5380" width="10.375" style="1"/>
    <col min="5381" max="5381" width="13" style="1" customWidth="1"/>
    <col min="5382" max="5620" width="10.375" style="1"/>
    <col min="5621" max="5621" width="33.25" style="1" customWidth="1"/>
    <col min="5622" max="5626" width="10.375" style="1"/>
    <col min="5627" max="5627" width="13.625" style="1" customWidth="1"/>
    <col min="5628" max="5628" width="10.375" style="1"/>
    <col min="5629" max="5629" width="14.375" style="1" customWidth="1"/>
    <col min="5630" max="5630" width="10.375" style="1"/>
    <col min="5631" max="5631" width="11.625" style="1" bestFit="1" customWidth="1"/>
    <col min="5632" max="5634" width="10.375" style="1"/>
    <col min="5635" max="5635" width="12.875" style="1" customWidth="1"/>
    <col min="5636" max="5636" width="10.375" style="1"/>
    <col min="5637" max="5637" width="13" style="1" customWidth="1"/>
    <col min="5638" max="5876" width="10.375" style="1"/>
    <col min="5877" max="5877" width="33.25" style="1" customWidth="1"/>
    <col min="5878" max="5882" width="10.375" style="1"/>
    <col min="5883" max="5883" width="13.625" style="1" customWidth="1"/>
    <col min="5884" max="5884" width="10.375" style="1"/>
    <col min="5885" max="5885" width="14.375" style="1" customWidth="1"/>
    <col min="5886" max="5886" width="10.375" style="1"/>
    <col min="5887" max="5887" width="11.625" style="1" bestFit="1" customWidth="1"/>
    <col min="5888" max="5890" width="10.375" style="1"/>
    <col min="5891" max="5891" width="12.875" style="1" customWidth="1"/>
    <col min="5892" max="5892" width="10.375" style="1"/>
    <col min="5893" max="5893" width="13" style="1" customWidth="1"/>
    <col min="5894" max="6132" width="10.375" style="1"/>
    <col min="6133" max="6133" width="33.25" style="1" customWidth="1"/>
    <col min="6134" max="6138" width="10.375" style="1"/>
    <col min="6139" max="6139" width="13.625" style="1" customWidth="1"/>
    <col min="6140" max="6140" width="10.375" style="1"/>
    <col min="6141" max="6141" width="14.375" style="1" customWidth="1"/>
    <col min="6142" max="6142" width="10.375" style="1"/>
    <col min="6143" max="6143" width="11.625" style="1" bestFit="1" customWidth="1"/>
    <col min="6144" max="6146" width="10.375" style="1"/>
    <col min="6147" max="6147" width="12.875" style="1" customWidth="1"/>
    <col min="6148" max="6148" width="10.375" style="1"/>
    <col min="6149" max="6149" width="13" style="1" customWidth="1"/>
    <col min="6150" max="6388" width="10.375" style="1"/>
    <col min="6389" max="6389" width="33.25" style="1" customWidth="1"/>
    <col min="6390" max="6394" width="10.375" style="1"/>
    <col min="6395" max="6395" width="13.625" style="1" customWidth="1"/>
    <col min="6396" max="6396" width="10.375" style="1"/>
    <col min="6397" max="6397" width="14.375" style="1" customWidth="1"/>
    <col min="6398" max="6398" width="10.375" style="1"/>
    <col min="6399" max="6399" width="11.625" style="1" bestFit="1" customWidth="1"/>
    <col min="6400" max="6402" width="10.375" style="1"/>
    <col min="6403" max="6403" width="12.875" style="1" customWidth="1"/>
    <col min="6404" max="6404" width="10.375" style="1"/>
    <col min="6405" max="6405" width="13" style="1" customWidth="1"/>
    <col min="6406" max="6644" width="10.375" style="1"/>
    <col min="6645" max="6645" width="33.25" style="1" customWidth="1"/>
    <col min="6646" max="6650" width="10.375" style="1"/>
    <col min="6651" max="6651" width="13.625" style="1" customWidth="1"/>
    <col min="6652" max="6652" width="10.375" style="1"/>
    <col min="6653" max="6653" width="14.375" style="1" customWidth="1"/>
    <col min="6654" max="6654" width="10.375" style="1"/>
    <col min="6655" max="6655" width="11.625" style="1" bestFit="1" customWidth="1"/>
    <col min="6656" max="6658" width="10.375" style="1"/>
    <col min="6659" max="6659" width="12.875" style="1" customWidth="1"/>
    <col min="6660" max="6660" width="10.375" style="1"/>
    <col min="6661" max="6661" width="13" style="1" customWidth="1"/>
    <col min="6662" max="6900" width="10.375" style="1"/>
    <col min="6901" max="6901" width="33.25" style="1" customWidth="1"/>
    <col min="6902" max="6906" width="10.375" style="1"/>
    <col min="6907" max="6907" width="13.625" style="1" customWidth="1"/>
    <col min="6908" max="6908" width="10.375" style="1"/>
    <col min="6909" max="6909" width="14.375" style="1" customWidth="1"/>
    <col min="6910" max="6910" width="10.375" style="1"/>
    <col min="6911" max="6911" width="11.625" style="1" bestFit="1" customWidth="1"/>
    <col min="6912" max="6914" width="10.375" style="1"/>
    <col min="6915" max="6915" width="12.875" style="1" customWidth="1"/>
    <col min="6916" max="6916" width="10.375" style="1"/>
    <col min="6917" max="6917" width="13" style="1" customWidth="1"/>
    <col min="6918" max="7156" width="10.375" style="1"/>
    <col min="7157" max="7157" width="33.25" style="1" customWidth="1"/>
    <col min="7158" max="7162" width="10.375" style="1"/>
    <col min="7163" max="7163" width="13.625" style="1" customWidth="1"/>
    <col min="7164" max="7164" width="10.375" style="1"/>
    <col min="7165" max="7165" width="14.375" style="1" customWidth="1"/>
    <col min="7166" max="7166" width="10.375" style="1"/>
    <col min="7167" max="7167" width="11.625" style="1" bestFit="1" customWidth="1"/>
    <col min="7168" max="7170" width="10.375" style="1"/>
    <col min="7171" max="7171" width="12.875" style="1" customWidth="1"/>
    <col min="7172" max="7172" width="10.375" style="1"/>
    <col min="7173" max="7173" width="13" style="1" customWidth="1"/>
    <col min="7174" max="7412" width="10.375" style="1"/>
    <col min="7413" max="7413" width="33.25" style="1" customWidth="1"/>
    <col min="7414" max="7418" width="10.375" style="1"/>
    <col min="7419" max="7419" width="13.625" style="1" customWidth="1"/>
    <col min="7420" max="7420" width="10.375" style="1"/>
    <col min="7421" max="7421" width="14.375" style="1" customWidth="1"/>
    <col min="7422" max="7422" width="10.375" style="1"/>
    <col min="7423" max="7423" width="11.625" style="1" bestFit="1" customWidth="1"/>
    <col min="7424" max="7426" width="10.375" style="1"/>
    <col min="7427" max="7427" width="12.875" style="1" customWidth="1"/>
    <col min="7428" max="7428" width="10.375" style="1"/>
    <col min="7429" max="7429" width="13" style="1" customWidth="1"/>
    <col min="7430" max="7668" width="10.375" style="1"/>
    <col min="7669" max="7669" width="33.25" style="1" customWidth="1"/>
    <col min="7670" max="7674" width="10.375" style="1"/>
    <col min="7675" max="7675" width="13.625" style="1" customWidth="1"/>
    <col min="7676" max="7676" width="10.375" style="1"/>
    <col min="7677" max="7677" width="14.375" style="1" customWidth="1"/>
    <col min="7678" max="7678" width="10.375" style="1"/>
    <col min="7679" max="7679" width="11.625" style="1" bestFit="1" customWidth="1"/>
    <col min="7680" max="7682" width="10.375" style="1"/>
    <col min="7683" max="7683" width="12.875" style="1" customWidth="1"/>
    <col min="7684" max="7684" width="10.375" style="1"/>
    <col min="7685" max="7685" width="13" style="1" customWidth="1"/>
    <col min="7686" max="7924" width="10.375" style="1"/>
    <col min="7925" max="7925" width="33.25" style="1" customWidth="1"/>
    <col min="7926" max="7930" width="10.375" style="1"/>
    <col min="7931" max="7931" width="13.625" style="1" customWidth="1"/>
    <col min="7932" max="7932" width="10.375" style="1"/>
    <col min="7933" max="7933" width="14.375" style="1" customWidth="1"/>
    <col min="7934" max="7934" width="10.375" style="1"/>
    <col min="7935" max="7935" width="11.625" style="1" bestFit="1" customWidth="1"/>
    <col min="7936" max="7938" width="10.375" style="1"/>
    <col min="7939" max="7939" width="12.875" style="1" customWidth="1"/>
    <col min="7940" max="7940" width="10.375" style="1"/>
    <col min="7941" max="7941" width="13" style="1" customWidth="1"/>
    <col min="7942" max="8180" width="10.375" style="1"/>
    <col min="8181" max="8181" width="33.25" style="1" customWidth="1"/>
    <col min="8182" max="8186" width="10.375" style="1"/>
    <col min="8187" max="8187" width="13.625" style="1" customWidth="1"/>
    <col min="8188" max="8188" width="10.375" style="1"/>
    <col min="8189" max="8189" width="14.375" style="1" customWidth="1"/>
    <col min="8190" max="8190" width="10.375" style="1"/>
    <col min="8191" max="8191" width="11.625" style="1" bestFit="1" customWidth="1"/>
    <col min="8192" max="8194" width="10.375" style="1"/>
    <col min="8195" max="8195" width="12.875" style="1" customWidth="1"/>
    <col min="8196" max="8196" width="10.375" style="1"/>
    <col min="8197" max="8197" width="13" style="1" customWidth="1"/>
    <col min="8198" max="8436" width="10.375" style="1"/>
    <col min="8437" max="8437" width="33.25" style="1" customWidth="1"/>
    <col min="8438" max="8442" width="10.375" style="1"/>
    <col min="8443" max="8443" width="13.625" style="1" customWidth="1"/>
    <col min="8444" max="8444" width="10.375" style="1"/>
    <col min="8445" max="8445" width="14.375" style="1" customWidth="1"/>
    <col min="8446" max="8446" width="10.375" style="1"/>
    <col min="8447" max="8447" width="11.625" style="1" bestFit="1" customWidth="1"/>
    <col min="8448" max="8450" width="10.375" style="1"/>
    <col min="8451" max="8451" width="12.875" style="1" customWidth="1"/>
    <col min="8452" max="8452" width="10.375" style="1"/>
    <col min="8453" max="8453" width="13" style="1" customWidth="1"/>
    <col min="8454" max="8692" width="10.375" style="1"/>
    <col min="8693" max="8693" width="33.25" style="1" customWidth="1"/>
    <col min="8694" max="8698" width="10.375" style="1"/>
    <col min="8699" max="8699" width="13.625" style="1" customWidth="1"/>
    <col min="8700" max="8700" width="10.375" style="1"/>
    <col min="8701" max="8701" width="14.375" style="1" customWidth="1"/>
    <col min="8702" max="8702" width="10.375" style="1"/>
    <col min="8703" max="8703" width="11.625" style="1" bestFit="1" customWidth="1"/>
    <col min="8704" max="8706" width="10.375" style="1"/>
    <col min="8707" max="8707" width="12.875" style="1" customWidth="1"/>
    <col min="8708" max="8708" width="10.375" style="1"/>
    <col min="8709" max="8709" width="13" style="1" customWidth="1"/>
    <col min="8710" max="8948" width="10.375" style="1"/>
    <col min="8949" max="8949" width="33.25" style="1" customWidth="1"/>
    <col min="8950" max="8954" width="10.375" style="1"/>
    <col min="8955" max="8955" width="13.625" style="1" customWidth="1"/>
    <col min="8956" max="8956" width="10.375" style="1"/>
    <col min="8957" max="8957" width="14.375" style="1" customWidth="1"/>
    <col min="8958" max="8958" width="10.375" style="1"/>
    <col min="8959" max="8959" width="11.625" style="1" bestFit="1" customWidth="1"/>
    <col min="8960" max="8962" width="10.375" style="1"/>
    <col min="8963" max="8963" width="12.875" style="1" customWidth="1"/>
    <col min="8964" max="8964" width="10.375" style="1"/>
    <col min="8965" max="8965" width="13" style="1" customWidth="1"/>
    <col min="8966" max="9204" width="10.375" style="1"/>
    <col min="9205" max="9205" width="33.25" style="1" customWidth="1"/>
    <col min="9206" max="9210" width="10.375" style="1"/>
    <col min="9211" max="9211" width="13.625" style="1" customWidth="1"/>
    <col min="9212" max="9212" width="10.375" style="1"/>
    <col min="9213" max="9213" width="14.375" style="1" customWidth="1"/>
    <col min="9214" max="9214" width="10.375" style="1"/>
    <col min="9215" max="9215" width="11.625" style="1" bestFit="1" customWidth="1"/>
    <col min="9216" max="9218" width="10.375" style="1"/>
    <col min="9219" max="9219" width="12.875" style="1" customWidth="1"/>
    <col min="9220" max="9220" width="10.375" style="1"/>
    <col min="9221" max="9221" width="13" style="1" customWidth="1"/>
    <col min="9222" max="9460" width="10.375" style="1"/>
    <col min="9461" max="9461" width="33.25" style="1" customWidth="1"/>
    <col min="9462" max="9466" width="10.375" style="1"/>
    <col min="9467" max="9467" width="13.625" style="1" customWidth="1"/>
    <col min="9468" max="9468" width="10.375" style="1"/>
    <col min="9469" max="9469" width="14.375" style="1" customWidth="1"/>
    <col min="9470" max="9470" width="10.375" style="1"/>
    <col min="9471" max="9471" width="11.625" style="1" bestFit="1" customWidth="1"/>
    <col min="9472" max="9474" width="10.375" style="1"/>
    <col min="9475" max="9475" width="12.875" style="1" customWidth="1"/>
    <col min="9476" max="9476" width="10.375" style="1"/>
    <col min="9477" max="9477" width="13" style="1" customWidth="1"/>
    <col min="9478" max="9716" width="10.375" style="1"/>
    <col min="9717" max="9717" width="33.25" style="1" customWidth="1"/>
    <col min="9718" max="9722" width="10.375" style="1"/>
    <col min="9723" max="9723" width="13.625" style="1" customWidth="1"/>
    <col min="9724" max="9724" width="10.375" style="1"/>
    <col min="9725" max="9725" width="14.375" style="1" customWidth="1"/>
    <col min="9726" max="9726" width="10.375" style="1"/>
    <col min="9727" max="9727" width="11.625" style="1" bestFit="1" customWidth="1"/>
    <col min="9728" max="9730" width="10.375" style="1"/>
    <col min="9731" max="9731" width="12.875" style="1" customWidth="1"/>
    <col min="9732" max="9732" width="10.375" style="1"/>
    <col min="9733" max="9733" width="13" style="1" customWidth="1"/>
    <col min="9734" max="9972" width="10.375" style="1"/>
    <col min="9973" max="9973" width="33.25" style="1" customWidth="1"/>
    <col min="9974" max="9978" width="10.375" style="1"/>
    <col min="9979" max="9979" width="13.625" style="1" customWidth="1"/>
    <col min="9980" max="9980" width="10.375" style="1"/>
    <col min="9981" max="9981" width="14.375" style="1" customWidth="1"/>
    <col min="9982" max="9982" width="10.375" style="1"/>
    <col min="9983" max="9983" width="11.625" style="1" bestFit="1" customWidth="1"/>
    <col min="9984" max="9986" width="10.375" style="1"/>
    <col min="9987" max="9987" width="12.875" style="1" customWidth="1"/>
    <col min="9988" max="9988" width="10.375" style="1"/>
    <col min="9989" max="9989" width="13" style="1" customWidth="1"/>
    <col min="9990" max="10228" width="10.375" style="1"/>
    <col min="10229" max="10229" width="33.25" style="1" customWidth="1"/>
    <col min="10230" max="10234" width="10.375" style="1"/>
    <col min="10235" max="10235" width="13.625" style="1" customWidth="1"/>
    <col min="10236" max="10236" width="10.375" style="1"/>
    <col min="10237" max="10237" width="14.375" style="1" customWidth="1"/>
    <col min="10238" max="10238" width="10.375" style="1"/>
    <col min="10239" max="10239" width="11.625" style="1" bestFit="1" customWidth="1"/>
    <col min="10240" max="10242" width="10.375" style="1"/>
    <col min="10243" max="10243" width="12.875" style="1" customWidth="1"/>
    <col min="10244" max="10244" width="10.375" style="1"/>
    <col min="10245" max="10245" width="13" style="1" customWidth="1"/>
    <col min="10246" max="10484" width="10.375" style="1"/>
    <col min="10485" max="10485" width="33.25" style="1" customWidth="1"/>
    <col min="10486" max="10490" width="10.375" style="1"/>
    <col min="10491" max="10491" width="13.625" style="1" customWidth="1"/>
    <col min="10492" max="10492" width="10.375" style="1"/>
    <col min="10493" max="10493" width="14.375" style="1" customWidth="1"/>
    <col min="10494" max="10494" width="10.375" style="1"/>
    <col min="10495" max="10495" width="11.625" style="1" bestFit="1" customWidth="1"/>
    <col min="10496" max="10498" width="10.375" style="1"/>
    <col min="10499" max="10499" width="12.875" style="1" customWidth="1"/>
    <col min="10500" max="10500" width="10.375" style="1"/>
    <col min="10501" max="10501" width="13" style="1" customWidth="1"/>
    <col min="10502" max="10740" width="10.375" style="1"/>
    <col min="10741" max="10741" width="33.25" style="1" customWidth="1"/>
    <col min="10742" max="10746" width="10.375" style="1"/>
    <col min="10747" max="10747" width="13.625" style="1" customWidth="1"/>
    <col min="10748" max="10748" width="10.375" style="1"/>
    <col min="10749" max="10749" width="14.375" style="1" customWidth="1"/>
    <col min="10750" max="10750" width="10.375" style="1"/>
    <col min="10751" max="10751" width="11.625" style="1" bestFit="1" customWidth="1"/>
    <col min="10752" max="10754" width="10.375" style="1"/>
    <col min="10755" max="10755" width="12.875" style="1" customWidth="1"/>
    <col min="10756" max="10756" width="10.375" style="1"/>
    <col min="10757" max="10757" width="13" style="1" customWidth="1"/>
    <col min="10758" max="10996" width="10.375" style="1"/>
    <col min="10997" max="10997" width="33.25" style="1" customWidth="1"/>
    <col min="10998" max="11002" width="10.375" style="1"/>
    <col min="11003" max="11003" width="13.625" style="1" customWidth="1"/>
    <col min="11004" max="11004" width="10.375" style="1"/>
    <col min="11005" max="11005" width="14.375" style="1" customWidth="1"/>
    <col min="11006" max="11006" width="10.375" style="1"/>
    <col min="11007" max="11007" width="11.625" style="1" bestFit="1" customWidth="1"/>
    <col min="11008" max="11010" width="10.375" style="1"/>
    <col min="11011" max="11011" width="12.875" style="1" customWidth="1"/>
    <col min="11012" max="11012" width="10.375" style="1"/>
    <col min="11013" max="11013" width="13" style="1" customWidth="1"/>
    <col min="11014" max="11252" width="10.375" style="1"/>
    <col min="11253" max="11253" width="33.25" style="1" customWidth="1"/>
    <col min="11254" max="11258" width="10.375" style="1"/>
    <col min="11259" max="11259" width="13.625" style="1" customWidth="1"/>
    <col min="11260" max="11260" width="10.375" style="1"/>
    <col min="11261" max="11261" width="14.375" style="1" customWidth="1"/>
    <col min="11262" max="11262" width="10.375" style="1"/>
    <col min="11263" max="11263" width="11.625" style="1" bestFit="1" customWidth="1"/>
    <col min="11264" max="11266" width="10.375" style="1"/>
    <col min="11267" max="11267" width="12.875" style="1" customWidth="1"/>
    <col min="11268" max="11268" width="10.375" style="1"/>
    <col min="11269" max="11269" width="13" style="1" customWidth="1"/>
    <col min="11270" max="11508" width="10.375" style="1"/>
    <col min="11509" max="11509" width="33.25" style="1" customWidth="1"/>
    <col min="11510" max="11514" width="10.375" style="1"/>
    <col min="11515" max="11515" width="13.625" style="1" customWidth="1"/>
    <col min="11516" max="11516" width="10.375" style="1"/>
    <col min="11517" max="11517" width="14.375" style="1" customWidth="1"/>
    <col min="11518" max="11518" width="10.375" style="1"/>
    <col min="11519" max="11519" width="11.625" style="1" bestFit="1" customWidth="1"/>
    <col min="11520" max="11522" width="10.375" style="1"/>
    <col min="11523" max="11523" width="12.875" style="1" customWidth="1"/>
    <col min="11524" max="11524" width="10.375" style="1"/>
    <col min="11525" max="11525" width="13" style="1" customWidth="1"/>
    <col min="11526" max="11764" width="10.375" style="1"/>
    <col min="11765" max="11765" width="33.25" style="1" customWidth="1"/>
    <col min="11766" max="11770" width="10.375" style="1"/>
    <col min="11771" max="11771" width="13.625" style="1" customWidth="1"/>
    <col min="11772" max="11772" width="10.375" style="1"/>
    <col min="11773" max="11773" width="14.375" style="1" customWidth="1"/>
    <col min="11774" max="11774" width="10.375" style="1"/>
    <col min="11775" max="11775" width="11.625" style="1" bestFit="1" customWidth="1"/>
    <col min="11776" max="11778" width="10.375" style="1"/>
    <col min="11779" max="11779" width="12.875" style="1" customWidth="1"/>
    <col min="11780" max="11780" width="10.375" style="1"/>
    <col min="11781" max="11781" width="13" style="1" customWidth="1"/>
    <col min="11782" max="12020" width="10.375" style="1"/>
    <col min="12021" max="12021" width="33.25" style="1" customWidth="1"/>
    <col min="12022" max="12026" width="10.375" style="1"/>
    <col min="12027" max="12027" width="13.625" style="1" customWidth="1"/>
    <col min="12028" max="12028" width="10.375" style="1"/>
    <col min="12029" max="12029" width="14.375" style="1" customWidth="1"/>
    <col min="12030" max="12030" width="10.375" style="1"/>
    <col min="12031" max="12031" width="11.625" style="1" bestFit="1" customWidth="1"/>
    <col min="12032" max="12034" width="10.375" style="1"/>
    <col min="12035" max="12035" width="12.875" style="1" customWidth="1"/>
    <col min="12036" max="12036" width="10.375" style="1"/>
    <col min="12037" max="12037" width="13" style="1" customWidth="1"/>
    <col min="12038" max="12276" width="10.375" style="1"/>
    <col min="12277" max="12277" width="33.25" style="1" customWidth="1"/>
    <col min="12278" max="12282" width="10.375" style="1"/>
    <col min="12283" max="12283" width="13.625" style="1" customWidth="1"/>
    <col min="12284" max="12284" width="10.375" style="1"/>
    <col min="12285" max="12285" width="14.375" style="1" customWidth="1"/>
    <col min="12286" max="12286" width="10.375" style="1"/>
    <col min="12287" max="12287" width="11.625" style="1" bestFit="1" customWidth="1"/>
    <col min="12288" max="12290" width="10.375" style="1"/>
    <col min="12291" max="12291" width="12.875" style="1" customWidth="1"/>
    <col min="12292" max="12292" width="10.375" style="1"/>
    <col min="12293" max="12293" width="13" style="1" customWidth="1"/>
    <col min="12294" max="12532" width="10.375" style="1"/>
    <col min="12533" max="12533" width="33.25" style="1" customWidth="1"/>
    <col min="12534" max="12538" width="10.375" style="1"/>
    <col min="12539" max="12539" width="13.625" style="1" customWidth="1"/>
    <col min="12540" max="12540" width="10.375" style="1"/>
    <col min="12541" max="12541" width="14.375" style="1" customWidth="1"/>
    <col min="12542" max="12542" width="10.375" style="1"/>
    <col min="12543" max="12543" width="11.625" style="1" bestFit="1" customWidth="1"/>
    <col min="12544" max="12546" width="10.375" style="1"/>
    <col min="12547" max="12547" width="12.875" style="1" customWidth="1"/>
    <col min="12548" max="12548" width="10.375" style="1"/>
    <col min="12549" max="12549" width="13" style="1" customWidth="1"/>
    <col min="12550" max="12788" width="10.375" style="1"/>
    <col min="12789" max="12789" width="33.25" style="1" customWidth="1"/>
    <col min="12790" max="12794" width="10.375" style="1"/>
    <col min="12795" max="12795" width="13.625" style="1" customWidth="1"/>
    <col min="12796" max="12796" width="10.375" style="1"/>
    <col min="12797" max="12797" width="14.375" style="1" customWidth="1"/>
    <col min="12798" max="12798" width="10.375" style="1"/>
    <col min="12799" max="12799" width="11.625" style="1" bestFit="1" customWidth="1"/>
    <col min="12800" max="12802" width="10.375" style="1"/>
    <col min="12803" max="12803" width="12.875" style="1" customWidth="1"/>
    <col min="12804" max="12804" width="10.375" style="1"/>
    <col min="12805" max="12805" width="13" style="1" customWidth="1"/>
    <col min="12806" max="13044" width="10.375" style="1"/>
    <col min="13045" max="13045" width="33.25" style="1" customWidth="1"/>
    <col min="13046" max="13050" width="10.375" style="1"/>
    <col min="13051" max="13051" width="13.625" style="1" customWidth="1"/>
    <col min="13052" max="13052" width="10.375" style="1"/>
    <col min="13053" max="13053" width="14.375" style="1" customWidth="1"/>
    <col min="13054" max="13054" width="10.375" style="1"/>
    <col min="13055" max="13055" width="11.625" style="1" bestFit="1" customWidth="1"/>
    <col min="13056" max="13058" width="10.375" style="1"/>
    <col min="13059" max="13059" width="12.875" style="1" customWidth="1"/>
    <col min="13060" max="13060" width="10.375" style="1"/>
    <col min="13061" max="13061" width="13" style="1" customWidth="1"/>
    <col min="13062" max="13300" width="10.375" style="1"/>
    <col min="13301" max="13301" width="33.25" style="1" customWidth="1"/>
    <col min="13302" max="13306" width="10.375" style="1"/>
    <col min="13307" max="13307" width="13.625" style="1" customWidth="1"/>
    <col min="13308" max="13308" width="10.375" style="1"/>
    <col min="13309" max="13309" width="14.375" style="1" customWidth="1"/>
    <col min="13310" max="13310" width="10.375" style="1"/>
    <col min="13311" max="13311" width="11.625" style="1" bestFit="1" customWidth="1"/>
    <col min="13312" max="13314" width="10.375" style="1"/>
    <col min="13315" max="13315" width="12.875" style="1" customWidth="1"/>
    <col min="13316" max="13316" width="10.375" style="1"/>
    <col min="13317" max="13317" width="13" style="1" customWidth="1"/>
    <col min="13318" max="13556" width="10.375" style="1"/>
    <col min="13557" max="13557" width="33.25" style="1" customWidth="1"/>
    <col min="13558" max="13562" width="10.375" style="1"/>
    <col min="13563" max="13563" width="13.625" style="1" customWidth="1"/>
    <col min="13564" max="13564" width="10.375" style="1"/>
    <col min="13565" max="13565" width="14.375" style="1" customWidth="1"/>
    <col min="13566" max="13566" width="10.375" style="1"/>
    <col min="13567" max="13567" width="11.625" style="1" bestFit="1" customWidth="1"/>
    <col min="13568" max="13570" width="10.375" style="1"/>
    <col min="13571" max="13571" width="12.875" style="1" customWidth="1"/>
    <col min="13572" max="13572" width="10.375" style="1"/>
    <col min="13573" max="13573" width="13" style="1" customWidth="1"/>
    <col min="13574" max="13812" width="10.375" style="1"/>
    <col min="13813" max="13813" width="33.25" style="1" customWidth="1"/>
    <col min="13814" max="13818" width="10.375" style="1"/>
    <col min="13819" max="13819" width="13.625" style="1" customWidth="1"/>
    <col min="13820" max="13820" width="10.375" style="1"/>
    <col min="13821" max="13821" width="14.375" style="1" customWidth="1"/>
    <col min="13822" max="13822" width="10.375" style="1"/>
    <col min="13823" max="13823" width="11.625" style="1" bestFit="1" customWidth="1"/>
    <col min="13824" max="13826" width="10.375" style="1"/>
    <col min="13827" max="13827" width="12.875" style="1" customWidth="1"/>
    <col min="13828" max="13828" width="10.375" style="1"/>
    <col min="13829" max="13829" width="13" style="1" customWidth="1"/>
    <col min="13830" max="14068" width="10.375" style="1"/>
    <col min="14069" max="14069" width="33.25" style="1" customWidth="1"/>
    <col min="14070" max="14074" width="10.375" style="1"/>
    <col min="14075" max="14075" width="13.625" style="1" customWidth="1"/>
    <col min="14076" max="14076" width="10.375" style="1"/>
    <col min="14077" max="14077" width="14.375" style="1" customWidth="1"/>
    <col min="14078" max="14078" width="10.375" style="1"/>
    <col min="14079" max="14079" width="11.625" style="1" bestFit="1" customWidth="1"/>
    <col min="14080" max="14082" width="10.375" style="1"/>
    <col min="14083" max="14083" width="12.875" style="1" customWidth="1"/>
    <col min="14084" max="14084" width="10.375" style="1"/>
    <col min="14085" max="14085" width="13" style="1" customWidth="1"/>
    <col min="14086" max="14324" width="10.375" style="1"/>
    <col min="14325" max="14325" width="33.25" style="1" customWidth="1"/>
    <col min="14326" max="14330" width="10.375" style="1"/>
    <col min="14331" max="14331" width="13.625" style="1" customWidth="1"/>
    <col min="14332" max="14332" width="10.375" style="1"/>
    <col min="14333" max="14333" width="14.375" style="1" customWidth="1"/>
    <col min="14334" max="14334" width="10.375" style="1"/>
    <col min="14335" max="14335" width="11.625" style="1" bestFit="1" customWidth="1"/>
    <col min="14336" max="14338" width="10.375" style="1"/>
    <col min="14339" max="14339" width="12.875" style="1" customWidth="1"/>
    <col min="14340" max="14340" width="10.375" style="1"/>
    <col min="14341" max="14341" width="13" style="1" customWidth="1"/>
    <col min="14342" max="14580" width="10.375" style="1"/>
    <col min="14581" max="14581" width="33.25" style="1" customWidth="1"/>
    <col min="14582" max="14586" width="10.375" style="1"/>
    <col min="14587" max="14587" width="13.625" style="1" customWidth="1"/>
    <col min="14588" max="14588" width="10.375" style="1"/>
    <col min="14589" max="14589" width="14.375" style="1" customWidth="1"/>
    <col min="14590" max="14590" width="10.375" style="1"/>
    <col min="14591" max="14591" width="11.625" style="1" bestFit="1" customWidth="1"/>
    <col min="14592" max="14594" width="10.375" style="1"/>
    <col min="14595" max="14595" width="12.875" style="1" customWidth="1"/>
    <col min="14596" max="14596" width="10.375" style="1"/>
    <col min="14597" max="14597" width="13" style="1" customWidth="1"/>
    <col min="14598" max="14836" width="10.375" style="1"/>
    <col min="14837" max="14837" width="33.25" style="1" customWidth="1"/>
    <col min="14838" max="14842" width="10.375" style="1"/>
    <col min="14843" max="14843" width="13.625" style="1" customWidth="1"/>
    <col min="14844" max="14844" width="10.375" style="1"/>
    <col min="14845" max="14845" width="14.375" style="1" customWidth="1"/>
    <col min="14846" max="14846" width="10.375" style="1"/>
    <col min="14847" max="14847" width="11.625" style="1" bestFit="1" customWidth="1"/>
    <col min="14848" max="14850" width="10.375" style="1"/>
    <col min="14851" max="14851" width="12.875" style="1" customWidth="1"/>
    <col min="14852" max="14852" width="10.375" style="1"/>
    <col min="14853" max="14853" width="13" style="1" customWidth="1"/>
    <col min="14854" max="15092" width="10.375" style="1"/>
    <col min="15093" max="15093" width="33.25" style="1" customWidth="1"/>
    <col min="15094" max="15098" width="10.375" style="1"/>
    <col min="15099" max="15099" width="13.625" style="1" customWidth="1"/>
    <col min="15100" max="15100" width="10.375" style="1"/>
    <col min="15101" max="15101" width="14.375" style="1" customWidth="1"/>
    <col min="15102" max="15102" width="10.375" style="1"/>
    <col min="15103" max="15103" width="11.625" style="1" bestFit="1" customWidth="1"/>
    <col min="15104" max="15106" width="10.375" style="1"/>
    <col min="15107" max="15107" width="12.875" style="1" customWidth="1"/>
    <col min="15108" max="15108" width="10.375" style="1"/>
    <col min="15109" max="15109" width="13" style="1" customWidth="1"/>
    <col min="15110" max="15348" width="10.375" style="1"/>
    <col min="15349" max="15349" width="33.25" style="1" customWidth="1"/>
    <col min="15350" max="15354" width="10.375" style="1"/>
    <col min="15355" max="15355" width="13.625" style="1" customWidth="1"/>
    <col min="15356" max="15356" width="10.375" style="1"/>
    <col min="15357" max="15357" width="14.375" style="1" customWidth="1"/>
    <col min="15358" max="15358" width="10.375" style="1"/>
    <col min="15359" max="15359" width="11.625" style="1" bestFit="1" customWidth="1"/>
    <col min="15360" max="15362" width="10.375" style="1"/>
    <col min="15363" max="15363" width="12.875" style="1" customWidth="1"/>
    <col min="15364" max="15364" width="10.375" style="1"/>
    <col min="15365" max="15365" width="13" style="1" customWidth="1"/>
    <col min="15366" max="15604" width="10.375" style="1"/>
    <col min="15605" max="15605" width="33.25" style="1" customWidth="1"/>
    <col min="15606" max="15610" width="10.375" style="1"/>
    <col min="15611" max="15611" width="13.625" style="1" customWidth="1"/>
    <col min="15612" max="15612" width="10.375" style="1"/>
    <col min="15613" max="15613" width="14.375" style="1" customWidth="1"/>
    <col min="15614" max="15614" width="10.375" style="1"/>
    <col min="15615" max="15615" width="11.625" style="1" bestFit="1" customWidth="1"/>
    <col min="15616" max="15618" width="10.375" style="1"/>
    <col min="15619" max="15619" width="12.875" style="1" customWidth="1"/>
    <col min="15620" max="15620" width="10.375" style="1"/>
    <col min="15621" max="15621" width="13" style="1" customWidth="1"/>
    <col min="15622" max="15860" width="10.375" style="1"/>
    <col min="15861" max="15861" width="33.25" style="1" customWidth="1"/>
    <col min="15862" max="15866" width="10.375" style="1"/>
    <col min="15867" max="15867" width="13.625" style="1" customWidth="1"/>
    <col min="15868" max="15868" width="10.375" style="1"/>
    <col min="15869" max="15869" width="14.375" style="1" customWidth="1"/>
    <col min="15870" max="15870" width="10.375" style="1"/>
    <col min="15871" max="15871" width="11.625" style="1" bestFit="1" customWidth="1"/>
    <col min="15872" max="15874" width="10.375" style="1"/>
    <col min="15875" max="15875" width="12.875" style="1" customWidth="1"/>
    <col min="15876" max="15876" width="10.375" style="1"/>
    <col min="15877" max="15877" width="13" style="1" customWidth="1"/>
    <col min="15878" max="16116" width="10.375" style="1"/>
    <col min="16117" max="16117" width="33.25" style="1" customWidth="1"/>
    <col min="16118" max="16122" width="10.375" style="1"/>
    <col min="16123" max="16123" width="13.625" style="1" customWidth="1"/>
    <col min="16124" max="16124" width="10.375" style="1"/>
    <col min="16125" max="16125" width="14.375" style="1" customWidth="1"/>
    <col min="16126" max="16126" width="10.375" style="1"/>
    <col min="16127" max="16127" width="11.625" style="1" bestFit="1" customWidth="1"/>
    <col min="16128" max="16130" width="10.375" style="1"/>
    <col min="16131" max="16131" width="12.875" style="1" customWidth="1"/>
    <col min="16132" max="16132" width="10.375" style="1"/>
    <col min="16133" max="16133" width="13" style="1" customWidth="1"/>
    <col min="16134" max="16384" width="10.375" style="1"/>
  </cols>
  <sheetData>
    <row r="1" spans="1:5" ht="18.600000000000001">
      <c r="A1" s="175" t="s">
        <v>0</v>
      </c>
      <c r="B1" s="175"/>
      <c r="C1" s="175"/>
      <c r="D1" s="175"/>
      <c r="E1" s="175"/>
    </row>
    <row r="2" spans="1:5" ht="18.600000000000001">
      <c r="A2" s="176" t="s">
        <v>1</v>
      </c>
      <c r="B2" s="176"/>
      <c r="C2" s="176"/>
      <c r="D2" s="176"/>
      <c r="E2" s="176"/>
    </row>
    <row r="3" spans="1:5" ht="18.600000000000001">
      <c r="A3" s="177" t="s">
        <v>64</v>
      </c>
      <c r="B3" s="177"/>
      <c r="C3" s="177"/>
      <c r="D3" s="177"/>
      <c r="E3" s="177"/>
    </row>
    <row r="4" spans="1:5" ht="18.600000000000001">
      <c r="A4" s="178" t="s">
        <v>3</v>
      </c>
      <c r="B4" s="173" t="s">
        <v>4</v>
      </c>
      <c r="C4" s="182" t="s">
        <v>9</v>
      </c>
      <c r="D4" s="183"/>
      <c r="E4" s="184"/>
    </row>
    <row r="5" spans="1:5" ht="18.600000000000001">
      <c r="A5" s="179"/>
      <c r="B5" s="181"/>
      <c r="C5" s="185" t="s">
        <v>10</v>
      </c>
      <c r="D5" s="187" t="s">
        <v>12</v>
      </c>
      <c r="E5" s="2"/>
    </row>
    <row r="6" spans="1:5" ht="16.8">
      <c r="A6" s="180"/>
      <c r="B6" s="174"/>
      <c r="C6" s="186"/>
      <c r="D6" s="188"/>
      <c r="E6" s="7" t="s">
        <v>19</v>
      </c>
    </row>
    <row r="7" spans="1:5" ht="18.600000000000001">
      <c r="A7" s="156"/>
      <c r="B7" s="173" t="s">
        <v>59</v>
      </c>
      <c r="C7" s="158"/>
      <c r="D7" s="159"/>
      <c r="E7" s="160"/>
    </row>
    <row r="8" spans="1:5" ht="21.75" customHeight="1">
      <c r="A8" s="164"/>
      <c r="B8" s="174"/>
      <c r="C8" s="150"/>
      <c r="D8" s="84"/>
      <c r="E8" s="166"/>
    </row>
    <row r="9" spans="1:5" ht="19.2" thickBot="1">
      <c r="A9" s="167"/>
      <c r="B9" s="168"/>
      <c r="C9" s="169"/>
      <c r="D9" s="170"/>
      <c r="E9" s="171"/>
    </row>
    <row r="10" spans="1:5" ht="19.2" thickTop="1">
      <c r="A10" s="161"/>
      <c r="B10" s="162"/>
      <c r="C10" s="77"/>
      <c r="D10" s="78"/>
      <c r="E10" s="163"/>
    </row>
    <row r="11" spans="1:5" ht="18.600000000000001">
      <c r="A11" s="151"/>
      <c r="B11" s="155" t="s">
        <v>31</v>
      </c>
      <c r="C11" s="77"/>
      <c r="D11" s="78"/>
      <c r="E11" s="96"/>
    </row>
    <row r="12" spans="1:5" ht="18.600000000000001">
      <c r="A12" s="42">
        <v>1</v>
      </c>
      <c r="B12" s="97" t="s">
        <v>32</v>
      </c>
      <c r="C12" s="24" t="s">
        <v>34</v>
      </c>
      <c r="D12" s="25"/>
      <c r="E12" s="99">
        <v>322273.98</v>
      </c>
    </row>
    <row r="13" spans="1:5" ht="18.600000000000001">
      <c r="A13" s="42"/>
      <c r="B13" s="100" t="s">
        <v>35</v>
      </c>
      <c r="C13" s="31"/>
      <c r="D13" s="25"/>
      <c r="E13" s="99"/>
    </row>
    <row r="14" spans="1:5" ht="18.600000000000001">
      <c r="A14" s="42"/>
      <c r="B14" s="100" t="s">
        <v>37</v>
      </c>
      <c r="C14" s="31"/>
      <c r="D14" s="25"/>
      <c r="E14" s="99"/>
    </row>
    <row r="15" spans="1:5" ht="18.600000000000001">
      <c r="A15" s="42"/>
      <c r="B15" s="100" t="s">
        <v>38</v>
      </c>
      <c r="C15" s="31"/>
      <c r="D15" s="25"/>
      <c r="E15" s="99"/>
    </row>
    <row r="16" spans="1:5" ht="18.600000000000001">
      <c r="A16" s="8">
        <v>2</v>
      </c>
      <c r="B16" s="102" t="s">
        <v>32</v>
      </c>
      <c r="C16" s="62" t="s">
        <v>40</v>
      </c>
      <c r="D16" s="25">
        <v>16</v>
      </c>
      <c r="E16" s="99">
        <v>5208581.93</v>
      </c>
    </row>
    <row r="17" spans="1:5" ht="18.600000000000001">
      <c r="A17" s="8"/>
      <c r="B17" s="153" t="s">
        <v>41</v>
      </c>
      <c r="C17" s="62" t="s">
        <v>42</v>
      </c>
      <c r="D17" s="25"/>
      <c r="E17" s="92"/>
    </row>
    <row r="18" spans="1:5" ht="18.600000000000001">
      <c r="A18" s="8"/>
      <c r="B18" s="103" t="s">
        <v>43</v>
      </c>
      <c r="C18" s="31"/>
      <c r="D18" s="25"/>
      <c r="E18" s="92"/>
    </row>
    <row r="19" spans="1:5" ht="18.600000000000001">
      <c r="A19" s="148"/>
      <c r="B19" s="149" t="s">
        <v>44</v>
      </c>
      <c r="C19" s="150"/>
      <c r="D19" s="25"/>
      <c r="E19" s="92"/>
    </row>
    <row r="20" spans="1:5" ht="19.2" thickBot="1">
      <c r="A20" s="152"/>
      <c r="B20" s="172" t="s">
        <v>53</v>
      </c>
      <c r="C20" s="108"/>
      <c r="D20" s="106"/>
      <c r="E20" s="106">
        <f>SUM(E12:E18)</f>
        <v>5530855.9100000001</v>
      </c>
    </row>
    <row r="21" spans="1:5" ht="19.2" thickTop="1">
      <c r="A21" s="120"/>
      <c r="B21" s="121"/>
      <c r="C21" s="125"/>
      <c r="D21" s="121"/>
      <c r="E21" s="126"/>
    </row>
  </sheetData>
  <mergeCells count="9">
    <mergeCell ref="B7:B8"/>
    <mergeCell ref="A1:E1"/>
    <mergeCell ref="A2:E2"/>
    <mergeCell ref="A3:E3"/>
    <mergeCell ref="A4:A6"/>
    <mergeCell ref="B4:B6"/>
    <mergeCell ref="C4:E4"/>
    <mergeCell ref="C5:C6"/>
    <mergeCell ref="D5:D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FCAE-8A03-437D-97F1-BABB26EE5959}">
  <sheetPr>
    <tabColor rgb="FF00B0F0"/>
  </sheetPr>
  <dimension ref="A1:R114"/>
  <sheetViews>
    <sheetView workbookViewId="0">
      <pane ySplit="6" topLeftCell="A70" activePane="bottomLeft" state="frozen"/>
      <selection pane="bottomLeft" activeCell="H76" sqref="H76"/>
    </sheetView>
  </sheetViews>
  <sheetFormatPr defaultColWidth="10.375" defaultRowHeight="14.4"/>
  <cols>
    <col min="1" max="1" width="10.375" style="1"/>
    <col min="2" max="2" width="33.25" style="1" customWidth="1"/>
    <col min="3" max="7" width="10.375" style="1"/>
    <col min="8" max="8" width="13.625" style="1" customWidth="1"/>
    <col min="9" max="9" width="10.375" style="1"/>
    <col min="10" max="10" width="14.375" style="1" customWidth="1"/>
    <col min="11" max="11" width="10.375" style="139"/>
    <col min="12" max="12" width="11.625" style="139" bestFit="1" customWidth="1"/>
    <col min="13" max="13" width="10.375" style="139"/>
    <col min="14" max="15" width="10.375" style="1"/>
    <col min="16" max="16" width="12.875" style="1" customWidth="1"/>
    <col min="17" max="17" width="10.375" style="1"/>
    <col min="18" max="18" width="13" style="1" customWidth="1"/>
    <col min="19" max="257" width="10.375" style="1"/>
    <col min="258" max="258" width="33.25" style="1" customWidth="1"/>
    <col min="259" max="263" width="10.375" style="1"/>
    <col min="264" max="264" width="13.625" style="1" customWidth="1"/>
    <col min="265" max="265" width="10.375" style="1"/>
    <col min="266" max="266" width="14.375" style="1" customWidth="1"/>
    <col min="267" max="267" width="10.375" style="1"/>
    <col min="268" max="268" width="11.625" style="1" bestFit="1" customWidth="1"/>
    <col min="269" max="271" width="10.375" style="1"/>
    <col min="272" max="272" width="12.875" style="1" customWidth="1"/>
    <col min="273" max="273" width="10.375" style="1"/>
    <col min="274" max="274" width="13" style="1" customWidth="1"/>
    <col min="275" max="513" width="10.375" style="1"/>
    <col min="514" max="514" width="33.25" style="1" customWidth="1"/>
    <col min="515" max="519" width="10.375" style="1"/>
    <col min="520" max="520" width="13.625" style="1" customWidth="1"/>
    <col min="521" max="521" width="10.375" style="1"/>
    <col min="522" max="522" width="14.375" style="1" customWidth="1"/>
    <col min="523" max="523" width="10.375" style="1"/>
    <col min="524" max="524" width="11.625" style="1" bestFit="1" customWidth="1"/>
    <col min="525" max="527" width="10.375" style="1"/>
    <col min="528" max="528" width="12.875" style="1" customWidth="1"/>
    <col min="529" max="529" width="10.375" style="1"/>
    <col min="530" max="530" width="13" style="1" customWidth="1"/>
    <col min="531" max="769" width="10.375" style="1"/>
    <col min="770" max="770" width="33.25" style="1" customWidth="1"/>
    <col min="771" max="775" width="10.375" style="1"/>
    <col min="776" max="776" width="13.625" style="1" customWidth="1"/>
    <col min="777" max="777" width="10.375" style="1"/>
    <col min="778" max="778" width="14.375" style="1" customWidth="1"/>
    <col min="779" max="779" width="10.375" style="1"/>
    <col min="780" max="780" width="11.625" style="1" bestFit="1" customWidth="1"/>
    <col min="781" max="783" width="10.375" style="1"/>
    <col min="784" max="784" width="12.875" style="1" customWidth="1"/>
    <col min="785" max="785" width="10.375" style="1"/>
    <col min="786" max="786" width="13" style="1" customWidth="1"/>
    <col min="787" max="1025" width="10.375" style="1"/>
    <col min="1026" max="1026" width="33.25" style="1" customWidth="1"/>
    <col min="1027" max="1031" width="10.375" style="1"/>
    <col min="1032" max="1032" width="13.625" style="1" customWidth="1"/>
    <col min="1033" max="1033" width="10.375" style="1"/>
    <col min="1034" max="1034" width="14.375" style="1" customWidth="1"/>
    <col min="1035" max="1035" width="10.375" style="1"/>
    <col min="1036" max="1036" width="11.625" style="1" bestFit="1" customWidth="1"/>
    <col min="1037" max="1039" width="10.375" style="1"/>
    <col min="1040" max="1040" width="12.875" style="1" customWidth="1"/>
    <col min="1041" max="1041" width="10.375" style="1"/>
    <col min="1042" max="1042" width="13" style="1" customWidth="1"/>
    <col min="1043" max="1281" width="10.375" style="1"/>
    <col min="1282" max="1282" width="33.25" style="1" customWidth="1"/>
    <col min="1283" max="1287" width="10.375" style="1"/>
    <col min="1288" max="1288" width="13.625" style="1" customWidth="1"/>
    <col min="1289" max="1289" width="10.375" style="1"/>
    <col min="1290" max="1290" width="14.375" style="1" customWidth="1"/>
    <col min="1291" max="1291" width="10.375" style="1"/>
    <col min="1292" max="1292" width="11.625" style="1" bestFit="1" customWidth="1"/>
    <col min="1293" max="1295" width="10.375" style="1"/>
    <col min="1296" max="1296" width="12.875" style="1" customWidth="1"/>
    <col min="1297" max="1297" width="10.375" style="1"/>
    <col min="1298" max="1298" width="13" style="1" customWidth="1"/>
    <col min="1299" max="1537" width="10.375" style="1"/>
    <col min="1538" max="1538" width="33.25" style="1" customWidth="1"/>
    <col min="1539" max="1543" width="10.375" style="1"/>
    <col min="1544" max="1544" width="13.625" style="1" customWidth="1"/>
    <col min="1545" max="1545" width="10.375" style="1"/>
    <col min="1546" max="1546" width="14.375" style="1" customWidth="1"/>
    <col min="1547" max="1547" width="10.375" style="1"/>
    <col min="1548" max="1548" width="11.625" style="1" bestFit="1" customWidth="1"/>
    <col min="1549" max="1551" width="10.375" style="1"/>
    <col min="1552" max="1552" width="12.875" style="1" customWidth="1"/>
    <col min="1553" max="1553" width="10.375" style="1"/>
    <col min="1554" max="1554" width="13" style="1" customWidth="1"/>
    <col min="1555" max="1793" width="10.375" style="1"/>
    <col min="1794" max="1794" width="33.25" style="1" customWidth="1"/>
    <col min="1795" max="1799" width="10.375" style="1"/>
    <col min="1800" max="1800" width="13.625" style="1" customWidth="1"/>
    <col min="1801" max="1801" width="10.375" style="1"/>
    <col min="1802" max="1802" width="14.375" style="1" customWidth="1"/>
    <col min="1803" max="1803" width="10.375" style="1"/>
    <col min="1804" max="1804" width="11.625" style="1" bestFit="1" customWidth="1"/>
    <col min="1805" max="1807" width="10.375" style="1"/>
    <col min="1808" max="1808" width="12.875" style="1" customWidth="1"/>
    <col min="1809" max="1809" width="10.375" style="1"/>
    <col min="1810" max="1810" width="13" style="1" customWidth="1"/>
    <col min="1811" max="2049" width="10.375" style="1"/>
    <col min="2050" max="2050" width="33.25" style="1" customWidth="1"/>
    <col min="2051" max="2055" width="10.375" style="1"/>
    <col min="2056" max="2056" width="13.625" style="1" customWidth="1"/>
    <col min="2057" max="2057" width="10.375" style="1"/>
    <col min="2058" max="2058" width="14.375" style="1" customWidth="1"/>
    <col min="2059" max="2059" width="10.375" style="1"/>
    <col min="2060" max="2060" width="11.625" style="1" bestFit="1" customWidth="1"/>
    <col min="2061" max="2063" width="10.375" style="1"/>
    <col min="2064" max="2064" width="12.875" style="1" customWidth="1"/>
    <col min="2065" max="2065" width="10.375" style="1"/>
    <col min="2066" max="2066" width="13" style="1" customWidth="1"/>
    <col min="2067" max="2305" width="10.375" style="1"/>
    <col min="2306" max="2306" width="33.25" style="1" customWidth="1"/>
    <col min="2307" max="2311" width="10.375" style="1"/>
    <col min="2312" max="2312" width="13.625" style="1" customWidth="1"/>
    <col min="2313" max="2313" width="10.375" style="1"/>
    <col min="2314" max="2314" width="14.375" style="1" customWidth="1"/>
    <col min="2315" max="2315" width="10.375" style="1"/>
    <col min="2316" max="2316" width="11.625" style="1" bestFit="1" customWidth="1"/>
    <col min="2317" max="2319" width="10.375" style="1"/>
    <col min="2320" max="2320" width="12.875" style="1" customWidth="1"/>
    <col min="2321" max="2321" width="10.375" style="1"/>
    <col min="2322" max="2322" width="13" style="1" customWidth="1"/>
    <col min="2323" max="2561" width="10.375" style="1"/>
    <col min="2562" max="2562" width="33.25" style="1" customWidth="1"/>
    <col min="2563" max="2567" width="10.375" style="1"/>
    <col min="2568" max="2568" width="13.625" style="1" customWidth="1"/>
    <col min="2569" max="2569" width="10.375" style="1"/>
    <col min="2570" max="2570" width="14.375" style="1" customWidth="1"/>
    <col min="2571" max="2571" width="10.375" style="1"/>
    <col min="2572" max="2572" width="11.625" style="1" bestFit="1" customWidth="1"/>
    <col min="2573" max="2575" width="10.375" style="1"/>
    <col min="2576" max="2576" width="12.875" style="1" customWidth="1"/>
    <col min="2577" max="2577" width="10.375" style="1"/>
    <col min="2578" max="2578" width="13" style="1" customWidth="1"/>
    <col min="2579" max="2817" width="10.375" style="1"/>
    <col min="2818" max="2818" width="33.25" style="1" customWidth="1"/>
    <col min="2819" max="2823" width="10.375" style="1"/>
    <col min="2824" max="2824" width="13.625" style="1" customWidth="1"/>
    <col min="2825" max="2825" width="10.375" style="1"/>
    <col min="2826" max="2826" width="14.375" style="1" customWidth="1"/>
    <col min="2827" max="2827" width="10.375" style="1"/>
    <col min="2828" max="2828" width="11.625" style="1" bestFit="1" customWidth="1"/>
    <col min="2829" max="2831" width="10.375" style="1"/>
    <col min="2832" max="2832" width="12.875" style="1" customWidth="1"/>
    <col min="2833" max="2833" width="10.375" style="1"/>
    <col min="2834" max="2834" width="13" style="1" customWidth="1"/>
    <col min="2835" max="3073" width="10.375" style="1"/>
    <col min="3074" max="3074" width="33.25" style="1" customWidth="1"/>
    <col min="3075" max="3079" width="10.375" style="1"/>
    <col min="3080" max="3080" width="13.625" style="1" customWidth="1"/>
    <col min="3081" max="3081" width="10.375" style="1"/>
    <col min="3082" max="3082" width="14.375" style="1" customWidth="1"/>
    <col min="3083" max="3083" width="10.375" style="1"/>
    <col min="3084" max="3084" width="11.625" style="1" bestFit="1" customWidth="1"/>
    <col min="3085" max="3087" width="10.375" style="1"/>
    <col min="3088" max="3088" width="12.875" style="1" customWidth="1"/>
    <col min="3089" max="3089" width="10.375" style="1"/>
    <col min="3090" max="3090" width="13" style="1" customWidth="1"/>
    <col min="3091" max="3329" width="10.375" style="1"/>
    <col min="3330" max="3330" width="33.25" style="1" customWidth="1"/>
    <col min="3331" max="3335" width="10.375" style="1"/>
    <col min="3336" max="3336" width="13.625" style="1" customWidth="1"/>
    <col min="3337" max="3337" width="10.375" style="1"/>
    <col min="3338" max="3338" width="14.375" style="1" customWidth="1"/>
    <col min="3339" max="3339" width="10.375" style="1"/>
    <col min="3340" max="3340" width="11.625" style="1" bestFit="1" customWidth="1"/>
    <col min="3341" max="3343" width="10.375" style="1"/>
    <col min="3344" max="3344" width="12.875" style="1" customWidth="1"/>
    <col min="3345" max="3345" width="10.375" style="1"/>
    <col min="3346" max="3346" width="13" style="1" customWidth="1"/>
    <col min="3347" max="3585" width="10.375" style="1"/>
    <col min="3586" max="3586" width="33.25" style="1" customWidth="1"/>
    <col min="3587" max="3591" width="10.375" style="1"/>
    <col min="3592" max="3592" width="13.625" style="1" customWidth="1"/>
    <col min="3593" max="3593" width="10.375" style="1"/>
    <col min="3594" max="3594" width="14.375" style="1" customWidth="1"/>
    <col min="3595" max="3595" width="10.375" style="1"/>
    <col min="3596" max="3596" width="11.625" style="1" bestFit="1" customWidth="1"/>
    <col min="3597" max="3599" width="10.375" style="1"/>
    <col min="3600" max="3600" width="12.875" style="1" customWidth="1"/>
    <col min="3601" max="3601" width="10.375" style="1"/>
    <col min="3602" max="3602" width="13" style="1" customWidth="1"/>
    <col min="3603" max="3841" width="10.375" style="1"/>
    <col min="3842" max="3842" width="33.25" style="1" customWidth="1"/>
    <col min="3843" max="3847" width="10.375" style="1"/>
    <col min="3848" max="3848" width="13.625" style="1" customWidth="1"/>
    <col min="3849" max="3849" width="10.375" style="1"/>
    <col min="3850" max="3850" width="14.375" style="1" customWidth="1"/>
    <col min="3851" max="3851" width="10.375" style="1"/>
    <col min="3852" max="3852" width="11.625" style="1" bestFit="1" customWidth="1"/>
    <col min="3853" max="3855" width="10.375" style="1"/>
    <col min="3856" max="3856" width="12.875" style="1" customWidth="1"/>
    <col min="3857" max="3857" width="10.375" style="1"/>
    <col min="3858" max="3858" width="13" style="1" customWidth="1"/>
    <col min="3859" max="4097" width="10.375" style="1"/>
    <col min="4098" max="4098" width="33.25" style="1" customWidth="1"/>
    <col min="4099" max="4103" width="10.375" style="1"/>
    <col min="4104" max="4104" width="13.625" style="1" customWidth="1"/>
    <col min="4105" max="4105" width="10.375" style="1"/>
    <col min="4106" max="4106" width="14.375" style="1" customWidth="1"/>
    <col min="4107" max="4107" width="10.375" style="1"/>
    <col min="4108" max="4108" width="11.625" style="1" bestFit="1" customWidth="1"/>
    <col min="4109" max="4111" width="10.375" style="1"/>
    <col min="4112" max="4112" width="12.875" style="1" customWidth="1"/>
    <col min="4113" max="4113" width="10.375" style="1"/>
    <col min="4114" max="4114" width="13" style="1" customWidth="1"/>
    <col min="4115" max="4353" width="10.375" style="1"/>
    <col min="4354" max="4354" width="33.25" style="1" customWidth="1"/>
    <col min="4355" max="4359" width="10.375" style="1"/>
    <col min="4360" max="4360" width="13.625" style="1" customWidth="1"/>
    <col min="4361" max="4361" width="10.375" style="1"/>
    <col min="4362" max="4362" width="14.375" style="1" customWidth="1"/>
    <col min="4363" max="4363" width="10.375" style="1"/>
    <col min="4364" max="4364" width="11.625" style="1" bestFit="1" customWidth="1"/>
    <col min="4365" max="4367" width="10.375" style="1"/>
    <col min="4368" max="4368" width="12.875" style="1" customWidth="1"/>
    <col min="4369" max="4369" width="10.375" style="1"/>
    <col min="4370" max="4370" width="13" style="1" customWidth="1"/>
    <col min="4371" max="4609" width="10.375" style="1"/>
    <col min="4610" max="4610" width="33.25" style="1" customWidth="1"/>
    <col min="4611" max="4615" width="10.375" style="1"/>
    <col min="4616" max="4616" width="13.625" style="1" customWidth="1"/>
    <col min="4617" max="4617" width="10.375" style="1"/>
    <col min="4618" max="4618" width="14.375" style="1" customWidth="1"/>
    <col min="4619" max="4619" width="10.375" style="1"/>
    <col min="4620" max="4620" width="11.625" style="1" bestFit="1" customWidth="1"/>
    <col min="4621" max="4623" width="10.375" style="1"/>
    <col min="4624" max="4624" width="12.875" style="1" customWidth="1"/>
    <col min="4625" max="4625" width="10.375" style="1"/>
    <col min="4626" max="4626" width="13" style="1" customWidth="1"/>
    <col min="4627" max="4865" width="10.375" style="1"/>
    <col min="4866" max="4866" width="33.25" style="1" customWidth="1"/>
    <col min="4867" max="4871" width="10.375" style="1"/>
    <col min="4872" max="4872" width="13.625" style="1" customWidth="1"/>
    <col min="4873" max="4873" width="10.375" style="1"/>
    <col min="4874" max="4874" width="14.375" style="1" customWidth="1"/>
    <col min="4875" max="4875" width="10.375" style="1"/>
    <col min="4876" max="4876" width="11.625" style="1" bestFit="1" customWidth="1"/>
    <col min="4877" max="4879" width="10.375" style="1"/>
    <col min="4880" max="4880" width="12.875" style="1" customWidth="1"/>
    <col min="4881" max="4881" width="10.375" style="1"/>
    <col min="4882" max="4882" width="13" style="1" customWidth="1"/>
    <col min="4883" max="5121" width="10.375" style="1"/>
    <col min="5122" max="5122" width="33.25" style="1" customWidth="1"/>
    <col min="5123" max="5127" width="10.375" style="1"/>
    <col min="5128" max="5128" width="13.625" style="1" customWidth="1"/>
    <col min="5129" max="5129" width="10.375" style="1"/>
    <col min="5130" max="5130" width="14.375" style="1" customWidth="1"/>
    <col min="5131" max="5131" width="10.375" style="1"/>
    <col min="5132" max="5132" width="11.625" style="1" bestFit="1" customWidth="1"/>
    <col min="5133" max="5135" width="10.375" style="1"/>
    <col min="5136" max="5136" width="12.875" style="1" customWidth="1"/>
    <col min="5137" max="5137" width="10.375" style="1"/>
    <col min="5138" max="5138" width="13" style="1" customWidth="1"/>
    <col min="5139" max="5377" width="10.375" style="1"/>
    <col min="5378" max="5378" width="33.25" style="1" customWidth="1"/>
    <col min="5379" max="5383" width="10.375" style="1"/>
    <col min="5384" max="5384" width="13.625" style="1" customWidth="1"/>
    <col min="5385" max="5385" width="10.375" style="1"/>
    <col min="5386" max="5386" width="14.375" style="1" customWidth="1"/>
    <col min="5387" max="5387" width="10.375" style="1"/>
    <col min="5388" max="5388" width="11.625" style="1" bestFit="1" customWidth="1"/>
    <col min="5389" max="5391" width="10.375" style="1"/>
    <col min="5392" max="5392" width="12.875" style="1" customWidth="1"/>
    <col min="5393" max="5393" width="10.375" style="1"/>
    <col min="5394" max="5394" width="13" style="1" customWidth="1"/>
    <col min="5395" max="5633" width="10.375" style="1"/>
    <col min="5634" max="5634" width="33.25" style="1" customWidth="1"/>
    <col min="5635" max="5639" width="10.375" style="1"/>
    <col min="5640" max="5640" width="13.625" style="1" customWidth="1"/>
    <col min="5641" max="5641" width="10.375" style="1"/>
    <col min="5642" max="5642" width="14.375" style="1" customWidth="1"/>
    <col min="5643" max="5643" width="10.375" style="1"/>
    <col min="5644" max="5644" width="11.625" style="1" bestFit="1" customWidth="1"/>
    <col min="5645" max="5647" width="10.375" style="1"/>
    <col min="5648" max="5648" width="12.875" style="1" customWidth="1"/>
    <col min="5649" max="5649" width="10.375" style="1"/>
    <col min="5650" max="5650" width="13" style="1" customWidth="1"/>
    <col min="5651" max="5889" width="10.375" style="1"/>
    <col min="5890" max="5890" width="33.25" style="1" customWidth="1"/>
    <col min="5891" max="5895" width="10.375" style="1"/>
    <col min="5896" max="5896" width="13.625" style="1" customWidth="1"/>
    <col min="5897" max="5897" width="10.375" style="1"/>
    <col min="5898" max="5898" width="14.375" style="1" customWidth="1"/>
    <col min="5899" max="5899" width="10.375" style="1"/>
    <col min="5900" max="5900" width="11.625" style="1" bestFit="1" customWidth="1"/>
    <col min="5901" max="5903" width="10.375" style="1"/>
    <col min="5904" max="5904" width="12.875" style="1" customWidth="1"/>
    <col min="5905" max="5905" width="10.375" style="1"/>
    <col min="5906" max="5906" width="13" style="1" customWidth="1"/>
    <col min="5907" max="6145" width="10.375" style="1"/>
    <col min="6146" max="6146" width="33.25" style="1" customWidth="1"/>
    <col min="6147" max="6151" width="10.375" style="1"/>
    <col min="6152" max="6152" width="13.625" style="1" customWidth="1"/>
    <col min="6153" max="6153" width="10.375" style="1"/>
    <col min="6154" max="6154" width="14.375" style="1" customWidth="1"/>
    <col min="6155" max="6155" width="10.375" style="1"/>
    <col min="6156" max="6156" width="11.625" style="1" bestFit="1" customWidth="1"/>
    <col min="6157" max="6159" width="10.375" style="1"/>
    <col min="6160" max="6160" width="12.875" style="1" customWidth="1"/>
    <col min="6161" max="6161" width="10.375" style="1"/>
    <col min="6162" max="6162" width="13" style="1" customWidth="1"/>
    <col min="6163" max="6401" width="10.375" style="1"/>
    <col min="6402" max="6402" width="33.25" style="1" customWidth="1"/>
    <col min="6403" max="6407" width="10.375" style="1"/>
    <col min="6408" max="6408" width="13.625" style="1" customWidth="1"/>
    <col min="6409" max="6409" width="10.375" style="1"/>
    <col min="6410" max="6410" width="14.375" style="1" customWidth="1"/>
    <col min="6411" max="6411" width="10.375" style="1"/>
    <col min="6412" max="6412" width="11.625" style="1" bestFit="1" customWidth="1"/>
    <col min="6413" max="6415" width="10.375" style="1"/>
    <col min="6416" max="6416" width="12.875" style="1" customWidth="1"/>
    <col min="6417" max="6417" width="10.375" style="1"/>
    <col min="6418" max="6418" width="13" style="1" customWidth="1"/>
    <col min="6419" max="6657" width="10.375" style="1"/>
    <col min="6658" max="6658" width="33.25" style="1" customWidth="1"/>
    <col min="6659" max="6663" width="10.375" style="1"/>
    <col min="6664" max="6664" width="13.625" style="1" customWidth="1"/>
    <col min="6665" max="6665" width="10.375" style="1"/>
    <col min="6666" max="6666" width="14.375" style="1" customWidth="1"/>
    <col min="6667" max="6667" width="10.375" style="1"/>
    <col min="6668" max="6668" width="11.625" style="1" bestFit="1" customWidth="1"/>
    <col min="6669" max="6671" width="10.375" style="1"/>
    <col min="6672" max="6672" width="12.875" style="1" customWidth="1"/>
    <col min="6673" max="6673" width="10.375" style="1"/>
    <col min="6674" max="6674" width="13" style="1" customWidth="1"/>
    <col min="6675" max="6913" width="10.375" style="1"/>
    <col min="6914" max="6914" width="33.25" style="1" customWidth="1"/>
    <col min="6915" max="6919" width="10.375" style="1"/>
    <col min="6920" max="6920" width="13.625" style="1" customWidth="1"/>
    <col min="6921" max="6921" width="10.375" style="1"/>
    <col min="6922" max="6922" width="14.375" style="1" customWidth="1"/>
    <col min="6923" max="6923" width="10.375" style="1"/>
    <col min="6924" max="6924" width="11.625" style="1" bestFit="1" customWidth="1"/>
    <col min="6925" max="6927" width="10.375" style="1"/>
    <col min="6928" max="6928" width="12.875" style="1" customWidth="1"/>
    <col min="6929" max="6929" width="10.375" style="1"/>
    <col min="6930" max="6930" width="13" style="1" customWidth="1"/>
    <col min="6931" max="7169" width="10.375" style="1"/>
    <col min="7170" max="7170" width="33.25" style="1" customWidth="1"/>
    <col min="7171" max="7175" width="10.375" style="1"/>
    <col min="7176" max="7176" width="13.625" style="1" customWidth="1"/>
    <col min="7177" max="7177" width="10.375" style="1"/>
    <col min="7178" max="7178" width="14.375" style="1" customWidth="1"/>
    <col min="7179" max="7179" width="10.375" style="1"/>
    <col min="7180" max="7180" width="11.625" style="1" bestFit="1" customWidth="1"/>
    <col min="7181" max="7183" width="10.375" style="1"/>
    <col min="7184" max="7184" width="12.875" style="1" customWidth="1"/>
    <col min="7185" max="7185" width="10.375" style="1"/>
    <col min="7186" max="7186" width="13" style="1" customWidth="1"/>
    <col min="7187" max="7425" width="10.375" style="1"/>
    <col min="7426" max="7426" width="33.25" style="1" customWidth="1"/>
    <col min="7427" max="7431" width="10.375" style="1"/>
    <col min="7432" max="7432" width="13.625" style="1" customWidth="1"/>
    <col min="7433" max="7433" width="10.375" style="1"/>
    <col min="7434" max="7434" width="14.375" style="1" customWidth="1"/>
    <col min="7435" max="7435" width="10.375" style="1"/>
    <col min="7436" max="7436" width="11.625" style="1" bestFit="1" customWidth="1"/>
    <col min="7437" max="7439" width="10.375" style="1"/>
    <col min="7440" max="7440" width="12.875" style="1" customWidth="1"/>
    <col min="7441" max="7441" width="10.375" style="1"/>
    <col min="7442" max="7442" width="13" style="1" customWidth="1"/>
    <col min="7443" max="7681" width="10.375" style="1"/>
    <col min="7682" max="7682" width="33.25" style="1" customWidth="1"/>
    <col min="7683" max="7687" width="10.375" style="1"/>
    <col min="7688" max="7688" width="13.625" style="1" customWidth="1"/>
    <col min="7689" max="7689" width="10.375" style="1"/>
    <col min="7690" max="7690" width="14.375" style="1" customWidth="1"/>
    <col min="7691" max="7691" width="10.375" style="1"/>
    <col min="7692" max="7692" width="11.625" style="1" bestFit="1" customWidth="1"/>
    <col min="7693" max="7695" width="10.375" style="1"/>
    <col min="7696" max="7696" width="12.875" style="1" customWidth="1"/>
    <col min="7697" max="7697" width="10.375" style="1"/>
    <col min="7698" max="7698" width="13" style="1" customWidth="1"/>
    <col min="7699" max="7937" width="10.375" style="1"/>
    <col min="7938" max="7938" width="33.25" style="1" customWidth="1"/>
    <col min="7939" max="7943" width="10.375" style="1"/>
    <col min="7944" max="7944" width="13.625" style="1" customWidth="1"/>
    <col min="7945" max="7945" width="10.375" style="1"/>
    <col min="7946" max="7946" width="14.375" style="1" customWidth="1"/>
    <col min="7947" max="7947" width="10.375" style="1"/>
    <col min="7948" max="7948" width="11.625" style="1" bestFit="1" customWidth="1"/>
    <col min="7949" max="7951" width="10.375" style="1"/>
    <col min="7952" max="7952" width="12.875" style="1" customWidth="1"/>
    <col min="7953" max="7953" width="10.375" style="1"/>
    <col min="7954" max="7954" width="13" style="1" customWidth="1"/>
    <col min="7955" max="8193" width="10.375" style="1"/>
    <col min="8194" max="8194" width="33.25" style="1" customWidth="1"/>
    <col min="8195" max="8199" width="10.375" style="1"/>
    <col min="8200" max="8200" width="13.625" style="1" customWidth="1"/>
    <col min="8201" max="8201" width="10.375" style="1"/>
    <col min="8202" max="8202" width="14.375" style="1" customWidth="1"/>
    <col min="8203" max="8203" width="10.375" style="1"/>
    <col min="8204" max="8204" width="11.625" style="1" bestFit="1" customWidth="1"/>
    <col min="8205" max="8207" width="10.375" style="1"/>
    <col min="8208" max="8208" width="12.875" style="1" customWidth="1"/>
    <col min="8209" max="8209" width="10.375" style="1"/>
    <col min="8210" max="8210" width="13" style="1" customWidth="1"/>
    <col min="8211" max="8449" width="10.375" style="1"/>
    <col min="8450" max="8450" width="33.25" style="1" customWidth="1"/>
    <col min="8451" max="8455" width="10.375" style="1"/>
    <col min="8456" max="8456" width="13.625" style="1" customWidth="1"/>
    <col min="8457" max="8457" width="10.375" style="1"/>
    <col min="8458" max="8458" width="14.375" style="1" customWidth="1"/>
    <col min="8459" max="8459" width="10.375" style="1"/>
    <col min="8460" max="8460" width="11.625" style="1" bestFit="1" customWidth="1"/>
    <col min="8461" max="8463" width="10.375" style="1"/>
    <col min="8464" max="8464" width="12.875" style="1" customWidth="1"/>
    <col min="8465" max="8465" width="10.375" style="1"/>
    <col min="8466" max="8466" width="13" style="1" customWidth="1"/>
    <col min="8467" max="8705" width="10.375" style="1"/>
    <col min="8706" max="8706" width="33.25" style="1" customWidth="1"/>
    <col min="8707" max="8711" width="10.375" style="1"/>
    <col min="8712" max="8712" width="13.625" style="1" customWidth="1"/>
    <col min="8713" max="8713" width="10.375" style="1"/>
    <col min="8714" max="8714" width="14.375" style="1" customWidth="1"/>
    <col min="8715" max="8715" width="10.375" style="1"/>
    <col min="8716" max="8716" width="11.625" style="1" bestFit="1" customWidth="1"/>
    <col min="8717" max="8719" width="10.375" style="1"/>
    <col min="8720" max="8720" width="12.875" style="1" customWidth="1"/>
    <col min="8721" max="8721" width="10.375" style="1"/>
    <col min="8722" max="8722" width="13" style="1" customWidth="1"/>
    <col min="8723" max="8961" width="10.375" style="1"/>
    <col min="8962" max="8962" width="33.25" style="1" customWidth="1"/>
    <col min="8963" max="8967" width="10.375" style="1"/>
    <col min="8968" max="8968" width="13.625" style="1" customWidth="1"/>
    <col min="8969" max="8969" width="10.375" style="1"/>
    <col min="8970" max="8970" width="14.375" style="1" customWidth="1"/>
    <col min="8971" max="8971" width="10.375" style="1"/>
    <col min="8972" max="8972" width="11.625" style="1" bestFit="1" customWidth="1"/>
    <col min="8973" max="8975" width="10.375" style="1"/>
    <col min="8976" max="8976" width="12.875" style="1" customWidth="1"/>
    <col min="8977" max="8977" width="10.375" style="1"/>
    <col min="8978" max="8978" width="13" style="1" customWidth="1"/>
    <col min="8979" max="9217" width="10.375" style="1"/>
    <col min="9218" max="9218" width="33.25" style="1" customWidth="1"/>
    <col min="9219" max="9223" width="10.375" style="1"/>
    <col min="9224" max="9224" width="13.625" style="1" customWidth="1"/>
    <col min="9225" max="9225" width="10.375" style="1"/>
    <col min="9226" max="9226" width="14.375" style="1" customWidth="1"/>
    <col min="9227" max="9227" width="10.375" style="1"/>
    <col min="9228" max="9228" width="11.625" style="1" bestFit="1" customWidth="1"/>
    <col min="9229" max="9231" width="10.375" style="1"/>
    <col min="9232" max="9232" width="12.875" style="1" customWidth="1"/>
    <col min="9233" max="9233" width="10.375" style="1"/>
    <col min="9234" max="9234" width="13" style="1" customWidth="1"/>
    <col min="9235" max="9473" width="10.375" style="1"/>
    <col min="9474" max="9474" width="33.25" style="1" customWidth="1"/>
    <col min="9475" max="9479" width="10.375" style="1"/>
    <col min="9480" max="9480" width="13.625" style="1" customWidth="1"/>
    <col min="9481" max="9481" width="10.375" style="1"/>
    <col min="9482" max="9482" width="14.375" style="1" customWidth="1"/>
    <col min="9483" max="9483" width="10.375" style="1"/>
    <col min="9484" max="9484" width="11.625" style="1" bestFit="1" customWidth="1"/>
    <col min="9485" max="9487" width="10.375" style="1"/>
    <col min="9488" max="9488" width="12.875" style="1" customWidth="1"/>
    <col min="9489" max="9489" width="10.375" style="1"/>
    <col min="9490" max="9490" width="13" style="1" customWidth="1"/>
    <col min="9491" max="9729" width="10.375" style="1"/>
    <col min="9730" max="9730" width="33.25" style="1" customWidth="1"/>
    <col min="9731" max="9735" width="10.375" style="1"/>
    <col min="9736" max="9736" width="13.625" style="1" customWidth="1"/>
    <col min="9737" max="9737" width="10.375" style="1"/>
    <col min="9738" max="9738" width="14.375" style="1" customWidth="1"/>
    <col min="9739" max="9739" width="10.375" style="1"/>
    <col min="9740" max="9740" width="11.625" style="1" bestFit="1" customWidth="1"/>
    <col min="9741" max="9743" width="10.375" style="1"/>
    <col min="9744" max="9744" width="12.875" style="1" customWidth="1"/>
    <col min="9745" max="9745" width="10.375" style="1"/>
    <col min="9746" max="9746" width="13" style="1" customWidth="1"/>
    <col min="9747" max="9985" width="10.375" style="1"/>
    <col min="9986" max="9986" width="33.25" style="1" customWidth="1"/>
    <col min="9987" max="9991" width="10.375" style="1"/>
    <col min="9992" max="9992" width="13.625" style="1" customWidth="1"/>
    <col min="9993" max="9993" width="10.375" style="1"/>
    <col min="9994" max="9994" width="14.375" style="1" customWidth="1"/>
    <col min="9995" max="9995" width="10.375" style="1"/>
    <col min="9996" max="9996" width="11.625" style="1" bestFit="1" customWidth="1"/>
    <col min="9997" max="9999" width="10.375" style="1"/>
    <col min="10000" max="10000" width="12.875" style="1" customWidth="1"/>
    <col min="10001" max="10001" width="10.375" style="1"/>
    <col min="10002" max="10002" width="13" style="1" customWidth="1"/>
    <col min="10003" max="10241" width="10.375" style="1"/>
    <col min="10242" max="10242" width="33.25" style="1" customWidth="1"/>
    <col min="10243" max="10247" width="10.375" style="1"/>
    <col min="10248" max="10248" width="13.625" style="1" customWidth="1"/>
    <col min="10249" max="10249" width="10.375" style="1"/>
    <col min="10250" max="10250" width="14.375" style="1" customWidth="1"/>
    <col min="10251" max="10251" width="10.375" style="1"/>
    <col min="10252" max="10252" width="11.625" style="1" bestFit="1" customWidth="1"/>
    <col min="10253" max="10255" width="10.375" style="1"/>
    <col min="10256" max="10256" width="12.875" style="1" customWidth="1"/>
    <col min="10257" max="10257" width="10.375" style="1"/>
    <col min="10258" max="10258" width="13" style="1" customWidth="1"/>
    <col min="10259" max="10497" width="10.375" style="1"/>
    <col min="10498" max="10498" width="33.25" style="1" customWidth="1"/>
    <col min="10499" max="10503" width="10.375" style="1"/>
    <col min="10504" max="10504" width="13.625" style="1" customWidth="1"/>
    <col min="10505" max="10505" width="10.375" style="1"/>
    <col min="10506" max="10506" width="14.375" style="1" customWidth="1"/>
    <col min="10507" max="10507" width="10.375" style="1"/>
    <col min="10508" max="10508" width="11.625" style="1" bestFit="1" customWidth="1"/>
    <col min="10509" max="10511" width="10.375" style="1"/>
    <col min="10512" max="10512" width="12.875" style="1" customWidth="1"/>
    <col min="10513" max="10513" width="10.375" style="1"/>
    <col min="10514" max="10514" width="13" style="1" customWidth="1"/>
    <col min="10515" max="10753" width="10.375" style="1"/>
    <col min="10754" max="10754" width="33.25" style="1" customWidth="1"/>
    <col min="10755" max="10759" width="10.375" style="1"/>
    <col min="10760" max="10760" width="13.625" style="1" customWidth="1"/>
    <col min="10761" max="10761" width="10.375" style="1"/>
    <col min="10762" max="10762" width="14.375" style="1" customWidth="1"/>
    <col min="10763" max="10763" width="10.375" style="1"/>
    <col min="10764" max="10764" width="11.625" style="1" bestFit="1" customWidth="1"/>
    <col min="10765" max="10767" width="10.375" style="1"/>
    <col min="10768" max="10768" width="12.875" style="1" customWidth="1"/>
    <col min="10769" max="10769" width="10.375" style="1"/>
    <col min="10770" max="10770" width="13" style="1" customWidth="1"/>
    <col min="10771" max="11009" width="10.375" style="1"/>
    <col min="11010" max="11010" width="33.25" style="1" customWidth="1"/>
    <col min="11011" max="11015" width="10.375" style="1"/>
    <col min="11016" max="11016" width="13.625" style="1" customWidth="1"/>
    <col min="11017" max="11017" width="10.375" style="1"/>
    <col min="11018" max="11018" width="14.375" style="1" customWidth="1"/>
    <col min="11019" max="11019" width="10.375" style="1"/>
    <col min="11020" max="11020" width="11.625" style="1" bestFit="1" customWidth="1"/>
    <col min="11021" max="11023" width="10.375" style="1"/>
    <col min="11024" max="11024" width="12.875" style="1" customWidth="1"/>
    <col min="11025" max="11025" width="10.375" style="1"/>
    <col min="11026" max="11026" width="13" style="1" customWidth="1"/>
    <col min="11027" max="11265" width="10.375" style="1"/>
    <col min="11266" max="11266" width="33.25" style="1" customWidth="1"/>
    <col min="11267" max="11271" width="10.375" style="1"/>
    <col min="11272" max="11272" width="13.625" style="1" customWidth="1"/>
    <col min="11273" max="11273" width="10.375" style="1"/>
    <col min="11274" max="11274" width="14.375" style="1" customWidth="1"/>
    <col min="11275" max="11275" width="10.375" style="1"/>
    <col min="11276" max="11276" width="11.625" style="1" bestFit="1" customWidth="1"/>
    <col min="11277" max="11279" width="10.375" style="1"/>
    <col min="11280" max="11280" width="12.875" style="1" customWidth="1"/>
    <col min="11281" max="11281" width="10.375" style="1"/>
    <col min="11282" max="11282" width="13" style="1" customWidth="1"/>
    <col min="11283" max="11521" width="10.375" style="1"/>
    <col min="11522" max="11522" width="33.25" style="1" customWidth="1"/>
    <col min="11523" max="11527" width="10.375" style="1"/>
    <col min="11528" max="11528" width="13.625" style="1" customWidth="1"/>
    <col min="11529" max="11529" width="10.375" style="1"/>
    <col min="11530" max="11530" width="14.375" style="1" customWidth="1"/>
    <col min="11531" max="11531" width="10.375" style="1"/>
    <col min="11532" max="11532" width="11.625" style="1" bestFit="1" customWidth="1"/>
    <col min="11533" max="11535" width="10.375" style="1"/>
    <col min="11536" max="11536" width="12.875" style="1" customWidth="1"/>
    <col min="11537" max="11537" width="10.375" style="1"/>
    <col min="11538" max="11538" width="13" style="1" customWidth="1"/>
    <col min="11539" max="11777" width="10.375" style="1"/>
    <col min="11778" max="11778" width="33.25" style="1" customWidth="1"/>
    <col min="11779" max="11783" width="10.375" style="1"/>
    <col min="11784" max="11784" width="13.625" style="1" customWidth="1"/>
    <col min="11785" max="11785" width="10.375" style="1"/>
    <col min="11786" max="11786" width="14.375" style="1" customWidth="1"/>
    <col min="11787" max="11787" width="10.375" style="1"/>
    <col min="11788" max="11788" width="11.625" style="1" bestFit="1" customWidth="1"/>
    <col min="11789" max="11791" width="10.375" style="1"/>
    <col min="11792" max="11792" width="12.875" style="1" customWidth="1"/>
    <col min="11793" max="11793" width="10.375" style="1"/>
    <col min="11794" max="11794" width="13" style="1" customWidth="1"/>
    <col min="11795" max="12033" width="10.375" style="1"/>
    <col min="12034" max="12034" width="33.25" style="1" customWidth="1"/>
    <col min="12035" max="12039" width="10.375" style="1"/>
    <col min="12040" max="12040" width="13.625" style="1" customWidth="1"/>
    <col min="12041" max="12041" width="10.375" style="1"/>
    <col min="12042" max="12042" width="14.375" style="1" customWidth="1"/>
    <col min="12043" max="12043" width="10.375" style="1"/>
    <col min="12044" max="12044" width="11.625" style="1" bestFit="1" customWidth="1"/>
    <col min="12045" max="12047" width="10.375" style="1"/>
    <col min="12048" max="12048" width="12.875" style="1" customWidth="1"/>
    <col min="12049" max="12049" width="10.375" style="1"/>
    <col min="12050" max="12050" width="13" style="1" customWidth="1"/>
    <col min="12051" max="12289" width="10.375" style="1"/>
    <col min="12290" max="12290" width="33.25" style="1" customWidth="1"/>
    <col min="12291" max="12295" width="10.375" style="1"/>
    <col min="12296" max="12296" width="13.625" style="1" customWidth="1"/>
    <col min="12297" max="12297" width="10.375" style="1"/>
    <col min="12298" max="12298" width="14.375" style="1" customWidth="1"/>
    <col min="12299" max="12299" width="10.375" style="1"/>
    <col min="12300" max="12300" width="11.625" style="1" bestFit="1" customWidth="1"/>
    <col min="12301" max="12303" width="10.375" style="1"/>
    <col min="12304" max="12304" width="12.875" style="1" customWidth="1"/>
    <col min="12305" max="12305" width="10.375" style="1"/>
    <col min="12306" max="12306" width="13" style="1" customWidth="1"/>
    <col min="12307" max="12545" width="10.375" style="1"/>
    <col min="12546" max="12546" width="33.25" style="1" customWidth="1"/>
    <col min="12547" max="12551" width="10.375" style="1"/>
    <col min="12552" max="12552" width="13.625" style="1" customWidth="1"/>
    <col min="12553" max="12553" width="10.375" style="1"/>
    <col min="12554" max="12554" width="14.375" style="1" customWidth="1"/>
    <col min="12555" max="12555" width="10.375" style="1"/>
    <col min="12556" max="12556" width="11.625" style="1" bestFit="1" customWidth="1"/>
    <col min="12557" max="12559" width="10.375" style="1"/>
    <col min="12560" max="12560" width="12.875" style="1" customWidth="1"/>
    <col min="12561" max="12561" width="10.375" style="1"/>
    <col min="12562" max="12562" width="13" style="1" customWidth="1"/>
    <col min="12563" max="12801" width="10.375" style="1"/>
    <col min="12802" max="12802" width="33.25" style="1" customWidth="1"/>
    <col min="12803" max="12807" width="10.375" style="1"/>
    <col min="12808" max="12808" width="13.625" style="1" customWidth="1"/>
    <col min="12809" max="12809" width="10.375" style="1"/>
    <col min="12810" max="12810" width="14.375" style="1" customWidth="1"/>
    <col min="12811" max="12811" width="10.375" style="1"/>
    <col min="12812" max="12812" width="11.625" style="1" bestFit="1" customWidth="1"/>
    <col min="12813" max="12815" width="10.375" style="1"/>
    <col min="12816" max="12816" width="12.875" style="1" customWidth="1"/>
    <col min="12817" max="12817" width="10.375" style="1"/>
    <col min="12818" max="12818" width="13" style="1" customWidth="1"/>
    <col min="12819" max="13057" width="10.375" style="1"/>
    <col min="13058" max="13058" width="33.25" style="1" customWidth="1"/>
    <col min="13059" max="13063" width="10.375" style="1"/>
    <col min="13064" max="13064" width="13.625" style="1" customWidth="1"/>
    <col min="13065" max="13065" width="10.375" style="1"/>
    <col min="13066" max="13066" width="14.375" style="1" customWidth="1"/>
    <col min="13067" max="13067" width="10.375" style="1"/>
    <col min="13068" max="13068" width="11.625" style="1" bestFit="1" customWidth="1"/>
    <col min="13069" max="13071" width="10.375" style="1"/>
    <col min="13072" max="13072" width="12.875" style="1" customWidth="1"/>
    <col min="13073" max="13073" width="10.375" style="1"/>
    <col min="13074" max="13074" width="13" style="1" customWidth="1"/>
    <col min="13075" max="13313" width="10.375" style="1"/>
    <col min="13314" max="13314" width="33.25" style="1" customWidth="1"/>
    <col min="13315" max="13319" width="10.375" style="1"/>
    <col min="13320" max="13320" width="13.625" style="1" customWidth="1"/>
    <col min="13321" max="13321" width="10.375" style="1"/>
    <col min="13322" max="13322" width="14.375" style="1" customWidth="1"/>
    <col min="13323" max="13323" width="10.375" style="1"/>
    <col min="13324" max="13324" width="11.625" style="1" bestFit="1" customWidth="1"/>
    <col min="13325" max="13327" width="10.375" style="1"/>
    <col min="13328" max="13328" width="12.875" style="1" customWidth="1"/>
    <col min="13329" max="13329" width="10.375" style="1"/>
    <col min="13330" max="13330" width="13" style="1" customWidth="1"/>
    <col min="13331" max="13569" width="10.375" style="1"/>
    <col min="13570" max="13570" width="33.25" style="1" customWidth="1"/>
    <col min="13571" max="13575" width="10.375" style="1"/>
    <col min="13576" max="13576" width="13.625" style="1" customWidth="1"/>
    <col min="13577" max="13577" width="10.375" style="1"/>
    <col min="13578" max="13578" width="14.375" style="1" customWidth="1"/>
    <col min="13579" max="13579" width="10.375" style="1"/>
    <col min="13580" max="13580" width="11.625" style="1" bestFit="1" customWidth="1"/>
    <col min="13581" max="13583" width="10.375" style="1"/>
    <col min="13584" max="13584" width="12.875" style="1" customWidth="1"/>
    <col min="13585" max="13585" width="10.375" style="1"/>
    <col min="13586" max="13586" width="13" style="1" customWidth="1"/>
    <col min="13587" max="13825" width="10.375" style="1"/>
    <col min="13826" max="13826" width="33.25" style="1" customWidth="1"/>
    <col min="13827" max="13831" width="10.375" style="1"/>
    <col min="13832" max="13832" width="13.625" style="1" customWidth="1"/>
    <col min="13833" max="13833" width="10.375" style="1"/>
    <col min="13834" max="13834" width="14.375" style="1" customWidth="1"/>
    <col min="13835" max="13835" width="10.375" style="1"/>
    <col min="13836" max="13836" width="11.625" style="1" bestFit="1" customWidth="1"/>
    <col min="13837" max="13839" width="10.375" style="1"/>
    <col min="13840" max="13840" width="12.875" style="1" customWidth="1"/>
    <col min="13841" max="13841" width="10.375" style="1"/>
    <col min="13842" max="13842" width="13" style="1" customWidth="1"/>
    <col min="13843" max="14081" width="10.375" style="1"/>
    <col min="14082" max="14082" width="33.25" style="1" customWidth="1"/>
    <col min="14083" max="14087" width="10.375" style="1"/>
    <col min="14088" max="14088" width="13.625" style="1" customWidth="1"/>
    <col min="14089" max="14089" width="10.375" style="1"/>
    <col min="14090" max="14090" width="14.375" style="1" customWidth="1"/>
    <col min="14091" max="14091" width="10.375" style="1"/>
    <col min="14092" max="14092" width="11.625" style="1" bestFit="1" customWidth="1"/>
    <col min="14093" max="14095" width="10.375" style="1"/>
    <col min="14096" max="14096" width="12.875" style="1" customWidth="1"/>
    <col min="14097" max="14097" width="10.375" style="1"/>
    <col min="14098" max="14098" width="13" style="1" customWidth="1"/>
    <col min="14099" max="14337" width="10.375" style="1"/>
    <col min="14338" max="14338" width="33.25" style="1" customWidth="1"/>
    <col min="14339" max="14343" width="10.375" style="1"/>
    <col min="14344" max="14344" width="13.625" style="1" customWidth="1"/>
    <col min="14345" max="14345" width="10.375" style="1"/>
    <col min="14346" max="14346" width="14.375" style="1" customWidth="1"/>
    <col min="14347" max="14347" width="10.375" style="1"/>
    <col min="14348" max="14348" width="11.625" style="1" bestFit="1" customWidth="1"/>
    <col min="14349" max="14351" width="10.375" style="1"/>
    <col min="14352" max="14352" width="12.875" style="1" customWidth="1"/>
    <col min="14353" max="14353" width="10.375" style="1"/>
    <col min="14354" max="14354" width="13" style="1" customWidth="1"/>
    <col min="14355" max="14593" width="10.375" style="1"/>
    <col min="14594" max="14594" width="33.25" style="1" customWidth="1"/>
    <col min="14595" max="14599" width="10.375" style="1"/>
    <col min="14600" max="14600" width="13.625" style="1" customWidth="1"/>
    <col min="14601" max="14601" width="10.375" style="1"/>
    <col min="14602" max="14602" width="14.375" style="1" customWidth="1"/>
    <col min="14603" max="14603" width="10.375" style="1"/>
    <col min="14604" max="14604" width="11.625" style="1" bestFit="1" customWidth="1"/>
    <col min="14605" max="14607" width="10.375" style="1"/>
    <col min="14608" max="14608" width="12.875" style="1" customWidth="1"/>
    <col min="14609" max="14609" width="10.375" style="1"/>
    <col min="14610" max="14610" width="13" style="1" customWidth="1"/>
    <col min="14611" max="14849" width="10.375" style="1"/>
    <col min="14850" max="14850" width="33.25" style="1" customWidth="1"/>
    <col min="14851" max="14855" width="10.375" style="1"/>
    <col min="14856" max="14856" width="13.625" style="1" customWidth="1"/>
    <col min="14857" max="14857" width="10.375" style="1"/>
    <col min="14858" max="14858" width="14.375" style="1" customWidth="1"/>
    <col min="14859" max="14859" width="10.375" style="1"/>
    <col min="14860" max="14860" width="11.625" style="1" bestFit="1" customWidth="1"/>
    <col min="14861" max="14863" width="10.375" style="1"/>
    <col min="14864" max="14864" width="12.875" style="1" customWidth="1"/>
    <col min="14865" max="14865" width="10.375" style="1"/>
    <col min="14866" max="14866" width="13" style="1" customWidth="1"/>
    <col min="14867" max="15105" width="10.375" style="1"/>
    <col min="15106" max="15106" width="33.25" style="1" customWidth="1"/>
    <col min="15107" max="15111" width="10.375" style="1"/>
    <col min="15112" max="15112" width="13.625" style="1" customWidth="1"/>
    <col min="15113" max="15113" width="10.375" style="1"/>
    <col min="15114" max="15114" width="14.375" style="1" customWidth="1"/>
    <col min="15115" max="15115" width="10.375" style="1"/>
    <col min="15116" max="15116" width="11.625" style="1" bestFit="1" customWidth="1"/>
    <col min="15117" max="15119" width="10.375" style="1"/>
    <col min="15120" max="15120" width="12.875" style="1" customWidth="1"/>
    <col min="15121" max="15121" width="10.375" style="1"/>
    <col min="15122" max="15122" width="13" style="1" customWidth="1"/>
    <col min="15123" max="15361" width="10.375" style="1"/>
    <col min="15362" max="15362" width="33.25" style="1" customWidth="1"/>
    <col min="15363" max="15367" width="10.375" style="1"/>
    <col min="15368" max="15368" width="13.625" style="1" customWidth="1"/>
    <col min="15369" max="15369" width="10.375" style="1"/>
    <col min="15370" max="15370" width="14.375" style="1" customWidth="1"/>
    <col min="15371" max="15371" width="10.375" style="1"/>
    <col min="15372" max="15372" width="11.625" style="1" bestFit="1" customWidth="1"/>
    <col min="15373" max="15375" width="10.375" style="1"/>
    <col min="15376" max="15376" width="12.875" style="1" customWidth="1"/>
    <col min="15377" max="15377" width="10.375" style="1"/>
    <col min="15378" max="15378" width="13" style="1" customWidth="1"/>
    <col min="15379" max="15617" width="10.375" style="1"/>
    <col min="15618" max="15618" width="33.25" style="1" customWidth="1"/>
    <col min="15619" max="15623" width="10.375" style="1"/>
    <col min="15624" max="15624" width="13.625" style="1" customWidth="1"/>
    <col min="15625" max="15625" width="10.375" style="1"/>
    <col min="15626" max="15626" width="14.375" style="1" customWidth="1"/>
    <col min="15627" max="15627" width="10.375" style="1"/>
    <col min="15628" max="15628" width="11.625" style="1" bestFit="1" customWidth="1"/>
    <col min="15629" max="15631" width="10.375" style="1"/>
    <col min="15632" max="15632" width="12.875" style="1" customWidth="1"/>
    <col min="15633" max="15633" width="10.375" style="1"/>
    <col min="15634" max="15634" width="13" style="1" customWidth="1"/>
    <col min="15635" max="15873" width="10.375" style="1"/>
    <col min="15874" max="15874" width="33.25" style="1" customWidth="1"/>
    <col min="15875" max="15879" width="10.375" style="1"/>
    <col min="15880" max="15880" width="13.625" style="1" customWidth="1"/>
    <col min="15881" max="15881" width="10.375" style="1"/>
    <col min="15882" max="15882" width="14.375" style="1" customWidth="1"/>
    <col min="15883" max="15883" width="10.375" style="1"/>
    <col min="15884" max="15884" width="11.625" style="1" bestFit="1" customWidth="1"/>
    <col min="15885" max="15887" width="10.375" style="1"/>
    <col min="15888" max="15888" width="12.875" style="1" customWidth="1"/>
    <col min="15889" max="15889" width="10.375" style="1"/>
    <col min="15890" max="15890" width="13" style="1" customWidth="1"/>
    <col min="15891" max="16129" width="10.375" style="1"/>
    <col min="16130" max="16130" width="33.25" style="1" customWidth="1"/>
    <col min="16131" max="16135" width="10.375" style="1"/>
    <col min="16136" max="16136" width="13.625" style="1" customWidth="1"/>
    <col min="16137" max="16137" width="10.375" style="1"/>
    <col min="16138" max="16138" width="14.375" style="1" customWidth="1"/>
    <col min="16139" max="16139" width="10.375" style="1"/>
    <col min="16140" max="16140" width="11.625" style="1" bestFit="1" customWidth="1"/>
    <col min="16141" max="16143" width="10.375" style="1"/>
    <col min="16144" max="16144" width="12.875" style="1" customWidth="1"/>
    <col min="16145" max="16145" width="10.375" style="1"/>
    <col min="16146" max="16146" width="13" style="1" customWidth="1"/>
    <col min="16147" max="16384" width="10.375" style="1"/>
  </cols>
  <sheetData>
    <row r="1" spans="1:18" ht="18.600000000000001">
      <c r="A1" s="175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</row>
    <row r="2" spans="1:18" ht="18.600000000000001">
      <c r="A2" s="176" t="s">
        <v>1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</row>
    <row r="3" spans="1:18" ht="18.600000000000001">
      <c r="A3" s="177" t="s">
        <v>63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</row>
    <row r="4" spans="1:18" ht="18.600000000000001">
      <c r="A4" s="178" t="s">
        <v>3</v>
      </c>
      <c r="B4" s="173" t="s">
        <v>4</v>
      </c>
      <c r="C4" s="173" t="s">
        <v>5</v>
      </c>
      <c r="D4" s="211" t="s">
        <v>6</v>
      </c>
      <c r="E4" s="182" t="s">
        <v>7</v>
      </c>
      <c r="F4" s="183"/>
      <c r="G4" s="183"/>
      <c r="H4" s="183"/>
      <c r="I4" s="183"/>
      <c r="J4" s="184"/>
      <c r="K4" s="214" t="s">
        <v>8</v>
      </c>
      <c r="L4" s="215"/>
      <c r="M4" s="216"/>
      <c r="N4" s="182" t="s">
        <v>9</v>
      </c>
      <c r="O4" s="183"/>
      <c r="P4" s="183"/>
      <c r="Q4" s="183"/>
      <c r="R4" s="184"/>
    </row>
    <row r="5" spans="1:18" ht="18.600000000000001">
      <c r="A5" s="179"/>
      <c r="B5" s="181"/>
      <c r="C5" s="181"/>
      <c r="D5" s="212"/>
      <c r="E5" s="178" t="s">
        <v>10</v>
      </c>
      <c r="F5" s="187" t="s">
        <v>11</v>
      </c>
      <c r="G5" s="187" t="s">
        <v>12</v>
      </c>
      <c r="H5" s="182" t="s">
        <v>13</v>
      </c>
      <c r="I5" s="183"/>
      <c r="J5" s="184"/>
      <c r="K5" s="207" t="s">
        <v>14</v>
      </c>
      <c r="L5" s="209" t="s">
        <v>15</v>
      </c>
      <c r="M5" s="205" t="s">
        <v>16</v>
      </c>
      <c r="N5" s="185" t="s">
        <v>10</v>
      </c>
      <c r="O5" s="187" t="s">
        <v>12</v>
      </c>
      <c r="P5" s="182" t="s">
        <v>13</v>
      </c>
      <c r="Q5" s="183"/>
      <c r="R5" s="184"/>
    </row>
    <row r="6" spans="1:18" ht="16.8">
      <c r="A6" s="180"/>
      <c r="B6" s="174"/>
      <c r="C6" s="174"/>
      <c r="D6" s="213"/>
      <c r="E6" s="180"/>
      <c r="F6" s="188"/>
      <c r="G6" s="188"/>
      <c r="H6" s="5" t="s">
        <v>17</v>
      </c>
      <c r="I6" s="6" t="s">
        <v>18</v>
      </c>
      <c r="J6" s="7" t="s">
        <v>19</v>
      </c>
      <c r="K6" s="208"/>
      <c r="L6" s="210"/>
      <c r="M6" s="206"/>
      <c r="N6" s="186"/>
      <c r="O6" s="188"/>
      <c r="P6" s="5" t="s">
        <v>17</v>
      </c>
      <c r="Q6" s="6" t="s">
        <v>18</v>
      </c>
      <c r="R6" s="7" t="s">
        <v>19</v>
      </c>
    </row>
    <row r="7" spans="1:18" ht="18.600000000000001">
      <c r="A7" s="8"/>
      <c r="B7" s="9" t="s">
        <v>20</v>
      </c>
      <c r="C7" s="10"/>
      <c r="D7" s="11"/>
      <c r="E7" s="12"/>
      <c r="F7" s="12"/>
      <c r="G7" s="13"/>
      <c r="H7" s="14"/>
      <c r="I7" s="15"/>
      <c r="J7" s="11"/>
      <c r="K7" s="16"/>
      <c r="L7" s="17"/>
      <c r="M7" s="18"/>
      <c r="N7" s="19"/>
      <c r="O7" s="13"/>
      <c r="P7" s="13"/>
      <c r="Q7" s="13"/>
      <c r="R7" s="20"/>
    </row>
    <row r="8" spans="1:18" ht="18.600000000000001">
      <c r="A8" s="8">
        <v>1</v>
      </c>
      <c r="B8" s="21"/>
      <c r="C8" s="22"/>
      <c r="D8" s="23">
        <v>0</v>
      </c>
      <c r="E8" s="24"/>
      <c r="F8" s="24"/>
      <c r="G8" s="25"/>
      <c r="H8" s="26">
        <v>0</v>
      </c>
      <c r="I8" s="27">
        <f>H8*0.07</f>
        <v>0</v>
      </c>
      <c r="J8" s="23">
        <v>0</v>
      </c>
      <c r="K8" s="28"/>
      <c r="L8" s="29"/>
      <c r="M8" s="30">
        <v>0</v>
      </c>
      <c r="N8" s="31"/>
      <c r="O8" s="25"/>
      <c r="P8" s="27">
        <f>ROUND(R8*100/107,2)</f>
        <v>0</v>
      </c>
      <c r="Q8" s="27">
        <f>P8*0.07</f>
        <v>0</v>
      </c>
      <c r="R8" s="32">
        <f>D8+J8-M8</f>
        <v>0</v>
      </c>
    </row>
    <row r="9" spans="1:18" ht="18.600000000000001">
      <c r="A9" s="8">
        <f>+A8+1</f>
        <v>2</v>
      </c>
      <c r="B9" s="33" t="s">
        <v>21</v>
      </c>
      <c r="C9" s="22"/>
      <c r="D9" s="23">
        <v>0</v>
      </c>
      <c r="E9" s="24"/>
      <c r="F9" s="24"/>
      <c r="G9" s="25"/>
      <c r="H9" s="34">
        <v>0</v>
      </c>
      <c r="I9" s="35">
        <f>H9*0.07</f>
        <v>0</v>
      </c>
      <c r="J9" s="36">
        <v>0</v>
      </c>
      <c r="K9" s="28"/>
      <c r="L9" s="29"/>
      <c r="M9" s="30">
        <v>0</v>
      </c>
      <c r="N9" s="31"/>
      <c r="O9" s="25"/>
      <c r="P9" s="27">
        <f>ROUND(R9*100/107,2)</f>
        <v>0</v>
      </c>
      <c r="Q9" s="27">
        <f>P9*0.07</f>
        <v>0</v>
      </c>
      <c r="R9" s="32">
        <f>D9+J9-M9</f>
        <v>0</v>
      </c>
    </row>
    <row r="10" spans="1:18" ht="18.600000000000001">
      <c r="A10" s="8">
        <f>+A9+1</f>
        <v>3</v>
      </c>
      <c r="B10" s="37"/>
      <c r="C10" s="22"/>
      <c r="D10" s="23">
        <v>0</v>
      </c>
      <c r="E10" s="24"/>
      <c r="F10" s="38"/>
      <c r="G10" s="39"/>
      <c r="H10" s="40">
        <f>J10*100/107</f>
        <v>0</v>
      </c>
      <c r="I10" s="40">
        <f>H10*0.07</f>
        <v>0</v>
      </c>
      <c r="J10" s="41">
        <v>0</v>
      </c>
      <c r="K10" s="28"/>
      <c r="L10" s="29"/>
      <c r="M10" s="30">
        <v>0</v>
      </c>
      <c r="N10" s="31"/>
      <c r="O10" s="25"/>
      <c r="P10" s="27">
        <f>ROUND(R10*100/107,2)</f>
        <v>0</v>
      </c>
      <c r="Q10" s="27">
        <f>P10*0.07</f>
        <v>0</v>
      </c>
      <c r="R10" s="32">
        <f>D10+J10-M10</f>
        <v>0</v>
      </c>
    </row>
    <row r="11" spans="1:18" ht="19.2" thickBot="1">
      <c r="A11" s="42"/>
      <c r="B11" s="191" t="s">
        <v>19</v>
      </c>
      <c r="C11" s="192"/>
      <c r="D11" s="43">
        <f>SUM(D8:D10)</f>
        <v>0</v>
      </c>
      <c r="E11" s="43"/>
      <c r="F11" s="43"/>
      <c r="G11" s="44"/>
      <c r="H11" s="44">
        <f>SUM(H8:H10)</f>
        <v>0</v>
      </c>
      <c r="I11" s="44">
        <f>SUM(I8:I10)</f>
        <v>0</v>
      </c>
      <c r="J11" s="44">
        <f>SUM(J8:J10)</f>
        <v>0</v>
      </c>
      <c r="K11" s="45"/>
      <c r="L11" s="46"/>
      <c r="M11" s="47">
        <f>SUM(M8:M10)</f>
        <v>0</v>
      </c>
      <c r="N11" s="48"/>
      <c r="O11" s="43"/>
      <c r="P11" s="49">
        <f>ROUND(R11*100/107,2)</f>
        <v>0</v>
      </c>
      <c r="Q11" s="49">
        <f>P11*0.07</f>
        <v>0</v>
      </c>
      <c r="R11" s="50">
        <f>SUM(R8:R10)</f>
        <v>0</v>
      </c>
    </row>
    <row r="12" spans="1:18" ht="19.2" thickTop="1">
      <c r="A12" s="8"/>
      <c r="B12" s="51" t="s">
        <v>22</v>
      </c>
      <c r="C12" s="52"/>
      <c r="D12" s="11"/>
      <c r="E12" s="12"/>
      <c r="F12" s="12"/>
      <c r="G12" s="53"/>
      <c r="H12" s="14"/>
      <c r="I12" s="15"/>
      <c r="J12" s="11"/>
      <c r="K12" s="16"/>
      <c r="L12" s="17"/>
      <c r="M12" s="18"/>
      <c r="N12" s="19"/>
      <c r="O12" s="13"/>
      <c r="P12" s="13"/>
      <c r="Q12" s="13"/>
      <c r="R12" s="20"/>
    </row>
    <row r="13" spans="1:18" ht="34.5" customHeight="1">
      <c r="A13" s="8">
        <v>1</v>
      </c>
      <c r="B13" s="203"/>
      <c r="C13" s="204"/>
      <c r="D13" s="23">
        <v>0</v>
      </c>
      <c r="E13" s="54"/>
      <c r="F13" s="54"/>
      <c r="G13" s="25"/>
      <c r="H13" s="26">
        <v>0</v>
      </c>
      <c r="I13" s="27">
        <f>H13*0.07</f>
        <v>0</v>
      </c>
      <c r="J13" s="23">
        <f>SUM(H13:I13)</f>
        <v>0</v>
      </c>
      <c r="K13" s="55">
        <v>0</v>
      </c>
      <c r="L13" s="56"/>
      <c r="M13" s="55">
        <v>0</v>
      </c>
      <c r="N13" s="31"/>
      <c r="O13" s="25"/>
      <c r="P13" s="27">
        <f>ROUND(R13*100/107,2)</f>
        <v>0</v>
      </c>
      <c r="Q13" s="27">
        <f>P13*0.07</f>
        <v>0</v>
      </c>
      <c r="R13" s="32">
        <f>D13+J13-M13</f>
        <v>0</v>
      </c>
    </row>
    <row r="14" spans="1:18" ht="29.25" customHeight="1">
      <c r="A14" s="8">
        <v>2</v>
      </c>
      <c r="B14" s="197" t="s">
        <v>21</v>
      </c>
      <c r="C14" s="198"/>
      <c r="D14" s="23">
        <v>0</v>
      </c>
      <c r="E14" s="31"/>
      <c r="F14" s="31"/>
      <c r="G14" s="25"/>
      <c r="H14" s="34">
        <v>0</v>
      </c>
      <c r="I14" s="27">
        <f>H14*0.07</f>
        <v>0</v>
      </c>
      <c r="J14" s="23">
        <f>SUM(H14:I14)</f>
        <v>0</v>
      </c>
      <c r="K14" s="58">
        <v>0</v>
      </c>
      <c r="L14" s="56"/>
      <c r="M14" s="55">
        <v>0</v>
      </c>
      <c r="N14" s="31"/>
      <c r="O14" s="25"/>
      <c r="P14" s="27">
        <f>ROUND(R14*100/107,2)</f>
        <v>0</v>
      </c>
      <c r="Q14" s="27">
        <f>P14*0.07</f>
        <v>0</v>
      </c>
      <c r="R14" s="32">
        <f>D14+J14-M14</f>
        <v>0</v>
      </c>
    </row>
    <row r="15" spans="1:18" ht="28.5" customHeight="1">
      <c r="A15" s="8">
        <f>+A14+1</f>
        <v>3</v>
      </c>
      <c r="B15" s="195"/>
      <c r="C15" s="196"/>
      <c r="D15" s="23">
        <v>0</v>
      </c>
      <c r="E15" s="24"/>
      <c r="F15" s="24"/>
      <c r="G15" s="25"/>
      <c r="H15" s="34">
        <v>0</v>
      </c>
      <c r="I15" s="27">
        <f>H15*0.07</f>
        <v>0</v>
      </c>
      <c r="J15" s="23">
        <f>SUM(H15:I15)</f>
        <v>0</v>
      </c>
      <c r="K15" s="55">
        <v>0</v>
      </c>
      <c r="L15" s="60"/>
      <c r="M15" s="55">
        <v>0</v>
      </c>
      <c r="N15" s="31"/>
      <c r="O15" s="25"/>
      <c r="P15" s="27">
        <f>ROUND(R15*100/107,2)</f>
        <v>0</v>
      </c>
      <c r="Q15" s="27">
        <f>P15*0.07</f>
        <v>0</v>
      </c>
      <c r="R15" s="32">
        <f>D15+J15-M15</f>
        <v>0</v>
      </c>
    </row>
    <row r="16" spans="1:18" ht="19.2" thickBot="1">
      <c r="A16" s="42"/>
      <c r="B16" s="191" t="s">
        <v>19</v>
      </c>
      <c r="C16" s="192"/>
      <c r="D16" s="43">
        <f>SUM(D13:D15)</f>
        <v>0</v>
      </c>
      <c r="E16" s="43"/>
      <c r="F16" s="43"/>
      <c r="G16" s="43"/>
      <c r="H16" s="43">
        <f>SUM(H13:H15)</f>
        <v>0</v>
      </c>
      <c r="I16" s="43">
        <f>SUM(I13:I15)</f>
        <v>0</v>
      </c>
      <c r="J16" s="43">
        <f>SUM(J13:J15)</f>
        <v>0</v>
      </c>
      <c r="K16" s="45"/>
      <c r="L16" s="46"/>
      <c r="M16" s="47">
        <f>SUM(M13:M15)</f>
        <v>0</v>
      </c>
      <c r="N16" s="48"/>
      <c r="O16" s="43"/>
      <c r="P16" s="49">
        <f>ROUND(R16*100/107,2)</f>
        <v>0</v>
      </c>
      <c r="Q16" s="49">
        <f>P16*0.07</f>
        <v>0</v>
      </c>
      <c r="R16" s="50">
        <f>SUM(R13:R15)</f>
        <v>0</v>
      </c>
    </row>
    <row r="17" spans="1:18" ht="19.2" thickTop="1">
      <c r="A17" s="8"/>
      <c r="B17" s="51" t="s">
        <v>23</v>
      </c>
      <c r="C17" s="52"/>
      <c r="D17" s="11"/>
      <c r="E17" s="12"/>
      <c r="F17" s="12"/>
      <c r="G17" s="13"/>
      <c r="H17" s="61"/>
      <c r="I17" s="35"/>
      <c r="J17" s="11"/>
      <c r="K17" s="16"/>
      <c r="L17" s="17"/>
      <c r="M17" s="18"/>
      <c r="N17" s="19"/>
      <c r="O17" s="13"/>
      <c r="P17" s="13"/>
      <c r="Q17" s="13"/>
      <c r="R17" s="20"/>
    </row>
    <row r="18" spans="1:18" ht="18.600000000000001">
      <c r="A18" s="8">
        <v>1</v>
      </c>
      <c r="B18" s="62"/>
      <c r="C18" s="63"/>
      <c r="D18" s="23">
        <v>0</v>
      </c>
      <c r="E18" s="24"/>
      <c r="F18" s="24"/>
      <c r="G18" s="25"/>
      <c r="H18" s="26">
        <v>0</v>
      </c>
      <c r="I18" s="27">
        <f>H18*0.07</f>
        <v>0</v>
      </c>
      <c r="J18" s="23">
        <v>0</v>
      </c>
      <c r="K18" s="28"/>
      <c r="L18" s="29"/>
      <c r="M18" s="30">
        <v>0</v>
      </c>
      <c r="N18" s="31"/>
      <c r="O18" s="25"/>
      <c r="P18" s="27">
        <f>ROUND(R18*100/107,2)</f>
        <v>0</v>
      </c>
      <c r="Q18" s="27">
        <f>P18*0.07</f>
        <v>0</v>
      </c>
      <c r="R18" s="32">
        <f>D18+J18-M18</f>
        <v>0</v>
      </c>
    </row>
    <row r="19" spans="1:18" ht="18.600000000000001">
      <c r="A19" s="8">
        <f>+A18+1</f>
        <v>2</v>
      </c>
      <c r="B19" s="64" t="s">
        <v>21</v>
      </c>
      <c r="C19" s="63"/>
      <c r="D19" s="23">
        <v>0</v>
      </c>
      <c r="E19" s="24"/>
      <c r="F19" s="24"/>
      <c r="G19" s="25"/>
      <c r="H19" s="34">
        <v>0</v>
      </c>
      <c r="I19" s="35">
        <f>H19*0.07</f>
        <v>0</v>
      </c>
      <c r="J19" s="36">
        <v>0</v>
      </c>
      <c r="K19" s="28"/>
      <c r="L19" s="29"/>
      <c r="M19" s="30">
        <v>0</v>
      </c>
      <c r="N19" s="31"/>
      <c r="O19" s="25"/>
      <c r="P19" s="27">
        <f>ROUND(R19*100/107,2)</f>
        <v>0</v>
      </c>
      <c r="Q19" s="27">
        <f>P19*0.07</f>
        <v>0</v>
      </c>
      <c r="R19" s="32">
        <f>D19+J19-M19</f>
        <v>0</v>
      </c>
    </row>
    <row r="20" spans="1:18" ht="18.600000000000001">
      <c r="A20" s="8">
        <f>+A19+1</f>
        <v>3</v>
      </c>
      <c r="B20" s="65"/>
      <c r="C20" s="63"/>
      <c r="D20" s="23">
        <v>0</v>
      </c>
      <c r="E20" s="24"/>
      <c r="F20" s="38"/>
      <c r="G20" s="39"/>
      <c r="H20" s="40">
        <f>J20*100/107</f>
        <v>0</v>
      </c>
      <c r="I20" s="40">
        <f>H20*0.07</f>
        <v>0</v>
      </c>
      <c r="J20" s="41">
        <v>0</v>
      </c>
      <c r="K20" s="28"/>
      <c r="L20" s="29"/>
      <c r="M20" s="30">
        <v>0</v>
      </c>
      <c r="N20" s="31"/>
      <c r="O20" s="25"/>
      <c r="P20" s="27">
        <f>ROUND(R20*100/107,2)</f>
        <v>0</v>
      </c>
      <c r="Q20" s="27">
        <f>P20*0.07</f>
        <v>0</v>
      </c>
      <c r="R20" s="32">
        <f>D20+J20-M20</f>
        <v>0</v>
      </c>
    </row>
    <row r="21" spans="1:18" ht="19.2" thickBot="1">
      <c r="A21" s="42"/>
      <c r="B21" s="191" t="s">
        <v>19</v>
      </c>
      <c r="C21" s="192"/>
      <c r="D21" s="43">
        <f>SUM(D18:D20)</f>
        <v>0</v>
      </c>
      <c r="E21" s="43"/>
      <c r="F21" s="43"/>
      <c r="G21" s="44"/>
      <c r="H21" s="44">
        <f>SUM(H18:H20)</f>
        <v>0</v>
      </c>
      <c r="I21" s="44">
        <f>SUM(I18:I20)</f>
        <v>0</v>
      </c>
      <c r="J21" s="44">
        <f>SUM(J18:J20)</f>
        <v>0</v>
      </c>
      <c r="K21" s="45"/>
      <c r="L21" s="46"/>
      <c r="M21" s="47">
        <f>SUM(M18:M20)</f>
        <v>0</v>
      </c>
      <c r="N21" s="48"/>
      <c r="O21" s="43"/>
      <c r="P21" s="49">
        <f>ROUND(R21*100/107,2)</f>
        <v>0</v>
      </c>
      <c r="Q21" s="49">
        <f>P21*0.07</f>
        <v>0</v>
      </c>
      <c r="R21" s="50">
        <f>SUM(R18:R20)</f>
        <v>0</v>
      </c>
    </row>
    <row r="22" spans="1:18" ht="19.2" thickTop="1">
      <c r="A22" s="8"/>
      <c r="B22" s="51" t="s">
        <v>24</v>
      </c>
      <c r="C22" s="52"/>
      <c r="D22" s="11"/>
      <c r="E22" s="12"/>
      <c r="F22" s="12"/>
      <c r="G22" s="53"/>
      <c r="H22" s="14"/>
      <c r="I22" s="15"/>
      <c r="J22" s="11"/>
      <c r="K22" s="16"/>
      <c r="L22" s="17"/>
      <c r="M22" s="18"/>
      <c r="N22" s="19"/>
      <c r="O22" s="13"/>
      <c r="P22" s="13"/>
      <c r="Q22" s="13"/>
      <c r="R22" s="20"/>
    </row>
    <row r="23" spans="1:18" ht="18.600000000000001">
      <c r="A23" s="8">
        <v>1</v>
      </c>
      <c r="B23" s="62"/>
      <c r="C23" s="63"/>
      <c r="D23" s="23"/>
      <c r="E23" s="24"/>
      <c r="F23" s="24"/>
      <c r="G23" s="25"/>
      <c r="H23" s="26">
        <v>0</v>
      </c>
      <c r="I23" s="27">
        <f>H23*0.07</f>
        <v>0</v>
      </c>
      <c r="J23" s="23">
        <v>0</v>
      </c>
      <c r="K23" s="28"/>
      <c r="L23" s="29"/>
      <c r="M23" s="30">
        <v>0</v>
      </c>
      <c r="N23" s="31"/>
      <c r="O23" s="25"/>
      <c r="P23" s="27">
        <f>ROUND(R23*100/107,2)</f>
        <v>0</v>
      </c>
      <c r="Q23" s="27">
        <f>P23*0.07</f>
        <v>0</v>
      </c>
      <c r="R23" s="32">
        <f>D23+J23-M23</f>
        <v>0</v>
      </c>
    </row>
    <row r="24" spans="1:18" ht="18.600000000000001">
      <c r="A24" s="8">
        <f>+A23+1</f>
        <v>2</v>
      </c>
      <c r="B24" s="64" t="s">
        <v>21</v>
      </c>
      <c r="C24" s="63"/>
      <c r="D24" s="23"/>
      <c r="E24" s="24"/>
      <c r="F24" s="24"/>
      <c r="G24" s="25"/>
      <c r="H24" s="26">
        <v>0</v>
      </c>
      <c r="I24" s="27">
        <f>H24*0.07</f>
        <v>0</v>
      </c>
      <c r="J24" s="23">
        <v>0</v>
      </c>
      <c r="K24" s="28"/>
      <c r="L24" s="29"/>
      <c r="M24" s="55">
        <v>0</v>
      </c>
      <c r="N24" s="31"/>
      <c r="O24" s="25"/>
      <c r="P24" s="27">
        <f>ROUND(R24*100/107,2)</f>
        <v>0</v>
      </c>
      <c r="Q24" s="27">
        <f>P24*0.07</f>
        <v>0</v>
      </c>
      <c r="R24" s="32">
        <f>D24+J24-M24</f>
        <v>0</v>
      </c>
    </row>
    <row r="25" spans="1:18" ht="18.600000000000001">
      <c r="A25" s="8">
        <f>+A24+1</f>
        <v>3</v>
      </c>
      <c r="B25" s="65"/>
      <c r="C25" s="63"/>
      <c r="D25" s="23"/>
      <c r="E25" s="24"/>
      <c r="F25" s="38"/>
      <c r="G25" s="39"/>
      <c r="H25" s="40">
        <v>0</v>
      </c>
      <c r="I25" s="40">
        <f>H25*0.07</f>
        <v>0</v>
      </c>
      <c r="J25" s="66">
        <v>0</v>
      </c>
      <c r="K25" s="28"/>
      <c r="L25" s="29"/>
      <c r="M25" s="55">
        <v>0</v>
      </c>
      <c r="N25" s="31"/>
      <c r="O25" s="25"/>
      <c r="P25" s="27">
        <f>ROUND(R25*100/107,2)</f>
        <v>0</v>
      </c>
      <c r="Q25" s="27">
        <f>P25*0.07</f>
        <v>0</v>
      </c>
      <c r="R25" s="32">
        <f>D25+J25-M25</f>
        <v>0</v>
      </c>
    </row>
    <row r="26" spans="1:18" ht="19.2" thickBot="1">
      <c r="A26" s="42"/>
      <c r="B26" s="191" t="s">
        <v>19</v>
      </c>
      <c r="C26" s="192"/>
      <c r="D26" s="43">
        <f>SUM(D23:D25)</f>
        <v>0</v>
      </c>
      <c r="E26" s="43"/>
      <c r="F26" s="43"/>
      <c r="G26" s="44"/>
      <c r="H26" s="44">
        <f>SUM(H23:H25)</f>
        <v>0</v>
      </c>
      <c r="I26" s="44">
        <f>SUM(I23:I25)</f>
        <v>0</v>
      </c>
      <c r="J26" s="44">
        <f>SUM(J23:J25)</f>
        <v>0</v>
      </c>
      <c r="K26" s="45"/>
      <c r="L26" s="46"/>
      <c r="M26" s="47">
        <f>SUM(M23:M25)</f>
        <v>0</v>
      </c>
      <c r="N26" s="48"/>
      <c r="O26" s="43"/>
      <c r="P26" s="49">
        <f>ROUND(R26*100/107,2)</f>
        <v>0</v>
      </c>
      <c r="Q26" s="49">
        <f>P26*0.07</f>
        <v>0</v>
      </c>
      <c r="R26" s="50">
        <f>SUM(R23:R25)</f>
        <v>0</v>
      </c>
    </row>
    <row r="27" spans="1:18" ht="19.2" thickTop="1">
      <c r="A27" s="8"/>
      <c r="B27" s="67"/>
      <c r="C27" s="68"/>
      <c r="D27" s="69"/>
      <c r="E27" s="70"/>
      <c r="F27" s="70"/>
      <c r="G27" s="71"/>
      <c r="H27" s="72"/>
      <c r="I27" s="73"/>
      <c r="J27" s="69"/>
      <c r="K27" s="74"/>
      <c r="L27" s="75"/>
      <c r="M27" s="76"/>
      <c r="N27" s="77"/>
      <c r="O27" s="78"/>
      <c r="P27" s="78"/>
      <c r="Q27" s="78"/>
      <c r="R27" s="79"/>
    </row>
    <row r="28" spans="1:18" ht="18.600000000000001">
      <c r="A28" s="8"/>
      <c r="B28" s="80" t="s">
        <v>25</v>
      </c>
      <c r="C28" s="68"/>
      <c r="D28" s="23"/>
      <c r="E28" s="24"/>
      <c r="F28" s="24"/>
      <c r="G28" s="25"/>
      <c r="H28" s="81"/>
      <c r="I28" s="27"/>
      <c r="J28" s="23"/>
      <c r="K28" s="28"/>
      <c r="L28" s="29"/>
      <c r="M28" s="55"/>
      <c r="N28" s="31"/>
      <c r="O28" s="25"/>
      <c r="P28" s="25"/>
      <c r="Q28" s="25"/>
      <c r="R28" s="32"/>
    </row>
    <row r="29" spans="1:18" ht="18.600000000000001">
      <c r="A29" s="8">
        <f>+A28+1</f>
        <v>1</v>
      </c>
      <c r="B29" s="195"/>
      <c r="C29" s="196"/>
      <c r="D29" s="23">
        <v>0</v>
      </c>
      <c r="E29" s="24"/>
      <c r="F29" s="24"/>
      <c r="G29" s="25"/>
      <c r="H29" s="34">
        <v>0</v>
      </c>
      <c r="I29" s="27">
        <f>H29*0.07</f>
        <v>0</v>
      </c>
      <c r="J29" s="36">
        <v>0</v>
      </c>
      <c r="K29" s="82"/>
      <c r="L29" s="83"/>
      <c r="M29" s="30">
        <v>0</v>
      </c>
      <c r="N29" s="31"/>
      <c r="O29" s="25"/>
      <c r="P29" s="27">
        <f>ROUND(R29*100/107,2)</f>
        <v>0</v>
      </c>
      <c r="Q29" s="27">
        <f>P29*0.07</f>
        <v>0</v>
      </c>
      <c r="R29" s="32">
        <f>D29+J29-M29</f>
        <v>0</v>
      </c>
    </row>
    <row r="30" spans="1:18" ht="18.600000000000001">
      <c r="A30" s="8">
        <v>2</v>
      </c>
      <c r="B30" s="57" t="s">
        <v>21</v>
      </c>
      <c r="C30" s="59"/>
      <c r="D30" s="23">
        <v>0</v>
      </c>
      <c r="E30" s="24"/>
      <c r="F30" s="38"/>
      <c r="G30" s="84"/>
      <c r="H30" s="34">
        <v>0</v>
      </c>
      <c r="I30" s="85">
        <v>0</v>
      </c>
      <c r="J30" s="86">
        <v>0</v>
      </c>
      <c r="K30" s="82"/>
      <c r="L30" s="83"/>
      <c r="M30" s="30"/>
      <c r="N30" s="31"/>
      <c r="O30" s="25"/>
      <c r="P30" s="27">
        <f>ROUND(R30*100/107,2)</f>
        <v>0</v>
      </c>
      <c r="Q30" s="27">
        <f>P30*0.07</f>
        <v>0</v>
      </c>
      <c r="R30" s="32">
        <f>D30+J30-M30</f>
        <v>0</v>
      </c>
    </row>
    <row r="31" spans="1:18" ht="18.600000000000001">
      <c r="A31" s="8">
        <v>3</v>
      </c>
      <c r="B31" s="195"/>
      <c r="C31" s="196"/>
      <c r="D31" s="23">
        <v>0</v>
      </c>
      <c r="E31" s="24"/>
      <c r="F31" s="38"/>
      <c r="G31" s="39"/>
      <c r="H31" s="40">
        <f>J31*100/107</f>
        <v>0</v>
      </c>
      <c r="I31" s="40">
        <f>H31*0.07</f>
        <v>0</v>
      </c>
      <c r="J31" s="41">
        <v>0</v>
      </c>
      <c r="K31" s="82"/>
      <c r="L31" s="83"/>
      <c r="M31" s="30">
        <v>0</v>
      </c>
      <c r="N31" s="31"/>
      <c r="O31" s="25"/>
      <c r="P31" s="27">
        <f>ROUND(R31*100/107,2)</f>
        <v>0</v>
      </c>
      <c r="Q31" s="27">
        <f>P31*0.07</f>
        <v>0</v>
      </c>
      <c r="R31" s="32">
        <f>D31+J31-M31</f>
        <v>0</v>
      </c>
    </row>
    <row r="32" spans="1:18" ht="19.2" thickBot="1">
      <c r="A32" s="42"/>
      <c r="B32" s="191" t="s">
        <v>19</v>
      </c>
      <c r="C32" s="192"/>
      <c r="D32" s="43">
        <f>SUM(D28:D31)</f>
        <v>0</v>
      </c>
      <c r="E32" s="43"/>
      <c r="F32" s="43"/>
      <c r="G32" s="44"/>
      <c r="H32" s="44">
        <f>SUM(H28:H31)</f>
        <v>0</v>
      </c>
      <c r="I32" s="44">
        <f>SUM(I28:I31)</f>
        <v>0</v>
      </c>
      <c r="J32" s="44">
        <f>SUM(J28:J31)</f>
        <v>0</v>
      </c>
      <c r="K32" s="45"/>
      <c r="L32" s="46"/>
      <c r="M32" s="47">
        <f>SUM(M28:M31)</f>
        <v>0</v>
      </c>
      <c r="N32" s="48"/>
      <c r="O32" s="43"/>
      <c r="P32" s="49">
        <f>ROUND(R32*100/107,2)</f>
        <v>0</v>
      </c>
      <c r="Q32" s="49">
        <f>P32*0.07</f>
        <v>0</v>
      </c>
      <c r="R32" s="50">
        <f>SUM(R28:R31)</f>
        <v>0</v>
      </c>
    </row>
    <row r="33" spans="1:18" ht="19.2" thickTop="1">
      <c r="A33" s="8"/>
      <c r="B33" s="51" t="s">
        <v>26</v>
      </c>
      <c r="C33" s="52"/>
      <c r="D33" s="11"/>
      <c r="E33" s="12"/>
      <c r="F33" s="12"/>
      <c r="G33" s="53"/>
      <c r="H33" s="14"/>
      <c r="I33" s="15"/>
      <c r="J33" s="11"/>
      <c r="K33" s="16"/>
      <c r="L33" s="17"/>
      <c r="M33" s="18"/>
      <c r="N33" s="19"/>
      <c r="O33" s="13"/>
      <c r="P33" s="13"/>
      <c r="Q33" s="13"/>
      <c r="R33" s="20"/>
    </row>
    <row r="34" spans="1:18" ht="18.600000000000001">
      <c r="A34" s="8">
        <v>1</v>
      </c>
      <c r="B34" s="33" t="s">
        <v>21</v>
      </c>
      <c r="C34" s="87"/>
      <c r="D34" s="23">
        <v>0</v>
      </c>
      <c r="E34" s="24"/>
      <c r="F34" s="24"/>
      <c r="G34" s="25"/>
      <c r="H34" s="27">
        <v>0</v>
      </c>
      <c r="I34" s="27">
        <f>H34*0.07</f>
        <v>0</v>
      </c>
      <c r="J34" s="36">
        <v>0</v>
      </c>
      <c r="K34" s="28"/>
      <c r="L34" s="29"/>
      <c r="M34" s="30">
        <v>0</v>
      </c>
      <c r="N34" s="31"/>
      <c r="O34" s="25"/>
      <c r="P34" s="27">
        <f>ROUND(R34*100/107,2)</f>
        <v>0</v>
      </c>
      <c r="Q34" s="27">
        <f>P34*0.07</f>
        <v>0</v>
      </c>
      <c r="R34" s="32">
        <f>D34+J34-M34</f>
        <v>0</v>
      </c>
    </row>
    <row r="35" spans="1:18" ht="18.600000000000001">
      <c r="A35" s="8">
        <v>2</v>
      </c>
      <c r="B35" s="33"/>
      <c r="C35" s="87"/>
      <c r="D35" s="23"/>
      <c r="E35" s="24"/>
      <c r="F35" s="38"/>
      <c r="G35" s="84"/>
      <c r="H35" s="34"/>
      <c r="I35" s="34"/>
      <c r="J35" s="86"/>
      <c r="K35" s="28"/>
      <c r="L35" s="29"/>
      <c r="M35" s="30"/>
      <c r="N35" s="31"/>
      <c r="O35" s="25"/>
      <c r="P35" s="27"/>
      <c r="Q35" s="27"/>
      <c r="R35" s="32"/>
    </row>
    <row r="36" spans="1:18" ht="18.600000000000001">
      <c r="A36" s="8">
        <v>3</v>
      </c>
      <c r="B36" s="37"/>
      <c r="C36" s="22"/>
      <c r="D36" s="23">
        <v>0</v>
      </c>
      <c r="E36" s="24"/>
      <c r="F36" s="38"/>
      <c r="G36" s="39"/>
      <c r="H36" s="40">
        <f>J36*100/107</f>
        <v>0</v>
      </c>
      <c r="I36" s="40">
        <f>H36*0.07</f>
        <v>0</v>
      </c>
      <c r="J36" s="41">
        <v>0</v>
      </c>
      <c r="K36" s="28"/>
      <c r="L36" s="29"/>
      <c r="M36" s="30">
        <v>0</v>
      </c>
      <c r="N36" s="31"/>
      <c r="O36" s="25"/>
      <c r="P36" s="27">
        <f>ROUND(R36*100/107,2)</f>
        <v>0</v>
      </c>
      <c r="Q36" s="27">
        <f>P36*0.07</f>
        <v>0</v>
      </c>
      <c r="R36" s="32">
        <f>D36+J36-M36</f>
        <v>0</v>
      </c>
    </row>
    <row r="37" spans="1:18" ht="19.2" thickBot="1">
      <c r="A37" s="42"/>
      <c r="B37" s="191" t="s">
        <v>19</v>
      </c>
      <c r="C37" s="192"/>
      <c r="D37" s="43">
        <f>SUM(D34:D36)</f>
        <v>0</v>
      </c>
      <c r="E37" s="43"/>
      <c r="F37" s="43"/>
      <c r="G37" s="44"/>
      <c r="H37" s="44">
        <f>SUM(H34:H36)</f>
        <v>0</v>
      </c>
      <c r="I37" s="44">
        <f>SUM(I34:I36)</f>
        <v>0</v>
      </c>
      <c r="J37" s="44">
        <f>SUM(J34:J36)</f>
        <v>0</v>
      </c>
      <c r="K37" s="45"/>
      <c r="L37" s="46"/>
      <c r="M37" s="47">
        <f>SUM(M34:M36)</f>
        <v>0</v>
      </c>
      <c r="N37" s="48"/>
      <c r="O37" s="43"/>
      <c r="P37" s="49">
        <f>ROUND(R37*100/107,2)</f>
        <v>0</v>
      </c>
      <c r="Q37" s="49">
        <f>P37*0.07</f>
        <v>0</v>
      </c>
      <c r="R37" s="50">
        <f>SUM(R34:R36)</f>
        <v>0</v>
      </c>
    </row>
    <row r="38" spans="1:18" ht="19.2" thickTop="1">
      <c r="A38" s="42"/>
      <c r="B38" s="88" t="s">
        <v>27</v>
      </c>
      <c r="C38" s="52"/>
      <c r="D38" s="11"/>
      <c r="E38" s="12"/>
      <c r="F38" s="12"/>
      <c r="G38" s="13"/>
      <c r="H38" s="13"/>
      <c r="I38" s="13"/>
      <c r="J38" s="11"/>
      <c r="K38" s="16"/>
      <c r="L38" s="17"/>
      <c r="M38" s="18"/>
      <c r="N38" s="19"/>
      <c r="O38" s="13"/>
      <c r="P38" s="13"/>
      <c r="Q38" s="13"/>
      <c r="R38" s="89"/>
    </row>
    <row r="39" spans="1:18" ht="30.75" customHeight="1">
      <c r="A39" s="42">
        <v>1</v>
      </c>
      <c r="B39" s="195"/>
      <c r="C39" s="196"/>
      <c r="D39" s="23">
        <v>0</v>
      </c>
      <c r="E39" s="31"/>
      <c r="F39" s="31"/>
      <c r="G39" s="25"/>
      <c r="H39" s="90">
        <v>0</v>
      </c>
      <c r="I39" s="27">
        <f>H39*0.07</f>
        <v>0</v>
      </c>
      <c r="J39" s="23">
        <f>SUM(H39:I39)</f>
        <v>0</v>
      </c>
      <c r="K39" s="56"/>
      <c r="L39" s="91"/>
      <c r="M39" s="55">
        <v>0</v>
      </c>
      <c r="N39" s="31"/>
      <c r="O39" s="25"/>
      <c r="P39" s="27">
        <f>ROUND(R39*100/107,2)</f>
        <v>0</v>
      </c>
      <c r="Q39" s="27">
        <f>P39*0.07</f>
        <v>0</v>
      </c>
      <c r="R39" s="92">
        <f>D39+J39-M39</f>
        <v>0</v>
      </c>
    </row>
    <row r="40" spans="1:18" ht="30" customHeight="1">
      <c r="A40" s="8">
        <v>2</v>
      </c>
      <c r="B40" s="197" t="s">
        <v>21</v>
      </c>
      <c r="C40" s="198"/>
      <c r="D40" s="23">
        <v>0</v>
      </c>
      <c r="E40" s="31"/>
      <c r="F40" s="31"/>
      <c r="G40" s="25"/>
      <c r="H40" s="34">
        <v>0</v>
      </c>
      <c r="I40" s="27">
        <f>H40*0.07</f>
        <v>0</v>
      </c>
      <c r="J40" s="23">
        <f>SUM(H40:I40)</f>
        <v>0</v>
      </c>
      <c r="K40" s="56"/>
      <c r="L40" s="56"/>
      <c r="M40" s="55">
        <v>0</v>
      </c>
      <c r="N40" s="31"/>
      <c r="O40" s="25"/>
      <c r="P40" s="27">
        <f>ROUND(R40*100/107,2)</f>
        <v>0</v>
      </c>
      <c r="Q40" s="27">
        <f>P40*0.07</f>
        <v>0</v>
      </c>
      <c r="R40" s="32">
        <f>D40+J40-M40</f>
        <v>0</v>
      </c>
    </row>
    <row r="41" spans="1:18" ht="27" customHeight="1">
      <c r="A41" s="42">
        <v>3</v>
      </c>
      <c r="B41" s="203"/>
      <c r="C41" s="204"/>
      <c r="D41" s="23">
        <v>0</v>
      </c>
      <c r="E41" s="31"/>
      <c r="F41" s="31"/>
      <c r="G41" s="25"/>
      <c r="H41" s="90">
        <v>0</v>
      </c>
      <c r="I41" s="27">
        <f>H41*0.07</f>
        <v>0</v>
      </c>
      <c r="J41" s="23">
        <f>SUM(H41:I41)</f>
        <v>0</v>
      </c>
      <c r="K41" s="56"/>
      <c r="L41" s="56"/>
      <c r="M41" s="55">
        <v>0</v>
      </c>
      <c r="N41" s="31"/>
      <c r="O41" s="25"/>
      <c r="P41" s="27">
        <f>ROUND(R41*100/107,2)</f>
        <v>0</v>
      </c>
      <c r="Q41" s="27">
        <f>P41*0.07</f>
        <v>0</v>
      </c>
      <c r="R41" s="92">
        <f>D41+J41-M41</f>
        <v>0</v>
      </c>
    </row>
    <row r="42" spans="1:18" ht="19.2" thickBot="1">
      <c r="A42" s="93"/>
      <c r="B42" s="191" t="s">
        <v>19</v>
      </c>
      <c r="C42" s="192"/>
      <c r="D42" s="43">
        <f>SUM(D39:D41)</f>
        <v>0</v>
      </c>
      <c r="E42" s="43"/>
      <c r="F42" s="43"/>
      <c r="G42" s="43"/>
      <c r="H42" s="43">
        <f>SUM(H39:H41)</f>
        <v>0</v>
      </c>
      <c r="I42" s="43">
        <f>SUM(I39:I41)</f>
        <v>0</v>
      </c>
      <c r="J42" s="43">
        <f>SUM(J39:J41)</f>
        <v>0</v>
      </c>
      <c r="K42" s="45"/>
      <c r="L42" s="46"/>
      <c r="M42" s="47">
        <f>SUM(M39:M41)</f>
        <v>0</v>
      </c>
      <c r="N42" s="48"/>
      <c r="O42" s="43"/>
      <c r="P42" s="43">
        <f>SUM(P39:P41)</f>
        <v>0</v>
      </c>
      <c r="Q42" s="43">
        <f>SUM(Q39:Q41)</f>
        <v>0</v>
      </c>
      <c r="R42" s="43">
        <f>SUM(R39:R41)</f>
        <v>0</v>
      </c>
    </row>
    <row r="43" spans="1:18" ht="19.2" thickTop="1">
      <c r="A43" s="8"/>
      <c r="B43" s="51" t="s">
        <v>28</v>
      </c>
      <c r="C43" s="94"/>
      <c r="D43" s="11"/>
      <c r="E43" s="12"/>
      <c r="F43" s="12"/>
      <c r="G43" s="53"/>
      <c r="H43" s="14"/>
      <c r="I43" s="15"/>
      <c r="J43" s="11"/>
      <c r="K43" s="16"/>
      <c r="L43" s="17"/>
      <c r="M43" s="18"/>
      <c r="N43" s="19"/>
      <c r="O43" s="13"/>
      <c r="P43" s="13"/>
      <c r="Q43" s="13"/>
      <c r="R43" s="20"/>
    </row>
    <row r="44" spans="1:18" ht="18.600000000000001">
      <c r="A44" s="8">
        <v>1</v>
      </c>
      <c r="B44" s="62"/>
      <c r="C44" s="63"/>
      <c r="D44" s="23">
        <v>0</v>
      </c>
      <c r="E44" s="24"/>
      <c r="F44" s="24"/>
      <c r="G44" s="25"/>
      <c r="H44" s="26">
        <v>0</v>
      </c>
      <c r="I44" s="27">
        <f>H44*0.07</f>
        <v>0</v>
      </c>
      <c r="J44" s="23">
        <v>0</v>
      </c>
      <c r="K44" s="28"/>
      <c r="L44" s="29"/>
      <c r="M44" s="30">
        <v>0</v>
      </c>
      <c r="N44" s="31"/>
      <c r="O44" s="25"/>
      <c r="P44" s="27">
        <f>ROUND(R44*100/107,2)</f>
        <v>0</v>
      </c>
      <c r="Q44" s="27">
        <f>P44*0.07</f>
        <v>0</v>
      </c>
      <c r="R44" s="32">
        <f>D44+J44-M44</f>
        <v>0</v>
      </c>
    </row>
    <row r="45" spans="1:18" ht="18.600000000000001">
      <c r="A45" s="8">
        <f>+A44+1</f>
        <v>2</v>
      </c>
      <c r="B45" s="64" t="s">
        <v>21</v>
      </c>
      <c r="C45" s="63"/>
      <c r="D45" s="23">
        <v>0</v>
      </c>
      <c r="E45" s="24"/>
      <c r="F45" s="24"/>
      <c r="G45" s="25"/>
      <c r="H45" s="27">
        <v>0</v>
      </c>
      <c r="I45" s="27">
        <f>H45*0.07</f>
        <v>0</v>
      </c>
      <c r="J45" s="36">
        <v>0</v>
      </c>
      <c r="K45" s="28"/>
      <c r="L45" s="29"/>
      <c r="M45" s="30">
        <v>0</v>
      </c>
      <c r="N45" s="31"/>
      <c r="O45" s="25"/>
      <c r="P45" s="27">
        <f>ROUND(R45*100/107,2)</f>
        <v>0</v>
      </c>
      <c r="Q45" s="27">
        <f>P45*0.07</f>
        <v>0</v>
      </c>
      <c r="R45" s="32">
        <f>D45+J45-M45</f>
        <v>0</v>
      </c>
    </row>
    <row r="46" spans="1:18" ht="18.600000000000001">
      <c r="A46" s="8">
        <f>+A45+1</f>
        <v>3</v>
      </c>
      <c r="B46" s="65"/>
      <c r="C46" s="63"/>
      <c r="D46" s="23">
        <v>0</v>
      </c>
      <c r="E46" s="24"/>
      <c r="F46" s="38"/>
      <c r="G46" s="39"/>
      <c r="H46" s="40">
        <f>J46*100/107</f>
        <v>0</v>
      </c>
      <c r="I46" s="40">
        <f>H46*0.07</f>
        <v>0</v>
      </c>
      <c r="J46" s="41">
        <v>0</v>
      </c>
      <c r="K46" s="28"/>
      <c r="L46" s="29"/>
      <c r="M46" s="30">
        <v>0</v>
      </c>
      <c r="N46" s="31"/>
      <c r="O46" s="25"/>
      <c r="P46" s="27">
        <f>ROUND(R46*100/107,2)</f>
        <v>0</v>
      </c>
      <c r="Q46" s="27">
        <f>P46*0.07</f>
        <v>0</v>
      </c>
      <c r="R46" s="32">
        <f>D46+J46-M46</f>
        <v>0</v>
      </c>
    </row>
    <row r="47" spans="1:18" ht="19.2" thickBot="1">
      <c r="A47" s="42"/>
      <c r="B47" s="191" t="s">
        <v>19</v>
      </c>
      <c r="C47" s="192"/>
      <c r="D47" s="43">
        <f>SUM(D44:D46)</f>
        <v>0</v>
      </c>
      <c r="E47" s="43"/>
      <c r="F47" s="43"/>
      <c r="G47" s="44"/>
      <c r="H47" s="44">
        <f>SUM(H44:H46)</f>
        <v>0</v>
      </c>
      <c r="I47" s="44">
        <f>SUM(I44:I46)</f>
        <v>0</v>
      </c>
      <c r="J47" s="44">
        <f>SUM(J44:J46)</f>
        <v>0</v>
      </c>
      <c r="K47" s="45"/>
      <c r="L47" s="46"/>
      <c r="M47" s="47">
        <f>SUM(M44:M46)</f>
        <v>0</v>
      </c>
      <c r="N47" s="48"/>
      <c r="O47" s="43"/>
      <c r="P47" s="49">
        <f>ROUND(R47*100/107,2)</f>
        <v>0</v>
      </c>
      <c r="Q47" s="49">
        <f>P47*0.07</f>
        <v>0</v>
      </c>
      <c r="R47" s="50">
        <f>SUM(R44:R46)</f>
        <v>0</v>
      </c>
    </row>
    <row r="48" spans="1:18" ht="19.2" thickTop="1">
      <c r="A48" s="8"/>
      <c r="B48" s="67" t="s">
        <v>29</v>
      </c>
      <c r="C48" s="68"/>
      <c r="D48" s="69"/>
      <c r="E48" s="70"/>
      <c r="F48" s="70"/>
      <c r="G48" s="71"/>
      <c r="H48" s="72"/>
      <c r="I48" s="73"/>
      <c r="J48" s="69"/>
      <c r="K48" s="74"/>
      <c r="L48" s="75"/>
      <c r="M48" s="76"/>
      <c r="N48" s="77"/>
      <c r="O48" s="78"/>
      <c r="P48" s="78"/>
      <c r="Q48" s="78"/>
      <c r="R48" s="79"/>
    </row>
    <row r="49" spans="1:18" ht="18.600000000000001">
      <c r="A49" s="8">
        <v>1</v>
      </c>
      <c r="B49" s="62"/>
      <c r="C49" s="63"/>
      <c r="D49" s="23">
        <v>0</v>
      </c>
      <c r="E49" s="24"/>
      <c r="F49" s="24"/>
      <c r="G49" s="25"/>
      <c r="H49" s="26">
        <v>0</v>
      </c>
      <c r="I49" s="27">
        <f>H49*0.07</f>
        <v>0</v>
      </c>
      <c r="J49" s="23">
        <v>0</v>
      </c>
      <c r="K49" s="28"/>
      <c r="L49" s="29"/>
      <c r="M49" s="30">
        <v>0</v>
      </c>
      <c r="N49" s="31"/>
      <c r="O49" s="25"/>
      <c r="P49" s="27">
        <f>ROUND(R49*100/107,2)</f>
        <v>0</v>
      </c>
      <c r="Q49" s="27">
        <f>P49*0.07</f>
        <v>0</v>
      </c>
      <c r="R49" s="32">
        <f>D49+J49-M49</f>
        <v>0</v>
      </c>
    </row>
    <row r="50" spans="1:18" ht="18.600000000000001">
      <c r="A50" s="8">
        <f>+A49+1</f>
        <v>2</v>
      </c>
      <c r="B50" s="64" t="s">
        <v>21</v>
      </c>
      <c r="C50" s="63"/>
      <c r="D50" s="23">
        <v>0</v>
      </c>
      <c r="E50" s="24"/>
      <c r="F50" s="24"/>
      <c r="G50" s="25"/>
      <c r="H50" s="27">
        <v>0</v>
      </c>
      <c r="I50" s="27">
        <f>H50*0.07</f>
        <v>0</v>
      </c>
      <c r="J50" s="36">
        <v>0</v>
      </c>
      <c r="K50" s="28"/>
      <c r="L50" s="29"/>
      <c r="M50" s="30">
        <v>0</v>
      </c>
      <c r="N50" s="31"/>
      <c r="O50" s="25"/>
      <c r="P50" s="27">
        <f>ROUND(R50*100/107,2)</f>
        <v>0</v>
      </c>
      <c r="Q50" s="27">
        <f>P50*0.07</f>
        <v>0</v>
      </c>
      <c r="R50" s="32">
        <f>D50+J50-M50</f>
        <v>0</v>
      </c>
    </row>
    <row r="51" spans="1:18" ht="18.600000000000001">
      <c r="A51" s="8">
        <f>+A50+1</f>
        <v>3</v>
      </c>
      <c r="B51" s="65"/>
      <c r="C51" s="63"/>
      <c r="D51" s="23">
        <v>0</v>
      </c>
      <c r="E51" s="24"/>
      <c r="F51" s="38"/>
      <c r="G51" s="39"/>
      <c r="H51" s="40">
        <f>J51*100/107</f>
        <v>0</v>
      </c>
      <c r="I51" s="40">
        <f>H51*0.07</f>
        <v>0</v>
      </c>
      <c r="J51" s="41">
        <v>0</v>
      </c>
      <c r="K51" s="28"/>
      <c r="L51" s="29"/>
      <c r="M51" s="30">
        <v>0</v>
      </c>
      <c r="N51" s="31"/>
      <c r="O51" s="25"/>
      <c r="P51" s="27">
        <f>ROUND(R51*100/107,2)</f>
        <v>0</v>
      </c>
      <c r="Q51" s="27">
        <f>P51*0.07</f>
        <v>0</v>
      </c>
      <c r="R51" s="32">
        <f>D51+J51-M51</f>
        <v>0</v>
      </c>
    </row>
    <row r="52" spans="1:18" ht="19.2" thickBot="1">
      <c r="A52" s="42"/>
      <c r="B52" s="191" t="s">
        <v>19</v>
      </c>
      <c r="C52" s="192"/>
      <c r="D52" s="43">
        <f>SUM(D49:D51)</f>
        <v>0</v>
      </c>
      <c r="E52" s="43"/>
      <c r="F52" s="43"/>
      <c r="G52" s="44"/>
      <c r="H52" s="44">
        <f>SUM(H49:H51)</f>
        <v>0</v>
      </c>
      <c r="I52" s="44">
        <f>SUM(I49:I51)</f>
        <v>0</v>
      </c>
      <c r="J52" s="44">
        <f>SUM(J49:J51)</f>
        <v>0</v>
      </c>
      <c r="K52" s="45"/>
      <c r="L52" s="46"/>
      <c r="M52" s="47">
        <f>SUM(M49:M51)</f>
        <v>0</v>
      </c>
      <c r="N52" s="48"/>
      <c r="O52" s="43"/>
      <c r="P52" s="49">
        <f>ROUND(R52*100/107,2)</f>
        <v>0</v>
      </c>
      <c r="Q52" s="49">
        <f>P52*0.07</f>
        <v>0</v>
      </c>
      <c r="R52" s="50">
        <f>SUM(R49:R51)</f>
        <v>0</v>
      </c>
    </row>
    <row r="53" spans="1:18" ht="19.2" thickTop="1">
      <c r="A53" s="8"/>
      <c r="B53" s="51" t="s">
        <v>30</v>
      </c>
      <c r="C53" s="52"/>
      <c r="D53" s="11"/>
      <c r="E53" s="12"/>
      <c r="F53" s="12"/>
      <c r="G53" s="53"/>
      <c r="H53" s="14"/>
      <c r="I53" s="15"/>
      <c r="J53" s="11"/>
      <c r="K53" s="16"/>
      <c r="L53" s="17"/>
      <c r="M53" s="18"/>
      <c r="N53" s="19"/>
      <c r="O53" s="13"/>
      <c r="P53" s="13"/>
      <c r="Q53" s="13"/>
      <c r="R53" s="20"/>
    </row>
    <row r="54" spans="1:18" ht="18.600000000000001">
      <c r="A54" s="8">
        <v>1</v>
      </c>
      <c r="B54" s="62"/>
      <c r="C54" s="63"/>
      <c r="D54" s="23">
        <v>0</v>
      </c>
      <c r="E54" s="24"/>
      <c r="F54" s="24"/>
      <c r="G54" s="25"/>
      <c r="H54" s="26">
        <v>0</v>
      </c>
      <c r="I54" s="27">
        <f>H54*0.07</f>
        <v>0</v>
      </c>
      <c r="J54" s="23">
        <v>0</v>
      </c>
      <c r="K54" s="28"/>
      <c r="L54" s="29"/>
      <c r="M54" s="30">
        <v>0</v>
      </c>
      <c r="N54" s="31"/>
      <c r="O54" s="25"/>
      <c r="P54" s="27">
        <f>ROUND(R54*100/107,2)</f>
        <v>0</v>
      </c>
      <c r="Q54" s="27">
        <f>P54*0.07</f>
        <v>0</v>
      </c>
      <c r="R54" s="32">
        <f>D54+J54-M54</f>
        <v>0</v>
      </c>
    </row>
    <row r="55" spans="1:18" ht="18.600000000000001">
      <c r="A55" s="8">
        <f>+A54+1</f>
        <v>2</v>
      </c>
      <c r="B55" s="64" t="s">
        <v>21</v>
      </c>
      <c r="C55" s="63"/>
      <c r="D55" s="23">
        <v>0</v>
      </c>
      <c r="E55" s="24"/>
      <c r="F55" s="24"/>
      <c r="G55" s="25"/>
      <c r="H55" s="27">
        <v>0</v>
      </c>
      <c r="I55" s="27">
        <f>H55*0.07</f>
        <v>0</v>
      </c>
      <c r="J55" s="36">
        <v>0</v>
      </c>
      <c r="K55" s="28"/>
      <c r="L55" s="29"/>
      <c r="M55" s="30">
        <v>0</v>
      </c>
      <c r="N55" s="31"/>
      <c r="O55" s="25"/>
      <c r="P55" s="27">
        <f>ROUND(R55*100/107,2)</f>
        <v>0</v>
      </c>
      <c r="Q55" s="27">
        <f>P55*0.07</f>
        <v>0</v>
      </c>
      <c r="R55" s="32">
        <f>D55+J55-M55</f>
        <v>0</v>
      </c>
    </row>
    <row r="56" spans="1:18" ht="18.600000000000001">
      <c r="A56" s="8">
        <f>+A55+1</f>
        <v>3</v>
      </c>
      <c r="B56" s="65"/>
      <c r="C56" s="63"/>
      <c r="D56" s="23">
        <v>0</v>
      </c>
      <c r="E56" s="24"/>
      <c r="F56" s="38"/>
      <c r="G56" s="39"/>
      <c r="H56" s="40">
        <f>J56*100/107</f>
        <v>0</v>
      </c>
      <c r="I56" s="40">
        <f>H56*0.07</f>
        <v>0</v>
      </c>
      <c r="J56" s="41">
        <v>0</v>
      </c>
      <c r="K56" s="28"/>
      <c r="L56" s="29"/>
      <c r="M56" s="30">
        <v>0</v>
      </c>
      <c r="N56" s="31"/>
      <c r="O56" s="25"/>
      <c r="P56" s="27">
        <f>ROUND(R56*100/107,2)</f>
        <v>0</v>
      </c>
      <c r="Q56" s="27">
        <f>P56*0.07</f>
        <v>0</v>
      </c>
      <c r="R56" s="32">
        <f>D56+J56-M56</f>
        <v>0</v>
      </c>
    </row>
    <row r="57" spans="1:18" ht="19.2" thickBot="1">
      <c r="A57" s="42"/>
      <c r="B57" s="191" t="s">
        <v>19</v>
      </c>
      <c r="C57" s="192"/>
      <c r="D57" s="43">
        <f>SUM(D54:D56)</f>
        <v>0</v>
      </c>
      <c r="E57" s="43"/>
      <c r="F57" s="43"/>
      <c r="G57" s="44"/>
      <c r="H57" s="44">
        <f>SUM(H54:H56)</f>
        <v>0</v>
      </c>
      <c r="I57" s="44">
        <f>SUM(I54:I56)</f>
        <v>0</v>
      </c>
      <c r="J57" s="44">
        <f>SUM(J54:J56)</f>
        <v>0</v>
      </c>
      <c r="K57" s="45"/>
      <c r="L57" s="46"/>
      <c r="M57" s="47">
        <f>SUM(M54:M56)</f>
        <v>0</v>
      </c>
      <c r="N57" s="48"/>
      <c r="O57" s="43"/>
      <c r="P57" s="49">
        <f>ROUND(R57*100/107,2)</f>
        <v>0</v>
      </c>
      <c r="Q57" s="49">
        <f>P57*0.07</f>
        <v>0</v>
      </c>
      <c r="R57" s="50">
        <f>SUM(R54:R56)</f>
        <v>0</v>
      </c>
    </row>
    <row r="58" spans="1:18" ht="19.2" thickTop="1">
      <c r="A58" s="8"/>
      <c r="B58" s="95" t="s">
        <v>31</v>
      </c>
      <c r="C58" s="68"/>
      <c r="D58" s="69"/>
      <c r="E58" s="70"/>
      <c r="F58" s="70"/>
      <c r="G58" s="78"/>
      <c r="H58" s="78"/>
      <c r="I58" s="78"/>
      <c r="J58" s="69"/>
      <c r="K58" s="74"/>
      <c r="L58" s="75"/>
      <c r="M58" s="76"/>
      <c r="N58" s="77"/>
      <c r="O58" s="78"/>
      <c r="P58" s="78"/>
      <c r="Q58" s="78"/>
      <c r="R58" s="96"/>
    </row>
    <row r="59" spans="1:18" ht="18.600000000000001">
      <c r="A59" s="42">
        <v>1</v>
      </c>
      <c r="B59" s="97" t="s">
        <v>32</v>
      </c>
      <c r="C59" s="98" t="s">
        <v>33</v>
      </c>
      <c r="D59" s="98">
        <v>0</v>
      </c>
      <c r="E59" s="24" t="s">
        <v>34</v>
      </c>
      <c r="F59" s="24"/>
      <c r="G59" s="25"/>
      <c r="H59" s="27">
        <v>322273.98</v>
      </c>
      <c r="I59" s="81">
        <v>0</v>
      </c>
      <c r="J59" s="23">
        <f>SUM(H59:I59)</f>
        <v>322273.98</v>
      </c>
      <c r="K59" s="28"/>
      <c r="L59" s="29"/>
      <c r="M59" s="55">
        <v>0</v>
      </c>
      <c r="N59" s="24" t="s">
        <v>34</v>
      </c>
      <c r="O59" s="25"/>
      <c r="P59" s="27">
        <f>+D59+H59-M59</f>
        <v>322273.98</v>
      </c>
      <c r="Q59" s="27">
        <v>0</v>
      </c>
      <c r="R59" s="99">
        <f>D59+J59-M59</f>
        <v>322273.98</v>
      </c>
    </row>
    <row r="60" spans="1:18" ht="18.600000000000001">
      <c r="A60" s="42"/>
      <c r="B60" s="100" t="s">
        <v>35</v>
      </c>
      <c r="C60" s="98" t="s">
        <v>36</v>
      </c>
      <c r="D60" s="98"/>
      <c r="E60" s="24"/>
      <c r="F60" s="24"/>
      <c r="G60" s="25"/>
      <c r="H60" s="25"/>
      <c r="I60" s="25"/>
      <c r="J60" s="23"/>
      <c r="K60" s="28"/>
      <c r="L60" s="29"/>
      <c r="M60" s="55"/>
      <c r="N60" s="31"/>
      <c r="O60" s="25"/>
      <c r="P60" s="27"/>
      <c r="Q60" s="27"/>
      <c r="R60" s="99"/>
    </row>
    <row r="61" spans="1:18" ht="18.600000000000001">
      <c r="A61" s="42"/>
      <c r="B61" s="100" t="s">
        <v>37</v>
      </c>
      <c r="C61" s="101"/>
      <c r="D61" s="23"/>
      <c r="E61" s="24"/>
      <c r="F61" s="24"/>
      <c r="G61" s="25"/>
      <c r="H61" s="25"/>
      <c r="I61" s="25"/>
      <c r="J61" s="23"/>
      <c r="K61" s="28"/>
      <c r="L61" s="29"/>
      <c r="M61" s="55"/>
      <c r="N61" s="31"/>
      <c r="O61" s="25"/>
      <c r="P61" s="27"/>
      <c r="Q61" s="27"/>
      <c r="R61" s="99"/>
    </row>
    <row r="62" spans="1:18" ht="18.600000000000001">
      <c r="A62" s="42"/>
      <c r="B62" s="100" t="s">
        <v>38</v>
      </c>
      <c r="C62" s="101"/>
      <c r="D62" s="23"/>
      <c r="E62" s="24"/>
      <c r="F62" s="24"/>
      <c r="G62" s="25"/>
      <c r="H62" s="25"/>
      <c r="I62" s="25"/>
      <c r="J62" s="23"/>
      <c r="K62" s="28"/>
      <c r="L62" s="29"/>
      <c r="M62" s="55"/>
      <c r="N62" s="31"/>
      <c r="O62" s="25"/>
      <c r="P62" s="27"/>
      <c r="Q62" s="27"/>
      <c r="R62" s="99"/>
    </row>
    <row r="63" spans="1:18" ht="18.600000000000001">
      <c r="A63" s="8">
        <f>+A59+1</f>
        <v>2</v>
      </c>
      <c r="B63" s="102" t="s">
        <v>32</v>
      </c>
      <c r="C63" s="98" t="s">
        <v>39</v>
      </c>
      <c r="D63" s="98">
        <v>0</v>
      </c>
      <c r="E63" s="62" t="s">
        <v>40</v>
      </c>
      <c r="F63" s="62">
        <v>16</v>
      </c>
      <c r="G63" s="25"/>
      <c r="H63" s="27">
        <v>5208581.93</v>
      </c>
      <c r="I63" s="26">
        <v>0</v>
      </c>
      <c r="J63" s="23">
        <f>SUM(H63:I63)</f>
        <v>5208581.93</v>
      </c>
      <c r="K63" s="28"/>
      <c r="L63" s="29"/>
      <c r="M63" s="55">
        <v>0</v>
      </c>
      <c r="N63" s="62" t="s">
        <v>40</v>
      </c>
      <c r="O63" s="25">
        <v>16</v>
      </c>
      <c r="P63" s="27">
        <f>+D63+H63-M63</f>
        <v>5208581.93</v>
      </c>
      <c r="Q63" s="27">
        <v>0</v>
      </c>
      <c r="R63" s="99">
        <f>D63+J63-M63</f>
        <v>5208581.93</v>
      </c>
    </row>
    <row r="64" spans="1:18" ht="18.600000000000001">
      <c r="A64" s="8"/>
      <c r="B64" s="100" t="s">
        <v>41</v>
      </c>
      <c r="C64" s="101"/>
      <c r="D64" s="23"/>
      <c r="E64" s="62" t="s">
        <v>42</v>
      </c>
      <c r="F64" s="62"/>
      <c r="G64" s="25"/>
      <c r="H64" s="25"/>
      <c r="I64" s="25"/>
      <c r="J64" s="23"/>
      <c r="K64" s="28"/>
      <c r="L64" s="29"/>
      <c r="M64" s="55"/>
      <c r="N64" s="62" t="s">
        <v>42</v>
      </c>
      <c r="O64" s="25"/>
      <c r="P64" s="27"/>
      <c r="Q64" s="25"/>
      <c r="R64" s="92"/>
    </row>
    <row r="65" spans="1:18" ht="18.600000000000001">
      <c r="A65" s="8"/>
      <c r="B65" s="103" t="s">
        <v>43</v>
      </c>
      <c r="C65" s="104"/>
      <c r="D65" s="23"/>
      <c r="E65" s="24"/>
      <c r="F65" s="24"/>
      <c r="G65" s="25"/>
      <c r="H65" s="25"/>
      <c r="I65" s="25"/>
      <c r="J65" s="23"/>
      <c r="K65" s="28"/>
      <c r="L65" s="29"/>
      <c r="M65" s="55"/>
      <c r="N65" s="31"/>
      <c r="O65" s="25"/>
      <c r="P65" s="27"/>
      <c r="Q65" s="25"/>
      <c r="R65" s="92"/>
    </row>
    <row r="66" spans="1:18" ht="18.600000000000001">
      <c r="A66" s="8"/>
      <c r="B66" s="103" t="s">
        <v>44</v>
      </c>
      <c r="C66" s="104"/>
      <c r="D66" s="23"/>
      <c r="E66" s="24"/>
      <c r="F66" s="24"/>
      <c r="G66" s="25"/>
      <c r="H66" s="25"/>
      <c r="I66" s="25"/>
      <c r="J66" s="23"/>
      <c r="K66" s="28"/>
      <c r="L66" s="29"/>
      <c r="M66" s="55"/>
      <c r="N66" s="31"/>
      <c r="O66" s="25"/>
      <c r="P66" s="27"/>
      <c r="Q66" s="25"/>
      <c r="R66" s="92"/>
    </row>
    <row r="67" spans="1:18" ht="18.600000000000001">
      <c r="A67" s="8"/>
      <c r="B67" s="199" t="s">
        <v>19</v>
      </c>
      <c r="C67" s="200"/>
      <c r="D67" s="23"/>
      <c r="E67" s="24"/>
      <c r="F67" s="24"/>
      <c r="G67" s="25"/>
      <c r="H67" s="25"/>
      <c r="I67" s="25"/>
      <c r="J67" s="23"/>
      <c r="K67" s="28"/>
      <c r="L67" s="29"/>
      <c r="M67" s="55"/>
      <c r="N67" s="31"/>
      <c r="O67" s="25"/>
      <c r="P67" s="27"/>
      <c r="Q67" s="25"/>
      <c r="R67" s="92"/>
    </row>
    <row r="68" spans="1:18" ht="21.6" thickBot="1">
      <c r="A68" s="105"/>
      <c r="B68" s="201"/>
      <c r="C68" s="202"/>
      <c r="D68" s="106">
        <f>SUM(D59:D67)</f>
        <v>0</v>
      </c>
      <c r="E68" s="106"/>
      <c r="F68" s="106"/>
      <c r="G68" s="106"/>
      <c r="H68" s="106">
        <f t="shared" ref="H68:M68" si="0">SUM(H59:H67)</f>
        <v>5530855.9100000001</v>
      </c>
      <c r="I68" s="106">
        <f t="shared" si="0"/>
        <v>0</v>
      </c>
      <c r="J68" s="106">
        <f t="shared" si="0"/>
        <v>5530855.9100000001</v>
      </c>
      <c r="K68" s="107"/>
      <c r="L68" s="107"/>
      <c r="M68" s="107">
        <f t="shared" si="0"/>
        <v>0</v>
      </c>
      <c r="N68" s="108"/>
      <c r="O68" s="106"/>
      <c r="P68" s="106">
        <f>SUM(P59:P67)</f>
        <v>5530855.9100000001</v>
      </c>
      <c r="Q68" s="106">
        <f>SUM(Q59:Q67)</f>
        <v>0</v>
      </c>
      <c r="R68" s="106">
        <f>SUM(R59:R67)</f>
        <v>5530855.9100000001</v>
      </c>
    </row>
    <row r="69" spans="1:18" ht="19.2" thickTop="1">
      <c r="A69" s="8"/>
      <c r="B69" s="51" t="s">
        <v>45</v>
      </c>
      <c r="C69" s="52"/>
      <c r="D69" s="11"/>
      <c r="E69" s="12"/>
      <c r="F69" s="12"/>
      <c r="G69" s="53"/>
      <c r="H69" s="14"/>
      <c r="I69" s="15"/>
      <c r="J69" s="11"/>
      <c r="K69" s="16"/>
      <c r="L69" s="17"/>
      <c r="M69" s="18"/>
      <c r="N69" s="19"/>
      <c r="O69" s="13"/>
      <c r="P69" s="13"/>
      <c r="Q69" s="13"/>
      <c r="R69" s="20"/>
    </row>
    <row r="70" spans="1:18" ht="18.600000000000001">
      <c r="A70" s="8">
        <v>1</v>
      </c>
      <c r="B70" s="62"/>
      <c r="C70" s="63"/>
      <c r="D70" s="23">
        <v>0</v>
      </c>
      <c r="E70" s="24"/>
      <c r="F70" s="24"/>
      <c r="G70" s="25"/>
      <c r="H70" s="26">
        <v>0</v>
      </c>
      <c r="I70" s="27">
        <f>H70*0.07</f>
        <v>0</v>
      </c>
      <c r="J70" s="23">
        <v>0</v>
      </c>
      <c r="K70" s="28"/>
      <c r="L70" s="29"/>
      <c r="M70" s="30">
        <v>0</v>
      </c>
      <c r="N70" s="31"/>
      <c r="O70" s="25"/>
      <c r="P70" s="27">
        <f>ROUND(R70*100/107,2)</f>
        <v>0</v>
      </c>
      <c r="Q70" s="27">
        <f>P70*0.07</f>
        <v>0</v>
      </c>
      <c r="R70" s="32">
        <f>D70+J70-M70</f>
        <v>0</v>
      </c>
    </row>
    <row r="71" spans="1:18" ht="18.600000000000001">
      <c r="A71" s="8">
        <f>+A70+1</f>
        <v>2</v>
      </c>
      <c r="B71" s="64" t="s">
        <v>21</v>
      </c>
      <c r="C71" s="63"/>
      <c r="D71" s="23">
        <v>0</v>
      </c>
      <c r="E71" s="24"/>
      <c r="F71" s="24"/>
      <c r="G71" s="25"/>
      <c r="H71" s="34">
        <v>0</v>
      </c>
      <c r="I71" s="35">
        <f>H71*0.07</f>
        <v>0</v>
      </c>
      <c r="J71" s="36">
        <v>0</v>
      </c>
      <c r="K71" s="28"/>
      <c r="L71" s="29"/>
      <c r="M71" s="30">
        <v>0</v>
      </c>
      <c r="N71" s="31"/>
      <c r="O71" s="25"/>
      <c r="P71" s="27">
        <f>ROUND(R71*100/107,2)</f>
        <v>0</v>
      </c>
      <c r="Q71" s="27">
        <f>P71*0.07</f>
        <v>0</v>
      </c>
      <c r="R71" s="32">
        <f>D71+J71-M71</f>
        <v>0</v>
      </c>
    </row>
    <row r="72" spans="1:18" ht="18.600000000000001">
      <c r="A72" s="8">
        <f>+A71+1</f>
        <v>3</v>
      </c>
      <c r="B72" s="65"/>
      <c r="C72" s="63"/>
      <c r="D72" s="23">
        <v>0</v>
      </c>
      <c r="E72" s="24"/>
      <c r="F72" s="38"/>
      <c r="G72" s="39"/>
      <c r="H72" s="40">
        <f>J72*100/107</f>
        <v>0</v>
      </c>
      <c r="I72" s="40">
        <f>H72*0.07</f>
        <v>0</v>
      </c>
      <c r="J72" s="41">
        <v>0</v>
      </c>
      <c r="K72" s="28"/>
      <c r="L72" s="29"/>
      <c r="M72" s="30">
        <v>0</v>
      </c>
      <c r="N72" s="31"/>
      <c r="O72" s="25"/>
      <c r="P72" s="27">
        <f>ROUND(R72*100/107,2)</f>
        <v>0</v>
      </c>
      <c r="Q72" s="27">
        <f>P72*0.07</f>
        <v>0</v>
      </c>
      <c r="R72" s="32">
        <f>D72+J72-M72</f>
        <v>0</v>
      </c>
    </row>
    <row r="73" spans="1:18" ht="19.2" thickBot="1">
      <c r="A73" s="42"/>
      <c r="B73" s="191" t="s">
        <v>19</v>
      </c>
      <c r="C73" s="192"/>
      <c r="D73" s="43">
        <f>SUM(D70:D72)</f>
        <v>0</v>
      </c>
      <c r="E73" s="43"/>
      <c r="F73" s="43"/>
      <c r="G73" s="44"/>
      <c r="H73" s="44">
        <f>SUM(H70:H72)</f>
        <v>0</v>
      </c>
      <c r="I73" s="44">
        <f>SUM(I70:I72)</f>
        <v>0</v>
      </c>
      <c r="J73" s="44">
        <f>SUM(J70:J72)</f>
        <v>0</v>
      </c>
      <c r="K73" s="45"/>
      <c r="L73" s="46"/>
      <c r="M73" s="47">
        <f>SUM(M70:M72)</f>
        <v>0</v>
      </c>
      <c r="N73" s="48"/>
      <c r="O73" s="43"/>
      <c r="P73" s="49">
        <f>ROUND(R73*100/107,2)</f>
        <v>0</v>
      </c>
      <c r="Q73" s="49">
        <f>P73*0.07</f>
        <v>0</v>
      </c>
      <c r="R73" s="50">
        <f>SUM(R70:R72)</f>
        <v>0</v>
      </c>
    </row>
    <row r="74" spans="1:18" ht="19.2" thickTop="1">
      <c r="A74" s="42"/>
      <c r="B74" s="109" t="s">
        <v>46</v>
      </c>
      <c r="C74" s="110"/>
      <c r="D74" s="69"/>
      <c r="E74" s="70"/>
      <c r="F74" s="70"/>
      <c r="G74" s="78"/>
      <c r="H74" s="85">
        <f>J74*100/107</f>
        <v>0</v>
      </c>
      <c r="I74" s="85">
        <f>H74*0.07</f>
        <v>0</v>
      </c>
      <c r="J74" s="111"/>
      <c r="K74" s="74"/>
      <c r="L74" s="75"/>
      <c r="M74" s="76"/>
      <c r="N74" s="77"/>
      <c r="O74" s="78"/>
      <c r="P74" s="78"/>
      <c r="Q74" s="78"/>
      <c r="R74" s="79"/>
    </row>
    <row r="75" spans="1:18" ht="18.600000000000001">
      <c r="A75" s="42">
        <v>1</v>
      </c>
      <c r="B75" s="97"/>
      <c r="C75" s="112"/>
      <c r="D75" s="23">
        <v>0</v>
      </c>
      <c r="E75" s="24"/>
      <c r="F75" s="24"/>
      <c r="G75" s="25"/>
      <c r="H75" s="26">
        <v>0</v>
      </c>
      <c r="I75" s="27">
        <f>H75*0.07</f>
        <v>0</v>
      </c>
      <c r="J75" s="23">
        <v>0</v>
      </c>
      <c r="K75" s="28"/>
      <c r="L75" s="29"/>
      <c r="M75" s="55">
        <v>0</v>
      </c>
      <c r="N75" s="54"/>
      <c r="O75" s="25"/>
      <c r="P75" s="27">
        <f>ROUND(R75*100/107,2)</f>
        <v>0</v>
      </c>
      <c r="Q75" s="27">
        <f>P75*0.07</f>
        <v>0</v>
      </c>
      <c r="R75" s="32">
        <f>D75+J75-M75</f>
        <v>0</v>
      </c>
    </row>
    <row r="76" spans="1:18" ht="18.600000000000001">
      <c r="A76" s="42">
        <f>+A75+1</f>
        <v>2</v>
      </c>
      <c r="B76" s="113" t="s">
        <v>21</v>
      </c>
      <c r="C76" s="112"/>
      <c r="D76" s="23">
        <v>0</v>
      </c>
      <c r="E76" s="24"/>
      <c r="F76" s="24"/>
      <c r="G76" s="25"/>
      <c r="H76" s="26">
        <v>0</v>
      </c>
      <c r="I76" s="27">
        <f>H76*0.07</f>
        <v>0</v>
      </c>
      <c r="J76" s="23">
        <v>0</v>
      </c>
      <c r="K76" s="28"/>
      <c r="L76" s="29"/>
      <c r="M76" s="55">
        <v>0</v>
      </c>
      <c r="N76" s="31"/>
      <c r="O76" s="25"/>
      <c r="P76" s="27">
        <v>0</v>
      </c>
      <c r="Q76" s="27">
        <f>P76*0.07</f>
        <v>0</v>
      </c>
      <c r="R76" s="32">
        <f>D76+J76-M76</f>
        <v>0</v>
      </c>
    </row>
    <row r="77" spans="1:18" ht="18.600000000000001">
      <c r="A77" s="42">
        <f>+A76+1</f>
        <v>3</v>
      </c>
      <c r="B77" s="62"/>
      <c r="C77" s="112"/>
      <c r="D77" s="23">
        <v>0</v>
      </c>
      <c r="E77" s="24"/>
      <c r="F77" s="24"/>
      <c r="G77" s="25"/>
      <c r="H77" s="26">
        <v>0</v>
      </c>
      <c r="I77" s="27">
        <f>H77*0.07</f>
        <v>0</v>
      </c>
      <c r="J77" s="23">
        <v>0</v>
      </c>
      <c r="K77" s="28"/>
      <c r="L77" s="29"/>
      <c r="M77" s="55">
        <v>0</v>
      </c>
      <c r="N77" s="31"/>
      <c r="O77" s="25"/>
      <c r="P77" s="27">
        <f>ROUND(R77*100/107,2)</f>
        <v>0</v>
      </c>
      <c r="Q77" s="27">
        <f>P77*0.07</f>
        <v>0</v>
      </c>
      <c r="R77" s="32">
        <f>D77+J77-M77</f>
        <v>0</v>
      </c>
    </row>
    <row r="78" spans="1:18" ht="19.2" thickBot="1">
      <c r="A78" s="42"/>
      <c r="B78" s="191" t="s">
        <v>19</v>
      </c>
      <c r="C78" s="192"/>
      <c r="D78" s="106">
        <f>SUM(D75:D77)</f>
        <v>0</v>
      </c>
      <c r="E78" s="106"/>
      <c r="F78" s="106"/>
      <c r="G78" s="106"/>
      <c r="H78" s="106">
        <f>SUM(H75:H77)</f>
        <v>0</v>
      </c>
      <c r="I78" s="106">
        <f>SUM(I75:I77)</f>
        <v>0</v>
      </c>
      <c r="J78" s="106">
        <f>SUM(J75:J77)</f>
        <v>0</v>
      </c>
      <c r="K78" s="114"/>
      <c r="L78" s="114"/>
      <c r="M78" s="107">
        <f>SUM(M75:M77)</f>
        <v>0</v>
      </c>
      <c r="N78" s="108"/>
      <c r="O78" s="106"/>
      <c r="P78" s="106">
        <f>SUM(P75:P77)</f>
        <v>0</v>
      </c>
      <c r="Q78" s="106">
        <f>SUM(Q75:Q77)</f>
        <v>0</v>
      </c>
      <c r="R78" s="106">
        <f>SUM(R75:R77)</f>
        <v>0</v>
      </c>
    </row>
    <row r="79" spans="1:18" ht="19.2" thickTop="1">
      <c r="A79" s="42"/>
      <c r="B79" s="115" t="s">
        <v>47</v>
      </c>
      <c r="C79" s="94"/>
      <c r="D79" s="111"/>
      <c r="E79" s="70"/>
      <c r="F79" s="70"/>
      <c r="G79" s="78"/>
      <c r="H79" s="116"/>
      <c r="I79" s="78"/>
      <c r="J79" s="69"/>
      <c r="K79" s="16"/>
      <c r="L79" s="17"/>
      <c r="M79" s="18"/>
      <c r="N79" s="77"/>
      <c r="O79" s="78"/>
      <c r="P79" s="78"/>
      <c r="Q79" s="78"/>
      <c r="R79" s="96"/>
    </row>
    <row r="80" spans="1:18" ht="18.600000000000001">
      <c r="A80" s="42">
        <v>1</v>
      </c>
      <c r="B80" s="195"/>
      <c r="C80" s="196"/>
      <c r="D80" s="23">
        <v>0</v>
      </c>
      <c r="E80" s="77"/>
      <c r="F80" s="77"/>
      <c r="G80" s="78"/>
      <c r="H80" s="34">
        <v>0</v>
      </c>
      <c r="I80" s="27">
        <f>H80*0.07</f>
        <v>0</v>
      </c>
      <c r="J80" s="23">
        <f>SUM(H80:I80)</f>
        <v>0</v>
      </c>
      <c r="K80" s="56"/>
      <c r="L80" s="56"/>
      <c r="M80" s="55">
        <v>0</v>
      </c>
      <c r="N80" s="77"/>
      <c r="O80" s="78"/>
      <c r="P80" s="27">
        <f>R80*100/107</f>
        <v>0</v>
      </c>
      <c r="Q80" s="27">
        <f>P80*0.07</f>
        <v>0</v>
      </c>
      <c r="R80" s="32">
        <f>D80+J80-M80</f>
        <v>0</v>
      </c>
    </row>
    <row r="81" spans="1:18" ht="18.600000000000001">
      <c r="A81" s="8">
        <v>2</v>
      </c>
      <c r="B81" s="197" t="s">
        <v>21</v>
      </c>
      <c r="C81" s="198"/>
      <c r="D81" s="23">
        <v>0</v>
      </c>
      <c r="E81" s="31"/>
      <c r="F81" s="31"/>
      <c r="G81" s="25"/>
      <c r="H81" s="34">
        <v>0</v>
      </c>
      <c r="I81" s="27">
        <f>H81*0.07</f>
        <v>0</v>
      </c>
      <c r="J81" s="23">
        <f>SUM(H81:I81)</f>
        <v>0</v>
      </c>
      <c r="K81" s="56"/>
      <c r="L81" s="117"/>
      <c r="M81" s="55">
        <v>0</v>
      </c>
      <c r="N81" s="31"/>
      <c r="O81" s="25"/>
      <c r="P81" s="27">
        <f>ROUND(R81*100/107,2)</f>
        <v>0</v>
      </c>
      <c r="Q81" s="27">
        <f>P81*0.07</f>
        <v>0</v>
      </c>
      <c r="R81" s="32">
        <f>D81+J81-M81</f>
        <v>0</v>
      </c>
    </row>
    <row r="82" spans="1:18" ht="18.600000000000001">
      <c r="A82" s="42">
        <v>3</v>
      </c>
      <c r="B82" s="195"/>
      <c r="C82" s="196"/>
      <c r="D82" s="118">
        <v>0</v>
      </c>
      <c r="E82" s="54"/>
      <c r="F82" s="54"/>
      <c r="G82" s="25"/>
      <c r="H82" s="81">
        <v>0</v>
      </c>
      <c r="I82" s="27">
        <f>H82*0.07</f>
        <v>0</v>
      </c>
      <c r="J82" s="23">
        <f>SUM(H82:I82)</f>
        <v>0</v>
      </c>
      <c r="K82" s="56"/>
      <c r="L82" s="91"/>
      <c r="M82" s="55">
        <v>0</v>
      </c>
      <c r="N82" s="54"/>
      <c r="O82" s="25"/>
      <c r="P82" s="27">
        <f>R82*100/107</f>
        <v>0</v>
      </c>
      <c r="Q82" s="27">
        <f>P82*0.07</f>
        <v>0</v>
      </c>
      <c r="R82" s="32">
        <f>D82+J82-M82</f>
        <v>0</v>
      </c>
    </row>
    <row r="83" spans="1:18" ht="19.2" thickBot="1">
      <c r="A83" s="42"/>
      <c r="B83" s="191" t="s">
        <v>19</v>
      </c>
      <c r="C83" s="192"/>
      <c r="D83" s="43">
        <f>SUM(D80:D82)</f>
        <v>0</v>
      </c>
      <c r="E83" s="43"/>
      <c r="F83" s="43"/>
      <c r="G83" s="43"/>
      <c r="H83" s="43">
        <f>SUM(H80:H82)</f>
        <v>0</v>
      </c>
      <c r="I83" s="43">
        <f>SUM(I80:I82)</f>
        <v>0</v>
      </c>
      <c r="J83" s="43">
        <f>SUM(J80:J82)</f>
        <v>0</v>
      </c>
      <c r="K83" s="119"/>
      <c r="L83" s="119"/>
      <c r="M83" s="47">
        <f>SUM(M80:M82)</f>
        <v>0</v>
      </c>
      <c r="N83" s="48"/>
      <c r="O83" s="43"/>
      <c r="P83" s="43">
        <f>SUM(P80:P82)</f>
        <v>0</v>
      </c>
      <c r="Q83" s="43">
        <f>SUM(Q80:Q82)</f>
        <v>0</v>
      </c>
      <c r="R83" s="43">
        <f>SUM(R80:R82)</f>
        <v>0</v>
      </c>
    </row>
    <row r="84" spans="1:18" ht="19.2" thickTop="1">
      <c r="A84" s="8"/>
      <c r="B84" s="51" t="s">
        <v>48</v>
      </c>
      <c r="C84" s="52"/>
      <c r="D84" s="11"/>
      <c r="E84" s="12"/>
      <c r="F84" s="12"/>
      <c r="G84" s="53"/>
      <c r="H84" s="14"/>
      <c r="I84" s="15"/>
      <c r="J84" s="11"/>
      <c r="K84" s="16"/>
      <c r="L84" s="17"/>
      <c r="M84" s="18"/>
      <c r="N84" s="19"/>
      <c r="O84" s="13"/>
      <c r="P84" s="13"/>
      <c r="Q84" s="13"/>
      <c r="R84" s="20"/>
    </row>
    <row r="85" spans="1:18" ht="18.600000000000001">
      <c r="A85" s="8">
        <v>1</v>
      </c>
      <c r="B85" s="62"/>
      <c r="C85" s="63"/>
      <c r="D85" s="23">
        <v>0</v>
      </c>
      <c r="E85" s="24"/>
      <c r="F85" s="24"/>
      <c r="G85" s="25"/>
      <c r="H85" s="26">
        <v>0</v>
      </c>
      <c r="I85" s="27">
        <f>H85*0.07</f>
        <v>0</v>
      </c>
      <c r="J85" s="23">
        <v>0</v>
      </c>
      <c r="K85" s="28"/>
      <c r="L85" s="29"/>
      <c r="M85" s="30">
        <v>0</v>
      </c>
      <c r="N85" s="31"/>
      <c r="O85" s="25"/>
      <c r="P85" s="27">
        <f>ROUND(R85*100/107,2)</f>
        <v>0</v>
      </c>
      <c r="Q85" s="27">
        <f>P85*0.07</f>
        <v>0</v>
      </c>
      <c r="R85" s="32">
        <f>D85+J85-M85</f>
        <v>0</v>
      </c>
    </row>
    <row r="86" spans="1:18" ht="18.600000000000001">
      <c r="A86" s="8">
        <f>+A85+1</f>
        <v>2</v>
      </c>
      <c r="B86" s="64" t="s">
        <v>21</v>
      </c>
      <c r="C86" s="63"/>
      <c r="D86" s="23">
        <v>0</v>
      </c>
      <c r="E86" s="24"/>
      <c r="F86" s="24"/>
      <c r="G86" s="25"/>
      <c r="H86" s="34">
        <v>0</v>
      </c>
      <c r="I86" s="35">
        <f>H86*0.07</f>
        <v>0</v>
      </c>
      <c r="J86" s="36">
        <v>0</v>
      </c>
      <c r="K86" s="28"/>
      <c r="L86" s="29"/>
      <c r="M86" s="30">
        <v>0</v>
      </c>
      <c r="N86" s="31"/>
      <c r="O86" s="25"/>
      <c r="P86" s="27">
        <f>ROUND(R86*100/107,2)</f>
        <v>0</v>
      </c>
      <c r="Q86" s="27">
        <f>P86*0.07</f>
        <v>0</v>
      </c>
      <c r="R86" s="32">
        <f>D86+J86-M86</f>
        <v>0</v>
      </c>
    </row>
    <row r="87" spans="1:18" ht="18.600000000000001">
      <c r="A87" s="8">
        <f>+A86+1</f>
        <v>3</v>
      </c>
      <c r="B87" s="65"/>
      <c r="C87" s="63"/>
      <c r="D87" s="23">
        <v>0</v>
      </c>
      <c r="E87" s="24"/>
      <c r="F87" s="38"/>
      <c r="G87" s="39"/>
      <c r="H87" s="40">
        <f>J87*100/107</f>
        <v>0</v>
      </c>
      <c r="I87" s="40">
        <f>H87*0.07</f>
        <v>0</v>
      </c>
      <c r="J87" s="41">
        <v>0</v>
      </c>
      <c r="K87" s="28"/>
      <c r="L87" s="29"/>
      <c r="M87" s="30">
        <v>0</v>
      </c>
      <c r="N87" s="31"/>
      <c r="O87" s="25"/>
      <c r="P87" s="27">
        <f>ROUND(R87*100/107,2)</f>
        <v>0</v>
      </c>
      <c r="Q87" s="27">
        <f>P87*0.07</f>
        <v>0</v>
      </c>
      <c r="R87" s="32">
        <f>D87+J87-M87</f>
        <v>0</v>
      </c>
    </row>
    <row r="88" spans="1:18" ht="19.2" thickBot="1">
      <c r="A88" s="42"/>
      <c r="B88" s="191" t="s">
        <v>19</v>
      </c>
      <c r="C88" s="192"/>
      <c r="D88" s="43">
        <f>SUM(D85:D87)</f>
        <v>0</v>
      </c>
      <c r="E88" s="43"/>
      <c r="F88" s="43"/>
      <c r="G88" s="44"/>
      <c r="H88" s="44">
        <f>SUM(H85:H87)</f>
        <v>0</v>
      </c>
      <c r="I88" s="44">
        <f>SUM(I85:I87)</f>
        <v>0</v>
      </c>
      <c r="J88" s="44">
        <f>SUM(J85:J87)</f>
        <v>0</v>
      </c>
      <c r="K88" s="45"/>
      <c r="L88" s="46"/>
      <c r="M88" s="47">
        <f>SUM(M85:M87)</f>
        <v>0</v>
      </c>
      <c r="N88" s="48"/>
      <c r="O88" s="43"/>
      <c r="P88" s="49">
        <f>ROUND(R88*100/107,2)</f>
        <v>0</v>
      </c>
      <c r="Q88" s="49">
        <f>P88*0.07</f>
        <v>0</v>
      </c>
      <c r="R88" s="50">
        <f>SUM(R85:R87)</f>
        <v>0</v>
      </c>
    </row>
    <row r="89" spans="1:18" ht="19.2" thickTop="1">
      <c r="A89" s="8"/>
      <c r="B89" s="67" t="s">
        <v>49</v>
      </c>
      <c r="C89" s="68"/>
      <c r="D89" s="69"/>
      <c r="E89" s="70"/>
      <c r="F89" s="70"/>
      <c r="G89" s="71"/>
      <c r="H89" s="72"/>
      <c r="I89" s="73"/>
      <c r="J89" s="69"/>
      <c r="K89" s="74"/>
      <c r="L89" s="75"/>
      <c r="M89" s="76"/>
      <c r="N89" s="77"/>
      <c r="O89" s="78"/>
      <c r="P89" s="78"/>
      <c r="Q89" s="78"/>
      <c r="R89" s="79"/>
    </row>
    <row r="90" spans="1:18" ht="18.600000000000001">
      <c r="A90" s="8">
        <v>1</v>
      </c>
      <c r="B90" s="62"/>
      <c r="C90" s="63"/>
      <c r="D90" s="23">
        <v>0</v>
      </c>
      <c r="E90" s="24"/>
      <c r="F90" s="24"/>
      <c r="G90" s="25"/>
      <c r="H90" s="81">
        <v>0</v>
      </c>
      <c r="I90" s="27">
        <f>H90*0.07</f>
        <v>0</v>
      </c>
      <c r="J90" s="23">
        <v>0</v>
      </c>
      <c r="K90" s="28"/>
      <c r="L90" s="29"/>
      <c r="M90" s="30">
        <v>0</v>
      </c>
      <c r="N90" s="31"/>
      <c r="O90" s="25"/>
      <c r="P90" s="27">
        <f>ROUND(R90*100/107,2)</f>
        <v>0</v>
      </c>
      <c r="Q90" s="27">
        <f>P90*0.07</f>
        <v>0</v>
      </c>
      <c r="R90" s="32">
        <f>D90+J90-M90</f>
        <v>0</v>
      </c>
    </row>
    <row r="91" spans="1:18" ht="18.600000000000001">
      <c r="A91" s="8">
        <f>+A90+1</f>
        <v>2</v>
      </c>
      <c r="B91" s="64" t="s">
        <v>21</v>
      </c>
      <c r="C91" s="63"/>
      <c r="D91" s="23">
        <v>0</v>
      </c>
      <c r="E91" s="24"/>
      <c r="F91" s="24"/>
      <c r="G91" s="25"/>
      <c r="H91" s="34">
        <v>0</v>
      </c>
      <c r="I91" s="35">
        <f>H91*0.07</f>
        <v>0</v>
      </c>
      <c r="J91" s="36">
        <v>0</v>
      </c>
      <c r="K91" s="28"/>
      <c r="L91" s="29"/>
      <c r="M91" s="30">
        <v>0</v>
      </c>
      <c r="N91" s="31"/>
      <c r="O91" s="25"/>
      <c r="P91" s="27">
        <f>ROUND(R91*100/107,2)</f>
        <v>0</v>
      </c>
      <c r="Q91" s="27">
        <f>P91*0.07</f>
        <v>0</v>
      </c>
      <c r="R91" s="32">
        <f>D91+J91-M91</f>
        <v>0</v>
      </c>
    </row>
    <row r="92" spans="1:18" ht="18.600000000000001">
      <c r="A92" s="8">
        <f>+A91+1</f>
        <v>3</v>
      </c>
      <c r="B92" s="65"/>
      <c r="C92" s="63"/>
      <c r="D92" s="23">
        <v>0</v>
      </c>
      <c r="E92" s="24"/>
      <c r="F92" s="38"/>
      <c r="G92" s="39"/>
      <c r="H92" s="40">
        <f>J92*100/107</f>
        <v>0</v>
      </c>
      <c r="I92" s="40">
        <f>H92*0.07</f>
        <v>0</v>
      </c>
      <c r="J92" s="41">
        <v>0</v>
      </c>
      <c r="K92" s="28"/>
      <c r="L92" s="29"/>
      <c r="M92" s="30">
        <v>0</v>
      </c>
      <c r="N92" s="31"/>
      <c r="O92" s="25"/>
      <c r="P92" s="27">
        <f>ROUND(R92*100/107,2)</f>
        <v>0</v>
      </c>
      <c r="Q92" s="27">
        <f>P92*0.07</f>
        <v>0</v>
      </c>
      <c r="R92" s="32">
        <f>D92+J92-M92</f>
        <v>0</v>
      </c>
    </row>
    <row r="93" spans="1:18" ht="19.2" thickBot="1">
      <c r="A93" s="42"/>
      <c r="B93" s="191" t="s">
        <v>19</v>
      </c>
      <c r="C93" s="192"/>
      <c r="D93" s="43">
        <f>SUM(D90:D92)</f>
        <v>0</v>
      </c>
      <c r="E93" s="43"/>
      <c r="F93" s="43"/>
      <c r="G93" s="44"/>
      <c r="H93" s="44">
        <f>SUM(H90:H92)</f>
        <v>0</v>
      </c>
      <c r="I93" s="44">
        <f>SUM(I90:I92)</f>
        <v>0</v>
      </c>
      <c r="J93" s="44">
        <f>SUM(J90:J92)</f>
        <v>0</v>
      </c>
      <c r="K93" s="45"/>
      <c r="L93" s="46"/>
      <c r="M93" s="47">
        <f>SUM(M90:M92)</f>
        <v>0</v>
      </c>
      <c r="N93" s="48"/>
      <c r="O93" s="43"/>
      <c r="P93" s="49">
        <f>ROUND(R93*100/107,2)</f>
        <v>0</v>
      </c>
      <c r="Q93" s="49">
        <f>P93*0.07</f>
        <v>0</v>
      </c>
      <c r="R93" s="50">
        <f>SUM(R90:R92)</f>
        <v>0</v>
      </c>
    </row>
    <row r="94" spans="1:18" ht="19.2" thickTop="1">
      <c r="A94" s="8"/>
      <c r="B94" s="67" t="s">
        <v>50</v>
      </c>
      <c r="C94" s="68"/>
      <c r="D94" s="69"/>
      <c r="E94" s="70"/>
      <c r="F94" s="70"/>
      <c r="G94" s="71"/>
      <c r="H94" s="72"/>
      <c r="I94" s="73"/>
      <c r="J94" s="69"/>
      <c r="K94" s="74"/>
      <c r="L94" s="75"/>
      <c r="M94" s="76"/>
      <c r="N94" s="77"/>
      <c r="O94" s="78"/>
      <c r="P94" s="78"/>
      <c r="Q94" s="78"/>
      <c r="R94" s="79"/>
    </row>
    <row r="95" spans="1:18" ht="18.600000000000001">
      <c r="A95" s="8">
        <v>1</v>
      </c>
      <c r="B95" s="62"/>
      <c r="C95" s="63"/>
      <c r="D95" s="23">
        <v>0</v>
      </c>
      <c r="E95" s="24"/>
      <c r="F95" s="24"/>
      <c r="G95" s="25"/>
      <c r="H95" s="81">
        <v>0</v>
      </c>
      <c r="I95" s="27">
        <f>H95*0.07</f>
        <v>0</v>
      </c>
      <c r="J95" s="23">
        <v>0</v>
      </c>
      <c r="K95" s="28"/>
      <c r="L95" s="29"/>
      <c r="M95" s="30">
        <v>0</v>
      </c>
      <c r="N95" s="31"/>
      <c r="O95" s="25"/>
      <c r="P95" s="27">
        <f>ROUND(R95*100/107,2)</f>
        <v>0</v>
      </c>
      <c r="Q95" s="27">
        <f>P95*0.07</f>
        <v>0</v>
      </c>
      <c r="R95" s="32">
        <f>D95+J95-M95</f>
        <v>0</v>
      </c>
    </row>
    <row r="96" spans="1:18" ht="18.600000000000001">
      <c r="A96" s="8">
        <f>+A95+1</f>
        <v>2</v>
      </c>
      <c r="B96" s="64" t="s">
        <v>21</v>
      </c>
      <c r="C96" s="63"/>
      <c r="D96" s="23">
        <v>0</v>
      </c>
      <c r="E96" s="24"/>
      <c r="F96" s="24"/>
      <c r="G96" s="25"/>
      <c r="H96" s="27">
        <v>0</v>
      </c>
      <c r="I96" s="27">
        <f>H96*0.07</f>
        <v>0</v>
      </c>
      <c r="J96" s="36">
        <v>0</v>
      </c>
      <c r="K96" s="28"/>
      <c r="L96" s="29"/>
      <c r="M96" s="30">
        <v>0</v>
      </c>
      <c r="N96" s="31"/>
      <c r="O96" s="25"/>
      <c r="P96" s="27">
        <f>ROUND(R96*100/107,2)</f>
        <v>0</v>
      </c>
      <c r="Q96" s="27">
        <f>P96*0.07</f>
        <v>0</v>
      </c>
      <c r="R96" s="32">
        <f>D96+J96-M96</f>
        <v>0</v>
      </c>
    </row>
    <row r="97" spans="1:18" ht="18.600000000000001">
      <c r="A97" s="8">
        <f>+A96+1</f>
        <v>3</v>
      </c>
      <c r="B97" s="65"/>
      <c r="C97" s="63"/>
      <c r="D97" s="23">
        <v>0</v>
      </c>
      <c r="E97" s="24"/>
      <c r="F97" s="38"/>
      <c r="G97" s="39"/>
      <c r="H97" s="40">
        <f>J97*100/107</f>
        <v>0</v>
      </c>
      <c r="I97" s="40">
        <f>H97*0.07</f>
        <v>0</v>
      </c>
      <c r="J97" s="41">
        <v>0</v>
      </c>
      <c r="K97" s="28"/>
      <c r="L97" s="29"/>
      <c r="M97" s="30">
        <v>0</v>
      </c>
      <c r="N97" s="31"/>
      <c r="O97" s="25"/>
      <c r="P97" s="27">
        <f>ROUND(R97*100/107,2)</f>
        <v>0</v>
      </c>
      <c r="Q97" s="27">
        <f>P97*0.07</f>
        <v>0</v>
      </c>
      <c r="R97" s="32">
        <f>D97+J97-M97</f>
        <v>0</v>
      </c>
    </row>
    <row r="98" spans="1:18" ht="19.2" thickBot="1">
      <c r="A98" s="42"/>
      <c r="B98" s="191" t="s">
        <v>19</v>
      </c>
      <c r="C98" s="192"/>
      <c r="D98" s="43">
        <f>SUM(D95:D97)</f>
        <v>0</v>
      </c>
      <c r="E98" s="43"/>
      <c r="F98" s="43"/>
      <c r="G98" s="44"/>
      <c r="H98" s="44">
        <f>SUM(H95:H97)</f>
        <v>0</v>
      </c>
      <c r="I98" s="44">
        <f>SUM(I95:I97)</f>
        <v>0</v>
      </c>
      <c r="J98" s="44">
        <f>SUM(J95:J97)</f>
        <v>0</v>
      </c>
      <c r="K98" s="45"/>
      <c r="L98" s="46"/>
      <c r="M98" s="47">
        <f>SUM(M95:M97)</f>
        <v>0</v>
      </c>
      <c r="N98" s="48"/>
      <c r="O98" s="43"/>
      <c r="P98" s="49">
        <f>ROUND(R98*100/107,2)</f>
        <v>0</v>
      </c>
      <c r="Q98" s="49">
        <f>P98*0.07</f>
        <v>0</v>
      </c>
      <c r="R98" s="50">
        <f>SUM(R95:R97)</f>
        <v>0</v>
      </c>
    </row>
    <row r="99" spans="1:18" ht="19.2" thickTop="1">
      <c r="A99" s="8"/>
      <c r="B99" s="67" t="s">
        <v>51</v>
      </c>
      <c r="C99" s="68"/>
      <c r="D99" s="69"/>
      <c r="E99" s="70"/>
      <c r="F99" s="70"/>
      <c r="G99" s="71"/>
      <c r="H99" s="72"/>
      <c r="I99" s="73"/>
      <c r="J99" s="69"/>
      <c r="K99" s="74"/>
      <c r="L99" s="75"/>
      <c r="M99" s="76"/>
      <c r="N99" s="77"/>
      <c r="O99" s="78"/>
      <c r="P99" s="78"/>
      <c r="Q99" s="78"/>
      <c r="R99" s="79"/>
    </row>
    <row r="100" spans="1:18" ht="18.600000000000001">
      <c r="A100" s="8">
        <v>1</v>
      </c>
      <c r="B100" s="62"/>
      <c r="C100" s="63"/>
      <c r="D100" s="23">
        <v>0</v>
      </c>
      <c r="E100" s="24"/>
      <c r="F100" s="24"/>
      <c r="G100" s="25"/>
      <c r="H100" s="26">
        <v>0</v>
      </c>
      <c r="I100" s="27">
        <f>H100*0.07</f>
        <v>0</v>
      </c>
      <c r="J100" s="23">
        <v>0</v>
      </c>
      <c r="K100" s="28"/>
      <c r="L100" s="29"/>
      <c r="M100" s="30">
        <v>0</v>
      </c>
      <c r="N100" s="31"/>
      <c r="O100" s="25"/>
      <c r="P100" s="27">
        <f>ROUND(R100*100/107,2)</f>
        <v>0</v>
      </c>
      <c r="Q100" s="27">
        <f>P100*0.07</f>
        <v>0</v>
      </c>
      <c r="R100" s="32">
        <f>D100+J100-M100</f>
        <v>0</v>
      </c>
    </row>
    <row r="101" spans="1:18" ht="18.600000000000001">
      <c r="A101" s="8">
        <f>+A100+1</f>
        <v>2</v>
      </c>
      <c r="B101" s="64" t="s">
        <v>21</v>
      </c>
      <c r="C101" s="63"/>
      <c r="D101" s="23">
        <v>0</v>
      </c>
      <c r="E101" s="24"/>
      <c r="F101" s="24"/>
      <c r="G101" s="25"/>
      <c r="H101" s="34">
        <v>0</v>
      </c>
      <c r="I101" s="35">
        <f>H101*0.07</f>
        <v>0</v>
      </c>
      <c r="J101" s="36">
        <v>0</v>
      </c>
      <c r="K101" s="28"/>
      <c r="L101" s="29"/>
      <c r="M101" s="30">
        <v>0</v>
      </c>
      <c r="N101" s="31"/>
      <c r="O101" s="25"/>
      <c r="P101" s="27">
        <f>ROUND(R101*100/107,2)</f>
        <v>0</v>
      </c>
      <c r="Q101" s="27">
        <f>P101*0.07</f>
        <v>0</v>
      </c>
      <c r="R101" s="32">
        <f>D101+J101-M101</f>
        <v>0</v>
      </c>
    </row>
    <row r="102" spans="1:18" ht="18.600000000000001">
      <c r="A102" s="8">
        <f>+A101+1</f>
        <v>3</v>
      </c>
      <c r="B102" s="65"/>
      <c r="C102" s="63"/>
      <c r="D102" s="23">
        <v>0</v>
      </c>
      <c r="E102" s="24"/>
      <c r="F102" s="38"/>
      <c r="G102" s="39"/>
      <c r="H102" s="40">
        <f>J102*100/107</f>
        <v>0</v>
      </c>
      <c r="I102" s="40">
        <f>H102*0.07</f>
        <v>0</v>
      </c>
      <c r="J102" s="41">
        <v>0</v>
      </c>
      <c r="K102" s="28"/>
      <c r="L102" s="29"/>
      <c r="M102" s="30">
        <v>0</v>
      </c>
      <c r="N102" s="31"/>
      <c r="O102" s="25"/>
      <c r="P102" s="27">
        <f>ROUND(R102*100/107,2)</f>
        <v>0</v>
      </c>
      <c r="Q102" s="27">
        <f>P102*0.07</f>
        <v>0</v>
      </c>
      <c r="R102" s="32">
        <f>D102+J102-M102</f>
        <v>0</v>
      </c>
    </row>
    <row r="103" spans="1:18" ht="19.2" thickBot="1">
      <c r="A103" s="42"/>
      <c r="B103" s="191" t="s">
        <v>19</v>
      </c>
      <c r="C103" s="192"/>
      <c r="D103" s="43">
        <f>SUM(D100:D102)</f>
        <v>0</v>
      </c>
      <c r="E103" s="43"/>
      <c r="F103" s="43"/>
      <c r="G103" s="44"/>
      <c r="H103" s="44">
        <f>SUM(H100:H102)</f>
        <v>0</v>
      </c>
      <c r="I103" s="44">
        <f>SUM(I100:I102)</f>
        <v>0</v>
      </c>
      <c r="J103" s="44">
        <f>SUM(J100:J102)</f>
        <v>0</v>
      </c>
      <c r="K103" s="45"/>
      <c r="L103" s="46"/>
      <c r="M103" s="47">
        <f>SUM(M100:M102)</f>
        <v>0</v>
      </c>
      <c r="N103" s="48"/>
      <c r="O103" s="43"/>
      <c r="P103" s="49">
        <f>ROUND(R103*100/107,2)</f>
        <v>0</v>
      </c>
      <c r="Q103" s="49">
        <f>P103*0.07</f>
        <v>0</v>
      </c>
      <c r="R103" s="50">
        <f>SUM(R100:R102)</f>
        <v>0</v>
      </c>
    </row>
    <row r="104" spans="1:18" ht="19.2" thickTop="1">
      <c r="A104" s="8"/>
      <c r="B104" s="67" t="s">
        <v>52</v>
      </c>
      <c r="C104" s="68"/>
      <c r="D104" s="69"/>
      <c r="E104" s="70"/>
      <c r="F104" s="70"/>
      <c r="G104" s="71"/>
      <c r="H104" s="72"/>
      <c r="I104" s="73"/>
      <c r="J104" s="69"/>
      <c r="K104" s="74"/>
      <c r="L104" s="75"/>
      <c r="M104" s="76"/>
      <c r="N104" s="77"/>
      <c r="O104" s="78"/>
      <c r="P104" s="78"/>
      <c r="Q104" s="78"/>
      <c r="R104" s="79"/>
    </row>
    <row r="105" spans="1:18" ht="18.600000000000001">
      <c r="A105" s="8">
        <v>1</v>
      </c>
      <c r="B105" s="62"/>
      <c r="C105" s="63"/>
      <c r="D105" s="23">
        <v>0</v>
      </c>
      <c r="E105" s="24"/>
      <c r="F105" s="24"/>
      <c r="G105" s="25"/>
      <c r="H105" s="26">
        <v>0</v>
      </c>
      <c r="I105" s="27">
        <f>H105*0.07</f>
        <v>0</v>
      </c>
      <c r="J105" s="23">
        <v>0</v>
      </c>
      <c r="K105" s="28"/>
      <c r="L105" s="29"/>
      <c r="M105" s="30">
        <v>0</v>
      </c>
      <c r="N105" s="31"/>
      <c r="O105" s="25"/>
      <c r="P105" s="27">
        <f>ROUND(R105*100/107,2)</f>
        <v>0</v>
      </c>
      <c r="Q105" s="27">
        <f>P105*0.07</f>
        <v>0</v>
      </c>
      <c r="R105" s="32">
        <f>D105+J105-M105</f>
        <v>0</v>
      </c>
    </row>
    <row r="106" spans="1:18" ht="18.600000000000001">
      <c r="A106" s="8">
        <f>+A105+1</f>
        <v>2</v>
      </c>
      <c r="B106" s="64" t="s">
        <v>21</v>
      </c>
      <c r="C106" s="63"/>
      <c r="D106" s="23">
        <v>0</v>
      </c>
      <c r="E106" s="24"/>
      <c r="F106" s="24"/>
      <c r="G106" s="25"/>
      <c r="H106" s="34">
        <v>0</v>
      </c>
      <c r="I106" s="35">
        <f>H106*0.07</f>
        <v>0</v>
      </c>
      <c r="J106" s="36">
        <v>0</v>
      </c>
      <c r="K106" s="28"/>
      <c r="L106" s="29"/>
      <c r="M106" s="30">
        <v>0</v>
      </c>
      <c r="N106" s="31"/>
      <c r="O106" s="25"/>
      <c r="P106" s="27">
        <f>ROUND(R106*100/107,2)</f>
        <v>0</v>
      </c>
      <c r="Q106" s="27">
        <f>P106*0.07</f>
        <v>0</v>
      </c>
      <c r="R106" s="32">
        <f>D106+J106-M106</f>
        <v>0</v>
      </c>
    </row>
    <row r="107" spans="1:18" ht="18.600000000000001">
      <c r="A107" s="8">
        <f>+A106+1</f>
        <v>3</v>
      </c>
      <c r="B107" s="65"/>
      <c r="C107" s="63"/>
      <c r="D107" s="23">
        <v>0</v>
      </c>
      <c r="E107" s="24"/>
      <c r="F107" s="38"/>
      <c r="G107" s="39"/>
      <c r="H107" s="40">
        <f>J107*100/107</f>
        <v>0</v>
      </c>
      <c r="I107" s="40">
        <f>H107*0.07</f>
        <v>0</v>
      </c>
      <c r="J107" s="41">
        <v>0</v>
      </c>
      <c r="K107" s="28"/>
      <c r="L107" s="29"/>
      <c r="M107" s="30">
        <v>0</v>
      </c>
      <c r="N107" s="31"/>
      <c r="O107" s="25"/>
      <c r="P107" s="27">
        <f>ROUND(R107*100/107,2)</f>
        <v>0</v>
      </c>
      <c r="Q107" s="27">
        <f>P107*0.07</f>
        <v>0</v>
      </c>
      <c r="R107" s="32">
        <f>D107+J107-M107</f>
        <v>0</v>
      </c>
    </row>
    <row r="108" spans="1:18" ht="19.2" thickBot="1">
      <c r="A108" s="42"/>
      <c r="B108" s="191" t="s">
        <v>19</v>
      </c>
      <c r="C108" s="192"/>
      <c r="D108" s="43">
        <f>SUM(D105:D107)</f>
        <v>0</v>
      </c>
      <c r="E108" s="43"/>
      <c r="F108" s="43"/>
      <c r="G108" s="44"/>
      <c r="H108" s="44">
        <f>SUM(H105:H107)</f>
        <v>0</v>
      </c>
      <c r="I108" s="44">
        <f>SUM(I105:I107)</f>
        <v>0</v>
      </c>
      <c r="J108" s="44">
        <f>SUM(J105:J107)</f>
        <v>0</v>
      </c>
      <c r="K108" s="45"/>
      <c r="L108" s="46"/>
      <c r="M108" s="47">
        <f>SUM(M105:M107)</f>
        <v>0</v>
      </c>
      <c r="N108" s="48"/>
      <c r="O108" s="43"/>
      <c r="P108" s="49">
        <f>ROUND(R108*100/107,2)</f>
        <v>0</v>
      </c>
      <c r="Q108" s="49">
        <f>P108*0.07</f>
        <v>0</v>
      </c>
      <c r="R108" s="50">
        <f>SUM(R105:R107)</f>
        <v>0</v>
      </c>
    </row>
    <row r="109" spans="1:18" ht="19.8" thickTop="1" thickBot="1">
      <c r="A109" s="120"/>
      <c r="B109" s="193" t="s">
        <v>53</v>
      </c>
      <c r="C109" s="194"/>
      <c r="D109" s="106">
        <f>+D11+D16+D21+D26+D32+D37+D42+D47+D52+D57+D68+D73+D78+D83+D88+D93+D98+D103+D108</f>
        <v>0</v>
      </c>
      <c r="E109" s="106"/>
      <c r="F109" s="106"/>
      <c r="G109" s="106"/>
      <c r="H109" s="106">
        <f>+H11+H16+H21+H26+H32+H37+H42+H47+H52+H57+H68+H73+H78+H83+H88+H93+H98+H103+H108</f>
        <v>5530855.9100000001</v>
      </c>
      <c r="I109" s="106">
        <f>+I11+I16+I21+I26+I32+I37+I42+I47+I52+I57+I68+I73+I78+I83+I88+I93+I98+I103+I108</f>
        <v>0</v>
      </c>
      <c r="J109" s="106">
        <f>+J11+J16+J21+J26+J32+J37+J42+J47+J52+J57+J68+J73+J78+J83+J88+J93+J98+J103+J108</f>
        <v>5530855.9100000001</v>
      </c>
      <c r="K109" s="114"/>
      <c r="L109" s="114"/>
      <c r="M109" s="107">
        <f>+M11+M16+M21+M26+M32+M37+M42+M47+M52+M57+M68+M73+M78+M83+M88+M93+M98+M103+M108</f>
        <v>0</v>
      </c>
      <c r="N109" s="108"/>
      <c r="O109" s="106"/>
      <c r="P109" s="106">
        <f>+P11+P16+P21+P26+P32+P37+P42+P47+P52+P57+P68+P73+P78+P83+P88+P93+P98+P103+P108</f>
        <v>5530855.9100000001</v>
      </c>
      <c r="Q109" s="106">
        <f>+Q11+Q16+Q21+Q26+Q32+Q37+Q42+Q47+Q52+Q57+Q68+Q73+Q78+Q83+Q88+Q93+Q98+Q103+Q108</f>
        <v>0</v>
      </c>
      <c r="R109" s="106">
        <f>+R11+R16+R21+R26+R32+R37+R42+R47+R52+R57+R68+R73+R78+R83+R88+R93+R98+R103+R108</f>
        <v>5530855.9100000001</v>
      </c>
    </row>
    <row r="110" spans="1:18" ht="19.2" thickTop="1">
      <c r="A110" s="120"/>
      <c r="B110" s="121"/>
      <c r="C110" s="121"/>
      <c r="D110" s="121"/>
      <c r="E110" s="121"/>
      <c r="F110" s="121"/>
      <c r="G110" s="121"/>
      <c r="H110" s="121"/>
      <c r="I110" s="121"/>
      <c r="J110" s="121"/>
      <c r="K110" s="122"/>
      <c r="L110" s="123"/>
      <c r="M110" s="124"/>
      <c r="N110" s="125"/>
      <c r="O110" s="121"/>
      <c r="P110" s="121"/>
      <c r="Q110" s="121"/>
      <c r="R110" s="126"/>
    </row>
    <row r="111" spans="1:18" ht="6.75" customHeight="1">
      <c r="A111" s="120"/>
      <c r="B111" s="121"/>
      <c r="C111" s="121"/>
      <c r="D111" s="121"/>
      <c r="E111" s="121"/>
      <c r="F111" s="121"/>
      <c r="G111" s="121"/>
      <c r="H111" s="121"/>
      <c r="I111" s="121"/>
      <c r="J111" s="121"/>
      <c r="K111" s="122"/>
      <c r="L111" s="123"/>
      <c r="M111" s="124"/>
      <c r="N111" s="125"/>
      <c r="O111" s="121"/>
      <c r="P111" s="121"/>
      <c r="Q111" s="121"/>
      <c r="R111" s="126"/>
    </row>
    <row r="112" spans="1:18" ht="18.600000000000001">
      <c r="A112" s="120"/>
      <c r="B112" s="121"/>
      <c r="C112" s="121"/>
      <c r="D112" s="121"/>
      <c r="E112" s="127"/>
      <c r="F112" s="127"/>
      <c r="G112" s="121"/>
      <c r="H112" s="121"/>
      <c r="I112" s="121"/>
      <c r="J112" s="121"/>
      <c r="K112" s="122"/>
      <c r="L112" s="123"/>
      <c r="M112" s="124"/>
      <c r="N112" s="189" t="s">
        <v>54</v>
      </c>
      <c r="O112" s="189"/>
      <c r="P112" s="189"/>
      <c r="Q112" s="121"/>
      <c r="R112" s="126"/>
    </row>
    <row r="113" spans="1:18" ht="18.600000000000001">
      <c r="B113" s="128"/>
      <c r="C113" s="121"/>
      <c r="D113" s="121"/>
      <c r="E113" s="121"/>
      <c r="F113" s="121"/>
      <c r="G113" s="121"/>
      <c r="H113" s="190"/>
      <c r="I113" s="190"/>
      <c r="J113" s="190"/>
      <c r="K113" s="122"/>
      <c r="L113" s="123"/>
      <c r="M113" s="124"/>
      <c r="N113" s="125"/>
      <c r="O113" s="121" t="s">
        <v>55</v>
      </c>
      <c r="P113" s="121"/>
      <c r="Q113" s="121"/>
      <c r="R113" s="126"/>
    </row>
    <row r="114" spans="1:18" ht="18.600000000000001">
      <c r="A114" s="129"/>
      <c r="B114" s="130"/>
      <c r="C114" s="129"/>
      <c r="D114" s="131"/>
      <c r="E114" s="129"/>
      <c r="F114" s="129"/>
      <c r="G114" s="132"/>
      <c r="H114" s="132"/>
      <c r="I114" s="132"/>
      <c r="J114" s="133"/>
      <c r="K114" s="134"/>
      <c r="L114" s="135"/>
      <c r="M114" s="136"/>
      <c r="N114" s="137"/>
      <c r="O114" s="132"/>
      <c r="P114" s="132"/>
      <c r="Q114" s="132"/>
      <c r="R114" s="138"/>
    </row>
  </sheetData>
  <mergeCells count="54">
    <mergeCell ref="N112:P112"/>
    <mergeCell ref="H113:J113"/>
    <mergeCell ref="B88:C88"/>
    <mergeCell ref="B93:C93"/>
    <mergeCell ref="B98:C98"/>
    <mergeCell ref="B103:C103"/>
    <mergeCell ref="B108:C108"/>
    <mergeCell ref="B109:C109"/>
    <mergeCell ref="B83:C83"/>
    <mergeCell ref="B42:C42"/>
    <mergeCell ref="B47:C47"/>
    <mergeCell ref="B52:C52"/>
    <mergeCell ref="B57:C57"/>
    <mergeCell ref="B67:C67"/>
    <mergeCell ref="B68:C68"/>
    <mergeCell ref="B73:C73"/>
    <mergeCell ref="B78:C78"/>
    <mergeCell ref="B80:C80"/>
    <mergeCell ref="B81:C81"/>
    <mergeCell ref="B82:C82"/>
    <mergeCell ref="B41:C41"/>
    <mergeCell ref="B14:C14"/>
    <mergeCell ref="B15:C15"/>
    <mergeCell ref="B16:C16"/>
    <mergeCell ref="B21:C21"/>
    <mergeCell ref="B26:C26"/>
    <mergeCell ref="B29:C29"/>
    <mergeCell ref="B31:C31"/>
    <mergeCell ref="B32:C32"/>
    <mergeCell ref="B37:C37"/>
    <mergeCell ref="B39:C39"/>
    <mergeCell ref="B40:C40"/>
    <mergeCell ref="B13:C13"/>
    <mergeCell ref="E5:E6"/>
    <mergeCell ref="F5:F6"/>
    <mergeCell ref="G5:G6"/>
    <mergeCell ref="H5:J5"/>
    <mergeCell ref="B11:C11"/>
    <mergeCell ref="A1:R1"/>
    <mergeCell ref="A2:R2"/>
    <mergeCell ref="A3:R3"/>
    <mergeCell ref="A4:A6"/>
    <mergeCell ref="B4:B6"/>
    <mergeCell ref="C4:C6"/>
    <mergeCell ref="D4:D6"/>
    <mergeCell ref="E4:J4"/>
    <mergeCell ref="K4:M4"/>
    <mergeCell ref="N4:R4"/>
    <mergeCell ref="M5:M6"/>
    <mergeCell ref="N5:N6"/>
    <mergeCell ref="O5:O6"/>
    <mergeCell ref="P5:R5"/>
    <mergeCell ref="K5:K6"/>
    <mergeCell ref="L5:L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066D-59A0-4405-A230-163E3BE79DD3}">
  <sheetPr>
    <tabColor rgb="FF00B0F0"/>
  </sheetPr>
  <dimension ref="A1:F14"/>
  <sheetViews>
    <sheetView workbookViewId="0">
      <pane ySplit="6" topLeftCell="A7" activePane="bottomLeft" state="frozen"/>
      <selection pane="bottomLeft" activeCell="A3" sqref="A3:F3"/>
    </sheetView>
  </sheetViews>
  <sheetFormatPr defaultColWidth="10.375" defaultRowHeight="14.4"/>
  <cols>
    <col min="1" max="1" width="10.375" style="1"/>
    <col min="2" max="2" width="33.25" style="1" customWidth="1"/>
    <col min="3" max="3" width="10.375" style="1"/>
    <col min="4" max="4" width="10.375" style="139"/>
    <col min="5" max="5" width="11.625" style="139" bestFit="1" customWidth="1"/>
    <col min="6" max="6" width="10.375" style="139"/>
    <col min="7" max="242" width="10.375" style="1"/>
    <col min="243" max="243" width="33.25" style="1" customWidth="1"/>
    <col min="244" max="248" width="10.375" style="1"/>
    <col min="249" max="249" width="13.625" style="1" customWidth="1"/>
    <col min="250" max="250" width="10.375" style="1"/>
    <col min="251" max="251" width="14.375" style="1" customWidth="1"/>
    <col min="252" max="252" width="10.375" style="1"/>
    <col min="253" max="253" width="11.625" style="1" bestFit="1" customWidth="1"/>
    <col min="254" max="256" width="10.375" style="1"/>
    <col min="257" max="257" width="12.875" style="1" customWidth="1"/>
    <col min="258" max="258" width="10.375" style="1"/>
    <col min="259" max="259" width="13" style="1" customWidth="1"/>
    <col min="260" max="498" width="10.375" style="1"/>
    <col min="499" max="499" width="33.25" style="1" customWidth="1"/>
    <col min="500" max="504" width="10.375" style="1"/>
    <col min="505" max="505" width="13.625" style="1" customWidth="1"/>
    <col min="506" max="506" width="10.375" style="1"/>
    <col min="507" max="507" width="14.375" style="1" customWidth="1"/>
    <col min="508" max="508" width="10.375" style="1"/>
    <col min="509" max="509" width="11.625" style="1" bestFit="1" customWidth="1"/>
    <col min="510" max="512" width="10.375" style="1"/>
    <col min="513" max="513" width="12.875" style="1" customWidth="1"/>
    <col min="514" max="514" width="10.375" style="1"/>
    <col min="515" max="515" width="13" style="1" customWidth="1"/>
    <col min="516" max="754" width="10.375" style="1"/>
    <col min="755" max="755" width="33.25" style="1" customWidth="1"/>
    <col min="756" max="760" width="10.375" style="1"/>
    <col min="761" max="761" width="13.625" style="1" customWidth="1"/>
    <col min="762" max="762" width="10.375" style="1"/>
    <col min="763" max="763" width="14.375" style="1" customWidth="1"/>
    <col min="764" max="764" width="10.375" style="1"/>
    <col min="765" max="765" width="11.625" style="1" bestFit="1" customWidth="1"/>
    <col min="766" max="768" width="10.375" style="1"/>
    <col min="769" max="769" width="12.875" style="1" customWidth="1"/>
    <col min="770" max="770" width="10.375" style="1"/>
    <col min="771" max="771" width="13" style="1" customWidth="1"/>
    <col min="772" max="1010" width="10.375" style="1"/>
    <col min="1011" max="1011" width="33.25" style="1" customWidth="1"/>
    <col min="1012" max="1016" width="10.375" style="1"/>
    <col min="1017" max="1017" width="13.625" style="1" customWidth="1"/>
    <col min="1018" max="1018" width="10.375" style="1"/>
    <col min="1019" max="1019" width="14.375" style="1" customWidth="1"/>
    <col min="1020" max="1020" width="10.375" style="1"/>
    <col min="1021" max="1021" width="11.625" style="1" bestFit="1" customWidth="1"/>
    <col min="1022" max="1024" width="10.375" style="1"/>
    <col min="1025" max="1025" width="12.875" style="1" customWidth="1"/>
    <col min="1026" max="1026" width="10.375" style="1"/>
    <col min="1027" max="1027" width="13" style="1" customWidth="1"/>
    <col min="1028" max="1266" width="10.375" style="1"/>
    <col min="1267" max="1267" width="33.25" style="1" customWidth="1"/>
    <col min="1268" max="1272" width="10.375" style="1"/>
    <col min="1273" max="1273" width="13.625" style="1" customWidth="1"/>
    <col min="1274" max="1274" width="10.375" style="1"/>
    <col min="1275" max="1275" width="14.375" style="1" customWidth="1"/>
    <col min="1276" max="1276" width="10.375" style="1"/>
    <col min="1277" max="1277" width="11.625" style="1" bestFit="1" customWidth="1"/>
    <col min="1278" max="1280" width="10.375" style="1"/>
    <col min="1281" max="1281" width="12.875" style="1" customWidth="1"/>
    <col min="1282" max="1282" width="10.375" style="1"/>
    <col min="1283" max="1283" width="13" style="1" customWidth="1"/>
    <col min="1284" max="1522" width="10.375" style="1"/>
    <col min="1523" max="1523" width="33.25" style="1" customWidth="1"/>
    <col min="1524" max="1528" width="10.375" style="1"/>
    <col min="1529" max="1529" width="13.625" style="1" customWidth="1"/>
    <col min="1530" max="1530" width="10.375" style="1"/>
    <col min="1531" max="1531" width="14.375" style="1" customWidth="1"/>
    <col min="1532" max="1532" width="10.375" style="1"/>
    <col min="1533" max="1533" width="11.625" style="1" bestFit="1" customWidth="1"/>
    <col min="1534" max="1536" width="10.375" style="1"/>
    <col min="1537" max="1537" width="12.875" style="1" customWidth="1"/>
    <col min="1538" max="1538" width="10.375" style="1"/>
    <col min="1539" max="1539" width="13" style="1" customWidth="1"/>
    <col min="1540" max="1778" width="10.375" style="1"/>
    <col min="1779" max="1779" width="33.25" style="1" customWidth="1"/>
    <col min="1780" max="1784" width="10.375" style="1"/>
    <col min="1785" max="1785" width="13.625" style="1" customWidth="1"/>
    <col min="1786" max="1786" width="10.375" style="1"/>
    <col min="1787" max="1787" width="14.375" style="1" customWidth="1"/>
    <col min="1788" max="1788" width="10.375" style="1"/>
    <col min="1789" max="1789" width="11.625" style="1" bestFit="1" customWidth="1"/>
    <col min="1790" max="1792" width="10.375" style="1"/>
    <col min="1793" max="1793" width="12.875" style="1" customWidth="1"/>
    <col min="1794" max="1794" width="10.375" style="1"/>
    <col min="1795" max="1795" width="13" style="1" customWidth="1"/>
    <col min="1796" max="2034" width="10.375" style="1"/>
    <col min="2035" max="2035" width="33.25" style="1" customWidth="1"/>
    <col min="2036" max="2040" width="10.375" style="1"/>
    <col min="2041" max="2041" width="13.625" style="1" customWidth="1"/>
    <col min="2042" max="2042" width="10.375" style="1"/>
    <col min="2043" max="2043" width="14.375" style="1" customWidth="1"/>
    <col min="2044" max="2044" width="10.375" style="1"/>
    <col min="2045" max="2045" width="11.625" style="1" bestFit="1" customWidth="1"/>
    <col min="2046" max="2048" width="10.375" style="1"/>
    <col min="2049" max="2049" width="12.875" style="1" customWidth="1"/>
    <col min="2050" max="2050" width="10.375" style="1"/>
    <col min="2051" max="2051" width="13" style="1" customWidth="1"/>
    <col min="2052" max="2290" width="10.375" style="1"/>
    <col min="2291" max="2291" width="33.25" style="1" customWidth="1"/>
    <col min="2292" max="2296" width="10.375" style="1"/>
    <col min="2297" max="2297" width="13.625" style="1" customWidth="1"/>
    <col min="2298" max="2298" width="10.375" style="1"/>
    <col min="2299" max="2299" width="14.375" style="1" customWidth="1"/>
    <col min="2300" max="2300" width="10.375" style="1"/>
    <col min="2301" max="2301" width="11.625" style="1" bestFit="1" customWidth="1"/>
    <col min="2302" max="2304" width="10.375" style="1"/>
    <col min="2305" max="2305" width="12.875" style="1" customWidth="1"/>
    <col min="2306" max="2306" width="10.375" style="1"/>
    <col min="2307" max="2307" width="13" style="1" customWidth="1"/>
    <col min="2308" max="2546" width="10.375" style="1"/>
    <col min="2547" max="2547" width="33.25" style="1" customWidth="1"/>
    <col min="2548" max="2552" width="10.375" style="1"/>
    <col min="2553" max="2553" width="13.625" style="1" customWidth="1"/>
    <col min="2554" max="2554" width="10.375" style="1"/>
    <col min="2555" max="2555" width="14.375" style="1" customWidth="1"/>
    <col min="2556" max="2556" width="10.375" style="1"/>
    <col min="2557" max="2557" width="11.625" style="1" bestFit="1" customWidth="1"/>
    <col min="2558" max="2560" width="10.375" style="1"/>
    <col min="2561" max="2561" width="12.875" style="1" customWidth="1"/>
    <col min="2562" max="2562" width="10.375" style="1"/>
    <col min="2563" max="2563" width="13" style="1" customWidth="1"/>
    <col min="2564" max="2802" width="10.375" style="1"/>
    <col min="2803" max="2803" width="33.25" style="1" customWidth="1"/>
    <col min="2804" max="2808" width="10.375" style="1"/>
    <col min="2809" max="2809" width="13.625" style="1" customWidth="1"/>
    <col min="2810" max="2810" width="10.375" style="1"/>
    <col min="2811" max="2811" width="14.375" style="1" customWidth="1"/>
    <col min="2812" max="2812" width="10.375" style="1"/>
    <col min="2813" max="2813" width="11.625" style="1" bestFit="1" customWidth="1"/>
    <col min="2814" max="2816" width="10.375" style="1"/>
    <col min="2817" max="2817" width="12.875" style="1" customWidth="1"/>
    <col min="2818" max="2818" width="10.375" style="1"/>
    <col min="2819" max="2819" width="13" style="1" customWidth="1"/>
    <col min="2820" max="3058" width="10.375" style="1"/>
    <col min="3059" max="3059" width="33.25" style="1" customWidth="1"/>
    <col min="3060" max="3064" width="10.375" style="1"/>
    <col min="3065" max="3065" width="13.625" style="1" customWidth="1"/>
    <col min="3066" max="3066" width="10.375" style="1"/>
    <col min="3067" max="3067" width="14.375" style="1" customWidth="1"/>
    <col min="3068" max="3068" width="10.375" style="1"/>
    <col min="3069" max="3069" width="11.625" style="1" bestFit="1" customWidth="1"/>
    <col min="3070" max="3072" width="10.375" style="1"/>
    <col min="3073" max="3073" width="12.875" style="1" customWidth="1"/>
    <col min="3074" max="3074" width="10.375" style="1"/>
    <col min="3075" max="3075" width="13" style="1" customWidth="1"/>
    <col min="3076" max="3314" width="10.375" style="1"/>
    <col min="3315" max="3315" width="33.25" style="1" customWidth="1"/>
    <col min="3316" max="3320" width="10.375" style="1"/>
    <col min="3321" max="3321" width="13.625" style="1" customWidth="1"/>
    <col min="3322" max="3322" width="10.375" style="1"/>
    <col min="3323" max="3323" width="14.375" style="1" customWidth="1"/>
    <col min="3324" max="3324" width="10.375" style="1"/>
    <col min="3325" max="3325" width="11.625" style="1" bestFit="1" customWidth="1"/>
    <col min="3326" max="3328" width="10.375" style="1"/>
    <col min="3329" max="3329" width="12.875" style="1" customWidth="1"/>
    <col min="3330" max="3330" width="10.375" style="1"/>
    <col min="3331" max="3331" width="13" style="1" customWidth="1"/>
    <col min="3332" max="3570" width="10.375" style="1"/>
    <col min="3571" max="3571" width="33.25" style="1" customWidth="1"/>
    <col min="3572" max="3576" width="10.375" style="1"/>
    <col min="3577" max="3577" width="13.625" style="1" customWidth="1"/>
    <col min="3578" max="3578" width="10.375" style="1"/>
    <col min="3579" max="3579" width="14.375" style="1" customWidth="1"/>
    <col min="3580" max="3580" width="10.375" style="1"/>
    <col min="3581" max="3581" width="11.625" style="1" bestFit="1" customWidth="1"/>
    <col min="3582" max="3584" width="10.375" style="1"/>
    <col min="3585" max="3585" width="12.875" style="1" customWidth="1"/>
    <col min="3586" max="3586" width="10.375" style="1"/>
    <col min="3587" max="3587" width="13" style="1" customWidth="1"/>
    <col min="3588" max="3826" width="10.375" style="1"/>
    <col min="3827" max="3827" width="33.25" style="1" customWidth="1"/>
    <col min="3828" max="3832" width="10.375" style="1"/>
    <col min="3833" max="3833" width="13.625" style="1" customWidth="1"/>
    <col min="3834" max="3834" width="10.375" style="1"/>
    <col min="3835" max="3835" width="14.375" style="1" customWidth="1"/>
    <col min="3836" max="3836" width="10.375" style="1"/>
    <col min="3837" max="3837" width="11.625" style="1" bestFit="1" customWidth="1"/>
    <col min="3838" max="3840" width="10.375" style="1"/>
    <col min="3841" max="3841" width="12.875" style="1" customWidth="1"/>
    <col min="3842" max="3842" width="10.375" style="1"/>
    <col min="3843" max="3843" width="13" style="1" customWidth="1"/>
    <col min="3844" max="4082" width="10.375" style="1"/>
    <col min="4083" max="4083" width="33.25" style="1" customWidth="1"/>
    <col min="4084" max="4088" width="10.375" style="1"/>
    <col min="4089" max="4089" width="13.625" style="1" customWidth="1"/>
    <col min="4090" max="4090" width="10.375" style="1"/>
    <col min="4091" max="4091" width="14.375" style="1" customWidth="1"/>
    <col min="4092" max="4092" width="10.375" style="1"/>
    <col min="4093" max="4093" width="11.625" style="1" bestFit="1" customWidth="1"/>
    <col min="4094" max="4096" width="10.375" style="1"/>
    <col min="4097" max="4097" width="12.875" style="1" customWidth="1"/>
    <col min="4098" max="4098" width="10.375" style="1"/>
    <col min="4099" max="4099" width="13" style="1" customWidth="1"/>
    <col min="4100" max="4338" width="10.375" style="1"/>
    <col min="4339" max="4339" width="33.25" style="1" customWidth="1"/>
    <col min="4340" max="4344" width="10.375" style="1"/>
    <col min="4345" max="4345" width="13.625" style="1" customWidth="1"/>
    <col min="4346" max="4346" width="10.375" style="1"/>
    <col min="4347" max="4347" width="14.375" style="1" customWidth="1"/>
    <col min="4348" max="4348" width="10.375" style="1"/>
    <col min="4349" max="4349" width="11.625" style="1" bestFit="1" customWidth="1"/>
    <col min="4350" max="4352" width="10.375" style="1"/>
    <col min="4353" max="4353" width="12.875" style="1" customWidth="1"/>
    <col min="4354" max="4354" width="10.375" style="1"/>
    <col min="4355" max="4355" width="13" style="1" customWidth="1"/>
    <col min="4356" max="4594" width="10.375" style="1"/>
    <col min="4595" max="4595" width="33.25" style="1" customWidth="1"/>
    <col min="4596" max="4600" width="10.375" style="1"/>
    <col min="4601" max="4601" width="13.625" style="1" customWidth="1"/>
    <col min="4602" max="4602" width="10.375" style="1"/>
    <col min="4603" max="4603" width="14.375" style="1" customWidth="1"/>
    <col min="4604" max="4604" width="10.375" style="1"/>
    <col min="4605" max="4605" width="11.625" style="1" bestFit="1" customWidth="1"/>
    <col min="4606" max="4608" width="10.375" style="1"/>
    <col min="4609" max="4609" width="12.875" style="1" customWidth="1"/>
    <col min="4610" max="4610" width="10.375" style="1"/>
    <col min="4611" max="4611" width="13" style="1" customWidth="1"/>
    <col min="4612" max="4850" width="10.375" style="1"/>
    <col min="4851" max="4851" width="33.25" style="1" customWidth="1"/>
    <col min="4852" max="4856" width="10.375" style="1"/>
    <col min="4857" max="4857" width="13.625" style="1" customWidth="1"/>
    <col min="4858" max="4858" width="10.375" style="1"/>
    <col min="4859" max="4859" width="14.375" style="1" customWidth="1"/>
    <col min="4860" max="4860" width="10.375" style="1"/>
    <col min="4861" max="4861" width="11.625" style="1" bestFit="1" customWidth="1"/>
    <col min="4862" max="4864" width="10.375" style="1"/>
    <col min="4865" max="4865" width="12.875" style="1" customWidth="1"/>
    <col min="4866" max="4866" width="10.375" style="1"/>
    <col min="4867" max="4867" width="13" style="1" customWidth="1"/>
    <col min="4868" max="5106" width="10.375" style="1"/>
    <col min="5107" max="5107" width="33.25" style="1" customWidth="1"/>
    <col min="5108" max="5112" width="10.375" style="1"/>
    <col min="5113" max="5113" width="13.625" style="1" customWidth="1"/>
    <col min="5114" max="5114" width="10.375" style="1"/>
    <col min="5115" max="5115" width="14.375" style="1" customWidth="1"/>
    <col min="5116" max="5116" width="10.375" style="1"/>
    <col min="5117" max="5117" width="11.625" style="1" bestFit="1" customWidth="1"/>
    <col min="5118" max="5120" width="10.375" style="1"/>
    <col min="5121" max="5121" width="12.875" style="1" customWidth="1"/>
    <col min="5122" max="5122" width="10.375" style="1"/>
    <col min="5123" max="5123" width="13" style="1" customWidth="1"/>
    <col min="5124" max="5362" width="10.375" style="1"/>
    <col min="5363" max="5363" width="33.25" style="1" customWidth="1"/>
    <col min="5364" max="5368" width="10.375" style="1"/>
    <col min="5369" max="5369" width="13.625" style="1" customWidth="1"/>
    <col min="5370" max="5370" width="10.375" style="1"/>
    <col min="5371" max="5371" width="14.375" style="1" customWidth="1"/>
    <col min="5372" max="5372" width="10.375" style="1"/>
    <col min="5373" max="5373" width="11.625" style="1" bestFit="1" customWidth="1"/>
    <col min="5374" max="5376" width="10.375" style="1"/>
    <col min="5377" max="5377" width="12.875" style="1" customWidth="1"/>
    <col min="5378" max="5378" width="10.375" style="1"/>
    <col min="5379" max="5379" width="13" style="1" customWidth="1"/>
    <col min="5380" max="5618" width="10.375" style="1"/>
    <col min="5619" max="5619" width="33.25" style="1" customWidth="1"/>
    <col min="5620" max="5624" width="10.375" style="1"/>
    <col min="5625" max="5625" width="13.625" style="1" customWidth="1"/>
    <col min="5626" max="5626" width="10.375" style="1"/>
    <col min="5627" max="5627" width="14.375" style="1" customWidth="1"/>
    <col min="5628" max="5628" width="10.375" style="1"/>
    <col min="5629" max="5629" width="11.625" style="1" bestFit="1" customWidth="1"/>
    <col min="5630" max="5632" width="10.375" style="1"/>
    <col min="5633" max="5633" width="12.875" style="1" customWidth="1"/>
    <col min="5634" max="5634" width="10.375" style="1"/>
    <col min="5635" max="5635" width="13" style="1" customWidth="1"/>
    <col min="5636" max="5874" width="10.375" style="1"/>
    <col min="5875" max="5875" width="33.25" style="1" customWidth="1"/>
    <col min="5876" max="5880" width="10.375" style="1"/>
    <col min="5881" max="5881" width="13.625" style="1" customWidth="1"/>
    <col min="5882" max="5882" width="10.375" style="1"/>
    <col min="5883" max="5883" width="14.375" style="1" customWidth="1"/>
    <col min="5884" max="5884" width="10.375" style="1"/>
    <col min="5885" max="5885" width="11.625" style="1" bestFit="1" customWidth="1"/>
    <col min="5886" max="5888" width="10.375" style="1"/>
    <col min="5889" max="5889" width="12.875" style="1" customWidth="1"/>
    <col min="5890" max="5890" width="10.375" style="1"/>
    <col min="5891" max="5891" width="13" style="1" customWidth="1"/>
    <col min="5892" max="6130" width="10.375" style="1"/>
    <col min="6131" max="6131" width="33.25" style="1" customWidth="1"/>
    <col min="6132" max="6136" width="10.375" style="1"/>
    <col min="6137" max="6137" width="13.625" style="1" customWidth="1"/>
    <col min="6138" max="6138" width="10.375" style="1"/>
    <col min="6139" max="6139" width="14.375" style="1" customWidth="1"/>
    <col min="6140" max="6140" width="10.375" style="1"/>
    <col min="6141" max="6141" width="11.625" style="1" bestFit="1" customWidth="1"/>
    <col min="6142" max="6144" width="10.375" style="1"/>
    <col min="6145" max="6145" width="12.875" style="1" customWidth="1"/>
    <col min="6146" max="6146" width="10.375" style="1"/>
    <col min="6147" max="6147" width="13" style="1" customWidth="1"/>
    <col min="6148" max="6386" width="10.375" style="1"/>
    <col min="6387" max="6387" width="33.25" style="1" customWidth="1"/>
    <col min="6388" max="6392" width="10.375" style="1"/>
    <col min="6393" max="6393" width="13.625" style="1" customWidth="1"/>
    <col min="6394" max="6394" width="10.375" style="1"/>
    <col min="6395" max="6395" width="14.375" style="1" customWidth="1"/>
    <col min="6396" max="6396" width="10.375" style="1"/>
    <col min="6397" max="6397" width="11.625" style="1" bestFit="1" customWidth="1"/>
    <col min="6398" max="6400" width="10.375" style="1"/>
    <col min="6401" max="6401" width="12.875" style="1" customWidth="1"/>
    <col min="6402" max="6402" width="10.375" style="1"/>
    <col min="6403" max="6403" width="13" style="1" customWidth="1"/>
    <col min="6404" max="6642" width="10.375" style="1"/>
    <col min="6643" max="6643" width="33.25" style="1" customWidth="1"/>
    <col min="6644" max="6648" width="10.375" style="1"/>
    <col min="6649" max="6649" width="13.625" style="1" customWidth="1"/>
    <col min="6650" max="6650" width="10.375" style="1"/>
    <col min="6651" max="6651" width="14.375" style="1" customWidth="1"/>
    <col min="6652" max="6652" width="10.375" style="1"/>
    <col min="6653" max="6653" width="11.625" style="1" bestFit="1" customWidth="1"/>
    <col min="6654" max="6656" width="10.375" style="1"/>
    <col min="6657" max="6657" width="12.875" style="1" customWidth="1"/>
    <col min="6658" max="6658" width="10.375" style="1"/>
    <col min="6659" max="6659" width="13" style="1" customWidth="1"/>
    <col min="6660" max="6898" width="10.375" style="1"/>
    <col min="6899" max="6899" width="33.25" style="1" customWidth="1"/>
    <col min="6900" max="6904" width="10.375" style="1"/>
    <col min="6905" max="6905" width="13.625" style="1" customWidth="1"/>
    <col min="6906" max="6906" width="10.375" style="1"/>
    <col min="6907" max="6907" width="14.375" style="1" customWidth="1"/>
    <col min="6908" max="6908" width="10.375" style="1"/>
    <col min="6909" max="6909" width="11.625" style="1" bestFit="1" customWidth="1"/>
    <col min="6910" max="6912" width="10.375" style="1"/>
    <col min="6913" max="6913" width="12.875" style="1" customWidth="1"/>
    <col min="6914" max="6914" width="10.375" style="1"/>
    <col min="6915" max="6915" width="13" style="1" customWidth="1"/>
    <col min="6916" max="7154" width="10.375" style="1"/>
    <col min="7155" max="7155" width="33.25" style="1" customWidth="1"/>
    <col min="7156" max="7160" width="10.375" style="1"/>
    <col min="7161" max="7161" width="13.625" style="1" customWidth="1"/>
    <col min="7162" max="7162" width="10.375" style="1"/>
    <col min="7163" max="7163" width="14.375" style="1" customWidth="1"/>
    <col min="7164" max="7164" width="10.375" style="1"/>
    <col min="7165" max="7165" width="11.625" style="1" bestFit="1" customWidth="1"/>
    <col min="7166" max="7168" width="10.375" style="1"/>
    <col min="7169" max="7169" width="12.875" style="1" customWidth="1"/>
    <col min="7170" max="7170" width="10.375" style="1"/>
    <col min="7171" max="7171" width="13" style="1" customWidth="1"/>
    <col min="7172" max="7410" width="10.375" style="1"/>
    <col min="7411" max="7411" width="33.25" style="1" customWidth="1"/>
    <col min="7412" max="7416" width="10.375" style="1"/>
    <col min="7417" max="7417" width="13.625" style="1" customWidth="1"/>
    <col min="7418" max="7418" width="10.375" style="1"/>
    <col min="7419" max="7419" width="14.375" style="1" customWidth="1"/>
    <col min="7420" max="7420" width="10.375" style="1"/>
    <col min="7421" max="7421" width="11.625" style="1" bestFit="1" customWidth="1"/>
    <col min="7422" max="7424" width="10.375" style="1"/>
    <col min="7425" max="7425" width="12.875" style="1" customWidth="1"/>
    <col min="7426" max="7426" width="10.375" style="1"/>
    <col min="7427" max="7427" width="13" style="1" customWidth="1"/>
    <col min="7428" max="7666" width="10.375" style="1"/>
    <col min="7667" max="7667" width="33.25" style="1" customWidth="1"/>
    <col min="7668" max="7672" width="10.375" style="1"/>
    <col min="7673" max="7673" width="13.625" style="1" customWidth="1"/>
    <col min="7674" max="7674" width="10.375" style="1"/>
    <col min="7675" max="7675" width="14.375" style="1" customWidth="1"/>
    <col min="7676" max="7676" width="10.375" style="1"/>
    <col min="7677" max="7677" width="11.625" style="1" bestFit="1" customWidth="1"/>
    <col min="7678" max="7680" width="10.375" style="1"/>
    <col min="7681" max="7681" width="12.875" style="1" customWidth="1"/>
    <col min="7682" max="7682" width="10.375" style="1"/>
    <col min="7683" max="7683" width="13" style="1" customWidth="1"/>
    <col min="7684" max="7922" width="10.375" style="1"/>
    <col min="7923" max="7923" width="33.25" style="1" customWidth="1"/>
    <col min="7924" max="7928" width="10.375" style="1"/>
    <col min="7929" max="7929" width="13.625" style="1" customWidth="1"/>
    <col min="7930" max="7930" width="10.375" style="1"/>
    <col min="7931" max="7931" width="14.375" style="1" customWidth="1"/>
    <col min="7932" max="7932" width="10.375" style="1"/>
    <col min="7933" max="7933" width="11.625" style="1" bestFit="1" customWidth="1"/>
    <col min="7934" max="7936" width="10.375" style="1"/>
    <col min="7937" max="7937" width="12.875" style="1" customWidth="1"/>
    <col min="7938" max="7938" width="10.375" style="1"/>
    <col min="7939" max="7939" width="13" style="1" customWidth="1"/>
    <col min="7940" max="8178" width="10.375" style="1"/>
    <col min="8179" max="8179" width="33.25" style="1" customWidth="1"/>
    <col min="8180" max="8184" width="10.375" style="1"/>
    <col min="8185" max="8185" width="13.625" style="1" customWidth="1"/>
    <col min="8186" max="8186" width="10.375" style="1"/>
    <col min="8187" max="8187" width="14.375" style="1" customWidth="1"/>
    <col min="8188" max="8188" width="10.375" style="1"/>
    <col min="8189" max="8189" width="11.625" style="1" bestFit="1" customWidth="1"/>
    <col min="8190" max="8192" width="10.375" style="1"/>
    <col min="8193" max="8193" width="12.875" style="1" customWidth="1"/>
    <col min="8194" max="8194" width="10.375" style="1"/>
    <col min="8195" max="8195" width="13" style="1" customWidth="1"/>
    <col min="8196" max="8434" width="10.375" style="1"/>
    <col min="8435" max="8435" width="33.25" style="1" customWidth="1"/>
    <col min="8436" max="8440" width="10.375" style="1"/>
    <col min="8441" max="8441" width="13.625" style="1" customWidth="1"/>
    <col min="8442" max="8442" width="10.375" style="1"/>
    <col min="8443" max="8443" width="14.375" style="1" customWidth="1"/>
    <col min="8444" max="8444" width="10.375" style="1"/>
    <col min="8445" max="8445" width="11.625" style="1" bestFit="1" customWidth="1"/>
    <col min="8446" max="8448" width="10.375" style="1"/>
    <col min="8449" max="8449" width="12.875" style="1" customWidth="1"/>
    <col min="8450" max="8450" width="10.375" style="1"/>
    <col min="8451" max="8451" width="13" style="1" customWidth="1"/>
    <col min="8452" max="8690" width="10.375" style="1"/>
    <col min="8691" max="8691" width="33.25" style="1" customWidth="1"/>
    <col min="8692" max="8696" width="10.375" style="1"/>
    <col min="8697" max="8697" width="13.625" style="1" customWidth="1"/>
    <col min="8698" max="8698" width="10.375" style="1"/>
    <col min="8699" max="8699" width="14.375" style="1" customWidth="1"/>
    <col min="8700" max="8700" width="10.375" style="1"/>
    <col min="8701" max="8701" width="11.625" style="1" bestFit="1" customWidth="1"/>
    <col min="8702" max="8704" width="10.375" style="1"/>
    <col min="8705" max="8705" width="12.875" style="1" customWidth="1"/>
    <col min="8706" max="8706" width="10.375" style="1"/>
    <col min="8707" max="8707" width="13" style="1" customWidth="1"/>
    <col min="8708" max="8946" width="10.375" style="1"/>
    <col min="8947" max="8947" width="33.25" style="1" customWidth="1"/>
    <col min="8948" max="8952" width="10.375" style="1"/>
    <col min="8953" max="8953" width="13.625" style="1" customWidth="1"/>
    <col min="8954" max="8954" width="10.375" style="1"/>
    <col min="8955" max="8955" width="14.375" style="1" customWidth="1"/>
    <col min="8956" max="8956" width="10.375" style="1"/>
    <col min="8957" max="8957" width="11.625" style="1" bestFit="1" customWidth="1"/>
    <col min="8958" max="8960" width="10.375" style="1"/>
    <col min="8961" max="8961" width="12.875" style="1" customWidth="1"/>
    <col min="8962" max="8962" width="10.375" style="1"/>
    <col min="8963" max="8963" width="13" style="1" customWidth="1"/>
    <col min="8964" max="9202" width="10.375" style="1"/>
    <col min="9203" max="9203" width="33.25" style="1" customWidth="1"/>
    <col min="9204" max="9208" width="10.375" style="1"/>
    <col min="9209" max="9209" width="13.625" style="1" customWidth="1"/>
    <col min="9210" max="9210" width="10.375" style="1"/>
    <col min="9211" max="9211" width="14.375" style="1" customWidth="1"/>
    <col min="9212" max="9212" width="10.375" style="1"/>
    <col min="9213" max="9213" width="11.625" style="1" bestFit="1" customWidth="1"/>
    <col min="9214" max="9216" width="10.375" style="1"/>
    <col min="9217" max="9217" width="12.875" style="1" customWidth="1"/>
    <col min="9218" max="9218" width="10.375" style="1"/>
    <col min="9219" max="9219" width="13" style="1" customWidth="1"/>
    <col min="9220" max="9458" width="10.375" style="1"/>
    <col min="9459" max="9459" width="33.25" style="1" customWidth="1"/>
    <col min="9460" max="9464" width="10.375" style="1"/>
    <col min="9465" max="9465" width="13.625" style="1" customWidth="1"/>
    <col min="9466" max="9466" width="10.375" style="1"/>
    <col min="9467" max="9467" width="14.375" style="1" customWidth="1"/>
    <col min="9468" max="9468" width="10.375" style="1"/>
    <col min="9469" max="9469" width="11.625" style="1" bestFit="1" customWidth="1"/>
    <col min="9470" max="9472" width="10.375" style="1"/>
    <col min="9473" max="9473" width="12.875" style="1" customWidth="1"/>
    <col min="9474" max="9474" width="10.375" style="1"/>
    <col min="9475" max="9475" width="13" style="1" customWidth="1"/>
    <col min="9476" max="9714" width="10.375" style="1"/>
    <col min="9715" max="9715" width="33.25" style="1" customWidth="1"/>
    <col min="9716" max="9720" width="10.375" style="1"/>
    <col min="9721" max="9721" width="13.625" style="1" customWidth="1"/>
    <col min="9722" max="9722" width="10.375" style="1"/>
    <col min="9723" max="9723" width="14.375" style="1" customWidth="1"/>
    <col min="9724" max="9724" width="10.375" style="1"/>
    <col min="9725" max="9725" width="11.625" style="1" bestFit="1" customWidth="1"/>
    <col min="9726" max="9728" width="10.375" style="1"/>
    <col min="9729" max="9729" width="12.875" style="1" customWidth="1"/>
    <col min="9730" max="9730" width="10.375" style="1"/>
    <col min="9731" max="9731" width="13" style="1" customWidth="1"/>
    <col min="9732" max="9970" width="10.375" style="1"/>
    <col min="9971" max="9971" width="33.25" style="1" customWidth="1"/>
    <col min="9972" max="9976" width="10.375" style="1"/>
    <col min="9977" max="9977" width="13.625" style="1" customWidth="1"/>
    <col min="9978" max="9978" width="10.375" style="1"/>
    <col min="9979" max="9979" width="14.375" style="1" customWidth="1"/>
    <col min="9980" max="9980" width="10.375" style="1"/>
    <col min="9981" max="9981" width="11.625" style="1" bestFit="1" customWidth="1"/>
    <col min="9982" max="9984" width="10.375" style="1"/>
    <col min="9985" max="9985" width="12.875" style="1" customWidth="1"/>
    <col min="9986" max="9986" width="10.375" style="1"/>
    <col min="9987" max="9987" width="13" style="1" customWidth="1"/>
    <col min="9988" max="10226" width="10.375" style="1"/>
    <col min="10227" max="10227" width="33.25" style="1" customWidth="1"/>
    <col min="10228" max="10232" width="10.375" style="1"/>
    <col min="10233" max="10233" width="13.625" style="1" customWidth="1"/>
    <col min="10234" max="10234" width="10.375" style="1"/>
    <col min="10235" max="10235" width="14.375" style="1" customWidth="1"/>
    <col min="10236" max="10236" width="10.375" style="1"/>
    <col min="10237" max="10237" width="11.625" style="1" bestFit="1" customWidth="1"/>
    <col min="10238" max="10240" width="10.375" style="1"/>
    <col min="10241" max="10241" width="12.875" style="1" customWidth="1"/>
    <col min="10242" max="10242" width="10.375" style="1"/>
    <col min="10243" max="10243" width="13" style="1" customWidth="1"/>
    <col min="10244" max="10482" width="10.375" style="1"/>
    <col min="10483" max="10483" width="33.25" style="1" customWidth="1"/>
    <col min="10484" max="10488" width="10.375" style="1"/>
    <col min="10489" max="10489" width="13.625" style="1" customWidth="1"/>
    <col min="10490" max="10490" width="10.375" style="1"/>
    <col min="10491" max="10491" width="14.375" style="1" customWidth="1"/>
    <col min="10492" max="10492" width="10.375" style="1"/>
    <col min="10493" max="10493" width="11.625" style="1" bestFit="1" customWidth="1"/>
    <col min="10494" max="10496" width="10.375" style="1"/>
    <col min="10497" max="10497" width="12.875" style="1" customWidth="1"/>
    <col min="10498" max="10498" width="10.375" style="1"/>
    <col min="10499" max="10499" width="13" style="1" customWidth="1"/>
    <col min="10500" max="10738" width="10.375" style="1"/>
    <col min="10739" max="10739" width="33.25" style="1" customWidth="1"/>
    <col min="10740" max="10744" width="10.375" style="1"/>
    <col min="10745" max="10745" width="13.625" style="1" customWidth="1"/>
    <col min="10746" max="10746" width="10.375" style="1"/>
    <col min="10747" max="10747" width="14.375" style="1" customWidth="1"/>
    <col min="10748" max="10748" width="10.375" style="1"/>
    <col min="10749" max="10749" width="11.625" style="1" bestFit="1" customWidth="1"/>
    <col min="10750" max="10752" width="10.375" style="1"/>
    <col min="10753" max="10753" width="12.875" style="1" customWidth="1"/>
    <col min="10754" max="10754" width="10.375" style="1"/>
    <col min="10755" max="10755" width="13" style="1" customWidth="1"/>
    <col min="10756" max="10994" width="10.375" style="1"/>
    <col min="10995" max="10995" width="33.25" style="1" customWidth="1"/>
    <col min="10996" max="11000" width="10.375" style="1"/>
    <col min="11001" max="11001" width="13.625" style="1" customWidth="1"/>
    <col min="11002" max="11002" width="10.375" style="1"/>
    <col min="11003" max="11003" width="14.375" style="1" customWidth="1"/>
    <col min="11004" max="11004" width="10.375" style="1"/>
    <col min="11005" max="11005" width="11.625" style="1" bestFit="1" customWidth="1"/>
    <col min="11006" max="11008" width="10.375" style="1"/>
    <col min="11009" max="11009" width="12.875" style="1" customWidth="1"/>
    <col min="11010" max="11010" width="10.375" style="1"/>
    <col min="11011" max="11011" width="13" style="1" customWidth="1"/>
    <col min="11012" max="11250" width="10.375" style="1"/>
    <col min="11251" max="11251" width="33.25" style="1" customWidth="1"/>
    <col min="11252" max="11256" width="10.375" style="1"/>
    <col min="11257" max="11257" width="13.625" style="1" customWidth="1"/>
    <col min="11258" max="11258" width="10.375" style="1"/>
    <col min="11259" max="11259" width="14.375" style="1" customWidth="1"/>
    <col min="11260" max="11260" width="10.375" style="1"/>
    <col min="11261" max="11261" width="11.625" style="1" bestFit="1" customWidth="1"/>
    <col min="11262" max="11264" width="10.375" style="1"/>
    <col min="11265" max="11265" width="12.875" style="1" customWidth="1"/>
    <col min="11266" max="11266" width="10.375" style="1"/>
    <col min="11267" max="11267" width="13" style="1" customWidth="1"/>
    <col min="11268" max="11506" width="10.375" style="1"/>
    <col min="11507" max="11507" width="33.25" style="1" customWidth="1"/>
    <col min="11508" max="11512" width="10.375" style="1"/>
    <col min="11513" max="11513" width="13.625" style="1" customWidth="1"/>
    <col min="11514" max="11514" width="10.375" style="1"/>
    <col min="11515" max="11515" width="14.375" style="1" customWidth="1"/>
    <col min="11516" max="11516" width="10.375" style="1"/>
    <col min="11517" max="11517" width="11.625" style="1" bestFit="1" customWidth="1"/>
    <col min="11518" max="11520" width="10.375" style="1"/>
    <col min="11521" max="11521" width="12.875" style="1" customWidth="1"/>
    <col min="11522" max="11522" width="10.375" style="1"/>
    <col min="11523" max="11523" width="13" style="1" customWidth="1"/>
    <col min="11524" max="11762" width="10.375" style="1"/>
    <col min="11763" max="11763" width="33.25" style="1" customWidth="1"/>
    <col min="11764" max="11768" width="10.375" style="1"/>
    <col min="11769" max="11769" width="13.625" style="1" customWidth="1"/>
    <col min="11770" max="11770" width="10.375" style="1"/>
    <col min="11771" max="11771" width="14.375" style="1" customWidth="1"/>
    <col min="11772" max="11772" width="10.375" style="1"/>
    <col min="11773" max="11773" width="11.625" style="1" bestFit="1" customWidth="1"/>
    <col min="11774" max="11776" width="10.375" style="1"/>
    <col min="11777" max="11777" width="12.875" style="1" customWidth="1"/>
    <col min="11778" max="11778" width="10.375" style="1"/>
    <col min="11779" max="11779" width="13" style="1" customWidth="1"/>
    <col min="11780" max="12018" width="10.375" style="1"/>
    <col min="12019" max="12019" width="33.25" style="1" customWidth="1"/>
    <col min="12020" max="12024" width="10.375" style="1"/>
    <col min="12025" max="12025" width="13.625" style="1" customWidth="1"/>
    <col min="12026" max="12026" width="10.375" style="1"/>
    <col min="12027" max="12027" width="14.375" style="1" customWidth="1"/>
    <col min="12028" max="12028" width="10.375" style="1"/>
    <col min="12029" max="12029" width="11.625" style="1" bestFit="1" customWidth="1"/>
    <col min="12030" max="12032" width="10.375" style="1"/>
    <col min="12033" max="12033" width="12.875" style="1" customWidth="1"/>
    <col min="12034" max="12034" width="10.375" style="1"/>
    <col min="12035" max="12035" width="13" style="1" customWidth="1"/>
    <col min="12036" max="12274" width="10.375" style="1"/>
    <col min="12275" max="12275" width="33.25" style="1" customWidth="1"/>
    <col min="12276" max="12280" width="10.375" style="1"/>
    <col min="12281" max="12281" width="13.625" style="1" customWidth="1"/>
    <col min="12282" max="12282" width="10.375" style="1"/>
    <col min="12283" max="12283" width="14.375" style="1" customWidth="1"/>
    <col min="12284" max="12284" width="10.375" style="1"/>
    <col min="12285" max="12285" width="11.625" style="1" bestFit="1" customWidth="1"/>
    <col min="12286" max="12288" width="10.375" style="1"/>
    <col min="12289" max="12289" width="12.875" style="1" customWidth="1"/>
    <col min="12290" max="12290" width="10.375" style="1"/>
    <col min="12291" max="12291" width="13" style="1" customWidth="1"/>
    <col min="12292" max="12530" width="10.375" style="1"/>
    <col min="12531" max="12531" width="33.25" style="1" customWidth="1"/>
    <col min="12532" max="12536" width="10.375" style="1"/>
    <col min="12537" max="12537" width="13.625" style="1" customWidth="1"/>
    <col min="12538" max="12538" width="10.375" style="1"/>
    <col min="12539" max="12539" width="14.375" style="1" customWidth="1"/>
    <col min="12540" max="12540" width="10.375" style="1"/>
    <col min="12541" max="12541" width="11.625" style="1" bestFit="1" customWidth="1"/>
    <col min="12542" max="12544" width="10.375" style="1"/>
    <col min="12545" max="12545" width="12.875" style="1" customWidth="1"/>
    <col min="12546" max="12546" width="10.375" style="1"/>
    <col min="12547" max="12547" width="13" style="1" customWidth="1"/>
    <col min="12548" max="12786" width="10.375" style="1"/>
    <col min="12787" max="12787" width="33.25" style="1" customWidth="1"/>
    <col min="12788" max="12792" width="10.375" style="1"/>
    <col min="12793" max="12793" width="13.625" style="1" customWidth="1"/>
    <col min="12794" max="12794" width="10.375" style="1"/>
    <col min="12795" max="12795" width="14.375" style="1" customWidth="1"/>
    <col min="12796" max="12796" width="10.375" style="1"/>
    <col min="12797" max="12797" width="11.625" style="1" bestFit="1" customWidth="1"/>
    <col min="12798" max="12800" width="10.375" style="1"/>
    <col min="12801" max="12801" width="12.875" style="1" customWidth="1"/>
    <col min="12802" max="12802" width="10.375" style="1"/>
    <col min="12803" max="12803" width="13" style="1" customWidth="1"/>
    <col min="12804" max="13042" width="10.375" style="1"/>
    <col min="13043" max="13043" width="33.25" style="1" customWidth="1"/>
    <col min="13044" max="13048" width="10.375" style="1"/>
    <col min="13049" max="13049" width="13.625" style="1" customWidth="1"/>
    <col min="13050" max="13050" width="10.375" style="1"/>
    <col min="13051" max="13051" width="14.375" style="1" customWidth="1"/>
    <col min="13052" max="13052" width="10.375" style="1"/>
    <col min="13053" max="13053" width="11.625" style="1" bestFit="1" customWidth="1"/>
    <col min="13054" max="13056" width="10.375" style="1"/>
    <col min="13057" max="13057" width="12.875" style="1" customWidth="1"/>
    <col min="13058" max="13058" width="10.375" style="1"/>
    <col min="13059" max="13059" width="13" style="1" customWidth="1"/>
    <col min="13060" max="13298" width="10.375" style="1"/>
    <col min="13299" max="13299" width="33.25" style="1" customWidth="1"/>
    <col min="13300" max="13304" width="10.375" style="1"/>
    <col min="13305" max="13305" width="13.625" style="1" customWidth="1"/>
    <col min="13306" max="13306" width="10.375" style="1"/>
    <col min="13307" max="13307" width="14.375" style="1" customWidth="1"/>
    <col min="13308" max="13308" width="10.375" style="1"/>
    <col min="13309" max="13309" width="11.625" style="1" bestFit="1" customWidth="1"/>
    <col min="13310" max="13312" width="10.375" style="1"/>
    <col min="13313" max="13313" width="12.875" style="1" customWidth="1"/>
    <col min="13314" max="13314" width="10.375" style="1"/>
    <col min="13315" max="13315" width="13" style="1" customWidth="1"/>
    <col min="13316" max="13554" width="10.375" style="1"/>
    <col min="13555" max="13555" width="33.25" style="1" customWidth="1"/>
    <col min="13556" max="13560" width="10.375" style="1"/>
    <col min="13561" max="13561" width="13.625" style="1" customWidth="1"/>
    <col min="13562" max="13562" width="10.375" style="1"/>
    <col min="13563" max="13563" width="14.375" style="1" customWidth="1"/>
    <col min="13564" max="13564" width="10.375" style="1"/>
    <col min="13565" max="13565" width="11.625" style="1" bestFit="1" customWidth="1"/>
    <col min="13566" max="13568" width="10.375" style="1"/>
    <col min="13569" max="13569" width="12.875" style="1" customWidth="1"/>
    <col min="13570" max="13570" width="10.375" style="1"/>
    <col min="13571" max="13571" width="13" style="1" customWidth="1"/>
    <col min="13572" max="13810" width="10.375" style="1"/>
    <col min="13811" max="13811" width="33.25" style="1" customWidth="1"/>
    <col min="13812" max="13816" width="10.375" style="1"/>
    <col min="13817" max="13817" width="13.625" style="1" customWidth="1"/>
    <col min="13818" max="13818" width="10.375" style="1"/>
    <col min="13819" max="13819" width="14.375" style="1" customWidth="1"/>
    <col min="13820" max="13820" width="10.375" style="1"/>
    <col min="13821" max="13821" width="11.625" style="1" bestFit="1" customWidth="1"/>
    <col min="13822" max="13824" width="10.375" style="1"/>
    <col min="13825" max="13825" width="12.875" style="1" customWidth="1"/>
    <col min="13826" max="13826" width="10.375" style="1"/>
    <col min="13827" max="13827" width="13" style="1" customWidth="1"/>
    <col min="13828" max="14066" width="10.375" style="1"/>
    <col min="14067" max="14067" width="33.25" style="1" customWidth="1"/>
    <col min="14068" max="14072" width="10.375" style="1"/>
    <col min="14073" max="14073" width="13.625" style="1" customWidth="1"/>
    <col min="14074" max="14074" width="10.375" style="1"/>
    <col min="14075" max="14075" width="14.375" style="1" customWidth="1"/>
    <col min="14076" max="14076" width="10.375" style="1"/>
    <col min="14077" max="14077" width="11.625" style="1" bestFit="1" customWidth="1"/>
    <col min="14078" max="14080" width="10.375" style="1"/>
    <col min="14081" max="14081" width="12.875" style="1" customWidth="1"/>
    <col min="14082" max="14082" width="10.375" style="1"/>
    <col min="14083" max="14083" width="13" style="1" customWidth="1"/>
    <col min="14084" max="14322" width="10.375" style="1"/>
    <col min="14323" max="14323" width="33.25" style="1" customWidth="1"/>
    <col min="14324" max="14328" width="10.375" style="1"/>
    <col min="14329" max="14329" width="13.625" style="1" customWidth="1"/>
    <col min="14330" max="14330" width="10.375" style="1"/>
    <col min="14331" max="14331" width="14.375" style="1" customWidth="1"/>
    <col min="14332" max="14332" width="10.375" style="1"/>
    <col min="14333" max="14333" width="11.625" style="1" bestFit="1" customWidth="1"/>
    <col min="14334" max="14336" width="10.375" style="1"/>
    <col min="14337" max="14337" width="12.875" style="1" customWidth="1"/>
    <col min="14338" max="14338" width="10.375" style="1"/>
    <col min="14339" max="14339" width="13" style="1" customWidth="1"/>
    <col min="14340" max="14578" width="10.375" style="1"/>
    <col min="14579" max="14579" width="33.25" style="1" customWidth="1"/>
    <col min="14580" max="14584" width="10.375" style="1"/>
    <col min="14585" max="14585" width="13.625" style="1" customWidth="1"/>
    <col min="14586" max="14586" width="10.375" style="1"/>
    <col min="14587" max="14587" width="14.375" style="1" customWidth="1"/>
    <col min="14588" max="14588" width="10.375" style="1"/>
    <col min="14589" max="14589" width="11.625" style="1" bestFit="1" customWidth="1"/>
    <col min="14590" max="14592" width="10.375" style="1"/>
    <col min="14593" max="14593" width="12.875" style="1" customWidth="1"/>
    <col min="14594" max="14594" width="10.375" style="1"/>
    <col min="14595" max="14595" width="13" style="1" customWidth="1"/>
    <col min="14596" max="14834" width="10.375" style="1"/>
    <col min="14835" max="14835" width="33.25" style="1" customWidth="1"/>
    <col min="14836" max="14840" width="10.375" style="1"/>
    <col min="14841" max="14841" width="13.625" style="1" customWidth="1"/>
    <col min="14842" max="14842" width="10.375" style="1"/>
    <col min="14843" max="14843" width="14.375" style="1" customWidth="1"/>
    <col min="14844" max="14844" width="10.375" style="1"/>
    <col min="14845" max="14845" width="11.625" style="1" bestFit="1" customWidth="1"/>
    <col min="14846" max="14848" width="10.375" style="1"/>
    <col min="14849" max="14849" width="12.875" style="1" customWidth="1"/>
    <col min="14850" max="14850" width="10.375" style="1"/>
    <col min="14851" max="14851" width="13" style="1" customWidth="1"/>
    <col min="14852" max="15090" width="10.375" style="1"/>
    <col min="15091" max="15091" width="33.25" style="1" customWidth="1"/>
    <col min="15092" max="15096" width="10.375" style="1"/>
    <col min="15097" max="15097" width="13.625" style="1" customWidth="1"/>
    <col min="15098" max="15098" width="10.375" style="1"/>
    <col min="15099" max="15099" width="14.375" style="1" customWidth="1"/>
    <col min="15100" max="15100" width="10.375" style="1"/>
    <col min="15101" max="15101" width="11.625" style="1" bestFit="1" customWidth="1"/>
    <col min="15102" max="15104" width="10.375" style="1"/>
    <col min="15105" max="15105" width="12.875" style="1" customWidth="1"/>
    <col min="15106" max="15106" width="10.375" style="1"/>
    <col min="15107" max="15107" width="13" style="1" customWidth="1"/>
    <col min="15108" max="15346" width="10.375" style="1"/>
    <col min="15347" max="15347" width="33.25" style="1" customWidth="1"/>
    <col min="15348" max="15352" width="10.375" style="1"/>
    <col min="15353" max="15353" width="13.625" style="1" customWidth="1"/>
    <col min="15354" max="15354" width="10.375" style="1"/>
    <col min="15355" max="15355" width="14.375" style="1" customWidth="1"/>
    <col min="15356" max="15356" width="10.375" style="1"/>
    <col min="15357" max="15357" width="11.625" style="1" bestFit="1" customWidth="1"/>
    <col min="15358" max="15360" width="10.375" style="1"/>
    <col min="15361" max="15361" width="12.875" style="1" customWidth="1"/>
    <col min="15362" max="15362" width="10.375" style="1"/>
    <col min="15363" max="15363" width="13" style="1" customWidth="1"/>
    <col min="15364" max="15602" width="10.375" style="1"/>
    <col min="15603" max="15603" width="33.25" style="1" customWidth="1"/>
    <col min="15604" max="15608" width="10.375" style="1"/>
    <col min="15609" max="15609" width="13.625" style="1" customWidth="1"/>
    <col min="15610" max="15610" width="10.375" style="1"/>
    <col min="15611" max="15611" width="14.375" style="1" customWidth="1"/>
    <col min="15612" max="15612" width="10.375" style="1"/>
    <col min="15613" max="15613" width="11.625" style="1" bestFit="1" customWidth="1"/>
    <col min="15614" max="15616" width="10.375" style="1"/>
    <col min="15617" max="15617" width="12.875" style="1" customWidth="1"/>
    <col min="15618" max="15618" width="10.375" style="1"/>
    <col min="15619" max="15619" width="13" style="1" customWidth="1"/>
    <col min="15620" max="15858" width="10.375" style="1"/>
    <col min="15859" max="15859" width="33.25" style="1" customWidth="1"/>
    <col min="15860" max="15864" width="10.375" style="1"/>
    <col min="15865" max="15865" width="13.625" style="1" customWidth="1"/>
    <col min="15866" max="15866" width="10.375" style="1"/>
    <col min="15867" max="15867" width="14.375" style="1" customWidth="1"/>
    <col min="15868" max="15868" width="10.375" style="1"/>
    <col min="15869" max="15869" width="11.625" style="1" bestFit="1" customWidth="1"/>
    <col min="15870" max="15872" width="10.375" style="1"/>
    <col min="15873" max="15873" width="12.875" style="1" customWidth="1"/>
    <col min="15874" max="15874" width="10.375" style="1"/>
    <col min="15875" max="15875" width="13" style="1" customWidth="1"/>
    <col min="15876" max="16114" width="10.375" style="1"/>
    <col min="16115" max="16115" width="33.25" style="1" customWidth="1"/>
    <col min="16116" max="16120" width="10.375" style="1"/>
    <col min="16121" max="16121" width="13.625" style="1" customWidth="1"/>
    <col min="16122" max="16122" width="10.375" style="1"/>
    <col min="16123" max="16123" width="14.375" style="1" customWidth="1"/>
    <col min="16124" max="16124" width="10.375" style="1"/>
    <col min="16125" max="16125" width="11.625" style="1" bestFit="1" customWidth="1"/>
    <col min="16126" max="16128" width="10.375" style="1"/>
    <col min="16129" max="16129" width="12.875" style="1" customWidth="1"/>
    <col min="16130" max="16130" width="10.375" style="1"/>
    <col min="16131" max="16131" width="13" style="1" customWidth="1"/>
    <col min="16132" max="16384" width="10.375" style="1"/>
  </cols>
  <sheetData>
    <row r="1" spans="1:6" ht="18.600000000000001">
      <c r="A1" s="175" t="s">
        <v>0</v>
      </c>
      <c r="B1" s="175"/>
      <c r="C1" s="175"/>
      <c r="D1" s="175"/>
      <c r="E1" s="175"/>
      <c r="F1" s="175"/>
    </row>
    <row r="2" spans="1:6" ht="18.600000000000001">
      <c r="A2" s="176" t="s">
        <v>1</v>
      </c>
      <c r="B2" s="176"/>
      <c r="C2" s="176"/>
      <c r="D2" s="176"/>
      <c r="E2" s="176"/>
      <c r="F2" s="176"/>
    </row>
    <row r="3" spans="1:6" ht="18.600000000000001">
      <c r="A3" s="177" t="s">
        <v>63</v>
      </c>
      <c r="B3" s="177"/>
      <c r="C3" s="177"/>
      <c r="D3" s="177"/>
      <c r="E3" s="177"/>
      <c r="F3" s="177"/>
    </row>
    <row r="4" spans="1:6" ht="18.600000000000001">
      <c r="A4" s="178" t="s">
        <v>3</v>
      </c>
      <c r="B4" s="173" t="s">
        <v>4</v>
      </c>
      <c r="C4" s="173" t="s">
        <v>5</v>
      </c>
      <c r="D4" s="214" t="s">
        <v>8</v>
      </c>
      <c r="E4" s="215"/>
      <c r="F4" s="216"/>
    </row>
    <row r="5" spans="1:6">
      <c r="A5" s="179"/>
      <c r="B5" s="181"/>
      <c r="C5" s="181"/>
      <c r="D5" s="207" t="s">
        <v>14</v>
      </c>
      <c r="E5" s="209" t="s">
        <v>15</v>
      </c>
      <c r="F5" s="205" t="s">
        <v>16</v>
      </c>
    </row>
    <row r="6" spans="1:6">
      <c r="A6" s="180"/>
      <c r="B6" s="174"/>
      <c r="C6" s="174"/>
      <c r="D6" s="208"/>
      <c r="E6" s="210"/>
      <c r="F6" s="206"/>
    </row>
    <row r="7" spans="1:6" ht="18.600000000000001">
      <c r="A7" s="217" t="s">
        <v>57</v>
      </c>
      <c r="B7" s="218"/>
      <c r="C7" s="219"/>
      <c r="D7" s="142"/>
      <c r="E7" s="143"/>
      <c r="F7" s="144"/>
    </row>
    <row r="8" spans="1:6" ht="18.600000000000001">
      <c r="A8" s="140"/>
      <c r="B8" s="141"/>
      <c r="C8" s="141"/>
      <c r="D8" s="142"/>
      <c r="E8" s="143"/>
      <c r="F8" s="144"/>
    </row>
    <row r="9" spans="1:6" ht="23.25" customHeight="1" thickBot="1">
      <c r="A9" s="220" t="s">
        <v>53</v>
      </c>
      <c r="B9" s="220"/>
      <c r="C9" s="221"/>
      <c r="D9" s="114"/>
      <c r="E9" s="114"/>
      <c r="F9" s="107">
        <v>0</v>
      </c>
    </row>
    <row r="10" spans="1:6" ht="19.2" thickTop="1">
      <c r="A10" s="120"/>
      <c r="B10" s="121"/>
      <c r="C10" s="121"/>
      <c r="D10" s="122"/>
      <c r="E10" s="123"/>
      <c r="F10" s="124"/>
    </row>
    <row r="11" spans="1:6" ht="6.75" customHeight="1">
      <c r="A11" s="120"/>
      <c r="B11" s="121"/>
      <c r="C11" s="121"/>
      <c r="D11" s="122"/>
      <c r="E11" s="123"/>
      <c r="F11" s="124"/>
    </row>
    <row r="12" spans="1:6" ht="18.600000000000001">
      <c r="A12" s="120"/>
      <c r="B12" s="121"/>
      <c r="C12" s="121"/>
      <c r="D12" s="122"/>
      <c r="E12" s="123"/>
      <c r="F12" s="124"/>
    </row>
    <row r="13" spans="1:6" ht="18.600000000000001">
      <c r="B13" s="128"/>
      <c r="C13" s="121"/>
      <c r="D13" s="122"/>
      <c r="E13" s="123"/>
      <c r="F13" s="124"/>
    </row>
    <row r="14" spans="1:6" ht="18.600000000000001">
      <c r="A14" s="129"/>
      <c r="B14" s="130"/>
      <c r="C14" s="129"/>
      <c r="D14" s="134"/>
      <c r="E14" s="135"/>
      <c r="F14" s="136"/>
    </row>
  </sheetData>
  <mergeCells count="12">
    <mergeCell ref="A7:C7"/>
    <mergeCell ref="A9:C9"/>
    <mergeCell ref="A1:F1"/>
    <mergeCell ref="A2:F2"/>
    <mergeCell ref="A3:F3"/>
    <mergeCell ref="A4:A6"/>
    <mergeCell ref="B4:B6"/>
    <mergeCell ref="C4:C6"/>
    <mergeCell ref="D4:F4"/>
    <mergeCell ref="D5:D6"/>
    <mergeCell ref="E5:E6"/>
    <mergeCell ref="F5:F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D122-FA1C-413A-8722-C4284EC30FFD}">
  <sheetPr>
    <tabColor rgb="FF00B0F0"/>
  </sheetPr>
  <dimension ref="A1:F21"/>
  <sheetViews>
    <sheetView workbookViewId="0">
      <pane ySplit="6" topLeftCell="A7" activePane="bottomLeft" state="frozen"/>
      <selection pane="bottomLeft" activeCell="J19" sqref="J19"/>
    </sheetView>
  </sheetViews>
  <sheetFormatPr defaultColWidth="10.375" defaultRowHeight="14.4"/>
  <cols>
    <col min="1" max="1" width="10.375" style="1"/>
    <col min="2" max="2" width="33.25" style="1" customWidth="1"/>
    <col min="3" max="5" width="10.375" style="1"/>
    <col min="6" max="6" width="13" style="1" customWidth="1"/>
    <col min="7" max="245" width="10.375" style="1"/>
    <col min="246" max="246" width="33.25" style="1" customWidth="1"/>
    <col min="247" max="251" width="10.375" style="1"/>
    <col min="252" max="252" width="13.625" style="1" customWidth="1"/>
    <col min="253" max="253" width="10.375" style="1"/>
    <col min="254" max="254" width="14.375" style="1" customWidth="1"/>
    <col min="255" max="255" width="10.375" style="1"/>
    <col min="256" max="256" width="11.625" style="1" bestFit="1" customWidth="1"/>
    <col min="257" max="259" width="10.375" style="1"/>
    <col min="260" max="260" width="12.875" style="1" customWidth="1"/>
    <col min="261" max="261" width="10.375" style="1"/>
    <col min="262" max="262" width="13" style="1" customWidth="1"/>
    <col min="263" max="501" width="10.375" style="1"/>
    <col min="502" max="502" width="33.25" style="1" customWidth="1"/>
    <col min="503" max="507" width="10.375" style="1"/>
    <col min="508" max="508" width="13.625" style="1" customWidth="1"/>
    <col min="509" max="509" width="10.375" style="1"/>
    <col min="510" max="510" width="14.375" style="1" customWidth="1"/>
    <col min="511" max="511" width="10.375" style="1"/>
    <col min="512" max="512" width="11.625" style="1" bestFit="1" customWidth="1"/>
    <col min="513" max="515" width="10.375" style="1"/>
    <col min="516" max="516" width="12.875" style="1" customWidth="1"/>
    <col min="517" max="517" width="10.375" style="1"/>
    <col min="518" max="518" width="13" style="1" customWidth="1"/>
    <col min="519" max="757" width="10.375" style="1"/>
    <col min="758" max="758" width="33.25" style="1" customWidth="1"/>
    <col min="759" max="763" width="10.375" style="1"/>
    <col min="764" max="764" width="13.625" style="1" customWidth="1"/>
    <col min="765" max="765" width="10.375" style="1"/>
    <col min="766" max="766" width="14.375" style="1" customWidth="1"/>
    <col min="767" max="767" width="10.375" style="1"/>
    <col min="768" max="768" width="11.625" style="1" bestFit="1" customWidth="1"/>
    <col min="769" max="771" width="10.375" style="1"/>
    <col min="772" max="772" width="12.875" style="1" customWidth="1"/>
    <col min="773" max="773" width="10.375" style="1"/>
    <col min="774" max="774" width="13" style="1" customWidth="1"/>
    <col min="775" max="1013" width="10.375" style="1"/>
    <col min="1014" max="1014" width="33.25" style="1" customWidth="1"/>
    <col min="1015" max="1019" width="10.375" style="1"/>
    <col min="1020" max="1020" width="13.625" style="1" customWidth="1"/>
    <col min="1021" max="1021" width="10.375" style="1"/>
    <col min="1022" max="1022" width="14.375" style="1" customWidth="1"/>
    <col min="1023" max="1023" width="10.375" style="1"/>
    <col min="1024" max="1024" width="11.625" style="1" bestFit="1" customWidth="1"/>
    <col min="1025" max="1027" width="10.375" style="1"/>
    <col min="1028" max="1028" width="12.875" style="1" customWidth="1"/>
    <col min="1029" max="1029" width="10.375" style="1"/>
    <col min="1030" max="1030" width="13" style="1" customWidth="1"/>
    <col min="1031" max="1269" width="10.375" style="1"/>
    <col min="1270" max="1270" width="33.25" style="1" customWidth="1"/>
    <col min="1271" max="1275" width="10.375" style="1"/>
    <col min="1276" max="1276" width="13.625" style="1" customWidth="1"/>
    <col min="1277" max="1277" width="10.375" style="1"/>
    <col min="1278" max="1278" width="14.375" style="1" customWidth="1"/>
    <col min="1279" max="1279" width="10.375" style="1"/>
    <col min="1280" max="1280" width="11.625" style="1" bestFit="1" customWidth="1"/>
    <col min="1281" max="1283" width="10.375" style="1"/>
    <col min="1284" max="1284" width="12.875" style="1" customWidth="1"/>
    <col min="1285" max="1285" width="10.375" style="1"/>
    <col min="1286" max="1286" width="13" style="1" customWidth="1"/>
    <col min="1287" max="1525" width="10.375" style="1"/>
    <col min="1526" max="1526" width="33.25" style="1" customWidth="1"/>
    <col min="1527" max="1531" width="10.375" style="1"/>
    <col min="1532" max="1532" width="13.625" style="1" customWidth="1"/>
    <col min="1533" max="1533" width="10.375" style="1"/>
    <col min="1534" max="1534" width="14.375" style="1" customWidth="1"/>
    <col min="1535" max="1535" width="10.375" style="1"/>
    <col min="1536" max="1536" width="11.625" style="1" bestFit="1" customWidth="1"/>
    <col min="1537" max="1539" width="10.375" style="1"/>
    <col min="1540" max="1540" width="12.875" style="1" customWidth="1"/>
    <col min="1541" max="1541" width="10.375" style="1"/>
    <col min="1542" max="1542" width="13" style="1" customWidth="1"/>
    <col min="1543" max="1781" width="10.375" style="1"/>
    <col min="1782" max="1782" width="33.25" style="1" customWidth="1"/>
    <col min="1783" max="1787" width="10.375" style="1"/>
    <col min="1788" max="1788" width="13.625" style="1" customWidth="1"/>
    <col min="1789" max="1789" width="10.375" style="1"/>
    <col min="1790" max="1790" width="14.375" style="1" customWidth="1"/>
    <col min="1791" max="1791" width="10.375" style="1"/>
    <col min="1792" max="1792" width="11.625" style="1" bestFit="1" customWidth="1"/>
    <col min="1793" max="1795" width="10.375" style="1"/>
    <col min="1796" max="1796" width="12.875" style="1" customWidth="1"/>
    <col min="1797" max="1797" width="10.375" style="1"/>
    <col min="1798" max="1798" width="13" style="1" customWidth="1"/>
    <col min="1799" max="2037" width="10.375" style="1"/>
    <col min="2038" max="2038" width="33.25" style="1" customWidth="1"/>
    <col min="2039" max="2043" width="10.375" style="1"/>
    <col min="2044" max="2044" width="13.625" style="1" customWidth="1"/>
    <col min="2045" max="2045" width="10.375" style="1"/>
    <col min="2046" max="2046" width="14.375" style="1" customWidth="1"/>
    <col min="2047" max="2047" width="10.375" style="1"/>
    <col min="2048" max="2048" width="11.625" style="1" bestFit="1" customWidth="1"/>
    <col min="2049" max="2051" width="10.375" style="1"/>
    <col min="2052" max="2052" width="12.875" style="1" customWidth="1"/>
    <col min="2053" max="2053" width="10.375" style="1"/>
    <col min="2054" max="2054" width="13" style="1" customWidth="1"/>
    <col min="2055" max="2293" width="10.375" style="1"/>
    <col min="2294" max="2294" width="33.25" style="1" customWidth="1"/>
    <col min="2295" max="2299" width="10.375" style="1"/>
    <col min="2300" max="2300" width="13.625" style="1" customWidth="1"/>
    <col min="2301" max="2301" width="10.375" style="1"/>
    <col min="2302" max="2302" width="14.375" style="1" customWidth="1"/>
    <col min="2303" max="2303" width="10.375" style="1"/>
    <col min="2304" max="2304" width="11.625" style="1" bestFit="1" customWidth="1"/>
    <col min="2305" max="2307" width="10.375" style="1"/>
    <col min="2308" max="2308" width="12.875" style="1" customWidth="1"/>
    <col min="2309" max="2309" width="10.375" style="1"/>
    <col min="2310" max="2310" width="13" style="1" customWidth="1"/>
    <col min="2311" max="2549" width="10.375" style="1"/>
    <col min="2550" max="2550" width="33.25" style="1" customWidth="1"/>
    <col min="2551" max="2555" width="10.375" style="1"/>
    <col min="2556" max="2556" width="13.625" style="1" customWidth="1"/>
    <col min="2557" max="2557" width="10.375" style="1"/>
    <col min="2558" max="2558" width="14.375" style="1" customWidth="1"/>
    <col min="2559" max="2559" width="10.375" style="1"/>
    <col min="2560" max="2560" width="11.625" style="1" bestFit="1" customWidth="1"/>
    <col min="2561" max="2563" width="10.375" style="1"/>
    <col min="2564" max="2564" width="12.875" style="1" customWidth="1"/>
    <col min="2565" max="2565" width="10.375" style="1"/>
    <col min="2566" max="2566" width="13" style="1" customWidth="1"/>
    <col min="2567" max="2805" width="10.375" style="1"/>
    <col min="2806" max="2806" width="33.25" style="1" customWidth="1"/>
    <col min="2807" max="2811" width="10.375" style="1"/>
    <col min="2812" max="2812" width="13.625" style="1" customWidth="1"/>
    <col min="2813" max="2813" width="10.375" style="1"/>
    <col min="2814" max="2814" width="14.375" style="1" customWidth="1"/>
    <col min="2815" max="2815" width="10.375" style="1"/>
    <col min="2816" max="2816" width="11.625" style="1" bestFit="1" customWidth="1"/>
    <col min="2817" max="2819" width="10.375" style="1"/>
    <col min="2820" max="2820" width="12.875" style="1" customWidth="1"/>
    <col min="2821" max="2821" width="10.375" style="1"/>
    <col min="2822" max="2822" width="13" style="1" customWidth="1"/>
    <col min="2823" max="3061" width="10.375" style="1"/>
    <col min="3062" max="3062" width="33.25" style="1" customWidth="1"/>
    <col min="3063" max="3067" width="10.375" style="1"/>
    <col min="3068" max="3068" width="13.625" style="1" customWidth="1"/>
    <col min="3069" max="3069" width="10.375" style="1"/>
    <col min="3070" max="3070" width="14.375" style="1" customWidth="1"/>
    <col min="3071" max="3071" width="10.375" style="1"/>
    <col min="3072" max="3072" width="11.625" style="1" bestFit="1" customWidth="1"/>
    <col min="3073" max="3075" width="10.375" style="1"/>
    <col min="3076" max="3076" width="12.875" style="1" customWidth="1"/>
    <col min="3077" max="3077" width="10.375" style="1"/>
    <col min="3078" max="3078" width="13" style="1" customWidth="1"/>
    <col min="3079" max="3317" width="10.375" style="1"/>
    <col min="3318" max="3318" width="33.25" style="1" customWidth="1"/>
    <col min="3319" max="3323" width="10.375" style="1"/>
    <col min="3324" max="3324" width="13.625" style="1" customWidth="1"/>
    <col min="3325" max="3325" width="10.375" style="1"/>
    <col min="3326" max="3326" width="14.375" style="1" customWidth="1"/>
    <col min="3327" max="3327" width="10.375" style="1"/>
    <col min="3328" max="3328" width="11.625" style="1" bestFit="1" customWidth="1"/>
    <col min="3329" max="3331" width="10.375" style="1"/>
    <col min="3332" max="3332" width="12.875" style="1" customWidth="1"/>
    <col min="3333" max="3333" width="10.375" style="1"/>
    <col min="3334" max="3334" width="13" style="1" customWidth="1"/>
    <col min="3335" max="3573" width="10.375" style="1"/>
    <col min="3574" max="3574" width="33.25" style="1" customWidth="1"/>
    <col min="3575" max="3579" width="10.375" style="1"/>
    <col min="3580" max="3580" width="13.625" style="1" customWidth="1"/>
    <col min="3581" max="3581" width="10.375" style="1"/>
    <col min="3582" max="3582" width="14.375" style="1" customWidth="1"/>
    <col min="3583" max="3583" width="10.375" style="1"/>
    <col min="3584" max="3584" width="11.625" style="1" bestFit="1" customWidth="1"/>
    <col min="3585" max="3587" width="10.375" style="1"/>
    <col min="3588" max="3588" width="12.875" style="1" customWidth="1"/>
    <col min="3589" max="3589" width="10.375" style="1"/>
    <col min="3590" max="3590" width="13" style="1" customWidth="1"/>
    <col min="3591" max="3829" width="10.375" style="1"/>
    <col min="3830" max="3830" width="33.25" style="1" customWidth="1"/>
    <col min="3831" max="3835" width="10.375" style="1"/>
    <col min="3836" max="3836" width="13.625" style="1" customWidth="1"/>
    <col min="3837" max="3837" width="10.375" style="1"/>
    <col min="3838" max="3838" width="14.375" style="1" customWidth="1"/>
    <col min="3839" max="3839" width="10.375" style="1"/>
    <col min="3840" max="3840" width="11.625" style="1" bestFit="1" customWidth="1"/>
    <col min="3841" max="3843" width="10.375" style="1"/>
    <col min="3844" max="3844" width="12.875" style="1" customWidth="1"/>
    <col min="3845" max="3845" width="10.375" style="1"/>
    <col min="3846" max="3846" width="13" style="1" customWidth="1"/>
    <col min="3847" max="4085" width="10.375" style="1"/>
    <col min="4086" max="4086" width="33.25" style="1" customWidth="1"/>
    <col min="4087" max="4091" width="10.375" style="1"/>
    <col min="4092" max="4092" width="13.625" style="1" customWidth="1"/>
    <col min="4093" max="4093" width="10.375" style="1"/>
    <col min="4094" max="4094" width="14.375" style="1" customWidth="1"/>
    <col min="4095" max="4095" width="10.375" style="1"/>
    <col min="4096" max="4096" width="11.625" style="1" bestFit="1" customWidth="1"/>
    <col min="4097" max="4099" width="10.375" style="1"/>
    <col min="4100" max="4100" width="12.875" style="1" customWidth="1"/>
    <col min="4101" max="4101" width="10.375" style="1"/>
    <col min="4102" max="4102" width="13" style="1" customWidth="1"/>
    <col min="4103" max="4341" width="10.375" style="1"/>
    <col min="4342" max="4342" width="33.25" style="1" customWidth="1"/>
    <col min="4343" max="4347" width="10.375" style="1"/>
    <col min="4348" max="4348" width="13.625" style="1" customWidth="1"/>
    <col min="4349" max="4349" width="10.375" style="1"/>
    <col min="4350" max="4350" width="14.375" style="1" customWidth="1"/>
    <col min="4351" max="4351" width="10.375" style="1"/>
    <col min="4352" max="4352" width="11.625" style="1" bestFit="1" customWidth="1"/>
    <col min="4353" max="4355" width="10.375" style="1"/>
    <col min="4356" max="4356" width="12.875" style="1" customWidth="1"/>
    <col min="4357" max="4357" width="10.375" style="1"/>
    <col min="4358" max="4358" width="13" style="1" customWidth="1"/>
    <col min="4359" max="4597" width="10.375" style="1"/>
    <col min="4598" max="4598" width="33.25" style="1" customWidth="1"/>
    <col min="4599" max="4603" width="10.375" style="1"/>
    <col min="4604" max="4604" width="13.625" style="1" customWidth="1"/>
    <col min="4605" max="4605" width="10.375" style="1"/>
    <col min="4606" max="4606" width="14.375" style="1" customWidth="1"/>
    <col min="4607" max="4607" width="10.375" style="1"/>
    <col min="4608" max="4608" width="11.625" style="1" bestFit="1" customWidth="1"/>
    <col min="4609" max="4611" width="10.375" style="1"/>
    <col min="4612" max="4612" width="12.875" style="1" customWidth="1"/>
    <col min="4613" max="4613" width="10.375" style="1"/>
    <col min="4614" max="4614" width="13" style="1" customWidth="1"/>
    <col min="4615" max="4853" width="10.375" style="1"/>
    <col min="4854" max="4854" width="33.25" style="1" customWidth="1"/>
    <col min="4855" max="4859" width="10.375" style="1"/>
    <col min="4860" max="4860" width="13.625" style="1" customWidth="1"/>
    <col min="4861" max="4861" width="10.375" style="1"/>
    <col min="4862" max="4862" width="14.375" style="1" customWidth="1"/>
    <col min="4863" max="4863" width="10.375" style="1"/>
    <col min="4864" max="4864" width="11.625" style="1" bestFit="1" customWidth="1"/>
    <col min="4865" max="4867" width="10.375" style="1"/>
    <col min="4868" max="4868" width="12.875" style="1" customWidth="1"/>
    <col min="4869" max="4869" width="10.375" style="1"/>
    <col min="4870" max="4870" width="13" style="1" customWidth="1"/>
    <col min="4871" max="5109" width="10.375" style="1"/>
    <col min="5110" max="5110" width="33.25" style="1" customWidth="1"/>
    <col min="5111" max="5115" width="10.375" style="1"/>
    <col min="5116" max="5116" width="13.625" style="1" customWidth="1"/>
    <col min="5117" max="5117" width="10.375" style="1"/>
    <col min="5118" max="5118" width="14.375" style="1" customWidth="1"/>
    <col min="5119" max="5119" width="10.375" style="1"/>
    <col min="5120" max="5120" width="11.625" style="1" bestFit="1" customWidth="1"/>
    <col min="5121" max="5123" width="10.375" style="1"/>
    <col min="5124" max="5124" width="12.875" style="1" customWidth="1"/>
    <col min="5125" max="5125" width="10.375" style="1"/>
    <col min="5126" max="5126" width="13" style="1" customWidth="1"/>
    <col min="5127" max="5365" width="10.375" style="1"/>
    <col min="5366" max="5366" width="33.25" style="1" customWidth="1"/>
    <col min="5367" max="5371" width="10.375" style="1"/>
    <col min="5372" max="5372" width="13.625" style="1" customWidth="1"/>
    <col min="5373" max="5373" width="10.375" style="1"/>
    <col min="5374" max="5374" width="14.375" style="1" customWidth="1"/>
    <col min="5375" max="5375" width="10.375" style="1"/>
    <col min="5376" max="5376" width="11.625" style="1" bestFit="1" customWidth="1"/>
    <col min="5377" max="5379" width="10.375" style="1"/>
    <col min="5380" max="5380" width="12.875" style="1" customWidth="1"/>
    <col min="5381" max="5381" width="10.375" style="1"/>
    <col min="5382" max="5382" width="13" style="1" customWidth="1"/>
    <col min="5383" max="5621" width="10.375" style="1"/>
    <col min="5622" max="5622" width="33.25" style="1" customWidth="1"/>
    <col min="5623" max="5627" width="10.375" style="1"/>
    <col min="5628" max="5628" width="13.625" style="1" customWidth="1"/>
    <col min="5629" max="5629" width="10.375" style="1"/>
    <col min="5630" max="5630" width="14.375" style="1" customWidth="1"/>
    <col min="5631" max="5631" width="10.375" style="1"/>
    <col min="5632" max="5632" width="11.625" style="1" bestFit="1" customWidth="1"/>
    <col min="5633" max="5635" width="10.375" style="1"/>
    <col min="5636" max="5636" width="12.875" style="1" customWidth="1"/>
    <col min="5637" max="5637" width="10.375" style="1"/>
    <col min="5638" max="5638" width="13" style="1" customWidth="1"/>
    <col min="5639" max="5877" width="10.375" style="1"/>
    <col min="5878" max="5878" width="33.25" style="1" customWidth="1"/>
    <col min="5879" max="5883" width="10.375" style="1"/>
    <col min="5884" max="5884" width="13.625" style="1" customWidth="1"/>
    <col min="5885" max="5885" width="10.375" style="1"/>
    <col min="5886" max="5886" width="14.375" style="1" customWidth="1"/>
    <col min="5887" max="5887" width="10.375" style="1"/>
    <col min="5888" max="5888" width="11.625" style="1" bestFit="1" customWidth="1"/>
    <col min="5889" max="5891" width="10.375" style="1"/>
    <col min="5892" max="5892" width="12.875" style="1" customWidth="1"/>
    <col min="5893" max="5893" width="10.375" style="1"/>
    <col min="5894" max="5894" width="13" style="1" customWidth="1"/>
    <col min="5895" max="6133" width="10.375" style="1"/>
    <col min="6134" max="6134" width="33.25" style="1" customWidth="1"/>
    <col min="6135" max="6139" width="10.375" style="1"/>
    <col min="6140" max="6140" width="13.625" style="1" customWidth="1"/>
    <col min="6141" max="6141" width="10.375" style="1"/>
    <col min="6142" max="6142" width="14.375" style="1" customWidth="1"/>
    <col min="6143" max="6143" width="10.375" style="1"/>
    <col min="6144" max="6144" width="11.625" style="1" bestFit="1" customWidth="1"/>
    <col min="6145" max="6147" width="10.375" style="1"/>
    <col min="6148" max="6148" width="12.875" style="1" customWidth="1"/>
    <col min="6149" max="6149" width="10.375" style="1"/>
    <col min="6150" max="6150" width="13" style="1" customWidth="1"/>
    <col min="6151" max="6389" width="10.375" style="1"/>
    <col min="6390" max="6390" width="33.25" style="1" customWidth="1"/>
    <col min="6391" max="6395" width="10.375" style="1"/>
    <col min="6396" max="6396" width="13.625" style="1" customWidth="1"/>
    <col min="6397" max="6397" width="10.375" style="1"/>
    <col min="6398" max="6398" width="14.375" style="1" customWidth="1"/>
    <col min="6399" max="6399" width="10.375" style="1"/>
    <col min="6400" max="6400" width="11.625" style="1" bestFit="1" customWidth="1"/>
    <col min="6401" max="6403" width="10.375" style="1"/>
    <col min="6404" max="6404" width="12.875" style="1" customWidth="1"/>
    <col min="6405" max="6405" width="10.375" style="1"/>
    <col min="6406" max="6406" width="13" style="1" customWidth="1"/>
    <col min="6407" max="6645" width="10.375" style="1"/>
    <col min="6646" max="6646" width="33.25" style="1" customWidth="1"/>
    <col min="6647" max="6651" width="10.375" style="1"/>
    <col min="6652" max="6652" width="13.625" style="1" customWidth="1"/>
    <col min="6653" max="6653" width="10.375" style="1"/>
    <col min="6654" max="6654" width="14.375" style="1" customWidth="1"/>
    <col min="6655" max="6655" width="10.375" style="1"/>
    <col min="6656" max="6656" width="11.625" style="1" bestFit="1" customWidth="1"/>
    <col min="6657" max="6659" width="10.375" style="1"/>
    <col min="6660" max="6660" width="12.875" style="1" customWidth="1"/>
    <col min="6661" max="6661" width="10.375" style="1"/>
    <col min="6662" max="6662" width="13" style="1" customWidth="1"/>
    <col min="6663" max="6901" width="10.375" style="1"/>
    <col min="6902" max="6902" width="33.25" style="1" customWidth="1"/>
    <col min="6903" max="6907" width="10.375" style="1"/>
    <col min="6908" max="6908" width="13.625" style="1" customWidth="1"/>
    <col min="6909" max="6909" width="10.375" style="1"/>
    <col min="6910" max="6910" width="14.375" style="1" customWidth="1"/>
    <col min="6911" max="6911" width="10.375" style="1"/>
    <col min="6912" max="6912" width="11.625" style="1" bestFit="1" customWidth="1"/>
    <col min="6913" max="6915" width="10.375" style="1"/>
    <col min="6916" max="6916" width="12.875" style="1" customWidth="1"/>
    <col min="6917" max="6917" width="10.375" style="1"/>
    <col min="6918" max="6918" width="13" style="1" customWidth="1"/>
    <col min="6919" max="7157" width="10.375" style="1"/>
    <col min="7158" max="7158" width="33.25" style="1" customWidth="1"/>
    <col min="7159" max="7163" width="10.375" style="1"/>
    <col min="7164" max="7164" width="13.625" style="1" customWidth="1"/>
    <col min="7165" max="7165" width="10.375" style="1"/>
    <col min="7166" max="7166" width="14.375" style="1" customWidth="1"/>
    <col min="7167" max="7167" width="10.375" style="1"/>
    <col min="7168" max="7168" width="11.625" style="1" bestFit="1" customWidth="1"/>
    <col min="7169" max="7171" width="10.375" style="1"/>
    <col min="7172" max="7172" width="12.875" style="1" customWidth="1"/>
    <col min="7173" max="7173" width="10.375" style="1"/>
    <col min="7174" max="7174" width="13" style="1" customWidth="1"/>
    <col min="7175" max="7413" width="10.375" style="1"/>
    <col min="7414" max="7414" width="33.25" style="1" customWidth="1"/>
    <col min="7415" max="7419" width="10.375" style="1"/>
    <col min="7420" max="7420" width="13.625" style="1" customWidth="1"/>
    <col min="7421" max="7421" width="10.375" style="1"/>
    <col min="7422" max="7422" width="14.375" style="1" customWidth="1"/>
    <col min="7423" max="7423" width="10.375" style="1"/>
    <col min="7424" max="7424" width="11.625" style="1" bestFit="1" customWidth="1"/>
    <col min="7425" max="7427" width="10.375" style="1"/>
    <col min="7428" max="7428" width="12.875" style="1" customWidth="1"/>
    <col min="7429" max="7429" width="10.375" style="1"/>
    <col min="7430" max="7430" width="13" style="1" customWidth="1"/>
    <col min="7431" max="7669" width="10.375" style="1"/>
    <col min="7670" max="7670" width="33.25" style="1" customWidth="1"/>
    <col min="7671" max="7675" width="10.375" style="1"/>
    <col min="7676" max="7676" width="13.625" style="1" customWidth="1"/>
    <col min="7677" max="7677" width="10.375" style="1"/>
    <col min="7678" max="7678" width="14.375" style="1" customWidth="1"/>
    <col min="7679" max="7679" width="10.375" style="1"/>
    <col min="7680" max="7680" width="11.625" style="1" bestFit="1" customWidth="1"/>
    <col min="7681" max="7683" width="10.375" style="1"/>
    <col min="7684" max="7684" width="12.875" style="1" customWidth="1"/>
    <col min="7685" max="7685" width="10.375" style="1"/>
    <col min="7686" max="7686" width="13" style="1" customWidth="1"/>
    <col min="7687" max="7925" width="10.375" style="1"/>
    <col min="7926" max="7926" width="33.25" style="1" customWidth="1"/>
    <col min="7927" max="7931" width="10.375" style="1"/>
    <col min="7932" max="7932" width="13.625" style="1" customWidth="1"/>
    <col min="7933" max="7933" width="10.375" style="1"/>
    <col min="7934" max="7934" width="14.375" style="1" customWidth="1"/>
    <col min="7935" max="7935" width="10.375" style="1"/>
    <col min="7936" max="7936" width="11.625" style="1" bestFit="1" customWidth="1"/>
    <col min="7937" max="7939" width="10.375" style="1"/>
    <col min="7940" max="7940" width="12.875" style="1" customWidth="1"/>
    <col min="7941" max="7941" width="10.375" style="1"/>
    <col min="7942" max="7942" width="13" style="1" customWidth="1"/>
    <col min="7943" max="8181" width="10.375" style="1"/>
    <col min="8182" max="8182" width="33.25" style="1" customWidth="1"/>
    <col min="8183" max="8187" width="10.375" style="1"/>
    <col min="8188" max="8188" width="13.625" style="1" customWidth="1"/>
    <col min="8189" max="8189" width="10.375" style="1"/>
    <col min="8190" max="8190" width="14.375" style="1" customWidth="1"/>
    <col min="8191" max="8191" width="10.375" style="1"/>
    <col min="8192" max="8192" width="11.625" style="1" bestFit="1" customWidth="1"/>
    <col min="8193" max="8195" width="10.375" style="1"/>
    <col min="8196" max="8196" width="12.875" style="1" customWidth="1"/>
    <col min="8197" max="8197" width="10.375" style="1"/>
    <col min="8198" max="8198" width="13" style="1" customWidth="1"/>
    <col min="8199" max="8437" width="10.375" style="1"/>
    <col min="8438" max="8438" width="33.25" style="1" customWidth="1"/>
    <col min="8439" max="8443" width="10.375" style="1"/>
    <col min="8444" max="8444" width="13.625" style="1" customWidth="1"/>
    <col min="8445" max="8445" width="10.375" style="1"/>
    <col min="8446" max="8446" width="14.375" style="1" customWidth="1"/>
    <col min="8447" max="8447" width="10.375" style="1"/>
    <col min="8448" max="8448" width="11.625" style="1" bestFit="1" customWidth="1"/>
    <col min="8449" max="8451" width="10.375" style="1"/>
    <col min="8452" max="8452" width="12.875" style="1" customWidth="1"/>
    <col min="8453" max="8453" width="10.375" style="1"/>
    <col min="8454" max="8454" width="13" style="1" customWidth="1"/>
    <col min="8455" max="8693" width="10.375" style="1"/>
    <col min="8694" max="8694" width="33.25" style="1" customWidth="1"/>
    <col min="8695" max="8699" width="10.375" style="1"/>
    <col min="8700" max="8700" width="13.625" style="1" customWidth="1"/>
    <col min="8701" max="8701" width="10.375" style="1"/>
    <col min="8702" max="8702" width="14.375" style="1" customWidth="1"/>
    <col min="8703" max="8703" width="10.375" style="1"/>
    <col min="8704" max="8704" width="11.625" style="1" bestFit="1" customWidth="1"/>
    <col min="8705" max="8707" width="10.375" style="1"/>
    <col min="8708" max="8708" width="12.875" style="1" customWidth="1"/>
    <col min="8709" max="8709" width="10.375" style="1"/>
    <col min="8710" max="8710" width="13" style="1" customWidth="1"/>
    <col min="8711" max="8949" width="10.375" style="1"/>
    <col min="8950" max="8950" width="33.25" style="1" customWidth="1"/>
    <col min="8951" max="8955" width="10.375" style="1"/>
    <col min="8956" max="8956" width="13.625" style="1" customWidth="1"/>
    <col min="8957" max="8957" width="10.375" style="1"/>
    <col min="8958" max="8958" width="14.375" style="1" customWidth="1"/>
    <col min="8959" max="8959" width="10.375" style="1"/>
    <col min="8960" max="8960" width="11.625" style="1" bestFit="1" customWidth="1"/>
    <col min="8961" max="8963" width="10.375" style="1"/>
    <col min="8964" max="8964" width="12.875" style="1" customWidth="1"/>
    <col min="8965" max="8965" width="10.375" style="1"/>
    <col min="8966" max="8966" width="13" style="1" customWidth="1"/>
    <col min="8967" max="9205" width="10.375" style="1"/>
    <col min="9206" max="9206" width="33.25" style="1" customWidth="1"/>
    <col min="9207" max="9211" width="10.375" style="1"/>
    <col min="9212" max="9212" width="13.625" style="1" customWidth="1"/>
    <col min="9213" max="9213" width="10.375" style="1"/>
    <col min="9214" max="9214" width="14.375" style="1" customWidth="1"/>
    <col min="9215" max="9215" width="10.375" style="1"/>
    <col min="9216" max="9216" width="11.625" style="1" bestFit="1" customWidth="1"/>
    <col min="9217" max="9219" width="10.375" style="1"/>
    <col min="9220" max="9220" width="12.875" style="1" customWidth="1"/>
    <col min="9221" max="9221" width="10.375" style="1"/>
    <col min="9222" max="9222" width="13" style="1" customWidth="1"/>
    <col min="9223" max="9461" width="10.375" style="1"/>
    <col min="9462" max="9462" width="33.25" style="1" customWidth="1"/>
    <col min="9463" max="9467" width="10.375" style="1"/>
    <col min="9468" max="9468" width="13.625" style="1" customWidth="1"/>
    <col min="9469" max="9469" width="10.375" style="1"/>
    <col min="9470" max="9470" width="14.375" style="1" customWidth="1"/>
    <col min="9471" max="9471" width="10.375" style="1"/>
    <col min="9472" max="9472" width="11.625" style="1" bestFit="1" customWidth="1"/>
    <col min="9473" max="9475" width="10.375" style="1"/>
    <col min="9476" max="9476" width="12.875" style="1" customWidth="1"/>
    <col min="9477" max="9477" width="10.375" style="1"/>
    <col min="9478" max="9478" width="13" style="1" customWidth="1"/>
    <col min="9479" max="9717" width="10.375" style="1"/>
    <col min="9718" max="9718" width="33.25" style="1" customWidth="1"/>
    <col min="9719" max="9723" width="10.375" style="1"/>
    <col min="9724" max="9724" width="13.625" style="1" customWidth="1"/>
    <col min="9725" max="9725" width="10.375" style="1"/>
    <col min="9726" max="9726" width="14.375" style="1" customWidth="1"/>
    <col min="9727" max="9727" width="10.375" style="1"/>
    <col min="9728" max="9728" width="11.625" style="1" bestFit="1" customWidth="1"/>
    <col min="9729" max="9731" width="10.375" style="1"/>
    <col min="9732" max="9732" width="12.875" style="1" customWidth="1"/>
    <col min="9733" max="9733" width="10.375" style="1"/>
    <col min="9734" max="9734" width="13" style="1" customWidth="1"/>
    <col min="9735" max="9973" width="10.375" style="1"/>
    <col min="9974" max="9974" width="33.25" style="1" customWidth="1"/>
    <col min="9975" max="9979" width="10.375" style="1"/>
    <col min="9980" max="9980" width="13.625" style="1" customWidth="1"/>
    <col min="9981" max="9981" width="10.375" style="1"/>
    <col min="9982" max="9982" width="14.375" style="1" customWidth="1"/>
    <col min="9983" max="9983" width="10.375" style="1"/>
    <col min="9984" max="9984" width="11.625" style="1" bestFit="1" customWidth="1"/>
    <col min="9985" max="9987" width="10.375" style="1"/>
    <col min="9988" max="9988" width="12.875" style="1" customWidth="1"/>
    <col min="9989" max="9989" width="10.375" style="1"/>
    <col min="9990" max="9990" width="13" style="1" customWidth="1"/>
    <col min="9991" max="10229" width="10.375" style="1"/>
    <col min="10230" max="10230" width="33.25" style="1" customWidth="1"/>
    <col min="10231" max="10235" width="10.375" style="1"/>
    <col min="10236" max="10236" width="13.625" style="1" customWidth="1"/>
    <col min="10237" max="10237" width="10.375" style="1"/>
    <col min="10238" max="10238" width="14.375" style="1" customWidth="1"/>
    <col min="10239" max="10239" width="10.375" style="1"/>
    <col min="10240" max="10240" width="11.625" style="1" bestFit="1" customWidth="1"/>
    <col min="10241" max="10243" width="10.375" style="1"/>
    <col min="10244" max="10244" width="12.875" style="1" customWidth="1"/>
    <col min="10245" max="10245" width="10.375" style="1"/>
    <col min="10246" max="10246" width="13" style="1" customWidth="1"/>
    <col min="10247" max="10485" width="10.375" style="1"/>
    <col min="10486" max="10486" width="33.25" style="1" customWidth="1"/>
    <col min="10487" max="10491" width="10.375" style="1"/>
    <col min="10492" max="10492" width="13.625" style="1" customWidth="1"/>
    <col min="10493" max="10493" width="10.375" style="1"/>
    <col min="10494" max="10494" width="14.375" style="1" customWidth="1"/>
    <col min="10495" max="10495" width="10.375" style="1"/>
    <col min="10496" max="10496" width="11.625" style="1" bestFit="1" customWidth="1"/>
    <col min="10497" max="10499" width="10.375" style="1"/>
    <col min="10500" max="10500" width="12.875" style="1" customWidth="1"/>
    <col min="10501" max="10501" width="10.375" style="1"/>
    <col min="10502" max="10502" width="13" style="1" customWidth="1"/>
    <col min="10503" max="10741" width="10.375" style="1"/>
    <col min="10742" max="10742" width="33.25" style="1" customWidth="1"/>
    <col min="10743" max="10747" width="10.375" style="1"/>
    <col min="10748" max="10748" width="13.625" style="1" customWidth="1"/>
    <col min="10749" max="10749" width="10.375" style="1"/>
    <col min="10750" max="10750" width="14.375" style="1" customWidth="1"/>
    <col min="10751" max="10751" width="10.375" style="1"/>
    <col min="10752" max="10752" width="11.625" style="1" bestFit="1" customWidth="1"/>
    <col min="10753" max="10755" width="10.375" style="1"/>
    <col min="10756" max="10756" width="12.875" style="1" customWidth="1"/>
    <col min="10757" max="10757" width="10.375" style="1"/>
    <col min="10758" max="10758" width="13" style="1" customWidth="1"/>
    <col min="10759" max="10997" width="10.375" style="1"/>
    <col min="10998" max="10998" width="33.25" style="1" customWidth="1"/>
    <col min="10999" max="11003" width="10.375" style="1"/>
    <col min="11004" max="11004" width="13.625" style="1" customWidth="1"/>
    <col min="11005" max="11005" width="10.375" style="1"/>
    <col min="11006" max="11006" width="14.375" style="1" customWidth="1"/>
    <col min="11007" max="11007" width="10.375" style="1"/>
    <col min="11008" max="11008" width="11.625" style="1" bestFit="1" customWidth="1"/>
    <col min="11009" max="11011" width="10.375" style="1"/>
    <col min="11012" max="11012" width="12.875" style="1" customWidth="1"/>
    <col min="11013" max="11013" width="10.375" style="1"/>
    <col min="11014" max="11014" width="13" style="1" customWidth="1"/>
    <col min="11015" max="11253" width="10.375" style="1"/>
    <col min="11254" max="11254" width="33.25" style="1" customWidth="1"/>
    <col min="11255" max="11259" width="10.375" style="1"/>
    <col min="11260" max="11260" width="13.625" style="1" customWidth="1"/>
    <col min="11261" max="11261" width="10.375" style="1"/>
    <col min="11262" max="11262" width="14.375" style="1" customWidth="1"/>
    <col min="11263" max="11263" width="10.375" style="1"/>
    <col min="11264" max="11264" width="11.625" style="1" bestFit="1" customWidth="1"/>
    <col min="11265" max="11267" width="10.375" style="1"/>
    <col min="11268" max="11268" width="12.875" style="1" customWidth="1"/>
    <col min="11269" max="11269" width="10.375" style="1"/>
    <col min="11270" max="11270" width="13" style="1" customWidth="1"/>
    <col min="11271" max="11509" width="10.375" style="1"/>
    <col min="11510" max="11510" width="33.25" style="1" customWidth="1"/>
    <col min="11511" max="11515" width="10.375" style="1"/>
    <col min="11516" max="11516" width="13.625" style="1" customWidth="1"/>
    <col min="11517" max="11517" width="10.375" style="1"/>
    <col min="11518" max="11518" width="14.375" style="1" customWidth="1"/>
    <col min="11519" max="11519" width="10.375" style="1"/>
    <col min="11520" max="11520" width="11.625" style="1" bestFit="1" customWidth="1"/>
    <col min="11521" max="11523" width="10.375" style="1"/>
    <col min="11524" max="11524" width="12.875" style="1" customWidth="1"/>
    <col min="11525" max="11525" width="10.375" style="1"/>
    <col min="11526" max="11526" width="13" style="1" customWidth="1"/>
    <col min="11527" max="11765" width="10.375" style="1"/>
    <col min="11766" max="11766" width="33.25" style="1" customWidth="1"/>
    <col min="11767" max="11771" width="10.375" style="1"/>
    <col min="11772" max="11772" width="13.625" style="1" customWidth="1"/>
    <col min="11773" max="11773" width="10.375" style="1"/>
    <col min="11774" max="11774" width="14.375" style="1" customWidth="1"/>
    <col min="11775" max="11775" width="10.375" style="1"/>
    <col min="11776" max="11776" width="11.625" style="1" bestFit="1" customWidth="1"/>
    <col min="11777" max="11779" width="10.375" style="1"/>
    <col min="11780" max="11780" width="12.875" style="1" customWidth="1"/>
    <col min="11781" max="11781" width="10.375" style="1"/>
    <col min="11782" max="11782" width="13" style="1" customWidth="1"/>
    <col min="11783" max="12021" width="10.375" style="1"/>
    <col min="12022" max="12022" width="33.25" style="1" customWidth="1"/>
    <col min="12023" max="12027" width="10.375" style="1"/>
    <col min="12028" max="12028" width="13.625" style="1" customWidth="1"/>
    <col min="12029" max="12029" width="10.375" style="1"/>
    <col min="12030" max="12030" width="14.375" style="1" customWidth="1"/>
    <col min="12031" max="12031" width="10.375" style="1"/>
    <col min="12032" max="12032" width="11.625" style="1" bestFit="1" customWidth="1"/>
    <col min="12033" max="12035" width="10.375" style="1"/>
    <col min="12036" max="12036" width="12.875" style="1" customWidth="1"/>
    <col min="12037" max="12037" width="10.375" style="1"/>
    <col min="12038" max="12038" width="13" style="1" customWidth="1"/>
    <col min="12039" max="12277" width="10.375" style="1"/>
    <col min="12278" max="12278" width="33.25" style="1" customWidth="1"/>
    <col min="12279" max="12283" width="10.375" style="1"/>
    <col min="12284" max="12284" width="13.625" style="1" customWidth="1"/>
    <col min="12285" max="12285" width="10.375" style="1"/>
    <col min="12286" max="12286" width="14.375" style="1" customWidth="1"/>
    <col min="12287" max="12287" width="10.375" style="1"/>
    <col min="12288" max="12288" width="11.625" style="1" bestFit="1" customWidth="1"/>
    <col min="12289" max="12291" width="10.375" style="1"/>
    <col min="12292" max="12292" width="12.875" style="1" customWidth="1"/>
    <col min="12293" max="12293" width="10.375" style="1"/>
    <col min="12294" max="12294" width="13" style="1" customWidth="1"/>
    <col min="12295" max="12533" width="10.375" style="1"/>
    <col min="12534" max="12534" width="33.25" style="1" customWidth="1"/>
    <col min="12535" max="12539" width="10.375" style="1"/>
    <col min="12540" max="12540" width="13.625" style="1" customWidth="1"/>
    <col min="12541" max="12541" width="10.375" style="1"/>
    <col min="12542" max="12542" width="14.375" style="1" customWidth="1"/>
    <col min="12543" max="12543" width="10.375" style="1"/>
    <col min="12544" max="12544" width="11.625" style="1" bestFit="1" customWidth="1"/>
    <col min="12545" max="12547" width="10.375" style="1"/>
    <col min="12548" max="12548" width="12.875" style="1" customWidth="1"/>
    <col min="12549" max="12549" width="10.375" style="1"/>
    <col min="12550" max="12550" width="13" style="1" customWidth="1"/>
    <col min="12551" max="12789" width="10.375" style="1"/>
    <col min="12790" max="12790" width="33.25" style="1" customWidth="1"/>
    <col min="12791" max="12795" width="10.375" style="1"/>
    <col min="12796" max="12796" width="13.625" style="1" customWidth="1"/>
    <col min="12797" max="12797" width="10.375" style="1"/>
    <col min="12798" max="12798" width="14.375" style="1" customWidth="1"/>
    <col min="12799" max="12799" width="10.375" style="1"/>
    <col min="12800" max="12800" width="11.625" style="1" bestFit="1" customWidth="1"/>
    <col min="12801" max="12803" width="10.375" style="1"/>
    <col min="12804" max="12804" width="12.875" style="1" customWidth="1"/>
    <col min="12805" max="12805" width="10.375" style="1"/>
    <col min="12806" max="12806" width="13" style="1" customWidth="1"/>
    <col min="12807" max="13045" width="10.375" style="1"/>
    <col min="13046" max="13046" width="33.25" style="1" customWidth="1"/>
    <col min="13047" max="13051" width="10.375" style="1"/>
    <col min="13052" max="13052" width="13.625" style="1" customWidth="1"/>
    <col min="13053" max="13053" width="10.375" style="1"/>
    <col min="13054" max="13054" width="14.375" style="1" customWidth="1"/>
    <col min="13055" max="13055" width="10.375" style="1"/>
    <col min="13056" max="13056" width="11.625" style="1" bestFit="1" customWidth="1"/>
    <col min="13057" max="13059" width="10.375" style="1"/>
    <col min="13060" max="13060" width="12.875" style="1" customWidth="1"/>
    <col min="13061" max="13061" width="10.375" style="1"/>
    <col min="13062" max="13062" width="13" style="1" customWidth="1"/>
    <col min="13063" max="13301" width="10.375" style="1"/>
    <col min="13302" max="13302" width="33.25" style="1" customWidth="1"/>
    <col min="13303" max="13307" width="10.375" style="1"/>
    <col min="13308" max="13308" width="13.625" style="1" customWidth="1"/>
    <col min="13309" max="13309" width="10.375" style="1"/>
    <col min="13310" max="13310" width="14.375" style="1" customWidth="1"/>
    <col min="13311" max="13311" width="10.375" style="1"/>
    <col min="13312" max="13312" width="11.625" style="1" bestFit="1" customWidth="1"/>
    <col min="13313" max="13315" width="10.375" style="1"/>
    <col min="13316" max="13316" width="12.875" style="1" customWidth="1"/>
    <col min="13317" max="13317" width="10.375" style="1"/>
    <col min="13318" max="13318" width="13" style="1" customWidth="1"/>
    <col min="13319" max="13557" width="10.375" style="1"/>
    <col min="13558" max="13558" width="33.25" style="1" customWidth="1"/>
    <col min="13559" max="13563" width="10.375" style="1"/>
    <col min="13564" max="13564" width="13.625" style="1" customWidth="1"/>
    <col min="13565" max="13565" width="10.375" style="1"/>
    <col min="13566" max="13566" width="14.375" style="1" customWidth="1"/>
    <col min="13567" max="13567" width="10.375" style="1"/>
    <col min="13568" max="13568" width="11.625" style="1" bestFit="1" customWidth="1"/>
    <col min="13569" max="13571" width="10.375" style="1"/>
    <col min="13572" max="13572" width="12.875" style="1" customWidth="1"/>
    <col min="13573" max="13573" width="10.375" style="1"/>
    <col min="13574" max="13574" width="13" style="1" customWidth="1"/>
    <col min="13575" max="13813" width="10.375" style="1"/>
    <col min="13814" max="13814" width="33.25" style="1" customWidth="1"/>
    <col min="13815" max="13819" width="10.375" style="1"/>
    <col min="13820" max="13820" width="13.625" style="1" customWidth="1"/>
    <col min="13821" max="13821" width="10.375" style="1"/>
    <col min="13822" max="13822" width="14.375" style="1" customWidth="1"/>
    <col min="13823" max="13823" width="10.375" style="1"/>
    <col min="13824" max="13824" width="11.625" style="1" bestFit="1" customWidth="1"/>
    <col min="13825" max="13827" width="10.375" style="1"/>
    <col min="13828" max="13828" width="12.875" style="1" customWidth="1"/>
    <col min="13829" max="13829" width="10.375" style="1"/>
    <col min="13830" max="13830" width="13" style="1" customWidth="1"/>
    <col min="13831" max="14069" width="10.375" style="1"/>
    <col min="14070" max="14070" width="33.25" style="1" customWidth="1"/>
    <col min="14071" max="14075" width="10.375" style="1"/>
    <col min="14076" max="14076" width="13.625" style="1" customWidth="1"/>
    <col min="14077" max="14077" width="10.375" style="1"/>
    <col min="14078" max="14078" width="14.375" style="1" customWidth="1"/>
    <col min="14079" max="14079" width="10.375" style="1"/>
    <col min="14080" max="14080" width="11.625" style="1" bestFit="1" customWidth="1"/>
    <col min="14081" max="14083" width="10.375" style="1"/>
    <col min="14084" max="14084" width="12.875" style="1" customWidth="1"/>
    <col min="14085" max="14085" width="10.375" style="1"/>
    <col min="14086" max="14086" width="13" style="1" customWidth="1"/>
    <col min="14087" max="14325" width="10.375" style="1"/>
    <col min="14326" max="14326" width="33.25" style="1" customWidth="1"/>
    <col min="14327" max="14331" width="10.375" style="1"/>
    <col min="14332" max="14332" width="13.625" style="1" customWidth="1"/>
    <col min="14333" max="14333" width="10.375" style="1"/>
    <col min="14334" max="14334" width="14.375" style="1" customWidth="1"/>
    <col min="14335" max="14335" width="10.375" style="1"/>
    <col min="14336" max="14336" width="11.625" style="1" bestFit="1" customWidth="1"/>
    <col min="14337" max="14339" width="10.375" style="1"/>
    <col min="14340" max="14340" width="12.875" style="1" customWidth="1"/>
    <col min="14341" max="14341" width="10.375" style="1"/>
    <col min="14342" max="14342" width="13" style="1" customWidth="1"/>
    <col min="14343" max="14581" width="10.375" style="1"/>
    <col min="14582" max="14582" width="33.25" style="1" customWidth="1"/>
    <col min="14583" max="14587" width="10.375" style="1"/>
    <col min="14588" max="14588" width="13.625" style="1" customWidth="1"/>
    <col min="14589" max="14589" width="10.375" style="1"/>
    <col min="14590" max="14590" width="14.375" style="1" customWidth="1"/>
    <col min="14591" max="14591" width="10.375" style="1"/>
    <col min="14592" max="14592" width="11.625" style="1" bestFit="1" customWidth="1"/>
    <col min="14593" max="14595" width="10.375" style="1"/>
    <col min="14596" max="14596" width="12.875" style="1" customWidth="1"/>
    <col min="14597" max="14597" width="10.375" style="1"/>
    <col min="14598" max="14598" width="13" style="1" customWidth="1"/>
    <col min="14599" max="14837" width="10.375" style="1"/>
    <col min="14838" max="14838" width="33.25" style="1" customWidth="1"/>
    <col min="14839" max="14843" width="10.375" style="1"/>
    <col min="14844" max="14844" width="13.625" style="1" customWidth="1"/>
    <col min="14845" max="14845" width="10.375" style="1"/>
    <col min="14846" max="14846" width="14.375" style="1" customWidth="1"/>
    <col min="14847" max="14847" width="10.375" style="1"/>
    <col min="14848" max="14848" width="11.625" style="1" bestFit="1" customWidth="1"/>
    <col min="14849" max="14851" width="10.375" style="1"/>
    <col min="14852" max="14852" width="12.875" style="1" customWidth="1"/>
    <col min="14853" max="14853" width="10.375" style="1"/>
    <col min="14854" max="14854" width="13" style="1" customWidth="1"/>
    <col min="14855" max="15093" width="10.375" style="1"/>
    <col min="15094" max="15094" width="33.25" style="1" customWidth="1"/>
    <col min="15095" max="15099" width="10.375" style="1"/>
    <col min="15100" max="15100" width="13.625" style="1" customWidth="1"/>
    <col min="15101" max="15101" width="10.375" style="1"/>
    <col min="15102" max="15102" width="14.375" style="1" customWidth="1"/>
    <col min="15103" max="15103" width="10.375" style="1"/>
    <col min="15104" max="15104" width="11.625" style="1" bestFit="1" customWidth="1"/>
    <col min="15105" max="15107" width="10.375" style="1"/>
    <col min="15108" max="15108" width="12.875" style="1" customWidth="1"/>
    <col min="15109" max="15109" width="10.375" style="1"/>
    <col min="15110" max="15110" width="13" style="1" customWidth="1"/>
    <col min="15111" max="15349" width="10.375" style="1"/>
    <col min="15350" max="15350" width="33.25" style="1" customWidth="1"/>
    <col min="15351" max="15355" width="10.375" style="1"/>
    <col min="15356" max="15356" width="13.625" style="1" customWidth="1"/>
    <col min="15357" max="15357" width="10.375" style="1"/>
    <col min="15358" max="15358" width="14.375" style="1" customWidth="1"/>
    <col min="15359" max="15359" width="10.375" style="1"/>
    <col min="15360" max="15360" width="11.625" style="1" bestFit="1" customWidth="1"/>
    <col min="15361" max="15363" width="10.375" style="1"/>
    <col min="15364" max="15364" width="12.875" style="1" customWidth="1"/>
    <col min="15365" max="15365" width="10.375" style="1"/>
    <col min="15366" max="15366" width="13" style="1" customWidth="1"/>
    <col min="15367" max="15605" width="10.375" style="1"/>
    <col min="15606" max="15606" width="33.25" style="1" customWidth="1"/>
    <col min="15607" max="15611" width="10.375" style="1"/>
    <col min="15612" max="15612" width="13.625" style="1" customWidth="1"/>
    <col min="15613" max="15613" width="10.375" style="1"/>
    <col min="15614" max="15614" width="14.375" style="1" customWidth="1"/>
    <col min="15615" max="15615" width="10.375" style="1"/>
    <col min="15616" max="15616" width="11.625" style="1" bestFit="1" customWidth="1"/>
    <col min="15617" max="15619" width="10.375" style="1"/>
    <col min="15620" max="15620" width="12.875" style="1" customWidth="1"/>
    <col min="15621" max="15621" width="10.375" style="1"/>
    <col min="15622" max="15622" width="13" style="1" customWidth="1"/>
    <col min="15623" max="15861" width="10.375" style="1"/>
    <col min="15862" max="15862" width="33.25" style="1" customWidth="1"/>
    <col min="15863" max="15867" width="10.375" style="1"/>
    <col min="15868" max="15868" width="13.625" style="1" customWidth="1"/>
    <col min="15869" max="15869" width="10.375" style="1"/>
    <col min="15870" max="15870" width="14.375" style="1" customWidth="1"/>
    <col min="15871" max="15871" width="10.375" style="1"/>
    <col min="15872" max="15872" width="11.625" style="1" bestFit="1" customWidth="1"/>
    <col min="15873" max="15875" width="10.375" style="1"/>
    <col min="15876" max="15876" width="12.875" style="1" customWidth="1"/>
    <col min="15877" max="15877" width="10.375" style="1"/>
    <col min="15878" max="15878" width="13" style="1" customWidth="1"/>
    <col min="15879" max="16117" width="10.375" style="1"/>
    <col min="16118" max="16118" width="33.25" style="1" customWidth="1"/>
    <col min="16119" max="16123" width="10.375" style="1"/>
    <col min="16124" max="16124" width="13.625" style="1" customWidth="1"/>
    <col min="16125" max="16125" width="10.375" style="1"/>
    <col min="16126" max="16126" width="14.375" style="1" customWidth="1"/>
    <col min="16127" max="16127" width="10.375" style="1"/>
    <col min="16128" max="16128" width="11.625" style="1" bestFit="1" customWidth="1"/>
    <col min="16129" max="16131" width="10.375" style="1"/>
    <col min="16132" max="16132" width="12.875" style="1" customWidth="1"/>
    <col min="16133" max="16133" width="10.375" style="1"/>
    <col min="16134" max="16134" width="13" style="1" customWidth="1"/>
    <col min="16135" max="16384" width="10.375" style="1"/>
  </cols>
  <sheetData>
    <row r="1" spans="1:6" ht="18.600000000000001">
      <c r="A1" s="175" t="s">
        <v>0</v>
      </c>
      <c r="B1" s="175"/>
      <c r="C1" s="175"/>
      <c r="D1" s="175"/>
      <c r="E1" s="175"/>
      <c r="F1" s="175"/>
    </row>
    <row r="2" spans="1:6" ht="18.600000000000001">
      <c r="A2" s="176" t="s">
        <v>1</v>
      </c>
      <c r="B2" s="176"/>
      <c r="C2" s="176"/>
      <c r="D2" s="176"/>
      <c r="E2" s="176"/>
      <c r="F2" s="176"/>
    </row>
    <row r="3" spans="1:6" ht="18.600000000000001">
      <c r="A3" s="177" t="s">
        <v>63</v>
      </c>
      <c r="B3" s="177"/>
      <c r="C3" s="177"/>
      <c r="D3" s="177"/>
      <c r="E3" s="177"/>
      <c r="F3" s="177"/>
    </row>
    <row r="4" spans="1:6" ht="18.600000000000001">
      <c r="A4" s="178" t="s">
        <v>3</v>
      </c>
      <c r="B4" s="173" t="s">
        <v>4</v>
      </c>
      <c r="C4" s="146"/>
      <c r="D4" s="182" t="s">
        <v>9</v>
      </c>
      <c r="E4" s="183"/>
      <c r="F4" s="184"/>
    </row>
    <row r="5" spans="1:6" ht="18.600000000000001">
      <c r="A5" s="179"/>
      <c r="B5" s="181"/>
      <c r="C5" s="3" t="s">
        <v>58</v>
      </c>
      <c r="D5" s="185" t="s">
        <v>10</v>
      </c>
      <c r="E5" s="187" t="s">
        <v>12</v>
      </c>
      <c r="F5" s="2"/>
    </row>
    <row r="6" spans="1:6" ht="18.600000000000001">
      <c r="A6" s="180"/>
      <c r="B6" s="174"/>
      <c r="C6" s="4"/>
      <c r="D6" s="186"/>
      <c r="E6" s="188"/>
      <c r="F6" s="7" t="s">
        <v>19</v>
      </c>
    </row>
    <row r="7" spans="1:6" ht="18.600000000000001">
      <c r="A7" s="156"/>
      <c r="B7" s="173" t="s">
        <v>59</v>
      </c>
      <c r="C7" s="157"/>
      <c r="D7" s="158"/>
      <c r="E7" s="159"/>
      <c r="F7" s="160"/>
    </row>
    <row r="8" spans="1:6" ht="21.75" customHeight="1">
      <c r="A8" s="164"/>
      <c r="B8" s="174"/>
      <c r="C8" s="165"/>
      <c r="D8" s="150"/>
      <c r="E8" s="84"/>
      <c r="F8" s="166"/>
    </row>
    <row r="9" spans="1:6" ht="19.2" thickBot="1">
      <c r="A9" s="167"/>
      <c r="B9" s="168"/>
      <c r="C9" s="168"/>
      <c r="D9" s="169"/>
      <c r="E9" s="170"/>
      <c r="F9" s="171"/>
    </row>
    <row r="10" spans="1:6" ht="19.2" thickTop="1">
      <c r="A10" s="161"/>
      <c r="B10" s="162"/>
      <c r="C10" s="162"/>
      <c r="D10" s="77"/>
      <c r="E10" s="78"/>
      <c r="F10" s="163"/>
    </row>
    <row r="11" spans="1:6" ht="18.600000000000001">
      <c r="A11" s="151"/>
      <c r="B11" s="155" t="s">
        <v>31</v>
      </c>
      <c r="C11" s="147"/>
      <c r="D11" s="77"/>
      <c r="E11" s="78"/>
      <c r="F11" s="96"/>
    </row>
    <row r="12" spans="1:6" ht="18.600000000000001">
      <c r="A12" s="42">
        <v>1</v>
      </c>
      <c r="B12" s="97" t="s">
        <v>32</v>
      </c>
      <c r="C12" s="98"/>
      <c r="D12" s="24" t="s">
        <v>34</v>
      </c>
      <c r="E12" s="25"/>
      <c r="F12" s="99">
        <v>322273.98</v>
      </c>
    </row>
    <row r="13" spans="1:6" ht="18.600000000000001">
      <c r="A13" s="42"/>
      <c r="B13" s="100" t="s">
        <v>35</v>
      </c>
      <c r="C13" s="98"/>
      <c r="D13" s="31"/>
      <c r="E13" s="25"/>
      <c r="F13" s="99"/>
    </row>
    <row r="14" spans="1:6" ht="18.600000000000001">
      <c r="A14" s="42"/>
      <c r="B14" s="100" t="s">
        <v>37</v>
      </c>
      <c r="C14" s="101"/>
      <c r="D14" s="31"/>
      <c r="E14" s="25"/>
      <c r="F14" s="99"/>
    </row>
    <row r="15" spans="1:6" ht="18.600000000000001">
      <c r="A15" s="42"/>
      <c r="B15" s="100" t="s">
        <v>38</v>
      </c>
      <c r="C15" s="101"/>
      <c r="D15" s="31"/>
      <c r="E15" s="25"/>
      <c r="F15" s="99"/>
    </row>
    <row r="16" spans="1:6" ht="18.600000000000001">
      <c r="A16" s="8">
        <v>2</v>
      </c>
      <c r="B16" s="102" t="s">
        <v>32</v>
      </c>
      <c r="C16" s="98"/>
      <c r="D16" s="62" t="s">
        <v>40</v>
      </c>
      <c r="E16" s="25">
        <v>16</v>
      </c>
      <c r="F16" s="99">
        <v>5208581.93</v>
      </c>
    </row>
    <row r="17" spans="1:6" ht="18.600000000000001">
      <c r="A17" s="8"/>
      <c r="B17" s="153" t="s">
        <v>41</v>
      </c>
      <c r="C17" s="101"/>
      <c r="D17" s="62" t="s">
        <v>42</v>
      </c>
      <c r="E17" s="25"/>
      <c r="F17" s="92"/>
    </row>
    <row r="18" spans="1:6" ht="18.600000000000001">
      <c r="A18" s="8"/>
      <c r="B18" s="103" t="s">
        <v>43</v>
      </c>
      <c r="C18" s="101"/>
      <c r="D18" s="31"/>
      <c r="E18" s="25"/>
      <c r="F18" s="92"/>
    </row>
    <row r="19" spans="1:6" ht="18.600000000000001">
      <c r="A19" s="148"/>
      <c r="B19" s="149" t="s">
        <v>44</v>
      </c>
      <c r="C19" s="154"/>
      <c r="D19" s="150"/>
      <c r="E19" s="25"/>
      <c r="F19" s="92"/>
    </row>
    <row r="20" spans="1:6" ht="19.2" thickBot="1">
      <c r="A20" s="152"/>
      <c r="B20" s="172" t="s">
        <v>53</v>
      </c>
      <c r="C20" s="145"/>
      <c r="D20" s="108"/>
      <c r="E20" s="106"/>
      <c r="F20" s="106">
        <f>SUM(F12:F18)</f>
        <v>5530855.9100000001</v>
      </c>
    </row>
    <row r="21" spans="1:6" ht="19.2" thickTop="1">
      <c r="A21" s="120"/>
      <c r="B21" s="121"/>
      <c r="C21" s="121"/>
      <c r="D21" s="125"/>
      <c r="E21" s="121"/>
      <c r="F21" s="126"/>
    </row>
  </sheetData>
  <mergeCells count="9">
    <mergeCell ref="B7:B8"/>
    <mergeCell ref="A1:F1"/>
    <mergeCell ref="A2:F2"/>
    <mergeCell ref="A3:F3"/>
    <mergeCell ref="A4:A6"/>
    <mergeCell ref="B4:B6"/>
    <mergeCell ref="D4:F4"/>
    <mergeCell ref="D5:D6"/>
    <mergeCell ref="E5:E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0F6B0-6C43-4E31-A9B4-80AE15EA0D1A}">
  <sheetPr>
    <tabColor rgb="FF00B0F0"/>
  </sheetPr>
  <dimension ref="A1:E21"/>
  <sheetViews>
    <sheetView workbookViewId="0">
      <pane ySplit="6" topLeftCell="A7" activePane="bottomLeft" state="frozen"/>
      <selection pane="bottomLeft" activeCell="J9" sqref="J9"/>
    </sheetView>
  </sheetViews>
  <sheetFormatPr defaultColWidth="10.375" defaultRowHeight="14.4"/>
  <cols>
    <col min="1" max="1" width="10.375" style="1"/>
    <col min="2" max="2" width="33.25" style="1" customWidth="1"/>
    <col min="3" max="4" width="10.375" style="1"/>
    <col min="5" max="5" width="13" style="1" customWidth="1"/>
    <col min="6" max="244" width="10.375" style="1"/>
    <col min="245" max="245" width="33.25" style="1" customWidth="1"/>
    <col min="246" max="250" width="10.375" style="1"/>
    <col min="251" max="251" width="13.625" style="1" customWidth="1"/>
    <col min="252" max="252" width="10.375" style="1"/>
    <col min="253" max="253" width="14.375" style="1" customWidth="1"/>
    <col min="254" max="254" width="10.375" style="1"/>
    <col min="255" max="255" width="11.625" style="1" bestFit="1" customWidth="1"/>
    <col min="256" max="258" width="10.375" style="1"/>
    <col min="259" max="259" width="12.875" style="1" customWidth="1"/>
    <col min="260" max="260" width="10.375" style="1"/>
    <col min="261" max="261" width="13" style="1" customWidth="1"/>
    <col min="262" max="500" width="10.375" style="1"/>
    <col min="501" max="501" width="33.25" style="1" customWidth="1"/>
    <col min="502" max="506" width="10.375" style="1"/>
    <col min="507" max="507" width="13.625" style="1" customWidth="1"/>
    <col min="508" max="508" width="10.375" style="1"/>
    <col min="509" max="509" width="14.375" style="1" customWidth="1"/>
    <col min="510" max="510" width="10.375" style="1"/>
    <col min="511" max="511" width="11.625" style="1" bestFit="1" customWidth="1"/>
    <col min="512" max="514" width="10.375" style="1"/>
    <col min="515" max="515" width="12.875" style="1" customWidth="1"/>
    <col min="516" max="516" width="10.375" style="1"/>
    <col min="517" max="517" width="13" style="1" customWidth="1"/>
    <col min="518" max="756" width="10.375" style="1"/>
    <col min="757" max="757" width="33.25" style="1" customWidth="1"/>
    <col min="758" max="762" width="10.375" style="1"/>
    <col min="763" max="763" width="13.625" style="1" customWidth="1"/>
    <col min="764" max="764" width="10.375" style="1"/>
    <col min="765" max="765" width="14.375" style="1" customWidth="1"/>
    <col min="766" max="766" width="10.375" style="1"/>
    <col min="767" max="767" width="11.625" style="1" bestFit="1" customWidth="1"/>
    <col min="768" max="770" width="10.375" style="1"/>
    <col min="771" max="771" width="12.875" style="1" customWidth="1"/>
    <col min="772" max="772" width="10.375" style="1"/>
    <col min="773" max="773" width="13" style="1" customWidth="1"/>
    <col min="774" max="1012" width="10.375" style="1"/>
    <col min="1013" max="1013" width="33.25" style="1" customWidth="1"/>
    <col min="1014" max="1018" width="10.375" style="1"/>
    <col min="1019" max="1019" width="13.625" style="1" customWidth="1"/>
    <col min="1020" max="1020" width="10.375" style="1"/>
    <col min="1021" max="1021" width="14.375" style="1" customWidth="1"/>
    <col min="1022" max="1022" width="10.375" style="1"/>
    <col min="1023" max="1023" width="11.625" style="1" bestFit="1" customWidth="1"/>
    <col min="1024" max="1026" width="10.375" style="1"/>
    <col min="1027" max="1027" width="12.875" style="1" customWidth="1"/>
    <col min="1028" max="1028" width="10.375" style="1"/>
    <col min="1029" max="1029" width="13" style="1" customWidth="1"/>
    <col min="1030" max="1268" width="10.375" style="1"/>
    <col min="1269" max="1269" width="33.25" style="1" customWidth="1"/>
    <col min="1270" max="1274" width="10.375" style="1"/>
    <col min="1275" max="1275" width="13.625" style="1" customWidth="1"/>
    <col min="1276" max="1276" width="10.375" style="1"/>
    <col min="1277" max="1277" width="14.375" style="1" customWidth="1"/>
    <col min="1278" max="1278" width="10.375" style="1"/>
    <col min="1279" max="1279" width="11.625" style="1" bestFit="1" customWidth="1"/>
    <col min="1280" max="1282" width="10.375" style="1"/>
    <col min="1283" max="1283" width="12.875" style="1" customWidth="1"/>
    <col min="1284" max="1284" width="10.375" style="1"/>
    <col min="1285" max="1285" width="13" style="1" customWidth="1"/>
    <col min="1286" max="1524" width="10.375" style="1"/>
    <col min="1525" max="1525" width="33.25" style="1" customWidth="1"/>
    <col min="1526" max="1530" width="10.375" style="1"/>
    <col min="1531" max="1531" width="13.625" style="1" customWidth="1"/>
    <col min="1532" max="1532" width="10.375" style="1"/>
    <col min="1533" max="1533" width="14.375" style="1" customWidth="1"/>
    <col min="1534" max="1534" width="10.375" style="1"/>
    <col min="1535" max="1535" width="11.625" style="1" bestFit="1" customWidth="1"/>
    <col min="1536" max="1538" width="10.375" style="1"/>
    <col min="1539" max="1539" width="12.875" style="1" customWidth="1"/>
    <col min="1540" max="1540" width="10.375" style="1"/>
    <col min="1541" max="1541" width="13" style="1" customWidth="1"/>
    <col min="1542" max="1780" width="10.375" style="1"/>
    <col min="1781" max="1781" width="33.25" style="1" customWidth="1"/>
    <col min="1782" max="1786" width="10.375" style="1"/>
    <col min="1787" max="1787" width="13.625" style="1" customWidth="1"/>
    <col min="1788" max="1788" width="10.375" style="1"/>
    <col min="1789" max="1789" width="14.375" style="1" customWidth="1"/>
    <col min="1790" max="1790" width="10.375" style="1"/>
    <col min="1791" max="1791" width="11.625" style="1" bestFit="1" customWidth="1"/>
    <col min="1792" max="1794" width="10.375" style="1"/>
    <col min="1795" max="1795" width="12.875" style="1" customWidth="1"/>
    <col min="1796" max="1796" width="10.375" style="1"/>
    <col min="1797" max="1797" width="13" style="1" customWidth="1"/>
    <col min="1798" max="2036" width="10.375" style="1"/>
    <col min="2037" max="2037" width="33.25" style="1" customWidth="1"/>
    <col min="2038" max="2042" width="10.375" style="1"/>
    <col min="2043" max="2043" width="13.625" style="1" customWidth="1"/>
    <col min="2044" max="2044" width="10.375" style="1"/>
    <col min="2045" max="2045" width="14.375" style="1" customWidth="1"/>
    <col min="2046" max="2046" width="10.375" style="1"/>
    <col min="2047" max="2047" width="11.625" style="1" bestFit="1" customWidth="1"/>
    <col min="2048" max="2050" width="10.375" style="1"/>
    <col min="2051" max="2051" width="12.875" style="1" customWidth="1"/>
    <col min="2052" max="2052" width="10.375" style="1"/>
    <col min="2053" max="2053" width="13" style="1" customWidth="1"/>
    <col min="2054" max="2292" width="10.375" style="1"/>
    <col min="2293" max="2293" width="33.25" style="1" customWidth="1"/>
    <col min="2294" max="2298" width="10.375" style="1"/>
    <col min="2299" max="2299" width="13.625" style="1" customWidth="1"/>
    <col min="2300" max="2300" width="10.375" style="1"/>
    <col min="2301" max="2301" width="14.375" style="1" customWidth="1"/>
    <col min="2302" max="2302" width="10.375" style="1"/>
    <col min="2303" max="2303" width="11.625" style="1" bestFit="1" customWidth="1"/>
    <col min="2304" max="2306" width="10.375" style="1"/>
    <col min="2307" max="2307" width="12.875" style="1" customWidth="1"/>
    <col min="2308" max="2308" width="10.375" style="1"/>
    <col min="2309" max="2309" width="13" style="1" customWidth="1"/>
    <col min="2310" max="2548" width="10.375" style="1"/>
    <col min="2549" max="2549" width="33.25" style="1" customWidth="1"/>
    <col min="2550" max="2554" width="10.375" style="1"/>
    <col min="2555" max="2555" width="13.625" style="1" customWidth="1"/>
    <col min="2556" max="2556" width="10.375" style="1"/>
    <col min="2557" max="2557" width="14.375" style="1" customWidth="1"/>
    <col min="2558" max="2558" width="10.375" style="1"/>
    <col min="2559" max="2559" width="11.625" style="1" bestFit="1" customWidth="1"/>
    <col min="2560" max="2562" width="10.375" style="1"/>
    <col min="2563" max="2563" width="12.875" style="1" customWidth="1"/>
    <col min="2564" max="2564" width="10.375" style="1"/>
    <col min="2565" max="2565" width="13" style="1" customWidth="1"/>
    <col min="2566" max="2804" width="10.375" style="1"/>
    <col min="2805" max="2805" width="33.25" style="1" customWidth="1"/>
    <col min="2806" max="2810" width="10.375" style="1"/>
    <col min="2811" max="2811" width="13.625" style="1" customWidth="1"/>
    <col min="2812" max="2812" width="10.375" style="1"/>
    <col min="2813" max="2813" width="14.375" style="1" customWidth="1"/>
    <col min="2814" max="2814" width="10.375" style="1"/>
    <col min="2815" max="2815" width="11.625" style="1" bestFit="1" customWidth="1"/>
    <col min="2816" max="2818" width="10.375" style="1"/>
    <col min="2819" max="2819" width="12.875" style="1" customWidth="1"/>
    <col min="2820" max="2820" width="10.375" style="1"/>
    <col min="2821" max="2821" width="13" style="1" customWidth="1"/>
    <col min="2822" max="3060" width="10.375" style="1"/>
    <col min="3061" max="3061" width="33.25" style="1" customWidth="1"/>
    <col min="3062" max="3066" width="10.375" style="1"/>
    <col min="3067" max="3067" width="13.625" style="1" customWidth="1"/>
    <col min="3068" max="3068" width="10.375" style="1"/>
    <col min="3069" max="3069" width="14.375" style="1" customWidth="1"/>
    <col min="3070" max="3070" width="10.375" style="1"/>
    <col min="3071" max="3071" width="11.625" style="1" bestFit="1" customWidth="1"/>
    <col min="3072" max="3074" width="10.375" style="1"/>
    <col min="3075" max="3075" width="12.875" style="1" customWidth="1"/>
    <col min="3076" max="3076" width="10.375" style="1"/>
    <col min="3077" max="3077" width="13" style="1" customWidth="1"/>
    <col min="3078" max="3316" width="10.375" style="1"/>
    <col min="3317" max="3317" width="33.25" style="1" customWidth="1"/>
    <col min="3318" max="3322" width="10.375" style="1"/>
    <col min="3323" max="3323" width="13.625" style="1" customWidth="1"/>
    <col min="3324" max="3324" width="10.375" style="1"/>
    <col min="3325" max="3325" width="14.375" style="1" customWidth="1"/>
    <col min="3326" max="3326" width="10.375" style="1"/>
    <col min="3327" max="3327" width="11.625" style="1" bestFit="1" customWidth="1"/>
    <col min="3328" max="3330" width="10.375" style="1"/>
    <col min="3331" max="3331" width="12.875" style="1" customWidth="1"/>
    <col min="3332" max="3332" width="10.375" style="1"/>
    <col min="3333" max="3333" width="13" style="1" customWidth="1"/>
    <col min="3334" max="3572" width="10.375" style="1"/>
    <col min="3573" max="3573" width="33.25" style="1" customWidth="1"/>
    <col min="3574" max="3578" width="10.375" style="1"/>
    <col min="3579" max="3579" width="13.625" style="1" customWidth="1"/>
    <col min="3580" max="3580" width="10.375" style="1"/>
    <col min="3581" max="3581" width="14.375" style="1" customWidth="1"/>
    <col min="3582" max="3582" width="10.375" style="1"/>
    <col min="3583" max="3583" width="11.625" style="1" bestFit="1" customWidth="1"/>
    <col min="3584" max="3586" width="10.375" style="1"/>
    <col min="3587" max="3587" width="12.875" style="1" customWidth="1"/>
    <col min="3588" max="3588" width="10.375" style="1"/>
    <col min="3589" max="3589" width="13" style="1" customWidth="1"/>
    <col min="3590" max="3828" width="10.375" style="1"/>
    <col min="3829" max="3829" width="33.25" style="1" customWidth="1"/>
    <col min="3830" max="3834" width="10.375" style="1"/>
    <col min="3835" max="3835" width="13.625" style="1" customWidth="1"/>
    <col min="3836" max="3836" width="10.375" style="1"/>
    <col min="3837" max="3837" width="14.375" style="1" customWidth="1"/>
    <col min="3838" max="3838" width="10.375" style="1"/>
    <col min="3839" max="3839" width="11.625" style="1" bestFit="1" customWidth="1"/>
    <col min="3840" max="3842" width="10.375" style="1"/>
    <col min="3843" max="3843" width="12.875" style="1" customWidth="1"/>
    <col min="3844" max="3844" width="10.375" style="1"/>
    <col min="3845" max="3845" width="13" style="1" customWidth="1"/>
    <col min="3846" max="4084" width="10.375" style="1"/>
    <col min="4085" max="4085" width="33.25" style="1" customWidth="1"/>
    <col min="4086" max="4090" width="10.375" style="1"/>
    <col min="4091" max="4091" width="13.625" style="1" customWidth="1"/>
    <col min="4092" max="4092" width="10.375" style="1"/>
    <col min="4093" max="4093" width="14.375" style="1" customWidth="1"/>
    <col min="4094" max="4094" width="10.375" style="1"/>
    <col min="4095" max="4095" width="11.625" style="1" bestFit="1" customWidth="1"/>
    <col min="4096" max="4098" width="10.375" style="1"/>
    <col min="4099" max="4099" width="12.875" style="1" customWidth="1"/>
    <col min="4100" max="4100" width="10.375" style="1"/>
    <col min="4101" max="4101" width="13" style="1" customWidth="1"/>
    <col min="4102" max="4340" width="10.375" style="1"/>
    <col min="4341" max="4341" width="33.25" style="1" customWidth="1"/>
    <col min="4342" max="4346" width="10.375" style="1"/>
    <col min="4347" max="4347" width="13.625" style="1" customWidth="1"/>
    <col min="4348" max="4348" width="10.375" style="1"/>
    <col min="4349" max="4349" width="14.375" style="1" customWidth="1"/>
    <col min="4350" max="4350" width="10.375" style="1"/>
    <col min="4351" max="4351" width="11.625" style="1" bestFit="1" customWidth="1"/>
    <col min="4352" max="4354" width="10.375" style="1"/>
    <col min="4355" max="4355" width="12.875" style="1" customWidth="1"/>
    <col min="4356" max="4356" width="10.375" style="1"/>
    <col min="4357" max="4357" width="13" style="1" customWidth="1"/>
    <col min="4358" max="4596" width="10.375" style="1"/>
    <col min="4597" max="4597" width="33.25" style="1" customWidth="1"/>
    <col min="4598" max="4602" width="10.375" style="1"/>
    <col min="4603" max="4603" width="13.625" style="1" customWidth="1"/>
    <col min="4604" max="4604" width="10.375" style="1"/>
    <col min="4605" max="4605" width="14.375" style="1" customWidth="1"/>
    <col min="4606" max="4606" width="10.375" style="1"/>
    <col min="4607" max="4607" width="11.625" style="1" bestFit="1" customWidth="1"/>
    <col min="4608" max="4610" width="10.375" style="1"/>
    <col min="4611" max="4611" width="12.875" style="1" customWidth="1"/>
    <col min="4612" max="4612" width="10.375" style="1"/>
    <col min="4613" max="4613" width="13" style="1" customWidth="1"/>
    <col min="4614" max="4852" width="10.375" style="1"/>
    <col min="4853" max="4853" width="33.25" style="1" customWidth="1"/>
    <col min="4854" max="4858" width="10.375" style="1"/>
    <col min="4859" max="4859" width="13.625" style="1" customWidth="1"/>
    <col min="4860" max="4860" width="10.375" style="1"/>
    <col min="4861" max="4861" width="14.375" style="1" customWidth="1"/>
    <col min="4862" max="4862" width="10.375" style="1"/>
    <col min="4863" max="4863" width="11.625" style="1" bestFit="1" customWidth="1"/>
    <col min="4864" max="4866" width="10.375" style="1"/>
    <col min="4867" max="4867" width="12.875" style="1" customWidth="1"/>
    <col min="4868" max="4868" width="10.375" style="1"/>
    <col min="4869" max="4869" width="13" style="1" customWidth="1"/>
    <col min="4870" max="5108" width="10.375" style="1"/>
    <col min="5109" max="5109" width="33.25" style="1" customWidth="1"/>
    <col min="5110" max="5114" width="10.375" style="1"/>
    <col min="5115" max="5115" width="13.625" style="1" customWidth="1"/>
    <col min="5116" max="5116" width="10.375" style="1"/>
    <col min="5117" max="5117" width="14.375" style="1" customWidth="1"/>
    <col min="5118" max="5118" width="10.375" style="1"/>
    <col min="5119" max="5119" width="11.625" style="1" bestFit="1" customWidth="1"/>
    <col min="5120" max="5122" width="10.375" style="1"/>
    <col min="5123" max="5123" width="12.875" style="1" customWidth="1"/>
    <col min="5124" max="5124" width="10.375" style="1"/>
    <col min="5125" max="5125" width="13" style="1" customWidth="1"/>
    <col min="5126" max="5364" width="10.375" style="1"/>
    <col min="5365" max="5365" width="33.25" style="1" customWidth="1"/>
    <col min="5366" max="5370" width="10.375" style="1"/>
    <col min="5371" max="5371" width="13.625" style="1" customWidth="1"/>
    <col min="5372" max="5372" width="10.375" style="1"/>
    <col min="5373" max="5373" width="14.375" style="1" customWidth="1"/>
    <col min="5374" max="5374" width="10.375" style="1"/>
    <col min="5375" max="5375" width="11.625" style="1" bestFit="1" customWidth="1"/>
    <col min="5376" max="5378" width="10.375" style="1"/>
    <col min="5379" max="5379" width="12.875" style="1" customWidth="1"/>
    <col min="5380" max="5380" width="10.375" style="1"/>
    <col min="5381" max="5381" width="13" style="1" customWidth="1"/>
    <col min="5382" max="5620" width="10.375" style="1"/>
    <col min="5621" max="5621" width="33.25" style="1" customWidth="1"/>
    <col min="5622" max="5626" width="10.375" style="1"/>
    <col min="5627" max="5627" width="13.625" style="1" customWidth="1"/>
    <col min="5628" max="5628" width="10.375" style="1"/>
    <col min="5629" max="5629" width="14.375" style="1" customWidth="1"/>
    <col min="5630" max="5630" width="10.375" style="1"/>
    <col min="5631" max="5631" width="11.625" style="1" bestFit="1" customWidth="1"/>
    <col min="5632" max="5634" width="10.375" style="1"/>
    <col min="5635" max="5635" width="12.875" style="1" customWidth="1"/>
    <col min="5636" max="5636" width="10.375" style="1"/>
    <col min="5637" max="5637" width="13" style="1" customWidth="1"/>
    <col min="5638" max="5876" width="10.375" style="1"/>
    <col min="5877" max="5877" width="33.25" style="1" customWidth="1"/>
    <col min="5878" max="5882" width="10.375" style="1"/>
    <col min="5883" max="5883" width="13.625" style="1" customWidth="1"/>
    <col min="5884" max="5884" width="10.375" style="1"/>
    <col min="5885" max="5885" width="14.375" style="1" customWidth="1"/>
    <col min="5886" max="5886" width="10.375" style="1"/>
    <col min="5887" max="5887" width="11.625" style="1" bestFit="1" customWidth="1"/>
    <col min="5888" max="5890" width="10.375" style="1"/>
    <col min="5891" max="5891" width="12.875" style="1" customWidth="1"/>
    <col min="5892" max="5892" width="10.375" style="1"/>
    <col min="5893" max="5893" width="13" style="1" customWidth="1"/>
    <col min="5894" max="6132" width="10.375" style="1"/>
    <col min="6133" max="6133" width="33.25" style="1" customWidth="1"/>
    <col min="6134" max="6138" width="10.375" style="1"/>
    <col min="6139" max="6139" width="13.625" style="1" customWidth="1"/>
    <col min="6140" max="6140" width="10.375" style="1"/>
    <col min="6141" max="6141" width="14.375" style="1" customWidth="1"/>
    <col min="6142" max="6142" width="10.375" style="1"/>
    <col min="6143" max="6143" width="11.625" style="1" bestFit="1" customWidth="1"/>
    <col min="6144" max="6146" width="10.375" style="1"/>
    <col min="6147" max="6147" width="12.875" style="1" customWidth="1"/>
    <col min="6148" max="6148" width="10.375" style="1"/>
    <col min="6149" max="6149" width="13" style="1" customWidth="1"/>
    <col min="6150" max="6388" width="10.375" style="1"/>
    <col min="6389" max="6389" width="33.25" style="1" customWidth="1"/>
    <col min="6390" max="6394" width="10.375" style="1"/>
    <col min="6395" max="6395" width="13.625" style="1" customWidth="1"/>
    <col min="6396" max="6396" width="10.375" style="1"/>
    <col min="6397" max="6397" width="14.375" style="1" customWidth="1"/>
    <col min="6398" max="6398" width="10.375" style="1"/>
    <col min="6399" max="6399" width="11.625" style="1" bestFit="1" customWidth="1"/>
    <col min="6400" max="6402" width="10.375" style="1"/>
    <col min="6403" max="6403" width="12.875" style="1" customWidth="1"/>
    <col min="6404" max="6404" width="10.375" style="1"/>
    <col min="6405" max="6405" width="13" style="1" customWidth="1"/>
    <col min="6406" max="6644" width="10.375" style="1"/>
    <col min="6645" max="6645" width="33.25" style="1" customWidth="1"/>
    <col min="6646" max="6650" width="10.375" style="1"/>
    <col min="6651" max="6651" width="13.625" style="1" customWidth="1"/>
    <col min="6652" max="6652" width="10.375" style="1"/>
    <col min="6653" max="6653" width="14.375" style="1" customWidth="1"/>
    <col min="6654" max="6654" width="10.375" style="1"/>
    <col min="6655" max="6655" width="11.625" style="1" bestFit="1" customWidth="1"/>
    <col min="6656" max="6658" width="10.375" style="1"/>
    <col min="6659" max="6659" width="12.875" style="1" customWidth="1"/>
    <col min="6660" max="6660" width="10.375" style="1"/>
    <col min="6661" max="6661" width="13" style="1" customWidth="1"/>
    <col min="6662" max="6900" width="10.375" style="1"/>
    <col min="6901" max="6901" width="33.25" style="1" customWidth="1"/>
    <col min="6902" max="6906" width="10.375" style="1"/>
    <col min="6907" max="6907" width="13.625" style="1" customWidth="1"/>
    <col min="6908" max="6908" width="10.375" style="1"/>
    <col min="6909" max="6909" width="14.375" style="1" customWidth="1"/>
    <col min="6910" max="6910" width="10.375" style="1"/>
    <col min="6911" max="6911" width="11.625" style="1" bestFit="1" customWidth="1"/>
    <col min="6912" max="6914" width="10.375" style="1"/>
    <col min="6915" max="6915" width="12.875" style="1" customWidth="1"/>
    <col min="6916" max="6916" width="10.375" style="1"/>
    <col min="6917" max="6917" width="13" style="1" customWidth="1"/>
    <col min="6918" max="7156" width="10.375" style="1"/>
    <col min="7157" max="7157" width="33.25" style="1" customWidth="1"/>
    <col min="7158" max="7162" width="10.375" style="1"/>
    <col min="7163" max="7163" width="13.625" style="1" customWidth="1"/>
    <col min="7164" max="7164" width="10.375" style="1"/>
    <col min="7165" max="7165" width="14.375" style="1" customWidth="1"/>
    <col min="7166" max="7166" width="10.375" style="1"/>
    <col min="7167" max="7167" width="11.625" style="1" bestFit="1" customWidth="1"/>
    <col min="7168" max="7170" width="10.375" style="1"/>
    <col min="7171" max="7171" width="12.875" style="1" customWidth="1"/>
    <col min="7172" max="7172" width="10.375" style="1"/>
    <col min="7173" max="7173" width="13" style="1" customWidth="1"/>
    <col min="7174" max="7412" width="10.375" style="1"/>
    <col min="7413" max="7413" width="33.25" style="1" customWidth="1"/>
    <col min="7414" max="7418" width="10.375" style="1"/>
    <col min="7419" max="7419" width="13.625" style="1" customWidth="1"/>
    <col min="7420" max="7420" width="10.375" style="1"/>
    <col min="7421" max="7421" width="14.375" style="1" customWidth="1"/>
    <col min="7422" max="7422" width="10.375" style="1"/>
    <col min="7423" max="7423" width="11.625" style="1" bestFit="1" customWidth="1"/>
    <col min="7424" max="7426" width="10.375" style="1"/>
    <col min="7427" max="7427" width="12.875" style="1" customWidth="1"/>
    <col min="7428" max="7428" width="10.375" style="1"/>
    <col min="7429" max="7429" width="13" style="1" customWidth="1"/>
    <col min="7430" max="7668" width="10.375" style="1"/>
    <col min="7669" max="7669" width="33.25" style="1" customWidth="1"/>
    <col min="7670" max="7674" width="10.375" style="1"/>
    <col min="7675" max="7675" width="13.625" style="1" customWidth="1"/>
    <col min="7676" max="7676" width="10.375" style="1"/>
    <col min="7677" max="7677" width="14.375" style="1" customWidth="1"/>
    <col min="7678" max="7678" width="10.375" style="1"/>
    <col min="7679" max="7679" width="11.625" style="1" bestFit="1" customWidth="1"/>
    <col min="7680" max="7682" width="10.375" style="1"/>
    <col min="7683" max="7683" width="12.875" style="1" customWidth="1"/>
    <col min="7684" max="7684" width="10.375" style="1"/>
    <col min="7685" max="7685" width="13" style="1" customWidth="1"/>
    <col min="7686" max="7924" width="10.375" style="1"/>
    <col min="7925" max="7925" width="33.25" style="1" customWidth="1"/>
    <col min="7926" max="7930" width="10.375" style="1"/>
    <col min="7931" max="7931" width="13.625" style="1" customWidth="1"/>
    <col min="7932" max="7932" width="10.375" style="1"/>
    <col min="7933" max="7933" width="14.375" style="1" customWidth="1"/>
    <col min="7934" max="7934" width="10.375" style="1"/>
    <col min="7935" max="7935" width="11.625" style="1" bestFit="1" customWidth="1"/>
    <col min="7936" max="7938" width="10.375" style="1"/>
    <col min="7939" max="7939" width="12.875" style="1" customWidth="1"/>
    <col min="7940" max="7940" width="10.375" style="1"/>
    <col min="7941" max="7941" width="13" style="1" customWidth="1"/>
    <col min="7942" max="8180" width="10.375" style="1"/>
    <col min="8181" max="8181" width="33.25" style="1" customWidth="1"/>
    <col min="8182" max="8186" width="10.375" style="1"/>
    <col min="8187" max="8187" width="13.625" style="1" customWidth="1"/>
    <col min="8188" max="8188" width="10.375" style="1"/>
    <col min="8189" max="8189" width="14.375" style="1" customWidth="1"/>
    <col min="8190" max="8190" width="10.375" style="1"/>
    <col min="8191" max="8191" width="11.625" style="1" bestFit="1" customWidth="1"/>
    <col min="8192" max="8194" width="10.375" style="1"/>
    <col min="8195" max="8195" width="12.875" style="1" customWidth="1"/>
    <col min="8196" max="8196" width="10.375" style="1"/>
    <col min="8197" max="8197" width="13" style="1" customWidth="1"/>
    <col min="8198" max="8436" width="10.375" style="1"/>
    <col min="8437" max="8437" width="33.25" style="1" customWidth="1"/>
    <col min="8438" max="8442" width="10.375" style="1"/>
    <col min="8443" max="8443" width="13.625" style="1" customWidth="1"/>
    <col min="8444" max="8444" width="10.375" style="1"/>
    <col min="8445" max="8445" width="14.375" style="1" customWidth="1"/>
    <col min="8446" max="8446" width="10.375" style="1"/>
    <col min="8447" max="8447" width="11.625" style="1" bestFit="1" customWidth="1"/>
    <col min="8448" max="8450" width="10.375" style="1"/>
    <col min="8451" max="8451" width="12.875" style="1" customWidth="1"/>
    <col min="8452" max="8452" width="10.375" style="1"/>
    <col min="8453" max="8453" width="13" style="1" customWidth="1"/>
    <col min="8454" max="8692" width="10.375" style="1"/>
    <col min="8693" max="8693" width="33.25" style="1" customWidth="1"/>
    <col min="8694" max="8698" width="10.375" style="1"/>
    <col min="8699" max="8699" width="13.625" style="1" customWidth="1"/>
    <col min="8700" max="8700" width="10.375" style="1"/>
    <col min="8701" max="8701" width="14.375" style="1" customWidth="1"/>
    <col min="8702" max="8702" width="10.375" style="1"/>
    <col min="8703" max="8703" width="11.625" style="1" bestFit="1" customWidth="1"/>
    <col min="8704" max="8706" width="10.375" style="1"/>
    <col min="8707" max="8707" width="12.875" style="1" customWidth="1"/>
    <col min="8708" max="8708" width="10.375" style="1"/>
    <col min="8709" max="8709" width="13" style="1" customWidth="1"/>
    <col min="8710" max="8948" width="10.375" style="1"/>
    <col min="8949" max="8949" width="33.25" style="1" customWidth="1"/>
    <col min="8950" max="8954" width="10.375" style="1"/>
    <col min="8955" max="8955" width="13.625" style="1" customWidth="1"/>
    <col min="8956" max="8956" width="10.375" style="1"/>
    <col min="8957" max="8957" width="14.375" style="1" customWidth="1"/>
    <col min="8958" max="8958" width="10.375" style="1"/>
    <col min="8959" max="8959" width="11.625" style="1" bestFit="1" customWidth="1"/>
    <col min="8960" max="8962" width="10.375" style="1"/>
    <col min="8963" max="8963" width="12.875" style="1" customWidth="1"/>
    <col min="8964" max="8964" width="10.375" style="1"/>
    <col min="8965" max="8965" width="13" style="1" customWidth="1"/>
    <col min="8966" max="9204" width="10.375" style="1"/>
    <col min="9205" max="9205" width="33.25" style="1" customWidth="1"/>
    <col min="9206" max="9210" width="10.375" style="1"/>
    <col min="9211" max="9211" width="13.625" style="1" customWidth="1"/>
    <col min="9212" max="9212" width="10.375" style="1"/>
    <col min="9213" max="9213" width="14.375" style="1" customWidth="1"/>
    <col min="9214" max="9214" width="10.375" style="1"/>
    <col min="9215" max="9215" width="11.625" style="1" bestFit="1" customWidth="1"/>
    <col min="9216" max="9218" width="10.375" style="1"/>
    <col min="9219" max="9219" width="12.875" style="1" customWidth="1"/>
    <col min="9220" max="9220" width="10.375" style="1"/>
    <col min="9221" max="9221" width="13" style="1" customWidth="1"/>
    <col min="9222" max="9460" width="10.375" style="1"/>
    <col min="9461" max="9461" width="33.25" style="1" customWidth="1"/>
    <col min="9462" max="9466" width="10.375" style="1"/>
    <col min="9467" max="9467" width="13.625" style="1" customWidth="1"/>
    <col min="9468" max="9468" width="10.375" style="1"/>
    <col min="9469" max="9469" width="14.375" style="1" customWidth="1"/>
    <col min="9470" max="9470" width="10.375" style="1"/>
    <col min="9471" max="9471" width="11.625" style="1" bestFit="1" customWidth="1"/>
    <col min="9472" max="9474" width="10.375" style="1"/>
    <col min="9475" max="9475" width="12.875" style="1" customWidth="1"/>
    <col min="9476" max="9476" width="10.375" style="1"/>
    <col min="9477" max="9477" width="13" style="1" customWidth="1"/>
    <col min="9478" max="9716" width="10.375" style="1"/>
    <col min="9717" max="9717" width="33.25" style="1" customWidth="1"/>
    <col min="9718" max="9722" width="10.375" style="1"/>
    <col min="9723" max="9723" width="13.625" style="1" customWidth="1"/>
    <col min="9724" max="9724" width="10.375" style="1"/>
    <col min="9725" max="9725" width="14.375" style="1" customWidth="1"/>
    <col min="9726" max="9726" width="10.375" style="1"/>
    <col min="9727" max="9727" width="11.625" style="1" bestFit="1" customWidth="1"/>
    <col min="9728" max="9730" width="10.375" style="1"/>
    <col min="9731" max="9731" width="12.875" style="1" customWidth="1"/>
    <col min="9732" max="9732" width="10.375" style="1"/>
    <col min="9733" max="9733" width="13" style="1" customWidth="1"/>
    <col min="9734" max="9972" width="10.375" style="1"/>
    <col min="9973" max="9973" width="33.25" style="1" customWidth="1"/>
    <col min="9974" max="9978" width="10.375" style="1"/>
    <col min="9979" max="9979" width="13.625" style="1" customWidth="1"/>
    <col min="9980" max="9980" width="10.375" style="1"/>
    <col min="9981" max="9981" width="14.375" style="1" customWidth="1"/>
    <col min="9982" max="9982" width="10.375" style="1"/>
    <col min="9983" max="9983" width="11.625" style="1" bestFit="1" customWidth="1"/>
    <col min="9984" max="9986" width="10.375" style="1"/>
    <col min="9987" max="9987" width="12.875" style="1" customWidth="1"/>
    <col min="9988" max="9988" width="10.375" style="1"/>
    <col min="9989" max="9989" width="13" style="1" customWidth="1"/>
    <col min="9990" max="10228" width="10.375" style="1"/>
    <col min="10229" max="10229" width="33.25" style="1" customWidth="1"/>
    <col min="10230" max="10234" width="10.375" style="1"/>
    <col min="10235" max="10235" width="13.625" style="1" customWidth="1"/>
    <col min="10236" max="10236" width="10.375" style="1"/>
    <col min="10237" max="10237" width="14.375" style="1" customWidth="1"/>
    <col min="10238" max="10238" width="10.375" style="1"/>
    <col min="10239" max="10239" width="11.625" style="1" bestFit="1" customWidth="1"/>
    <col min="10240" max="10242" width="10.375" style="1"/>
    <col min="10243" max="10243" width="12.875" style="1" customWidth="1"/>
    <col min="10244" max="10244" width="10.375" style="1"/>
    <col min="10245" max="10245" width="13" style="1" customWidth="1"/>
    <col min="10246" max="10484" width="10.375" style="1"/>
    <col min="10485" max="10485" width="33.25" style="1" customWidth="1"/>
    <col min="10486" max="10490" width="10.375" style="1"/>
    <col min="10491" max="10491" width="13.625" style="1" customWidth="1"/>
    <col min="10492" max="10492" width="10.375" style="1"/>
    <col min="10493" max="10493" width="14.375" style="1" customWidth="1"/>
    <col min="10494" max="10494" width="10.375" style="1"/>
    <col min="10495" max="10495" width="11.625" style="1" bestFit="1" customWidth="1"/>
    <col min="10496" max="10498" width="10.375" style="1"/>
    <col min="10499" max="10499" width="12.875" style="1" customWidth="1"/>
    <col min="10500" max="10500" width="10.375" style="1"/>
    <col min="10501" max="10501" width="13" style="1" customWidth="1"/>
    <col min="10502" max="10740" width="10.375" style="1"/>
    <col min="10741" max="10741" width="33.25" style="1" customWidth="1"/>
    <col min="10742" max="10746" width="10.375" style="1"/>
    <col min="10747" max="10747" width="13.625" style="1" customWidth="1"/>
    <col min="10748" max="10748" width="10.375" style="1"/>
    <col min="10749" max="10749" width="14.375" style="1" customWidth="1"/>
    <col min="10750" max="10750" width="10.375" style="1"/>
    <col min="10751" max="10751" width="11.625" style="1" bestFit="1" customWidth="1"/>
    <col min="10752" max="10754" width="10.375" style="1"/>
    <col min="10755" max="10755" width="12.875" style="1" customWidth="1"/>
    <col min="10756" max="10756" width="10.375" style="1"/>
    <col min="10757" max="10757" width="13" style="1" customWidth="1"/>
    <col min="10758" max="10996" width="10.375" style="1"/>
    <col min="10997" max="10997" width="33.25" style="1" customWidth="1"/>
    <col min="10998" max="11002" width="10.375" style="1"/>
    <col min="11003" max="11003" width="13.625" style="1" customWidth="1"/>
    <col min="11004" max="11004" width="10.375" style="1"/>
    <col min="11005" max="11005" width="14.375" style="1" customWidth="1"/>
    <col min="11006" max="11006" width="10.375" style="1"/>
    <col min="11007" max="11007" width="11.625" style="1" bestFit="1" customWidth="1"/>
    <col min="11008" max="11010" width="10.375" style="1"/>
    <col min="11011" max="11011" width="12.875" style="1" customWidth="1"/>
    <col min="11012" max="11012" width="10.375" style="1"/>
    <col min="11013" max="11013" width="13" style="1" customWidth="1"/>
    <col min="11014" max="11252" width="10.375" style="1"/>
    <col min="11253" max="11253" width="33.25" style="1" customWidth="1"/>
    <col min="11254" max="11258" width="10.375" style="1"/>
    <col min="11259" max="11259" width="13.625" style="1" customWidth="1"/>
    <col min="11260" max="11260" width="10.375" style="1"/>
    <col min="11261" max="11261" width="14.375" style="1" customWidth="1"/>
    <col min="11262" max="11262" width="10.375" style="1"/>
    <col min="11263" max="11263" width="11.625" style="1" bestFit="1" customWidth="1"/>
    <col min="11264" max="11266" width="10.375" style="1"/>
    <col min="11267" max="11267" width="12.875" style="1" customWidth="1"/>
    <col min="11268" max="11268" width="10.375" style="1"/>
    <col min="11269" max="11269" width="13" style="1" customWidth="1"/>
    <col min="11270" max="11508" width="10.375" style="1"/>
    <col min="11509" max="11509" width="33.25" style="1" customWidth="1"/>
    <col min="11510" max="11514" width="10.375" style="1"/>
    <col min="11515" max="11515" width="13.625" style="1" customWidth="1"/>
    <col min="11516" max="11516" width="10.375" style="1"/>
    <col min="11517" max="11517" width="14.375" style="1" customWidth="1"/>
    <col min="11518" max="11518" width="10.375" style="1"/>
    <col min="11519" max="11519" width="11.625" style="1" bestFit="1" customWidth="1"/>
    <col min="11520" max="11522" width="10.375" style="1"/>
    <col min="11523" max="11523" width="12.875" style="1" customWidth="1"/>
    <col min="11524" max="11524" width="10.375" style="1"/>
    <col min="11525" max="11525" width="13" style="1" customWidth="1"/>
    <col min="11526" max="11764" width="10.375" style="1"/>
    <col min="11765" max="11765" width="33.25" style="1" customWidth="1"/>
    <col min="11766" max="11770" width="10.375" style="1"/>
    <col min="11771" max="11771" width="13.625" style="1" customWidth="1"/>
    <col min="11772" max="11772" width="10.375" style="1"/>
    <col min="11773" max="11773" width="14.375" style="1" customWidth="1"/>
    <col min="11774" max="11774" width="10.375" style="1"/>
    <col min="11775" max="11775" width="11.625" style="1" bestFit="1" customWidth="1"/>
    <col min="11776" max="11778" width="10.375" style="1"/>
    <col min="11779" max="11779" width="12.875" style="1" customWidth="1"/>
    <col min="11780" max="11780" width="10.375" style="1"/>
    <col min="11781" max="11781" width="13" style="1" customWidth="1"/>
    <col min="11782" max="12020" width="10.375" style="1"/>
    <col min="12021" max="12021" width="33.25" style="1" customWidth="1"/>
    <col min="12022" max="12026" width="10.375" style="1"/>
    <col min="12027" max="12027" width="13.625" style="1" customWidth="1"/>
    <col min="12028" max="12028" width="10.375" style="1"/>
    <col min="12029" max="12029" width="14.375" style="1" customWidth="1"/>
    <col min="12030" max="12030" width="10.375" style="1"/>
    <col min="12031" max="12031" width="11.625" style="1" bestFit="1" customWidth="1"/>
    <col min="12032" max="12034" width="10.375" style="1"/>
    <col min="12035" max="12035" width="12.875" style="1" customWidth="1"/>
    <col min="12036" max="12036" width="10.375" style="1"/>
    <col min="12037" max="12037" width="13" style="1" customWidth="1"/>
    <col min="12038" max="12276" width="10.375" style="1"/>
    <col min="12277" max="12277" width="33.25" style="1" customWidth="1"/>
    <col min="12278" max="12282" width="10.375" style="1"/>
    <col min="12283" max="12283" width="13.625" style="1" customWidth="1"/>
    <col min="12284" max="12284" width="10.375" style="1"/>
    <col min="12285" max="12285" width="14.375" style="1" customWidth="1"/>
    <col min="12286" max="12286" width="10.375" style="1"/>
    <col min="12287" max="12287" width="11.625" style="1" bestFit="1" customWidth="1"/>
    <col min="12288" max="12290" width="10.375" style="1"/>
    <col min="12291" max="12291" width="12.875" style="1" customWidth="1"/>
    <col min="12292" max="12292" width="10.375" style="1"/>
    <col min="12293" max="12293" width="13" style="1" customWidth="1"/>
    <col min="12294" max="12532" width="10.375" style="1"/>
    <col min="12533" max="12533" width="33.25" style="1" customWidth="1"/>
    <col min="12534" max="12538" width="10.375" style="1"/>
    <col min="12539" max="12539" width="13.625" style="1" customWidth="1"/>
    <col min="12540" max="12540" width="10.375" style="1"/>
    <col min="12541" max="12541" width="14.375" style="1" customWidth="1"/>
    <col min="12542" max="12542" width="10.375" style="1"/>
    <col min="12543" max="12543" width="11.625" style="1" bestFit="1" customWidth="1"/>
    <col min="12544" max="12546" width="10.375" style="1"/>
    <col min="12547" max="12547" width="12.875" style="1" customWidth="1"/>
    <col min="12548" max="12548" width="10.375" style="1"/>
    <col min="12549" max="12549" width="13" style="1" customWidth="1"/>
    <col min="12550" max="12788" width="10.375" style="1"/>
    <col min="12789" max="12789" width="33.25" style="1" customWidth="1"/>
    <col min="12790" max="12794" width="10.375" style="1"/>
    <col min="12795" max="12795" width="13.625" style="1" customWidth="1"/>
    <col min="12796" max="12796" width="10.375" style="1"/>
    <col min="12797" max="12797" width="14.375" style="1" customWidth="1"/>
    <col min="12798" max="12798" width="10.375" style="1"/>
    <col min="12799" max="12799" width="11.625" style="1" bestFit="1" customWidth="1"/>
    <col min="12800" max="12802" width="10.375" style="1"/>
    <col min="12803" max="12803" width="12.875" style="1" customWidth="1"/>
    <col min="12804" max="12804" width="10.375" style="1"/>
    <col min="12805" max="12805" width="13" style="1" customWidth="1"/>
    <col min="12806" max="13044" width="10.375" style="1"/>
    <col min="13045" max="13045" width="33.25" style="1" customWidth="1"/>
    <col min="13046" max="13050" width="10.375" style="1"/>
    <col min="13051" max="13051" width="13.625" style="1" customWidth="1"/>
    <col min="13052" max="13052" width="10.375" style="1"/>
    <col min="13053" max="13053" width="14.375" style="1" customWidth="1"/>
    <col min="13054" max="13054" width="10.375" style="1"/>
    <col min="13055" max="13055" width="11.625" style="1" bestFit="1" customWidth="1"/>
    <col min="13056" max="13058" width="10.375" style="1"/>
    <col min="13059" max="13059" width="12.875" style="1" customWidth="1"/>
    <col min="13060" max="13060" width="10.375" style="1"/>
    <col min="13061" max="13061" width="13" style="1" customWidth="1"/>
    <col min="13062" max="13300" width="10.375" style="1"/>
    <col min="13301" max="13301" width="33.25" style="1" customWidth="1"/>
    <col min="13302" max="13306" width="10.375" style="1"/>
    <col min="13307" max="13307" width="13.625" style="1" customWidth="1"/>
    <col min="13308" max="13308" width="10.375" style="1"/>
    <col min="13309" max="13309" width="14.375" style="1" customWidth="1"/>
    <col min="13310" max="13310" width="10.375" style="1"/>
    <col min="13311" max="13311" width="11.625" style="1" bestFit="1" customWidth="1"/>
    <col min="13312" max="13314" width="10.375" style="1"/>
    <col min="13315" max="13315" width="12.875" style="1" customWidth="1"/>
    <col min="13316" max="13316" width="10.375" style="1"/>
    <col min="13317" max="13317" width="13" style="1" customWidth="1"/>
    <col min="13318" max="13556" width="10.375" style="1"/>
    <col min="13557" max="13557" width="33.25" style="1" customWidth="1"/>
    <col min="13558" max="13562" width="10.375" style="1"/>
    <col min="13563" max="13563" width="13.625" style="1" customWidth="1"/>
    <col min="13564" max="13564" width="10.375" style="1"/>
    <col min="13565" max="13565" width="14.375" style="1" customWidth="1"/>
    <col min="13566" max="13566" width="10.375" style="1"/>
    <col min="13567" max="13567" width="11.625" style="1" bestFit="1" customWidth="1"/>
    <col min="13568" max="13570" width="10.375" style="1"/>
    <col min="13571" max="13571" width="12.875" style="1" customWidth="1"/>
    <col min="13572" max="13572" width="10.375" style="1"/>
    <col min="13573" max="13573" width="13" style="1" customWidth="1"/>
    <col min="13574" max="13812" width="10.375" style="1"/>
    <col min="13813" max="13813" width="33.25" style="1" customWidth="1"/>
    <col min="13814" max="13818" width="10.375" style="1"/>
    <col min="13819" max="13819" width="13.625" style="1" customWidth="1"/>
    <col min="13820" max="13820" width="10.375" style="1"/>
    <col min="13821" max="13821" width="14.375" style="1" customWidth="1"/>
    <col min="13822" max="13822" width="10.375" style="1"/>
    <col min="13823" max="13823" width="11.625" style="1" bestFit="1" customWidth="1"/>
    <col min="13824" max="13826" width="10.375" style="1"/>
    <col min="13827" max="13827" width="12.875" style="1" customWidth="1"/>
    <col min="13828" max="13828" width="10.375" style="1"/>
    <col min="13829" max="13829" width="13" style="1" customWidth="1"/>
    <col min="13830" max="14068" width="10.375" style="1"/>
    <col min="14069" max="14069" width="33.25" style="1" customWidth="1"/>
    <col min="14070" max="14074" width="10.375" style="1"/>
    <col min="14075" max="14075" width="13.625" style="1" customWidth="1"/>
    <col min="14076" max="14076" width="10.375" style="1"/>
    <col min="14077" max="14077" width="14.375" style="1" customWidth="1"/>
    <col min="14078" max="14078" width="10.375" style="1"/>
    <col min="14079" max="14079" width="11.625" style="1" bestFit="1" customWidth="1"/>
    <col min="14080" max="14082" width="10.375" style="1"/>
    <col min="14083" max="14083" width="12.875" style="1" customWidth="1"/>
    <col min="14084" max="14084" width="10.375" style="1"/>
    <col min="14085" max="14085" width="13" style="1" customWidth="1"/>
    <col min="14086" max="14324" width="10.375" style="1"/>
    <col min="14325" max="14325" width="33.25" style="1" customWidth="1"/>
    <col min="14326" max="14330" width="10.375" style="1"/>
    <col min="14331" max="14331" width="13.625" style="1" customWidth="1"/>
    <col min="14332" max="14332" width="10.375" style="1"/>
    <col min="14333" max="14333" width="14.375" style="1" customWidth="1"/>
    <col min="14334" max="14334" width="10.375" style="1"/>
    <col min="14335" max="14335" width="11.625" style="1" bestFit="1" customWidth="1"/>
    <col min="14336" max="14338" width="10.375" style="1"/>
    <col min="14339" max="14339" width="12.875" style="1" customWidth="1"/>
    <col min="14340" max="14340" width="10.375" style="1"/>
    <col min="14341" max="14341" width="13" style="1" customWidth="1"/>
    <col min="14342" max="14580" width="10.375" style="1"/>
    <col min="14581" max="14581" width="33.25" style="1" customWidth="1"/>
    <col min="14582" max="14586" width="10.375" style="1"/>
    <col min="14587" max="14587" width="13.625" style="1" customWidth="1"/>
    <col min="14588" max="14588" width="10.375" style="1"/>
    <col min="14589" max="14589" width="14.375" style="1" customWidth="1"/>
    <col min="14590" max="14590" width="10.375" style="1"/>
    <col min="14591" max="14591" width="11.625" style="1" bestFit="1" customWidth="1"/>
    <col min="14592" max="14594" width="10.375" style="1"/>
    <col min="14595" max="14595" width="12.875" style="1" customWidth="1"/>
    <col min="14596" max="14596" width="10.375" style="1"/>
    <col min="14597" max="14597" width="13" style="1" customWidth="1"/>
    <col min="14598" max="14836" width="10.375" style="1"/>
    <col min="14837" max="14837" width="33.25" style="1" customWidth="1"/>
    <col min="14838" max="14842" width="10.375" style="1"/>
    <col min="14843" max="14843" width="13.625" style="1" customWidth="1"/>
    <col min="14844" max="14844" width="10.375" style="1"/>
    <col min="14845" max="14845" width="14.375" style="1" customWidth="1"/>
    <col min="14846" max="14846" width="10.375" style="1"/>
    <col min="14847" max="14847" width="11.625" style="1" bestFit="1" customWidth="1"/>
    <col min="14848" max="14850" width="10.375" style="1"/>
    <col min="14851" max="14851" width="12.875" style="1" customWidth="1"/>
    <col min="14852" max="14852" width="10.375" style="1"/>
    <col min="14853" max="14853" width="13" style="1" customWidth="1"/>
    <col min="14854" max="15092" width="10.375" style="1"/>
    <col min="15093" max="15093" width="33.25" style="1" customWidth="1"/>
    <col min="15094" max="15098" width="10.375" style="1"/>
    <col min="15099" max="15099" width="13.625" style="1" customWidth="1"/>
    <col min="15100" max="15100" width="10.375" style="1"/>
    <col min="15101" max="15101" width="14.375" style="1" customWidth="1"/>
    <col min="15102" max="15102" width="10.375" style="1"/>
    <col min="15103" max="15103" width="11.625" style="1" bestFit="1" customWidth="1"/>
    <col min="15104" max="15106" width="10.375" style="1"/>
    <col min="15107" max="15107" width="12.875" style="1" customWidth="1"/>
    <col min="15108" max="15108" width="10.375" style="1"/>
    <col min="15109" max="15109" width="13" style="1" customWidth="1"/>
    <col min="15110" max="15348" width="10.375" style="1"/>
    <col min="15349" max="15349" width="33.25" style="1" customWidth="1"/>
    <col min="15350" max="15354" width="10.375" style="1"/>
    <col min="15355" max="15355" width="13.625" style="1" customWidth="1"/>
    <col min="15356" max="15356" width="10.375" style="1"/>
    <col min="15357" max="15357" width="14.375" style="1" customWidth="1"/>
    <col min="15358" max="15358" width="10.375" style="1"/>
    <col min="15359" max="15359" width="11.625" style="1" bestFit="1" customWidth="1"/>
    <col min="15360" max="15362" width="10.375" style="1"/>
    <col min="15363" max="15363" width="12.875" style="1" customWidth="1"/>
    <col min="15364" max="15364" width="10.375" style="1"/>
    <col min="15365" max="15365" width="13" style="1" customWidth="1"/>
    <col min="15366" max="15604" width="10.375" style="1"/>
    <col min="15605" max="15605" width="33.25" style="1" customWidth="1"/>
    <col min="15606" max="15610" width="10.375" style="1"/>
    <col min="15611" max="15611" width="13.625" style="1" customWidth="1"/>
    <col min="15612" max="15612" width="10.375" style="1"/>
    <col min="15613" max="15613" width="14.375" style="1" customWidth="1"/>
    <col min="15614" max="15614" width="10.375" style="1"/>
    <col min="15615" max="15615" width="11.625" style="1" bestFit="1" customWidth="1"/>
    <col min="15616" max="15618" width="10.375" style="1"/>
    <col min="15619" max="15619" width="12.875" style="1" customWidth="1"/>
    <col min="15620" max="15620" width="10.375" style="1"/>
    <col min="15621" max="15621" width="13" style="1" customWidth="1"/>
    <col min="15622" max="15860" width="10.375" style="1"/>
    <col min="15861" max="15861" width="33.25" style="1" customWidth="1"/>
    <col min="15862" max="15866" width="10.375" style="1"/>
    <col min="15867" max="15867" width="13.625" style="1" customWidth="1"/>
    <col min="15868" max="15868" width="10.375" style="1"/>
    <col min="15869" max="15869" width="14.375" style="1" customWidth="1"/>
    <col min="15870" max="15870" width="10.375" style="1"/>
    <col min="15871" max="15871" width="11.625" style="1" bestFit="1" customWidth="1"/>
    <col min="15872" max="15874" width="10.375" style="1"/>
    <col min="15875" max="15875" width="12.875" style="1" customWidth="1"/>
    <col min="15876" max="15876" width="10.375" style="1"/>
    <col min="15877" max="15877" width="13" style="1" customWidth="1"/>
    <col min="15878" max="16116" width="10.375" style="1"/>
    <col min="16117" max="16117" width="33.25" style="1" customWidth="1"/>
    <col min="16118" max="16122" width="10.375" style="1"/>
    <col min="16123" max="16123" width="13.625" style="1" customWidth="1"/>
    <col min="16124" max="16124" width="10.375" style="1"/>
    <col min="16125" max="16125" width="14.375" style="1" customWidth="1"/>
    <col min="16126" max="16126" width="10.375" style="1"/>
    <col min="16127" max="16127" width="11.625" style="1" bestFit="1" customWidth="1"/>
    <col min="16128" max="16130" width="10.375" style="1"/>
    <col min="16131" max="16131" width="12.875" style="1" customWidth="1"/>
    <col min="16132" max="16132" width="10.375" style="1"/>
    <col min="16133" max="16133" width="13" style="1" customWidth="1"/>
    <col min="16134" max="16384" width="10.375" style="1"/>
  </cols>
  <sheetData>
    <row r="1" spans="1:5" ht="18.600000000000001">
      <c r="A1" s="175" t="s">
        <v>0</v>
      </c>
      <c r="B1" s="175"/>
      <c r="C1" s="175"/>
      <c r="D1" s="175"/>
      <c r="E1" s="175"/>
    </row>
    <row r="2" spans="1:5" ht="18.600000000000001">
      <c r="A2" s="176" t="s">
        <v>1</v>
      </c>
      <c r="B2" s="176"/>
      <c r="C2" s="176"/>
      <c r="D2" s="176"/>
      <c r="E2" s="176"/>
    </row>
    <row r="3" spans="1:5" ht="18.600000000000001">
      <c r="A3" s="177" t="s">
        <v>63</v>
      </c>
      <c r="B3" s="177"/>
      <c r="C3" s="177"/>
      <c r="D3" s="177"/>
      <c r="E3" s="177"/>
    </row>
    <row r="4" spans="1:5" ht="18.600000000000001">
      <c r="A4" s="178" t="s">
        <v>3</v>
      </c>
      <c r="B4" s="173" t="s">
        <v>4</v>
      </c>
      <c r="C4" s="182" t="s">
        <v>9</v>
      </c>
      <c r="D4" s="183"/>
      <c r="E4" s="184"/>
    </row>
    <row r="5" spans="1:5" ht="18.600000000000001">
      <c r="A5" s="179"/>
      <c r="B5" s="181"/>
      <c r="C5" s="185" t="s">
        <v>10</v>
      </c>
      <c r="D5" s="187" t="s">
        <v>12</v>
      </c>
      <c r="E5" s="2"/>
    </row>
    <row r="6" spans="1:5" ht="16.8">
      <c r="A6" s="180"/>
      <c r="B6" s="174"/>
      <c r="C6" s="186"/>
      <c r="D6" s="188"/>
      <c r="E6" s="7" t="s">
        <v>19</v>
      </c>
    </row>
    <row r="7" spans="1:5" ht="18.600000000000001">
      <c r="A7" s="156"/>
      <c r="B7" s="173" t="s">
        <v>59</v>
      </c>
      <c r="C7" s="158"/>
      <c r="D7" s="159"/>
      <c r="E7" s="160"/>
    </row>
    <row r="8" spans="1:5" ht="21.75" customHeight="1">
      <c r="A8" s="164"/>
      <c r="B8" s="174"/>
      <c r="C8" s="150"/>
      <c r="D8" s="84"/>
      <c r="E8" s="166"/>
    </row>
    <row r="9" spans="1:5" ht="19.2" thickBot="1">
      <c r="A9" s="167"/>
      <c r="B9" s="168"/>
      <c r="C9" s="169"/>
      <c r="D9" s="170"/>
      <c r="E9" s="171"/>
    </row>
    <row r="10" spans="1:5" ht="19.2" thickTop="1">
      <c r="A10" s="161"/>
      <c r="B10" s="162"/>
      <c r="C10" s="77"/>
      <c r="D10" s="78"/>
      <c r="E10" s="163"/>
    </row>
    <row r="11" spans="1:5" ht="18.600000000000001">
      <c r="A11" s="151"/>
      <c r="B11" s="155" t="s">
        <v>31</v>
      </c>
      <c r="C11" s="77"/>
      <c r="D11" s="78"/>
      <c r="E11" s="96"/>
    </row>
    <row r="12" spans="1:5" ht="18.600000000000001">
      <c r="A12" s="42">
        <v>1</v>
      </c>
      <c r="B12" s="97" t="s">
        <v>32</v>
      </c>
      <c r="C12" s="24" t="s">
        <v>34</v>
      </c>
      <c r="D12" s="25"/>
      <c r="E12" s="99">
        <v>322273.98</v>
      </c>
    </row>
    <row r="13" spans="1:5" ht="18.600000000000001">
      <c r="A13" s="42"/>
      <c r="B13" s="100" t="s">
        <v>35</v>
      </c>
      <c r="C13" s="31"/>
      <c r="D13" s="25"/>
      <c r="E13" s="99"/>
    </row>
    <row r="14" spans="1:5" ht="18.600000000000001">
      <c r="A14" s="42"/>
      <c r="B14" s="100" t="s">
        <v>37</v>
      </c>
      <c r="C14" s="31"/>
      <c r="D14" s="25"/>
      <c r="E14" s="99"/>
    </row>
    <row r="15" spans="1:5" ht="18.600000000000001">
      <c r="A15" s="42"/>
      <c r="B15" s="100" t="s">
        <v>38</v>
      </c>
      <c r="C15" s="31"/>
      <c r="D15" s="25"/>
      <c r="E15" s="99"/>
    </row>
    <row r="16" spans="1:5" ht="18.600000000000001">
      <c r="A16" s="8">
        <v>2</v>
      </c>
      <c r="B16" s="102" t="s">
        <v>32</v>
      </c>
      <c r="C16" s="62" t="s">
        <v>40</v>
      </c>
      <c r="D16" s="25">
        <v>16</v>
      </c>
      <c r="E16" s="99">
        <v>5208581.93</v>
      </c>
    </row>
    <row r="17" spans="1:5" ht="18.600000000000001">
      <c r="A17" s="8"/>
      <c r="B17" s="153" t="s">
        <v>41</v>
      </c>
      <c r="C17" s="62" t="s">
        <v>42</v>
      </c>
      <c r="D17" s="25"/>
      <c r="E17" s="92"/>
    </row>
    <row r="18" spans="1:5" ht="18.600000000000001">
      <c r="A18" s="8"/>
      <c r="B18" s="103" t="s">
        <v>43</v>
      </c>
      <c r="C18" s="31"/>
      <c r="D18" s="25"/>
      <c r="E18" s="92"/>
    </row>
    <row r="19" spans="1:5" ht="18.600000000000001">
      <c r="A19" s="148"/>
      <c r="B19" s="149" t="s">
        <v>44</v>
      </c>
      <c r="C19" s="150"/>
      <c r="D19" s="25"/>
      <c r="E19" s="92"/>
    </row>
    <row r="20" spans="1:5" ht="19.2" thickBot="1">
      <c r="A20" s="152"/>
      <c r="B20" s="172" t="s">
        <v>53</v>
      </c>
      <c r="C20" s="108"/>
      <c r="D20" s="106"/>
      <c r="E20" s="106">
        <f>SUM(E12:E18)</f>
        <v>5530855.9100000001</v>
      </c>
    </row>
    <row r="21" spans="1:5" ht="19.2" thickTop="1">
      <c r="A21" s="120"/>
      <c r="B21" s="121"/>
      <c r="C21" s="125"/>
      <c r="D21" s="121"/>
      <c r="E21" s="126"/>
    </row>
  </sheetData>
  <mergeCells count="9">
    <mergeCell ref="B7:B8"/>
    <mergeCell ref="A1:E1"/>
    <mergeCell ref="A2:E2"/>
    <mergeCell ref="A3:E3"/>
    <mergeCell ref="A4:A6"/>
    <mergeCell ref="B4:B6"/>
    <mergeCell ref="C4:E4"/>
    <mergeCell ref="C5:C6"/>
    <mergeCell ref="D5:D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DB24-B94A-4C70-B9CE-235CB3FEFC11}">
  <sheetPr>
    <tabColor rgb="FF92D050"/>
  </sheetPr>
  <dimension ref="A1:R114"/>
  <sheetViews>
    <sheetView workbookViewId="0">
      <pane ySplit="6" topLeftCell="A100" activePane="bottomLeft" state="frozen"/>
      <selection pane="bottomLeft" activeCell="A3" sqref="A3:R3"/>
    </sheetView>
  </sheetViews>
  <sheetFormatPr defaultColWidth="10.375" defaultRowHeight="14.4"/>
  <cols>
    <col min="1" max="1" width="10.375" style="1"/>
    <col min="2" max="2" width="33.25" style="1" customWidth="1"/>
    <col min="3" max="7" width="10.375" style="1"/>
    <col min="8" max="8" width="13.625" style="1" customWidth="1"/>
    <col min="9" max="9" width="10.375" style="1"/>
    <col min="10" max="10" width="14.375" style="1" customWidth="1"/>
    <col min="11" max="11" width="10.375" style="139"/>
    <col min="12" max="12" width="11.625" style="139" bestFit="1" customWidth="1"/>
    <col min="13" max="13" width="10.375" style="139"/>
    <col min="14" max="15" width="10.375" style="1"/>
    <col min="16" max="16" width="12.875" style="1" customWidth="1"/>
    <col min="17" max="17" width="10.375" style="1"/>
    <col min="18" max="18" width="13" style="1" customWidth="1"/>
    <col min="19" max="257" width="10.375" style="1"/>
    <col min="258" max="258" width="33.25" style="1" customWidth="1"/>
    <col min="259" max="263" width="10.375" style="1"/>
    <col min="264" max="264" width="13.625" style="1" customWidth="1"/>
    <col min="265" max="265" width="10.375" style="1"/>
    <col min="266" max="266" width="14.375" style="1" customWidth="1"/>
    <col min="267" max="267" width="10.375" style="1"/>
    <col min="268" max="268" width="11.625" style="1" bestFit="1" customWidth="1"/>
    <col min="269" max="271" width="10.375" style="1"/>
    <col min="272" max="272" width="12.875" style="1" customWidth="1"/>
    <col min="273" max="273" width="10.375" style="1"/>
    <col min="274" max="274" width="13" style="1" customWidth="1"/>
    <col min="275" max="513" width="10.375" style="1"/>
    <col min="514" max="514" width="33.25" style="1" customWidth="1"/>
    <col min="515" max="519" width="10.375" style="1"/>
    <col min="520" max="520" width="13.625" style="1" customWidth="1"/>
    <col min="521" max="521" width="10.375" style="1"/>
    <col min="522" max="522" width="14.375" style="1" customWidth="1"/>
    <col min="523" max="523" width="10.375" style="1"/>
    <col min="524" max="524" width="11.625" style="1" bestFit="1" customWidth="1"/>
    <col min="525" max="527" width="10.375" style="1"/>
    <col min="528" max="528" width="12.875" style="1" customWidth="1"/>
    <col min="529" max="529" width="10.375" style="1"/>
    <col min="530" max="530" width="13" style="1" customWidth="1"/>
    <col min="531" max="769" width="10.375" style="1"/>
    <col min="770" max="770" width="33.25" style="1" customWidth="1"/>
    <col min="771" max="775" width="10.375" style="1"/>
    <col min="776" max="776" width="13.625" style="1" customWidth="1"/>
    <col min="777" max="777" width="10.375" style="1"/>
    <col min="778" max="778" width="14.375" style="1" customWidth="1"/>
    <col min="779" max="779" width="10.375" style="1"/>
    <col min="780" max="780" width="11.625" style="1" bestFit="1" customWidth="1"/>
    <col min="781" max="783" width="10.375" style="1"/>
    <col min="784" max="784" width="12.875" style="1" customWidth="1"/>
    <col min="785" max="785" width="10.375" style="1"/>
    <col min="786" max="786" width="13" style="1" customWidth="1"/>
    <col min="787" max="1025" width="10.375" style="1"/>
    <col min="1026" max="1026" width="33.25" style="1" customWidth="1"/>
    <col min="1027" max="1031" width="10.375" style="1"/>
    <col min="1032" max="1032" width="13.625" style="1" customWidth="1"/>
    <col min="1033" max="1033" width="10.375" style="1"/>
    <col min="1034" max="1034" width="14.375" style="1" customWidth="1"/>
    <col min="1035" max="1035" width="10.375" style="1"/>
    <col min="1036" max="1036" width="11.625" style="1" bestFit="1" customWidth="1"/>
    <col min="1037" max="1039" width="10.375" style="1"/>
    <col min="1040" max="1040" width="12.875" style="1" customWidth="1"/>
    <col min="1041" max="1041" width="10.375" style="1"/>
    <col min="1042" max="1042" width="13" style="1" customWidth="1"/>
    <col min="1043" max="1281" width="10.375" style="1"/>
    <col min="1282" max="1282" width="33.25" style="1" customWidth="1"/>
    <col min="1283" max="1287" width="10.375" style="1"/>
    <col min="1288" max="1288" width="13.625" style="1" customWidth="1"/>
    <col min="1289" max="1289" width="10.375" style="1"/>
    <col min="1290" max="1290" width="14.375" style="1" customWidth="1"/>
    <col min="1291" max="1291" width="10.375" style="1"/>
    <col min="1292" max="1292" width="11.625" style="1" bestFit="1" customWidth="1"/>
    <col min="1293" max="1295" width="10.375" style="1"/>
    <col min="1296" max="1296" width="12.875" style="1" customWidth="1"/>
    <col min="1297" max="1297" width="10.375" style="1"/>
    <col min="1298" max="1298" width="13" style="1" customWidth="1"/>
    <col min="1299" max="1537" width="10.375" style="1"/>
    <col min="1538" max="1538" width="33.25" style="1" customWidth="1"/>
    <col min="1539" max="1543" width="10.375" style="1"/>
    <col min="1544" max="1544" width="13.625" style="1" customWidth="1"/>
    <col min="1545" max="1545" width="10.375" style="1"/>
    <col min="1546" max="1546" width="14.375" style="1" customWidth="1"/>
    <col min="1547" max="1547" width="10.375" style="1"/>
    <col min="1548" max="1548" width="11.625" style="1" bestFit="1" customWidth="1"/>
    <col min="1549" max="1551" width="10.375" style="1"/>
    <col min="1552" max="1552" width="12.875" style="1" customWidth="1"/>
    <col min="1553" max="1553" width="10.375" style="1"/>
    <col min="1554" max="1554" width="13" style="1" customWidth="1"/>
    <col min="1555" max="1793" width="10.375" style="1"/>
    <col min="1794" max="1794" width="33.25" style="1" customWidth="1"/>
    <col min="1795" max="1799" width="10.375" style="1"/>
    <col min="1800" max="1800" width="13.625" style="1" customWidth="1"/>
    <col min="1801" max="1801" width="10.375" style="1"/>
    <col min="1802" max="1802" width="14.375" style="1" customWidth="1"/>
    <col min="1803" max="1803" width="10.375" style="1"/>
    <col min="1804" max="1804" width="11.625" style="1" bestFit="1" customWidth="1"/>
    <col min="1805" max="1807" width="10.375" style="1"/>
    <col min="1808" max="1808" width="12.875" style="1" customWidth="1"/>
    <col min="1809" max="1809" width="10.375" style="1"/>
    <col min="1810" max="1810" width="13" style="1" customWidth="1"/>
    <col min="1811" max="2049" width="10.375" style="1"/>
    <col min="2050" max="2050" width="33.25" style="1" customWidth="1"/>
    <col min="2051" max="2055" width="10.375" style="1"/>
    <col min="2056" max="2056" width="13.625" style="1" customWidth="1"/>
    <col min="2057" max="2057" width="10.375" style="1"/>
    <col min="2058" max="2058" width="14.375" style="1" customWidth="1"/>
    <col min="2059" max="2059" width="10.375" style="1"/>
    <col min="2060" max="2060" width="11.625" style="1" bestFit="1" customWidth="1"/>
    <col min="2061" max="2063" width="10.375" style="1"/>
    <col min="2064" max="2064" width="12.875" style="1" customWidth="1"/>
    <col min="2065" max="2065" width="10.375" style="1"/>
    <col min="2066" max="2066" width="13" style="1" customWidth="1"/>
    <col min="2067" max="2305" width="10.375" style="1"/>
    <col min="2306" max="2306" width="33.25" style="1" customWidth="1"/>
    <col min="2307" max="2311" width="10.375" style="1"/>
    <col min="2312" max="2312" width="13.625" style="1" customWidth="1"/>
    <col min="2313" max="2313" width="10.375" style="1"/>
    <col min="2314" max="2314" width="14.375" style="1" customWidth="1"/>
    <col min="2315" max="2315" width="10.375" style="1"/>
    <col min="2316" max="2316" width="11.625" style="1" bestFit="1" customWidth="1"/>
    <col min="2317" max="2319" width="10.375" style="1"/>
    <col min="2320" max="2320" width="12.875" style="1" customWidth="1"/>
    <col min="2321" max="2321" width="10.375" style="1"/>
    <col min="2322" max="2322" width="13" style="1" customWidth="1"/>
    <col min="2323" max="2561" width="10.375" style="1"/>
    <col min="2562" max="2562" width="33.25" style="1" customWidth="1"/>
    <col min="2563" max="2567" width="10.375" style="1"/>
    <col min="2568" max="2568" width="13.625" style="1" customWidth="1"/>
    <col min="2569" max="2569" width="10.375" style="1"/>
    <col min="2570" max="2570" width="14.375" style="1" customWidth="1"/>
    <col min="2571" max="2571" width="10.375" style="1"/>
    <col min="2572" max="2572" width="11.625" style="1" bestFit="1" customWidth="1"/>
    <col min="2573" max="2575" width="10.375" style="1"/>
    <col min="2576" max="2576" width="12.875" style="1" customWidth="1"/>
    <col min="2577" max="2577" width="10.375" style="1"/>
    <col min="2578" max="2578" width="13" style="1" customWidth="1"/>
    <col min="2579" max="2817" width="10.375" style="1"/>
    <col min="2818" max="2818" width="33.25" style="1" customWidth="1"/>
    <col min="2819" max="2823" width="10.375" style="1"/>
    <col min="2824" max="2824" width="13.625" style="1" customWidth="1"/>
    <col min="2825" max="2825" width="10.375" style="1"/>
    <col min="2826" max="2826" width="14.375" style="1" customWidth="1"/>
    <col min="2827" max="2827" width="10.375" style="1"/>
    <col min="2828" max="2828" width="11.625" style="1" bestFit="1" customWidth="1"/>
    <col min="2829" max="2831" width="10.375" style="1"/>
    <col min="2832" max="2832" width="12.875" style="1" customWidth="1"/>
    <col min="2833" max="2833" width="10.375" style="1"/>
    <col min="2834" max="2834" width="13" style="1" customWidth="1"/>
    <col min="2835" max="3073" width="10.375" style="1"/>
    <col min="3074" max="3074" width="33.25" style="1" customWidth="1"/>
    <col min="3075" max="3079" width="10.375" style="1"/>
    <col min="3080" max="3080" width="13.625" style="1" customWidth="1"/>
    <col min="3081" max="3081" width="10.375" style="1"/>
    <col min="3082" max="3082" width="14.375" style="1" customWidth="1"/>
    <col min="3083" max="3083" width="10.375" style="1"/>
    <col min="3084" max="3084" width="11.625" style="1" bestFit="1" customWidth="1"/>
    <col min="3085" max="3087" width="10.375" style="1"/>
    <col min="3088" max="3088" width="12.875" style="1" customWidth="1"/>
    <col min="3089" max="3089" width="10.375" style="1"/>
    <col min="3090" max="3090" width="13" style="1" customWidth="1"/>
    <col min="3091" max="3329" width="10.375" style="1"/>
    <col min="3330" max="3330" width="33.25" style="1" customWidth="1"/>
    <col min="3331" max="3335" width="10.375" style="1"/>
    <col min="3336" max="3336" width="13.625" style="1" customWidth="1"/>
    <col min="3337" max="3337" width="10.375" style="1"/>
    <col min="3338" max="3338" width="14.375" style="1" customWidth="1"/>
    <col min="3339" max="3339" width="10.375" style="1"/>
    <col min="3340" max="3340" width="11.625" style="1" bestFit="1" customWidth="1"/>
    <col min="3341" max="3343" width="10.375" style="1"/>
    <col min="3344" max="3344" width="12.875" style="1" customWidth="1"/>
    <col min="3345" max="3345" width="10.375" style="1"/>
    <col min="3346" max="3346" width="13" style="1" customWidth="1"/>
    <col min="3347" max="3585" width="10.375" style="1"/>
    <col min="3586" max="3586" width="33.25" style="1" customWidth="1"/>
    <col min="3587" max="3591" width="10.375" style="1"/>
    <col min="3592" max="3592" width="13.625" style="1" customWidth="1"/>
    <col min="3593" max="3593" width="10.375" style="1"/>
    <col min="3594" max="3594" width="14.375" style="1" customWidth="1"/>
    <col min="3595" max="3595" width="10.375" style="1"/>
    <col min="3596" max="3596" width="11.625" style="1" bestFit="1" customWidth="1"/>
    <col min="3597" max="3599" width="10.375" style="1"/>
    <col min="3600" max="3600" width="12.875" style="1" customWidth="1"/>
    <col min="3601" max="3601" width="10.375" style="1"/>
    <col min="3602" max="3602" width="13" style="1" customWidth="1"/>
    <col min="3603" max="3841" width="10.375" style="1"/>
    <col min="3842" max="3842" width="33.25" style="1" customWidth="1"/>
    <col min="3843" max="3847" width="10.375" style="1"/>
    <col min="3848" max="3848" width="13.625" style="1" customWidth="1"/>
    <col min="3849" max="3849" width="10.375" style="1"/>
    <col min="3850" max="3850" width="14.375" style="1" customWidth="1"/>
    <col min="3851" max="3851" width="10.375" style="1"/>
    <col min="3852" max="3852" width="11.625" style="1" bestFit="1" customWidth="1"/>
    <col min="3853" max="3855" width="10.375" style="1"/>
    <col min="3856" max="3856" width="12.875" style="1" customWidth="1"/>
    <col min="3857" max="3857" width="10.375" style="1"/>
    <col min="3858" max="3858" width="13" style="1" customWidth="1"/>
    <col min="3859" max="4097" width="10.375" style="1"/>
    <col min="4098" max="4098" width="33.25" style="1" customWidth="1"/>
    <col min="4099" max="4103" width="10.375" style="1"/>
    <col min="4104" max="4104" width="13.625" style="1" customWidth="1"/>
    <col min="4105" max="4105" width="10.375" style="1"/>
    <col min="4106" max="4106" width="14.375" style="1" customWidth="1"/>
    <col min="4107" max="4107" width="10.375" style="1"/>
    <col min="4108" max="4108" width="11.625" style="1" bestFit="1" customWidth="1"/>
    <col min="4109" max="4111" width="10.375" style="1"/>
    <col min="4112" max="4112" width="12.875" style="1" customWidth="1"/>
    <col min="4113" max="4113" width="10.375" style="1"/>
    <col min="4114" max="4114" width="13" style="1" customWidth="1"/>
    <col min="4115" max="4353" width="10.375" style="1"/>
    <col min="4354" max="4354" width="33.25" style="1" customWidth="1"/>
    <col min="4355" max="4359" width="10.375" style="1"/>
    <col min="4360" max="4360" width="13.625" style="1" customWidth="1"/>
    <col min="4361" max="4361" width="10.375" style="1"/>
    <col min="4362" max="4362" width="14.375" style="1" customWidth="1"/>
    <col min="4363" max="4363" width="10.375" style="1"/>
    <col min="4364" max="4364" width="11.625" style="1" bestFit="1" customWidth="1"/>
    <col min="4365" max="4367" width="10.375" style="1"/>
    <col min="4368" max="4368" width="12.875" style="1" customWidth="1"/>
    <col min="4369" max="4369" width="10.375" style="1"/>
    <col min="4370" max="4370" width="13" style="1" customWidth="1"/>
    <col min="4371" max="4609" width="10.375" style="1"/>
    <col min="4610" max="4610" width="33.25" style="1" customWidth="1"/>
    <col min="4611" max="4615" width="10.375" style="1"/>
    <col min="4616" max="4616" width="13.625" style="1" customWidth="1"/>
    <col min="4617" max="4617" width="10.375" style="1"/>
    <col min="4618" max="4618" width="14.375" style="1" customWidth="1"/>
    <col min="4619" max="4619" width="10.375" style="1"/>
    <col min="4620" max="4620" width="11.625" style="1" bestFit="1" customWidth="1"/>
    <col min="4621" max="4623" width="10.375" style="1"/>
    <col min="4624" max="4624" width="12.875" style="1" customWidth="1"/>
    <col min="4625" max="4625" width="10.375" style="1"/>
    <col min="4626" max="4626" width="13" style="1" customWidth="1"/>
    <col min="4627" max="4865" width="10.375" style="1"/>
    <col min="4866" max="4866" width="33.25" style="1" customWidth="1"/>
    <col min="4867" max="4871" width="10.375" style="1"/>
    <col min="4872" max="4872" width="13.625" style="1" customWidth="1"/>
    <col min="4873" max="4873" width="10.375" style="1"/>
    <col min="4874" max="4874" width="14.375" style="1" customWidth="1"/>
    <col min="4875" max="4875" width="10.375" style="1"/>
    <col min="4876" max="4876" width="11.625" style="1" bestFit="1" customWidth="1"/>
    <col min="4877" max="4879" width="10.375" style="1"/>
    <col min="4880" max="4880" width="12.875" style="1" customWidth="1"/>
    <col min="4881" max="4881" width="10.375" style="1"/>
    <col min="4882" max="4882" width="13" style="1" customWidth="1"/>
    <col min="4883" max="5121" width="10.375" style="1"/>
    <col min="5122" max="5122" width="33.25" style="1" customWidth="1"/>
    <col min="5123" max="5127" width="10.375" style="1"/>
    <col min="5128" max="5128" width="13.625" style="1" customWidth="1"/>
    <col min="5129" max="5129" width="10.375" style="1"/>
    <col min="5130" max="5130" width="14.375" style="1" customWidth="1"/>
    <col min="5131" max="5131" width="10.375" style="1"/>
    <col min="5132" max="5132" width="11.625" style="1" bestFit="1" customWidth="1"/>
    <col min="5133" max="5135" width="10.375" style="1"/>
    <col min="5136" max="5136" width="12.875" style="1" customWidth="1"/>
    <col min="5137" max="5137" width="10.375" style="1"/>
    <col min="5138" max="5138" width="13" style="1" customWidth="1"/>
    <col min="5139" max="5377" width="10.375" style="1"/>
    <col min="5378" max="5378" width="33.25" style="1" customWidth="1"/>
    <col min="5379" max="5383" width="10.375" style="1"/>
    <col min="5384" max="5384" width="13.625" style="1" customWidth="1"/>
    <col min="5385" max="5385" width="10.375" style="1"/>
    <col min="5386" max="5386" width="14.375" style="1" customWidth="1"/>
    <col min="5387" max="5387" width="10.375" style="1"/>
    <col min="5388" max="5388" width="11.625" style="1" bestFit="1" customWidth="1"/>
    <col min="5389" max="5391" width="10.375" style="1"/>
    <col min="5392" max="5392" width="12.875" style="1" customWidth="1"/>
    <col min="5393" max="5393" width="10.375" style="1"/>
    <col min="5394" max="5394" width="13" style="1" customWidth="1"/>
    <col min="5395" max="5633" width="10.375" style="1"/>
    <col min="5634" max="5634" width="33.25" style="1" customWidth="1"/>
    <col min="5635" max="5639" width="10.375" style="1"/>
    <col min="5640" max="5640" width="13.625" style="1" customWidth="1"/>
    <col min="5641" max="5641" width="10.375" style="1"/>
    <col min="5642" max="5642" width="14.375" style="1" customWidth="1"/>
    <col min="5643" max="5643" width="10.375" style="1"/>
    <col min="5644" max="5644" width="11.625" style="1" bestFit="1" customWidth="1"/>
    <col min="5645" max="5647" width="10.375" style="1"/>
    <col min="5648" max="5648" width="12.875" style="1" customWidth="1"/>
    <col min="5649" max="5649" width="10.375" style="1"/>
    <col min="5650" max="5650" width="13" style="1" customWidth="1"/>
    <col min="5651" max="5889" width="10.375" style="1"/>
    <col min="5890" max="5890" width="33.25" style="1" customWidth="1"/>
    <col min="5891" max="5895" width="10.375" style="1"/>
    <col min="5896" max="5896" width="13.625" style="1" customWidth="1"/>
    <col min="5897" max="5897" width="10.375" style="1"/>
    <col min="5898" max="5898" width="14.375" style="1" customWidth="1"/>
    <col min="5899" max="5899" width="10.375" style="1"/>
    <col min="5900" max="5900" width="11.625" style="1" bestFit="1" customWidth="1"/>
    <col min="5901" max="5903" width="10.375" style="1"/>
    <col min="5904" max="5904" width="12.875" style="1" customWidth="1"/>
    <col min="5905" max="5905" width="10.375" style="1"/>
    <col min="5906" max="5906" width="13" style="1" customWidth="1"/>
    <col min="5907" max="6145" width="10.375" style="1"/>
    <col min="6146" max="6146" width="33.25" style="1" customWidth="1"/>
    <col min="6147" max="6151" width="10.375" style="1"/>
    <col min="6152" max="6152" width="13.625" style="1" customWidth="1"/>
    <col min="6153" max="6153" width="10.375" style="1"/>
    <col min="6154" max="6154" width="14.375" style="1" customWidth="1"/>
    <col min="6155" max="6155" width="10.375" style="1"/>
    <col min="6156" max="6156" width="11.625" style="1" bestFit="1" customWidth="1"/>
    <col min="6157" max="6159" width="10.375" style="1"/>
    <col min="6160" max="6160" width="12.875" style="1" customWidth="1"/>
    <col min="6161" max="6161" width="10.375" style="1"/>
    <col min="6162" max="6162" width="13" style="1" customWidth="1"/>
    <col min="6163" max="6401" width="10.375" style="1"/>
    <col min="6402" max="6402" width="33.25" style="1" customWidth="1"/>
    <col min="6403" max="6407" width="10.375" style="1"/>
    <col min="6408" max="6408" width="13.625" style="1" customWidth="1"/>
    <col min="6409" max="6409" width="10.375" style="1"/>
    <col min="6410" max="6410" width="14.375" style="1" customWidth="1"/>
    <col min="6411" max="6411" width="10.375" style="1"/>
    <col min="6412" max="6412" width="11.625" style="1" bestFit="1" customWidth="1"/>
    <col min="6413" max="6415" width="10.375" style="1"/>
    <col min="6416" max="6416" width="12.875" style="1" customWidth="1"/>
    <col min="6417" max="6417" width="10.375" style="1"/>
    <col min="6418" max="6418" width="13" style="1" customWidth="1"/>
    <col min="6419" max="6657" width="10.375" style="1"/>
    <col min="6658" max="6658" width="33.25" style="1" customWidth="1"/>
    <col min="6659" max="6663" width="10.375" style="1"/>
    <col min="6664" max="6664" width="13.625" style="1" customWidth="1"/>
    <col min="6665" max="6665" width="10.375" style="1"/>
    <col min="6666" max="6666" width="14.375" style="1" customWidth="1"/>
    <col min="6667" max="6667" width="10.375" style="1"/>
    <col min="6668" max="6668" width="11.625" style="1" bestFit="1" customWidth="1"/>
    <col min="6669" max="6671" width="10.375" style="1"/>
    <col min="6672" max="6672" width="12.875" style="1" customWidth="1"/>
    <col min="6673" max="6673" width="10.375" style="1"/>
    <col min="6674" max="6674" width="13" style="1" customWidth="1"/>
    <col min="6675" max="6913" width="10.375" style="1"/>
    <col min="6914" max="6914" width="33.25" style="1" customWidth="1"/>
    <col min="6915" max="6919" width="10.375" style="1"/>
    <col min="6920" max="6920" width="13.625" style="1" customWidth="1"/>
    <col min="6921" max="6921" width="10.375" style="1"/>
    <col min="6922" max="6922" width="14.375" style="1" customWidth="1"/>
    <col min="6923" max="6923" width="10.375" style="1"/>
    <col min="6924" max="6924" width="11.625" style="1" bestFit="1" customWidth="1"/>
    <col min="6925" max="6927" width="10.375" style="1"/>
    <col min="6928" max="6928" width="12.875" style="1" customWidth="1"/>
    <col min="6929" max="6929" width="10.375" style="1"/>
    <col min="6930" max="6930" width="13" style="1" customWidth="1"/>
    <col min="6931" max="7169" width="10.375" style="1"/>
    <col min="7170" max="7170" width="33.25" style="1" customWidth="1"/>
    <col min="7171" max="7175" width="10.375" style="1"/>
    <col min="7176" max="7176" width="13.625" style="1" customWidth="1"/>
    <col min="7177" max="7177" width="10.375" style="1"/>
    <col min="7178" max="7178" width="14.375" style="1" customWidth="1"/>
    <col min="7179" max="7179" width="10.375" style="1"/>
    <col min="7180" max="7180" width="11.625" style="1" bestFit="1" customWidth="1"/>
    <col min="7181" max="7183" width="10.375" style="1"/>
    <col min="7184" max="7184" width="12.875" style="1" customWidth="1"/>
    <col min="7185" max="7185" width="10.375" style="1"/>
    <col min="7186" max="7186" width="13" style="1" customWidth="1"/>
    <col min="7187" max="7425" width="10.375" style="1"/>
    <col min="7426" max="7426" width="33.25" style="1" customWidth="1"/>
    <col min="7427" max="7431" width="10.375" style="1"/>
    <col min="7432" max="7432" width="13.625" style="1" customWidth="1"/>
    <col min="7433" max="7433" width="10.375" style="1"/>
    <col min="7434" max="7434" width="14.375" style="1" customWidth="1"/>
    <col min="7435" max="7435" width="10.375" style="1"/>
    <col min="7436" max="7436" width="11.625" style="1" bestFit="1" customWidth="1"/>
    <col min="7437" max="7439" width="10.375" style="1"/>
    <col min="7440" max="7440" width="12.875" style="1" customWidth="1"/>
    <col min="7441" max="7441" width="10.375" style="1"/>
    <col min="7442" max="7442" width="13" style="1" customWidth="1"/>
    <col min="7443" max="7681" width="10.375" style="1"/>
    <col min="7682" max="7682" width="33.25" style="1" customWidth="1"/>
    <col min="7683" max="7687" width="10.375" style="1"/>
    <col min="7688" max="7688" width="13.625" style="1" customWidth="1"/>
    <col min="7689" max="7689" width="10.375" style="1"/>
    <col min="7690" max="7690" width="14.375" style="1" customWidth="1"/>
    <col min="7691" max="7691" width="10.375" style="1"/>
    <col min="7692" max="7692" width="11.625" style="1" bestFit="1" customWidth="1"/>
    <col min="7693" max="7695" width="10.375" style="1"/>
    <col min="7696" max="7696" width="12.875" style="1" customWidth="1"/>
    <col min="7697" max="7697" width="10.375" style="1"/>
    <col min="7698" max="7698" width="13" style="1" customWidth="1"/>
    <col min="7699" max="7937" width="10.375" style="1"/>
    <col min="7938" max="7938" width="33.25" style="1" customWidth="1"/>
    <col min="7939" max="7943" width="10.375" style="1"/>
    <col min="7944" max="7944" width="13.625" style="1" customWidth="1"/>
    <col min="7945" max="7945" width="10.375" style="1"/>
    <col min="7946" max="7946" width="14.375" style="1" customWidth="1"/>
    <col min="7947" max="7947" width="10.375" style="1"/>
    <col min="7948" max="7948" width="11.625" style="1" bestFit="1" customWidth="1"/>
    <col min="7949" max="7951" width="10.375" style="1"/>
    <col min="7952" max="7952" width="12.875" style="1" customWidth="1"/>
    <col min="7953" max="7953" width="10.375" style="1"/>
    <col min="7954" max="7954" width="13" style="1" customWidth="1"/>
    <col min="7955" max="8193" width="10.375" style="1"/>
    <col min="8194" max="8194" width="33.25" style="1" customWidth="1"/>
    <col min="8195" max="8199" width="10.375" style="1"/>
    <col min="8200" max="8200" width="13.625" style="1" customWidth="1"/>
    <col min="8201" max="8201" width="10.375" style="1"/>
    <col min="8202" max="8202" width="14.375" style="1" customWidth="1"/>
    <col min="8203" max="8203" width="10.375" style="1"/>
    <col min="8204" max="8204" width="11.625" style="1" bestFit="1" customWidth="1"/>
    <col min="8205" max="8207" width="10.375" style="1"/>
    <col min="8208" max="8208" width="12.875" style="1" customWidth="1"/>
    <col min="8209" max="8209" width="10.375" style="1"/>
    <col min="8210" max="8210" width="13" style="1" customWidth="1"/>
    <col min="8211" max="8449" width="10.375" style="1"/>
    <col min="8450" max="8450" width="33.25" style="1" customWidth="1"/>
    <col min="8451" max="8455" width="10.375" style="1"/>
    <col min="8456" max="8456" width="13.625" style="1" customWidth="1"/>
    <col min="8457" max="8457" width="10.375" style="1"/>
    <col min="8458" max="8458" width="14.375" style="1" customWidth="1"/>
    <col min="8459" max="8459" width="10.375" style="1"/>
    <col min="8460" max="8460" width="11.625" style="1" bestFit="1" customWidth="1"/>
    <col min="8461" max="8463" width="10.375" style="1"/>
    <col min="8464" max="8464" width="12.875" style="1" customWidth="1"/>
    <col min="8465" max="8465" width="10.375" style="1"/>
    <col min="8466" max="8466" width="13" style="1" customWidth="1"/>
    <col min="8467" max="8705" width="10.375" style="1"/>
    <col min="8706" max="8706" width="33.25" style="1" customWidth="1"/>
    <col min="8707" max="8711" width="10.375" style="1"/>
    <col min="8712" max="8712" width="13.625" style="1" customWidth="1"/>
    <col min="8713" max="8713" width="10.375" style="1"/>
    <col min="8714" max="8714" width="14.375" style="1" customWidth="1"/>
    <col min="8715" max="8715" width="10.375" style="1"/>
    <col min="8716" max="8716" width="11.625" style="1" bestFit="1" customWidth="1"/>
    <col min="8717" max="8719" width="10.375" style="1"/>
    <col min="8720" max="8720" width="12.875" style="1" customWidth="1"/>
    <col min="8721" max="8721" width="10.375" style="1"/>
    <col min="8722" max="8722" width="13" style="1" customWidth="1"/>
    <col min="8723" max="8961" width="10.375" style="1"/>
    <col min="8962" max="8962" width="33.25" style="1" customWidth="1"/>
    <col min="8963" max="8967" width="10.375" style="1"/>
    <col min="8968" max="8968" width="13.625" style="1" customWidth="1"/>
    <col min="8969" max="8969" width="10.375" style="1"/>
    <col min="8970" max="8970" width="14.375" style="1" customWidth="1"/>
    <col min="8971" max="8971" width="10.375" style="1"/>
    <col min="8972" max="8972" width="11.625" style="1" bestFit="1" customWidth="1"/>
    <col min="8973" max="8975" width="10.375" style="1"/>
    <col min="8976" max="8976" width="12.875" style="1" customWidth="1"/>
    <col min="8977" max="8977" width="10.375" style="1"/>
    <col min="8978" max="8978" width="13" style="1" customWidth="1"/>
    <col min="8979" max="9217" width="10.375" style="1"/>
    <col min="9218" max="9218" width="33.25" style="1" customWidth="1"/>
    <col min="9219" max="9223" width="10.375" style="1"/>
    <col min="9224" max="9224" width="13.625" style="1" customWidth="1"/>
    <col min="9225" max="9225" width="10.375" style="1"/>
    <col min="9226" max="9226" width="14.375" style="1" customWidth="1"/>
    <col min="9227" max="9227" width="10.375" style="1"/>
    <col min="9228" max="9228" width="11.625" style="1" bestFit="1" customWidth="1"/>
    <col min="9229" max="9231" width="10.375" style="1"/>
    <col min="9232" max="9232" width="12.875" style="1" customWidth="1"/>
    <col min="9233" max="9233" width="10.375" style="1"/>
    <col min="9234" max="9234" width="13" style="1" customWidth="1"/>
    <col min="9235" max="9473" width="10.375" style="1"/>
    <col min="9474" max="9474" width="33.25" style="1" customWidth="1"/>
    <col min="9475" max="9479" width="10.375" style="1"/>
    <col min="9480" max="9480" width="13.625" style="1" customWidth="1"/>
    <col min="9481" max="9481" width="10.375" style="1"/>
    <col min="9482" max="9482" width="14.375" style="1" customWidth="1"/>
    <col min="9483" max="9483" width="10.375" style="1"/>
    <col min="9484" max="9484" width="11.625" style="1" bestFit="1" customWidth="1"/>
    <col min="9485" max="9487" width="10.375" style="1"/>
    <col min="9488" max="9488" width="12.875" style="1" customWidth="1"/>
    <col min="9489" max="9489" width="10.375" style="1"/>
    <col min="9490" max="9490" width="13" style="1" customWidth="1"/>
    <col min="9491" max="9729" width="10.375" style="1"/>
    <col min="9730" max="9730" width="33.25" style="1" customWidth="1"/>
    <col min="9731" max="9735" width="10.375" style="1"/>
    <col min="9736" max="9736" width="13.625" style="1" customWidth="1"/>
    <col min="9737" max="9737" width="10.375" style="1"/>
    <col min="9738" max="9738" width="14.375" style="1" customWidth="1"/>
    <col min="9739" max="9739" width="10.375" style="1"/>
    <col min="9740" max="9740" width="11.625" style="1" bestFit="1" customWidth="1"/>
    <col min="9741" max="9743" width="10.375" style="1"/>
    <col min="9744" max="9744" width="12.875" style="1" customWidth="1"/>
    <col min="9745" max="9745" width="10.375" style="1"/>
    <col min="9746" max="9746" width="13" style="1" customWidth="1"/>
    <col min="9747" max="9985" width="10.375" style="1"/>
    <col min="9986" max="9986" width="33.25" style="1" customWidth="1"/>
    <col min="9987" max="9991" width="10.375" style="1"/>
    <col min="9992" max="9992" width="13.625" style="1" customWidth="1"/>
    <col min="9993" max="9993" width="10.375" style="1"/>
    <col min="9994" max="9994" width="14.375" style="1" customWidth="1"/>
    <col min="9995" max="9995" width="10.375" style="1"/>
    <col min="9996" max="9996" width="11.625" style="1" bestFit="1" customWidth="1"/>
    <col min="9997" max="9999" width="10.375" style="1"/>
    <col min="10000" max="10000" width="12.875" style="1" customWidth="1"/>
    <col min="10001" max="10001" width="10.375" style="1"/>
    <col min="10002" max="10002" width="13" style="1" customWidth="1"/>
    <col min="10003" max="10241" width="10.375" style="1"/>
    <col min="10242" max="10242" width="33.25" style="1" customWidth="1"/>
    <col min="10243" max="10247" width="10.375" style="1"/>
    <col min="10248" max="10248" width="13.625" style="1" customWidth="1"/>
    <col min="10249" max="10249" width="10.375" style="1"/>
    <col min="10250" max="10250" width="14.375" style="1" customWidth="1"/>
    <col min="10251" max="10251" width="10.375" style="1"/>
    <col min="10252" max="10252" width="11.625" style="1" bestFit="1" customWidth="1"/>
    <col min="10253" max="10255" width="10.375" style="1"/>
    <col min="10256" max="10256" width="12.875" style="1" customWidth="1"/>
    <col min="10257" max="10257" width="10.375" style="1"/>
    <col min="10258" max="10258" width="13" style="1" customWidth="1"/>
    <col min="10259" max="10497" width="10.375" style="1"/>
    <col min="10498" max="10498" width="33.25" style="1" customWidth="1"/>
    <col min="10499" max="10503" width="10.375" style="1"/>
    <col min="10504" max="10504" width="13.625" style="1" customWidth="1"/>
    <col min="10505" max="10505" width="10.375" style="1"/>
    <col min="10506" max="10506" width="14.375" style="1" customWidth="1"/>
    <col min="10507" max="10507" width="10.375" style="1"/>
    <col min="10508" max="10508" width="11.625" style="1" bestFit="1" customWidth="1"/>
    <col min="10509" max="10511" width="10.375" style="1"/>
    <col min="10512" max="10512" width="12.875" style="1" customWidth="1"/>
    <col min="10513" max="10513" width="10.375" style="1"/>
    <col min="10514" max="10514" width="13" style="1" customWidth="1"/>
    <col min="10515" max="10753" width="10.375" style="1"/>
    <col min="10754" max="10754" width="33.25" style="1" customWidth="1"/>
    <col min="10755" max="10759" width="10.375" style="1"/>
    <col min="10760" max="10760" width="13.625" style="1" customWidth="1"/>
    <col min="10761" max="10761" width="10.375" style="1"/>
    <col min="10762" max="10762" width="14.375" style="1" customWidth="1"/>
    <col min="10763" max="10763" width="10.375" style="1"/>
    <col min="10764" max="10764" width="11.625" style="1" bestFit="1" customWidth="1"/>
    <col min="10765" max="10767" width="10.375" style="1"/>
    <col min="10768" max="10768" width="12.875" style="1" customWidth="1"/>
    <col min="10769" max="10769" width="10.375" style="1"/>
    <col min="10770" max="10770" width="13" style="1" customWidth="1"/>
    <col min="10771" max="11009" width="10.375" style="1"/>
    <col min="11010" max="11010" width="33.25" style="1" customWidth="1"/>
    <col min="11011" max="11015" width="10.375" style="1"/>
    <col min="11016" max="11016" width="13.625" style="1" customWidth="1"/>
    <col min="11017" max="11017" width="10.375" style="1"/>
    <col min="11018" max="11018" width="14.375" style="1" customWidth="1"/>
    <col min="11019" max="11019" width="10.375" style="1"/>
    <col min="11020" max="11020" width="11.625" style="1" bestFit="1" customWidth="1"/>
    <col min="11021" max="11023" width="10.375" style="1"/>
    <col min="11024" max="11024" width="12.875" style="1" customWidth="1"/>
    <col min="11025" max="11025" width="10.375" style="1"/>
    <col min="11026" max="11026" width="13" style="1" customWidth="1"/>
    <col min="11027" max="11265" width="10.375" style="1"/>
    <col min="11266" max="11266" width="33.25" style="1" customWidth="1"/>
    <col min="11267" max="11271" width="10.375" style="1"/>
    <col min="11272" max="11272" width="13.625" style="1" customWidth="1"/>
    <col min="11273" max="11273" width="10.375" style="1"/>
    <col min="11274" max="11274" width="14.375" style="1" customWidth="1"/>
    <col min="11275" max="11275" width="10.375" style="1"/>
    <col min="11276" max="11276" width="11.625" style="1" bestFit="1" customWidth="1"/>
    <col min="11277" max="11279" width="10.375" style="1"/>
    <col min="11280" max="11280" width="12.875" style="1" customWidth="1"/>
    <col min="11281" max="11281" width="10.375" style="1"/>
    <col min="11282" max="11282" width="13" style="1" customWidth="1"/>
    <col min="11283" max="11521" width="10.375" style="1"/>
    <col min="11522" max="11522" width="33.25" style="1" customWidth="1"/>
    <col min="11523" max="11527" width="10.375" style="1"/>
    <col min="11528" max="11528" width="13.625" style="1" customWidth="1"/>
    <col min="11529" max="11529" width="10.375" style="1"/>
    <col min="11530" max="11530" width="14.375" style="1" customWidth="1"/>
    <col min="11531" max="11531" width="10.375" style="1"/>
    <col min="11532" max="11532" width="11.625" style="1" bestFit="1" customWidth="1"/>
    <col min="11533" max="11535" width="10.375" style="1"/>
    <col min="11536" max="11536" width="12.875" style="1" customWidth="1"/>
    <col min="11537" max="11537" width="10.375" style="1"/>
    <col min="11538" max="11538" width="13" style="1" customWidth="1"/>
    <col min="11539" max="11777" width="10.375" style="1"/>
    <col min="11778" max="11778" width="33.25" style="1" customWidth="1"/>
    <col min="11779" max="11783" width="10.375" style="1"/>
    <col min="11784" max="11784" width="13.625" style="1" customWidth="1"/>
    <col min="11785" max="11785" width="10.375" style="1"/>
    <col min="11786" max="11786" width="14.375" style="1" customWidth="1"/>
    <col min="11787" max="11787" width="10.375" style="1"/>
    <col min="11788" max="11788" width="11.625" style="1" bestFit="1" customWidth="1"/>
    <col min="11789" max="11791" width="10.375" style="1"/>
    <col min="11792" max="11792" width="12.875" style="1" customWidth="1"/>
    <col min="11793" max="11793" width="10.375" style="1"/>
    <col min="11794" max="11794" width="13" style="1" customWidth="1"/>
    <col min="11795" max="12033" width="10.375" style="1"/>
    <col min="12034" max="12034" width="33.25" style="1" customWidth="1"/>
    <col min="12035" max="12039" width="10.375" style="1"/>
    <col min="12040" max="12040" width="13.625" style="1" customWidth="1"/>
    <col min="12041" max="12041" width="10.375" style="1"/>
    <col min="12042" max="12042" width="14.375" style="1" customWidth="1"/>
    <col min="12043" max="12043" width="10.375" style="1"/>
    <col min="12044" max="12044" width="11.625" style="1" bestFit="1" customWidth="1"/>
    <col min="12045" max="12047" width="10.375" style="1"/>
    <col min="12048" max="12048" width="12.875" style="1" customWidth="1"/>
    <col min="12049" max="12049" width="10.375" style="1"/>
    <col min="12050" max="12050" width="13" style="1" customWidth="1"/>
    <col min="12051" max="12289" width="10.375" style="1"/>
    <col min="12290" max="12290" width="33.25" style="1" customWidth="1"/>
    <col min="12291" max="12295" width="10.375" style="1"/>
    <col min="12296" max="12296" width="13.625" style="1" customWidth="1"/>
    <col min="12297" max="12297" width="10.375" style="1"/>
    <col min="12298" max="12298" width="14.375" style="1" customWidth="1"/>
    <col min="12299" max="12299" width="10.375" style="1"/>
    <col min="12300" max="12300" width="11.625" style="1" bestFit="1" customWidth="1"/>
    <col min="12301" max="12303" width="10.375" style="1"/>
    <col min="12304" max="12304" width="12.875" style="1" customWidth="1"/>
    <col min="12305" max="12305" width="10.375" style="1"/>
    <col min="12306" max="12306" width="13" style="1" customWidth="1"/>
    <col min="12307" max="12545" width="10.375" style="1"/>
    <col min="12546" max="12546" width="33.25" style="1" customWidth="1"/>
    <col min="12547" max="12551" width="10.375" style="1"/>
    <col min="12552" max="12552" width="13.625" style="1" customWidth="1"/>
    <col min="12553" max="12553" width="10.375" style="1"/>
    <col min="12554" max="12554" width="14.375" style="1" customWidth="1"/>
    <col min="12555" max="12555" width="10.375" style="1"/>
    <col min="12556" max="12556" width="11.625" style="1" bestFit="1" customWidth="1"/>
    <col min="12557" max="12559" width="10.375" style="1"/>
    <col min="12560" max="12560" width="12.875" style="1" customWidth="1"/>
    <col min="12561" max="12561" width="10.375" style="1"/>
    <col min="12562" max="12562" width="13" style="1" customWidth="1"/>
    <col min="12563" max="12801" width="10.375" style="1"/>
    <col min="12802" max="12802" width="33.25" style="1" customWidth="1"/>
    <col min="12803" max="12807" width="10.375" style="1"/>
    <col min="12808" max="12808" width="13.625" style="1" customWidth="1"/>
    <col min="12809" max="12809" width="10.375" style="1"/>
    <col min="12810" max="12810" width="14.375" style="1" customWidth="1"/>
    <col min="12811" max="12811" width="10.375" style="1"/>
    <col min="12812" max="12812" width="11.625" style="1" bestFit="1" customWidth="1"/>
    <col min="12813" max="12815" width="10.375" style="1"/>
    <col min="12816" max="12816" width="12.875" style="1" customWidth="1"/>
    <col min="12817" max="12817" width="10.375" style="1"/>
    <col min="12818" max="12818" width="13" style="1" customWidth="1"/>
    <col min="12819" max="13057" width="10.375" style="1"/>
    <col min="13058" max="13058" width="33.25" style="1" customWidth="1"/>
    <col min="13059" max="13063" width="10.375" style="1"/>
    <col min="13064" max="13064" width="13.625" style="1" customWidth="1"/>
    <col min="13065" max="13065" width="10.375" style="1"/>
    <col min="13066" max="13066" width="14.375" style="1" customWidth="1"/>
    <col min="13067" max="13067" width="10.375" style="1"/>
    <col min="13068" max="13068" width="11.625" style="1" bestFit="1" customWidth="1"/>
    <col min="13069" max="13071" width="10.375" style="1"/>
    <col min="13072" max="13072" width="12.875" style="1" customWidth="1"/>
    <col min="13073" max="13073" width="10.375" style="1"/>
    <col min="13074" max="13074" width="13" style="1" customWidth="1"/>
    <col min="13075" max="13313" width="10.375" style="1"/>
    <col min="13314" max="13314" width="33.25" style="1" customWidth="1"/>
    <col min="13315" max="13319" width="10.375" style="1"/>
    <col min="13320" max="13320" width="13.625" style="1" customWidth="1"/>
    <col min="13321" max="13321" width="10.375" style="1"/>
    <col min="13322" max="13322" width="14.375" style="1" customWidth="1"/>
    <col min="13323" max="13323" width="10.375" style="1"/>
    <col min="13324" max="13324" width="11.625" style="1" bestFit="1" customWidth="1"/>
    <col min="13325" max="13327" width="10.375" style="1"/>
    <col min="13328" max="13328" width="12.875" style="1" customWidth="1"/>
    <col min="13329" max="13329" width="10.375" style="1"/>
    <col min="13330" max="13330" width="13" style="1" customWidth="1"/>
    <col min="13331" max="13569" width="10.375" style="1"/>
    <col min="13570" max="13570" width="33.25" style="1" customWidth="1"/>
    <col min="13571" max="13575" width="10.375" style="1"/>
    <col min="13576" max="13576" width="13.625" style="1" customWidth="1"/>
    <col min="13577" max="13577" width="10.375" style="1"/>
    <col min="13578" max="13578" width="14.375" style="1" customWidth="1"/>
    <col min="13579" max="13579" width="10.375" style="1"/>
    <col min="13580" max="13580" width="11.625" style="1" bestFit="1" customWidth="1"/>
    <col min="13581" max="13583" width="10.375" style="1"/>
    <col min="13584" max="13584" width="12.875" style="1" customWidth="1"/>
    <col min="13585" max="13585" width="10.375" style="1"/>
    <col min="13586" max="13586" width="13" style="1" customWidth="1"/>
    <col min="13587" max="13825" width="10.375" style="1"/>
    <col min="13826" max="13826" width="33.25" style="1" customWidth="1"/>
    <col min="13827" max="13831" width="10.375" style="1"/>
    <col min="13832" max="13832" width="13.625" style="1" customWidth="1"/>
    <col min="13833" max="13833" width="10.375" style="1"/>
    <col min="13834" max="13834" width="14.375" style="1" customWidth="1"/>
    <col min="13835" max="13835" width="10.375" style="1"/>
    <col min="13836" max="13836" width="11.625" style="1" bestFit="1" customWidth="1"/>
    <col min="13837" max="13839" width="10.375" style="1"/>
    <col min="13840" max="13840" width="12.875" style="1" customWidth="1"/>
    <col min="13841" max="13841" width="10.375" style="1"/>
    <col min="13842" max="13842" width="13" style="1" customWidth="1"/>
    <col min="13843" max="14081" width="10.375" style="1"/>
    <col min="14082" max="14082" width="33.25" style="1" customWidth="1"/>
    <col min="14083" max="14087" width="10.375" style="1"/>
    <col min="14088" max="14088" width="13.625" style="1" customWidth="1"/>
    <col min="14089" max="14089" width="10.375" style="1"/>
    <col min="14090" max="14090" width="14.375" style="1" customWidth="1"/>
    <col min="14091" max="14091" width="10.375" style="1"/>
    <col min="14092" max="14092" width="11.625" style="1" bestFit="1" customWidth="1"/>
    <col min="14093" max="14095" width="10.375" style="1"/>
    <col min="14096" max="14096" width="12.875" style="1" customWidth="1"/>
    <col min="14097" max="14097" width="10.375" style="1"/>
    <col min="14098" max="14098" width="13" style="1" customWidth="1"/>
    <col min="14099" max="14337" width="10.375" style="1"/>
    <col min="14338" max="14338" width="33.25" style="1" customWidth="1"/>
    <col min="14339" max="14343" width="10.375" style="1"/>
    <col min="14344" max="14344" width="13.625" style="1" customWidth="1"/>
    <col min="14345" max="14345" width="10.375" style="1"/>
    <col min="14346" max="14346" width="14.375" style="1" customWidth="1"/>
    <col min="14347" max="14347" width="10.375" style="1"/>
    <col min="14348" max="14348" width="11.625" style="1" bestFit="1" customWidth="1"/>
    <col min="14349" max="14351" width="10.375" style="1"/>
    <col min="14352" max="14352" width="12.875" style="1" customWidth="1"/>
    <col min="14353" max="14353" width="10.375" style="1"/>
    <col min="14354" max="14354" width="13" style="1" customWidth="1"/>
    <col min="14355" max="14593" width="10.375" style="1"/>
    <col min="14594" max="14594" width="33.25" style="1" customWidth="1"/>
    <col min="14595" max="14599" width="10.375" style="1"/>
    <col min="14600" max="14600" width="13.625" style="1" customWidth="1"/>
    <col min="14601" max="14601" width="10.375" style="1"/>
    <col min="14602" max="14602" width="14.375" style="1" customWidth="1"/>
    <col min="14603" max="14603" width="10.375" style="1"/>
    <col min="14604" max="14604" width="11.625" style="1" bestFit="1" customWidth="1"/>
    <col min="14605" max="14607" width="10.375" style="1"/>
    <col min="14608" max="14608" width="12.875" style="1" customWidth="1"/>
    <col min="14609" max="14609" width="10.375" style="1"/>
    <col min="14610" max="14610" width="13" style="1" customWidth="1"/>
    <col min="14611" max="14849" width="10.375" style="1"/>
    <col min="14850" max="14850" width="33.25" style="1" customWidth="1"/>
    <col min="14851" max="14855" width="10.375" style="1"/>
    <col min="14856" max="14856" width="13.625" style="1" customWidth="1"/>
    <col min="14857" max="14857" width="10.375" style="1"/>
    <col min="14858" max="14858" width="14.375" style="1" customWidth="1"/>
    <col min="14859" max="14859" width="10.375" style="1"/>
    <col min="14860" max="14860" width="11.625" style="1" bestFit="1" customWidth="1"/>
    <col min="14861" max="14863" width="10.375" style="1"/>
    <col min="14864" max="14864" width="12.875" style="1" customWidth="1"/>
    <col min="14865" max="14865" width="10.375" style="1"/>
    <col min="14866" max="14866" width="13" style="1" customWidth="1"/>
    <col min="14867" max="15105" width="10.375" style="1"/>
    <col min="15106" max="15106" width="33.25" style="1" customWidth="1"/>
    <col min="15107" max="15111" width="10.375" style="1"/>
    <col min="15112" max="15112" width="13.625" style="1" customWidth="1"/>
    <col min="15113" max="15113" width="10.375" style="1"/>
    <col min="15114" max="15114" width="14.375" style="1" customWidth="1"/>
    <col min="15115" max="15115" width="10.375" style="1"/>
    <col min="15116" max="15116" width="11.625" style="1" bestFit="1" customWidth="1"/>
    <col min="15117" max="15119" width="10.375" style="1"/>
    <col min="15120" max="15120" width="12.875" style="1" customWidth="1"/>
    <col min="15121" max="15121" width="10.375" style="1"/>
    <col min="15122" max="15122" width="13" style="1" customWidth="1"/>
    <col min="15123" max="15361" width="10.375" style="1"/>
    <col min="15362" max="15362" width="33.25" style="1" customWidth="1"/>
    <col min="15363" max="15367" width="10.375" style="1"/>
    <col min="15368" max="15368" width="13.625" style="1" customWidth="1"/>
    <col min="15369" max="15369" width="10.375" style="1"/>
    <col min="15370" max="15370" width="14.375" style="1" customWidth="1"/>
    <col min="15371" max="15371" width="10.375" style="1"/>
    <col min="15372" max="15372" width="11.625" style="1" bestFit="1" customWidth="1"/>
    <col min="15373" max="15375" width="10.375" style="1"/>
    <col min="15376" max="15376" width="12.875" style="1" customWidth="1"/>
    <col min="15377" max="15377" width="10.375" style="1"/>
    <col min="15378" max="15378" width="13" style="1" customWidth="1"/>
    <col min="15379" max="15617" width="10.375" style="1"/>
    <col min="15618" max="15618" width="33.25" style="1" customWidth="1"/>
    <col min="15619" max="15623" width="10.375" style="1"/>
    <col min="15624" max="15624" width="13.625" style="1" customWidth="1"/>
    <col min="15625" max="15625" width="10.375" style="1"/>
    <col min="15626" max="15626" width="14.375" style="1" customWidth="1"/>
    <col min="15627" max="15627" width="10.375" style="1"/>
    <col min="15628" max="15628" width="11.625" style="1" bestFit="1" customWidth="1"/>
    <col min="15629" max="15631" width="10.375" style="1"/>
    <col min="15632" max="15632" width="12.875" style="1" customWidth="1"/>
    <col min="15633" max="15633" width="10.375" style="1"/>
    <col min="15634" max="15634" width="13" style="1" customWidth="1"/>
    <col min="15635" max="15873" width="10.375" style="1"/>
    <col min="15874" max="15874" width="33.25" style="1" customWidth="1"/>
    <col min="15875" max="15879" width="10.375" style="1"/>
    <col min="15880" max="15880" width="13.625" style="1" customWidth="1"/>
    <col min="15881" max="15881" width="10.375" style="1"/>
    <col min="15882" max="15882" width="14.375" style="1" customWidth="1"/>
    <col min="15883" max="15883" width="10.375" style="1"/>
    <col min="15884" max="15884" width="11.625" style="1" bestFit="1" customWidth="1"/>
    <col min="15885" max="15887" width="10.375" style="1"/>
    <col min="15888" max="15888" width="12.875" style="1" customWidth="1"/>
    <col min="15889" max="15889" width="10.375" style="1"/>
    <col min="15890" max="15890" width="13" style="1" customWidth="1"/>
    <col min="15891" max="16129" width="10.375" style="1"/>
    <col min="16130" max="16130" width="33.25" style="1" customWidth="1"/>
    <col min="16131" max="16135" width="10.375" style="1"/>
    <col min="16136" max="16136" width="13.625" style="1" customWidth="1"/>
    <col min="16137" max="16137" width="10.375" style="1"/>
    <col min="16138" max="16138" width="14.375" style="1" customWidth="1"/>
    <col min="16139" max="16139" width="10.375" style="1"/>
    <col min="16140" max="16140" width="11.625" style="1" bestFit="1" customWidth="1"/>
    <col min="16141" max="16143" width="10.375" style="1"/>
    <col min="16144" max="16144" width="12.875" style="1" customWidth="1"/>
    <col min="16145" max="16145" width="10.375" style="1"/>
    <col min="16146" max="16146" width="13" style="1" customWidth="1"/>
    <col min="16147" max="16384" width="10.375" style="1"/>
  </cols>
  <sheetData>
    <row r="1" spans="1:18" ht="18.600000000000001">
      <c r="A1" s="175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</row>
    <row r="2" spans="1:18" ht="18.600000000000001">
      <c r="A2" s="176" t="s">
        <v>1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</row>
    <row r="3" spans="1:18" ht="18.600000000000001">
      <c r="A3" s="177" t="s">
        <v>62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</row>
    <row r="4" spans="1:18" ht="18.600000000000001">
      <c r="A4" s="178" t="s">
        <v>3</v>
      </c>
      <c r="B4" s="173" t="s">
        <v>4</v>
      </c>
      <c r="C4" s="173" t="s">
        <v>5</v>
      </c>
      <c r="D4" s="211" t="s">
        <v>6</v>
      </c>
      <c r="E4" s="182" t="s">
        <v>7</v>
      </c>
      <c r="F4" s="183"/>
      <c r="G4" s="183"/>
      <c r="H4" s="183"/>
      <c r="I4" s="183"/>
      <c r="J4" s="184"/>
      <c r="K4" s="214" t="s">
        <v>8</v>
      </c>
      <c r="L4" s="215"/>
      <c r="M4" s="216"/>
      <c r="N4" s="182" t="s">
        <v>9</v>
      </c>
      <c r="O4" s="183"/>
      <c r="P4" s="183"/>
      <c r="Q4" s="183"/>
      <c r="R4" s="184"/>
    </row>
    <row r="5" spans="1:18" ht="18.600000000000001">
      <c r="A5" s="179"/>
      <c r="B5" s="181"/>
      <c r="C5" s="181"/>
      <c r="D5" s="212"/>
      <c r="E5" s="178" t="s">
        <v>10</v>
      </c>
      <c r="F5" s="187" t="s">
        <v>11</v>
      </c>
      <c r="G5" s="187" t="s">
        <v>12</v>
      </c>
      <c r="H5" s="182" t="s">
        <v>13</v>
      </c>
      <c r="I5" s="183"/>
      <c r="J5" s="184"/>
      <c r="K5" s="207" t="s">
        <v>14</v>
      </c>
      <c r="L5" s="209" t="s">
        <v>15</v>
      </c>
      <c r="M5" s="205" t="s">
        <v>16</v>
      </c>
      <c r="N5" s="185" t="s">
        <v>10</v>
      </c>
      <c r="O5" s="187" t="s">
        <v>12</v>
      </c>
      <c r="P5" s="182" t="s">
        <v>13</v>
      </c>
      <c r="Q5" s="183"/>
      <c r="R5" s="184"/>
    </row>
    <row r="6" spans="1:18" ht="16.8">
      <c r="A6" s="180"/>
      <c r="B6" s="174"/>
      <c r="C6" s="174"/>
      <c r="D6" s="213"/>
      <c r="E6" s="180"/>
      <c r="F6" s="188"/>
      <c r="G6" s="188"/>
      <c r="H6" s="5" t="s">
        <v>17</v>
      </c>
      <c r="I6" s="6" t="s">
        <v>18</v>
      </c>
      <c r="J6" s="7" t="s">
        <v>19</v>
      </c>
      <c r="K6" s="208"/>
      <c r="L6" s="210"/>
      <c r="M6" s="206"/>
      <c r="N6" s="186"/>
      <c r="O6" s="188"/>
      <c r="P6" s="5" t="s">
        <v>17</v>
      </c>
      <c r="Q6" s="6" t="s">
        <v>18</v>
      </c>
      <c r="R6" s="7" t="s">
        <v>19</v>
      </c>
    </row>
    <row r="7" spans="1:18" ht="18.600000000000001">
      <c r="A7" s="8"/>
      <c r="B7" s="9" t="s">
        <v>20</v>
      </c>
      <c r="C7" s="10"/>
      <c r="D7" s="11"/>
      <c r="E7" s="12"/>
      <c r="F7" s="12"/>
      <c r="G7" s="13"/>
      <c r="H7" s="14"/>
      <c r="I7" s="15"/>
      <c r="J7" s="11"/>
      <c r="K7" s="16"/>
      <c r="L7" s="17"/>
      <c r="M7" s="18"/>
      <c r="N7" s="19"/>
      <c r="O7" s="13"/>
      <c r="P7" s="13"/>
      <c r="Q7" s="13"/>
      <c r="R7" s="20"/>
    </row>
    <row r="8" spans="1:18" ht="18.600000000000001">
      <c r="A8" s="8">
        <v>1</v>
      </c>
      <c r="B8" s="21"/>
      <c r="C8" s="22"/>
      <c r="D8" s="23">
        <v>0</v>
      </c>
      <c r="E8" s="24"/>
      <c r="F8" s="24"/>
      <c r="G8" s="25"/>
      <c r="H8" s="26">
        <v>0</v>
      </c>
      <c r="I8" s="27">
        <f>H8*0.07</f>
        <v>0</v>
      </c>
      <c r="J8" s="23">
        <v>0</v>
      </c>
      <c r="K8" s="28"/>
      <c r="L8" s="29"/>
      <c r="M8" s="30">
        <v>0</v>
      </c>
      <c r="N8" s="31"/>
      <c r="O8" s="25"/>
      <c r="P8" s="27">
        <f>ROUND(R8*100/107,2)</f>
        <v>0</v>
      </c>
      <c r="Q8" s="27">
        <f>P8*0.07</f>
        <v>0</v>
      </c>
      <c r="R8" s="32">
        <f>D8+J8-M8</f>
        <v>0</v>
      </c>
    </row>
    <row r="9" spans="1:18" ht="18.600000000000001">
      <c r="A9" s="8">
        <f>+A8+1</f>
        <v>2</v>
      </c>
      <c r="B9" s="33" t="s">
        <v>21</v>
      </c>
      <c r="C9" s="22"/>
      <c r="D9" s="23">
        <v>0</v>
      </c>
      <c r="E9" s="24"/>
      <c r="F9" s="24"/>
      <c r="G9" s="25"/>
      <c r="H9" s="34">
        <v>0</v>
      </c>
      <c r="I9" s="35">
        <f>H9*0.07</f>
        <v>0</v>
      </c>
      <c r="J9" s="36">
        <v>0</v>
      </c>
      <c r="K9" s="28"/>
      <c r="L9" s="29"/>
      <c r="M9" s="30">
        <v>0</v>
      </c>
      <c r="N9" s="31"/>
      <c r="O9" s="25"/>
      <c r="P9" s="27">
        <f>ROUND(R9*100/107,2)</f>
        <v>0</v>
      </c>
      <c r="Q9" s="27">
        <f>P9*0.07</f>
        <v>0</v>
      </c>
      <c r="R9" s="32">
        <f>D9+J9-M9</f>
        <v>0</v>
      </c>
    </row>
    <row r="10" spans="1:18" ht="18.600000000000001">
      <c r="A10" s="8">
        <f>+A9+1</f>
        <v>3</v>
      </c>
      <c r="B10" s="37"/>
      <c r="C10" s="22"/>
      <c r="D10" s="23">
        <v>0</v>
      </c>
      <c r="E10" s="24"/>
      <c r="F10" s="38"/>
      <c r="G10" s="39"/>
      <c r="H10" s="40">
        <f>J10*100/107</f>
        <v>0</v>
      </c>
      <c r="I10" s="40">
        <f>H10*0.07</f>
        <v>0</v>
      </c>
      <c r="J10" s="41">
        <v>0</v>
      </c>
      <c r="K10" s="28"/>
      <c r="L10" s="29"/>
      <c r="M10" s="30">
        <v>0</v>
      </c>
      <c r="N10" s="31"/>
      <c r="O10" s="25"/>
      <c r="P10" s="27">
        <f>ROUND(R10*100/107,2)</f>
        <v>0</v>
      </c>
      <c r="Q10" s="27">
        <f>P10*0.07</f>
        <v>0</v>
      </c>
      <c r="R10" s="32">
        <f>D10+J10-M10</f>
        <v>0</v>
      </c>
    </row>
    <row r="11" spans="1:18" ht="19.2" thickBot="1">
      <c r="A11" s="42"/>
      <c r="B11" s="191" t="s">
        <v>19</v>
      </c>
      <c r="C11" s="192"/>
      <c r="D11" s="43">
        <f>SUM(D8:D10)</f>
        <v>0</v>
      </c>
      <c r="E11" s="43"/>
      <c r="F11" s="43"/>
      <c r="G11" s="44"/>
      <c r="H11" s="44">
        <f>SUM(H8:H10)</f>
        <v>0</v>
      </c>
      <c r="I11" s="44">
        <f>SUM(I8:I10)</f>
        <v>0</v>
      </c>
      <c r="J11" s="44">
        <f>SUM(J8:J10)</f>
        <v>0</v>
      </c>
      <c r="K11" s="45"/>
      <c r="L11" s="46"/>
      <c r="M11" s="47">
        <f>SUM(M8:M10)</f>
        <v>0</v>
      </c>
      <c r="N11" s="48"/>
      <c r="O11" s="43"/>
      <c r="P11" s="49">
        <f>ROUND(R11*100/107,2)</f>
        <v>0</v>
      </c>
      <c r="Q11" s="49">
        <f>P11*0.07</f>
        <v>0</v>
      </c>
      <c r="R11" s="50">
        <f>SUM(R8:R10)</f>
        <v>0</v>
      </c>
    </row>
    <row r="12" spans="1:18" ht="19.2" thickTop="1">
      <c r="A12" s="8"/>
      <c r="B12" s="51" t="s">
        <v>22</v>
      </c>
      <c r="C12" s="52"/>
      <c r="D12" s="11"/>
      <c r="E12" s="12"/>
      <c r="F12" s="12"/>
      <c r="G12" s="53"/>
      <c r="H12" s="14"/>
      <c r="I12" s="15"/>
      <c r="J12" s="11"/>
      <c r="K12" s="16"/>
      <c r="L12" s="17"/>
      <c r="M12" s="18"/>
      <c r="N12" s="19"/>
      <c r="O12" s="13"/>
      <c r="P12" s="13"/>
      <c r="Q12" s="13"/>
      <c r="R12" s="20"/>
    </row>
    <row r="13" spans="1:18" ht="34.5" customHeight="1">
      <c r="A13" s="8">
        <v>1</v>
      </c>
      <c r="B13" s="203"/>
      <c r="C13" s="204"/>
      <c r="D13" s="23">
        <v>0</v>
      </c>
      <c r="E13" s="54"/>
      <c r="F13" s="54"/>
      <c r="G13" s="25"/>
      <c r="H13" s="26">
        <v>0</v>
      </c>
      <c r="I13" s="27">
        <f>H13*0.07</f>
        <v>0</v>
      </c>
      <c r="J13" s="23">
        <f>SUM(H13:I13)</f>
        <v>0</v>
      </c>
      <c r="K13" s="55">
        <v>0</v>
      </c>
      <c r="L13" s="56"/>
      <c r="M13" s="55">
        <v>0</v>
      </c>
      <c r="N13" s="31"/>
      <c r="O13" s="25"/>
      <c r="P13" s="27">
        <f>ROUND(R13*100/107,2)</f>
        <v>0</v>
      </c>
      <c r="Q13" s="27">
        <f>P13*0.07</f>
        <v>0</v>
      </c>
      <c r="R13" s="32">
        <f>D13+J13-M13</f>
        <v>0</v>
      </c>
    </row>
    <row r="14" spans="1:18" ht="29.25" customHeight="1">
      <c r="A14" s="8">
        <v>2</v>
      </c>
      <c r="B14" s="197" t="s">
        <v>21</v>
      </c>
      <c r="C14" s="198"/>
      <c r="D14" s="23">
        <v>0</v>
      </c>
      <c r="E14" s="31"/>
      <c r="F14" s="31"/>
      <c r="G14" s="25"/>
      <c r="H14" s="34">
        <v>0</v>
      </c>
      <c r="I14" s="27">
        <f>H14*0.07</f>
        <v>0</v>
      </c>
      <c r="J14" s="23">
        <f>SUM(H14:I14)</f>
        <v>0</v>
      </c>
      <c r="K14" s="58">
        <v>0</v>
      </c>
      <c r="L14" s="56"/>
      <c r="M14" s="55">
        <v>0</v>
      </c>
      <c r="N14" s="31"/>
      <c r="O14" s="25"/>
      <c r="P14" s="27">
        <f>ROUND(R14*100/107,2)</f>
        <v>0</v>
      </c>
      <c r="Q14" s="27">
        <f>P14*0.07</f>
        <v>0</v>
      </c>
      <c r="R14" s="32">
        <f>D14+J14-M14</f>
        <v>0</v>
      </c>
    </row>
    <row r="15" spans="1:18" ht="28.5" customHeight="1">
      <c r="A15" s="8">
        <f>+A14+1</f>
        <v>3</v>
      </c>
      <c r="B15" s="195"/>
      <c r="C15" s="196"/>
      <c r="D15" s="23">
        <v>0</v>
      </c>
      <c r="E15" s="24"/>
      <c r="F15" s="24"/>
      <c r="G15" s="25"/>
      <c r="H15" s="34">
        <v>0</v>
      </c>
      <c r="I15" s="27">
        <f>H15*0.07</f>
        <v>0</v>
      </c>
      <c r="J15" s="23">
        <f>SUM(H15:I15)</f>
        <v>0</v>
      </c>
      <c r="K15" s="55">
        <v>0</v>
      </c>
      <c r="L15" s="60"/>
      <c r="M15" s="55">
        <v>0</v>
      </c>
      <c r="N15" s="31"/>
      <c r="O15" s="25"/>
      <c r="P15" s="27">
        <f>ROUND(R15*100/107,2)</f>
        <v>0</v>
      </c>
      <c r="Q15" s="27">
        <f>P15*0.07</f>
        <v>0</v>
      </c>
      <c r="R15" s="32">
        <f>D15+J15-M15</f>
        <v>0</v>
      </c>
    </row>
    <row r="16" spans="1:18" ht="19.2" thickBot="1">
      <c r="A16" s="42"/>
      <c r="B16" s="191" t="s">
        <v>19</v>
      </c>
      <c r="C16" s="192"/>
      <c r="D16" s="43">
        <f>SUM(D13:D15)</f>
        <v>0</v>
      </c>
      <c r="E16" s="43"/>
      <c r="F16" s="43"/>
      <c r="G16" s="43"/>
      <c r="H16" s="43">
        <f>SUM(H13:H15)</f>
        <v>0</v>
      </c>
      <c r="I16" s="43">
        <f>SUM(I13:I15)</f>
        <v>0</v>
      </c>
      <c r="J16" s="43">
        <f>SUM(J13:J15)</f>
        <v>0</v>
      </c>
      <c r="K16" s="45"/>
      <c r="L16" s="46"/>
      <c r="M16" s="47">
        <f>SUM(M13:M15)</f>
        <v>0</v>
      </c>
      <c r="N16" s="48"/>
      <c r="O16" s="43"/>
      <c r="P16" s="49">
        <f>ROUND(R16*100/107,2)</f>
        <v>0</v>
      </c>
      <c r="Q16" s="49">
        <f>P16*0.07</f>
        <v>0</v>
      </c>
      <c r="R16" s="50">
        <f>SUM(R13:R15)</f>
        <v>0</v>
      </c>
    </row>
    <row r="17" spans="1:18" ht="19.2" thickTop="1">
      <c r="A17" s="8"/>
      <c r="B17" s="51" t="s">
        <v>23</v>
      </c>
      <c r="C17" s="52"/>
      <c r="D17" s="11"/>
      <c r="E17" s="12"/>
      <c r="F17" s="12"/>
      <c r="G17" s="13"/>
      <c r="H17" s="61"/>
      <c r="I17" s="35"/>
      <c r="J17" s="11"/>
      <c r="K17" s="16"/>
      <c r="L17" s="17"/>
      <c r="M17" s="18"/>
      <c r="N17" s="19"/>
      <c r="O17" s="13"/>
      <c r="P17" s="13"/>
      <c r="Q17" s="13"/>
      <c r="R17" s="20"/>
    </row>
    <row r="18" spans="1:18" ht="18.600000000000001">
      <c r="A18" s="8">
        <v>1</v>
      </c>
      <c r="B18" s="62"/>
      <c r="C18" s="63"/>
      <c r="D18" s="23">
        <v>0</v>
      </c>
      <c r="E18" s="24"/>
      <c r="F18" s="24"/>
      <c r="G18" s="25"/>
      <c r="H18" s="26">
        <v>0</v>
      </c>
      <c r="I18" s="27">
        <f>H18*0.07</f>
        <v>0</v>
      </c>
      <c r="J18" s="23">
        <v>0</v>
      </c>
      <c r="K18" s="28"/>
      <c r="L18" s="29"/>
      <c r="M18" s="30">
        <v>0</v>
      </c>
      <c r="N18" s="31"/>
      <c r="O18" s="25"/>
      <c r="P18" s="27">
        <f>ROUND(R18*100/107,2)</f>
        <v>0</v>
      </c>
      <c r="Q18" s="27">
        <f>P18*0.07</f>
        <v>0</v>
      </c>
      <c r="R18" s="32">
        <f>D18+J18-M18</f>
        <v>0</v>
      </c>
    </row>
    <row r="19" spans="1:18" ht="18.600000000000001">
      <c r="A19" s="8">
        <f>+A18+1</f>
        <v>2</v>
      </c>
      <c r="B19" s="64" t="s">
        <v>21</v>
      </c>
      <c r="C19" s="63"/>
      <c r="D19" s="23">
        <v>0</v>
      </c>
      <c r="E19" s="24"/>
      <c r="F19" s="24"/>
      <c r="G19" s="25"/>
      <c r="H19" s="34">
        <v>0</v>
      </c>
      <c r="I19" s="35">
        <f>H19*0.07</f>
        <v>0</v>
      </c>
      <c r="J19" s="36">
        <v>0</v>
      </c>
      <c r="K19" s="28"/>
      <c r="L19" s="29"/>
      <c r="M19" s="30">
        <v>0</v>
      </c>
      <c r="N19" s="31"/>
      <c r="O19" s="25"/>
      <c r="P19" s="27">
        <f>ROUND(R19*100/107,2)</f>
        <v>0</v>
      </c>
      <c r="Q19" s="27">
        <f>P19*0.07</f>
        <v>0</v>
      </c>
      <c r="R19" s="32">
        <f>D19+J19-M19</f>
        <v>0</v>
      </c>
    </row>
    <row r="20" spans="1:18" ht="18.600000000000001">
      <c r="A20" s="8">
        <f>+A19+1</f>
        <v>3</v>
      </c>
      <c r="B20" s="65"/>
      <c r="C20" s="63"/>
      <c r="D20" s="23">
        <v>0</v>
      </c>
      <c r="E20" s="24"/>
      <c r="F20" s="38"/>
      <c r="G20" s="39"/>
      <c r="H20" s="40">
        <f>J20*100/107</f>
        <v>0</v>
      </c>
      <c r="I20" s="40">
        <f>H20*0.07</f>
        <v>0</v>
      </c>
      <c r="J20" s="41">
        <v>0</v>
      </c>
      <c r="K20" s="28"/>
      <c r="L20" s="29"/>
      <c r="M20" s="30">
        <v>0</v>
      </c>
      <c r="N20" s="31"/>
      <c r="O20" s="25"/>
      <c r="P20" s="27">
        <f>ROUND(R20*100/107,2)</f>
        <v>0</v>
      </c>
      <c r="Q20" s="27">
        <f>P20*0.07</f>
        <v>0</v>
      </c>
      <c r="R20" s="32">
        <f>D20+J20-M20</f>
        <v>0</v>
      </c>
    </row>
    <row r="21" spans="1:18" ht="19.2" thickBot="1">
      <c r="A21" s="42"/>
      <c r="B21" s="191" t="s">
        <v>19</v>
      </c>
      <c r="C21" s="192"/>
      <c r="D21" s="43">
        <f>SUM(D18:D20)</f>
        <v>0</v>
      </c>
      <c r="E21" s="43"/>
      <c r="F21" s="43"/>
      <c r="G21" s="44"/>
      <c r="H21" s="44">
        <f>SUM(H18:H20)</f>
        <v>0</v>
      </c>
      <c r="I21" s="44">
        <f>SUM(I18:I20)</f>
        <v>0</v>
      </c>
      <c r="J21" s="44">
        <f>SUM(J18:J20)</f>
        <v>0</v>
      </c>
      <c r="K21" s="45"/>
      <c r="L21" s="46"/>
      <c r="M21" s="47">
        <f>SUM(M18:M20)</f>
        <v>0</v>
      </c>
      <c r="N21" s="48"/>
      <c r="O21" s="43"/>
      <c r="P21" s="49">
        <f>ROUND(R21*100/107,2)</f>
        <v>0</v>
      </c>
      <c r="Q21" s="49">
        <f>P21*0.07</f>
        <v>0</v>
      </c>
      <c r="R21" s="50">
        <f>SUM(R18:R20)</f>
        <v>0</v>
      </c>
    </row>
    <row r="22" spans="1:18" ht="19.2" thickTop="1">
      <c r="A22" s="8"/>
      <c r="B22" s="51" t="s">
        <v>24</v>
      </c>
      <c r="C22" s="52"/>
      <c r="D22" s="11"/>
      <c r="E22" s="12"/>
      <c r="F22" s="12"/>
      <c r="G22" s="53"/>
      <c r="H22" s="14"/>
      <c r="I22" s="15"/>
      <c r="J22" s="11"/>
      <c r="K22" s="16"/>
      <c r="L22" s="17"/>
      <c r="M22" s="18"/>
      <c r="N22" s="19"/>
      <c r="O22" s="13"/>
      <c r="P22" s="13"/>
      <c r="Q22" s="13"/>
      <c r="R22" s="20"/>
    </row>
    <row r="23" spans="1:18" ht="18.600000000000001">
      <c r="A23" s="8">
        <v>1</v>
      </c>
      <c r="B23" s="62"/>
      <c r="C23" s="63"/>
      <c r="D23" s="23"/>
      <c r="E23" s="24"/>
      <c r="F23" s="24"/>
      <c r="G23" s="25"/>
      <c r="H23" s="26">
        <v>0</v>
      </c>
      <c r="I23" s="27">
        <f>H23*0.07</f>
        <v>0</v>
      </c>
      <c r="J23" s="23">
        <v>0</v>
      </c>
      <c r="K23" s="28"/>
      <c r="L23" s="29"/>
      <c r="M23" s="30">
        <v>0</v>
      </c>
      <c r="N23" s="31"/>
      <c r="O23" s="25"/>
      <c r="P23" s="27">
        <f>ROUND(R23*100/107,2)</f>
        <v>0</v>
      </c>
      <c r="Q23" s="27">
        <f>P23*0.07</f>
        <v>0</v>
      </c>
      <c r="R23" s="32">
        <f>D23+J23-M23</f>
        <v>0</v>
      </c>
    </row>
    <row r="24" spans="1:18" ht="18.600000000000001">
      <c r="A24" s="8">
        <f>+A23+1</f>
        <v>2</v>
      </c>
      <c r="B24" s="64" t="s">
        <v>21</v>
      </c>
      <c r="C24" s="63"/>
      <c r="D24" s="23"/>
      <c r="E24" s="24"/>
      <c r="F24" s="24"/>
      <c r="G24" s="25"/>
      <c r="H24" s="26">
        <v>0</v>
      </c>
      <c r="I24" s="27">
        <f>H24*0.07</f>
        <v>0</v>
      </c>
      <c r="J24" s="23">
        <v>0</v>
      </c>
      <c r="K24" s="28"/>
      <c r="L24" s="29"/>
      <c r="M24" s="55">
        <v>0</v>
      </c>
      <c r="N24" s="31"/>
      <c r="O24" s="25"/>
      <c r="P24" s="27">
        <f>ROUND(R24*100/107,2)</f>
        <v>0</v>
      </c>
      <c r="Q24" s="27">
        <f>P24*0.07</f>
        <v>0</v>
      </c>
      <c r="R24" s="32">
        <f>D24+J24-M24</f>
        <v>0</v>
      </c>
    </row>
    <row r="25" spans="1:18" ht="18.600000000000001">
      <c r="A25" s="8">
        <f>+A24+1</f>
        <v>3</v>
      </c>
      <c r="B25" s="65"/>
      <c r="C25" s="63"/>
      <c r="D25" s="23"/>
      <c r="E25" s="24"/>
      <c r="F25" s="38"/>
      <c r="G25" s="39"/>
      <c r="H25" s="40">
        <v>0</v>
      </c>
      <c r="I25" s="40">
        <f>H25*0.07</f>
        <v>0</v>
      </c>
      <c r="J25" s="66">
        <v>0</v>
      </c>
      <c r="K25" s="28"/>
      <c r="L25" s="29"/>
      <c r="M25" s="55">
        <v>0</v>
      </c>
      <c r="N25" s="31"/>
      <c r="O25" s="25"/>
      <c r="P25" s="27">
        <f>ROUND(R25*100/107,2)</f>
        <v>0</v>
      </c>
      <c r="Q25" s="27">
        <f>P25*0.07</f>
        <v>0</v>
      </c>
      <c r="R25" s="32">
        <f>D25+J25-M25</f>
        <v>0</v>
      </c>
    </row>
    <row r="26" spans="1:18" ht="19.2" thickBot="1">
      <c r="A26" s="42"/>
      <c r="B26" s="191" t="s">
        <v>19</v>
      </c>
      <c r="C26" s="192"/>
      <c r="D26" s="43">
        <f>SUM(D23:D25)</f>
        <v>0</v>
      </c>
      <c r="E26" s="43"/>
      <c r="F26" s="43"/>
      <c r="G26" s="44"/>
      <c r="H26" s="44">
        <f>SUM(H23:H25)</f>
        <v>0</v>
      </c>
      <c r="I26" s="44">
        <f>SUM(I23:I25)</f>
        <v>0</v>
      </c>
      <c r="J26" s="44">
        <f>SUM(J23:J25)</f>
        <v>0</v>
      </c>
      <c r="K26" s="45"/>
      <c r="L26" s="46"/>
      <c r="M26" s="47">
        <f>SUM(M23:M25)</f>
        <v>0</v>
      </c>
      <c r="N26" s="48"/>
      <c r="O26" s="43"/>
      <c r="P26" s="49">
        <f>ROUND(R26*100/107,2)</f>
        <v>0</v>
      </c>
      <c r="Q26" s="49">
        <f>P26*0.07</f>
        <v>0</v>
      </c>
      <c r="R26" s="50">
        <f>SUM(R23:R25)</f>
        <v>0</v>
      </c>
    </row>
    <row r="27" spans="1:18" ht="19.2" thickTop="1">
      <c r="A27" s="8"/>
      <c r="B27" s="67"/>
      <c r="C27" s="68"/>
      <c r="D27" s="69"/>
      <c r="E27" s="70"/>
      <c r="F27" s="70"/>
      <c r="G27" s="71"/>
      <c r="H27" s="72"/>
      <c r="I27" s="73"/>
      <c r="J27" s="69"/>
      <c r="K27" s="74"/>
      <c r="L27" s="75"/>
      <c r="M27" s="76"/>
      <c r="N27" s="77"/>
      <c r="O27" s="78"/>
      <c r="P27" s="78"/>
      <c r="Q27" s="78"/>
      <c r="R27" s="79"/>
    </row>
    <row r="28" spans="1:18" ht="18.600000000000001">
      <c r="A28" s="8"/>
      <c r="B28" s="80" t="s">
        <v>25</v>
      </c>
      <c r="C28" s="68"/>
      <c r="D28" s="23"/>
      <c r="E28" s="24"/>
      <c r="F28" s="24"/>
      <c r="G28" s="25"/>
      <c r="H28" s="81"/>
      <c r="I28" s="27"/>
      <c r="J28" s="23"/>
      <c r="K28" s="28"/>
      <c r="L28" s="29"/>
      <c r="M28" s="55"/>
      <c r="N28" s="31"/>
      <c r="O28" s="25"/>
      <c r="P28" s="25"/>
      <c r="Q28" s="25"/>
      <c r="R28" s="32"/>
    </row>
    <row r="29" spans="1:18" ht="18.600000000000001">
      <c r="A29" s="8">
        <f>+A28+1</f>
        <v>1</v>
      </c>
      <c r="B29" s="195"/>
      <c r="C29" s="196"/>
      <c r="D29" s="23">
        <v>0</v>
      </c>
      <c r="E29" s="24"/>
      <c r="F29" s="24"/>
      <c r="G29" s="25"/>
      <c r="H29" s="34">
        <v>0</v>
      </c>
      <c r="I29" s="27">
        <f>H29*0.07</f>
        <v>0</v>
      </c>
      <c r="J29" s="36">
        <v>0</v>
      </c>
      <c r="K29" s="82"/>
      <c r="L29" s="83"/>
      <c r="M29" s="30">
        <v>0</v>
      </c>
      <c r="N29" s="31"/>
      <c r="O29" s="25"/>
      <c r="P29" s="27">
        <f>ROUND(R29*100/107,2)</f>
        <v>0</v>
      </c>
      <c r="Q29" s="27">
        <f>P29*0.07</f>
        <v>0</v>
      </c>
      <c r="R29" s="32">
        <f>D29+J29-M29</f>
        <v>0</v>
      </c>
    </row>
    <row r="30" spans="1:18" ht="18.600000000000001">
      <c r="A30" s="8">
        <v>2</v>
      </c>
      <c r="B30" s="57" t="s">
        <v>21</v>
      </c>
      <c r="C30" s="59"/>
      <c r="D30" s="23">
        <v>0</v>
      </c>
      <c r="E30" s="24"/>
      <c r="F30" s="38"/>
      <c r="G30" s="84"/>
      <c r="H30" s="34">
        <v>0</v>
      </c>
      <c r="I30" s="85">
        <v>0</v>
      </c>
      <c r="J30" s="86">
        <v>0</v>
      </c>
      <c r="K30" s="82"/>
      <c r="L30" s="83"/>
      <c r="M30" s="30"/>
      <c r="N30" s="31"/>
      <c r="O30" s="25"/>
      <c r="P30" s="27">
        <f>ROUND(R30*100/107,2)</f>
        <v>0</v>
      </c>
      <c r="Q30" s="27">
        <f>P30*0.07</f>
        <v>0</v>
      </c>
      <c r="R30" s="32">
        <f>D30+J30-M30</f>
        <v>0</v>
      </c>
    </row>
    <row r="31" spans="1:18" ht="18.600000000000001">
      <c r="A31" s="8">
        <v>3</v>
      </c>
      <c r="B31" s="195"/>
      <c r="C31" s="196"/>
      <c r="D31" s="23">
        <v>0</v>
      </c>
      <c r="E31" s="24"/>
      <c r="F31" s="38"/>
      <c r="G31" s="39"/>
      <c r="H31" s="40">
        <f>J31*100/107</f>
        <v>0</v>
      </c>
      <c r="I31" s="40">
        <f>H31*0.07</f>
        <v>0</v>
      </c>
      <c r="J31" s="41">
        <v>0</v>
      </c>
      <c r="K31" s="82"/>
      <c r="L31" s="83"/>
      <c r="M31" s="30">
        <v>0</v>
      </c>
      <c r="N31" s="31"/>
      <c r="O31" s="25"/>
      <c r="P31" s="27">
        <f>ROUND(R31*100/107,2)</f>
        <v>0</v>
      </c>
      <c r="Q31" s="27">
        <f>P31*0.07</f>
        <v>0</v>
      </c>
      <c r="R31" s="32">
        <f>D31+J31-M31</f>
        <v>0</v>
      </c>
    </row>
    <row r="32" spans="1:18" ht="19.2" thickBot="1">
      <c r="A32" s="42"/>
      <c r="B32" s="191" t="s">
        <v>19</v>
      </c>
      <c r="C32" s="192"/>
      <c r="D32" s="43">
        <f>SUM(D28:D31)</f>
        <v>0</v>
      </c>
      <c r="E32" s="43"/>
      <c r="F32" s="43"/>
      <c r="G32" s="44"/>
      <c r="H32" s="44">
        <f>SUM(H28:H31)</f>
        <v>0</v>
      </c>
      <c r="I32" s="44">
        <f>SUM(I28:I31)</f>
        <v>0</v>
      </c>
      <c r="J32" s="44">
        <f>SUM(J28:J31)</f>
        <v>0</v>
      </c>
      <c r="K32" s="45"/>
      <c r="L32" s="46"/>
      <c r="M32" s="47">
        <f>SUM(M28:M31)</f>
        <v>0</v>
      </c>
      <c r="N32" s="48"/>
      <c r="O32" s="43"/>
      <c r="P32" s="49">
        <f>ROUND(R32*100/107,2)</f>
        <v>0</v>
      </c>
      <c r="Q32" s="49">
        <f>P32*0.07</f>
        <v>0</v>
      </c>
      <c r="R32" s="50">
        <f>SUM(R28:R31)</f>
        <v>0</v>
      </c>
    </row>
    <row r="33" spans="1:18" ht="19.2" thickTop="1">
      <c r="A33" s="8"/>
      <c r="B33" s="51" t="s">
        <v>26</v>
      </c>
      <c r="C33" s="52"/>
      <c r="D33" s="11"/>
      <c r="E33" s="12"/>
      <c r="F33" s="12"/>
      <c r="G33" s="53"/>
      <c r="H33" s="14"/>
      <c r="I33" s="15"/>
      <c r="J33" s="11"/>
      <c r="K33" s="16"/>
      <c r="L33" s="17"/>
      <c r="M33" s="18"/>
      <c r="N33" s="19"/>
      <c r="O33" s="13"/>
      <c r="P33" s="13"/>
      <c r="Q33" s="13"/>
      <c r="R33" s="20"/>
    </row>
    <row r="34" spans="1:18" ht="18.600000000000001">
      <c r="A34" s="8">
        <v>1</v>
      </c>
      <c r="B34" s="33" t="s">
        <v>21</v>
      </c>
      <c r="C34" s="87"/>
      <c r="D34" s="23">
        <v>0</v>
      </c>
      <c r="E34" s="24"/>
      <c r="F34" s="24"/>
      <c r="G34" s="25"/>
      <c r="H34" s="27">
        <v>0</v>
      </c>
      <c r="I34" s="27">
        <f>H34*0.07</f>
        <v>0</v>
      </c>
      <c r="J34" s="36">
        <v>0</v>
      </c>
      <c r="K34" s="28"/>
      <c r="L34" s="29"/>
      <c r="M34" s="30">
        <v>0</v>
      </c>
      <c r="N34" s="31"/>
      <c r="O34" s="25"/>
      <c r="P34" s="27">
        <f>ROUND(R34*100/107,2)</f>
        <v>0</v>
      </c>
      <c r="Q34" s="27">
        <f>P34*0.07</f>
        <v>0</v>
      </c>
      <c r="R34" s="32">
        <f>D34+J34-M34</f>
        <v>0</v>
      </c>
    </row>
    <row r="35" spans="1:18" ht="18.600000000000001">
      <c r="A35" s="8">
        <v>2</v>
      </c>
      <c r="B35" s="33"/>
      <c r="C35" s="87"/>
      <c r="D35" s="23"/>
      <c r="E35" s="24"/>
      <c r="F35" s="38"/>
      <c r="G35" s="84"/>
      <c r="H35" s="34"/>
      <c r="I35" s="34"/>
      <c r="J35" s="86"/>
      <c r="K35" s="28"/>
      <c r="L35" s="29"/>
      <c r="M35" s="30"/>
      <c r="N35" s="31"/>
      <c r="O35" s="25"/>
      <c r="P35" s="27"/>
      <c r="Q35" s="27"/>
      <c r="R35" s="32"/>
    </row>
    <row r="36" spans="1:18" ht="18.600000000000001">
      <c r="A36" s="8">
        <v>3</v>
      </c>
      <c r="B36" s="37"/>
      <c r="C36" s="22"/>
      <c r="D36" s="23">
        <v>0</v>
      </c>
      <c r="E36" s="24"/>
      <c r="F36" s="38"/>
      <c r="G36" s="39"/>
      <c r="H36" s="40">
        <f>J36*100/107</f>
        <v>0</v>
      </c>
      <c r="I36" s="40">
        <f>H36*0.07</f>
        <v>0</v>
      </c>
      <c r="J36" s="41">
        <v>0</v>
      </c>
      <c r="K36" s="28"/>
      <c r="L36" s="29"/>
      <c r="M36" s="30">
        <v>0</v>
      </c>
      <c r="N36" s="31"/>
      <c r="O36" s="25"/>
      <c r="P36" s="27">
        <f>ROUND(R36*100/107,2)</f>
        <v>0</v>
      </c>
      <c r="Q36" s="27">
        <f>P36*0.07</f>
        <v>0</v>
      </c>
      <c r="R36" s="32">
        <f>D36+J36-M36</f>
        <v>0</v>
      </c>
    </row>
    <row r="37" spans="1:18" ht="19.2" thickBot="1">
      <c r="A37" s="42"/>
      <c r="B37" s="191" t="s">
        <v>19</v>
      </c>
      <c r="C37" s="192"/>
      <c r="D37" s="43">
        <f>SUM(D34:D36)</f>
        <v>0</v>
      </c>
      <c r="E37" s="43"/>
      <c r="F37" s="43"/>
      <c r="G37" s="44"/>
      <c r="H37" s="44">
        <f>SUM(H34:H36)</f>
        <v>0</v>
      </c>
      <c r="I37" s="44">
        <f>SUM(I34:I36)</f>
        <v>0</v>
      </c>
      <c r="J37" s="44">
        <f>SUM(J34:J36)</f>
        <v>0</v>
      </c>
      <c r="K37" s="45"/>
      <c r="L37" s="46"/>
      <c r="M37" s="47">
        <f>SUM(M34:M36)</f>
        <v>0</v>
      </c>
      <c r="N37" s="48"/>
      <c r="O37" s="43"/>
      <c r="P37" s="49">
        <f>ROUND(R37*100/107,2)</f>
        <v>0</v>
      </c>
      <c r="Q37" s="49">
        <f>P37*0.07</f>
        <v>0</v>
      </c>
      <c r="R37" s="50">
        <f>SUM(R34:R36)</f>
        <v>0</v>
      </c>
    </row>
    <row r="38" spans="1:18" ht="19.2" thickTop="1">
      <c r="A38" s="42"/>
      <c r="B38" s="88" t="s">
        <v>27</v>
      </c>
      <c r="C38" s="52"/>
      <c r="D38" s="11"/>
      <c r="E38" s="12"/>
      <c r="F38" s="12"/>
      <c r="G38" s="13"/>
      <c r="H38" s="13"/>
      <c r="I38" s="13"/>
      <c r="J38" s="11"/>
      <c r="K38" s="16"/>
      <c r="L38" s="17"/>
      <c r="M38" s="18"/>
      <c r="N38" s="19"/>
      <c r="O38" s="13"/>
      <c r="P38" s="13"/>
      <c r="Q38" s="13"/>
      <c r="R38" s="89"/>
    </row>
    <row r="39" spans="1:18" ht="30.75" customHeight="1">
      <c r="A39" s="42">
        <v>1</v>
      </c>
      <c r="B39" s="195"/>
      <c r="C39" s="196"/>
      <c r="D39" s="23">
        <v>0</v>
      </c>
      <c r="E39" s="31"/>
      <c r="F39" s="31"/>
      <c r="G39" s="25"/>
      <c r="H39" s="90">
        <v>0</v>
      </c>
      <c r="I39" s="27">
        <f>H39*0.07</f>
        <v>0</v>
      </c>
      <c r="J39" s="23">
        <f>SUM(H39:I39)</f>
        <v>0</v>
      </c>
      <c r="K39" s="56"/>
      <c r="L39" s="91"/>
      <c r="M39" s="55">
        <v>0</v>
      </c>
      <c r="N39" s="31"/>
      <c r="O39" s="25"/>
      <c r="P39" s="27">
        <f>ROUND(R39*100/107,2)</f>
        <v>0</v>
      </c>
      <c r="Q39" s="27">
        <f>P39*0.07</f>
        <v>0</v>
      </c>
      <c r="R39" s="92">
        <f>D39+J39-M39</f>
        <v>0</v>
      </c>
    </row>
    <row r="40" spans="1:18" ht="30" customHeight="1">
      <c r="A40" s="8">
        <v>2</v>
      </c>
      <c r="B40" s="197" t="s">
        <v>21</v>
      </c>
      <c r="C40" s="198"/>
      <c r="D40" s="23">
        <v>0</v>
      </c>
      <c r="E40" s="31"/>
      <c r="F40" s="31"/>
      <c r="G40" s="25"/>
      <c r="H40" s="34">
        <v>0</v>
      </c>
      <c r="I40" s="27">
        <f>H40*0.07</f>
        <v>0</v>
      </c>
      <c r="J40" s="23">
        <f>SUM(H40:I40)</f>
        <v>0</v>
      </c>
      <c r="K40" s="56"/>
      <c r="L40" s="56"/>
      <c r="M40" s="55">
        <v>0</v>
      </c>
      <c r="N40" s="31"/>
      <c r="O40" s="25"/>
      <c r="P40" s="27">
        <f>ROUND(R40*100/107,2)</f>
        <v>0</v>
      </c>
      <c r="Q40" s="27">
        <f>P40*0.07</f>
        <v>0</v>
      </c>
      <c r="R40" s="32">
        <f>D40+J40-M40</f>
        <v>0</v>
      </c>
    </row>
    <row r="41" spans="1:18" ht="27" customHeight="1">
      <c r="A41" s="42">
        <v>3</v>
      </c>
      <c r="B41" s="203"/>
      <c r="C41" s="204"/>
      <c r="D41" s="23">
        <v>0</v>
      </c>
      <c r="E41" s="31"/>
      <c r="F41" s="31"/>
      <c r="G41" s="25"/>
      <c r="H41" s="90">
        <v>0</v>
      </c>
      <c r="I41" s="27">
        <f>H41*0.07</f>
        <v>0</v>
      </c>
      <c r="J41" s="23">
        <f>SUM(H41:I41)</f>
        <v>0</v>
      </c>
      <c r="K41" s="56"/>
      <c r="L41" s="56"/>
      <c r="M41" s="55">
        <v>0</v>
      </c>
      <c r="N41" s="31"/>
      <c r="O41" s="25"/>
      <c r="P41" s="27">
        <f>ROUND(R41*100/107,2)</f>
        <v>0</v>
      </c>
      <c r="Q41" s="27">
        <f>P41*0.07</f>
        <v>0</v>
      </c>
      <c r="R41" s="92">
        <f>D41+J41-M41</f>
        <v>0</v>
      </c>
    </row>
    <row r="42" spans="1:18" ht="19.2" thickBot="1">
      <c r="A42" s="93"/>
      <c r="B42" s="191" t="s">
        <v>19</v>
      </c>
      <c r="C42" s="192"/>
      <c r="D42" s="43">
        <f>SUM(D39:D41)</f>
        <v>0</v>
      </c>
      <c r="E42" s="43"/>
      <c r="F42" s="43"/>
      <c r="G42" s="43"/>
      <c r="H42" s="43">
        <f>SUM(H39:H41)</f>
        <v>0</v>
      </c>
      <c r="I42" s="43">
        <f>SUM(I39:I41)</f>
        <v>0</v>
      </c>
      <c r="J42" s="43">
        <f>SUM(J39:J41)</f>
        <v>0</v>
      </c>
      <c r="K42" s="45"/>
      <c r="L42" s="46"/>
      <c r="M42" s="47">
        <f>SUM(M39:M41)</f>
        <v>0</v>
      </c>
      <c r="N42" s="48"/>
      <c r="O42" s="43"/>
      <c r="P42" s="43">
        <f>SUM(P39:P41)</f>
        <v>0</v>
      </c>
      <c r="Q42" s="43">
        <f>SUM(Q39:Q41)</f>
        <v>0</v>
      </c>
      <c r="R42" s="43">
        <f>SUM(R39:R41)</f>
        <v>0</v>
      </c>
    </row>
    <row r="43" spans="1:18" ht="19.2" thickTop="1">
      <c r="A43" s="8"/>
      <c r="B43" s="51" t="s">
        <v>28</v>
      </c>
      <c r="C43" s="94"/>
      <c r="D43" s="11"/>
      <c r="E43" s="12"/>
      <c r="F43" s="12"/>
      <c r="G43" s="53"/>
      <c r="H43" s="14"/>
      <c r="I43" s="15"/>
      <c r="J43" s="11"/>
      <c r="K43" s="16"/>
      <c r="L43" s="17"/>
      <c r="M43" s="18"/>
      <c r="N43" s="19"/>
      <c r="O43" s="13"/>
      <c r="P43" s="13"/>
      <c r="Q43" s="13"/>
      <c r="R43" s="20"/>
    </row>
    <row r="44" spans="1:18" ht="18.600000000000001">
      <c r="A44" s="8">
        <v>1</v>
      </c>
      <c r="B44" s="62"/>
      <c r="C44" s="63"/>
      <c r="D44" s="23">
        <v>0</v>
      </c>
      <c r="E44" s="24"/>
      <c r="F44" s="24"/>
      <c r="G44" s="25"/>
      <c r="H44" s="26">
        <v>0</v>
      </c>
      <c r="I44" s="27">
        <f>H44*0.07</f>
        <v>0</v>
      </c>
      <c r="J44" s="23">
        <v>0</v>
      </c>
      <c r="K44" s="28"/>
      <c r="L44" s="29"/>
      <c r="M44" s="30">
        <v>0</v>
      </c>
      <c r="N44" s="31"/>
      <c r="O44" s="25"/>
      <c r="P44" s="27">
        <f>ROUND(R44*100/107,2)</f>
        <v>0</v>
      </c>
      <c r="Q44" s="27">
        <f>P44*0.07</f>
        <v>0</v>
      </c>
      <c r="R44" s="32">
        <f>D44+J44-M44</f>
        <v>0</v>
      </c>
    </row>
    <row r="45" spans="1:18" ht="18.600000000000001">
      <c r="A45" s="8">
        <f>+A44+1</f>
        <v>2</v>
      </c>
      <c r="B45" s="64" t="s">
        <v>21</v>
      </c>
      <c r="C45" s="63"/>
      <c r="D45" s="23">
        <v>0</v>
      </c>
      <c r="E45" s="24"/>
      <c r="F45" s="24"/>
      <c r="G45" s="25"/>
      <c r="H45" s="27">
        <v>0</v>
      </c>
      <c r="I45" s="27">
        <f>H45*0.07</f>
        <v>0</v>
      </c>
      <c r="J45" s="36">
        <v>0</v>
      </c>
      <c r="K45" s="28"/>
      <c r="L45" s="29"/>
      <c r="M45" s="30">
        <v>0</v>
      </c>
      <c r="N45" s="31"/>
      <c r="O45" s="25"/>
      <c r="P45" s="27">
        <f>ROUND(R45*100/107,2)</f>
        <v>0</v>
      </c>
      <c r="Q45" s="27">
        <f>P45*0.07</f>
        <v>0</v>
      </c>
      <c r="R45" s="32">
        <f>D45+J45-M45</f>
        <v>0</v>
      </c>
    </row>
    <row r="46" spans="1:18" ht="18.600000000000001">
      <c r="A46" s="8">
        <f>+A45+1</f>
        <v>3</v>
      </c>
      <c r="B46" s="65"/>
      <c r="C46" s="63"/>
      <c r="D46" s="23">
        <v>0</v>
      </c>
      <c r="E46" s="24"/>
      <c r="F46" s="38"/>
      <c r="G46" s="39"/>
      <c r="H46" s="40">
        <f>J46*100/107</f>
        <v>0</v>
      </c>
      <c r="I46" s="40">
        <f>H46*0.07</f>
        <v>0</v>
      </c>
      <c r="J46" s="41">
        <v>0</v>
      </c>
      <c r="K46" s="28"/>
      <c r="L46" s="29"/>
      <c r="M46" s="30">
        <v>0</v>
      </c>
      <c r="N46" s="31"/>
      <c r="O46" s="25"/>
      <c r="P46" s="27">
        <f>ROUND(R46*100/107,2)</f>
        <v>0</v>
      </c>
      <c r="Q46" s="27">
        <f>P46*0.07</f>
        <v>0</v>
      </c>
      <c r="R46" s="32">
        <f>D46+J46-M46</f>
        <v>0</v>
      </c>
    </row>
    <row r="47" spans="1:18" ht="19.2" thickBot="1">
      <c r="A47" s="42"/>
      <c r="B47" s="191" t="s">
        <v>19</v>
      </c>
      <c r="C47" s="192"/>
      <c r="D47" s="43">
        <f>SUM(D44:D46)</f>
        <v>0</v>
      </c>
      <c r="E47" s="43"/>
      <c r="F47" s="43"/>
      <c r="G47" s="44"/>
      <c r="H47" s="44">
        <f>SUM(H44:H46)</f>
        <v>0</v>
      </c>
      <c r="I47" s="44">
        <f>SUM(I44:I46)</f>
        <v>0</v>
      </c>
      <c r="J47" s="44">
        <f>SUM(J44:J46)</f>
        <v>0</v>
      </c>
      <c r="K47" s="45"/>
      <c r="L47" s="46"/>
      <c r="M47" s="47">
        <f>SUM(M44:M46)</f>
        <v>0</v>
      </c>
      <c r="N47" s="48"/>
      <c r="O47" s="43"/>
      <c r="P47" s="49">
        <f>ROUND(R47*100/107,2)</f>
        <v>0</v>
      </c>
      <c r="Q47" s="49">
        <f>P47*0.07</f>
        <v>0</v>
      </c>
      <c r="R47" s="50">
        <f>SUM(R44:R46)</f>
        <v>0</v>
      </c>
    </row>
    <row r="48" spans="1:18" ht="19.2" thickTop="1">
      <c r="A48" s="8"/>
      <c r="B48" s="67" t="s">
        <v>29</v>
      </c>
      <c r="C48" s="68"/>
      <c r="D48" s="69"/>
      <c r="E48" s="70"/>
      <c r="F48" s="70"/>
      <c r="G48" s="71"/>
      <c r="H48" s="72"/>
      <c r="I48" s="73"/>
      <c r="J48" s="69"/>
      <c r="K48" s="74"/>
      <c r="L48" s="75"/>
      <c r="M48" s="76"/>
      <c r="N48" s="77"/>
      <c r="O48" s="78"/>
      <c r="P48" s="78"/>
      <c r="Q48" s="78"/>
      <c r="R48" s="79"/>
    </row>
    <row r="49" spans="1:18" ht="18.600000000000001">
      <c r="A49" s="8">
        <v>1</v>
      </c>
      <c r="B49" s="62"/>
      <c r="C49" s="63"/>
      <c r="D49" s="23">
        <v>0</v>
      </c>
      <c r="E49" s="24"/>
      <c r="F49" s="24"/>
      <c r="G49" s="25"/>
      <c r="H49" s="26">
        <v>0</v>
      </c>
      <c r="I49" s="27">
        <f>H49*0.07</f>
        <v>0</v>
      </c>
      <c r="J49" s="23">
        <v>0</v>
      </c>
      <c r="K49" s="28"/>
      <c r="L49" s="29"/>
      <c r="M49" s="30">
        <v>0</v>
      </c>
      <c r="N49" s="31"/>
      <c r="O49" s="25"/>
      <c r="P49" s="27">
        <f>ROUND(R49*100/107,2)</f>
        <v>0</v>
      </c>
      <c r="Q49" s="27">
        <f>P49*0.07</f>
        <v>0</v>
      </c>
      <c r="R49" s="32">
        <f>D49+J49-M49</f>
        <v>0</v>
      </c>
    </row>
    <row r="50" spans="1:18" ht="18.600000000000001">
      <c r="A50" s="8">
        <f>+A49+1</f>
        <v>2</v>
      </c>
      <c r="B50" s="64" t="s">
        <v>21</v>
      </c>
      <c r="C50" s="63"/>
      <c r="D50" s="23">
        <v>0</v>
      </c>
      <c r="E50" s="24"/>
      <c r="F50" s="24"/>
      <c r="G50" s="25"/>
      <c r="H50" s="27">
        <v>0</v>
      </c>
      <c r="I50" s="27">
        <f>H50*0.07</f>
        <v>0</v>
      </c>
      <c r="J50" s="36">
        <v>0</v>
      </c>
      <c r="K50" s="28"/>
      <c r="L50" s="29"/>
      <c r="M50" s="30">
        <v>0</v>
      </c>
      <c r="N50" s="31"/>
      <c r="O50" s="25"/>
      <c r="P50" s="27">
        <f>ROUND(R50*100/107,2)</f>
        <v>0</v>
      </c>
      <c r="Q50" s="27">
        <f>P50*0.07</f>
        <v>0</v>
      </c>
      <c r="R50" s="32">
        <f>D50+J50-M50</f>
        <v>0</v>
      </c>
    </row>
    <row r="51" spans="1:18" ht="18.600000000000001">
      <c r="A51" s="8">
        <f>+A50+1</f>
        <v>3</v>
      </c>
      <c r="B51" s="65"/>
      <c r="C51" s="63"/>
      <c r="D51" s="23">
        <v>0</v>
      </c>
      <c r="E51" s="24"/>
      <c r="F51" s="38"/>
      <c r="G51" s="39"/>
      <c r="H51" s="40">
        <f>J51*100/107</f>
        <v>0</v>
      </c>
      <c r="I51" s="40">
        <f>H51*0.07</f>
        <v>0</v>
      </c>
      <c r="J51" s="41">
        <v>0</v>
      </c>
      <c r="K51" s="28"/>
      <c r="L51" s="29"/>
      <c r="M51" s="30">
        <v>0</v>
      </c>
      <c r="N51" s="31"/>
      <c r="O51" s="25"/>
      <c r="P51" s="27">
        <f>ROUND(R51*100/107,2)</f>
        <v>0</v>
      </c>
      <c r="Q51" s="27">
        <f>P51*0.07</f>
        <v>0</v>
      </c>
      <c r="R51" s="32">
        <f>D51+J51-M51</f>
        <v>0</v>
      </c>
    </row>
    <row r="52" spans="1:18" ht="19.2" thickBot="1">
      <c r="A52" s="42"/>
      <c r="B52" s="191" t="s">
        <v>19</v>
      </c>
      <c r="C52" s="192"/>
      <c r="D52" s="43">
        <f>SUM(D49:D51)</f>
        <v>0</v>
      </c>
      <c r="E52" s="43"/>
      <c r="F52" s="43"/>
      <c r="G52" s="44"/>
      <c r="H52" s="44">
        <f>SUM(H49:H51)</f>
        <v>0</v>
      </c>
      <c r="I52" s="44">
        <f>SUM(I49:I51)</f>
        <v>0</v>
      </c>
      <c r="J52" s="44">
        <f>SUM(J49:J51)</f>
        <v>0</v>
      </c>
      <c r="K52" s="45"/>
      <c r="L52" s="46"/>
      <c r="M52" s="47">
        <f>SUM(M49:M51)</f>
        <v>0</v>
      </c>
      <c r="N52" s="48"/>
      <c r="O52" s="43"/>
      <c r="P52" s="49">
        <f>ROUND(R52*100/107,2)</f>
        <v>0</v>
      </c>
      <c r="Q52" s="49">
        <f>P52*0.07</f>
        <v>0</v>
      </c>
      <c r="R52" s="50">
        <f>SUM(R49:R51)</f>
        <v>0</v>
      </c>
    </row>
    <row r="53" spans="1:18" ht="19.2" thickTop="1">
      <c r="A53" s="8"/>
      <c r="B53" s="51" t="s">
        <v>30</v>
      </c>
      <c r="C53" s="52"/>
      <c r="D53" s="11"/>
      <c r="E53" s="12"/>
      <c r="F53" s="12"/>
      <c r="G53" s="53"/>
      <c r="H53" s="14"/>
      <c r="I53" s="15"/>
      <c r="J53" s="11"/>
      <c r="K53" s="16"/>
      <c r="L53" s="17"/>
      <c r="M53" s="18"/>
      <c r="N53" s="19"/>
      <c r="O53" s="13"/>
      <c r="P53" s="13"/>
      <c r="Q53" s="13"/>
      <c r="R53" s="20"/>
    </row>
    <row r="54" spans="1:18" ht="18.600000000000001">
      <c r="A54" s="8">
        <v>1</v>
      </c>
      <c r="B54" s="62"/>
      <c r="C54" s="63"/>
      <c r="D54" s="23">
        <v>0</v>
      </c>
      <c r="E54" s="24"/>
      <c r="F54" s="24"/>
      <c r="G54" s="25"/>
      <c r="H54" s="26">
        <v>0</v>
      </c>
      <c r="I54" s="27">
        <f>H54*0.07</f>
        <v>0</v>
      </c>
      <c r="J54" s="23">
        <v>0</v>
      </c>
      <c r="K54" s="28"/>
      <c r="L54" s="29"/>
      <c r="M54" s="30">
        <v>0</v>
      </c>
      <c r="N54" s="31"/>
      <c r="O54" s="25"/>
      <c r="P54" s="27">
        <f>ROUND(R54*100/107,2)</f>
        <v>0</v>
      </c>
      <c r="Q54" s="27">
        <f>P54*0.07</f>
        <v>0</v>
      </c>
      <c r="R54" s="32">
        <f>D54+J54-M54</f>
        <v>0</v>
      </c>
    </row>
    <row r="55" spans="1:18" ht="18.600000000000001">
      <c r="A55" s="8">
        <f>+A54+1</f>
        <v>2</v>
      </c>
      <c r="B55" s="64" t="s">
        <v>21</v>
      </c>
      <c r="C55" s="63"/>
      <c r="D55" s="23">
        <v>0</v>
      </c>
      <c r="E55" s="24"/>
      <c r="F55" s="24"/>
      <c r="G55" s="25"/>
      <c r="H55" s="27">
        <v>0</v>
      </c>
      <c r="I55" s="27">
        <f>H55*0.07</f>
        <v>0</v>
      </c>
      <c r="J55" s="36">
        <v>0</v>
      </c>
      <c r="K55" s="28"/>
      <c r="L55" s="29"/>
      <c r="M55" s="30">
        <v>0</v>
      </c>
      <c r="N55" s="31"/>
      <c r="O55" s="25"/>
      <c r="P55" s="27">
        <f>ROUND(R55*100/107,2)</f>
        <v>0</v>
      </c>
      <c r="Q55" s="27">
        <f>P55*0.07</f>
        <v>0</v>
      </c>
      <c r="R55" s="32">
        <f>D55+J55-M55</f>
        <v>0</v>
      </c>
    </row>
    <row r="56" spans="1:18" ht="18.600000000000001">
      <c r="A56" s="8">
        <f>+A55+1</f>
        <v>3</v>
      </c>
      <c r="B56" s="65"/>
      <c r="C56" s="63"/>
      <c r="D56" s="23">
        <v>0</v>
      </c>
      <c r="E56" s="24"/>
      <c r="F56" s="38"/>
      <c r="G56" s="39"/>
      <c r="H56" s="40">
        <f>J56*100/107</f>
        <v>0</v>
      </c>
      <c r="I56" s="40">
        <f>H56*0.07</f>
        <v>0</v>
      </c>
      <c r="J56" s="41">
        <v>0</v>
      </c>
      <c r="K56" s="28"/>
      <c r="L56" s="29"/>
      <c r="M56" s="30">
        <v>0</v>
      </c>
      <c r="N56" s="31"/>
      <c r="O56" s="25"/>
      <c r="P56" s="27">
        <f>ROUND(R56*100/107,2)</f>
        <v>0</v>
      </c>
      <c r="Q56" s="27">
        <f>P56*0.07</f>
        <v>0</v>
      </c>
      <c r="R56" s="32">
        <f>D56+J56-M56</f>
        <v>0</v>
      </c>
    </row>
    <row r="57" spans="1:18" ht="19.2" thickBot="1">
      <c r="A57" s="42"/>
      <c r="B57" s="191" t="s">
        <v>19</v>
      </c>
      <c r="C57" s="192"/>
      <c r="D57" s="43">
        <f>SUM(D54:D56)</f>
        <v>0</v>
      </c>
      <c r="E57" s="43"/>
      <c r="F57" s="43"/>
      <c r="G57" s="44"/>
      <c r="H57" s="44">
        <f>SUM(H54:H56)</f>
        <v>0</v>
      </c>
      <c r="I57" s="44">
        <f>SUM(I54:I56)</f>
        <v>0</v>
      </c>
      <c r="J57" s="44">
        <f>SUM(J54:J56)</f>
        <v>0</v>
      </c>
      <c r="K57" s="45"/>
      <c r="L57" s="46"/>
      <c r="M57" s="47">
        <f>SUM(M54:M56)</f>
        <v>0</v>
      </c>
      <c r="N57" s="48"/>
      <c r="O57" s="43"/>
      <c r="P57" s="49">
        <f>ROUND(R57*100/107,2)</f>
        <v>0</v>
      </c>
      <c r="Q57" s="49">
        <f>P57*0.07</f>
        <v>0</v>
      </c>
      <c r="R57" s="50">
        <f>SUM(R54:R56)</f>
        <v>0</v>
      </c>
    </row>
    <row r="58" spans="1:18" ht="19.2" thickTop="1">
      <c r="A58" s="8"/>
      <c r="B58" s="95" t="s">
        <v>31</v>
      </c>
      <c r="C58" s="68"/>
      <c r="D58" s="69"/>
      <c r="E58" s="70"/>
      <c r="F58" s="70"/>
      <c r="G58" s="78"/>
      <c r="H58" s="78"/>
      <c r="I58" s="78"/>
      <c r="J58" s="69"/>
      <c r="K58" s="74"/>
      <c r="L58" s="75"/>
      <c r="M58" s="76"/>
      <c r="N58" s="77"/>
      <c r="O58" s="78"/>
      <c r="P58" s="78"/>
      <c r="Q58" s="78"/>
      <c r="R58" s="96"/>
    </row>
    <row r="59" spans="1:18" ht="18.600000000000001">
      <c r="A59" s="42">
        <v>1</v>
      </c>
      <c r="B59" s="97" t="s">
        <v>32</v>
      </c>
      <c r="C59" s="98" t="s">
        <v>33</v>
      </c>
      <c r="D59" s="98">
        <v>0</v>
      </c>
      <c r="E59" s="24" t="s">
        <v>34</v>
      </c>
      <c r="F59" s="24"/>
      <c r="G59" s="25"/>
      <c r="H59" s="27">
        <v>322273.98</v>
      </c>
      <c r="I59" s="81">
        <v>0</v>
      </c>
      <c r="J59" s="23">
        <f>SUM(H59:I59)</f>
        <v>322273.98</v>
      </c>
      <c r="K59" s="28"/>
      <c r="L59" s="29"/>
      <c r="M59" s="55">
        <v>0</v>
      </c>
      <c r="N59" s="24" t="s">
        <v>34</v>
      </c>
      <c r="O59" s="25"/>
      <c r="P59" s="27">
        <f>+D59+H59-M59</f>
        <v>322273.98</v>
      </c>
      <c r="Q59" s="27">
        <v>0</v>
      </c>
      <c r="R59" s="99">
        <f>D59+J59-M59</f>
        <v>322273.98</v>
      </c>
    </row>
    <row r="60" spans="1:18" ht="18.600000000000001">
      <c r="A60" s="42"/>
      <c r="B60" s="100" t="s">
        <v>35</v>
      </c>
      <c r="C60" s="98" t="s">
        <v>36</v>
      </c>
      <c r="D60" s="98"/>
      <c r="E60" s="24"/>
      <c r="F60" s="24"/>
      <c r="G60" s="25"/>
      <c r="H60" s="25"/>
      <c r="I60" s="25"/>
      <c r="J60" s="23"/>
      <c r="K60" s="28"/>
      <c r="L60" s="29"/>
      <c r="M60" s="55"/>
      <c r="N60" s="31"/>
      <c r="O60" s="25"/>
      <c r="P60" s="27"/>
      <c r="Q60" s="27"/>
      <c r="R60" s="99"/>
    </row>
    <row r="61" spans="1:18" ht="18.600000000000001">
      <c r="A61" s="42"/>
      <c r="B61" s="100" t="s">
        <v>37</v>
      </c>
      <c r="C61" s="101"/>
      <c r="D61" s="23"/>
      <c r="E61" s="24"/>
      <c r="F61" s="24"/>
      <c r="G61" s="25"/>
      <c r="H61" s="25"/>
      <c r="I61" s="25"/>
      <c r="J61" s="23"/>
      <c r="K61" s="28"/>
      <c r="L61" s="29"/>
      <c r="M61" s="55"/>
      <c r="N61" s="31"/>
      <c r="O61" s="25"/>
      <c r="P61" s="27"/>
      <c r="Q61" s="27"/>
      <c r="R61" s="99"/>
    </row>
    <row r="62" spans="1:18" ht="18.600000000000001">
      <c r="A62" s="42"/>
      <c r="B62" s="100" t="s">
        <v>38</v>
      </c>
      <c r="C62" s="101"/>
      <c r="D62" s="23"/>
      <c r="E62" s="24"/>
      <c r="F62" s="24"/>
      <c r="G62" s="25"/>
      <c r="H62" s="25"/>
      <c r="I62" s="25"/>
      <c r="J62" s="23"/>
      <c r="K62" s="28"/>
      <c r="L62" s="29"/>
      <c r="M62" s="55"/>
      <c r="N62" s="31"/>
      <c r="O62" s="25"/>
      <c r="P62" s="27"/>
      <c r="Q62" s="27"/>
      <c r="R62" s="99"/>
    </row>
    <row r="63" spans="1:18" ht="18.600000000000001">
      <c r="A63" s="8">
        <f>+A59+1</f>
        <v>2</v>
      </c>
      <c r="B63" s="102" t="s">
        <v>32</v>
      </c>
      <c r="C63" s="98" t="s">
        <v>39</v>
      </c>
      <c r="D63" s="98">
        <v>0</v>
      </c>
      <c r="E63" s="62" t="s">
        <v>40</v>
      </c>
      <c r="F63" s="62">
        <v>16</v>
      </c>
      <c r="G63" s="25"/>
      <c r="H63" s="27">
        <v>5208581.93</v>
      </c>
      <c r="I63" s="26">
        <v>0</v>
      </c>
      <c r="J63" s="23">
        <f>SUM(H63:I63)</f>
        <v>5208581.93</v>
      </c>
      <c r="K63" s="28"/>
      <c r="L63" s="29"/>
      <c r="M63" s="55">
        <v>0</v>
      </c>
      <c r="N63" s="62" t="s">
        <v>40</v>
      </c>
      <c r="O63" s="25">
        <v>16</v>
      </c>
      <c r="P63" s="27">
        <f>+D63+H63-M63</f>
        <v>5208581.93</v>
      </c>
      <c r="Q63" s="27">
        <v>0</v>
      </c>
      <c r="R63" s="99">
        <f>D63+J63-M63</f>
        <v>5208581.93</v>
      </c>
    </row>
    <row r="64" spans="1:18" ht="18.600000000000001">
      <c r="A64" s="8"/>
      <c r="B64" s="100" t="s">
        <v>41</v>
      </c>
      <c r="C64" s="101"/>
      <c r="D64" s="23"/>
      <c r="E64" s="62" t="s">
        <v>42</v>
      </c>
      <c r="F64" s="62"/>
      <c r="G64" s="25"/>
      <c r="H64" s="25"/>
      <c r="I64" s="25"/>
      <c r="J64" s="23"/>
      <c r="K64" s="28"/>
      <c r="L64" s="29"/>
      <c r="M64" s="55"/>
      <c r="N64" s="62" t="s">
        <v>42</v>
      </c>
      <c r="O64" s="25"/>
      <c r="P64" s="27"/>
      <c r="Q64" s="25"/>
      <c r="R64" s="92"/>
    </row>
    <row r="65" spans="1:18" ht="18.600000000000001">
      <c r="A65" s="8"/>
      <c r="B65" s="103" t="s">
        <v>43</v>
      </c>
      <c r="C65" s="104"/>
      <c r="D65" s="23"/>
      <c r="E65" s="24"/>
      <c r="F65" s="24"/>
      <c r="G65" s="25"/>
      <c r="H65" s="25"/>
      <c r="I65" s="25"/>
      <c r="J65" s="23"/>
      <c r="K65" s="28"/>
      <c r="L65" s="29"/>
      <c r="M65" s="55"/>
      <c r="N65" s="31"/>
      <c r="O65" s="25"/>
      <c r="P65" s="27"/>
      <c r="Q65" s="25"/>
      <c r="R65" s="92"/>
    </row>
    <row r="66" spans="1:18" ht="18.600000000000001">
      <c r="A66" s="8"/>
      <c r="B66" s="103" t="s">
        <v>44</v>
      </c>
      <c r="C66" s="104"/>
      <c r="D66" s="23"/>
      <c r="E66" s="24"/>
      <c r="F66" s="24"/>
      <c r="G66" s="25"/>
      <c r="H66" s="25"/>
      <c r="I66" s="25"/>
      <c r="J66" s="23"/>
      <c r="K66" s="28"/>
      <c r="L66" s="29"/>
      <c r="M66" s="55"/>
      <c r="N66" s="31"/>
      <c r="O66" s="25"/>
      <c r="P66" s="27"/>
      <c r="Q66" s="25"/>
      <c r="R66" s="92"/>
    </row>
    <row r="67" spans="1:18" ht="18.600000000000001">
      <c r="A67" s="8"/>
      <c r="B67" s="199" t="s">
        <v>19</v>
      </c>
      <c r="C67" s="200"/>
      <c r="D67" s="23"/>
      <c r="E67" s="24"/>
      <c r="F67" s="24"/>
      <c r="G67" s="25"/>
      <c r="H67" s="25"/>
      <c r="I67" s="25"/>
      <c r="J67" s="23"/>
      <c r="K67" s="28"/>
      <c r="L67" s="29"/>
      <c r="M67" s="55"/>
      <c r="N67" s="31"/>
      <c r="O67" s="25"/>
      <c r="P67" s="27"/>
      <c r="Q67" s="25"/>
      <c r="R67" s="92"/>
    </row>
    <row r="68" spans="1:18" ht="21.6" thickBot="1">
      <c r="A68" s="105"/>
      <c r="B68" s="201"/>
      <c r="C68" s="202"/>
      <c r="D68" s="106">
        <f>SUM(D59:D67)</f>
        <v>0</v>
      </c>
      <c r="E68" s="106"/>
      <c r="F68" s="106"/>
      <c r="G68" s="106"/>
      <c r="H68" s="106">
        <f t="shared" ref="H68:M68" si="0">SUM(H59:H67)</f>
        <v>5530855.9100000001</v>
      </c>
      <c r="I68" s="106">
        <f t="shared" si="0"/>
        <v>0</v>
      </c>
      <c r="J68" s="106">
        <f t="shared" si="0"/>
        <v>5530855.9100000001</v>
      </c>
      <c r="K68" s="107"/>
      <c r="L68" s="107"/>
      <c r="M68" s="107">
        <f t="shared" si="0"/>
        <v>0</v>
      </c>
      <c r="N68" s="108"/>
      <c r="O68" s="106"/>
      <c r="P68" s="106">
        <f>SUM(P59:P67)</f>
        <v>5530855.9100000001</v>
      </c>
      <c r="Q68" s="106">
        <f>SUM(Q59:Q67)</f>
        <v>0</v>
      </c>
      <c r="R68" s="106">
        <f>SUM(R59:R67)</f>
        <v>5530855.9100000001</v>
      </c>
    </row>
    <row r="69" spans="1:18" ht="19.2" thickTop="1">
      <c r="A69" s="8"/>
      <c r="B69" s="51" t="s">
        <v>45</v>
      </c>
      <c r="C69" s="52"/>
      <c r="D69" s="11"/>
      <c r="E69" s="12"/>
      <c r="F69" s="12"/>
      <c r="G69" s="53"/>
      <c r="H69" s="14"/>
      <c r="I69" s="15"/>
      <c r="J69" s="11"/>
      <c r="K69" s="16"/>
      <c r="L69" s="17"/>
      <c r="M69" s="18"/>
      <c r="N69" s="19"/>
      <c r="O69" s="13"/>
      <c r="P69" s="13"/>
      <c r="Q69" s="13"/>
      <c r="R69" s="20"/>
    </row>
    <row r="70" spans="1:18" ht="18.600000000000001">
      <c r="A70" s="8">
        <v>1</v>
      </c>
      <c r="B70" s="62"/>
      <c r="C70" s="63"/>
      <c r="D70" s="23">
        <v>0</v>
      </c>
      <c r="E70" s="24"/>
      <c r="F70" s="24"/>
      <c r="G70" s="25"/>
      <c r="H70" s="26">
        <v>0</v>
      </c>
      <c r="I70" s="27">
        <f>H70*0.07</f>
        <v>0</v>
      </c>
      <c r="J70" s="23">
        <v>0</v>
      </c>
      <c r="K70" s="28"/>
      <c r="L70" s="29"/>
      <c r="M70" s="30">
        <v>0</v>
      </c>
      <c r="N70" s="31"/>
      <c r="O70" s="25"/>
      <c r="P70" s="27">
        <f>ROUND(R70*100/107,2)</f>
        <v>0</v>
      </c>
      <c r="Q70" s="27">
        <f>P70*0.07</f>
        <v>0</v>
      </c>
      <c r="R70" s="32">
        <f>D70+J70-M70</f>
        <v>0</v>
      </c>
    </row>
    <row r="71" spans="1:18" ht="18.600000000000001">
      <c r="A71" s="8">
        <f>+A70+1</f>
        <v>2</v>
      </c>
      <c r="B71" s="64" t="s">
        <v>21</v>
      </c>
      <c r="C71" s="63"/>
      <c r="D71" s="23">
        <v>0</v>
      </c>
      <c r="E71" s="24"/>
      <c r="F71" s="24"/>
      <c r="G71" s="25"/>
      <c r="H71" s="34">
        <v>0</v>
      </c>
      <c r="I71" s="35">
        <f>H71*0.07</f>
        <v>0</v>
      </c>
      <c r="J71" s="36">
        <v>0</v>
      </c>
      <c r="K71" s="28"/>
      <c r="L71" s="29"/>
      <c r="M71" s="30">
        <v>0</v>
      </c>
      <c r="N71" s="31"/>
      <c r="O71" s="25"/>
      <c r="P71" s="27">
        <f>ROUND(R71*100/107,2)</f>
        <v>0</v>
      </c>
      <c r="Q71" s="27">
        <f>P71*0.07</f>
        <v>0</v>
      </c>
      <c r="R71" s="32">
        <f>D71+J71-M71</f>
        <v>0</v>
      </c>
    </row>
    <row r="72" spans="1:18" ht="18.600000000000001">
      <c r="A72" s="8">
        <f>+A71+1</f>
        <v>3</v>
      </c>
      <c r="B72" s="65"/>
      <c r="C72" s="63"/>
      <c r="D72" s="23">
        <v>0</v>
      </c>
      <c r="E72" s="24"/>
      <c r="F72" s="38"/>
      <c r="G72" s="39"/>
      <c r="H72" s="40">
        <f>J72*100/107</f>
        <v>0</v>
      </c>
      <c r="I72" s="40">
        <f>H72*0.07</f>
        <v>0</v>
      </c>
      <c r="J72" s="41">
        <v>0</v>
      </c>
      <c r="K72" s="28"/>
      <c r="L72" s="29"/>
      <c r="M72" s="30">
        <v>0</v>
      </c>
      <c r="N72" s="31"/>
      <c r="O72" s="25"/>
      <c r="P72" s="27">
        <f>ROUND(R72*100/107,2)</f>
        <v>0</v>
      </c>
      <c r="Q72" s="27">
        <f>P72*0.07</f>
        <v>0</v>
      </c>
      <c r="R72" s="32">
        <f>D72+J72-M72</f>
        <v>0</v>
      </c>
    </row>
    <row r="73" spans="1:18" ht="19.2" thickBot="1">
      <c r="A73" s="42"/>
      <c r="B73" s="191" t="s">
        <v>19</v>
      </c>
      <c r="C73" s="192"/>
      <c r="D73" s="43">
        <f>SUM(D70:D72)</f>
        <v>0</v>
      </c>
      <c r="E73" s="43"/>
      <c r="F73" s="43"/>
      <c r="G73" s="44"/>
      <c r="H73" s="44">
        <f>SUM(H70:H72)</f>
        <v>0</v>
      </c>
      <c r="I73" s="44">
        <f>SUM(I70:I72)</f>
        <v>0</v>
      </c>
      <c r="J73" s="44">
        <f>SUM(J70:J72)</f>
        <v>0</v>
      </c>
      <c r="K73" s="45"/>
      <c r="L73" s="46"/>
      <c r="M73" s="47">
        <f>SUM(M70:M72)</f>
        <v>0</v>
      </c>
      <c r="N73" s="48"/>
      <c r="O73" s="43"/>
      <c r="P73" s="49">
        <f>ROUND(R73*100/107,2)</f>
        <v>0</v>
      </c>
      <c r="Q73" s="49">
        <f>P73*0.07</f>
        <v>0</v>
      </c>
      <c r="R73" s="50">
        <f>SUM(R70:R72)</f>
        <v>0</v>
      </c>
    </row>
    <row r="74" spans="1:18" ht="19.2" thickTop="1">
      <c r="A74" s="42"/>
      <c r="B74" s="109" t="s">
        <v>46</v>
      </c>
      <c r="C74" s="110"/>
      <c r="D74" s="69"/>
      <c r="E74" s="70"/>
      <c r="F74" s="70"/>
      <c r="G74" s="78"/>
      <c r="H74" s="85">
        <f>J74*100/107</f>
        <v>0</v>
      </c>
      <c r="I74" s="85">
        <f>H74*0.07</f>
        <v>0</v>
      </c>
      <c r="J74" s="111"/>
      <c r="K74" s="74"/>
      <c r="L74" s="75"/>
      <c r="M74" s="76"/>
      <c r="N74" s="77"/>
      <c r="O74" s="78"/>
      <c r="P74" s="78"/>
      <c r="Q74" s="78"/>
      <c r="R74" s="79"/>
    </row>
    <row r="75" spans="1:18" ht="18.600000000000001">
      <c r="A75" s="42">
        <v>1</v>
      </c>
      <c r="B75" s="97"/>
      <c r="C75" s="112"/>
      <c r="D75" s="23">
        <v>0</v>
      </c>
      <c r="E75" s="24"/>
      <c r="F75" s="24"/>
      <c r="G75" s="25"/>
      <c r="H75" s="26">
        <v>0</v>
      </c>
      <c r="I75" s="27">
        <f>H75*0.07</f>
        <v>0</v>
      </c>
      <c r="J75" s="23">
        <v>0</v>
      </c>
      <c r="K75" s="28"/>
      <c r="L75" s="29"/>
      <c r="M75" s="55">
        <v>0</v>
      </c>
      <c r="N75" s="54"/>
      <c r="O75" s="25"/>
      <c r="P75" s="27">
        <f>ROUND(R75*100/107,2)</f>
        <v>0</v>
      </c>
      <c r="Q75" s="27">
        <f>P75*0.07</f>
        <v>0</v>
      </c>
      <c r="R75" s="32">
        <f>D75+J75-M75</f>
        <v>0</v>
      </c>
    </row>
    <row r="76" spans="1:18" ht="18.600000000000001">
      <c r="A76" s="42">
        <f>+A75+1</f>
        <v>2</v>
      </c>
      <c r="B76" s="113" t="s">
        <v>21</v>
      </c>
      <c r="C76" s="112"/>
      <c r="D76" s="23">
        <v>0</v>
      </c>
      <c r="E76" s="24"/>
      <c r="F76" s="24"/>
      <c r="G76" s="25"/>
      <c r="H76" s="26">
        <v>0</v>
      </c>
      <c r="I76" s="27">
        <f>H76*0.07</f>
        <v>0</v>
      </c>
      <c r="J76" s="23">
        <v>0</v>
      </c>
      <c r="K76" s="28"/>
      <c r="L76" s="29"/>
      <c r="M76" s="55">
        <v>0</v>
      </c>
      <c r="N76" s="31"/>
      <c r="O76" s="25"/>
      <c r="P76" s="27">
        <v>0</v>
      </c>
      <c r="Q76" s="27">
        <f>P76*0.07</f>
        <v>0</v>
      </c>
      <c r="R76" s="32">
        <f>D76+J76-M76</f>
        <v>0</v>
      </c>
    </row>
    <row r="77" spans="1:18" ht="18.600000000000001">
      <c r="A77" s="42">
        <f>+A76+1</f>
        <v>3</v>
      </c>
      <c r="B77" s="62"/>
      <c r="C77" s="112"/>
      <c r="D77" s="23">
        <v>0</v>
      </c>
      <c r="E77" s="24"/>
      <c r="F77" s="24"/>
      <c r="G77" s="25"/>
      <c r="H77" s="26">
        <v>0</v>
      </c>
      <c r="I77" s="27">
        <f>H77*0.07</f>
        <v>0</v>
      </c>
      <c r="J77" s="23">
        <v>0</v>
      </c>
      <c r="K77" s="28"/>
      <c r="L77" s="29"/>
      <c r="M77" s="55">
        <v>0</v>
      </c>
      <c r="N77" s="31"/>
      <c r="O77" s="25"/>
      <c r="P77" s="27">
        <f>ROUND(R77*100/107,2)</f>
        <v>0</v>
      </c>
      <c r="Q77" s="27">
        <f>P77*0.07</f>
        <v>0</v>
      </c>
      <c r="R77" s="32">
        <f>D77+J77-M77</f>
        <v>0</v>
      </c>
    </row>
    <row r="78" spans="1:18" ht="19.2" thickBot="1">
      <c r="A78" s="42"/>
      <c r="B78" s="191" t="s">
        <v>19</v>
      </c>
      <c r="C78" s="192"/>
      <c r="D78" s="106">
        <f>SUM(D75:D77)</f>
        <v>0</v>
      </c>
      <c r="E78" s="106"/>
      <c r="F78" s="106"/>
      <c r="G78" s="106"/>
      <c r="H78" s="106">
        <f>SUM(H75:H77)</f>
        <v>0</v>
      </c>
      <c r="I78" s="106">
        <f>SUM(I75:I77)</f>
        <v>0</v>
      </c>
      <c r="J78" s="106">
        <f>SUM(J75:J77)</f>
        <v>0</v>
      </c>
      <c r="K78" s="114"/>
      <c r="L78" s="114"/>
      <c r="M78" s="107">
        <f>SUM(M75:M77)</f>
        <v>0</v>
      </c>
      <c r="N78" s="108"/>
      <c r="O78" s="106"/>
      <c r="P78" s="106">
        <f>SUM(P75:P77)</f>
        <v>0</v>
      </c>
      <c r="Q78" s="106">
        <f>SUM(Q75:Q77)</f>
        <v>0</v>
      </c>
      <c r="R78" s="106">
        <f>SUM(R75:R77)</f>
        <v>0</v>
      </c>
    </row>
    <row r="79" spans="1:18" ht="19.2" thickTop="1">
      <c r="A79" s="42"/>
      <c r="B79" s="115" t="s">
        <v>47</v>
      </c>
      <c r="C79" s="94"/>
      <c r="D79" s="111"/>
      <c r="E79" s="70"/>
      <c r="F79" s="70"/>
      <c r="G79" s="78"/>
      <c r="H79" s="116"/>
      <c r="I79" s="78"/>
      <c r="J79" s="69"/>
      <c r="K79" s="16"/>
      <c r="L79" s="17"/>
      <c r="M79" s="18"/>
      <c r="N79" s="77"/>
      <c r="O79" s="78"/>
      <c r="P79" s="78"/>
      <c r="Q79" s="78"/>
      <c r="R79" s="96"/>
    </row>
    <row r="80" spans="1:18" ht="18.600000000000001">
      <c r="A80" s="42">
        <v>1</v>
      </c>
      <c r="B80" s="195"/>
      <c r="C80" s="196"/>
      <c r="D80" s="23">
        <v>0</v>
      </c>
      <c r="E80" s="77"/>
      <c r="F80" s="77"/>
      <c r="G80" s="78"/>
      <c r="H80" s="34">
        <v>0</v>
      </c>
      <c r="I80" s="27">
        <f>H80*0.07</f>
        <v>0</v>
      </c>
      <c r="J80" s="23">
        <f>SUM(H80:I80)</f>
        <v>0</v>
      </c>
      <c r="K80" s="56"/>
      <c r="L80" s="56"/>
      <c r="M80" s="55">
        <v>0</v>
      </c>
      <c r="N80" s="77"/>
      <c r="O80" s="78"/>
      <c r="P80" s="27">
        <f>R80*100/107</f>
        <v>0</v>
      </c>
      <c r="Q80" s="27">
        <f>P80*0.07</f>
        <v>0</v>
      </c>
      <c r="R80" s="32">
        <f>D80+J80-M80</f>
        <v>0</v>
      </c>
    </row>
    <row r="81" spans="1:18" ht="18.600000000000001">
      <c r="A81" s="8">
        <v>2</v>
      </c>
      <c r="B81" s="197" t="s">
        <v>21</v>
      </c>
      <c r="C81" s="198"/>
      <c r="D81" s="23">
        <v>0</v>
      </c>
      <c r="E81" s="31"/>
      <c r="F81" s="31"/>
      <c r="G81" s="25"/>
      <c r="H81" s="34">
        <v>0</v>
      </c>
      <c r="I81" s="27">
        <f>H81*0.07</f>
        <v>0</v>
      </c>
      <c r="J81" s="23">
        <f>SUM(H81:I81)</f>
        <v>0</v>
      </c>
      <c r="K81" s="56"/>
      <c r="L81" s="117"/>
      <c r="M81" s="55">
        <v>0</v>
      </c>
      <c r="N81" s="31"/>
      <c r="O81" s="25"/>
      <c r="P81" s="27">
        <f>ROUND(R81*100/107,2)</f>
        <v>0</v>
      </c>
      <c r="Q81" s="27">
        <f>P81*0.07</f>
        <v>0</v>
      </c>
      <c r="R81" s="32">
        <f>D81+J81-M81</f>
        <v>0</v>
      </c>
    </row>
    <row r="82" spans="1:18" ht="18.600000000000001">
      <c r="A82" s="42">
        <v>3</v>
      </c>
      <c r="B82" s="195"/>
      <c r="C82" s="196"/>
      <c r="D82" s="118">
        <v>0</v>
      </c>
      <c r="E82" s="54"/>
      <c r="F82" s="54"/>
      <c r="G82" s="25"/>
      <c r="H82" s="81">
        <v>0</v>
      </c>
      <c r="I82" s="27">
        <f>H82*0.07</f>
        <v>0</v>
      </c>
      <c r="J82" s="23">
        <f>SUM(H82:I82)</f>
        <v>0</v>
      </c>
      <c r="K82" s="56"/>
      <c r="L82" s="91"/>
      <c r="M82" s="55">
        <v>0</v>
      </c>
      <c r="N82" s="54"/>
      <c r="O82" s="25"/>
      <c r="P82" s="27">
        <f>R82*100/107</f>
        <v>0</v>
      </c>
      <c r="Q82" s="27">
        <f>P82*0.07</f>
        <v>0</v>
      </c>
      <c r="R82" s="32">
        <f>D82+J82-M82</f>
        <v>0</v>
      </c>
    </row>
    <row r="83" spans="1:18" ht="19.2" thickBot="1">
      <c r="A83" s="42"/>
      <c r="B83" s="191" t="s">
        <v>19</v>
      </c>
      <c r="C83" s="192"/>
      <c r="D83" s="43">
        <f>SUM(D80:D82)</f>
        <v>0</v>
      </c>
      <c r="E83" s="43"/>
      <c r="F83" s="43"/>
      <c r="G83" s="43"/>
      <c r="H83" s="43">
        <f>SUM(H80:H82)</f>
        <v>0</v>
      </c>
      <c r="I83" s="43">
        <f>SUM(I80:I82)</f>
        <v>0</v>
      </c>
      <c r="J83" s="43">
        <f>SUM(J80:J82)</f>
        <v>0</v>
      </c>
      <c r="K83" s="119"/>
      <c r="L83" s="119"/>
      <c r="M83" s="47">
        <f>SUM(M80:M82)</f>
        <v>0</v>
      </c>
      <c r="N83" s="48"/>
      <c r="O83" s="43"/>
      <c r="P83" s="43">
        <f>SUM(P80:P82)</f>
        <v>0</v>
      </c>
      <c r="Q83" s="43">
        <f>SUM(Q80:Q82)</f>
        <v>0</v>
      </c>
      <c r="R83" s="43">
        <f>SUM(R80:R82)</f>
        <v>0</v>
      </c>
    </row>
    <row r="84" spans="1:18" ht="19.2" thickTop="1">
      <c r="A84" s="8"/>
      <c r="B84" s="51" t="s">
        <v>48</v>
      </c>
      <c r="C84" s="52"/>
      <c r="D84" s="11"/>
      <c r="E84" s="12"/>
      <c r="F84" s="12"/>
      <c r="G84" s="53"/>
      <c r="H84" s="14"/>
      <c r="I84" s="15"/>
      <c r="J84" s="11"/>
      <c r="K84" s="16"/>
      <c r="L84" s="17"/>
      <c r="M84" s="18"/>
      <c r="N84" s="19"/>
      <c r="O84" s="13"/>
      <c r="P84" s="13"/>
      <c r="Q84" s="13"/>
      <c r="R84" s="20"/>
    </row>
    <row r="85" spans="1:18" ht="18.600000000000001">
      <c r="A85" s="8">
        <v>1</v>
      </c>
      <c r="B85" s="62"/>
      <c r="C85" s="63"/>
      <c r="D85" s="23">
        <v>0</v>
      </c>
      <c r="E85" s="24"/>
      <c r="F85" s="24"/>
      <c r="G85" s="25"/>
      <c r="H85" s="26">
        <v>0</v>
      </c>
      <c r="I85" s="27">
        <f>H85*0.07</f>
        <v>0</v>
      </c>
      <c r="J85" s="23">
        <v>0</v>
      </c>
      <c r="K85" s="28"/>
      <c r="L85" s="29"/>
      <c r="M85" s="30">
        <v>0</v>
      </c>
      <c r="N85" s="31"/>
      <c r="O85" s="25"/>
      <c r="P85" s="27">
        <f>ROUND(R85*100/107,2)</f>
        <v>0</v>
      </c>
      <c r="Q85" s="27">
        <f>P85*0.07</f>
        <v>0</v>
      </c>
      <c r="R85" s="32">
        <f>D85+J85-M85</f>
        <v>0</v>
      </c>
    </row>
    <row r="86" spans="1:18" ht="18.600000000000001">
      <c r="A86" s="8">
        <f>+A85+1</f>
        <v>2</v>
      </c>
      <c r="B86" s="64" t="s">
        <v>21</v>
      </c>
      <c r="C86" s="63"/>
      <c r="D86" s="23">
        <v>0</v>
      </c>
      <c r="E86" s="24"/>
      <c r="F86" s="24"/>
      <c r="G86" s="25"/>
      <c r="H86" s="34">
        <v>0</v>
      </c>
      <c r="I86" s="35">
        <f>H86*0.07</f>
        <v>0</v>
      </c>
      <c r="J86" s="36">
        <v>0</v>
      </c>
      <c r="K86" s="28"/>
      <c r="L86" s="29"/>
      <c r="M86" s="30">
        <v>0</v>
      </c>
      <c r="N86" s="31"/>
      <c r="O86" s="25"/>
      <c r="P86" s="27">
        <f>ROUND(R86*100/107,2)</f>
        <v>0</v>
      </c>
      <c r="Q86" s="27">
        <f>P86*0.07</f>
        <v>0</v>
      </c>
      <c r="R86" s="32">
        <f>D86+J86-M86</f>
        <v>0</v>
      </c>
    </row>
    <row r="87" spans="1:18" ht="18.600000000000001">
      <c r="A87" s="8">
        <f>+A86+1</f>
        <v>3</v>
      </c>
      <c r="B87" s="65"/>
      <c r="C87" s="63"/>
      <c r="D87" s="23">
        <v>0</v>
      </c>
      <c r="E87" s="24"/>
      <c r="F87" s="38"/>
      <c r="G87" s="39"/>
      <c r="H87" s="40">
        <f>J87*100/107</f>
        <v>0</v>
      </c>
      <c r="I87" s="40">
        <f>H87*0.07</f>
        <v>0</v>
      </c>
      <c r="J87" s="41">
        <v>0</v>
      </c>
      <c r="K87" s="28"/>
      <c r="L87" s="29"/>
      <c r="M87" s="30">
        <v>0</v>
      </c>
      <c r="N87" s="31"/>
      <c r="O87" s="25"/>
      <c r="P87" s="27">
        <f>ROUND(R87*100/107,2)</f>
        <v>0</v>
      </c>
      <c r="Q87" s="27">
        <f>P87*0.07</f>
        <v>0</v>
      </c>
      <c r="R87" s="32">
        <f>D87+J87-M87</f>
        <v>0</v>
      </c>
    </row>
    <row r="88" spans="1:18" ht="19.2" thickBot="1">
      <c r="A88" s="42"/>
      <c r="B88" s="191" t="s">
        <v>19</v>
      </c>
      <c r="C88" s="192"/>
      <c r="D88" s="43">
        <f>SUM(D85:D87)</f>
        <v>0</v>
      </c>
      <c r="E88" s="43"/>
      <c r="F88" s="43"/>
      <c r="G88" s="44"/>
      <c r="H88" s="44">
        <f>SUM(H85:H87)</f>
        <v>0</v>
      </c>
      <c r="I88" s="44">
        <f>SUM(I85:I87)</f>
        <v>0</v>
      </c>
      <c r="J88" s="44">
        <f>SUM(J85:J87)</f>
        <v>0</v>
      </c>
      <c r="K88" s="45"/>
      <c r="L88" s="46"/>
      <c r="M88" s="47">
        <f>SUM(M85:M87)</f>
        <v>0</v>
      </c>
      <c r="N88" s="48"/>
      <c r="O88" s="43"/>
      <c r="P88" s="49">
        <f>ROUND(R88*100/107,2)</f>
        <v>0</v>
      </c>
      <c r="Q88" s="49">
        <f>P88*0.07</f>
        <v>0</v>
      </c>
      <c r="R88" s="50">
        <f>SUM(R85:R87)</f>
        <v>0</v>
      </c>
    </row>
    <row r="89" spans="1:18" ht="19.2" thickTop="1">
      <c r="A89" s="8"/>
      <c r="B89" s="67" t="s">
        <v>49</v>
      </c>
      <c r="C89" s="68"/>
      <c r="D89" s="69"/>
      <c r="E89" s="70"/>
      <c r="F89" s="70"/>
      <c r="G89" s="71"/>
      <c r="H89" s="72"/>
      <c r="I89" s="73"/>
      <c r="J89" s="69"/>
      <c r="K89" s="74"/>
      <c r="L89" s="75"/>
      <c r="M89" s="76"/>
      <c r="N89" s="77"/>
      <c r="O89" s="78"/>
      <c r="P89" s="78"/>
      <c r="Q89" s="78"/>
      <c r="R89" s="79"/>
    </row>
    <row r="90" spans="1:18" ht="18.600000000000001">
      <c r="A90" s="8">
        <v>1</v>
      </c>
      <c r="B90" s="62"/>
      <c r="C90" s="63"/>
      <c r="D90" s="23">
        <v>0</v>
      </c>
      <c r="E90" s="24"/>
      <c r="F90" s="24"/>
      <c r="G90" s="25"/>
      <c r="H90" s="81">
        <v>0</v>
      </c>
      <c r="I90" s="27">
        <f>H90*0.07</f>
        <v>0</v>
      </c>
      <c r="J90" s="23">
        <v>0</v>
      </c>
      <c r="K90" s="28"/>
      <c r="L90" s="29"/>
      <c r="M90" s="30">
        <v>0</v>
      </c>
      <c r="N90" s="31"/>
      <c r="O90" s="25"/>
      <c r="P90" s="27">
        <f>ROUND(R90*100/107,2)</f>
        <v>0</v>
      </c>
      <c r="Q90" s="27">
        <f>P90*0.07</f>
        <v>0</v>
      </c>
      <c r="R90" s="32">
        <f>D90+J90-M90</f>
        <v>0</v>
      </c>
    </row>
    <row r="91" spans="1:18" ht="18.600000000000001">
      <c r="A91" s="8">
        <f>+A90+1</f>
        <v>2</v>
      </c>
      <c r="B91" s="64" t="s">
        <v>21</v>
      </c>
      <c r="C91" s="63"/>
      <c r="D91" s="23">
        <v>0</v>
      </c>
      <c r="E91" s="24"/>
      <c r="F91" s="24"/>
      <c r="G91" s="25"/>
      <c r="H91" s="34">
        <v>0</v>
      </c>
      <c r="I91" s="35">
        <f>H91*0.07</f>
        <v>0</v>
      </c>
      <c r="J91" s="36">
        <v>0</v>
      </c>
      <c r="K91" s="28"/>
      <c r="L91" s="29"/>
      <c r="M91" s="30">
        <v>0</v>
      </c>
      <c r="N91" s="31"/>
      <c r="O91" s="25"/>
      <c r="P91" s="27">
        <f>ROUND(R91*100/107,2)</f>
        <v>0</v>
      </c>
      <c r="Q91" s="27">
        <f>P91*0.07</f>
        <v>0</v>
      </c>
      <c r="R91" s="32">
        <f>D91+J91-M91</f>
        <v>0</v>
      </c>
    </row>
    <row r="92" spans="1:18" ht="18.600000000000001">
      <c r="A92" s="8">
        <f>+A91+1</f>
        <v>3</v>
      </c>
      <c r="B92" s="65"/>
      <c r="C92" s="63"/>
      <c r="D92" s="23">
        <v>0</v>
      </c>
      <c r="E92" s="24"/>
      <c r="F92" s="38"/>
      <c r="G92" s="39"/>
      <c r="H92" s="40">
        <f>J92*100/107</f>
        <v>0</v>
      </c>
      <c r="I92" s="40">
        <f>H92*0.07</f>
        <v>0</v>
      </c>
      <c r="J92" s="41">
        <v>0</v>
      </c>
      <c r="K92" s="28"/>
      <c r="L92" s="29"/>
      <c r="M92" s="30">
        <v>0</v>
      </c>
      <c r="N92" s="31"/>
      <c r="O92" s="25"/>
      <c r="P92" s="27">
        <f>ROUND(R92*100/107,2)</f>
        <v>0</v>
      </c>
      <c r="Q92" s="27">
        <f>P92*0.07</f>
        <v>0</v>
      </c>
      <c r="R92" s="32">
        <f>D92+J92-M92</f>
        <v>0</v>
      </c>
    </row>
    <row r="93" spans="1:18" ht="19.2" thickBot="1">
      <c r="A93" s="42"/>
      <c r="B93" s="191" t="s">
        <v>19</v>
      </c>
      <c r="C93" s="192"/>
      <c r="D93" s="43">
        <f>SUM(D90:D92)</f>
        <v>0</v>
      </c>
      <c r="E93" s="43"/>
      <c r="F93" s="43"/>
      <c r="G93" s="44"/>
      <c r="H93" s="44">
        <f>SUM(H90:H92)</f>
        <v>0</v>
      </c>
      <c r="I93" s="44">
        <f>SUM(I90:I92)</f>
        <v>0</v>
      </c>
      <c r="J93" s="44">
        <f>SUM(J90:J92)</f>
        <v>0</v>
      </c>
      <c r="K93" s="45"/>
      <c r="L93" s="46"/>
      <c r="M93" s="47">
        <f>SUM(M90:M92)</f>
        <v>0</v>
      </c>
      <c r="N93" s="48"/>
      <c r="O93" s="43"/>
      <c r="P93" s="49">
        <f>ROUND(R93*100/107,2)</f>
        <v>0</v>
      </c>
      <c r="Q93" s="49">
        <f>P93*0.07</f>
        <v>0</v>
      </c>
      <c r="R93" s="50">
        <f>SUM(R90:R92)</f>
        <v>0</v>
      </c>
    </row>
    <row r="94" spans="1:18" ht="19.2" thickTop="1">
      <c r="A94" s="8"/>
      <c r="B94" s="67" t="s">
        <v>50</v>
      </c>
      <c r="C94" s="68"/>
      <c r="D94" s="69"/>
      <c r="E94" s="70"/>
      <c r="F94" s="70"/>
      <c r="G94" s="71"/>
      <c r="H94" s="72"/>
      <c r="I94" s="73"/>
      <c r="J94" s="69"/>
      <c r="K94" s="74"/>
      <c r="L94" s="75"/>
      <c r="M94" s="76"/>
      <c r="N94" s="77"/>
      <c r="O94" s="78"/>
      <c r="P94" s="78"/>
      <c r="Q94" s="78"/>
      <c r="R94" s="79"/>
    </row>
    <row r="95" spans="1:18" ht="18.600000000000001">
      <c r="A95" s="8">
        <v>1</v>
      </c>
      <c r="B95" s="62"/>
      <c r="C95" s="63"/>
      <c r="D95" s="23">
        <v>0</v>
      </c>
      <c r="E95" s="24"/>
      <c r="F95" s="24"/>
      <c r="G95" s="25"/>
      <c r="H95" s="81">
        <v>0</v>
      </c>
      <c r="I95" s="27">
        <f>H95*0.07</f>
        <v>0</v>
      </c>
      <c r="J95" s="23">
        <v>0</v>
      </c>
      <c r="K95" s="28"/>
      <c r="L95" s="29"/>
      <c r="M95" s="30">
        <v>0</v>
      </c>
      <c r="N95" s="31"/>
      <c r="O95" s="25"/>
      <c r="P95" s="27">
        <f>ROUND(R95*100/107,2)</f>
        <v>0</v>
      </c>
      <c r="Q95" s="27">
        <f>P95*0.07</f>
        <v>0</v>
      </c>
      <c r="R95" s="32">
        <f>D95+J95-M95</f>
        <v>0</v>
      </c>
    </row>
    <row r="96" spans="1:18" ht="18.600000000000001">
      <c r="A96" s="8">
        <f>+A95+1</f>
        <v>2</v>
      </c>
      <c r="B96" s="64" t="s">
        <v>21</v>
      </c>
      <c r="C96" s="63"/>
      <c r="D96" s="23">
        <v>0</v>
      </c>
      <c r="E96" s="24"/>
      <c r="F96" s="24"/>
      <c r="G96" s="25"/>
      <c r="H96" s="27">
        <v>0</v>
      </c>
      <c r="I96" s="27">
        <f>H96*0.07</f>
        <v>0</v>
      </c>
      <c r="J96" s="36">
        <v>0</v>
      </c>
      <c r="K96" s="28"/>
      <c r="L96" s="29"/>
      <c r="M96" s="30">
        <v>0</v>
      </c>
      <c r="N96" s="31"/>
      <c r="O96" s="25"/>
      <c r="P96" s="27">
        <f>ROUND(R96*100/107,2)</f>
        <v>0</v>
      </c>
      <c r="Q96" s="27">
        <f>P96*0.07</f>
        <v>0</v>
      </c>
      <c r="R96" s="32">
        <f>D96+J96-M96</f>
        <v>0</v>
      </c>
    </row>
    <row r="97" spans="1:18" ht="18.600000000000001">
      <c r="A97" s="8">
        <f>+A96+1</f>
        <v>3</v>
      </c>
      <c r="B97" s="65"/>
      <c r="C97" s="63"/>
      <c r="D97" s="23">
        <v>0</v>
      </c>
      <c r="E97" s="24"/>
      <c r="F97" s="38"/>
      <c r="G97" s="39"/>
      <c r="H97" s="40">
        <f>J97*100/107</f>
        <v>0</v>
      </c>
      <c r="I97" s="40">
        <f>H97*0.07</f>
        <v>0</v>
      </c>
      <c r="J97" s="41">
        <v>0</v>
      </c>
      <c r="K97" s="28"/>
      <c r="L97" s="29"/>
      <c r="M97" s="30">
        <v>0</v>
      </c>
      <c r="N97" s="31"/>
      <c r="O97" s="25"/>
      <c r="P97" s="27">
        <f>ROUND(R97*100/107,2)</f>
        <v>0</v>
      </c>
      <c r="Q97" s="27">
        <f>P97*0.07</f>
        <v>0</v>
      </c>
      <c r="R97" s="32">
        <f>D97+J97-M97</f>
        <v>0</v>
      </c>
    </row>
    <row r="98" spans="1:18" ht="19.2" thickBot="1">
      <c r="A98" s="42"/>
      <c r="B98" s="191" t="s">
        <v>19</v>
      </c>
      <c r="C98" s="192"/>
      <c r="D98" s="43">
        <f>SUM(D95:D97)</f>
        <v>0</v>
      </c>
      <c r="E98" s="43"/>
      <c r="F98" s="43"/>
      <c r="G98" s="44"/>
      <c r="H98" s="44">
        <f>SUM(H95:H97)</f>
        <v>0</v>
      </c>
      <c r="I98" s="44">
        <f>SUM(I95:I97)</f>
        <v>0</v>
      </c>
      <c r="J98" s="44">
        <f>SUM(J95:J97)</f>
        <v>0</v>
      </c>
      <c r="K98" s="45"/>
      <c r="L98" s="46"/>
      <c r="M98" s="47">
        <f>SUM(M95:M97)</f>
        <v>0</v>
      </c>
      <c r="N98" s="48"/>
      <c r="O98" s="43"/>
      <c r="P98" s="49">
        <f>ROUND(R98*100/107,2)</f>
        <v>0</v>
      </c>
      <c r="Q98" s="49">
        <f>P98*0.07</f>
        <v>0</v>
      </c>
      <c r="R98" s="50">
        <f>SUM(R95:R97)</f>
        <v>0</v>
      </c>
    </row>
    <row r="99" spans="1:18" ht="19.2" thickTop="1">
      <c r="A99" s="8"/>
      <c r="B99" s="67" t="s">
        <v>51</v>
      </c>
      <c r="C99" s="68"/>
      <c r="D99" s="69"/>
      <c r="E99" s="70"/>
      <c r="F99" s="70"/>
      <c r="G99" s="71"/>
      <c r="H99" s="72"/>
      <c r="I99" s="73"/>
      <c r="J99" s="69"/>
      <c r="K99" s="74"/>
      <c r="L99" s="75"/>
      <c r="M99" s="76"/>
      <c r="N99" s="77"/>
      <c r="O99" s="78"/>
      <c r="P99" s="78"/>
      <c r="Q99" s="78"/>
      <c r="R99" s="79"/>
    </row>
    <row r="100" spans="1:18" ht="18.600000000000001">
      <c r="A100" s="8">
        <v>1</v>
      </c>
      <c r="B100" s="62"/>
      <c r="C100" s="63"/>
      <c r="D100" s="23">
        <v>0</v>
      </c>
      <c r="E100" s="24"/>
      <c r="F100" s="24"/>
      <c r="G100" s="25"/>
      <c r="H100" s="26">
        <v>0</v>
      </c>
      <c r="I100" s="27">
        <f>H100*0.07</f>
        <v>0</v>
      </c>
      <c r="J100" s="23">
        <v>0</v>
      </c>
      <c r="K100" s="28"/>
      <c r="L100" s="29"/>
      <c r="M100" s="30">
        <v>0</v>
      </c>
      <c r="N100" s="31"/>
      <c r="O100" s="25"/>
      <c r="P100" s="27">
        <f>ROUND(R100*100/107,2)</f>
        <v>0</v>
      </c>
      <c r="Q100" s="27">
        <f>P100*0.07</f>
        <v>0</v>
      </c>
      <c r="R100" s="32">
        <f>D100+J100-M100</f>
        <v>0</v>
      </c>
    </row>
    <row r="101" spans="1:18" ht="18.600000000000001">
      <c r="A101" s="8">
        <f>+A100+1</f>
        <v>2</v>
      </c>
      <c r="B101" s="64" t="s">
        <v>21</v>
      </c>
      <c r="C101" s="63"/>
      <c r="D101" s="23">
        <v>0</v>
      </c>
      <c r="E101" s="24"/>
      <c r="F101" s="24"/>
      <c r="G101" s="25"/>
      <c r="H101" s="34">
        <v>0</v>
      </c>
      <c r="I101" s="35">
        <f>H101*0.07</f>
        <v>0</v>
      </c>
      <c r="J101" s="36">
        <v>0</v>
      </c>
      <c r="K101" s="28"/>
      <c r="L101" s="29"/>
      <c r="M101" s="30">
        <v>0</v>
      </c>
      <c r="N101" s="31"/>
      <c r="O101" s="25"/>
      <c r="P101" s="27">
        <f>ROUND(R101*100/107,2)</f>
        <v>0</v>
      </c>
      <c r="Q101" s="27">
        <f>P101*0.07</f>
        <v>0</v>
      </c>
      <c r="R101" s="32">
        <f>D101+J101-M101</f>
        <v>0</v>
      </c>
    </row>
    <row r="102" spans="1:18" ht="18.600000000000001">
      <c r="A102" s="8">
        <f>+A101+1</f>
        <v>3</v>
      </c>
      <c r="B102" s="65"/>
      <c r="C102" s="63"/>
      <c r="D102" s="23">
        <v>0</v>
      </c>
      <c r="E102" s="24"/>
      <c r="F102" s="38"/>
      <c r="G102" s="39"/>
      <c r="H102" s="40">
        <f>J102*100/107</f>
        <v>0</v>
      </c>
      <c r="I102" s="40">
        <f>H102*0.07</f>
        <v>0</v>
      </c>
      <c r="J102" s="41">
        <v>0</v>
      </c>
      <c r="K102" s="28"/>
      <c r="L102" s="29"/>
      <c r="M102" s="30">
        <v>0</v>
      </c>
      <c r="N102" s="31"/>
      <c r="O102" s="25"/>
      <c r="P102" s="27">
        <f>ROUND(R102*100/107,2)</f>
        <v>0</v>
      </c>
      <c r="Q102" s="27">
        <f>P102*0.07</f>
        <v>0</v>
      </c>
      <c r="R102" s="32">
        <f>D102+J102-M102</f>
        <v>0</v>
      </c>
    </row>
    <row r="103" spans="1:18" ht="19.2" thickBot="1">
      <c r="A103" s="42"/>
      <c r="B103" s="191" t="s">
        <v>19</v>
      </c>
      <c r="C103" s="192"/>
      <c r="D103" s="43">
        <f>SUM(D100:D102)</f>
        <v>0</v>
      </c>
      <c r="E103" s="43"/>
      <c r="F103" s="43"/>
      <c r="G103" s="44"/>
      <c r="H103" s="44">
        <f>SUM(H100:H102)</f>
        <v>0</v>
      </c>
      <c r="I103" s="44">
        <f>SUM(I100:I102)</f>
        <v>0</v>
      </c>
      <c r="J103" s="44">
        <f>SUM(J100:J102)</f>
        <v>0</v>
      </c>
      <c r="K103" s="45"/>
      <c r="L103" s="46"/>
      <c r="M103" s="47">
        <f>SUM(M100:M102)</f>
        <v>0</v>
      </c>
      <c r="N103" s="48"/>
      <c r="O103" s="43"/>
      <c r="P103" s="49">
        <f>ROUND(R103*100/107,2)</f>
        <v>0</v>
      </c>
      <c r="Q103" s="49">
        <f>P103*0.07</f>
        <v>0</v>
      </c>
      <c r="R103" s="50">
        <f>SUM(R100:R102)</f>
        <v>0</v>
      </c>
    </row>
    <row r="104" spans="1:18" ht="19.2" thickTop="1">
      <c r="A104" s="8"/>
      <c r="B104" s="67" t="s">
        <v>52</v>
      </c>
      <c r="C104" s="68"/>
      <c r="D104" s="69"/>
      <c r="E104" s="70"/>
      <c r="F104" s="70"/>
      <c r="G104" s="71"/>
      <c r="H104" s="72"/>
      <c r="I104" s="73"/>
      <c r="J104" s="69"/>
      <c r="K104" s="74"/>
      <c r="L104" s="75"/>
      <c r="M104" s="76"/>
      <c r="N104" s="77"/>
      <c r="O104" s="78"/>
      <c r="P104" s="78"/>
      <c r="Q104" s="78"/>
      <c r="R104" s="79"/>
    </row>
    <row r="105" spans="1:18" ht="18.600000000000001">
      <c r="A105" s="8">
        <v>1</v>
      </c>
      <c r="B105" s="62"/>
      <c r="C105" s="63"/>
      <c r="D105" s="23">
        <v>0</v>
      </c>
      <c r="E105" s="24"/>
      <c r="F105" s="24"/>
      <c r="G105" s="25"/>
      <c r="H105" s="26">
        <v>0</v>
      </c>
      <c r="I105" s="27">
        <f>H105*0.07</f>
        <v>0</v>
      </c>
      <c r="J105" s="23">
        <v>0</v>
      </c>
      <c r="K105" s="28"/>
      <c r="L105" s="29"/>
      <c r="M105" s="30">
        <v>0</v>
      </c>
      <c r="N105" s="31"/>
      <c r="O105" s="25"/>
      <c r="P105" s="27">
        <f>ROUND(R105*100/107,2)</f>
        <v>0</v>
      </c>
      <c r="Q105" s="27">
        <f>P105*0.07</f>
        <v>0</v>
      </c>
      <c r="R105" s="32">
        <f>D105+J105-M105</f>
        <v>0</v>
      </c>
    </row>
    <row r="106" spans="1:18" ht="18.600000000000001">
      <c r="A106" s="8">
        <f>+A105+1</f>
        <v>2</v>
      </c>
      <c r="B106" s="64" t="s">
        <v>21</v>
      </c>
      <c r="C106" s="63"/>
      <c r="D106" s="23">
        <v>0</v>
      </c>
      <c r="E106" s="24"/>
      <c r="F106" s="24"/>
      <c r="G106" s="25"/>
      <c r="H106" s="34">
        <v>0</v>
      </c>
      <c r="I106" s="35">
        <f>H106*0.07</f>
        <v>0</v>
      </c>
      <c r="J106" s="36">
        <v>0</v>
      </c>
      <c r="K106" s="28"/>
      <c r="L106" s="29"/>
      <c r="M106" s="30">
        <v>0</v>
      </c>
      <c r="N106" s="31"/>
      <c r="O106" s="25"/>
      <c r="P106" s="27">
        <f>ROUND(R106*100/107,2)</f>
        <v>0</v>
      </c>
      <c r="Q106" s="27">
        <f>P106*0.07</f>
        <v>0</v>
      </c>
      <c r="R106" s="32">
        <f>D106+J106-M106</f>
        <v>0</v>
      </c>
    </row>
    <row r="107" spans="1:18" ht="18.600000000000001">
      <c r="A107" s="8">
        <f>+A106+1</f>
        <v>3</v>
      </c>
      <c r="B107" s="65"/>
      <c r="C107" s="63"/>
      <c r="D107" s="23">
        <v>0</v>
      </c>
      <c r="E107" s="24"/>
      <c r="F107" s="38"/>
      <c r="G107" s="39"/>
      <c r="H107" s="40">
        <f>J107*100/107</f>
        <v>0</v>
      </c>
      <c r="I107" s="40">
        <f>H107*0.07</f>
        <v>0</v>
      </c>
      <c r="J107" s="41">
        <v>0</v>
      </c>
      <c r="K107" s="28"/>
      <c r="L107" s="29"/>
      <c r="M107" s="30">
        <v>0</v>
      </c>
      <c r="N107" s="31"/>
      <c r="O107" s="25"/>
      <c r="P107" s="27">
        <f>ROUND(R107*100/107,2)</f>
        <v>0</v>
      </c>
      <c r="Q107" s="27">
        <f>P107*0.07</f>
        <v>0</v>
      </c>
      <c r="R107" s="32">
        <f>D107+J107-M107</f>
        <v>0</v>
      </c>
    </row>
    <row r="108" spans="1:18" ht="19.2" thickBot="1">
      <c r="A108" s="42"/>
      <c r="B108" s="191" t="s">
        <v>19</v>
      </c>
      <c r="C108" s="192"/>
      <c r="D108" s="43">
        <f>SUM(D105:D107)</f>
        <v>0</v>
      </c>
      <c r="E108" s="43"/>
      <c r="F108" s="43"/>
      <c r="G108" s="44"/>
      <c r="H108" s="44">
        <f>SUM(H105:H107)</f>
        <v>0</v>
      </c>
      <c r="I108" s="44">
        <f>SUM(I105:I107)</f>
        <v>0</v>
      </c>
      <c r="J108" s="44">
        <f>SUM(J105:J107)</f>
        <v>0</v>
      </c>
      <c r="K108" s="45"/>
      <c r="L108" s="46"/>
      <c r="M108" s="47">
        <f>SUM(M105:M107)</f>
        <v>0</v>
      </c>
      <c r="N108" s="48"/>
      <c r="O108" s="43"/>
      <c r="P108" s="49">
        <f>ROUND(R108*100/107,2)</f>
        <v>0</v>
      </c>
      <c r="Q108" s="49">
        <f>P108*0.07</f>
        <v>0</v>
      </c>
      <c r="R108" s="50">
        <f>SUM(R105:R107)</f>
        <v>0</v>
      </c>
    </row>
    <row r="109" spans="1:18" ht="19.8" thickTop="1" thickBot="1">
      <c r="A109" s="120"/>
      <c r="B109" s="193" t="s">
        <v>53</v>
      </c>
      <c r="C109" s="194"/>
      <c r="D109" s="106">
        <f>+D11+D16+D21+D26+D32+D37+D42+D47+D52+D57+D68+D73+D78+D83+D88+D93+D98+D103+D108</f>
        <v>0</v>
      </c>
      <c r="E109" s="106"/>
      <c r="F109" s="106"/>
      <c r="G109" s="106"/>
      <c r="H109" s="106">
        <f>+H11+H16+H21+H26+H32+H37+H42+H47+H52+H57+H68+H73+H78+H83+H88+H93+H98+H103+H108</f>
        <v>5530855.9100000001</v>
      </c>
      <c r="I109" s="106">
        <f>+I11+I16+I21+I26+I32+I37+I42+I47+I52+I57+I68+I73+I78+I83+I88+I93+I98+I103+I108</f>
        <v>0</v>
      </c>
      <c r="J109" s="106">
        <f>+J11+J16+J21+J26+J32+J37+J42+J47+J52+J57+J68+J73+J78+J83+J88+J93+J98+J103+J108</f>
        <v>5530855.9100000001</v>
      </c>
      <c r="K109" s="114"/>
      <c r="L109" s="114"/>
      <c r="M109" s="107">
        <f>+M11+M16+M21+M26+M32+M37+M42+M47+M52+M57+M68+M73+M78+M83+M88+M93+M98+M103+M108</f>
        <v>0</v>
      </c>
      <c r="N109" s="108"/>
      <c r="O109" s="106"/>
      <c r="P109" s="106">
        <f>+P11+P16+P21+P26+P32+P37+P42+P47+P52+P57+P68+P73+P78+P83+P88+P93+P98+P103+P108</f>
        <v>5530855.9100000001</v>
      </c>
      <c r="Q109" s="106">
        <f>+Q11+Q16+Q21+Q26+Q32+Q37+Q42+Q47+Q52+Q57+Q68+Q73+Q78+Q83+Q88+Q93+Q98+Q103+Q108</f>
        <v>0</v>
      </c>
      <c r="R109" s="106">
        <f>+R11+R16+R21+R26+R32+R37+R42+R47+R52+R57+R68+R73+R78+R83+R88+R93+R98+R103+R108</f>
        <v>5530855.9100000001</v>
      </c>
    </row>
    <row r="110" spans="1:18" ht="19.2" thickTop="1">
      <c r="A110" s="120"/>
      <c r="B110" s="121"/>
      <c r="C110" s="121"/>
      <c r="D110" s="121"/>
      <c r="E110" s="121"/>
      <c r="F110" s="121"/>
      <c r="G110" s="121"/>
      <c r="H110" s="121"/>
      <c r="I110" s="121"/>
      <c r="J110" s="121"/>
      <c r="K110" s="122"/>
      <c r="L110" s="123"/>
      <c r="M110" s="124"/>
      <c r="N110" s="125"/>
      <c r="O110" s="121"/>
      <c r="P110" s="121"/>
      <c r="Q110" s="121"/>
      <c r="R110" s="126"/>
    </row>
    <row r="111" spans="1:18" ht="6.75" customHeight="1">
      <c r="A111" s="120"/>
      <c r="B111" s="121"/>
      <c r="C111" s="121"/>
      <c r="D111" s="121"/>
      <c r="E111" s="121"/>
      <c r="F111" s="121"/>
      <c r="G111" s="121"/>
      <c r="H111" s="121"/>
      <c r="I111" s="121"/>
      <c r="J111" s="121"/>
      <c r="K111" s="122"/>
      <c r="L111" s="123"/>
      <c r="M111" s="124"/>
      <c r="N111" s="125"/>
      <c r="O111" s="121"/>
      <c r="P111" s="121"/>
      <c r="Q111" s="121"/>
      <c r="R111" s="126"/>
    </row>
    <row r="112" spans="1:18" ht="18.600000000000001">
      <c r="A112" s="120"/>
      <c r="B112" s="121"/>
      <c r="C112" s="121"/>
      <c r="D112" s="121"/>
      <c r="E112" s="127"/>
      <c r="F112" s="127"/>
      <c r="G112" s="121"/>
      <c r="H112" s="121"/>
      <c r="I112" s="121"/>
      <c r="J112" s="121"/>
      <c r="K112" s="122"/>
      <c r="L112" s="123"/>
      <c r="M112" s="124"/>
      <c r="N112" s="189" t="s">
        <v>54</v>
      </c>
      <c r="O112" s="189"/>
      <c r="P112" s="189"/>
      <c r="Q112" s="121"/>
      <c r="R112" s="126"/>
    </row>
    <row r="113" spans="1:18" ht="18.600000000000001">
      <c r="B113" s="128"/>
      <c r="C113" s="121"/>
      <c r="D113" s="121"/>
      <c r="E113" s="121"/>
      <c r="F113" s="121"/>
      <c r="G113" s="121"/>
      <c r="H113" s="190"/>
      <c r="I113" s="190"/>
      <c r="J113" s="190"/>
      <c r="K113" s="122"/>
      <c r="L113" s="123"/>
      <c r="M113" s="124"/>
      <c r="N113" s="125"/>
      <c r="O113" s="121" t="s">
        <v>55</v>
      </c>
      <c r="P113" s="121"/>
      <c r="Q113" s="121"/>
      <c r="R113" s="126"/>
    </row>
    <row r="114" spans="1:18" ht="18.600000000000001">
      <c r="A114" s="129"/>
      <c r="B114" s="130"/>
      <c r="C114" s="129"/>
      <c r="D114" s="131"/>
      <c r="E114" s="129"/>
      <c r="F114" s="129"/>
      <c r="G114" s="132"/>
      <c r="H114" s="132"/>
      <c r="I114" s="132"/>
      <c r="J114" s="133"/>
      <c r="K114" s="134"/>
      <c r="L114" s="135"/>
      <c r="M114" s="136"/>
      <c r="N114" s="137"/>
      <c r="O114" s="132"/>
      <c r="P114" s="132"/>
      <c r="Q114" s="132"/>
      <c r="R114" s="138"/>
    </row>
  </sheetData>
  <mergeCells count="54">
    <mergeCell ref="A1:R1"/>
    <mergeCell ref="A2:R2"/>
    <mergeCell ref="A3:R3"/>
    <mergeCell ref="A4:A6"/>
    <mergeCell ref="B4:B6"/>
    <mergeCell ref="C4:C6"/>
    <mergeCell ref="D4:D6"/>
    <mergeCell ref="E4:J4"/>
    <mergeCell ref="K4:M4"/>
    <mergeCell ref="N4:R4"/>
    <mergeCell ref="M5:M6"/>
    <mergeCell ref="N5:N6"/>
    <mergeCell ref="O5:O6"/>
    <mergeCell ref="P5:R5"/>
    <mergeCell ref="K5:K6"/>
    <mergeCell ref="L5:L6"/>
    <mergeCell ref="B13:C13"/>
    <mergeCell ref="E5:E6"/>
    <mergeCell ref="F5:F6"/>
    <mergeCell ref="G5:G6"/>
    <mergeCell ref="H5:J5"/>
    <mergeCell ref="B11:C11"/>
    <mergeCell ref="B41:C41"/>
    <mergeCell ref="B14:C14"/>
    <mergeCell ref="B15:C15"/>
    <mergeCell ref="B16:C16"/>
    <mergeCell ref="B21:C21"/>
    <mergeCell ref="B26:C26"/>
    <mergeCell ref="B29:C29"/>
    <mergeCell ref="B31:C31"/>
    <mergeCell ref="B32:C32"/>
    <mergeCell ref="B37:C37"/>
    <mergeCell ref="B39:C39"/>
    <mergeCell ref="B40:C40"/>
    <mergeCell ref="B83:C83"/>
    <mergeCell ref="B42:C42"/>
    <mergeCell ref="B47:C47"/>
    <mergeCell ref="B52:C52"/>
    <mergeCell ref="B57:C57"/>
    <mergeCell ref="B67:C67"/>
    <mergeCell ref="B68:C68"/>
    <mergeCell ref="B73:C73"/>
    <mergeCell ref="B78:C78"/>
    <mergeCell ref="B80:C80"/>
    <mergeCell ref="B81:C81"/>
    <mergeCell ref="B82:C82"/>
    <mergeCell ref="N112:P112"/>
    <mergeCell ref="H113:J113"/>
    <mergeCell ref="B88:C88"/>
    <mergeCell ref="B93:C93"/>
    <mergeCell ref="B98:C98"/>
    <mergeCell ref="B103:C103"/>
    <mergeCell ref="B108:C108"/>
    <mergeCell ref="B109:C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AE56-9E27-46BC-909D-F5F2F3FAD22B}">
  <sheetPr>
    <tabColor rgb="FF92D050"/>
  </sheetPr>
  <dimension ref="A1:F14"/>
  <sheetViews>
    <sheetView workbookViewId="0">
      <pane ySplit="6" topLeftCell="A7" activePane="bottomLeft" state="frozen"/>
      <selection pane="bottomLeft" activeCell="E29" sqref="E29"/>
    </sheetView>
  </sheetViews>
  <sheetFormatPr defaultColWidth="10.375" defaultRowHeight="14.4"/>
  <cols>
    <col min="1" max="1" width="10.375" style="1"/>
    <col min="2" max="2" width="33.25" style="1" customWidth="1"/>
    <col min="3" max="3" width="10.375" style="1"/>
    <col min="4" max="4" width="10.375" style="139"/>
    <col min="5" max="5" width="11.625" style="139" bestFit="1" customWidth="1"/>
    <col min="6" max="6" width="10.375" style="139"/>
    <col min="7" max="242" width="10.375" style="1"/>
    <col min="243" max="243" width="33.25" style="1" customWidth="1"/>
    <col min="244" max="248" width="10.375" style="1"/>
    <col min="249" max="249" width="13.625" style="1" customWidth="1"/>
    <col min="250" max="250" width="10.375" style="1"/>
    <col min="251" max="251" width="14.375" style="1" customWidth="1"/>
    <col min="252" max="252" width="10.375" style="1"/>
    <col min="253" max="253" width="11.625" style="1" bestFit="1" customWidth="1"/>
    <col min="254" max="256" width="10.375" style="1"/>
    <col min="257" max="257" width="12.875" style="1" customWidth="1"/>
    <col min="258" max="258" width="10.375" style="1"/>
    <col min="259" max="259" width="13" style="1" customWidth="1"/>
    <col min="260" max="498" width="10.375" style="1"/>
    <col min="499" max="499" width="33.25" style="1" customWidth="1"/>
    <col min="500" max="504" width="10.375" style="1"/>
    <col min="505" max="505" width="13.625" style="1" customWidth="1"/>
    <col min="506" max="506" width="10.375" style="1"/>
    <col min="507" max="507" width="14.375" style="1" customWidth="1"/>
    <col min="508" max="508" width="10.375" style="1"/>
    <col min="509" max="509" width="11.625" style="1" bestFit="1" customWidth="1"/>
    <col min="510" max="512" width="10.375" style="1"/>
    <col min="513" max="513" width="12.875" style="1" customWidth="1"/>
    <col min="514" max="514" width="10.375" style="1"/>
    <col min="515" max="515" width="13" style="1" customWidth="1"/>
    <col min="516" max="754" width="10.375" style="1"/>
    <col min="755" max="755" width="33.25" style="1" customWidth="1"/>
    <col min="756" max="760" width="10.375" style="1"/>
    <col min="761" max="761" width="13.625" style="1" customWidth="1"/>
    <col min="762" max="762" width="10.375" style="1"/>
    <col min="763" max="763" width="14.375" style="1" customWidth="1"/>
    <col min="764" max="764" width="10.375" style="1"/>
    <col min="765" max="765" width="11.625" style="1" bestFit="1" customWidth="1"/>
    <col min="766" max="768" width="10.375" style="1"/>
    <col min="769" max="769" width="12.875" style="1" customWidth="1"/>
    <col min="770" max="770" width="10.375" style="1"/>
    <col min="771" max="771" width="13" style="1" customWidth="1"/>
    <col min="772" max="1010" width="10.375" style="1"/>
    <col min="1011" max="1011" width="33.25" style="1" customWidth="1"/>
    <col min="1012" max="1016" width="10.375" style="1"/>
    <col min="1017" max="1017" width="13.625" style="1" customWidth="1"/>
    <col min="1018" max="1018" width="10.375" style="1"/>
    <col min="1019" max="1019" width="14.375" style="1" customWidth="1"/>
    <col min="1020" max="1020" width="10.375" style="1"/>
    <col min="1021" max="1021" width="11.625" style="1" bestFit="1" customWidth="1"/>
    <col min="1022" max="1024" width="10.375" style="1"/>
    <col min="1025" max="1025" width="12.875" style="1" customWidth="1"/>
    <col min="1026" max="1026" width="10.375" style="1"/>
    <col min="1027" max="1027" width="13" style="1" customWidth="1"/>
    <col min="1028" max="1266" width="10.375" style="1"/>
    <col min="1267" max="1267" width="33.25" style="1" customWidth="1"/>
    <col min="1268" max="1272" width="10.375" style="1"/>
    <col min="1273" max="1273" width="13.625" style="1" customWidth="1"/>
    <col min="1274" max="1274" width="10.375" style="1"/>
    <col min="1275" max="1275" width="14.375" style="1" customWidth="1"/>
    <col min="1276" max="1276" width="10.375" style="1"/>
    <col min="1277" max="1277" width="11.625" style="1" bestFit="1" customWidth="1"/>
    <col min="1278" max="1280" width="10.375" style="1"/>
    <col min="1281" max="1281" width="12.875" style="1" customWidth="1"/>
    <col min="1282" max="1282" width="10.375" style="1"/>
    <col min="1283" max="1283" width="13" style="1" customWidth="1"/>
    <col min="1284" max="1522" width="10.375" style="1"/>
    <col min="1523" max="1523" width="33.25" style="1" customWidth="1"/>
    <col min="1524" max="1528" width="10.375" style="1"/>
    <col min="1529" max="1529" width="13.625" style="1" customWidth="1"/>
    <col min="1530" max="1530" width="10.375" style="1"/>
    <col min="1531" max="1531" width="14.375" style="1" customWidth="1"/>
    <col min="1532" max="1532" width="10.375" style="1"/>
    <col min="1533" max="1533" width="11.625" style="1" bestFit="1" customWidth="1"/>
    <col min="1534" max="1536" width="10.375" style="1"/>
    <col min="1537" max="1537" width="12.875" style="1" customWidth="1"/>
    <col min="1538" max="1538" width="10.375" style="1"/>
    <col min="1539" max="1539" width="13" style="1" customWidth="1"/>
    <col min="1540" max="1778" width="10.375" style="1"/>
    <col min="1779" max="1779" width="33.25" style="1" customWidth="1"/>
    <col min="1780" max="1784" width="10.375" style="1"/>
    <col min="1785" max="1785" width="13.625" style="1" customWidth="1"/>
    <col min="1786" max="1786" width="10.375" style="1"/>
    <col min="1787" max="1787" width="14.375" style="1" customWidth="1"/>
    <col min="1788" max="1788" width="10.375" style="1"/>
    <col min="1789" max="1789" width="11.625" style="1" bestFit="1" customWidth="1"/>
    <col min="1790" max="1792" width="10.375" style="1"/>
    <col min="1793" max="1793" width="12.875" style="1" customWidth="1"/>
    <col min="1794" max="1794" width="10.375" style="1"/>
    <col min="1795" max="1795" width="13" style="1" customWidth="1"/>
    <col min="1796" max="2034" width="10.375" style="1"/>
    <col min="2035" max="2035" width="33.25" style="1" customWidth="1"/>
    <col min="2036" max="2040" width="10.375" style="1"/>
    <col min="2041" max="2041" width="13.625" style="1" customWidth="1"/>
    <col min="2042" max="2042" width="10.375" style="1"/>
    <col min="2043" max="2043" width="14.375" style="1" customWidth="1"/>
    <col min="2044" max="2044" width="10.375" style="1"/>
    <col min="2045" max="2045" width="11.625" style="1" bestFit="1" customWidth="1"/>
    <col min="2046" max="2048" width="10.375" style="1"/>
    <col min="2049" max="2049" width="12.875" style="1" customWidth="1"/>
    <col min="2050" max="2050" width="10.375" style="1"/>
    <col min="2051" max="2051" width="13" style="1" customWidth="1"/>
    <col min="2052" max="2290" width="10.375" style="1"/>
    <col min="2291" max="2291" width="33.25" style="1" customWidth="1"/>
    <col min="2292" max="2296" width="10.375" style="1"/>
    <col min="2297" max="2297" width="13.625" style="1" customWidth="1"/>
    <col min="2298" max="2298" width="10.375" style="1"/>
    <col min="2299" max="2299" width="14.375" style="1" customWidth="1"/>
    <col min="2300" max="2300" width="10.375" style="1"/>
    <col min="2301" max="2301" width="11.625" style="1" bestFit="1" customWidth="1"/>
    <col min="2302" max="2304" width="10.375" style="1"/>
    <col min="2305" max="2305" width="12.875" style="1" customWidth="1"/>
    <col min="2306" max="2306" width="10.375" style="1"/>
    <col min="2307" max="2307" width="13" style="1" customWidth="1"/>
    <col min="2308" max="2546" width="10.375" style="1"/>
    <col min="2547" max="2547" width="33.25" style="1" customWidth="1"/>
    <col min="2548" max="2552" width="10.375" style="1"/>
    <col min="2553" max="2553" width="13.625" style="1" customWidth="1"/>
    <col min="2554" max="2554" width="10.375" style="1"/>
    <col min="2555" max="2555" width="14.375" style="1" customWidth="1"/>
    <col min="2556" max="2556" width="10.375" style="1"/>
    <col min="2557" max="2557" width="11.625" style="1" bestFit="1" customWidth="1"/>
    <col min="2558" max="2560" width="10.375" style="1"/>
    <col min="2561" max="2561" width="12.875" style="1" customWidth="1"/>
    <col min="2562" max="2562" width="10.375" style="1"/>
    <col min="2563" max="2563" width="13" style="1" customWidth="1"/>
    <col min="2564" max="2802" width="10.375" style="1"/>
    <col min="2803" max="2803" width="33.25" style="1" customWidth="1"/>
    <col min="2804" max="2808" width="10.375" style="1"/>
    <col min="2809" max="2809" width="13.625" style="1" customWidth="1"/>
    <col min="2810" max="2810" width="10.375" style="1"/>
    <col min="2811" max="2811" width="14.375" style="1" customWidth="1"/>
    <col min="2812" max="2812" width="10.375" style="1"/>
    <col min="2813" max="2813" width="11.625" style="1" bestFit="1" customWidth="1"/>
    <col min="2814" max="2816" width="10.375" style="1"/>
    <col min="2817" max="2817" width="12.875" style="1" customWidth="1"/>
    <col min="2818" max="2818" width="10.375" style="1"/>
    <col min="2819" max="2819" width="13" style="1" customWidth="1"/>
    <col min="2820" max="3058" width="10.375" style="1"/>
    <col min="3059" max="3059" width="33.25" style="1" customWidth="1"/>
    <col min="3060" max="3064" width="10.375" style="1"/>
    <col min="3065" max="3065" width="13.625" style="1" customWidth="1"/>
    <col min="3066" max="3066" width="10.375" style="1"/>
    <col min="3067" max="3067" width="14.375" style="1" customWidth="1"/>
    <col min="3068" max="3068" width="10.375" style="1"/>
    <col min="3069" max="3069" width="11.625" style="1" bestFit="1" customWidth="1"/>
    <col min="3070" max="3072" width="10.375" style="1"/>
    <col min="3073" max="3073" width="12.875" style="1" customWidth="1"/>
    <col min="3074" max="3074" width="10.375" style="1"/>
    <col min="3075" max="3075" width="13" style="1" customWidth="1"/>
    <col min="3076" max="3314" width="10.375" style="1"/>
    <col min="3315" max="3315" width="33.25" style="1" customWidth="1"/>
    <col min="3316" max="3320" width="10.375" style="1"/>
    <col min="3321" max="3321" width="13.625" style="1" customWidth="1"/>
    <col min="3322" max="3322" width="10.375" style="1"/>
    <col min="3323" max="3323" width="14.375" style="1" customWidth="1"/>
    <col min="3324" max="3324" width="10.375" style="1"/>
    <col min="3325" max="3325" width="11.625" style="1" bestFit="1" customWidth="1"/>
    <col min="3326" max="3328" width="10.375" style="1"/>
    <col min="3329" max="3329" width="12.875" style="1" customWidth="1"/>
    <col min="3330" max="3330" width="10.375" style="1"/>
    <col min="3331" max="3331" width="13" style="1" customWidth="1"/>
    <col min="3332" max="3570" width="10.375" style="1"/>
    <col min="3571" max="3571" width="33.25" style="1" customWidth="1"/>
    <col min="3572" max="3576" width="10.375" style="1"/>
    <col min="3577" max="3577" width="13.625" style="1" customWidth="1"/>
    <col min="3578" max="3578" width="10.375" style="1"/>
    <col min="3579" max="3579" width="14.375" style="1" customWidth="1"/>
    <col min="3580" max="3580" width="10.375" style="1"/>
    <col min="3581" max="3581" width="11.625" style="1" bestFit="1" customWidth="1"/>
    <col min="3582" max="3584" width="10.375" style="1"/>
    <col min="3585" max="3585" width="12.875" style="1" customWidth="1"/>
    <col min="3586" max="3586" width="10.375" style="1"/>
    <col min="3587" max="3587" width="13" style="1" customWidth="1"/>
    <col min="3588" max="3826" width="10.375" style="1"/>
    <col min="3827" max="3827" width="33.25" style="1" customWidth="1"/>
    <col min="3828" max="3832" width="10.375" style="1"/>
    <col min="3833" max="3833" width="13.625" style="1" customWidth="1"/>
    <col min="3834" max="3834" width="10.375" style="1"/>
    <col min="3835" max="3835" width="14.375" style="1" customWidth="1"/>
    <col min="3836" max="3836" width="10.375" style="1"/>
    <col min="3837" max="3837" width="11.625" style="1" bestFit="1" customWidth="1"/>
    <col min="3838" max="3840" width="10.375" style="1"/>
    <col min="3841" max="3841" width="12.875" style="1" customWidth="1"/>
    <col min="3842" max="3842" width="10.375" style="1"/>
    <col min="3843" max="3843" width="13" style="1" customWidth="1"/>
    <col min="3844" max="4082" width="10.375" style="1"/>
    <col min="4083" max="4083" width="33.25" style="1" customWidth="1"/>
    <col min="4084" max="4088" width="10.375" style="1"/>
    <col min="4089" max="4089" width="13.625" style="1" customWidth="1"/>
    <col min="4090" max="4090" width="10.375" style="1"/>
    <col min="4091" max="4091" width="14.375" style="1" customWidth="1"/>
    <col min="4092" max="4092" width="10.375" style="1"/>
    <col min="4093" max="4093" width="11.625" style="1" bestFit="1" customWidth="1"/>
    <col min="4094" max="4096" width="10.375" style="1"/>
    <col min="4097" max="4097" width="12.875" style="1" customWidth="1"/>
    <col min="4098" max="4098" width="10.375" style="1"/>
    <col min="4099" max="4099" width="13" style="1" customWidth="1"/>
    <col min="4100" max="4338" width="10.375" style="1"/>
    <col min="4339" max="4339" width="33.25" style="1" customWidth="1"/>
    <col min="4340" max="4344" width="10.375" style="1"/>
    <col min="4345" max="4345" width="13.625" style="1" customWidth="1"/>
    <col min="4346" max="4346" width="10.375" style="1"/>
    <col min="4347" max="4347" width="14.375" style="1" customWidth="1"/>
    <col min="4348" max="4348" width="10.375" style="1"/>
    <col min="4349" max="4349" width="11.625" style="1" bestFit="1" customWidth="1"/>
    <col min="4350" max="4352" width="10.375" style="1"/>
    <col min="4353" max="4353" width="12.875" style="1" customWidth="1"/>
    <col min="4354" max="4354" width="10.375" style="1"/>
    <col min="4355" max="4355" width="13" style="1" customWidth="1"/>
    <col min="4356" max="4594" width="10.375" style="1"/>
    <col min="4595" max="4595" width="33.25" style="1" customWidth="1"/>
    <col min="4596" max="4600" width="10.375" style="1"/>
    <col min="4601" max="4601" width="13.625" style="1" customWidth="1"/>
    <col min="4602" max="4602" width="10.375" style="1"/>
    <col min="4603" max="4603" width="14.375" style="1" customWidth="1"/>
    <col min="4604" max="4604" width="10.375" style="1"/>
    <col min="4605" max="4605" width="11.625" style="1" bestFit="1" customWidth="1"/>
    <col min="4606" max="4608" width="10.375" style="1"/>
    <col min="4609" max="4609" width="12.875" style="1" customWidth="1"/>
    <col min="4610" max="4610" width="10.375" style="1"/>
    <col min="4611" max="4611" width="13" style="1" customWidth="1"/>
    <col min="4612" max="4850" width="10.375" style="1"/>
    <col min="4851" max="4851" width="33.25" style="1" customWidth="1"/>
    <col min="4852" max="4856" width="10.375" style="1"/>
    <col min="4857" max="4857" width="13.625" style="1" customWidth="1"/>
    <col min="4858" max="4858" width="10.375" style="1"/>
    <col min="4859" max="4859" width="14.375" style="1" customWidth="1"/>
    <col min="4860" max="4860" width="10.375" style="1"/>
    <col min="4861" max="4861" width="11.625" style="1" bestFit="1" customWidth="1"/>
    <col min="4862" max="4864" width="10.375" style="1"/>
    <col min="4865" max="4865" width="12.875" style="1" customWidth="1"/>
    <col min="4866" max="4866" width="10.375" style="1"/>
    <col min="4867" max="4867" width="13" style="1" customWidth="1"/>
    <col min="4868" max="5106" width="10.375" style="1"/>
    <col min="5107" max="5107" width="33.25" style="1" customWidth="1"/>
    <col min="5108" max="5112" width="10.375" style="1"/>
    <col min="5113" max="5113" width="13.625" style="1" customWidth="1"/>
    <col min="5114" max="5114" width="10.375" style="1"/>
    <col min="5115" max="5115" width="14.375" style="1" customWidth="1"/>
    <col min="5116" max="5116" width="10.375" style="1"/>
    <col min="5117" max="5117" width="11.625" style="1" bestFit="1" customWidth="1"/>
    <col min="5118" max="5120" width="10.375" style="1"/>
    <col min="5121" max="5121" width="12.875" style="1" customWidth="1"/>
    <col min="5122" max="5122" width="10.375" style="1"/>
    <col min="5123" max="5123" width="13" style="1" customWidth="1"/>
    <col min="5124" max="5362" width="10.375" style="1"/>
    <col min="5363" max="5363" width="33.25" style="1" customWidth="1"/>
    <col min="5364" max="5368" width="10.375" style="1"/>
    <col min="5369" max="5369" width="13.625" style="1" customWidth="1"/>
    <col min="5370" max="5370" width="10.375" style="1"/>
    <col min="5371" max="5371" width="14.375" style="1" customWidth="1"/>
    <col min="5372" max="5372" width="10.375" style="1"/>
    <col min="5373" max="5373" width="11.625" style="1" bestFit="1" customWidth="1"/>
    <col min="5374" max="5376" width="10.375" style="1"/>
    <col min="5377" max="5377" width="12.875" style="1" customWidth="1"/>
    <col min="5378" max="5378" width="10.375" style="1"/>
    <col min="5379" max="5379" width="13" style="1" customWidth="1"/>
    <col min="5380" max="5618" width="10.375" style="1"/>
    <col min="5619" max="5619" width="33.25" style="1" customWidth="1"/>
    <col min="5620" max="5624" width="10.375" style="1"/>
    <col min="5625" max="5625" width="13.625" style="1" customWidth="1"/>
    <col min="5626" max="5626" width="10.375" style="1"/>
    <col min="5627" max="5627" width="14.375" style="1" customWidth="1"/>
    <col min="5628" max="5628" width="10.375" style="1"/>
    <col min="5629" max="5629" width="11.625" style="1" bestFit="1" customWidth="1"/>
    <col min="5630" max="5632" width="10.375" style="1"/>
    <col min="5633" max="5633" width="12.875" style="1" customWidth="1"/>
    <col min="5634" max="5634" width="10.375" style="1"/>
    <col min="5635" max="5635" width="13" style="1" customWidth="1"/>
    <col min="5636" max="5874" width="10.375" style="1"/>
    <col min="5875" max="5875" width="33.25" style="1" customWidth="1"/>
    <col min="5876" max="5880" width="10.375" style="1"/>
    <col min="5881" max="5881" width="13.625" style="1" customWidth="1"/>
    <col min="5882" max="5882" width="10.375" style="1"/>
    <col min="5883" max="5883" width="14.375" style="1" customWidth="1"/>
    <col min="5884" max="5884" width="10.375" style="1"/>
    <col min="5885" max="5885" width="11.625" style="1" bestFit="1" customWidth="1"/>
    <col min="5886" max="5888" width="10.375" style="1"/>
    <col min="5889" max="5889" width="12.875" style="1" customWidth="1"/>
    <col min="5890" max="5890" width="10.375" style="1"/>
    <col min="5891" max="5891" width="13" style="1" customWidth="1"/>
    <col min="5892" max="6130" width="10.375" style="1"/>
    <col min="6131" max="6131" width="33.25" style="1" customWidth="1"/>
    <col min="6132" max="6136" width="10.375" style="1"/>
    <col min="6137" max="6137" width="13.625" style="1" customWidth="1"/>
    <col min="6138" max="6138" width="10.375" style="1"/>
    <col min="6139" max="6139" width="14.375" style="1" customWidth="1"/>
    <col min="6140" max="6140" width="10.375" style="1"/>
    <col min="6141" max="6141" width="11.625" style="1" bestFit="1" customWidth="1"/>
    <col min="6142" max="6144" width="10.375" style="1"/>
    <col min="6145" max="6145" width="12.875" style="1" customWidth="1"/>
    <col min="6146" max="6146" width="10.375" style="1"/>
    <col min="6147" max="6147" width="13" style="1" customWidth="1"/>
    <col min="6148" max="6386" width="10.375" style="1"/>
    <col min="6387" max="6387" width="33.25" style="1" customWidth="1"/>
    <col min="6388" max="6392" width="10.375" style="1"/>
    <col min="6393" max="6393" width="13.625" style="1" customWidth="1"/>
    <col min="6394" max="6394" width="10.375" style="1"/>
    <col min="6395" max="6395" width="14.375" style="1" customWidth="1"/>
    <col min="6396" max="6396" width="10.375" style="1"/>
    <col min="6397" max="6397" width="11.625" style="1" bestFit="1" customWidth="1"/>
    <col min="6398" max="6400" width="10.375" style="1"/>
    <col min="6401" max="6401" width="12.875" style="1" customWidth="1"/>
    <col min="6402" max="6402" width="10.375" style="1"/>
    <col min="6403" max="6403" width="13" style="1" customWidth="1"/>
    <col min="6404" max="6642" width="10.375" style="1"/>
    <col min="6643" max="6643" width="33.25" style="1" customWidth="1"/>
    <col min="6644" max="6648" width="10.375" style="1"/>
    <col min="6649" max="6649" width="13.625" style="1" customWidth="1"/>
    <col min="6650" max="6650" width="10.375" style="1"/>
    <col min="6651" max="6651" width="14.375" style="1" customWidth="1"/>
    <col min="6652" max="6652" width="10.375" style="1"/>
    <col min="6653" max="6653" width="11.625" style="1" bestFit="1" customWidth="1"/>
    <col min="6654" max="6656" width="10.375" style="1"/>
    <col min="6657" max="6657" width="12.875" style="1" customWidth="1"/>
    <col min="6658" max="6658" width="10.375" style="1"/>
    <col min="6659" max="6659" width="13" style="1" customWidth="1"/>
    <col min="6660" max="6898" width="10.375" style="1"/>
    <col min="6899" max="6899" width="33.25" style="1" customWidth="1"/>
    <col min="6900" max="6904" width="10.375" style="1"/>
    <col min="6905" max="6905" width="13.625" style="1" customWidth="1"/>
    <col min="6906" max="6906" width="10.375" style="1"/>
    <col min="6907" max="6907" width="14.375" style="1" customWidth="1"/>
    <col min="6908" max="6908" width="10.375" style="1"/>
    <col min="6909" max="6909" width="11.625" style="1" bestFit="1" customWidth="1"/>
    <col min="6910" max="6912" width="10.375" style="1"/>
    <col min="6913" max="6913" width="12.875" style="1" customWidth="1"/>
    <col min="6914" max="6914" width="10.375" style="1"/>
    <col min="6915" max="6915" width="13" style="1" customWidth="1"/>
    <col min="6916" max="7154" width="10.375" style="1"/>
    <col min="7155" max="7155" width="33.25" style="1" customWidth="1"/>
    <col min="7156" max="7160" width="10.375" style="1"/>
    <col min="7161" max="7161" width="13.625" style="1" customWidth="1"/>
    <col min="7162" max="7162" width="10.375" style="1"/>
    <col min="7163" max="7163" width="14.375" style="1" customWidth="1"/>
    <col min="7164" max="7164" width="10.375" style="1"/>
    <col min="7165" max="7165" width="11.625" style="1" bestFit="1" customWidth="1"/>
    <col min="7166" max="7168" width="10.375" style="1"/>
    <col min="7169" max="7169" width="12.875" style="1" customWidth="1"/>
    <col min="7170" max="7170" width="10.375" style="1"/>
    <col min="7171" max="7171" width="13" style="1" customWidth="1"/>
    <col min="7172" max="7410" width="10.375" style="1"/>
    <col min="7411" max="7411" width="33.25" style="1" customWidth="1"/>
    <col min="7412" max="7416" width="10.375" style="1"/>
    <col min="7417" max="7417" width="13.625" style="1" customWidth="1"/>
    <col min="7418" max="7418" width="10.375" style="1"/>
    <col min="7419" max="7419" width="14.375" style="1" customWidth="1"/>
    <col min="7420" max="7420" width="10.375" style="1"/>
    <col min="7421" max="7421" width="11.625" style="1" bestFit="1" customWidth="1"/>
    <col min="7422" max="7424" width="10.375" style="1"/>
    <col min="7425" max="7425" width="12.875" style="1" customWidth="1"/>
    <col min="7426" max="7426" width="10.375" style="1"/>
    <col min="7427" max="7427" width="13" style="1" customWidth="1"/>
    <col min="7428" max="7666" width="10.375" style="1"/>
    <col min="7667" max="7667" width="33.25" style="1" customWidth="1"/>
    <col min="7668" max="7672" width="10.375" style="1"/>
    <col min="7673" max="7673" width="13.625" style="1" customWidth="1"/>
    <col min="7674" max="7674" width="10.375" style="1"/>
    <col min="7675" max="7675" width="14.375" style="1" customWidth="1"/>
    <col min="7676" max="7676" width="10.375" style="1"/>
    <col min="7677" max="7677" width="11.625" style="1" bestFit="1" customWidth="1"/>
    <col min="7678" max="7680" width="10.375" style="1"/>
    <col min="7681" max="7681" width="12.875" style="1" customWidth="1"/>
    <col min="7682" max="7682" width="10.375" style="1"/>
    <col min="7683" max="7683" width="13" style="1" customWidth="1"/>
    <col min="7684" max="7922" width="10.375" style="1"/>
    <col min="7923" max="7923" width="33.25" style="1" customWidth="1"/>
    <col min="7924" max="7928" width="10.375" style="1"/>
    <col min="7929" max="7929" width="13.625" style="1" customWidth="1"/>
    <col min="7930" max="7930" width="10.375" style="1"/>
    <col min="7931" max="7931" width="14.375" style="1" customWidth="1"/>
    <col min="7932" max="7932" width="10.375" style="1"/>
    <col min="7933" max="7933" width="11.625" style="1" bestFit="1" customWidth="1"/>
    <col min="7934" max="7936" width="10.375" style="1"/>
    <col min="7937" max="7937" width="12.875" style="1" customWidth="1"/>
    <col min="7938" max="7938" width="10.375" style="1"/>
    <col min="7939" max="7939" width="13" style="1" customWidth="1"/>
    <col min="7940" max="8178" width="10.375" style="1"/>
    <col min="8179" max="8179" width="33.25" style="1" customWidth="1"/>
    <col min="8180" max="8184" width="10.375" style="1"/>
    <col min="8185" max="8185" width="13.625" style="1" customWidth="1"/>
    <col min="8186" max="8186" width="10.375" style="1"/>
    <col min="8187" max="8187" width="14.375" style="1" customWidth="1"/>
    <col min="8188" max="8188" width="10.375" style="1"/>
    <col min="8189" max="8189" width="11.625" style="1" bestFit="1" customWidth="1"/>
    <col min="8190" max="8192" width="10.375" style="1"/>
    <col min="8193" max="8193" width="12.875" style="1" customWidth="1"/>
    <col min="8194" max="8194" width="10.375" style="1"/>
    <col min="8195" max="8195" width="13" style="1" customWidth="1"/>
    <col min="8196" max="8434" width="10.375" style="1"/>
    <col min="8435" max="8435" width="33.25" style="1" customWidth="1"/>
    <col min="8436" max="8440" width="10.375" style="1"/>
    <col min="8441" max="8441" width="13.625" style="1" customWidth="1"/>
    <col min="8442" max="8442" width="10.375" style="1"/>
    <col min="8443" max="8443" width="14.375" style="1" customWidth="1"/>
    <col min="8444" max="8444" width="10.375" style="1"/>
    <col min="8445" max="8445" width="11.625" style="1" bestFit="1" customWidth="1"/>
    <col min="8446" max="8448" width="10.375" style="1"/>
    <col min="8449" max="8449" width="12.875" style="1" customWidth="1"/>
    <col min="8450" max="8450" width="10.375" style="1"/>
    <col min="8451" max="8451" width="13" style="1" customWidth="1"/>
    <col min="8452" max="8690" width="10.375" style="1"/>
    <col min="8691" max="8691" width="33.25" style="1" customWidth="1"/>
    <col min="8692" max="8696" width="10.375" style="1"/>
    <col min="8697" max="8697" width="13.625" style="1" customWidth="1"/>
    <col min="8698" max="8698" width="10.375" style="1"/>
    <col min="8699" max="8699" width="14.375" style="1" customWidth="1"/>
    <col min="8700" max="8700" width="10.375" style="1"/>
    <col min="8701" max="8701" width="11.625" style="1" bestFit="1" customWidth="1"/>
    <col min="8702" max="8704" width="10.375" style="1"/>
    <col min="8705" max="8705" width="12.875" style="1" customWidth="1"/>
    <col min="8706" max="8706" width="10.375" style="1"/>
    <col min="8707" max="8707" width="13" style="1" customWidth="1"/>
    <col min="8708" max="8946" width="10.375" style="1"/>
    <col min="8947" max="8947" width="33.25" style="1" customWidth="1"/>
    <col min="8948" max="8952" width="10.375" style="1"/>
    <col min="8953" max="8953" width="13.625" style="1" customWidth="1"/>
    <col min="8954" max="8954" width="10.375" style="1"/>
    <col min="8955" max="8955" width="14.375" style="1" customWidth="1"/>
    <col min="8956" max="8956" width="10.375" style="1"/>
    <col min="8957" max="8957" width="11.625" style="1" bestFit="1" customWidth="1"/>
    <col min="8958" max="8960" width="10.375" style="1"/>
    <col min="8961" max="8961" width="12.875" style="1" customWidth="1"/>
    <col min="8962" max="8962" width="10.375" style="1"/>
    <col min="8963" max="8963" width="13" style="1" customWidth="1"/>
    <col min="8964" max="9202" width="10.375" style="1"/>
    <col min="9203" max="9203" width="33.25" style="1" customWidth="1"/>
    <col min="9204" max="9208" width="10.375" style="1"/>
    <col min="9209" max="9209" width="13.625" style="1" customWidth="1"/>
    <col min="9210" max="9210" width="10.375" style="1"/>
    <col min="9211" max="9211" width="14.375" style="1" customWidth="1"/>
    <col min="9212" max="9212" width="10.375" style="1"/>
    <col min="9213" max="9213" width="11.625" style="1" bestFit="1" customWidth="1"/>
    <col min="9214" max="9216" width="10.375" style="1"/>
    <col min="9217" max="9217" width="12.875" style="1" customWidth="1"/>
    <col min="9218" max="9218" width="10.375" style="1"/>
    <col min="9219" max="9219" width="13" style="1" customWidth="1"/>
    <col min="9220" max="9458" width="10.375" style="1"/>
    <col min="9459" max="9459" width="33.25" style="1" customWidth="1"/>
    <col min="9460" max="9464" width="10.375" style="1"/>
    <col min="9465" max="9465" width="13.625" style="1" customWidth="1"/>
    <col min="9466" max="9466" width="10.375" style="1"/>
    <col min="9467" max="9467" width="14.375" style="1" customWidth="1"/>
    <col min="9468" max="9468" width="10.375" style="1"/>
    <col min="9469" max="9469" width="11.625" style="1" bestFit="1" customWidth="1"/>
    <col min="9470" max="9472" width="10.375" style="1"/>
    <col min="9473" max="9473" width="12.875" style="1" customWidth="1"/>
    <col min="9474" max="9474" width="10.375" style="1"/>
    <col min="9475" max="9475" width="13" style="1" customWidth="1"/>
    <col min="9476" max="9714" width="10.375" style="1"/>
    <col min="9715" max="9715" width="33.25" style="1" customWidth="1"/>
    <col min="9716" max="9720" width="10.375" style="1"/>
    <col min="9721" max="9721" width="13.625" style="1" customWidth="1"/>
    <col min="9722" max="9722" width="10.375" style="1"/>
    <col min="9723" max="9723" width="14.375" style="1" customWidth="1"/>
    <col min="9724" max="9724" width="10.375" style="1"/>
    <col min="9725" max="9725" width="11.625" style="1" bestFit="1" customWidth="1"/>
    <col min="9726" max="9728" width="10.375" style="1"/>
    <col min="9729" max="9729" width="12.875" style="1" customWidth="1"/>
    <col min="9730" max="9730" width="10.375" style="1"/>
    <col min="9731" max="9731" width="13" style="1" customWidth="1"/>
    <col min="9732" max="9970" width="10.375" style="1"/>
    <col min="9971" max="9971" width="33.25" style="1" customWidth="1"/>
    <col min="9972" max="9976" width="10.375" style="1"/>
    <col min="9977" max="9977" width="13.625" style="1" customWidth="1"/>
    <col min="9978" max="9978" width="10.375" style="1"/>
    <col min="9979" max="9979" width="14.375" style="1" customWidth="1"/>
    <col min="9980" max="9980" width="10.375" style="1"/>
    <col min="9981" max="9981" width="11.625" style="1" bestFit="1" customWidth="1"/>
    <col min="9982" max="9984" width="10.375" style="1"/>
    <col min="9985" max="9985" width="12.875" style="1" customWidth="1"/>
    <col min="9986" max="9986" width="10.375" style="1"/>
    <col min="9987" max="9987" width="13" style="1" customWidth="1"/>
    <col min="9988" max="10226" width="10.375" style="1"/>
    <col min="10227" max="10227" width="33.25" style="1" customWidth="1"/>
    <col min="10228" max="10232" width="10.375" style="1"/>
    <col min="10233" max="10233" width="13.625" style="1" customWidth="1"/>
    <col min="10234" max="10234" width="10.375" style="1"/>
    <col min="10235" max="10235" width="14.375" style="1" customWidth="1"/>
    <col min="10236" max="10236" width="10.375" style="1"/>
    <col min="10237" max="10237" width="11.625" style="1" bestFit="1" customWidth="1"/>
    <col min="10238" max="10240" width="10.375" style="1"/>
    <col min="10241" max="10241" width="12.875" style="1" customWidth="1"/>
    <col min="10242" max="10242" width="10.375" style="1"/>
    <col min="10243" max="10243" width="13" style="1" customWidth="1"/>
    <col min="10244" max="10482" width="10.375" style="1"/>
    <col min="10483" max="10483" width="33.25" style="1" customWidth="1"/>
    <col min="10484" max="10488" width="10.375" style="1"/>
    <col min="10489" max="10489" width="13.625" style="1" customWidth="1"/>
    <col min="10490" max="10490" width="10.375" style="1"/>
    <col min="10491" max="10491" width="14.375" style="1" customWidth="1"/>
    <col min="10492" max="10492" width="10.375" style="1"/>
    <col min="10493" max="10493" width="11.625" style="1" bestFit="1" customWidth="1"/>
    <col min="10494" max="10496" width="10.375" style="1"/>
    <col min="10497" max="10497" width="12.875" style="1" customWidth="1"/>
    <col min="10498" max="10498" width="10.375" style="1"/>
    <col min="10499" max="10499" width="13" style="1" customWidth="1"/>
    <col min="10500" max="10738" width="10.375" style="1"/>
    <col min="10739" max="10739" width="33.25" style="1" customWidth="1"/>
    <col min="10740" max="10744" width="10.375" style="1"/>
    <col min="10745" max="10745" width="13.625" style="1" customWidth="1"/>
    <col min="10746" max="10746" width="10.375" style="1"/>
    <col min="10747" max="10747" width="14.375" style="1" customWidth="1"/>
    <col min="10748" max="10748" width="10.375" style="1"/>
    <col min="10749" max="10749" width="11.625" style="1" bestFit="1" customWidth="1"/>
    <col min="10750" max="10752" width="10.375" style="1"/>
    <col min="10753" max="10753" width="12.875" style="1" customWidth="1"/>
    <col min="10754" max="10754" width="10.375" style="1"/>
    <col min="10755" max="10755" width="13" style="1" customWidth="1"/>
    <col min="10756" max="10994" width="10.375" style="1"/>
    <col min="10995" max="10995" width="33.25" style="1" customWidth="1"/>
    <col min="10996" max="11000" width="10.375" style="1"/>
    <col min="11001" max="11001" width="13.625" style="1" customWidth="1"/>
    <col min="11002" max="11002" width="10.375" style="1"/>
    <col min="11003" max="11003" width="14.375" style="1" customWidth="1"/>
    <col min="11004" max="11004" width="10.375" style="1"/>
    <col min="11005" max="11005" width="11.625" style="1" bestFit="1" customWidth="1"/>
    <col min="11006" max="11008" width="10.375" style="1"/>
    <col min="11009" max="11009" width="12.875" style="1" customWidth="1"/>
    <col min="11010" max="11010" width="10.375" style="1"/>
    <col min="11011" max="11011" width="13" style="1" customWidth="1"/>
    <col min="11012" max="11250" width="10.375" style="1"/>
    <col min="11251" max="11251" width="33.25" style="1" customWidth="1"/>
    <col min="11252" max="11256" width="10.375" style="1"/>
    <col min="11257" max="11257" width="13.625" style="1" customWidth="1"/>
    <col min="11258" max="11258" width="10.375" style="1"/>
    <col min="11259" max="11259" width="14.375" style="1" customWidth="1"/>
    <col min="11260" max="11260" width="10.375" style="1"/>
    <col min="11261" max="11261" width="11.625" style="1" bestFit="1" customWidth="1"/>
    <col min="11262" max="11264" width="10.375" style="1"/>
    <col min="11265" max="11265" width="12.875" style="1" customWidth="1"/>
    <col min="11266" max="11266" width="10.375" style="1"/>
    <col min="11267" max="11267" width="13" style="1" customWidth="1"/>
    <col min="11268" max="11506" width="10.375" style="1"/>
    <col min="11507" max="11507" width="33.25" style="1" customWidth="1"/>
    <col min="11508" max="11512" width="10.375" style="1"/>
    <col min="11513" max="11513" width="13.625" style="1" customWidth="1"/>
    <col min="11514" max="11514" width="10.375" style="1"/>
    <col min="11515" max="11515" width="14.375" style="1" customWidth="1"/>
    <col min="11516" max="11516" width="10.375" style="1"/>
    <col min="11517" max="11517" width="11.625" style="1" bestFit="1" customWidth="1"/>
    <col min="11518" max="11520" width="10.375" style="1"/>
    <col min="11521" max="11521" width="12.875" style="1" customWidth="1"/>
    <col min="11522" max="11522" width="10.375" style="1"/>
    <col min="11523" max="11523" width="13" style="1" customWidth="1"/>
    <col min="11524" max="11762" width="10.375" style="1"/>
    <col min="11763" max="11763" width="33.25" style="1" customWidth="1"/>
    <col min="11764" max="11768" width="10.375" style="1"/>
    <col min="11769" max="11769" width="13.625" style="1" customWidth="1"/>
    <col min="11770" max="11770" width="10.375" style="1"/>
    <col min="11771" max="11771" width="14.375" style="1" customWidth="1"/>
    <col min="11772" max="11772" width="10.375" style="1"/>
    <col min="11773" max="11773" width="11.625" style="1" bestFit="1" customWidth="1"/>
    <col min="11774" max="11776" width="10.375" style="1"/>
    <col min="11777" max="11777" width="12.875" style="1" customWidth="1"/>
    <col min="11778" max="11778" width="10.375" style="1"/>
    <col min="11779" max="11779" width="13" style="1" customWidth="1"/>
    <col min="11780" max="12018" width="10.375" style="1"/>
    <col min="12019" max="12019" width="33.25" style="1" customWidth="1"/>
    <col min="12020" max="12024" width="10.375" style="1"/>
    <col min="12025" max="12025" width="13.625" style="1" customWidth="1"/>
    <col min="12026" max="12026" width="10.375" style="1"/>
    <col min="12027" max="12027" width="14.375" style="1" customWidth="1"/>
    <col min="12028" max="12028" width="10.375" style="1"/>
    <col min="12029" max="12029" width="11.625" style="1" bestFit="1" customWidth="1"/>
    <col min="12030" max="12032" width="10.375" style="1"/>
    <col min="12033" max="12033" width="12.875" style="1" customWidth="1"/>
    <col min="12034" max="12034" width="10.375" style="1"/>
    <col min="12035" max="12035" width="13" style="1" customWidth="1"/>
    <col min="12036" max="12274" width="10.375" style="1"/>
    <col min="12275" max="12275" width="33.25" style="1" customWidth="1"/>
    <col min="12276" max="12280" width="10.375" style="1"/>
    <col min="12281" max="12281" width="13.625" style="1" customWidth="1"/>
    <col min="12282" max="12282" width="10.375" style="1"/>
    <col min="12283" max="12283" width="14.375" style="1" customWidth="1"/>
    <col min="12284" max="12284" width="10.375" style="1"/>
    <col min="12285" max="12285" width="11.625" style="1" bestFit="1" customWidth="1"/>
    <col min="12286" max="12288" width="10.375" style="1"/>
    <col min="12289" max="12289" width="12.875" style="1" customWidth="1"/>
    <col min="12290" max="12290" width="10.375" style="1"/>
    <col min="12291" max="12291" width="13" style="1" customWidth="1"/>
    <col min="12292" max="12530" width="10.375" style="1"/>
    <col min="12531" max="12531" width="33.25" style="1" customWidth="1"/>
    <col min="12532" max="12536" width="10.375" style="1"/>
    <col min="12537" max="12537" width="13.625" style="1" customWidth="1"/>
    <col min="12538" max="12538" width="10.375" style="1"/>
    <col min="12539" max="12539" width="14.375" style="1" customWidth="1"/>
    <col min="12540" max="12540" width="10.375" style="1"/>
    <col min="12541" max="12541" width="11.625" style="1" bestFit="1" customWidth="1"/>
    <col min="12542" max="12544" width="10.375" style="1"/>
    <col min="12545" max="12545" width="12.875" style="1" customWidth="1"/>
    <col min="12546" max="12546" width="10.375" style="1"/>
    <col min="12547" max="12547" width="13" style="1" customWidth="1"/>
    <col min="12548" max="12786" width="10.375" style="1"/>
    <col min="12787" max="12787" width="33.25" style="1" customWidth="1"/>
    <col min="12788" max="12792" width="10.375" style="1"/>
    <col min="12793" max="12793" width="13.625" style="1" customWidth="1"/>
    <col min="12794" max="12794" width="10.375" style="1"/>
    <col min="12795" max="12795" width="14.375" style="1" customWidth="1"/>
    <col min="12796" max="12796" width="10.375" style="1"/>
    <col min="12797" max="12797" width="11.625" style="1" bestFit="1" customWidth="1"/>
    <col min="12798" max="12800" width="10.375" style="1"/>
    <col min="12801" max="12801" width="12.875" style="1" customWidth="1"/>
    <col min="12802" max="12802" width="10.375" style="1"/>
    <col min="12803" max="12803" width="13" style="1" customWidth="1"/>
    <col min="12804" max="13042" width="10.375" style="1"/>
    <col min="13043" max="13043" width="33.25" style="1" customWidth="1"/>
    <col min="13044" max="13048" width="10.375" style="1"/>
    <col min="13049" max="13049" width="13.625" style="1" customWidth="1"/>
    <col min="13050" max="13050" width="10.375" style="1"/>
    <col min="13051" max="13051" width="14.375" style="1" customWidth="1"/>
    <col min="13052" max="13052" width="10.375" style="1"/>
    <col min="13053" max="13053" width="11.625" style="1" bestFit="1" customWidth="1"/>
    <col min="13054" max="13056" width="10.375" style="1"/>
    <col min="13057" max="13057" width="12.875" style="1" customWidth="1"/>
    <col min="13058" max="13058" width="10.375" style="1"/>
    <col min="13059" max="13059" width="13" style="1" customWidth="1"/>
    <col min="13060" max="13298" width="10.375" style="1"/>
    <col min="13299" max="13299" width="33.25" style="1" customWidth="1"/>
    <col min="13300" max="13304" width="10.375" style="1"/>
    <col min="13305" max="13305" width="13.625" style="1" customWidth="1"/>
    <col min="13306" max="13306" width="10.375" style="1"/>
    <col min="13307" max="13307" width="14.375" style="1" customWidth="1"/>
    <col min="13308" max="13308" width="10.375" style="1"/>
    <col min="13309" max="13309" width="11.625" style="1" bestFit="1" customWidth="1"/>
    <col min="13310" max="13312" width="10.375" style="1"/>
    <col min="13313" max="13313" width="12.875" style="1" customWidth="1"/>
    <col min="13314" max="13314" width="10.375" style="1"/>
    <col min="13315" max="13315" width="13" style="1" customWidth="1"/>
    <col min="13316" max="13554" width="10.375" style="1"/>
    <col min="13555" max="13555" width="33.25" style="1" customWidth="1"/>
    <col min="13556" max="13560" width="10.375" style="1"/>
    <col min="13561" max="13561" width="13.625" style="1" customWidth="1"/>
    <col min="13562" max="13562" width="10.375" style="1"/>
    <col min="13563" max="13563" width="14.375" style="1" customWidth="1"/>
    <col min="13564" max="13564" width="10.375" style="1"/>
    <col min="13565" max="13565" width="11.625" style="1" bestFit="1" customWidth="1"/>
    <col min="13566" max="13568" width="10.375" style="1"/>
    <col min="13569" max="13569" width="12.875" style="1" customWidth="1"/>
    <col min="13570" max="13570" width="10.375" style="1"/>
    <col min="13571" max="13571" width="13" style="1" customWidth="1"/>
    <col min="13572" max="13810" width="10.375" style="1"/>
    <col min="13811" max="13811" width="33.25" style="1" customWidth="1"/>
    <col min="13812" max="13816" width="10.375" style="1"/>
    <col min="13817" max="13817" width="13.625" style="1" customWidth="1"/>
    <col min="13818" max="13818" width="10.375" style="1"/>
    <col min="13819" max="13819" width="14.375" style="1" customWidth="1"/>
    <col min="13820" max="13820" width="10.375" style="1"/>
    <col min="13821" max="13821" width="11.625" style="1" bestFit="1" customWidth="1"/>
    <col min="13822" max="13824" width="10.375" style="1"/>
    <col min="13825" max="13825" width="12.875" style="1" customWidth="1"/>
    <col min="13826" max="13826" width="10.375" style="1"/>
    <col min="13827" max="13827" width="13" style="1" customWidth="1"/>
    <col min="13828" max="14066" width="10.375" style="1"/>
    <col min="14067" max="14067" width="33.25" style="1" customWidth="1"/>
    <col min="14068" max="14072" width="10.375" style="1"/>
    <col min="14073" max="14073" width="13.625" style="1" customWidth="1"/>
    <col min="14074" max="14074" width="10.375" style="1"/>
    <col min="14075" max="14075" width="14.375" style="1" customWidth="1"/>
    <col min="14076" max="14076" width="10.375" style="1"/>
    <col min="14077" max="14077" width="11.625" style="1" bestFit="1" customWidth="1"/>
    <col min="14078" max="14080" width="10.375" style="1"/>
    <col min="14081" max="14081" width="12.875" style="1" customWidth="1"/>
    <col min="14082" max="14082" width="10.375" style="1"/>
    <col min="14083" max="14083" width="13" style="1" customWidth="1"/>
    <col min="14084" max="14322" width="10.375" style="1"/>
    <col min="14323" max="14323" width="33.25" style="1" customWidth="1"/>
    <col min="14324" max="14328" width="10.375" style="1"/>
    <col min="14329" max="14329" width="13.625" style="1" customWidth="1"/>
    <col min="14330" max="14330" width="10.375" style="1"/>
    <col min="14331" max="14331" width="14.375" style="1" customWidth="1"/>
    <col min="14332" max="14332" width="10.375" style="1"/>
    <col min="14333" max="14333" width="11.625" style="1" bestFit="1" customWidth="1"/>
    <col min="14334" max="14336" width="10.375" style="1"/>
    <col min="14337" max="14337" width="12.875" style="1" customWidth="1"/>
    <col min="14338" max="14338" width="10.375" style="1"/>
    <col min="14339" max="14339" width="13" style="1" customWidth="1"/>
    <col min="14340" max="14578" width="10.375" style="1"/>
    <col min="14579" max="14579" width="33.25" style="1" customWidth="1"/>
    <col min="14580" max="14584" width="10.375" style="1"/>
    <col min="14585" max="14585" width="13.625" style="1" customWidth="1"/>
    <col min="14586" max="14586" width="10.375" style="1"/>
    <col min="14587" max="14587" width="14.375" style="1" customWidth="1"/>
    <col min="14588" max="14588" width="10.375" style="1"/>
    <col min="14589" max="14589" width="11.625" style="1" bestFit="1" customWidth="1"/>
    <col min="14590" max="14592" width="10.375" style="1"/>
    <col min="14593" max="14593" width="12.875" style="1" customWidth="1"/>
    <col min="14594" max="14594" width="10.375" style="1"/>
    <col min="14595" max="14595" width="13" style="1" customWidth="1"/>
    <col min="14596" max="14834" width="10.375" style="1"/>
    <col min="14835" max="14835" width="33.25" style="1" customWidth="1"/>
    <col min="14836" max="14840" width="10.375" style="1"/>
    <col min="14841" max="14841" width="13.625" style="1" customWidth="1"/>
    <col min="14842" max="14842" width="10.375" style="1"/>
    <col min="14843" max="14843" width="14.375" style="1" customWidth="1"/>
    <col min="14844" max="14844" width="10.375" style="1"/>
    <col min="14845" max="14845" width="11.625" style="1" bestFit="1" customWidth="1"/>
    <col min="14846" max="14848" width="10.375" style="1"/>
    <col min="14849" max="14849" width="12.875" style="1" customWidth="1"/>
    <col min="14850" max="14850" width="10.375" style="1"/>
    <col min="14851" max="14851" width="13" style="1" customWidth="1"/>
    <col min="14852" max="15090" width="10.375" style="1"/>
    <col min="15091" max="15091" width="33.25" style="1" customWidth="1"/>
    <col min="15092" max="15096" width="10.375" style="1"/>
    <col min="15097" max="15097" width="13.625" style="1" customWidth="1"/>
    <col min="15098" max="15098" width="10.375" style="1"/>
    <col min="15099" max="15099" width="14.375" style="1" customWidth="1"/>
    <col min="15100" max="15100" width="10.375" style="1"/>
    <col min="15101" max="15101" width="11.625" style="1" bestFit="1" customWidth="1"/>
    <col min="15102" max="15104" width="10.375" style="1"/>
    <col min="15105" max="15105" width="12.875" style="1" customWidth="1"/>
    <col min="15106" max="15106" width="10.375" style="1"/>
    <col min="15107" max="15107" width="13" style="1" customWidth="1"/>
    <col min="15108" max="15346" width="10.375" style="1"/>
    <col min="15347" max="15347" width="33.25" style="1" customWidth="1"/>
    <col min="15348" max="15352" width="10.375" style="1"/>
    <col min="15353" max="15353" width="13.625" style="1" customWidth="1"/>
    <col min="15354" max="15354" width="10.375" style="1"/>
    <col min="15355" max="15355" width="14.375" style="1" customWidth="1"/>
    <col min="15356" max="15356" width="10.375" style="1"/>
    <col min="15357" max="15357" width="11.625" style="1" bestFit="1" customWidth="1"/>
    <col min="15358" max="15360" width="10.375" style="1"/>
    <col min="15361" max="15361" width="12.875" style="1" customWidth="1"/>
    <col min="15362" max="15362" width="10.375" style="1"/>
    <col min="15363" max="15363" width="13" style="1" customWidth="1"/>
    <col min="15364" max="15602" width="10.375" style="1"/>
    <col min="15603" max="15603" width="33.25" style="1" customWidth="1"/>
    <col min="15604" max="15608" width="10.375" style="1"/>
    <col min="15609" max="15609" width="13.625" style="1" customWidth="1"/>
    <col min="15610" max="15610" width="10.375" style="1"/>
    <col min="15611" max="15611" width="14.375" style="1" customWidth="1"/>
    <col min="15612" max="15612" width="10.375" style="1"/>
    <col min="15613" max="15613" width="11.625" style="1" bestFit="1" customWidth="1"/>
    <col min="15614" max="15616" width="10.375" style="1"/>
    <col min="15617" max="15617" width="12.875" style="1" customWidth="1"/>
    <col min="15618" max="15618" width="10.375" style="1"/>
    <col min="15619" max="15619" width="13" style="1" customWidth="1"/>
    <col min="15620" max="15858" width="10.375" style="1"/>
    <col min="15859" max="15859" width="33.25" style="1" customWidth="1"/>
    <col min="15860" max="15864" width="10.375" style="1"/>
    <col min="15865" max="15865" width="13.625" style="1" customWidth="1"/>
    <col min="15866" max="15866" width="10.375" style="1"/>
    <col min="15867" max="15867" width="14.375" style="1" customWidth="1"/>
    <col min="15868" max="15868" width="10.375" style="1"/>
    <col min="15869" max="15869" width="11.625" style="1" bestFit="1" customWidth="1"/>
    <col min="15870" max="15872" width="10.375" style="1"/>
    <col min="15873" max="15873" width="12.875" style="1" customWidth="1"/>
    <col min="15874" max="15874" width="10.375" style="1"/>
    <col min="15875" max="15875" width="13" style="1" customWidth="1"/>
    <col min="15876" max="16114" width="10.375" style="1"/>
    <col min="16115" max="16115" width="33.25" style="1" customWidth="1"/>
    <col min="16116" max="16120" width="10.375" style="1"/>
    <col min="16121" max="16121" width="13.625" style="1" customWidth="1"/>
    <col min="16122" max="16122" width="10.375" style="1"/>
    <col min="16123" max="16123" width="14.375" style="1" customWidth="1"/>
    <col min="16124" max="16124" width="10.375" style="1"/>
    <col min="16125" max="16125" width="11.625" style="1" bestFit="1" customWidth="1"/>
    <col min="16126" max="16128" width="10.375" style="1"/>
    <col min="16129" max="16129" width="12.875" style="1" customWidth="1"/>
    <col min="16130" max="16130" width="10.375" style="1"/>
    <col min="16131" max="16131" width="13" style="1" customWidth="1"/>
    <col min="16132" max="16384" width="10.375" style="1"/>
  </cols>
  <sheetData>
    <row r="1" spans="1:6" ht="18.600000000000001">
      <c r="A1" s="175" t="s">
        <v>0</v>
      </c>
      <c r="B1" s="175"/>
      <c r="C1" s="175"/>
      <c r="D1" s="175"/>
      <c r="E1" s="175"/>
      <c r="F1" s="175"/>
    </row>
    <row r="2" spans="1:6" ht="18.600000000000001">
      <c r="A2" s="176" t="s">
        <v>1</v>
      </c>
      <c r="B2" s="176"/>
      <c r="C2" s="176"/>
      <c r="D2" s="176"/>
      <c r="E2" s="176"/>
      <c r="F2" s="176"/>
    </row>
    <row r="3" spans="1:6" ht="18.600000000000001">
      <c r="A3" s="177" t="s">
        <v>62</v>
      </c>
      <c r="B3" s="177"/>
      <c r="C3" s="177"/>
      <c r="D3" s="177"/>
      <c r="E3" s="177"/>
      <c r="F3" s="177"/>
    </row>
    <row r="4" spans="1:6" ht="18.600000000000001">
      <c r="A4" s="178" t="s">
        <v>3</v>
      </c>
      <c r="B4" s="173" t="s">
        <v>4</v>
      </c>
      <c r="C4" s="173" t="s">
        <v>5</v>
      </c>
      <c r="D4" s="214" t="s">
        <v>8</v>
      </c>
      <c r="E4" s="215"/>
      <c r="F4" s="216"/>
    </row>
    <row r="5" spans="1:6">
      <c r="A5" s="179"/>
      <c r="B5" s="181"/>
      <c r="C5" s="181"/>
      <c r="D5" s="207" t="s">
        <v>14</v>
      </c>
      <c r="E5" s="209" t="s">
        <v>15</v>
      </c>
      <c r="F5" s="205" t="s">
        <v>16</v>
      </c>
    </row>
    <row r="6" spans="1:6">
      <c r="A6" s="180"/>
      <c r="B6" s="174"/>
      <c r="C6" s="174"/>
      <c r="D6" s="208"/>
      <c r="E6" s="210"/>
      <c r="F6" s="206"/>
    </row>
    <row r="7" spans="1:6" ht="18.600000000000001">
      <c r="A7" s="217" t="s">
        <v>57</v>
      </c>
      <c r="B7" s="218"/>
      <c r="C7" s="219"/>
      <c r="D7" s="142"/>
      <c r="E7" s="143"/>
      <c r="F7" s="144"/>
    </row>
    <row r="8" spans="1:6" ht="18.600000000000001">
      <c r="A8" s="140"/>
      <c r="B8" s="141"/>
      <c r="C8" s="141"/>
      <c r="D8" s="142"/>
      <c r="E8" s="143"/>
      <c r="F8" s="144"/>
    </row>
    <row r="9" spans="1:6" ht="23.25" customHeight="1" thickBot="1">
      <c r="A9" s="220" t="s">
        <v>53</v>
      </c>
      <c r="B9" s="220"/>
      <c r="C9" s="221"/>
      <c r="D9" s="114"/>
      <c r="E9" s="114"/>
      <c r="F9" s="107">
        <v>0</v>
      </c>
    </row>
    <row r="10" spans="1:6" ht="19.2" thickTop="1">
      <c r="A10" s="120"/>
      <c r="B10" s="121"/>
      <c r="C10" s="121"/>
      <c r="D10" s="122"/>
      <c r="E10" s="123"/>
      <c r="F10" s="124"/>
    </row>
    <row r="11" spans="1:6" ht="6.75" customHeight="1">
      <c r="A11" s="120"/>
      <c r="B11" s="121"/>
      <c r="C11" s="121"/>
      <c r="D11" s="122"/>
      <c r="E11" s="123"/>
      <c r="F11" s="124"/>
    </row>
    <row r="12" spans="1:6" ht="18.600000000000001">
      <c r="A12" s="120"/>
      <c r="B12" s="121"/>
      <c r="C12" s="121"/>
      <c r="D12" s="122"/>
      <c r="E12" s="123"/>
      <c r="F12" s="124"/>
    </row>
    <row r="13" spans="1:6" ht="18.600000000000001">
      <c r="B13" s="128"/>
      <c r="C13" s="121"/>
      <c r="D13" s="122"/>
      <c r="E13" s="123"/>
      <c r="F13" s="124"/>
    </row>
    <row r="14" spans="1:6" ht="18.600000000000001">
      <c r="A14" s="129"/>
      <c r="B14" s="130"/>
      <c r="C14" s="129"/>
      <c r="D14" s="134"/>
      <c r="E14" s="135"/>
      <c r="F14" s="136"/>
    </row>
  </sheetData>
  <mergeCells count="12">
    <mergeCell ref="A7:C7"/>
    <mergeCell ref="A9:C9"/>
    <mergeCell ref="A1:F1"/>
    <mergeCell ref="A2:F2"/>
    <mergeCell ref="A3:F3"/>
    <mergeCell ref="A4:A6"/>
    <mergeCell ref="B4:B6"/>
    <mergeCell ref="C4:C6"/>
    <mergeCell ref="D4:F4"/>
    <mergeCell ref="D5:D6"/>
    <mergeCell ref="E5:E6"/>
    <mergeCell ref="F5:F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93781-618C-4044-A3F7-1A7C510D92D9}">
  <sheetPr>
    <tabColor rgb="FF92D050"/>
  </sheetPr>
  <dimension ref="A1:F21"/>
  <sheetViews>
    <sheetView workbookViewId="0">
      <pane ySplit="6" topLeftCell="A7" activePane="bottomLeft" state="frozen"/>
      <selection pane="bottomLeft" activeCell="D30" sqref="D30"/>
    </sheetView>
  </sheetViews>
  <sheetFormatPr defaultColWidth="10.375" defaultRowHeight="14.4"/>
  <cols>
    <col min="1" max="1" width="10.375" style="1"/>
    <col min="2" max="2" width="33.25" style="1" customWidth="1"/>
    <col min="3" max="5" width="10.375" style="1"/>
    <col min="6" max="6" width="13" style="1" customWidth="1"/>
    <col min="7" max="245" width="10.375" style="1"/>
    <col min="246" max="246" width="33.25" style="1" customWidth="1"/>
    <col min="247" max="251" width="10.375" style="1"/>
    <col min="252" max="252" width="13.625" style="1" customWidth="1"/>
    <col min="253" max="253" width="10.375" style="1"/>
    <col min="254" max="254" width="14.375" style="1" customWidth="1"/>
    <col min="255" max="255" width="10.375" style="1"/>
    <col min="256" max="256" width="11.625" style="1" bestFit="1" customWidth="1"/>
    <col min="257" max="259" width="10.375" style="1"/>
    <col min="260" max="260" width="12.875" style="1" customWidth="1"/>
    <col min="261" max="261" width="10.375" style="1"/>
    <col min="262" max="262" width="13" style="1" customWidth="1"/>
    <col min="263" max="501" width="10.375" style="1"/>
    <col min="502" max="502" width="33.25" style="1" customWidth="1"/>
    <col min="503" max="507" width="10.375" style="1"/>
    <col min="508" max="508" width="13.625" style="1" customWidth="1"/>
    <col min="509" max="509" width="10.375" style="1"/>
    <col min="510" max="510" width="14.375" style="1" customWidth="1"/>
    <col min="511" max="511" width="10.375" style="1"/>
    <col min="512" max="512" width="11.625" style="1" bestFit="1" customWidth="1"/>
    <col min="513" max="515" width="10.375" style="1"/>
    <col min="516" max="516" width="12.875" style="1" customWidth="1"/>
    <col min="517" max="517" width="10.375" style="1"/>
    <col min="518" max="518" width="13" style="1" customWidth="1"/>
    <col min="519" max="757" width="10.375" style="1"/>
    <col min="758" max="758" width="33.25" style="1" customWidth="1"/>
    <col min="759" max="763" width="10.375" style="1"/>
    <col min="764" max="764" width="13.625" style="1" customWidth="1"/>
    <col min="765" max="765" width="10.375" style="1"/>
    <col min="766" max="766" width="14.375" style="1" customWidth="1"/>
    <col min="767" max="767" width="10.375" style="1"/>
    <col min="768" max="768" width="11.625" style="1" bestFit="1" customWidth="1"/>
    <col min="769" max="771" width="10.375" style="1"/>
    <col min="772" max="772" width="12.875" style="1" customWidth="1"/>
    <col min="773" max="773" width="10.375" style="1"/>
    <col min="774" max="774" width="13" style="1" customWidth="1"/>
    <col min="775" max="1013" width="10.375" style="1"/>
    <col min="1014" max="1014" width="33.25" style="1" customWidth="1"/>
    <col min="1015" max="1019" width="10.375" style="1"/>
    <col min="1020" max="1020" width="13.625" style="1" customWidth="1"/>
    <col min="1021" max="1021" width="10.375" style="1"/>
    <col min="1022" max="1022" width="14.375" style="1" customWidth="1"/>
    <col min="1023" max="1023" width="10.375" style="1"/>
    <col min="1024" max="1024" width="11.625" style="1" bestFit="1" customWidth="1"/>
    <col min="1025" max="1027" width="10.375" style="1"/>
    <col min="1028" max="1028" width="12.875" style="1" customWidth="1"/>
    <col min="1029" max="1029" width="10.375" style="1"/>
    <col min="1030" max="1030" width="13" style="1" customWidth="1"/>
    <col min="1031" max="1269" width="10.375" style="1"/>
    <col min="1270" max="1270" width="33.25" style="1" customWidth="1"/>
    <col min="1271" max="1275" width="10.375" style="1"/>
    <col min="1276" max="1276" width="13.625" style="1" customWidth="1"/>
    <col min="1277" max="1277" width="10.375" style="1"/>
    <col min="1278" max="1278" width="14.375" style="1" customWidth="1"/>
    <col min="1279" max="1279" width="10.375" style="1"/>
    <col min="1280" max="1280" width="11.625" style="1" bestFit="1" customWidth="1"/>
    <col min="1281" max="1283" width="10.375" style="1"/>
    <col min="1284" max="1284" width="12.875" style="1" customWidth="1"/>
    <col min="1285" max="1285" width="10.375" style="1"/>
    <col min="1286" max="1286" width="13" style="1" customWidth="1"/>
    <col min="1287" max="1525" width="10.375" style="1"/>
    <col min="1526" max="1526" width="33.25" style="1" customWidth="1"/>
    <col min="1527" max="1531" width="10.375" style="1"/>
    <col min="1532" max="1532" width="13.625" style="1" customWidth="1"/>
    <col min="1533" max="1533" width="10.375" style="1"/>
    <col min="1534" max="1534" width="14.375" style="1" customWidth="1"/>
    <col min="1535" max="1535" width="10.375" style="1"/>
    <col min="1536" max="1536" width="11.625" style="1" bestFit="1" customWidth="1"/>
    <col min="1537" max="1539" width="10.375" style="1"/>
    <col min="1540" max="1540" width="12.875" style="1" customWidth="1"/>
    <col min="1541" max="1541" width="10.375" style="1"/>
    <col min="1542" max="1542" width="13" style="1" customWidth="1"/>
    <col min="1543" max="1781" width="10.375" style="1"/>
    <col min="1782" max="1782" width="33.25" style="1" customWidth="1"/>
    <col min="1783" max="1787" width="10.375" style="1"/>
    <col min="1788" max="1788" width="13.625" style="1" customWidth="1"/>
    <col min="1789" max="1789" width="10.375" style="1"/>
    <col min="1790" max="1790" width="14.375" style="1" customWidth="1"/>
    <col min="1791" max="1791" width="10.375" style="1"/>
    <col min="1792" max="1792" width="11.625" style="1" bestFit="1" customWidth="1"/>
    <col min="1793" max="1795" width="10.375" style="1"/>
    <col min="1796" max="1796" width="12.875" style="1" customWidth="1"/>
    <col min="1797" max="1797" width="10.375" style="1"/>
    <col min="1798" max="1798" width="13" style="1" customWidth="1"/>
    <col min="1799" max="2037" width="10.375" style="1"/>
    <col min="2038" max="2038" width="33.25" style="1" customWidth="1"/>
    <col min="2039" max="2043" width="10.375" style="1"/>
    <col min="2044" max="2044" width="13.625" style="1" customWidth="1"/>
    <col min="2045" max="2045" width="10.375" style="1"/>
    <col min="2046" max="2046" width="14.375" style="1" customWidth="1"/>
    <col min="2047" max="2047" width="10.375" style="1"/>
    <col min="2048" max="2048" width="11.625" style="1" bestFit="1" customWidth="1"/>
    <col min="2049" max="2051" width="10.375" style="1"/>
    <col min="2052" max="2052" width="12.875" style="1" customWidth="1"/>
    <col min="2053" max="2053" width="10.375" style="1"/>
    <col min="2054" max="2054" width="13" style="1" customWidth="1"/>
    <col min="2055" max="2293" width="10.375" style="1"/>
    <col min="2294" max="2294" width="33.25" style="1" customWidth="1"/>
    <col min="2295" max="2299" width="10.375" style="1"/>
    <col min="2300" max="2300" width="13.625" style="1" customWidth="1"/>
    <col min="2301" max="2301" width="10.375" style="1"/>
    <col min="2302" max="2302" width="14.375" style="1" customWidth="1"/>
    <col min="2303" max="2303" width="10.375" style="1"/>
    <col min="2304" max="2304" width="11.625" style="1" bestFit="1" customWidth="1"/>
    <col min="2305" max="2307" width="10.375" style="1"/>
    <col min="2308" max="2308" width="12.875" style="1" customWidth="1"/>
    <col min="2309" max="2309" width="10.375" style="1"/>
    <col min="2310" max="2310" width="13" style="1" customWidth="1"/>
    <col min="2311" max="2549" width="10.375" style="1"/>
    <col min="2550" max="2550" width="33.25" style="1" customWidth="1"/>
    <col min="2551" max="2555" width="10.375" style="1"/>
    <col min="2556" max="2556" width="13.625" style="1" customWidth="1"/>
    <col min="2557" max="2557" width="10.375" style="1"/>
    <col min="2558" max="2558" width="14.375" style="1" customWidth="1"/>
    <col min="2559" max="2559" width="10.375" style="1"/>
    <col min="2560" max="2560" width="11.625" style="1" bestFit="1" customWidth="1"/>
    <col min="2561" max="2563" width="10.375" style="1"/>
    <col min="2564" max="2564" width="12.875" style="1" customWidth="1"/>
    <col min="2565" max="2565" width="10.375" style="1"/>
    <col min="2566" max="2566" width="13" style="1" customWidth="1"/>
    <col min="2567" max="2805" width="10.375" style="1"/>
    <col min="2806" max="2806" width="33.25" style="1" customWidth="1"/>
    <col min="2807" max="2811" width="10.375" style="1"/>
    <col min="2812" max="2812" width="13.625" style="1" customWidth="1"/>
    <col min="2813" max="2813" width="10.375" style="1"/>
    <col min="2814" max="2814" width="14.375" style="1" customWidth="1"/>
    <col min="2815" max="2815" width="10.375" style="1"/>
    <col min="2816" max="2816" width="11.625" style="1" bestFit="1" customWidth="1"/>
    <col min="2817" max="2819" width="10.375" style="1"/>
    <col min="2820" max="2820" width="12.875" style="1" customWidth="1"/>
    <col min="2821" max="2821" width="10.375" style="1"/>
    <col min="2822" max="2822" width="13" style="1" customWidth="1"/>
    <col min="2823" max="3061" width="10.375" style="1"/>
    <col min="3062" max="3062" width="33.25" style="1" customWidth="1"/>
    <col min="3063" max="3067" width="10.375" style="1"/>
    <col min="3068" max="3068" width="13.625" style="1" customWidth="1"/>
    <col min="3069" max="3069" width="10.375" style="1"/>
    <col min="3070" max="3070" width="14.375" style="1" customWidth="1"/>
    <col min="3071" max="3071" width="10.375" style="1"/>
    <col min="3072" max="3072" width="11.625" style="1" bestFit="1" customWidth="1"/>
    <col min="3073" max="3075" width="10.375" style="1"/>
    <col min="3076" max="3076" width="12.875" style="1" customWidth="1"/>
    <col min="3077" max="3077" width="10.375" style="1"/>
    <col min="3078" max="3078" width="13" style="1" customWidth="1"/>
    <col min="3079" max="3317" width="10.375" style="1"/>
    <col min="3318" max="3318" width="33.25" style="1" customWidth="1"/>
    <col min="3319" max="3323" width="10.375" style="1"/>
    <col min="3324" max="3324" width="13.625" style="1" customWidth="1"/>
    <col min="3325" max="3325" width="10.375" style="1"/>
    <col min="3326" max="3326" width="14.375" style="1" customWidth="1"/>
    <col min="3327" max="3327" width="10.375" style="1"/>
    <col min="3328" max="3328" width="11.625" style="1" bestFit="1" customWidth="1"/>
    <col min="3329" max="3331" width="10.375" style="1"/>
    <col min="3332" max="3332" width="12.875" style="1" customWidth="1"/>
    <col min="3333" max="3333" width="10.375" style="1"/>
    <col min="3334" max="3334" width="13" style="1" customWidth="1"/>
    <col min="3335" max="3573" width="10.375" style="1"/>
    <col min="3574" max="3574" width="33.25" style="1" customWidth="1"/>
    <col min="3575" max="3579" width="10.375" style="1"/>
    <col min="3580" max="3580" width="13.625" style="1" customWidth="1"/>
    <col min="3581" max="3581" width="10.375" style="1"/>
    <col min="3582" max="3582" width="14.375" style="1" customWidth="1"/>
    <col min="3583" max="3583" width="10.375" style="1"/>
    <col min="3584" max="3584" width="11.625" style="1" bestFit="1" customWidth="1"/>
    <col min="3585" max="3587" width="10.375" style="1"/>
    <col min="3588" max="3588" width="12.875" style="1" customWidth="1"/>
    <col min="3589" max="3589" width="10.375" style="1"/>
    <col min="3590" max="3590" width="13" style="1" customWidth="1"/>
    <col min="3591" max="3829" width="10.375" style="1"/>
    <col min="3830" max="3830" width="33.25" style="1" customWidth="1"/>
    <col min="3831" max="3835" width="10.375" style="1"/>
    <col min="3836" max="3836" width="13.625" style="1" customWidth="1"/>
    <col min="3837" max="3837" width="10.375" style="1"/>
    <col min="3838" max="3838" width="14.375" style="1" customWidth="1"/>
    <col min="3839" max="3839" width="10.375" style="1"/>
    <col min="3840" max="3840" width="11.625" style="1" bestFit="1" customWidth="1"/>
    <col min="3841" max="3843" width="10.375" style="1"/>
    <col min="3844" max="3844" width="12.875" style="1" customWidth="1"/>
    <col min="3845" max="3845" width="10.375" style="1"/>
    <col min="3846" max="3846" width="13" style="1" customWidth="1"/>
    <col min="3847" max="4085" width="10.375" style="1"/>
    <col min="4086" max="4086" width="33.25" style="1" customWidth="1"/>
    <col min="4087" max="4091" width="10.375" style="1"/>
    <col min="4092" max="4092" width="13.625" style="1" customWidth="1"/>
    <col min="4093" max="4093" width="10.375" style="1"/>
    <col min="4094" max="4094" width="14.375" style="1" customWidth="1"/>
    <col min="4095" max="4095" width="10.375" style="1"/>
    <col min="4096" max="4096" width="11.625" style="1" bestFit="1" customWidth="1"/>
    <col min="4097" max="4099" width="10.375" style="1"/>
    <col min="4100" max="4100" width="12.875" style="1" customWidth="1"/>
    <col min="4101" max="4101" width="10.375" style="1"/>
    <col min="4102" max="4102" width="13" style="1" customWidth="1"/>
    <col min="4103" max="4341" width="10.375" style="1"/>
    <col min="4342" max="4342" width="33.25" style="1" customWidth="1"/>
    <col min="4343" max="4347" width="10.375" style="1"/>
    <col min="4348" max="4348" width="13.625" style="1" customWidth="1"/>
    <col min="4349" max="4349" width="10.375" style="1"/>
    <col min="4350" max="4350" width="14.375" style="1" customWidth="1"/>
    <col min="4351" max="4351" width="10.375" style="1"/>
    <col min="4352" max="4352" width="11.625" style="1" bestFit="1" customWidth="1"/>
    <col min="4353" max="4355" width="10.375" style="1"/>
    <col min="4356" max="4356" width="12.875" style="1" customWidth="1"/>
    <col min="4357" max="4357" width="10.375" style="1"/>
    <col min="4358" max="4358" width="13" style="1" customWidth="1"/>
    <col min="4359" max="4597" width="10.375" style="1"/>
    <col min="4598" max="4598" width="33.25" style="1" customWidth="1"/>
    <col min="4599" max="4603" width="10.375" style="1"/>
    <col min="4604" max="4604" width="13.625" style="1" customWidth="1"/>
    <col min="4605" max="4605" width="10.375" style="1"/>
    <col min="4606" max="4606" width="14.375" style="1" customWidth="1"/>
    <col min="4607" max="4607" width="10.375" style="1"/>
    <col min="4608" max="4608" width="11.625" style="1" bestFit="1" customWidth="1"/>
    <col min="4609" max="4611" width="10.375" style="1"/>
    <col min="4612" max="4612" width="12.875" style="1" customWidth="1"/>
    <col min="4613" max="4613" width="10.375" style="1"/>
    <col min="4614" max="4614" width="13" style="1" customWidth="1"/>
    <col min="4615" max="4853" width="10.375" style="1"/>
    <col min="4854" max="4854" width="33.25" style="1" customWidth="1"/>
    <col min="4855" max="4859" width="10.375" style="1"/>
    <col min="4860" max="4860" width="13.625" style="1" customWidth="1"/>
    <col min="4861" max="4861" width="10.375" style="1"/>
    <col min="4862" max="4862" width="14.375" style="1" customWidth="1"/>
    <col min="4863" max="4863" width="10.375" style="1"/>
    <col min="4864" max="4864" width="11.625" style="1" bestFit="1" customWidth="1"/>
    <col min="4865" max="4867" width="10.375" style="1"/>
    <col min="4868" max="4868" width="12.875" style="1" customWidth="1"/>
    <col min="4869" max="4869" width="10.375" style="1"/>
    <col min="4870" max="4870" width="13" style="1" customWidth="1"/>
    <col min="4871" max="5109" width="10.375" style="1"/>
    <col min="5110" max="5110" width="33.25" style="1" customWidth="1"/>
    <col min="5111" max="5115" width="10.375" style="1"/>
    <col min="5116" max="5116" width="13.625" style="1" customWidth="1"/>
    <col min="5117" max="5117" width="10.375" style="1"/>
    <col min="5118" max="5118" width="14.375" style="1" customWidth="1"/>
    <col min="5119" max="5119" width="10.375" style="1"/>
    <col min="5120" max="5120" width="11.625" style="1" bestFit="1" customWidth="1"/>
    <col min="5121" max="5123" width="10.375" style="1"/>
    <col min="5124" max="5124" width="12.875" style="1" customWidth="1"/>
    <col min="5125" max="5125" width="10.375" style="1"/>
    <col min="5126" max="5126" width="13" style="1" customWidth="1"/>
    <col min="5127" max="5365" width="10.375" style="1"/>
    <col min="5366" max="5366" width="33.25" style="1" customWidth="1"/>
    <col min="5367" max="5371" width="10.375" style="1"/>
    <col min="5372" max="5372" width="13.625" style="1" customWidth="1"/>
    <col min="5373" max="5373" width="10.375" style="1"/>
    <col min="5374" max="5374" width="14.375" style="1" customWidth="1"/>
    <col min="5375" max="5375" width="10.375" style="1"/>
    <col min="5376" max="5376" width="11.625" style="1" bestFit="1" customWidth="1"/>
    <col min="5377" max="5379" width="10.375" style="1"/>
    <col min="5380" max="5380" width="12.875" style="1" customWidth="1"/>
    <col min="5381" max="5381" width="10.375" style="1"/>
    <col min="5382" max="5382" width="13" style="1" customWidth="1"/>
    <col min="5383" max="5621" width="10.375" style="1"/>
    <col min="5622" max="5622" width="33.25" style="1" customWidth="1"/>
    <col min="5623" max="5627" width="10.375" style="1"/>
    <col min="5628" max="5628" width="13.625" style="1" customWidth="1"/>
    <col min="5629" max="5629" width="10.375" style="1"/>
    <col min="5630" max="5630" width="14.375" style="1" customWidth="1"/>
    <col min="5631" max="5631" width="10.375" style="1"/>
    <col min="5632" max="5632" width="11.625" style="1" bestFit="1" customWidth="1"/>
    <col min="5633" max="5635" width="10.375" style="1"/>
    <col min="5636" max="5636" width="12.875" style="1" customWidth="1"/>
    <col min="5637" max="5637" width="10.375" style="1"/>
    <col min="5638" max="5638" width="13" style="1" customWidth="1"/>
    <col min="5639" max="5877" width="10.375" style="1"/>
    <col min="5878" max="5878" width="33.25" style="1" customWidth="1"/>
    <col min="5879" max="5883" width="10.375" style="1"/>
    <col min="5884" max="5884" width="13.625" style="1" customWidth="1"/>
    <col min="5885" max="5885" width="10.375" style="1"/>
    <col min="5886" max="5886" width="14.375" style="1" customWidth="1"/>
    <col min="5887" max="5887" width="10.375" style="1"/>
    <col min="5888" max="5888" width="11.625" style="1" bestFit="1" customWidth="1"/>
    <col min="5889" max="5891" width="10.375" style="1"/>
    <col min="5892" max="5892" width="12.875" style="1" customWidth="1"/>
    <col min="5893" max="5893" width="10.375" style="1"/>
    <col min="5894" max="5894" width="13" style="1" customWidth="1"/>
    <col min="5895" max="6133" width="10.375" style="1"/>
    <col min="6134" max="6134" width="33.25" style="1" customWidth="1"/>
    <col min="6135" max="6139" width="10.375" style="1"/>
    <col min="6140" max="6140" width="13.625" style="1" customWidth="1"/>
    <col min="6141" max="6141" width="10.375" style="1"/>
    <col min="6142" max="6142" width="14.375" style="1" customWidth="1"/>
    <col min="6143" max="6143" width="10.375" style="1"/>
    <col min="6144" max="6144" width="11.625" style="1" bestFit="1" customWidth="1"/>
    <col min="6145" max="6147" width="10.375" style="1"/>
    <col min="6148" max="6148" width="12.875" style="1" customWidth="1"/>
    <col min="6149" max="6149" width="10.375" style="1"/>
    <col min="6150" max="6150" width="13" style="1" customWidth="1"/>
    <col min="6151" max="6389" width="10.375" style="1"/>
    <col min="6390" max="6390" width="33.25" style="1" customWidth="1"/>
    <col min="6391" max="6395" width="10.375" style="1"/>
    <col min="6396" max="6396" width="13.625" style="1" customWidth="1"/>
    <col min="6397" max="6397" width="10.375" style="1"/>
    <col min="6398" max="6398" width="14.375" style="1" customWidth="1"/>
    <col min="6399" max="6399" width="10.375" style="1"/>
    <col min="6400" max="6400" width="11.625" style="1" bestFit="1" customWidth="1"/>
    <col min="6401" max="6403" width="10.375" style="1"/>
    <col min="6404" max="6404" width="12.875" style="1" customWidth="1"/>
    <col min="6405" max="6405" width="10.375" style="1"/>
    <col min="6406" max="6406" width="13" style="1" customWidth="1"/>
    <col min="6407" max="6645" width="10.375" style="1"/>
    <col min="6646" max="6646" width="33.25" style="1" customWidth="1"/>
    <col min="6647" max="6651" width="10.375" style="1"/>
    <col min="6652" max="6652" width="13.625" style="1" customWidth="1"/>
    <col min="6653" max="6653" width="10.375" style="1"/>
    <col min="6654" max="6654" width="14.375" style="1" customWidth="1"/>
    <col min="6655" max="6655" width="10.375" style="1"/>
    <col min="6656" max="6656" width="11.625" style="1" bestFit="1" customWidth="1"/>
    <col min="6657" max="6659" width="10.375" style="1"/>
    <col min="6660" max="6660" width="12.875" style="1" customWidth="1"/>
    <col min="6661" max="6661" width="10.375" style="1"/>
    <col min="6662" max="6662" width="13" style="1" customWidth="1"/>
    <col min="6663" max="6901" width="10.375" style="1"/>
    <col min="6902" max="6902" width="33.25" style="1" customWidth="1"/>
    <col min="6903" max="6907" width="10.375" style="1"/>
    <col min="6908" max="6908" width="13.625" style="1" customWidth="1"/>
    <col min="6909" max="6909" width="10.375" style="1"/>
    <col min="6910" max="6910" width="14.375" style="1" customWidth="1"/>
    <col min="6911" max="6911" width="10.375" style="1"/>
    <col min="6912" max="6912" width="11.625" style="1" bestFit="1" customWidth="1"/>
    <col min="6913" max="6915" width="10.375" style="1"/>
    <col min="6916" max="6916" width="12.875" style="1" customWidth="1"/>
    <col min="6917" max="6917" width="10.375" style="1"/>
    <col min="6918" max="6918" width="13" style="1" customWidth="1"/>
    <col min="6919" max="7157" width="10.375" style="1"/>
    <col min="7158" max="7158" width="33.25" style="1" customWidth="1"/>
    <col min="7159" max="7163" width="10.375" style="1"/>
    <col min="7164" max="7164" width="13.625" style="1" customWidth="1"/>
    <col min="7165" max="7165" width="10.375" style="1"/>
    <col min="7166" max="7166" width="14.375" style="1" customWidth="1"/>
    <col min="7167" max="7167" width="10.375" style="1"/>
    <col min="7168" max="7168" width="11.625" style="1" bestFit="1" customWidth="1"/>
    <col min="7169" max="7171" width="10.375" style="1"/>
    <col min="7172" max="7172" width="12.875" style="1" customWidth="1"/>
    <col min="7173" max="7173" width="10.375" style="1"/>
    <col min="7174" max="7174" width="13" style="1" customWidth="1"/>
    <col min="7175" max="7413" width="10.375" style="1"/>
    <col min="7414" max="7414" width="33.25" style="1" customWidth="1"/>
    <col min="7415" max="7419" width="10.375" style="1"/>
    <col min="7420" max="7420" width="13.625" style="1" customWidth="1"/>
    <col min="7421" max="7421" width="10.375" style="1"/>
    <col min="7422" max="7422" width="14.375" style="1" customWidth="1"/>
    <col min="7423" max="7423" width="10.375" style="1"/>
    <col min="7424" max="7424" width="11.625" style="1" bestFit="1" customWidth="1"/>
    <col min="7425" max="7427" width="10.375" style="1"/>
    <col min="7428" max="7428" width="12.875" style="1" customWidth="1"/>
    <col min="7429" max="7429" width="10.375" style="1"/>
    <col min="7430" max="7430" width="13" style="1" customWidth="1"/>
    <col min="7431" max="7669" width="10.375" style="1"/>
    <col min="7670" max="7670" width="33.25" style="1" customWidth="1"/>
    <col min="7671" max="7675" width="10.375" style="1"/>
    <col min="7676" max="7676" width="13.625" style="1" customWidth="1"/>
    <col min="7677" max="7677" width="10.375" style="1"/>
    <col min="7678" max="7678" width="14.375" style="1" customWidth="1"/>
    <col min="7679" max="7679" width="10.375" style="1"/>
    <col min="7680" max="7680" width="11.625" style="1" bestFit="1" customWidth="1"/>
    <col min="7681" max="7683" width="10.375" style="1"/>
    <col min="7684" max="7684" width="12.875" style="1" customWidth="1"/>
    <col min="7685" max="7685" width="10.375" style="1"/>
    <col min="7686" max="7686" width="13" style="1" customWidth="1"/>
    <col min="7687" max="7925" width="10.375" style="1"/>
    <col min="7926" max="7926" width="33.25" style="1" customWidth="1"/>
    <col min="7927" max="7931" width="10.375" style="1"/>
    <col min="7932" max="7932" width="13.625" style="1" customWidth="1"/>
    <col min="7933" max="7933" width="10.375" style="1"/>
    <col min="7934" max="7934" width="14.375" style="1" customWidth="1"/>
    <col min="7935" max="7935" width="10.375" style="1"/>
    <col min="7936" max="7936" width="11.625" style="1" bestFit="1" customWidth="1"/>
    <col min="7937" max="7939" width="10.375" style="1"/>
    <col min="7940" max="7940" width="12.875" style="1" customWidth="1"/>
    <col min="7941" max="7941" width="10.375" style="1"/>
    <col min="7942" max="7942" width="13" style="1" customWidth="1"/>
    <col min="7943" max="8181" width="10.375" style="1"/>
    <col min="8182" max="8182" width="33.25" style="1" customWidth="1"/>
    <col min="8183" max="8187" width="10.375" style="1"/>
    <col min="8188" max="8188" width="13.625" style="1" customWidth="1"/>
    <col min="8189" max="8189" width="10.375" style="1"/>
    <col min="8190" max="8190" width="14.375" style="1" customWidth="1"/>
    <col min="8191" max="8191" width="10.375" style="1"/>
    <col min="8192" max="8192" width="11.625" style="1" bestFit="1" customWidth="1"/>
    <col min="8193" max="8195" width="10.375" style="1"/>
    <col min="8196" max="8196" width="12.875" style="1" customWidth="1"/>
    <col min="8197" max="8197" width="10.375" style="1"/>
    <col min="8198" max="8198" width="13" style="1" customWidth="1"/>
    <col min="8199" max="8437" width="10.375" style="1"/>
    <col min="8438" max="8438" width="33.25" style="1" customWidth="1"/>
    <col min="8439" max="8443" width="10.375" style="1"/>
    <col min="8444" max="8444" width="13.625" style="1" customWidth="1"/>
    <col min="8445" max="8445" width="10.375" style="1"/>
    <col min="8446" max="8446" width="14.375" style="1" customWidth="1"/>
    <col min="8447" max="8447" width="10.375" style="1"/>
    <col min="8448" max="8448" width="11.625" style="1" bestFit="1" customWidth="1"/>
    <col min="8449" max="8451" width="10.375" style="1"/>
    <col min="8452" max="8452" width="12.875" style="1" customWidth="1"/>
    <col min="8453" max="8453" width="10.375" style="1"/>
    <col min="8454" max="8454" width="13" style="1" customWidth="1"/>
    <col min="8455" max="8693" width="10.375" style="1"/>
    <col min="8694" max="8694" width="33.25" style="1" customWidth="1"/>
    <col min="8695" max="8699" width="10.375" style="1"/>
    <col min="8700" max="8700" width="13.625" style="1" customWidth="1"/>
    <col min="8701" max="8701" width="10.375" style="1"/>
    <col min="8702" max="8702" width="14.375" style="1" customWidth="1"/>
    <col min="8703" max="8703" width="10.375" style="1"/>
    <col min="8704" max="8704" width="11.625" style="1" bestFit="1" customWidth="1"/>
    <col min="8705" max="8707" width="10.375" style="1"/>
    <col min="8708" max="8708" width="12.875" style="1" customWidth="1"/>
    <col min="8709" max="8709" width="10.375" style="1"/>
    <col min="8710" max="8710" width="13" style="1" customWidth="1"/>
    <col min="8711" max="8949" width="10.375" style="1"/>
    <col min="8950" max="8950" width="33.25" style="1" customWidth="1"/>
    <col min="8951" max="8955" width="10.375" style="1"/>
    <col min="8956" max="8956" width="13.625" style="1" customWidth="1"/>
    <col min="8957" max="8957" width="10.375" style="1"/>
    <col min="8958" max="8958" width="14.375" style="1" customWidth="1"/>
    <col min="8959" max="8959" width="10.375" style="1"/>
    <col min="8960" max="8960" width="11.625" style="1" bestFit="1" customWidth="1"/>
    <col min="8961" max="8963" width="10.375" style="1"/>
    <col min="8964" max="8964" width="12.875" style="1" customWidth="1"/>
    <col min="8965" max="8965" width="10.375" style="1"/>
    <col min="8966" max="8966" width="13" style="1" customWidth="1"/>
    <col min="8967" max="9205" width="10.375" style="1"/>
    <col min="9206" max="9206" width="33.25" style="1" customWidth="1"/>
    <col min="9207" max="9211" width="10.375" style="1"/>
    <col min="9212" max="9212" width="13.625" style="1" customWidth="1"/>
    <col min="9213" max="9213" width="10.375" style="1"/>
    <col min="9214" max="9214" width="14.375" style="1" customWidth="1"/>
    <col min="9215" max="9215" width="10.375" style="1"/>
    <col min="9216" max="9216" width="11.625" style="1" bestFit="1" customWidth="1"/>
    <col min="9217" max="9219" width="10.375" style="1"/>
    <col min="9220" max="9220" width="12.875" style="1" customWidth="1"/>
    <col min="9221" max="9221" width="10.375" style="1"/>
    <col min="9222" max="9222" width="13" style="1" customWidth="1"/>
    <col min="9223" max="9461" width="10.375" style="1"/>
    <col min="9462" max="9462" width="33.25" style="1" customWidth="1"/>
    <col min="9463" max="9467" width="10.375" style="1"/>
    <col min="9468" max="9468" width="13.625" style="1" customWidth="1"/>
    <col min="9469" max="9469" width="10.375" style="1"/>
    <col min="9470" max="9470" width="14.375" style="1" customWidth="1"/>
    <col min="9471" max="9471" width="10.375" style="1"/>
    <col min="9472" max="9472" width="11.625" style="1" bestFit="1" customWidth="1"/>
    <col min="9473" max="9475" width="10.375" style="1"/>
    <col min="9476" max="9476" width="12.875" style="1" customWidth="1"/>
    <col min="9477" max="9477" width="10.375" style="1"/>
    <col min="9478" max="9478" width="13" style="1" customWidth="1"/>
    <col min="9479" max="9717" width="10.375" style="1"/>
    <col min="9718" max="9718" width="33.25" style="1" customWidth="1"/>
    <col min="9719" max="9723" width="10.375" style="1"/>
    <col min="9724" max="9724" width="13.625" style="1" customWidth="1"/>
    <col min="9725" max="9725" width="10.375" style="1"/>
    <col min="9726" max="9726" width="14.375" style="1" customWidth="1"/>
    <col min="9727" max="9727" width="10.375" style="1"/>
    <col min="9728" max="9728" width="11.625" style="1" bestFit="1" customWidth="1"/>
    <col min="9729" max="9731" width="10.375" style="1"/>
    <col min="9732" max="9732" width="12.875" style="1" customWidth="1"/>
    <col min="9733" max="9733" width="10.375" style="1"/>
    <col min="9734" max="9734" width="13" style="1" customWidth="1"/>
    <col min="9735" max="9973" width="10.375" style="1"/>
    <col min="9974" max="9974" width="33.25" style="1" customWidth="1"/>
    <col min="9975" max="9979" width="10.375" style="1"/>
    <col min="9980" max="9980" width="13.625" style="1" customWidth="1"/>
    <col min="9981" max="9981" width="10.375" style="1"/>
    <col min="9982" max="9982" width="14.375" style="1" customWidth="1"/>
    <col min="9983" max="9983" width="10.375" style="1"/>
    <col min="9984" max="9984" width="11.625" style="1" bestFit="1" customWidth="1"/>
    <col min="9985" max="9987" width="10.375" style="1"/>
    <col min="9988" max="9988" width="12.875" style="1" customWidth="1"/>
    <col min="9989" max="9989" width="10.375" style="1"/>
    <col min="9990" max="9990" width="13" style="1" customWidth="1"/>
    <col min="9991" max="10229" width="10.375" style="1"/>
    <col min="10230" max="10230" width="33.25" style="1" customWidth="1"/>
    <col min="10231" max="10235" width="10.375" style="1"/>
    <col min="10236" max="10236" width="13.625" style="1" customWidth="1"/>
    <col min="10237" max="10237" width="10.375" style="1"/>
    <col min="10238" max="10238" width="14.375" style="1" customWidth="1"/>
    <col min="10239" max="10239" width="10.375" style="1"/>
    <col min="10240" max="10240" width="11.625" style="1" bestFit="1" customWidth="1"/>
    <col min="10241" max="10243" width="10.375" style="1"/>
    <col min="10244" max="10244" width="12.875" style="1" customWidth="1"/>
    <col min="10245" max="10245" width="10.375" style="1"/>
    <col min="10246" max="10246" width="13" style="1" customWidth="1"/>
    <col min="10247" max="10485" width="10.375" style="1"/>
    <col min="10486" max="10486" width="33.25" style="1" customWidth="1"/>
    <col min="10487" max="10491" width="10.375" style="1"/>
    <col min="10492" max="10492" width="13.625" style="1" customWidth="1"/>
    <col min="10493" max="10493" width="10.375" style="1"/>
    <col min="10494" max="10494" width="14.375" style="1" customWidth="1"/>
    <col min="10495" max="10495" width="10.375" style="1"/>
    <col min="10496" max="10496" width="11.625" style="1" bestFit="1" customWidth="1"/>
    <col min="10497" max="10499" width="10.375" style="1"/>
    <col min="10500" max="10500" width="12.875" style="1" customWidth="1"/>
    <col min="10501" max="10501" width="10.375" style="1"/>
    <col min="10502" max="10502" width="13" style="1" customWidth="1"/>
    <col min="10503" max="10741" width="10.375" style="1"/>
    <col min="10742" max="10742" width="33.25" style="1" customWidth="1"/>
    <col min="10743" max="10747" width="10.375" style="1"/>
    <col min="10748" max="10748" width="13.625" style="1" customWidth="1"/>
    <col min="10749" max="10749" width="10.375" style="1"/>
    <col min="10750" max="10750" width="14.375" style="1" customWidth="1"/>
    <col min="10751" max="10751" width="10.375" style="1"/>
    <col min="10752" max="10752" width="11.625" style="1" bestFit="1" customWidth="1"/>
    <col min="10753" max="10755" width="10.375" style="1"/>
    <col min="10756" max="10756" width="12.875" style="1" customWidth="1"/>
    <col min="10757" max="10757" width="10.375" style="1"/>
    <col min="10758" max="10758" width="13" style="1" customWidth="1"/>
    <col min="10759" max="10997" width="10.375" style="1"/>
    <col min="10998" max="10998" width="33.25" style="1" customWidth="1"/>
    <col min="10999" max="11003" width="10.375" style="1"/>
    <col min="11004" max="11004" width="13.625" style="1" customWidth="1"/>
    <col min="11005" max="11005" width="10.375" style="1"/>
    <col min="11006" max="11006" width="14.375" style="1" customWidth="1"/>
    <col min="11007" max="11007" width="10.375" style="1"/>
    <col min="11008" max="11008" width="11.625" style="1" bestFit="1" customWidth="1"/>
    <col min="11009" max="11011" width="10.375" style="1"/>
    <col min="11012" max="11012" width="12.875" style="1" customWidth="1"/>
    <col min="11013" max="11013" width="10.375" style="1"/>
    <col min="11014" max="11014" width="13" style="1" customWidth="1"/>
    <col min="11015" max="11253" width="10.375" style="1"/>
    <col min="11254" max="11254" width="33.25" style="1" customWidth="1"/>
    <col min="11255" max="11259" width="10.375" style="1"/>
    <col min="11260" max="11260" width="13.625" style="1" customWidth="1"/>
    <col min="11261" max="11261" width="10.375" style="1"/>
    <col min="11262" max="11262" width="14.375" style="1" customWidth="1"/>
    <col min="11263" max="11263" width="10.375" style="1"/>
    <col min="11264" max="11264" width="11.625" style="1" bestFit="1" customWidth="1"/>
    <col min="11265" max="11267" width="10.375" style="1"/>
    <col min="11268" max="11268" width="12.875" style="1" customWidth="1"/>
    <col min="11269" max="11269" width="10.375" style="1"/>
    <col min="11270" max="11270" width="13" style="1" customWidth="1"/>
    <col min="11271" max="11509" width="10.375" style="1"/>
    <col min="11510" max="11510" width="33.25" style="1" customWidth="1"/>
    <col min="11511" max="11515" width="10.375" style="1"/>
    <col min="11516" max="11516" width="13.625" style="1" customWidth="1"/>
    <col min="11517" max="11517" width="10.375" style="1"/>
    <col min="11518" max="11518" width="14.375" style="1" customWidth="1"/>
    <col min="11519" max="11519" width="10.375" style="1"/>
    <col min="11520" max="11520" width="11.625" style="1" bestFit="1" customWidth="1"/>
    <col min="11521" max="11523" width="10.375" style="1"/>
    <col min="11524" max="11524" width="12.875" style="1" customWidth="1"/>
    <col min="11525" max="11525" width="10.375" style="1"/>
    <col min="11526" max="11526" width="13" style="1" customWidth="1"/>
    <col min="11527" max="11765" width="10.375" style="1"/>
    <col min="11766" max="11766" width="33.25" style="1" customWidth="1"/>
    <col min="11767" max="11771" width="10.375" style="1"/>
    <col min="11772" max="11772" width="13.625" style="1" customWidth="1"/>
    <col min="11773" max="11773" width="10.375" style="1"/>
    <col min="11774" max="11774" width="14.375" style="1" customWidth="1"/>
    <col min="11775" max="11775" width="10.375" style="1"/>
    <col min="11776" max="11776" width="11.625" style="1" bestFit="1" customWidth="1"/>
    <col min="11777" max="11779" width="10.375" style="1"/>
    <col min="11780" max="11780" width="12.875" style="1" customWidth="1"/>
    <col min="11781" max="11781" width="10.375" style="1"/>
    <col min="11782" max="11782" width="13" style="1" customWidth="1"/>
    <col min="11783" max="12021" width="10.375" style="1"/>
    <col min="12022" max="12022" width="33.25" style="1" customWidth="1"/>
    <col min="12023" max="12027" width="10.375" style="1"/>
    <col min="12028" max="12028" width="13.625" style="1" customWidth="1"/>
    <col min="12029" max="12029" width="10.375" style="1"/>
    <col min="12030" max="12030" width="14.375" style="1" customWidth="1"/>
    <col min="12031" max="12031" width="10.375" style="1"/>
    <col min="12032" max="12032" width="11.625" style="1" bestFit="1" customWidth="1"/>
    <col min="12033" max="12035" width="10.375" style="1"/>
    <col min="12036" max="12036" width="12.875" style="1" customWidth="1"/>
    <col min="12037" max="12037" width="10.375" style="1"/>
    <col min="12038" max="12038" width="13" style="1" customWidth="1"/>
    <col min="12039" max="12277" width="10.375" style="1"/>
    <col min="12278" max="12278" width="33.25" style="1" customWidth="1"/>
    <col min="12279" max="12283" width="10.375" style="1"/>
    <col min="12284" max="12284" width="13.625" style="1" customWidth="1"/>
    <col min="12285" max="12285" width="10.375" style="1"/>
    <col min="12286" max="12286" width="14.375" style="1" customWidth="1"/>
    <col min="12287" max="12287" width="10.375" style="1"/>
    <col min="12288" max="12288" width="11.625" style="1" bestFit="1" customWidth="1"/>
    <col min="12289" max="12291" width="10.375" style="1"/>
    <col min="12292" max="12292" width="12.875" style="1" customWidth="1"/>
    <col min="12293" max="12293" width="10.375" style="1"/>
    <col min="12294" max="12294" width="13" style="1" customWidth="1"/>
    <col min="12295" max="12533" width="10.375" style="1"/>
    <col min="12534" max="12534" width="33.25" style="1" customWidth="1"/>
    <col min="12535" max="12539" width="10.375" style="1"/>
    <col min="12540" max="12540" width="13.625" style="1" customWidth="1"/>
    <col min="12541" max="12541" width="10.375" style="1"/>
    <col min="12542" max="12542" width="14.375" style="1" customWidth="1"/>
    <col min="12543" max="12543" width="10.375" style="1"/>
    <col min="12544" max="12544" width="11.625" style="1" bestFit="1" customWidth="1"/>
    <col min="12545" max="12547" width="10.375" style="1"/>
    <col min="12548" max="12548" width="12.875" style="1" customWidth="1"/>
    <col min="12549" max="12549" width="10.375" style="1"/>
    <col min="12550" max="12550" width="13" style="1" customWidth="1"/>
    <col min="12551" max="12789" width="10.375" style="1"/>
    <col min="12790" max="12790" width="33.25" style="1" customWidth="1"/>
    <col min="12791" max="12795" width="10.375" style="1"/>
    <col min="12796" max="12796" width="13.625" style="1" customWidth="1"/>
    <col min="12797" max="12797" width="10.375" style="1"/>
    <col min="12798" max="12798" width="14.375" style="1" customWidth="1"/>
    <col min="12799" max="12799" width="10.375" style="1"/>
    <col min="12800" max="12800" width="11.625" style="1" bestFit="1" customWidth="1"/>
    <col min="12801" max="12803" width="10.375" style="1"/>
    <col min="12804" max="12804" width="12.875" style="1" customWidth="1"/>
    <col min="12805" max="12805" width="10.375" style="1"/>
    <col min="12806" max="12806" width="13" style="1" customWidth="1"/>
    <col min="12807" max="13045" width="10.375" style="1"/>
    <col min="13046" max="13046" width="33.25" style="1" customWidth="1"/>
    <col min="13047" max="13051" width="10.375" style="1"/>
    <col min="13052" max="13052" width="13.625" style="1" customWidth="1"/>
    <col min="13053" max="13053" width="10.375" style="1"/>
    <col min="13054" max="13054" width="14.375" style="1" customWidth="1"/>
    <col min="13055" max="13055" width="10.375" style="1"/>
    <col min="13056" max="13056" width="11.625" style="1" bestFit="1" customWidth="1"/>
    <col min="13057" max="13059" width="10.375" style="1"/>
    <col min="13060" max="13060" width="12.875" style="1" customWidth="1"/>
    <col min="13061" max="13061" width="10.375" style="1"/>
    <col min="13062" max="13062" width="13" style="1" customWidth="1"/>
    <col min="13063" max="13301" width="10.375" style="1"/>
    <col min="13302" max="13302" width="33.25" style="1" customWidth="1"/>
    <col min="13303" max="13307" width="10.375" style="1"/>
    <col min="13308" max="13308" width="13.625" style="1" customWidth="1"/>
    <col min="13309" max="13309" width="10.375" style="1"/>
    <col min="13310" max="13310" width="14.375" style="1" customWidth="1"/>
    <col min="13311" max="13311" width="10.375" style="1"/>
    <col min="13312" max="13312" width="11.625" style="1" bestFit="1" customWidth="1"/>
    <col min="13313" max="13315" width="10.375" style="1"/>
    <col min="13316" max="13316" width="12.875" style="1" customWidth="1"/>
    <col min="13317" max="13317" width="10.375" style="1"/>
    <col min="13318" max="13318" width="13" style="1" customWidth="1"/>
    <col min="13319" max="13557" width="10.375" style="1"/>
    <col min="13558" max="13558" width="33.25" style="1" customWidth="1"/>
    <col min="13559" max="13563" width="10.375" style="1"/>
    <col min="13564" max="13564" width="13.625" style="1" customWidth="1"/>
    <col min="13565" max="13565" width="10.375" style="1"/>
    <col min="13566" max="13566" width="14.375" style="1" customWidth="1"/>
    <col min="13567" max="13567" width="10.375" style="1"/>
    <col min="13568" max="13568" width="11.625" style="1" bestFit="1" customWidth="1"/>
    <col min="13569" max="13571" width="10.375" style="1"/>
    <col min="13572" max="13572" width="12.875" style="1" customWidth="1"/>
    <col min="13573" max="13573" width="10.375" style="1"/>
    <col min="13574" max="13574" width="13" style="1" customWidth="1"/>
    <col min="13575" max="13813" width="10.375" style="1"/>
    <col min="13814" max="13814" width="33.25" style="1" customWidth="1"/>
    <col min="13815" max="13819" width="10.375" style="1"/>
    <col min="13820" max="13820" width="13.625" style="1" customWidth="1"/>
    <col min="13821" max="13821" width="10.375" style="1"/>
    <col min="13822" max="13822" width="14.375" style="1" customWidth="1"/>
    <col min="13823" max="13823" width="10.375" style="1"/>
    <col min="13824" max="13824" width="11.625" style="1" bestFit="1" customWidth="1"/>
    <col min="13825" max="13827" width="10.375" style="1"/>
    <col min="13828" max="13828" width="12.875" style="1" customWidth="1"/>
    <col min="13829" max="13829" width="10.375" style="1"/>
    <col min="13830" max="13830" width="13" style="1" customWidth="1"/>
    <col min="13831" max="14069" width="10.375" style="1"/>
    <col min="14070" max="14070" width="33.25" style="1" customWidth="1"/>
    <col min="14071" max="14075" width="10.375" style="1"/>
    <col min="14076" max="14076" width="13.625" style="1" customWidth="1"/>
    <col min="14077" max="14077" width="10.375" style="1"/>
    <col min="14078" max="14078" width="14.375" style="1" customWidth="1"/>
    <col min="14079" max="14079" width="10.375" style="1"/>
    <col min="14080" max="14080" width="11.625" style="1" bestFit="1" customWidth="1"/>
    <col min="14081" max="14083" width="10.375" style="1"/>
    <col min="14084" max="14084" width="12.875" style="1" customWidth="1"/>
    <col min="14085" max="14085" width="10.375" style="1"/>
    <col min="14086" max="14086" width="13" style="1" customWidth="1"/>
    <col min="14087" max="14325" width="10.375" style="1"/>
    <col min="14326" max="14326" width="33.25" style="1" customWidth="1"/>
    <col min="14327" max="14331" width="10.375" style="1"/>
    <col min="14332" max="14332" width="13.625" style="1" customWidth="1"/>
    <col min="14333" max="14333" width="10.375" style="1"/>
    <col min="14334" max="14334" width="14.375" style="1" customWidth="1"/>
    <col min="14335" max="14335" width="10.375" style="1"/>
    <col min="14336" max="14336" width="11.625" style="1" bestFit="1" customWidth="1"/>
    <col min="14337" max="14339" width="10.375" style="1"/>
    <col min="14340" max="14340" width="12.875" style="1" customWidth="1"/>
    <col min="14341" max="14341" width="10.375" style="1"/>
    <col min="14342" max="14342" width="13" style="1" customWidth="1"/>
    <col min="14343" max="14581" width="10.375" style="1"/>
    <col min="14582" max="14582" width="33.25" style="1" customWidth="1"/>
    <col min="14583" max="14587" width="10.375" style="1"/>
    <col min="14588" max="14588" width="13.625" style="1" customWidth="1"/>
    <col min="14589" max="14589" width="10.375" style="1"/>
    <col min="14590" max="14590" width="14.375" style="1" customWidth="1"/>
    <col min="14591" max="14591" width="10.375" style="1"/>
    <col min="14592" max="14592" width="11.625" style="1" bestFit="1" customWidth="1"/>
    <col min="14593" max="14595" width="10.375" style="1"/>
    <col min="14596" max="14596" width="12.875" style="1" customWidth="1"/>
    <col min="14597" max="14597" width="10.375" style="1"/>
    <col min="14598" max="14598" width="13" style="1" customWidth="1"/>
    <col min="14599" max="14837" width="10.375" style="1"/>
    <col min="14838" max="14838" width="33.25" style="1" customWidth="1"/>
    <col min="14839" max="14843" width="10.375" style="1"/>
    <col min="14844" max="14844" width="13.625" style="1" customWidth="1"/>
    <col min="14845" max="14845" width="10.375" style="1"/>
    <col min="14846" max="14846" width="14.375" style="1" customWidth="1"/>
    <col min="14847" max="14847" width="10.375" style="1"/>
    <col min="14848" max="14848" width="11.625" style="1" bestFit="1" customWidth="1"/>
    <col min="14849" max="14851" width="10.375" style="1"/>
    <col min="14852" max="14852" width="12.875" style="1" customWidth="1"/>
    <col min="14853" max="14853" width="10.375" style="1"/>
    <col min="14854" max="14854" width="13" style="1" customWidth="1"/>
    <col min="14855" max="15093" width="10.375" style="1"/>
    <col min="15094" max="15094" width="33.25" style="1" customWidth="1"/>
    <col min="15095" max="15099" width="10.375" style="1"/>
    <col min="15100" max="15100" width="13.625" style="1" customWidth="1"/>
    <col min="15101" max="15101" width="10.375" style="1"/>
    <col min="15102" max="15102" width="14.375" style="1" customWidth="1"/>
    <col min="15103" max="15103" width="10.375" style="1"/>
    <col min="15104" max="15104" width="11.625" style="1" bestFit="1" customWidth="1"/>
    <col min="15105" max="15107" width="10.375" style="1"/>
    <col min="15108" max="15108" width="12.875" style="1" customWidth="1"/>
    <col min="15109" max="15109" width="10.375" style="1"/>
    <col min="15110" max="15110" width="13" style="1" customWidth="1"/>
    <col min="15111" max="15349" width="10.375" style="1"/>
    <col min="15350" max="15350" width="33.25" style="1" customWidth="1"/>
    <col min="15351" max="15355" width="10.375" style="1"/>
    <col min="15356" max="15356" width="13.625" style="1" customWidth="1"/>
    <col min="15357" max="15357" width="10.375" style="1"/>
    <col min="15358" max="15358" width="14.375" style="1" customWidth="1"/>
    <col min="15359" max="15359" width="10.375" style="1"/>
    <col min="15360" max="15360" width="11.625" style="1" bestFit="1" customWidth="1"/>
    <col min="15361" max="15363" width="10.375" style="1"/>
    <col min="15364" max="15364" width="12.875" style="1" customWidth="1"/>
    <col min="15365" max="15365" width="10.375" style="1"/>
    <col min="15366" max="15366" width="13" style="1" customWidth="1"/>
    <col min="15367" max="15605" width="10.375" style="1"/>
    <col min="15606" max="15606" width="33.25" style="1" customWidth="1"/>
    <col min="15607" max="15611" width="10.375" style="1"/>
    <col min="15612" max="15612" width="13.625" style="1" customWidth="1"/>
    <col min="15613" max="15613" width="10.375" style="1"/>
    <col min="15614" max="15614" width="14.375" style="1" customWidth="1"/>
    <col min="15615" max="15615" width="10.375" style="1"/>
    <col min="15616" max="15616" width="11.625" style="1" bestFit="1" customWidth="1"/>
    <col min="15617" max="15619" width="10.375" style="1"/>
    <col min="15620" max="15620" width="12.875" style="1" customWidth="1"/>
    <col min="15621" max="15621" width="10.375" style="1"/>
    <col min="15622" max="15622" width="13" style="1" customWidth="1"/>
    <col min="15623" max="15861" width="10.375" style="1"/>
    <col min="15862" max="15862" width="33.25" style="1" customWidth="1"/>
    <col min="15863" max="15867" width="10.375" style="1"/>
    <col min="15868" max="15868" width="13.625" style="1" customWidth="1"/>
    <col min="15869" max="15869" width="10.375" style="1"/>
    <col min="15870" max="15870" width="14.375" style="1" customWidth="1"/>
    <col min="15871" max="15871" width="10.375" style="1"/>
    <col min="15872" max="15872" width="11.625" style="1" bestFit="1" customWidth="1"/>
    <col min="15873" max="15875" width="10.375" style="1"/>
    <col min="15876" max="15876" width="12.875" style="1" customWidth="1"/>
    <col min="15877" max="15877" width="10.375" style="1"/>
    <col min="15878" max="15878" width="13" style="1" customWidth="1"/>
    <col min="15879" max="16117" width="10.375" style="1"/>
    <col min="16118" max="16118" width="33.25" style="1" customWidth="1"/>
    <col min="16119" max="16123" width="10.375" style="1"/>
    <col min="16124" max="16124" width="13.625" style="1" customWidth="1"/>
    <col min="16125" max="16125" width="10.375" style="1"/>
    <col min="16126" max="16126" width="14.375" style="1" customWidth="1"/>
    <col min="16127" max="16127" width="10.375" style="1"/>
    <col min="16128" max="16128" width="11.625" style="1" bestFit="1" customWidth="1"/>
    <col min="16129" max="16131" width="10.375" style="1"/>
    <col min="16132" max="16132" width="12.875" style="1" customWidth="1"/>
    <col min="16133" max="16133" width="10.375" style="1"/>
    <col min="16134" max="16134" width="13" style="1" customWidth="1"/>
    <col min="16135" max="16384" width="10.375" style="1"/>
  </cols>
  <sheetData>
    <row r="1" spans="1:6" ht="18.600000000000001">
      <c r="A1" s="175" t="s">
        <v>0</v>
      </c>
      <c r="B1" s="175"/>
      <c r="C1" s="175"/>
      <c r="D1" s="175"/>
      <c r="E1" s="175"/>
      <c r="F1" s="175"/>
    </row>
    <row r="2" spans="1:6" ht="18.600000000000001">
      <c r="A2" s="176" t="s">
        <v>1</v>
      </c>
      <c r="B2" s="176"/>
      <c r="C2" s="176"/>
      <c r="D2" s="176"/>
      <c r="E2" s="176"/>
      <c r="F2" s="176"/>
    </row>
    <row r="3" spans="1:6" ht="18.600000000000001">
      <c r="A3" s="177" t="s">
        <v>62</v>
      </c>
      <c r="B3" s="177"/>
      <c r="C3" s="177"/>
      <c r="D3" s="177"/>
      <c r="E3" s="177"/>
      <c r="F3" s="177"/>
    </row>
    <row r="4" spans="1:6" ht="18.600000000000001">
      <c r="A4" s="178" t="s">
        <v>3</v>
      </c>
      <c r="B4" s="173" t="s">
        <v>4</v>
      </c>
      <c r="C4" s="146"/>
      <c r="D4" s="182" t="s">
        <v>9</v>
      </c>
      <c r="E4" s="183"/>
      <c r="F4" s="184"/>
    </row>
    <row r="5" spans="1:6" ht="18.600000000000001">
      <c r="A5" s="179"/>
      <c r="B5" s="181"/>
      <c r="C5" s="3" t="s">
        <v>58</v>
      </c>
      <c r="D5" s="185" t="s">
        <v>10</v>
      </c>
      <c r="E5" s="187" t="s">
        <v>12</v>
      </c>
      <c r="F5" s="2"/>
    </row>
    <row r="6" spans="1:6" ht="18.600000000000001">
      <c r="A6" s="180"/>
      <c r="B6" s="174"/>
      <c r="C6" s="4"/>
      <c r="D6" s="186"/>
      <c r="E6" s="188"/>
      <c r="F6" s="7" t="s">
        <v>19</v>
      </c>
    </row>
    <row r="7" spans="1:6" ht="18.600000000000001">
      <c r="A7" s="156"/>
      <c r="B7" s="173" t="s">
        <v>59</v>
      </c>
      <c r="C7" s="157"/>
      <c r="D7" s="158"/>
      <c r="E7" s="159"/>
      <c r="F7" s="160"/>
    </row>
    <row r="8" spans="1:6" ht="21.75" customHeight="1">
      <c r="A8" s="164"/>
      <c r="B8" s="174"/>
      <c r="C8" s="165"/>
      <c r="D8" s="150"/>
      <c r="E8" s="84"/>
      <c r="F8" s="166"/>
    </row>
    <row r="9" spans="1:6" ht="19.2" thickBot="1">
      <c r="A9" s="167"/>
      <c r="B9" s="168"/>
      <c r="C9" s="168"/>
      <c r="D9" s="169"/>
      <c r="E9" s="170"/>
      <c r="F9" s="171"/>
    </row>
    <row r="10" spans="1:6" ht="19.2" thickTop="1">
      <c r="A10" s="161"/>
      <c r="B10" s="162"/>
      <c r="C10" s="162"/>
      <c r="D10" s="77"/>
      <c r="E10" s="78"/>
      <c r="F10" s="163"/>
    </row>
    <row r="11" spans="1:6" ht="18.600000000000001">
      <c r="A11" s="151"/>
      <c r="B11" s="155" t="s">
        <v>31</v>
      </c>
      <c r="C11" s="147"/>
      <c r="D11" s="77"/>
      <c r="E11" s="78"/>
      <c r="F11" s="96"/>
    </row>
    <row r="12" spans="1:6" ht="18.600000000000001">
      <c r="A12" s="42">
        <v>1</v>
      </c>
      <c r="B12" s="97" t="s">
        <v>32</v>
      </c>
      <c r="C12" s="98"/>
      <c r="D12" s="24" t="s">
        <v>34</v>
      </c>
      <c r="E12" s="25"/>
      <c r="F12" s="99">
        <v>322273.98</v>
      </c>
    </row>
    <row r="13" spans="1:6" ht="18.600000000000001">
      <c r="A13" s="42"/>
      <c r="B13" s="100" t="s">
        <v>35</v>
      </c>
      <c r="C13" s="98"/>
      <c r="D13" s="31"/>
      <c r="E13" s="25"/>
      <c r="F13" s="99"/>
    </row>
    <row r="14" spans="1:6" ht="18.600000000000001">
      <c r="A14" s="42"/>
      <c r="B14" s="100" t="s">
        <v>37</v>
      </c>
      <c r="C14" s="101"/>
      <c r="D14" s="31"/>
      <c r="E14" s="25"/>
      <c r="F14" s="99"/>
    </row>
    <row r="15" spans="1:6" ht="18.600000000000001">
      <c r="A15" s="42"/>
      <c r="B15" s="100" t="s">
        <v>38</v>
      </c>
      <c r="C15" s="101"/>
      <c r="D15" s="31"/>
      <c r="E15" s="25"/>
      <c r="F15" s="99"/>
    </row>
    <row r="16" spans="1:6" ht="18.600000000000001">
      <c r="A16" s="8">
        <v>2</v>
      </c>
      <c r="B16" s="102" t="s">
        <v>32</v>
      </c>
      <c r="C16" s="98"/>
      <c r="D16" s="62" t="s">
        <v>40</v>
      </c>
      <c r="E16" s="25">
        <v>16</v>
      </c>
      <c r="F16" s="99">
        <v>5208581.93</v>
      </c>
    </row>
    <row r="17" spans="1:6" ht="18.600000000000001">
      <c r="A17" s="8"/>
      <c r="B17" s="153" t="s">
        <v>41</v>
      </c>
      <c r="C17" s="101"/>
      <c r="D17" s="62" t="s">
        <v>42</v>
      </c>
      <c r="E17" s="25"/>
      <c r="F17" s="92"/>
    </row>
    <row r="18" spans="1:6" ht="18.600000000000001">
      <c r="A18" s="8"/>
      <c r="B18" s="103" t="s">
        <v>43</v>
      </c>
      <c r="C18" s="101"/>
      <c r="D18" s="31"/>
      <c r="E18" s="25"/>
      <c r="F18" s="92"/>
    </row>
    <row r="19" spans="1:6" ht="18.600000000000001">
      <c r="A19" s="148"/>
      <c r="B19" s="149" t="s">
        <v>44</v>
      </c>
      <c r="C19" s="154"/>
      <c r="D19" s="150"/>
      <c r="E19" s="25"/>
      <c r="F19" s="92"/>
    </row>
    <row r="20" spans="1:6" ht="19.2" thickBot="1">
      <c r="A20" s="152"/>
      <c r="B20" s="172" t="s">
        <v>53</v>
      </c>
      <c r="C20" s="145"/>
      <c r="D20" s="108"/>
      <c r="E20" s="106"/>
      <c r="F20" s="106">
        <f>SUM(F12:F18)</f>
        <v>5530855.9100000001</v>
      </c>
    </row>
    <row r="21" spans="1:6" ht="19.2" thickTop="1">
      <c r="A21" s="120"/>
      <c r="B21" s="121"/>
      <c r="C21" s="121"/>
      <c r="D21" s="125"/>
      <c r="E21" s="121"/>
      <c r="F21" s="126"/>
    </row>
  </sheetData>
  <mergeCells count="9">
    <mergeCell ref="B7:B8"/>
    <mergeCell ref="A1:F1"/>
    <mergeCell ref="A2:F2"/>
    <mergeCell ref="A3:F3"/>
    <mergeCell ref="A4:A6"/>
    <mergeCell ref="B4:B6"/>
    <mergeCell ref="D4:F4"/>
    <mergeCell ref="D5:D6"/>
    <mergeCell ref="E5:E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361D-286D-43A4-8D06-191E7FAC4AC6}">
  <sheetPr>
    <tabColor rgb="FF92D050"/>
  </sheetPr>
  <dimension ref="A1:E21"/>
  <sheetViews>
    <sheetView workbookViewId="0">
      <pane ySplit="6" topLeftCell="A7" activePane="bottomLeft" state="frozen"/>
      <selection pane="bottomLeft" activeCell="G11" sqref="G11"/>
    </sheetView>
  </sheetViews>
  <sheetFormatPr defaultColWidth="10.375" defaultRowHeight="14.4"/>
  <cols>
    <col min="1" max="1" width="10.375" style="1"/>
    <col min="2" max="2" width="33.25" style="1" customWidth="1"/>
    <col min="3" max="4" width="10.375" style="1"/>
    <col min="5" max="5" width="13" style="1" customWidth="1"/>
    <col min="6" max="244" width="10.375" style="1"/>
    <col min="245" max="245" width="33.25" style="1" customWidth="1"/>
    <col min="246" max="250" width="10.375" style="1"/>
    <col min="251" max="251" width="13.625" style="1" customWidth="1"/>
    <col min="252" max="252" width="10.375" style="1"/>
    <col min="253" max="253" width="14.375" style="1" customWidth="1"/>
    <col min="254" max="254" width="10.375" style="1"/>
    <col min="255" max="255" width="11.625" style="1" bestFit="1" customWidth="1"/>
    <col min="256" max="258" width="10.375" style="1"/>
    <col min="259" max="259" width="12.875" style="1" customWidth="1"/>
    <col min="260" max="260" width="10.375" style="1"/>
    <col min="261" max="261" width="13" style="1" customWidth="1"/>
    <col min="262" max="500" width="10.375" style="1"/>
    <col min="501" max="501" width="33.25" style="1" customWidth="1"/>
    <col min="502" max="506" width="10.375" style="1"/>
    <col min="507" max="507" width="13.625" style="1" customWidth="1"/>
    <col min="508" max="508" width="10.375" style="1"/>
    <col min="509" max="509" width="14.375" style="1" customWidth="1"/>
    <col min="510" max="510" width="10.375" style="1"/>
    <col min="511" max="511" width="11.625" style="1" bestFit="1" customWidth="1"/>
    <col min="512" max="514" width="10.375" style="1"/>
    <col min="515" max="515" width="12.875" style="1" customWidth="1"/>
    <col min="516" max="516" width="10.375" style="1"/>
    <col min="517" max="517" width="13" style="1" customWidth="1"/>
    <col min="518" max="756" width="10.375" style="1"/>
    <col min="757" max="757" width="33.25" style="1" customWidth="1"/>
    <col min="758" max="762" width="10.375" style="1"/>
    <col min="763" max="763" width="13.625" style="1" customWidth="1"/>
    <col min="764" max="764" width="10.375" style="1"/>
    <col min="765" max="765" width="14.375" style="1" customWidth="1"/>
    <col min="766" max="766" width="10.375" style="1"/>
    <col min="767" max="767" width="11.625" style="1" bestFit="1" customWidth="1"/>
    <col min="768" max="770" width="10.375" style="1"/>
    <col min="771" max="771" width="12.875" style="1" customWidth="1"/>
    <col min="772" max="772" width="10.375" style="1"/>
    <col min="773" max="773" width="13" style="1" customWidth="1"/>
    <col min="774" max="1012" width="10.375" style="1"/>
    <col min="1013" max="1013" width="33.25" style="1" customWidth="1"/>
    <col min="1014" max="1018" width="10.375" style="1"/>
    <col min="1019" max="1019" width="13.625" style="1" customWidth="1"/>
    <col min="1020" max="1020" width="10.375" style="1"/>
    <col min="1021" max="1021" width="14.375" style="1" customWidth="1"/>
    <col min="1022" max="1022" width="10.375" style="1"/>
    <col min="1023" max="1023" width="11.625" style="1" bestFit="1" customWidth="1"/>
    <col min="1024" max="1026" width="10.375" style="1"/>
    <col min="1027" max="1027" width="12.875" style="1" customWidth="1"/>
    <col min="1028" max="1028" width="10.375" style="1"/>
    <col min="1029" max="1029" width="13" style="1" customWidth="1"/>
    <col min="1030" max="1268" width="10.375" style="1"/>
    <col min="1269" max="1269" width="33.25" style="1" customWidth="1"/>
    <col min="1270" max="1274" width="10.375" style="1"/>
    <col min="1275" max="1275" width="13.625" style="1" customWidth="1"/>
    <col min="1276" max="1276" width="10.375" style="1"/>
    <col min="1277" max="1277" width="14.375" style="1" customWidth="1"/>
    <col min="1278" max="1278" width="10.375" style="1"/>
    <col min="1279" max="1279" width="11.625" style="1" bestFit="1" customWidth="1"/>
    <col min="1280" max="1282" width="10.375" style="1"/>
    <col min="1283" max="1283" width="12.875" style="1" customWidth="1"/>
    <col min="1284" max="1284" width="10.375" style="1"/>
    <col min="1285" max="1285" width="13" style="1" customWidth="1"/>
    <col min="1286" max="1524" width="10.375" style="1"/>
    <col min="1525" max="1525" width="33.25" style="1" customWidth="1"/>
    <col min="1526" max="1530" width="10.375" style="1"/>
    <col min="1531" max="1531" width="13.625" style="1" customWidth="1"/>
    <col min="1532" max="1532" width="10.375" style="1"/>
    <col min="1533" max="1533" width="14.375" style="1" customWidth="1"/>
    <col min="1534" max="1534" width="10.375" style="1"/>
    <col min="1535" max="1535" width="11.625" style="1" bestFit="1" customWidth="1"/>
    <col min="1536" max="1538" width="10.375" style="1"/>
    <col min="1539" max="1539" width="12.875" style="1" customWidth="1"/>
    <col min="1540" max="1540" width="10.375" style="1"/>
    <col min="1541" max="1541" width="13" style="1" customWidth="1"/>
    <col min="1542" max="1780" width="10.375" style="1"/>
    <col min="1781" max="1781" width="33.25" style="1" customWidth="1"/>
    <col min="1782" max="1786" width="10.375" style="1"/>
    <col min="1787" max="1787" width="13.625" style="1" customWidth="1"/>
    <col min="1788" max="1788" width="10.375" style="1"/>
    <col min="1789" max="1789" width="14.375" style="1" customWidth="1"/>
    <col min="1790" max="1790" width="10.375" style="1"/>
    <col min="1791" max="1791" width="11.625" style="1" bestFit="1" customWidth="1"/>
    <col min="1792" max="1794" width="10.375" style="1"/>
    <col min="1795" max="1795" width="12.875" style="1" customWidth="1"/>
    <col min="1796" max="1796" width="10.375" style="1"/>
    <col min="1797" max="1797" width="13" style="1" customWidth="1"/>
    <col min="1798" max="2036" width="10.375" style="1"/>
    <col min="2037" max="2037" width="33.25" style="1" customWidth="1"/>
    <col min="2038" max="2042" width="10.375" style="1"/>
    <col min="2043" max="2043" width="13.625" style="1" customWidth="1"/>
    <col min="2044" max="2044" width="10.375" style="1"/>
    <col min="2045" max="2045" width="14.375" style="1" customWidth="1"/>
    <col min="2046" max="2046" width="10.375" style="1"/>
    <col min="2047" max="2047" width="11.625" style="1" bestFit="1" customWidth="1"/>
    <col min="2048" max="2050" width="10.375" style="1"/>
    <col min="2051" max="2051" width="12.875" style="1" customWidth="1"/>
    <col min="2052" max="2052" width="10.375" style="1"/>
    <col min="2053" max="2053" width="13" style="1" customWidth="1"/>
    <col min="2054" max="2292" width="10.375" style="1"/>
    <col min="2293" max="2293" width="33.25" style="1" customWidth="1"/>
    <col min="2294" max="2298" width="10.375" style="1"/>
    <col min="2299" max="2299" width="13.625" style="1" customWidth="1"/>
    <col min="2300" max="2300" width="10.375" style="1"/>
    <col min="2301" max="2301" width="14.375" style="1" customWidth="1"/>
    <col min="2302" max="2302" width="10.375" style="1"/>
    <col min="2303" max="2303" width="11.625" style="1" bestFit="1" customWidth="1"/>
    <col min="2304" max="2306" width="10.375" style="1"/>
    <col min="2307" max="2307" width="12.875" style="1" customWidth="1"/>
    <col min="2308" max="2308" width="10.375" style="1"/>
    <col min="2309" max="2309" width="13" style="1" customWidth="1"/>
    <col min="2310" max="2548" width="10.375" style="1"/>
    <col min="2549" max="2549" width="33.25" style="1" customWidth="1"/>
    <col min="2550" max="2554" width="10.375" style="1"/>
    <col min="2555" max="2555" width="13.625" style="1" customWidth="1"/>
    <col min="2556" max="2556" width="10.375" style="1"/>
    <col min="2557" max="2557" width="14.375" style="1" customWidth="1"/>
    <col min="2558" max="2558" width="10.375" style="1"/>
    <col min="2559" max="2559" width="11.625" style="1" bestFit="1" customWidth="1"/>
    <col min="2560" max="2562" width="10.375" style="1"/>
    <col min="2563" max="2563" width="12.875" style="1" customWidth="1"/>
    <col min="2564" max="2564" width="10.375" style="1"/>
    <col min="2565" max="2565" width="13" style="1" customWidth="1"/>
    <col min="2566" max="2804" width="10.375" style="1"/>
    <col min="2805" max="2805" width="33.25" style="1" customWidth="1"/>
    <col min="2806" max="2810" width="10.375" style="1"/>
    <col min="2811" max="2811" width="13.625" style="1" customWidth="1"/>
    <col min="2812" max="2812" width="10.375" style="1"/>
    <col min="2813" max="2813" width="14.375" style="1" customWidth="1"/>
    <col min="2814" max="2814" width="10.375" style="1"/>
    <col min="2815" max="2815" width="11.625" style="1" bestFit="1" customWidth="1"/>
    <col min="2816" max="2818" width="10.375" style="1"/>
    <col min="2819" max="2819" width="12.875" style="1" customWidth="1"/>
    <col min="2820" max="2820" width="10.375" style="1"/>
    <col min="2821" max="2821" width="13" style="1" customWidth="1"/>
    <col min="2822" max="3060" width="10.375" style="1"/>
    <col min="3061" max="3061" width="33.25" style="1" customWidth="1"/>
    <col min="3062" max="3066" width="10.375" style="1"/>
    <col min="3067" max="3067" width="13.625" style="1" customWidth="1"/>
    <col min="3068" max="3068" width="10.375" style="1"/>
    <col min="3069" max="3069" width="14.375" style="1" customWidth="1"/>
    <col min="3070" max="3070" width="10.375" style="1"/>
    <col min="3071" max="3071" width="11.625" style="1" bestFit="1" customWidth="1"/>
    <col min="3072" max="3074" width="10.375" style="1"/>
    <col min="3075" max="3075" width="12.875" style="1" customWidth="1"/>
    <col min="3076" max="3076" width="10.375" style="1"/>
    <col min="3077" max="3077" width="13" style="1" customWidth="1"/>
    <col min="3078" max="3316" width="10.375" style="1"/>
    <col min="3317" max="3317" width="33.25" style="1" customWidth="1"/>
    <col min="3318" max="3322" width="10.375" style="1"/>
    <col min="3323" max="3323" width="13.625" style="1" customWidth="1"/>
    <col min="3324" max="3324" width="10.375" style="1"/>
    <col min="3325" max="3325" width="14.375" style="1" customWidth="1"/>
    <col min="3326" max="3326" width="10.375" style="1"/>
    <col min="3327" max="3327" width="11.625" style="1" bestFit="1" customWidth="1"/>
    <col min="3328" max="3330" width="10.375" style="1"/>
    <col min="3331" max="3331" width="12.875" style="1" customWidth="1"/>
    <col min="3332" max="3332" width="10.375" style="1"/>
    <col min="3333" max="3333" width="13" style="1" customWidth="1"/>
    <col min="3334" max="3572" width="10.375" style="1"/>
    <col min="3573" max="3573" width="33.25" style="1" customWidth="1"/>
    <col min="3574" max="3578" width="10.375" style="1"/>
    <col min="3579" max="3579" width="13.625" style="1" customWidth="1"/>
    <col min="3580" max="3580" width="10.375" style="1"/>
    <col min="3581" max="3581" width="14.375" style="1" customWidth="1"/>
    <col min="3582" max="3582" width="10.375" style="1"/>
    <col min="3583" max="3583" width="11.625" style="1" bestFit="1" customWidth="1"/>
    <col min="3584" max="3586" width="10.375" style="1"/>
    <col min="3587" max="3587" width="12.875" style="1" customWidth="1"/>
    <col min="3588" max="3588" width="10.375" style="1"/>
    <col min="3589" max="3589" width="13" style="1" customWidth="1"/>
    <col min="3590" max="3828" width="10.375" style="1"/>
    <col min="3829" max="3829" width="33.25" style="1" customWidth="1"/>
    <col min="3830" max="3834" width="10.375" style="1"/>
    <col min="3835" max="3835" width="13.625" style="1" customWidth="1"/>
    <col min="3836" max="3836" width="10.375" style="1"/>
    <col min="3837" max="3837" width="14.375" style="1" customWidth="1"/>
    <col min="3838" max="3838" width="10.375" style="1"/>
    <col min="3839" max="3839" width="11.625" style="1" bestFit="1" customWidth="1"/>
    <col min="3840" max="3842" width="10.375" style="1"/>
    <col min="3843" max="3843" width="12.875" style="1" customWidth="1"/>
    <col min="3844" max="3844" width="10.375" style="1"/>
    <col min="3845" max="3845" width="13" style="1" customWidth="1"/>
    <col min="3846" max="4084" width="10.375" style="1"/>
    <col min="4085" max="4085" width="33.25" style="1" customWidth="1"/>
    <col min="4086" max="4090" width="10.375" style="1"/>
    <col min="4091" max="4091" width="13.625" style="1" customWidth="1"/>
    <col min="4092" max="4092" width="10.375" style="1"/>
    <col min="4093" max="4093" width="14.375" style="1" customWidth="1"/>
    <col min="4094" max="4094" width="10.375" style="1"/>
    <col min="4095" max="4095" width="11.625" style="1" bestFit="1" customWidth="1"/>
    <col min="4096" max="4098" width="10.375" style="1"/>
    <col min="4099" max="4099" width="12.875" style="1" customWidth="1"/>
    <col min="4100" max="4100" width="10.375" style="1"/>
    <col min="4101" max="4101" width="13" style="1" customWidth="1"/>
    <col min="4102" max="4340" width="10.375" style="1"/>
    <col min="4341" max="4341" width="33.25" style="1" customWidth="1"/>
    <col min="4342" max="4346" width="10.375" style="1"/>
    <col min="4347" max="4347" width="13.625" style="1" customWidth="1"/>
    <col min="4348" max="4348" width="10.375" style="1"/>
    <col min="4349" max="4349" width="14.375" style="1" customWidth="1"/>
    <col min="4350" max="4350" width="10.375" style="1"/>
    <col min="4351" max="4351" width="11.625" style="1" bestFit="1" customWidth="1"/>
    <col min="4352" max="4354" width="10.375" style="1"/>
    <col min="4355" max="4355" width="12.875" style="1" customWidth="1"/>
    <col min="4356" max="4356" width="10.375" style="1"/>
    <col min="4357" max="4357" width="13" style="1" customWidth="1"/>
    <col min="4358" max="4596" width="10.375" style="1"/>
    <col min="4597" max="4597" width="33.25" style="1" customWidth="1"/>
    <col min="4598" max="4602" width="10.375" style="1"/>
    <col min="4603" max="4603" width="13.625" style="1" customWidth="1"/>
    <col min="4604" max="4604" width="10.375" style="1"/>
    <col min="4605" max="4605" width="14.375" style="1" customWidth="1"/>
    <col min="4606" max="4606" width="10.375" style="1"/>
    <col min="4607" max="4607" width="11.625" style="1" bestFit="1" customWidth="1"/>
    <col min="4608" max="4610" width="10.375" style="1"/>
    <col min="4611" max="4611" width="12.875" style="1" customWidth="1"/>
    <col min="4612" max="4612" width="10.375" style="1"/>
    <col min="4613" max="4613" width="13" style="1" customWidth="1"/>
    <col min="4614" max="4852" width="10.375" style="1"/>
    <col min="4853" max="4853" width="33.25" style="1" customWidth="1"/>
    <col min="4854" max="4858" width="10.375" style="1"/>
    <col min="4859" max="4859" width="13.625" style="1" customWidth="1"/>
    <col min="4860" max="4860" width="10.375" style="1"/>
    <col min="4861" max="4861" width="14.375" style="1" customWidth="1"/>
    <col min="4862" max="4862" width="10.375" style="1"/>
    <col min="4863" max="4863" width="11.625" style="1" bestFit="1" customWidth="1"/>
    <col min="4864" max="4866" width="10.375" style="1"/>
    <col min="4867" max="4867" width="12.875" style="1" customWidth="1"/>
    <col min="4868" max="4868" width="10.375" style="1"/>
    <col min="4869" max="4869" width="13" style="1" customWidth="1"/>
    <col min="4870" max="5108" width="10.375" style="1"/>
    <col min="5109" max="5109" width="33.25" style="1" customWidth="1"/>
    <col min="5110" max="5114" width="10.375" style="1"/>
    <col min="5115" max="5115" width="13.625" style="1" customWidth="1"/>
    <col min="5116" max="5116" width="10.375" style="1"/>
    <col min="5117" max="5117" width="14.375" style="1" customWidth="1"/>
    <col min="5118" max="5118" width="10.375" style="1"/>
    <col min="5119" max="5119" width="11.625" style="1" bestFit="1" customWidth="1"/>
    <col min="5120" max="5122" width="10.375" style="1"/>
    <col min="5123" max="5123" width="12.875" style="1" customWidth="1"/>
    <col min="5124" max="5124" width="10.375" style="1"/>
    <col min="5125" max="5125" width="13" style="1" customWidth="1"/>
    <col min="5126" max="5364" width="10.375" style="1"/>
    <col min="5365" max="5365" width="33.25" style="1" customWidth="1"/>
    <col min="5366" max="5370" width="10.375" style="1"/>
    <col min="5371" max="5371" width="13.625" style="1" customWidth="1"/>
    <col min="5372" max="5372" width="10.375" style="1"/>
    <col min="5373" max="5373" width="14.375" style="1" customWidth="1"/>
    <col min="5374" max="5374" width="10.375" style="1"/>
    <col min="5375" max="5375" width="11.625" style="1" bestFit="1" customWidth="1"/>
    <col min="5376" max="5378" width="10.375" style="1"/>
    <col min="5379" max="5379" width="12.875" style="1" customWidth="1"/>
    <col min="5380" max="5380" width="10.375" style="1"/>
    <col min="5381" max="5381" width="13" style="1" customWidth="1"/>
    <col min="5382" max="5620" width="10.375" style="1"/>
    <col min="5621" max="5621" width="33.25" style="1" customWidth="1"/>
    <col min="5622" max="5626" width="10.375" style="1"/>
    <col min="5627" max="5627" width="13.625" style="1" customWidth="1"/>
    <col min="5628" max="5628" width="10.375" style="1"/>
    <col min="5629" max="5629" width="14.375" style="1" customWidth="1"/>
    <col min="5630" max="5630" width="10.375" style="1"/>
    <col min="5631" max="5631" width="11.625" style="1" bestFit="1" customWidth="1"/>
    <col min="5632" max="5634" width="10.375" style="1"/>
    <col min="5635" max="5635" width="12.875" style="1" customWidth="1"/>
    <col min="5636" max="5636" width="10.375" style="1"/>
    <col min="5637" max="5637" width="13" style="1" customWidth="1"/>
    <col min="5638" max="5876" width="10.375" style="1"/>
    <col min="5877" max="5877" width="33.25" style="1" customWidth="1"/>
    <col min="5878" max="5882" width="10.375" style="1"/>
    <col min="5883" max="5883" width="13.625" style="1" customWidth="1"/>
    <col min="5884" max="5884" width="10.375" style="1"/>
    <col min="5885" max="5885" width="14.375" style="1" customWidth="1"/>
    <col min="5886" max="5886" width="10.375" style="1"/>
    <col min="5887" max="5887" width="11.625" style="1" bestFit="1" customWidth="1"/>
    <col min="5888" max="5890" width="10.375" style="1"/>
    <col min="5891" max="5891" width="12.875" style="1" customWidth="1"/>
    <col min="5892" max="5892" width="10.375" style="1"/>
    <col min="5893" max="5893" width="13" style="1" customWidth="1"/>
    <col min="5894" max="6132" width="10.375" style="1"/>
    <col min="6133" max="6133" width="33.25" style="1" customWidth="1"/>
    <col min="6134" max="6138" width="10.375" style="1"/>
    <col min="6139" max="6139" width="13.625" style="1" customWidth="1"/>
    <col min="6140" max="6140" width="10.375" style="1"/>
    <col min="6141" max="6141" width="14.375" style="1" customWidth="1"/>
    <col min="6142" max="6142" width="10.375" style="1"/>
    <col min="6143" max="6143" width="11.625" style="1" bestFit="1" customWidth="1"/>
    <col min="6144" max="6146" width="10.375" style="1"/>
    <col min="6147" max="6147" width="12.875" style="1" customWidth="1"/>
    <col min="6148" max="6148" width="10.375" style="1"/>
    <col min="6149" max="6149" width="13" style="1" customWidth="1"/>
    <col min="6150" max="6388" width="10.375" style="1"/>
    <col min="6389" max="6389" width="33.25" style="1" customWidth="1"/>
    <col min="6390" max="6394" width="10.375" style="1"/>
    <col min="6395" max="6395" width="13.625" style="1" customWidth="1"/>
    <col min="6396" max="6396" width="10.375" style="1"/>
    <col min="6397" max="6397" width="14.375" style="1" customWidth="1"/>
    <col min="6398" max="6398" width="10.375" style="1"/>
    <col min="6399" max="6399" width="11.625" style="1" bestFit="1" customWidth="1"/>
    <col min="6400" max="6402" width="10.375" style="1"/>
    <col min="6403" max="6403" width="12.875" style="1" customWidth="1"/>
    <col min="6404" max="6404" width="10.375" style="1"/>
    <col min="6405" max="6405" width="13" style="1" customWidth="1"/>
    <col min="6406" max="6644" width="10.375" style="1"/>
    <col min="6645" max="6645" width="33.25" style="1" customWidth="1"/>
    <col min="6646" max="6650" width="10.375" style="1"/>
    <col min="6651" max="6651" width="13.625" style="1" customWidth="1"/>
    <col min="6652" max="6652" width="10.375" style="1"/>
    <col min="6653" max="6653" width="14.375" style="1" customWidth="1"/>
    <col min="6654" max="6654" width="10.375" style="1"/>
    <col min="6655" max="6655" width="11.625" style="1" bestFit="1" customWidth="1"/>
    <col min="6656" max="6658" width="10.375" style="1"/>
    <col min="6659" max="6659" width="12.875" style="1" customWidth="1"/>
    <col min="6660" max="6660" width="10.375" style="1"/>
    <col min="6661" max="6661" width="13" style="1" customWidth="1"/>
    <col min="6662" max="6900" width="10.375" style="1"/>
    <col min="6901" max="6901" width="33.25" style="1" customWidth="1"/>
    <col min="6902" max="6906" width="10.375" style="1"/>
    <col min="6907" max="6907" width="13.625" style="1" customWidth="1"/>
    <col min="6908" max="6908" width="10.375" style="1"/>
    <col min="6909" max="6909" width="14.375" style="1" customWidth="1"/>
    <col min="6910" max="6910" width="10.375" style="1"/>
    <col min="6911" max="6911" width="11.625" style="1" bestFit="1" customWidth="1"/>
    <col min="6912" max="6914" width="10.375" style="1"/>
    <col min="6915" max="6915" width="12.875" style="1" customWidth="1"/>
    <col min="6916" max="6916" width="10.375" style="1"/>
    <col min="6917" max="6917" width="13" style="1" customWidth="1"/>
    <col min="6918" max="7156" width="10.375" style="1"/>
    <col min="7157" max="7157" width="33.25" style="1" customWidth="1"/>
    <col min="7158" max="7162" width="10.375" style="1"/>
    <col min="7163" max="7163" width="13.625" style="1" customWidth="1"/>
    <col min="7164" max="7164" width="10.375" style="1"/>
    <col min="7165" max="7165" width="14.375" style="1" customWidth="1"/>
    <col min="7166" max="7166" width="10.375" style="1"/>
    <col min="7167" max="7167" width="11.625" style="1" bestFit="1" customWidth="1"/>
    <col min="7168" max="7170" width="10.375" style="1"/>
    <col min="7171" max="7171" width="12.875" style="1" customWidth="1"/>
    <col min="7172" max="7172" width="10.375" style="1"/>
    <col min="7173" max="7173" width="13" style="1" customWidth="1"/>
    <col min="7174" max="7412" width="10.375" style="1"/>
    <col min="7413" max="7413" width="33.25" style="1" customWidth="1"/>
    <col min="7414" max="7418" width="10.375" style="1"/>
    <col min="7419" max="7419" width="13.625" style="1" customWidth="1"/>
    <col min="7420" max="7420" width="10.375" style="1"/>
    <col min="7421" max="7421" width="14.375" style="1" customWidth="1"/>
    <col min="7422" max="7422" width="10.375" style="1"/>
    <col min="7423" max="7423" width="11.625" style="1" bestFit="1" customWidth="1"/>
    <col min="7424" max="7426" width="10.375" style="1"/>
    <col min="7427" max="7427" width="12.875" style="1" customWidth="1"/>
    <col min="7428" max="7428" width="10.375" style="1"/>
    <col min="7429" max="7429" width="13" style="1" customWidth="1"/>
    <col min="7430" max="7668" width="10.375" style="1"/>
    <col min="7669" max="7669" width="33.25" style="1" customWidth="1"/>
    <col min="7670" max="7674" width="10.375" style="1"/>
    <col min="7675" max="7675" width="13.625" style="1" customWidth="1"/>
    <col min="7676" max="7676" width="10.375" style="1"/>
    <col min="7677" max="7677" width="14.375" style="1" customWidth="1"/>
    <col min="7678" max="7678" width="10.375" style="1"/>
    <col min="7679" max="7679" width="11.625" style="1" bestFit="1" customWidth="1"/>
    <col min="7680" max="7682" width="10.375" style="1"/>
    <col min="7683" max="7683" width="12.875" style="1" customWidth="1"/>
    <col min="7684" max="7684" width="10.375" style="1"/>
    <col min="7685" max="7685" width="13" style="1" customWidth="1"/>
    <col min="7686" max="7924" width="10.375" style="1"/>
    <col min="7925" max="7925" width="33.25" style="1" customWidth="1"/>
    <col min="7926" max="7930" width="10.375" style="1"/>
    <col min="7931" max="7931" width="13.625" style="1" customWidth="1"/>
    <col min="7932" max="7932" width="10.375" style="1"/>
    <col min="7933" max="7933" width="14.375" style="1" customWidth="1"/>
    <col min="7934" max="7934" width="10.375" style="1"/>
    <col min="7935" max="7935" width="11.625" style="1" bestFit="1" customWidth="1"/>
    <col min="7936" max="7938" width="10.375" style="1"/>
    <col min="7939" max="7939" width="12.875" style="1" customWidth="1"/>
    <col min="7940" max="7940" width="10.375" style="1"/>
    <col min="7941" max="7941" width="13" style="1" customWidth="1"/>
    <col min="7942" max="8180" width="10.375" style="1"/>
    <col min="8181" max="8181" width="33.25" style="1" customWidth="1"/>
    <col min="8182" max="8186" width="10.375" style="1"/>
    <col min="8187" max="8187" width="13.625" style="1" customWidth="1"/>
    <col min="8188" max="8188" width="10.375" style="1"/>
    <col min="8189" max="8189" width="14.375" style="1" customWidth="1"/>
    <col min="8190" max="8190" width="10.375" style="1"/>
    <col min="8191" max="8191" width="11.625" style="1" bestFit="1" customWidth="1"/>
    <col min="8192" max="8194" width="10.375" style="1"/>
    <col min="8195" max="8195" width="12.875" style="1" customWidth="1"/>
    <col min="8196" max="8196" width="10.375" style="1"/>
    <col min="8197" max="8197" width="13" style="1" customWidth="1"/>
    <col min="8198" max="8436" width="10.375" style="1"/>
    <col min="8437" max="8437" width="33.25" style="1" customWidth="1"/>
    <col min="8438" max="8442" width="10.375" style="1"/>
    <col min="8443" max="8443" width="13.625" style="1" customWidth="1"/>
    <col min="8444" max="8444" width="10.375" style="1"/>
    <col min="8445" max="8445" width="14.375" style="1" customWidth="1"/>
    <col min="8446" max="8446" width="10.375" style="1"/>
    <col min="8447" max="8447" width="11.625" style="1" bestFit="1" customWidth="1"/>
    <col min="8448" max="8450" width="10.375" style="1"/>
    <col min="8451" max="8451" width="12.875" style="1" customWidth="1"/>
    <col min="8452" max="8452" width="10.375" style="1"/>
    <col min="8453" max="8453" width="13" style="1" customWidth="1"/>
    <col min="8454" max="8692" width="10.375" style="1"/>
    <col min="8693" max="8693" width="33.25" style="1" customWidth="1"/>
    <col min="8694" max="8698" width="10.375" style="1"/>
    <col min="8699" max="8699" width="13.625" style="1" customWidth="1"/>
    <col min="8700" max="8700" width="10.375" style="1"/>
    <col min="8701" max="8701" width="14.375" style="1" customWidth="1"/>
    <col min="8702" max="8702" width="10.375" style="1"/>
    <col min="8703" max="8703" width="11.625" style="1" bestFit="1" customWidth="1"/>
    <col min="8704" max="8706" width="10.375" style="1"/>
    <col min="8707" max="8707" width="12.875" style="1" customWidth="1"/>
    <col min="8708" max="8708" width="10.375" style="1"/>
    <col min="8709" max="8709" width="13" style="1" customWidth="1"/>
    <col min="8710" max="8948" width="10.375" style="1"/>
    <col min="8949" max="8949" width="33.25" style="1" customWidth="1"/>
    <col min="8950" max="8954" width="10.375" style="1"/>
    <col min="8955" max="8955" width="13.625" style="1" customWidth="1"/>
    <col min="8956" max="8956" width="10.375" style="1"/>
    <col min="8957" max="8957" width="14.375" style="1" customWidth="1"/>
    <col min="8958" max="8958" width="10.375" style="1"/>
    <col min="8959" max="8959" width="11.625" style="1" bestFit="1" customWidth="1"/>
    <col min="8960" max="8962" width="10.375" style="1"/>
    <col min="8963" max="8963" width="12.875" style="1" customWidth="1"/>
    <col min="8964" max="8964" width="10.375" style="1"/>
    <col min="8965" max="8965" width="13" style="1" customWidth="1"/>
    <col min="8966" max="9204" width="10.375" style="1"/>
    <col min="9205" max="9205" width="33.25" style="1" customWidth="1"/>
    <col min="9206" max="9210" width="10.375" style="1"/>
    <col min="9211" max="9211" width="13.625" style="1" customWidth="1"/>
    <col min="9212" max="9212" width="10.375" style="1"/>
    <col min="9213" max="9213" width="14.375" style="1" customWidth="1"/>
    <col min="9214" max="9214" width="10.375" style="1"/>
    <col min="9215" max="9215" width="11.625" style="1" bestFit="1" customWidth="1"/>
    <col min="9216" max="9218" width="10.375" style="1"/>
    <col min="9219" max="9219" width="12.875" style="1" customWidth="1"/>
    <col min="9220" max="9220" width="10.375" style="1"/>
    <col min="9221" max="9221" width="13" style="1" customWidth="1"/>
    <col min="9222" max="9460" width="10.375" style="1"/>
    <col min="9461" max="9461" width="33.25" style="1" customWidth="1"/>
    <col min="9462" max="9466" width="10.375" style="1"/>
    <col min="9467" max="9467" width="13.625" style="1" customWidth="1"/>
    <col min="9468" max="9468" width="10.375" style="1"/>
    <col min="9469" max="9469" width="14.375" style="1" customWidth="1"/>
    <col min="9470" max="9470" width="10.375" style="1"/>
    <col min="9471" max="9471" width="11.625" style="1" bestFit="1" customWidth="1"/>
    <col min="9472" max="9474" width="10.375" style="1"/>
    <col min="9475" max="9475" width="12.875" style="1" customWidth="1"/>
    <col min="9476" max="9476" width="10.375" style="1"/>
    <col min="9477" max="9477" width="13" style="1" customWidth="1"/>
    <col min="9478" max="9716" width="10.375" style="1"/>
    <col min="9717" max="9717" width="33.25" style="1" customWidth="1"/>
    <col min="9718" max="9722" width="10.375" style="1"/>
    <col min="9723" max="9723" width="13.625" style="1" customWidth="1"/>
    <col min="9724" max="9724" width="10.375" style="1"/>
    <col min="9725" max="9725" width="14.375" style="1" customWidth="1"/>
    <col min="9726" max="9726" width="10.375" style="1"/>
    <col min="9727" max="9727" width="11.625" style="1" bestFit="1" customWidth="1"/>
    <col min="9728" max="9730" width="10.375" style="1"/>
    <col min="9731" max="9731" width="12.875" style="1" customWidth="1"/>
    <col min="9732" max="9732" width="10.375" style="1"/>
    <col min="9733" max="9733" width="13" style="1" customWidth="1"/>
    <col min="9734" max="9972" width="10.375" style="1"/>
    <col min="9973" max="9973" width="33.25" style="1" customWidth="1"/>
    <col min="9974" max="9978" width="10.375" style="1"/>
    <col min="9979" max="9979" width="13.625" style="1" customWidth="1"/>
    <col min="9980" max="9980" width="10.375" style="1"/>
    <col min="9981" max="9981" width="14.375" style="1" customWidth="1"/>
    <col min="9982" max="9982" width="10.375" style="1"/>
    <col min="9983" max="9983" width="11.625" style="1" bestFit="1" customWidth="1"/>
    <col min="9984" max="9986" width="10.375" style="1"/>
    <col min="9987" max="9987" width="12.875" style="1" customWidth="1"/>
    <col min="9988" max="9988" width="10.375" style="1"/>
    <col min="9989" max="9989" width="13" style="1" customWidth="1"/>
    <col min="9990" max="10228" width="10.375" style="1"/>
    <col min="10229" max="10229" width="33.25" style="1" customWidth="1"/>
    <col min="10230" max="10234" width="10.375" style="1"/>
    <col min="10235" max="10235" width="13.625" style="1" customWidth="1"/>
    <col min="10236" max="10236" width="10.375" style="1"/>
    <col min="10237" max="10237" width="14.375" style="1" customWidth="1"/>
    <col min="10238" max="10238" width="10.375" style="1"/>
    <col min="10239" max="10239" width="11.625" style="1" bestFit="1" customWidth="1"/>
    <col min="10240" max="10242" width="10.375" style="1"/>
    <col min="10243" max="10243" width="12.875" style="1" customWidth="1"/>
    <col min="10244" max="10244" width="10.375" style="1"/>
    <col min="10245" max="10245" width="13" style="1" customWidth="1"/>
    <col min="10246" max="10484" width="10.375" style="1"/>
    <col min="10485" max="10485" width="33.25" style="1" customWidth="1"/>
    <col min="10486" max="10490" width="10.375" style="1"/>
    <col min="10491" max="10491" width="13.625" style="1" customWidth="1"/>
    <col min="10492" max="10492" width="10.375" style="1"/>
    <col min="10493" max="10493" width="14.375" style="1" customWidth="1"/>
    <col min="10494" max="10494" width="10.375" style="1"/>
    <col min="10495" max="10495" width="11.625" style="1" bestFit="1" customWidth="1"/>
    <col min="10496" max="10498" width="10.375" style="1"/>
    <col min="10499" max="10499" width="12.875" style="1" customWidth="1"/>
    <col min="10500" max="10500" width="10.375" style="1"/>
    <col min="10501" max="10501" width="13" style="1" customWidth="1"/>
    <col min="10502" max="10740" width="10.375" style="1"/>
    <col min="10741" max="10741" width="33.25" style="1" customWidth="1"/>
    <col min="10742" max="10746" width="10.375" style="1"/>
    <col min="10747" max="10747" width="13.625" style="1" customWidth="1"/>
    <col min="10748" max="10748" width="10.375" style="1"/>
    <col min="10749" max="10749" width="14.375" style="1" customWidth="1"/>
    <col min="10750" max="10750" width="10.375" style="1"/>
    <col min="10751" max="10751" width="11.625" style="1" bestFit="1" customWidth="1"/>
    <col min="10752" max="10754" width="10.375" style="1"/>
    <col min="10755" max="10755" width="12.875" style="1" customWidth="1"/>
    <col min="10756" max="10756" width="10.375" style="1"/>
    <col min="10757" max="10757" width="13" style="1" customWidth="1"/>
    <col min="10758" max="10996" width="10.375" style="1"/>
    <col min="10997" max="10997" width="33.25" style="1" customWidth="1"/>
    <col min="10998" max="11002" width="10.375" style="1"/>
    <col min="11003" max="11003" width="13.625" style="1" customWidth="1"/>
    <col min="11004" max="11004" width="10.375" style="1"/>
    <col min="11005" max="11005" width="14.375" style="1" customWidth="1"/>
    <col min="11006" max="11006" width="10.375" style="1"/>
    <col min="11007" max="11007" width="11.625" style="1" bestFit="1" customWidth="1"/>
    <col min="11008" max="11010" width="10.375" style="1"/>
    <col min="11011" max="11011" width="12.875" style="1" customWidth="1"/>
    <col min="11012" max="11012" width="10.375" style="1"/>
    <col min="11013" max="11013" width="13" style="1" customWidth="1"/>
    <col min="11014" max="11252" width="10.375" style="1"/>
    <col min="11253" max="11253" width="33.25" style="1" customWidth="1"/>
    <col min="11254" max="11258" width="10.375" style="1"/>
    <col min="11259" max="11259" width="13.625" style="1" customWidth="1"/>
    <col min="11260" max="11260" width="10.375" style="1"/>
    <col min="11261" max="11261" width="14.375" style="1" customWidth="1"/>
    <col min="11262" max="11262" width="10.375" style="1"/>
    <col min="11263" max="11263" width="11.625" style="1" bestFit="1" customWidth="1"/>
    <col min="11264" max="11266" width="10.375" style="1"/>
    <col min="11267" max="11267" width="12.875" style="1" customWidth="1"/>
    <col min="11268" max="11268" width="10.375" style="1"/>
    <col min="11269" max="11269" width="13" style="1" customWidth="1"/>
    <col min="11270" max="11508" width="10.375" style="1"/>
    <col min="11509" max="11509" width="33.25" style="1" customWidth="1"/>
    <col min="11510" max="11514" width="10.375" style="1"/>
    <col min="11515" max="11515" width="13.625" style="1" customWidth="1"/>
    <col min="11516" max="11516" width="10.375" style="1"/>
    <col min="11517" max="11517" width="14.375" style="1" customWidth="1"/>
    <col min="11518" max="11518" width="10.375" style="1"/>
    <col min="11519" max="11519" width="11.625" style="1" bestFit="1" customWidth="1"/>
    <col min="11520" max="11522" width="10.375" style="1"/>
    <col min="11523" max="11523" width="12.875" style="1" customWidth="1"/>
    <col min="11524" max="11524" width="10.375" style="1"/>
    <col min="11525" max="11525" width="13" style="1" customWidth="1"/>
    <col min="11526" max="11764" width="10.375" style="1"/>
    <col min="11765" max="11765" width="33.25" style="1" customWidth="1"/>
    <col min="11766" max="11770" width="10.375" style="1"/>
    <col min="11771" max="11771" width="13.625" style="1" customWidth="1"/>
    <col min="11772" max="11772" width="10.375" style="1"/>
    <col min="11773" max="11773" width="14.375" style="1" customWidth="1"/>
    <col min="11774" max="11774" width="10.375" style="1"/>
    <col min="11775" max="11775" width="11.625" style="1" bestFit="1" customWidth="1"/>
    <col min="11776" max="11778" width="10.375" style="1"/>
    <col min="11779" max="11779" width="12.875" style="1" customWidth="1"/>
    <col min="11780" max="11780" width="10.375" style="1"/>
    <col min="11781" max="11781" width="13" style="1" customWidth="1"/>
    <col min="11782" max="12020" width="10.375" style="1"/>
    <col min="12021" max="12021" width="33.25" style="1" customWidth="1"/>
    <col min="12022" max="12026" width="10.375" style="1"/>
    <col min="12027" max="12027" width="13.625" style="1" customWidth="1"/>
    <col min="12028" max="12028" width="10.375" style="1"/>
    <col min="12029" max="12029" width="14.375" style="1" customWidth="1"/>
    <col min="12030" max="12030" width="10.375" style="1"/>
    <col min="12031" max="12031" width="11.625" style="1" bestFit="1" customWidth="1"/>
    <col min="12032" max="12034" width="10.375" style="1"/>
    <col min="12035" max="12035" width="12.875" style="1" customWidth="1"/>
    <col min="12036" max="12036" width="10.375" style="1"/>
    <col min="12037" max="12037" width="13" style="1" customWidth="1"/>
    <col min="12038" max="12276" width="10.375" style="1"/>
    <col min="12277" max="12277" width="33.25" style="1" customWidth="1"/>
    <col min="12278" max="12282" width="10.375" style="1"/>
    <col min="12283" max="12283" width="13.625" style="1" customWidth="1"/>
    <col min="12284" max="12284" width="10.375" style="1"/>
    <col min="12285" max="12285" width="14.375" style="1" customWidth="1"/>
    <col min="12286" max="12286" width="10.375" style="1"/>
    <col min="12287" max="12287" width="11.625" style="1" bestFit="1" customWidth="1"/>
    <col min="12288" max="12290" width="10.375" style="1"/>
    <col min="12291" max="12291" width="12.875" style="1" customWidth="1"/>
    <col min="12292" max="12292" width="10.375" style="1"/>
    <col min="12293" max="12293" width="13" style="1" customWidth="1"/>
    <col min="12294" max="12532" width="10.375" style="1"/>
    <col min="12533" max="12533" width="33.25" style="1" customWidth="1"/>
    <col min="12534" max="12538" width="10.375" style="1"/>
    <col min="12539" max="12539" width="13.625" style="1" customWidth="1"/>
    <col min="12540" max="12540" width="10.375" style="1"/>
    <col min="12541" max="12541" width="14.375" style="1" customWidth="1"/>
    <col min="12542" max="12542" width="10.375" style="1"/>
    <col min="12543" max="12543" width="11.625" style="1" bestFit="1" customWidth="1"/>
    <col min="12544" max="12546" width="10.375" style="1"/>
    <col min="12547" max="12547" width="12.875" style="1" customWidth="1"/>
    <col min="12548" max="12548" width="10.375" style="1"/>
    <col min="12549" max="12549" width="13" style="1" customWidth="1"/>
    <col min="12550" max="12788" width="10.375" style="1"/>
    <col min="12789" max="12789" width="33.25" style="1" customWidth="1"/>
    <col min="12790" max="12794" width="10.375" style="1"/>
    <col min="12795" max="12795" width="13.625" style="1" customWidth="1"/>
    <col min="12796" max="12796" width="10.375" style="1"/>
    <col min="12797" max="12797" width="14.375" style="1" customWidth="1"/>
    <col min="12798" max="12798" width="10.375" style="1"/>
    <col min="12799" max="12799" width="11.625" style="1" bestFit="1" customWidth="1"/>
    <col min="12800" max="12802" width="10.375" style="1"/>
    <col min="12803" max="12803" width="12.875" style="1" customWidth="1"/>
    <col min="12804" max="12804" width="10.375" style="1"/>
    <col min="12805" max="12805" width="13" style="1" customWidth="1"/>
    <col min="12806" max="13044" width="10.375" style="1"/>
    <col min="13045" max="13045" width="33.25" style="1" customWidth="1"/>
    <col min="13046" max="13050" width="10.375" style="1"/>
    <col min="13051" max="13051" width="13.625" style="1" customWidth="1"/>
    <col min="13052" max="13052" width="10.375" style="1"/>
    <col min="13053" max="13053" width="14.375" style="1" customWidth="1"/>
    <col min="13054" max="13054" width="10.375" style="1"/>
    <col min="13055" max="13055" width="11.625" style="1" bestFit="1" customWidth="1"/>
    <col min="13056" max="13058" width="10.375" style="1"/>
    <col min="13059" max="13059" width="12.875" style="1" customWidth="1"/>
    <col min="13060" max="13060" width="10.375" style="1"/>
    <col min="13061" max="13061" width="13" style="1" customWidth="1"/>
    <col min="13062" max="13300" width="10.375" style="1"/>
    <col min="13301" max="13301" width="33.25" style="1" customWidth="1"/>
    <col min="13302" max="13306" width="10.375" style="1"/>
    <col min="13307" max="13307" width="13.625" style="1" customWidth="1"/>
    <col min="13308" max="13308" width="10.375" style="1"/>
    <col min="13309" max="13309" width="14.375" style="1" customWidth="1"/>
    <col min="13310" max="13310" width="10.375" style="1"/>
    <col min="13311" max="13311" width="11.625" style="1" bestFit="1" customWidth="1"/>
    <col min="13312" max="13314" width="10.375" style="1"/>
    <col min="13315" max="13315" width="12.875" style="1" customWidth="1"/>
    <col min="13316" max="13316" width="10.375" style="1"/>
    <col min="13317" max="13317" width="13" style="1" customWidth="1"/>
    <col min="13318" max="13556" width="10.375" style="1"/>
    <col min="13557" max="13557" width="33.25" style="1" customWidth="1"/>
    <col min="13558" max="13562" width="10.375" style="1"/>
    <col min="13563" max="13563" width="13.625" style="1" customWidth="1"/>
    <col min="13564" max="13564" width="10.375" style="1"/>
    <col min="13565" max="13565" width="14.375" style="1" customWidth="1"/>
    <col min="13566" max="13566" width="10.375" style="1"/>
    <col min="13567" max="13567" width="11.625" style="1" bestFit="1" customWidth="1"/>
    <col min="13568" max="13570" width="10.375" style="1"/>
    <col min="13571" max="13571" width="12.875" style="1" customWidth="1"/>
    <col min="13572" max="13572" width="10.375" style="1"/>
    <col min="13573" max="13573" width="13" style="1" customWidth="1"/>
    <col min="13574" max="13812" width="10.375" style="1"/>
    <col min="13813" max="13813" width="33.25" style="1" customWidth="1"/>
    <col min="13814" max="13818" width="10.375" style="1"/>
    <col min="13819" max="13819" width="13.625" style="1" customWidth="1"/>
    <col min="13820" max="13820" width="10.375" style="1"/>
    <col min="13821" max="13821" width="14.375" style="1" customWidth="1"/>
    <col min="13822" max="13822" width="10.375" style="1"/>
    <col min="13823" max="13823" width="11.625" style="1" bestFit="1" customWidth="1"/>
    <col min="13824" max="13826" width="10.375" style="1"/>
    <col min="13827" max="13827" width="12.875" style="1" customWidth="1"/>
    <col min="13828" max="13828" width="10.375" style="1"/>
    <col min="13829" max="13829" width="13" style="1" customWidth="1"/>
    <col min="13830" max="14068" width="10.375" style="1"/>
    <col min="14069" max="14069" width="33.25" style="1" customWidth="1"/>
    <col min="14070" max="14074" width="10.375" style="1"/>
    <col min="14075" max="14075" width="13.625" style="1" customWidth="1"/>
    <col min="14076" max="14076" width="10.375" style="1"/>
    <col min="14077" max="14077" width="14.375" style="1" customWidth="1"/>
    <col min="14078" max="14078" width="10.375" style="1"/>
    <col min="14079" max="14079" width="11.625" style="1" bestFit="1" customWidth="1"/>
    <col min="14080" max="14082" width="10.375" style="1"/>
    <col min="14083" max="14083" width="12.875" style="1" customWidth="1"/>
    <col min="14084" max="14084" width="10.375" style="1"/>
    <col min="14085" max="14085" width="13" style="1" customWidth="1"/>
    <col min="14086" max="14324" width="10.375" style="1"/>
    <col min="14325" max="14325" width="33.25" style="1" customWidth="1"/>
    <col min="14326" max="14330" width="10.375" style="1"/>
    <col min="14331" max="14331" width="13.625" style="1" customWidth="1"/>
    <col min="14332" max="14332" width="10.375" style="1"/>
    <col min="14333" max="14333" width="14.375" style="1" customWidth="1"/>
    <col min="14334" max="14334" width="10.375" style="1"/>
    <col min="14335" max="14335" width="11.625" style="1" bestFit="1" customWidth="1"/>
    <col min="14336" max="14338" width="10.375" style="1"/>
    <col min="14339" max="14339" width="12.875" style="1" customWidth="1"/>
    <col min="14340" max="14340" width="10.375" style="1"/>
    <col min="14341" max="14341" width="13" style="1" customWidth="1"/>
    <col min="14342" max="14580" width="10.375" style="1"/>
    <col min="14581" max="14581" width="33.25" style="1" customWidth="1"/>
    <col min="14582" max="14586" width="10.375" style="1"/>
    <col min="14587" max="14587" width="13.625" style="1" customWidth="1"/>
    <col min="14588" max="14588" width="10.375" style="1"/>
    <col min="14589" max="14589" width="14.375" style="1" customWidth="1"/>
    <col min="14590" max="14590" width="10.375" style="1"/>
    <col min="14591" max="14591" width="11.625" style="1" bestFit="1" customWidth="1"/>
    <col min="14592" max="14594" width="10.375" style="1"/>
    <col min="14595" max="14595" width="12.875" style="1" customWidth="1"/>
    <col min="14596" max="14596" width="10.375" style="1"/>
    <col min="14597" max="14597" width="13" style="1" customWidth="1"/>
    <col min="14598" max="14836" width="10.375" style="1"/>
    <col min="14837" max="14837" width="33.25" style="1" customWidth="1"/>
    <col min="14838" max="14842" width="10.375" style="1"/>
    <col min="14843" max="14843" width="13.625" style="1" customWidth="1"/>
    <col min="14844" max="14844" width="10.375" style="1"/>
    <col min="14845" max="14845" width="14.375" style="1" customWidth="1"/>
    <col min="14846" max="14846" width="10.375" style="1"/>
    <col min="14847" max="14847" width="11.625" style="1" bestFit="1" customWidth="1"/>
    <col min="14848" max="14850" width="10.375" style="1"/>
    <col min="14851" max="14851" width="12.875" style="1" customWidth="1"/>
    <col min="14852" max="14852" width="10.375" style="1"/>
    <col min="14853" max="14853" width="13" style="1" customWidth="1"/>
    <col min="14854" max="15092" width="10.375" style="1"/>
    <col min="15093" max="15093" width="33.25" style="1" customWidth="1"/>
    <col min="15094" max="15098" width="10.375" style="1"/>
    <col min="15099" max="15099" width="13.625" style="1" customWidth="1"/>
    <col min="15100" max="15100" width="10.375" style="1"/>
    <col min="15101" max="15101" width="14.375" style="1" customWidth="1"/>
    <col min="15102" max="15102" width="10.375" style="1"/>
    <col min="15103" max="15103" width="11.625" style="1" bestFit="1" customWidth="1"/>
    <col min="15104" max="15106" width="10.375" style="1"/>
    <col min="15107" max="15107" width="12.875" style="1" customWidth="1"/>
    <col min="15108" max="15108" width="10.375" style="1"/>
    <col min="15109" max="15109" width="13" style="1" customWidth="1"/>
    <col min="15110" max="15348" width="10.375" style="1"/>
    <col min="15349" max="15349" width="33.25" style="1" customWidth="1"/>
    <col min="15350" max="15354" width="10.375" style="1"/>
    <col min="15355" max="15355" width="13.625" style="1" customWidth="1"/>
    <col min="15356" max="15356" width="10.375" style="1"/>
    <col min="15357" max="15357" width="14.375" style="1" customWidth="1"/>
    <col min="15358" max="15358" width="10.375" style="1"/>
    <col min="15359" max="15359" width="11.625" style="1" bestFit="1" customWidth="1"/>
    <col min="15360" max="15362" width="10.375" style="1"/>
    <col min="15363" max="15363" width="12.875" style="1" customWidth="1"/>
    <col min="15364" max="15364" width="10.375" style="1"/>
    <col min="15365" max="15365" width="13" style="1" customWidth="1"/>
    <col min="15366" max="15604" width="10.375" style="1"/>
    <col min="15605" max="15605" width="33.25" style="1" customWidth="1"/>
    <col min="15606" max="15610" width="10.375" style="1"/>
    <col min="15611" max="15611" width="13.625" style="1" customWidth="1"/>
    <col min="15612" max="15612" width="10.375" style="1"/>
    <col min="15613" max="15613" width="14.375" style="1" customWidth="1"/>
    <col min="15614" max="15614" width="10.375" style="1"/>
    <col min="15615" max="15615" width="11.625" style="1" bestFit="1" customWidth="1"/>
    <col min="15616" max="15618" width="10.375" style="1"/>
    <col min="15619" max="15619" width="12.875" style="1" customWidth="1"/>
    <col min="15620" max="15620" width="10.375" style="1"/>
    <col min="15621" max="15621" width="13" style="1" customWidth="1"/>
    <col min="15622" max="15860" width="10.375" style="1"/>
    <col min="15861" max="15861" width="33.25" style="1" customWidth="1"/>
    <col min="15862" max="15866" width="10.375" style="1"/>
    <col min="15867" max="15867" width="13.625" style="1" customWidth="1"/>
    <col min="15868" max="15868" width="10.375" style="1"/>
    <col min="15869" max="15869" width="14.375" style="1" customWidth="1"/>
    <col min="15870" max="15870" width="10.375" style="1"/>
    <col min="15871" max="15871" width="11.625" style="1" bestFit="1" customWidth="1"/>
    <col min="15872" max="15874" width="10.375" style="1"/>
    <col min="15875" max="15875" width="12.875" style="1" customWidth="1"/>
    <col min="15876" max="15876" width="10.375" style="1"/>
    <col min="15877" max="15877" width="13" style="1" customWidth="1"/>
    <col min="15878" max="16116" width="10.375" style="1"/>
    <col min="16117" max="16117" width="33.25" style="1" customWidth="1"/>
    <col min="16118" max="16122" width="10.375" style="1"/>
    <col min="16123" max="16123" width="13.625" style="1" customWidth="1"/>
    <col min="16124" max="16124" width="10.375" style="1"/>
    <col min="16125" max="16125" width="14.375" style="1" customWidth="1"/>
    <col min="16126" max="16126" width="10.375" style="1"/>
    <col min="16127" max="16127" width="11.625" style="1" bestFit="1" customWidth="1"/>
    <col min="16128" max="16130" width="10.375" style="1"/>
    <col min="16131" max="16131" width="12.875" style="1" customWidth="1"/>
    <col min="16132" max="16132" width="10.375" style="1"/>
    <col min="16133" max="16133" width="13" style="1" customWidth="1"/>
    <col min="16134" max="16384" width="10.375" style="1"/>
  </cols>
  <sheetData>
    <row r="1" spans="1:5" ht="18.600000000000001">
      <c r="A1" s="175" t="s">
        <v>0</v>
      </c>
      <c r="B1" s="175"/>
      <c r="C1" s="175"/>
      <c r="D1" s="175"/>
      <c r="E1" s="175"/>
    </row>
    <row r="2" spans="1:5" ht="18.600000000000001">
      <c r="A2" s="176" t="s">
        <v>1</v>
      </c>
      <c r="B2" s="176"/>
      <c r="C2" s="176"/>
      <c r="D2" s="176"/>
      <c r="E2" s="176"/>
    </row>
    <row r="3" spans="1:5" ht="18.600000000000001">
      <c r="A3" s="177" t="s">
        <v>62</v>
      </c>
      <c r="B3" s="177"/>
      <c r="C3" s="177"/>
      <c r="D3" s="177"/>
      <c r="E3" s="177"/>
    </row>
    <row r="4" spans="1:5" ht="18.600000000000001">
      <c r="A4" s="178" t="s">
        <v>3</v>
      </c>
      <c r="B4" s="173" t="s">
        <v>4</v>
      </c>
      <c r="C4" s="182" t="s">
        <v>9</v>
      </c>
      <c r="D4" s="183"/>
      <c r="E4" s="184"/>
    </row>
    <row r="5" spans="1:5" ht="18.600000000000001">
      <c r="A5" s="179"/>
      <c r="B5" s="181"/>
      <c r="C5" s="185" t="s">
        <v>10</v>
      </c>
      <c r="D5" s="187" t="s">
        <v>12</v>
      </c>
      <c r="E5" s="2"/>
    </row>
    <row r="6" spans="1:5" ht="16.8">
      <c r="A6" s="180"/>
      <c r="B6" s="174"/>
      <c r="C6" s="186"/>
      <c r="D6" s="188"/>
      <c r="E6" s="7" t="s">
        <v>19</v>
      </c>
    </row>
    <row r="7" spans="1:5" ht="18.600000000000001">
      <c r="A7" s="156"/>
      <c r="B7" s="173" t="s">
        <v>59</v>
      </c>
      <c r="C7" s="158"/>
      <c r="D7" s="159"/>
      <c r="E7" s="160"/>
    </row>
    <row r="8" spans="1:5" ht="21.75" customHeight="1">
      <c r="A8" s="164"/>
      <c r="B8" s="174"/>
      <c r="C8" s="150"/>
      <c r="D8" s="84"/>
      <c r="E8" s="166"/>
    </row>
    <row r="9" spans="1:5" ht="19.2" thickBot="1">
      <c r="A9" s="167"/>
      <c r="B9" s="168"/>
      <c r="C9" s="169"/>
      <c r="D9" s="170"/>
      <c r="E9" s="171"/>
    </row>
    <row r="10" spans="1:5" ht="19.2" thickTop="1">
      <c r="A10" s="161"/>
      <c r="B10" s="162"/>
      <c r="C10" s="77"/>
      <c r="D10" s="78"/>
      <c r="E10" s="163"/>
    </row>
    <row r="11" spans="1:5" ht="18.600000000000001">
      <c r="A11" s="151"/>
      <c r="B11" s="155" t="s">
        <v>31</v>
      </c>
      <c r="C11" s="77"/>
      <c r="D11" s="78"/>
      <c r="E11" s="96"/>
    </row>
    <row r="12" spans="1:5" ht="18.600000000000001">
      <c r="A12" s="42">
        <v>1</v>
      </c>
      <c r="B12" s="97" t="s">
        <v>32</v>
      </c>
      <c r="C12" s="24" t="s">
        <v>34</v>
      </c>
      <c r="D12" s="25"/>
      <c r="E12" s="99">
        <v>322273.98</v>
      </c>
    </row>
    <row r="13" spans="1:5" ht="18.600000000000001">
      <c r="A13" s="42"/>
      <c r="B13" s="100" t="s">
        <v>35</v>
      </c>
      <c r="C13" s="31"/>
      <c r="D13" s="25"/>
      <c r="E13" s="99"/>
    </row>
    <row r="14" spans="1:5" ht="18.600000000000001">
      <c r="A14" s="42"/>
      <c r="B14" s="100" t="s">
        <v>37</v>
      </c>
      <c r="C14" s="31"/>
      <c r="D14" s="25"/>
      <c r="E14" s="99"/>
    </row>
    <row r="15" spans="1:5" ht="18.600000000000001">
      <c r="A15" s="42"/>
      <c r="B15" s="100" t="s">
        <v>38</v>
      </c>
      <c r="C15" s="31"/>
      <c r="D15" s="25"/>
      <c r="E15" s="99"/>
    </row>
    <row r="16" spans="1:5" ht="18.600000000000001">
      <c r="A16" s="8">
        <v>2</v>
      </c>
      <c r="B16" s="102" t="s">
        <v>32</v>
      </c>
      <c r="C16" s="62" t="s">
        <v>40</v>
      </c>
      <c r="D16" s="25">
        <v>16</v>
      </c>
      <c r="E16" s="99">
        <v>5208581.93</v>
      </c>
    </row>
    <row r="17" spans="1:5" ht="18.600000000000001">
      <c r="A17" s="8"/>
      <c r="B17" s="153" t="s">
        <v>41</v>
      </c>
      <c r="C17" s="62" t="s">
        <v>42</v>
      </c>
      <c r="D17" s="25"/>
      <c r="E17" s="92"/>
    </row>
    <row r="18" spans="1:5" ht="18.600000000000001">
      <c r="A18" s="8"/>
      <c r="B18" s="103" t="s">
        <v>43</v>
      </c>
      <c r="C18" s="31"/>
      <c r="D18" s="25"/>
      <c r="E18" s="92"/>
    </row>
    <row r="19" spans="1:5" ht="18.600000000000001">
      <c r="A19" s="148"/>
      <c r="B19" s="149" t="s">
        <v>44</v>
      </c>
      <c r="C19" s="150"/>
      <c r="D19" s="25"/>
      <c r="E19" s="92"/>
    </row>
    <row r="20" spans="1:5" ht="19.2" thickBot="1">
      <c r="A20" s="152"/>
      <c r="B20" s="172" t="s">
        <v>53</v>
      </c>
      <c r="C20" s="108"/>
      <c r="D20" s="106"/>
      <c r="E20" s="106">
        <f>SUM(E12:E18)</f>
        <v>5530855.9100000001</v>
      </c>
    </row>
    <row r="21" spans="1:5" ht="19.2" thickTop="1">
      <c r="A21" s="120"/>
      <c r="B21" s="121"/>
      <c r="C21" s="125"/>
      <c r="D21" s="121"/>
      <c r="E21" s="126"/>
    </row>
  </sheetData>
  <mergeCells count="9">
    <mergeCell ref="B7:B8"/>
    <mergeCell ref="A1:E1"/>
    <mergeCell ref="A2:E2"/>
    <mergeCell ref="A3:E3"/>
    <mergeCell ref="A4:A6"/>
    <mergeCell ref="B4:B6"/>
    <mergeCell ref="C4:E4"/>
    <mergeCell ref="C5:C6"/>
    <mergeCell ref="D5:D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10B9B-D9B0-4FBB-8A0F-618970023661}">
  <sheetPr>
    <tabColor rgb="FFFFFF00"/>
  </sheetPr>
  <dimension ref="A1:R114"/>
  <sheetViews>
    <sheetView workbookViewId="0">
      <pane ySplit="6" topLeftCell="A95" activePane="bottomLeft" state="frozen"/>
      <selection pane="bottomLeft" activeCell="K108" sqref="K108"/>
    </sheetView>
  </sheetViews>
  <sheetFormatPr defaultColWidth="10.375" defaultRowHeight="14.4"/>
  <cols>
    <col min="1" max="1" width="10.375" style="1"/>
    <col min="2" max="2" width="33.25" style="1" customWidth="1"/>
    <col min="3" max="7" width="10.375" style="1"/>
    <col min="8" max="8" width="13.625" style="1" customWidth="1"/>
    <col min="9" max="9" width="10.375" style="1"/>
    <col min="10" max="10" width="14.375" style="1" customWidth="1"/>
    <col min="11" max="11" width="10.375" style="139"/>
    <col min="12" max="12" width="11.625" style="139" bestFit="1" customWidth="1"/>
    <col min="13" max="13" width="10.375" style="139"/>
    <col min="14" max="15" width="10.375" style="1"/>
    <col min="16" max="16" width="12.875" style="1" customWidth="1"/>
    <col min="17" max="17" width="10.375" style="1"/>
    <col min="18" max="18" width="13" style="1" customWidth="1"/>
    <col min="19" max="257" width="10.375" style="1"/>
    <col min="258" max="258" width="33.25" style="1" customWidth="1"/>
    <col min="259" max="263" width="10.375" style="1"/>
    <col min="264" max="264" width="13.625" style="1" customWidth="1"/>
    <col min="265" max="265" width="10.375" style="1"/>
    <col min="266" max="266" width="14.375" style="1" customWidth="1"/>
    <col min="267" max="267" width="10.375" style="1"/>
    <col min="268" max="268" width="11.625" style="1" bestFit="1" customWidth="1"/>
    <col min="269" max="271" width="10.375" style="1"/>
    <col min="272" max="272" width="12.875" style="1" customWidth="1"/>
    <col min="273" max="273" width="10.375" style="1"/>
    <col min="274" max="274" width="13" style="1" customWidth="1"/>
    <col min="275" max="513" width="10.375" style="1"/>
    <col min="514" max="514" width="33.25" style="1" customWidth="1"/>
    <col min="515" max="519" width="10.375" style="1"/>
    <col min="520" max="520" width="13.625" style="1" customWidth="1"/>
    <col min="521" max="521" width="10.375" style="1"/>
    <col min="522" max="522" width="14.375" style="1" customWidth="1"/>
    <col min="523" max="523" width="10.375" style="1"/>
    <col min="524" max="524" width="11.625" style="1" bestFit="1" customWidth="1"/>
    <col min="525" max="527" width="10.375" style="1"/>
    <col min="528" max="528" width="12.875" style="1" customWidth="1"/>
    <col min="529" max="529" width="10.375" style="1"/>
    <col min="530" max="530" width="13" style="1" customWidth="1"/>
    <col min="531" max="769" width="10.375" style="1"/>
    <col min="770" max="770" width="33.25" style="1" customWidth="1"/>
    <col min="771" max="775" width="10.375" style="1"/>
    <col min="776" max="776" width="13.625" style="1" customWidth="1"/>
    <col min="777" max="777" width="10.375" style="1"/>
    <col min="778" max="778" width="14.375" style="1" customWidth="1"/>
    <col min="779" max="779" width="10.375" style="1"/>
    <col min="780" max="780" width="11.625" style="1" bestFit="1" customWidth="1"/>
    <col min="781" max="783" width="10.375" style="1"/>
    <col min="784" max="784" width="12.875" style="1" customWidth="1"/>
    <col min="785" max="785" width="10.375" style="1"/>
    <col min="786" max="786" width="13" style="1" customWidth="1"/>
    <col min="787" max="1025" width="10.375" style="1"/>
    <col min="1026" max="1026" width="33.25" style="1" customWidth="1"/>
    <col min="1027" max="1031" width="10.375" style="1"/>
    <col min="1032" max="1032" width="13.625" style="1" customWidth="1"/>
    <col min="1033" max="1033" width="10.375" style="1"/>
    <col min="1034" max="1034" width="14.375" style="1" customWidth="1"/>
    <col min="1035" max="1035" width="10.375" style="1"/>
    <col min="1036" max="1036" width="11.625" style="1" bestFit="1" customWidth="1"/>
    <col min="1037" max="1039" width="10.375" style="1"/>
    <col min="1040" max="1040" width="12.875" style="1" customWidth="1"/>
    <col min="1041" max="1041" width="10.375" style="1"/>
    <col min="1042" max="1042" width="13" style="1" customWidth="1"/>
    <col min="1043" max="1281" width="10.375" style="1"/>
    <col min="1282" max="1282" width="33.25" style="1" customWidth="1"/>
    <col min="1283" max="1287" width="10.375" style="1"/>
    <col min="1288" max="1288" width="13.625" style="1" customWidth="1"/>
    <col min="1289" max="1289" width="10.375" style="1"/>
    <col min="1290" max="1290" width="14.375" style="1" customWidth="1"/>
    <col min="1291" max="1291" width="10.375" style="1"/>
    <col min="1292" max="1292" width="11.625" style="1" bestFit="1" customWidth="1"/>
    <col min="1293" max="1295" width="10.375" style="1"/>
    <col min="1296" max="1296" width="12.875" style="1" customWidth="1"/>
    <col min="1297" max="1297" width="10.375" style="1"/>
    <col min="1298" max="1298" width="13" style="1" customWidth="1"/>
    <col min="1299" max="1537" width="10.375" style="1"/>
    <col min="1538" max="1538" width="33.25" style="1" customWidth="1"/>
    <col min="1539" max="1543" width="10.375" style="1"/>
    <col min="1544" max="1544" width="13.625" style="1" customWidth="1"/>
    <col min="1545" max="1545" width="10.375" style="1"/>
    <col min="1546" max="1546" width="14.375" style="1" customWidth="1"/>
    <col min="1547" max="1547" width="10.375" style="1"/>
    <col min="1548" max="1548" width="11.625" style="1" bestFit="1" customWidth="1"/>
    <col min="1549" max="1551" width="10.375" style="1"/>
    <col min="1552" max="1552" width="12.875" style="1" customWidth="1"/>
    <col min="1553" max="1553" width="10.375" style="1"/>
    <col min="1554" max="1554" width="13" style="1" customWidth="1"/>
    <col min="1555" max="1793" width="10.375" style="1"/>
    <col min="1794" max="1794" width="33.25" style="1" customWidth="1"/>
    <col min="1795" max="1799" width="10.375" style="1"/>
    <col min="1800" max="1800" width="13.625" style="1" customWidth="1"/>
    <col min="1801" max="1801" width="10.375" style="1"/>
    <col min="1802" max="1802" width="14.375" style="1" customWidth="1"/>
    <col min="1803" max="1803" width="10.375" style="1"/>
    <col min="1804" max="1804" width="11.625" style="1" bestFit="1" customWidth="1"/>
    <col min="1805" max="1807" width="10.375" style="1"/>
    <col min="1808" max="1808" width="12.875" style="1" customWidth="1"/>
    <col min="1809" max="1809" width="10.375" style="1"/>
    <col min="1810" max="1810" width="13" style="1" customWidth="1"/>
    <col min="1811" max="2049" width="10.375" style="1"/>
    <col min="2050" max="2050" width="33.25" style="1" customWidth="1"/>
    <col min="2051" max="2055" width="10.375" style="1"/>
    <col min="2056" max="2056" width="13.625" style="1" customWidth="1"/>
    <col min="2057" max="2057" width="10.375" style="1"/>
    <col min="2058" max="2058" width="14.375" style="1" customWidth="1"/>
    <col min="2059" max="2059" width="10.375" style="1"/>
    <col min="2060" max="2060" width="11.625" style="1" bestFit="1" customWidth="1"/>
    <col min="2061" max="2063" width="10.375" style="1"/>
    <col min="2064" max="2064" width="12.875" style="1" customWidth="1"/>
    <col min="2065" max="2065" width="10.375" style="1"/>
    <col min="2066" max="2066" width="13" style="1" customWidth="1"/>
    <col min="2067" max="2305" width="10.375" style="1"/>
    <col min="2306" max="2306" width="33.25" style="1" customWidth="1"/>
    <col min="2307" max="2311" width="10.375" style="1"/>
    <col min="2312" max="2312" width="13.625" style="1" customWidth="1"/>
    <col min="2313" max="2313" width="10.375" style="1"/>
    <col min="2314" max="2314" width="14.375" style="1" customWidth="1"/>
    <col min="2315" max="2315" width="10.375" style="1"/>
    <col min="2316" max="2316" width="11.625" style="1" bestFit="1" customWidth="1"/>
    <col min="2317" max="2319" width="10.375" style="1"/>
    <col min="2320" max="2320" width="12.875" style="1" customWidth="1"/>
    <col min="2321" max="2321" width="10.375" style="1"/>
    <col min="2322" max="2322" width="13" style="1" customWidth="1"/>
    <col min="2323" max="2561" width="10.375" style="1"/>
    <col min="2562" max="2562" width="33.25" style="1" customWidth="1"/>
    <col min="2563" max="2567" width="10.375" style="1"/>
    <col min="2568" max="2568" width="13.625" style="1" customWidth="1"/>
    <col min="2569" max="2569" width="10.375" style="1"/>
    <col min="2570" max="2570" width="14.375" style="1" customWidth="1"/>
    <col min="2571" max="2571" width="10.375" style="1"/>
    <col min="2572" max="2572" width="11.625" style="1" bestFit="1" customWidth="1"/>
    <col min="2573" max="2575" width="10.375" style="1"/>
    <col min="2576" max="2576" width="12.875" style="1" customWidth="1"/>
    <col min="2577" max="2577" width="10.375" style="1"/>
    <col min="2578" max="2578" width="13" style="1" customWidth="1"/>
    <col min="2579" max="2817" width="10.375" style="1"/>
    <col min="2818" max="2818" width="33.25" style="1" customWidth="1"/>
    <col min="2819" max="2823" width="10.375" style="1"/>
    <col min="2824" max="2824" width="13.625" style="1" customWidth="1"/>
    <col min="2825" max="2825" width="10.375" style="1"/>
    <col min="2826" max="2826" width="14.375" style="1" customWidth="1"/>
    <col min="2827" max="2827" width="10.375" style="1"/>
    <col min="2828" max="2828" width="11.625" style="1" bestFit="1" customWidth="1"/>
    <col min="2829" max="2831" width="10.375" style="1"/>
    <col min="2832" max="2832" width="12.875" style="1" customWidth="1"/>
    <col min="2833" max="2833" width="10.375" style="1"/>
    <col min="2834" max="2834" width="13" style="1" customWidth="1"/>
    <col min="2835" max="3073" width="10.375" style="1"/>
    <col min="3074" max="3074" width="33.25" style="1" customWidth="1"/>
    <col min="3075" max="3079" width="10.375" style="1"/>
    <col min="3080" max="3080" width="13.625" style="1" customWidth="1"/>
    <col min="3081" max="3081" width="10.375" style="1"/>
    <col min="3082" max="3082" width="14.375" style="1" customWidth="1"/>
    <col min="3083" max="3083" width="10.375" style="1"/>
    <col min="3084" max="3084" width="11.625" style="1" bestFit="1" customWidth="1"/>
    <col min="3085" max="3087" width="10.375" style="1"/>
    <col min="3088" max="3088" width="12.875" style="1" customWidth="1"/>
    <col min="3089" max="3089" width="10.375" style="1"/>
    <col min="3090" max="3090" width="13" style="1" customWidth="1"/>
    <col min="3091" max="3329" width="10.375" style="1"/>
    <col min="3330" max="3330" width="33.25" style="1" customWidth="1"/>
    <col min="3331" max="3335" width="10.375" style="1"/>
    <col min="3336" max="3336" width="13.625" style="1" customWidth="1"/>
    <col min="3337" max="3337" width="10.375" style="1"/>
    <col min="3338" max="3338" width="14.375" style="1" customWidth="1"/>
    <col min="3339" max="3339" width="10.375" style="1"/>
    <col min="3340" max="3340" width="11.625" style="1" bestFit="1" customWidth="1"/>
    <col min="3341" max="3343" width="10.375" style="1"/>
    <col min="3344" max="3344" width="12.875" style="1" customWidth="1"/>
    <col min="3345" max="3345" width="10.375" style="1"/>
    <col min="3346" max="3346" width="13" style="1" customWidth="1"/>
    <col min="3347" max="3585" width="10.375" style="1"/>
    <col min="3586" max="3586" width="33.25" style="1" customWidth="1"/>
    <col min="3587" max="3591" width="10.375" style="1"/>
    <col min="3592" max="3592" width="13.625" style="1" customWidth="1"/>
    <col min="3593" max="3593" width="10.375" style="1"/>
    <col min="3594" max="3594" width="14.375" style="1" customWidth="1"/>
    <col min="3595" max="3595" width="10.375" style="1"/>
    <col min="3596" max="3596" width="11.625" style="1" bestFit="1" customWidth="1"/>
    <col min="3597" max="3599" width="10.375" style="1"/>
    <col min="3600" max="3600" width="12.875" style="1" customWidth="1"/>
    <col min="3601" max="3601" width="10.375" style="1"/>
    <col min="3602" max="3602" width="13" style="1" customWidth="1"/>
    <col min="3603" max="3841" width="10.375" style="1"/>
    <col min="3842" max="3842" width="33.25" style="1" customWidth="1"/>
    <col min="3843" max="3847" width="10.375" style="1"/>
    <col min="3848" max="3848" width="13.625" style="1" customWidth="1"/>
    <col min="3849" max="3849" width="10.375" style="1"/>
    <col min="3850" max="3850" width="14.375" style="1" customWidth="1"/>
    <col min="3851" max="3851" width="10.375" style="1"/>
    <col min="3852" max="3852" width="11.625" style="1" bestFit="1" customWidth="1"/>
    <col min="3853" max="3855" width="10.375" style="1"/>
    <col min="3856" max="3856" width="12.875" style="1" customWidth="1"/>
    <col min="3857" max="3857" width="10.375" style="1"/>
    <col min="3858" max="3858" width="13" style="1" customWidth="1"/>
    <col min="3859" max="4097" width="10.375" style="1"/>
    <col min="4098" max="4098" width="33.25" style="1" customWidth="1"/>
    <col min="4099" max="4103" width="10.375" style="1"/>
    <col min="4104" max="4104" width="13.625" style="1" customWidth="1"/>
    <col min="4105" max="4105" width="10.375" style="1"/>
    <col min="4106" max="4106" width="14.375" style="1" customWidth="1"/>
    <col min="4107" max="4107" width="10.375" style="1"/>
    <col min="4108" max="4108" width="11.625" style="1" bestFit="1" customWidth="1"/>
    <col min="4109" max="4111" width="10.375" style="1"/>
    <col min="4112" max="4112" width="12.875" style="1" customWidth="1"/>
    <col min="4113" max="4113" width="10.375" style="1"/>
    <col min="4114" max="4114" width="13" style="1" customWidth="1"/>
    <col min="4115" max="4353" width="10.375" style="1"/>
    <col min="4354" max="4354" width="33.25" style="1" customWidth="1"/>
    <col min="4355" max="4359" width="10.375" style="1"/>
    <col min="4360" max="4360" width="13.625" style="1" customWidth="1"/>
    <col min="4361" max="4361" width="10.375" style="1"/>
    <col min="4362" max="4362" width="14.375" style="1" customWidth="1"/>
    <col min="4363" max="4363" width="10.375" style="1"/>
    <col min="4364" max="4364" width="11.625" style="1" bestFit="1" customWidth="1"/>
    <col min="4365" max="4367" width="10.375" style="1"/>
    <col min="4368" max="4368" width="12.875" style="1" customWidth="1"/>
    <col min="4369" max="4369" width="10.375" style="1"/>
    <col min="4370" max="4370" width="13" style="1" customWidth="1"/>
    <col min="4371" max="4609" width="10.375" style="1"/>
    <col min="4610" max="4610" width="33.25" style="1" customWidth="1"/>
    <col min="4611" max="4615" width="10.375" style="1"/>
    <col min="4616" max="4616" width="13.625" style="1" customWidth="1"/>
    <col min="4617" max="4617" width="10.375" style="1"/>
    <col min="4618" max="4618" width="14.375" style="1" customWidth="1"/>
    <col min="4619" max="4619" width="10.375" style="1"/>
    <col min="4620" max="4620" width="11.625" style="1" bestFit="1" customWidth="1"/>
    <col min="4621" max="4623" width="10.375" style="1"/>
    <col min="4624" max="4624" width="12.875" style="1" customWidth="1"/>
    <col min="4625" max="4625" width="10.375" style="1"/>
    <col min="4626" max="4626" width="13" style="1" customWidth="1"/>
    <col min="4627" max="4865" width="10.375" style="1"/>
    <col min="4866" max="4866" width="33.25" style="1" customWidth="1"/>
    <col min="4867" max="4871" width="10.375" style="1"/>
    <col min="4872" max="4872" width="13.625" style="1" customWidth="1"/>
    <col min="4873" max="4873" width="10.375" style="1"/>
    <col min="4874" max="4874" width="14.375" style="1" customWidth="1"/>
    <col min="4875" max="4875" width="10.375" style="1"/>
    <col min="4876" max="4876" width="11.625" style="1" bestFit="1" customWidth="1"/>
    <col min="4877" max="4879" width="10.375" style="1"/>
    <col min="4880" max="4880" width="12.875" style="1" customWidth="1"/>
    <col min="4881" max="4881" width="10.375" style="1"/>
    <col min="4882" max="4882" width="13" style="1" customWidth="1"/>
    <col min="4883" max="5121" width="10.375" style="1"/>
    <col min="5122" max="5122" width="33.25" style="1" customWidth="1"/>
    <col min="5123" max="5127" width="10.375" style="1"/>
    <col min="5128" max="5128" width="13.625" style="1" customWidth="1"/>
    <col min="5129" max="5129" width="10.375" style="1"/>
    <col min="5130" max="5130" width="14.375" style="1" customWidth="1"/>
    <col min="5131" max="5131" width="10.375" style="1"/>
    <col min="5132" max="5132" width="11.625" style="1" bestFit="1" customWidth="1"/>
    <col min="5133" max="5135" width="10.375" style="1"/>
    <col min="5136" max="5136" width="12.875" style="1" customWidth="1"/>
    <col min="5137" max="5137" width="10.375" style="1"/>
    <col min="5138" max="5138" width="13" style="1" customWidth="1"/>
    <col min="5139" max="5377" width="10.375" style="1"/>
    <col min="5378" max="5378" width="33.25" style="1" customWidth="1"/>
    <col min="5379" max="5383" width="10.375" style="1"/>
    <col min="5384" max="5384" width="13.625" style="1" customWidth="1"/>
    <col min="5385" max="5385" width="10.375" style="1"/>
    <col min="5386" max="5386" width="14.375" style="1" customWidth="1"/>
    <col min="5387" max="5387" width="10.375" style="1"/>
    <col min="5388" max="5388" width="11.625" style="1" bestFit="1" customWidth="1"/>
    <col min="5389" max="5391" width="10.375" style="1"/>
    <col min="5392" max="5392" width="12.875" style="1" customWidth="1"/>
    <col min="5393" max="5393" width="10.375" style="1"/>
    <col min="5394" max="5394" width="13" style="1" customWidth="1"/>
    <col min="5395" max="5633" width="10.375" style="1"/>
    <col min="5634" max="5634" width="33.25" style="1" customWidth="1"/>
    <col min="5635" max="5639" width="10.375" style="1"/>
    <col min="5640" max="5640" width="13.625" style="1" customWidth="1"/>
    <col min="5641" max="5641" width="10.375" style="1"/>
    <col min="5642" max="5642" width="14.375" style="1" customWidth="1"/>
    <col min="5643" max="5643" width="10.375" style="1"/>
    <col min="5644" max="5644" width="11.625" style="1" bestFit="1" customWidth="1"/>
    <col min="5645" max="5647" width="10.375" style="1"/>
    <col min="5648" max="5648" width="12.875" style="1" customWidth="1"/>
    <col min="5649" max="5649" width="10.375" style="1"/>
    <col min="5650" max="5650" width="13" style="1" customWidth="1"/>
    <col min="5651" max="5889" width="10.375" style="1"/>
    <col min="5890" max="5890" width="33.25" style="1" customWidth="1"/>
    <col min="5891" max="5895" width="10.375" style="1"/>
    <col min="5896" max="5896" width="13.625" style="1" customWidth="1"/>
    <col min="5897" max="5897" width="10.375" style="1"/>
    <col min="5898" max="5898" width="14.375" style="1" customWidth="1"/>
    <col min="5899" max="5899" width="10.375" style="1"/>
    <col min="5900" max="5900" width="11.625" style="1" bestFit="1" customWidth="1"/>
    <col min="5901" max="5903" width="10.375" style="1"/>
    <col min="5904" max="5904" width="12.875" style="1" customWidth="1"/>
    <col min="5905" max="5905" width="10.375" style="1"/>
    <col min="5906" max="5906" width="13" style="1" customWidth="1"/>
    <col min="5907" max="6145" width="10.375" style="1"/>
    <col min="6146" max="6146" width="33.25" style="1" customWidth="1"/>
    <col min="6147" max="6151" width="10.375" style="1"/>
    <col min="6152" max="6152" width="13.625" style="1" customWidth="1"/>
    <col min="6153" max="6153" width="10.375" style="1"/>
    <col min="6154" max="6154" width="14.375" style="1" customWidth="1"/>
    <col min="6155" max="6155" width="10.375" style="1"/>
    <col min="6156" max="6156" width="11.625" style="1" bestFit="1" customWidth="1"/>
    <col min="6157" max="6159" width="10.375" style="1"/>
    <col min="6160" max="6160" width="12.875" style="1" customWidth="1"/>
    <col min="6161" max="6161" width="10.375" style="1"/>
    <col min="6162" max="6162" width="13" style="1" customWidth="1"/>
    <col min="6163" max="6401" width="10.375" style="1"/>
    <col min="6402" max="6402" width="33.25" style="1" customWidth="1"/>
    <col min="6403" max="6407" width="10.375" style="1"/>
    <col min="6408" max="6408" width="13.625" style="1" customWidth="1"/>
    <col min="6409" max="6409" width="10.375" style="1"/>
    <col min="6410" max="6410" width="14.375" style="1" customWidth="1"/>
    <col min="6411" max="6411" width="10.375" style="1"/>
    <col min="6412" max="6412" width="11.625" style="1" bestFit="1" customWidth="1"/>
    <col min="6413" max="6415" width="10.375" style="1"/>
    <col min="6416" max="6416" width="12.875" style="1" customWidth="1"/>
    <col min="6417" max="6417" width="10.375" style="1"/>
    <col min="6418" max="6418" width="13" style="1" customWidth="1"/>
    <col min="6419" max="6657" width="10.375" style="1"/>
    <col min="6658" max="6658" width="33.25" style="1" customWidth="1"/>
    <col min="6659" max="6663" width="10.375" style="1"/>
    <col min="6664" max="6664" width="13.625" style="1" customWidth="1"/>
    <col min="6665" max="6665" width="10.375" style="1"/>
    <col min="6666" max="6666" width="14.375" style="1" customWidth="1"/>
    <col min="6667" max="6667" width="10.375" style="1"/>
    <col min="6668" max="6668" width="11.625" style="1" bestFit="1" customWidth="1"/>
    <col min="6669" max="6671" width="10.375" style="1"/>
    <col min="6672" max="6672" width="12.875" style="1" customWidth="1"/>
    <col min="6673" max="6673" width="10.375" style="1"/>
    <col min="6674" max="6674" width="13" style="1" customWidth="1"/>
    <col min="6675" max="6913" width="10.375" style="1"/>
    <col min="6914" max="6914" width="33.25" style="1" customWidth="1"/>
    <col min="6915" max="6919" width="10.375" style="1"/>
    <col min="6920" max="6920" width="13.625" style="1" customWidth="1"/>
    <col min="6921" max="6921" width="10.375" style="1"/>
    <col min="6922" max="6922" width="14.375" style="1" customWidth="1"/>
    <col min="6923" max="6923" width="10.375" style="1"/>
    <col min="6924" max="6924" width="11.625" style="1" bestFit="1" customWidth="1"/>
    <col min="6925" max="6927" width="10.375" style="1"/>
    <col min="6928" max="6928" width="12.875" style="1" customWidth="1"/>
    <col min="6929" max="6929" width="10.375" style="1"/>
    <col min="6930" max="6930" width="13" style="1" customWidth="1"/>
    <col min="6931" max="7169" width="10.375" style="1"/>
    <col min="7170" max="7170" width="33.25" style="1" customWidth="1"/>
    <col min="7171" max="7175" width="10.375" style="1"/>
    <col min="7176" max="7176" width="13.625" style="1" customWidth="1"/>
    <col min="7177" max="7177" width="10.375" style="1"/>
    <col min="7178" max="7178" width="14.375" style="1" customWidth="1"/>
    <col min="7179" max="7179" width="10.375" style="1"/>
    <col min="7180" max="7180" width="11.625" style="1" bestFit="1" customWidth="1"/>
    <col min="7181" max="7183" width="10.375" style="1"/>
    <col min="7184" max="7184" width="12.875" style="1" customWidth="1"/>
    <col min="7185" max="7185" width="10.375" style="1"/>
    <col min="7186" max="7186" width="13" style="1" customWidth="1"/>
    <col min="7187" max="7425" width="10.375" style="1"/>
    <col min="7426" max="7426" width="33.25" style="1" customWidth="1"/>
    <col min="7427" max="7431" width="10.375" style="1"/>
    <col min="7432" max="7432" width="13.625" style="1" customWidth="1"/>
    <col min="7433" max="7433" width="10.375" style="1"/>
    <col min="7434" max="7434" width="14.375" style="1" customWidth="1"/>
    <col min="7435" max="7435" width="10.375" style="1"/>
    <col min="7436" max="7436" width="11.625" style="1" bestFit="1" customWidth="1"/>
    <col min="7437" max="7439" width="10.375" style="1"/>
    <col min="7440" max="7440" width="12.875" style="1" customWidth="1"/>
    <col min="7441" max="7441" width="10.375" style="1"/>
    <col min="7442" max="7442" width="13" style="1" customWidth="1"/>
    <col min="7443" max="7681" width="10.375" style="1"/>
    <col min="7682" max="7682" width="33.25" style="1" customWidth="1"/>
    <col min="7683" max="7687" width="10.375" style="1"/>
    <col min="7688" max="7688" width="13.625" style="1" customWidth="1"/>
    <col min="7689" max="7689" width="10.375" style="1"/>
    <col min="7690" max="7690" width="14.375" style="1" customWidth="1"/>
    <col min="7691" max="7691" width="10.375" style="1"/>
    <col min="7692" max="7692" width="11.625" style="1" bestFit="1" customWidth="1"/>
    <col min="7693" max="7695" width="10.375" style="1"/>
    <col min="7696" max="7696" width="12.875" style="1" customWidth="1"/>
    <col min="7697" max="7697" width="10.375" style="1"/>
    <col min="7698" max="7698" width="13" style="1" customWidth="1"/>
    <col min="7699" max="7937" width="10.375" style="1"/>
    <col min="7938" max="7938" width="33.25" style="1" customWidth="1"/>
    <col min="7939" max="7943" width="10.375" style="1"/>
    <col min="7944" max="7944" width="13.625" style="1" customWidth="1"/>
    <col min="7945" max="7945" width="10.375" style="1"/>
    <col min="7946" max="7946" width="14.375" style="1" customWidth="1"/>
    <col min="7947" max="7947" width="10.375" style="1"/>
    <col min="7948" max="7948" width="11.625" style="1" bestFit="1" customWidth="1"/>
    <col min="7949" max="7951" width="10.375" style="1"/>
    <col min="7952" max="7952" width="12.875" style="1" customWidth="1"/>
    <col min="7953" max="7953" width="10.375" style="1"/>
    <col min="7954" max="7954" width="13" style="1" customWidth="1"/>
    <col min="7955" max="8193" width="10.375" style="1"/>
    <col min="8194" max="8194" width="33.25" style="1" customWidth="1"/>
    <col min="8195" max="8199" width="10.375" style="1"/>
    <col min="8200" max="8200" width="13.625" style="1" customWidth="1"/>
    <col min="8201" max="8201" width="10.375" style="1"/>
    <col min="8202" max="8202" width="14.375" style="1" customWidth="1"/>
    <col min="8203" max="8203" width="10.375" style="1"/>
    <col min="8204" max="8204" width="11.625" style="1" bestFit="1" customWidth="1"/>
    <col min="8205" max="8207" width="10.375" style="1"/>
    <col min="8208" max="8208" width="12.875" style="1" customWidth="1"/>
    <col min="8209" max="8209" width="10.375" style="1"/>
    <col min="8210" max="8210" width="13" style="1" customWidth="1"/>
    <col min="8211" max="8449" width="10.375" style="1"/>
    <col min="8450" max="8450" width="33.25" style="1" customWidth="1"/>
    <col min="8451" max="8455" width="10.375" style="1"/>
    <col min="8456" max="8456" width="13.625" style="1" customWidth="1"/>
    <col min="8457" max="8457" width="10.375" style="1"/>
    <col min="8458" max="8458" width="14.375" style="1" customWidth="1"/>
    <col min="8459" max="8459" width="10.375" style="1"/>
    <col min="8460" max="8460" width="11.625" style="1" bestFit="1" customWidth="1"/>
    <col min="8461" max="8463" width="10.375" style="1"/>
    <col min="8464" max="8464" width="12.875" style="1" customWidth="1"/>
    <col min="8465" max="8465" width="10.375" style="1"/>
    <col min="8466" max="8466" width="13" style="1" customWidth="1"/>
    <col min="8467" max="8705" width="10.375" style="1"/>
    <col min="8706" max="8706" width="33.25" style="1" customWidth="1"/>
    <col min="8707" max="8711" width="10.375" style="1"/>
    <col min="8712" max="8712" width="13.625" style="1" customWidth="1"/>
    <col min="8713" max="8713" width="10.375" style="1"/>
    <col min="8714" max="8714" width="14.375" style="1" customWidth="1"/>
    <col min="8715" max="8715" width="10.375" style="1"/>
    <col min="8716" max="8716" width="11.625" style="1" bestFit="1" customWidth="1"/>
    <col min="8717" max="8719" width="10.375" style="1"/>
    <col min="8720" max="8720" width="12.875" style="1" customWidth="1"/>
    <col min="8721" max="8721" width="10.375" style="1"/>
    <col min="8722" max="8722" width="13" style="1" customWidth="1"/>
    <col min="8723" max="8961" width="10.375" style="1"/>
    <col min="8962" max="8962" width="33.25" style="1" customWidth="1"/>
    <col min="8963" max="8967" width="10.375" style="1"/>
    <col min="8968" max="8968" width="13.625" style="1" customWidth="1"/>
    <col min="8969" max="8969" width="10.375" style="1"/>
    <col min="8970" max="8970" width="14.375" style="1" customWidth="1"/>
    <col min="8971" max="8971" width="10.375" style="1"/>
    <col min="8972" max="8972" width="11.625" style="1" bestFit="1" customWidth="1"/>
    <col min="8973" max="8975" width="10.375" style="1"/>
    <col min="8976" max="8976" width="12.875" style="1" customWidth="1"/>
    <col min="8977" max="8977" width="10.375" style="1"/>
    <col min="8978" max="8978" width="13" style="1" customWidth="1"/>
    <col min="8979" max="9217" width="10.375" style="1"/>
    <col min="9218" max="9218" width="33.25" style="1" customWidth="1"/>
    <col min="9219" max="9223" width="10.375" style="1"/>
    <col min="9224" max="9224" width="13.625" style="1" customWidth="1"/>
    <col min="9225" max="9225" width="10.375" style="1"/>
    <col min="9226" max="9226" width="14.375" style="1" customWidth="1"/>
    <col min="9227" max="9227" width="10.375" style="1"/>
    <col min="9228" max="9228" width="11.625" style="1" bestFit="1" customWidth="1"/>
    <col min="9229" max="9231" width="10.375" style="1"/>
    <col min="9232" max="9232" width="12.875" style="1" customWidth="1"/>
    <col min="9233" max="9233" width="10.375" style="1"/>
    <col min="9234" max="9234" width="13" style="1" customWidth="1"/>
    <col min="9235" max="9473" width="10.375" style="1"/>
    <col min="9474" max="9474" width="33.25" style="1" customWidth="1"/>
    <col min="9475" max="9479" width="10.375" style="1"/>
    <col min="9480" max="9480" width="13.625" style="1" customWidth="1"/>
    <col min="9481" max="9481" width="10.375" style="1"/>
    <col min="9482" max="9482" width="14.375" style="1" customWidth="1"/>
    <col min="9483" max="9483" width="10.375" style="1"/>
    <col min="9484" max="9484" width="11.625" style="1" bestFit="1" customWidth="1"/>
    <col min="9485" max="9487" width="10.375" style="1"/>
    <col min="9488" max="9488" width="12.875" style="1" customWidth="1"/>
    <col min="9489" max="9489" width="10.375" style="1"/>
    <col min="9490" max="9490" width="13" style="1" customWidth="1"/>
    <col min="9491" max="9729" width="10.375" style="1"/>
    <col min="9730" max="9730" width="33.25" style="1" customWidth="1"/>
    <col min="9731" max="9735" width="10.375" style="1"/>
    <col min="9736" max="9736" width="13.625" style="1" customWidth="1"/>
    <col min="9737" max="9737" width="10.375" style="1"/>
    <col min="9738" max="9738" width="14.375" style="1" customWidth="1"/>
    <col min="9739" max="9739" width="10.375" style="1"/>
    <col min="9740" max="9740" width="11.625" style="1" bestFit="1" customWidth="1"/>
    <col min="9741" max="9743" width="10.375" style="1"/>
    <col min="9744" max="9744" width="12.875" style="1" customWidth="1"/>
    <col min="9745" max="9745" width="10.375" style="1"/>
    <col min="9746" max="9746" width="13" style="1" customWidth="1"/>
    <col min="9747" max="9985" width="10.375" style="1"/>
    <col min="9986" max="9986" width="33.25" style="1" customWidth="1"/>
    <col min="9987" max="9991" width="10.375" style="1"/>
    <col min="9992" max="9992" width="13.625" style="1" customWidth="1"/>
    <col min="9993" max="9993" width="10.375" style="1"/>
    <col min="9994" max="9994" width="14.375" style="1" customWidth="1"/>
    <col min="9995" max="9995" width="10.375" style="1"/>
    <col min="9996" max="9996" width="11.625" style="1" bestFit="1" customWidth="1"/>
    <col min="9997" max="9999" width="10.375" style="1"/>
    <col min="10000" max="10000" width="12.875" style="1" customWidth="1"/>
    <col min="10001" max="10001" width="10.375" style="1"/>
    <col min="10002" max="10002" width="13" style="1" customWidth="1"/>
    <col min="10003" max="10241" width="10.375" style="1"/>
    <col min="10242" max="10242" width="33.25" style="1" customWidth="1"/>
    <col min="10243" max="10247" width="10.375" style="1"/>
    <col min="10248" max="10248" width="13.625" style="1" customWidth="1"/>
    <col min="10249" max="10249" width="10.375" style="1"/>
    <col min="10250" max="10250" width="14.375" style="1" customWidth="1"/>
    <col min="10251" max="10251" width="10.375" style="1"/>
    <col min="10252" max="10252" width="11.625" style="1" bestFit="1" customWidth="1"/>
    <col min="10253" max="10255" width="10.375" style="1"/>
    <col min="10256" max="10256" width="12.875" style="1" customWidth="1"/>
    <col min="10257" max="10257" width="10.375" style="1"/>
    <col min="10258" max="10258" width="13" style="1" customWidth="1"/>
    <col min="10259" max="10497" width="10.375" style="1"/>
    <col min="10498" max="10498" width="33.25" style="1" customWidth="1"/>
    <col min="10499" max="10503" width="10.375" style="1"/>
    <col min="10504" max="10504" width="13.625" style="1" customWidth="1"/>
    <col min="10505" max="10505" width="10.375" style="1"/>
    <col min="10506" max="10506" width="14.375" style="1" customWidth="1"/>
    <col min="10507" max="10507" width="10.375" style="1"/>
    <col min="10508" max="10508" width="11.625" style="1" bestFit="1" customWidth="1"/>
    <col min="10509" max="10511" width="10.375" style="1"/>
    <col min="10512" max="10512" width="12.875" style="1" customWidth="1"/>
    <col min="10513" max="10513" width="10.375" style="1"/>
    <col min="10514" max="10514" width="13" style="1" customWidth="1"/>
    <col min="10515" max="10753" width="10.375" style="1"/>
    <col min="10754" max="10754" width="33.25" style="1" customWidth="1"/>
    <col min="10755" max="10759" width="10.375" style="1"/>
    <col min="10760" max="10760" width="13.625" style="1" customWidth="1"/>
    <col min="10761" max="10761" width="10.375" style="1"/>
    <col min="10762" max="10762" width="14.375" style="1" customWidth="1"/>
    <col min="10763" max="10763" width="10.375" style="1"/>
    <col min="10764" max="10764" width="11.625" style="1" bestFit="1" customWidth="1"/>
    <col min="10765" max="10767" width="10.375" style="1"/>
    <col min="10768" max="10768" width="12.875" style="1" customWidth="1"/>
    <col min="10769" max="10769" width="10.375" style="1"/>
    <col min="10770" max="10770" width="13" style="1" customWidth="1"/>
    <col min="10771" max="11009" width="10.375" style="1"/>
    <col min="11010" max="11010" width="33.25" style="1" customWidth="1"/>
    <col min="11011" max="11015" width="10.375" style="1"/>
    <col min="11016" max="11016" width="13.625" style="1" customWidth="1"/>
    <col min="11017" max="11017" width="10.375" style="1"/>
    <col min="11018" max="11018" width="14.375" style="1" customWidth="1"/>
    <col min="11019" max="11019" width="10.375" style="1"/>
    <col min="11020" max="11020" width="11.625" style="1" bestFit="1" customWidth="1"/>
    <col min="11021" max="11023" width="10.375" style="1"/>
    <col min="11024" max="11024" width="12.875" style="1" customWidth="1"/>
    <col min="11025" max="11025" width="10.375" style="1"/>
    <col min="11026" max="11026" width="13" style="1" customWidth="1"/>
    <col min="11027" max="11265" width="10.375" style="1"/>
    <col min="11266" max="11266" width="33.25" style="1" customWidth="1"/>
    <col min="11267" max="11271" width="10.375" style="1"/>
    <col min="11272" max="11272" width="13.625" style="1" customWidth="1"/>
    <col min="11273" max="11273" width="10.375" style="1"/>
    <col min="11274" max="11274" width="14.375" style="1" customWidth="1"/>
    <col min="11275" max="11275" width="10.375" style="1"/>
    <col min="11276" max="11276" width="11.625" style="1" bestFit="1" customWidth="1"/>
    <col min="11277" max="11279" width="10.375" style="1"/>
    <col min="11280" max="11280" width="12.875" style="1" customWidth="1"/>
    <col min="11281" max="11281" width="10.375" style="1"/>
    <col min="11282" max="11282" width="13" style="1" customWidth="1"/>
    <col min="11283" max="11521" width="10.375" style="1"/>
    <col min="11522" max="11522" width="33.25" style="1" customWidth="1"/>
    <col min="11523" max="11527" width="10.375" style="1"/>
    <col min="11528" max="11528" width="13.625" style="1" customWidth="1"/>
    <col min="11529" max="11529" width="10.375" style="1"/>
    <col min="11530" max="11530" width="14.375" style="1" customWidth="1"/>
    <col min="11531" max="11531" width="10.375" style="1"/>
    <col min="11532" max="11532" width="11.625" style="1" bestFit="1" customWidth="1"/>
    <col min="11533" max="11535" width="10.375" style="1"/>
    <col min="11536" max="11536" width="12.875" style="1" customWidth="1"/>
    <col min="11537" max="11537" width="10.375" style="1"/>
    <col min="11538" max="11538" width="13" style="1" customWidth="1"/>
    <col min="11539" max="11777" width="10.375" style="1"/>
    <col min="11778" max="11778" width="33.25" style="1" customWidth="1"/>
    <col min="11779" max="11783" width="10.375" style="1"/>
    <col min="11784" max="11784" width="13.625" style="1" customWidth="1"/>
    <col min="11785" max="11785" width="10.375" style="1"/>
    <col min="11786" max="11786" width="14.375" style="1" customWidth="1"/>
    <col min="11787" max="11787" width="10.375" style="1"/>
    <col min="11788" max="11788" width="11.625" style="1" bestFit="1" customWidth="1"/>
    <col min="11789" max="11791" width="10.375" style="1"/>
    <col min="11792" max="11792" width="12.875" style="1" customWidth="1"/>
    <col min="11793" max="11793" width="10.375" style="1"/>
    <col min="11794" max="11794" width="13" style="1" customWidth="1"/>
    <col min="11795" max="12033" width="10.375" style="1"/>
    <col min="12034" max="12034" width="33.25" style="1" customWidth="1"/>
    <col min="12035" max="12039" width="10.375" style="1"/>
    <col min="12040" max="12040" width="13.625" style="1" customWidth="1"/>
    <col min="12041" max="12041" width="10.375" style="1"/>
    <col min="12042" max="12042" width="14.375" style="1" customWidth="1"/>
    <col min="12043" max="12043" width="10.375" style="1"/>
    <col min="12044" max="12044" width="11.625" style="1" bestFit="1" customWidth="1"/>
    <col min="12045" max="12047" width="10.375" style="1"/>
    <col min="12048" max="12048" width="12.875" style="1" customWidth="1"/>
    <col min="12049" max="12049" width="10.375" style="1"/>
    <col min="12050" max="12050" width="13" style="1" customWidth="1"/>
    <col min="12051" max="12289" width="10.375" style="1"/>
    <col min="12290" max="12290" width="33.25" style="1" customWidth="1"/>
    <col min="12291" max="12295" width="10.375" style="1"/>
    <col min="12296" max="12296" width="13.625" style="1" customWidth="1"/>
    <col min="12297" max="12297" width="10.375" style="1"/>
    <col min="12298" max="12298" width="14.375" style="1" customWidth="1"/>
    <col min="12299" max="12299" width="10.375" style="1"/>
    <col min="12300" max="12300" width="11.625" style="1" bestFit="1" customWidth="1"/>
    <col min="12301" max="12303" width="10.375" style="1"/>
    <col min="12304" max="12304" width="12.875" style="1" customWidth="1"/>
    <col min="12305" max="12305" width="10.375" style="1"/>
    <col min="12306" max="12306" width="13" style="1" customWidth="1"/>
    <col min="12307" max="12545" width="10.375" style="1"/>
    <col min="12546" max="12546" width="33.25" style="1" customWidth="1"/>
    <col min="12547" max="12551" width="10.375" style="1"/>
    <col min="12552" max="12552" width="13.625" style="1" customWidth="1"/>
    <col min="12553" max="12553" width="10.375" style="1"/>
    <col min="12554" max="12554" width="14.375" style="1" customWidth="1"/>
    <col min="12555" max="12555" width="10.375" style="1"/>
    <col min="12556" max="12556" width="11.625" style="1" bestFit="1" customWidth="1"/>
    <col min="12557" max="12559" width="10.375" style="1"/>
    <col min="12560" max="12560" width="12.875" style="1" customWidth="1"/>
    <col min="12561" max="12561" width="10.375" style="1"/>
    <col min="12562" max="12562" width="13" style="1" customWidth="1"/>
    <col min="12563" max="12801" width="10.375" style="1"/>
    <col min="12802" max="12802" width="33.25" style="1" customWidth="1"/>
    <col min="12803" max="12807" width="10.375" style="1"/>
    <col min="12808" max="12808" width="13.625" style="1" customWidth="1"/>
    <col min="12809" max="12809" width="10.375" style="1"/>
    <col min="12810" max="12810" width="14.375" style="1" customWidth="1"/>
    <col min="12811" max="12811" width="10.375" style="1"/>
    <col min="12812" max="12812" width="11.625" style="1" bestFit="1" customWidth="1"/>
    <col min="12813" max="12815" width="10.375" style="1"/>
    <col min="12816" max="12816" width="12.875" style="1" customWidth="1"/>
    <col min="12817" max="12817" width="10.375" style="1"/>
    <col min="12818" max="12818" width="13" style="1" customWidth="1"/>
    <col min="12819" max="13057" width="10.375" style="1"/>
    <col min="13058" max="13058" width="33.25" style="1" customWidth="1"/>
    <col min="13059" max="13063" width="10.375" style="1"/>
    <col min="13064" max="13064" width="13.625" style="1" customWidth="1"/>
    <col min="13065" max="13065" width="10.375" style="1"/>
    <col min="13066" max="13066" width="14.375" style="1" customWidth="1"/>
    <col min="13067" max="13067" width="10.375" style="1"/>
    <col min="13068" max="13068" width="11.625" style="1" bestFit="1" customWidth="1"/>
    <col min="13069" max="13071" width="10.375" style="1"/>
    <col min="13072" max="13072" width="12.875" style="1" customWidth="1"/>
    <col min="13073" max="13073" width="10.375" style="1"/>
    <col min="13074" max="13074" width="13" style="1" customWidth="1"/>
    <col min="13075" max="13313" width="10.375" style="1"/>
    <col min="13314" max="13314" width="33.25" style="1" customWidth="1"/>
    <col min="13315" max="13319" width="10.375" style="1"/>
    <col min="13320" max="13320" width="13.625" style="1" customWidth="1"/>
    <col min="13321" max="13321" width="10.375" style="1"/>
    <col min="13322" max="13322" width="14.375" style="1" customWidth="1"/>
    <col min="13323" max="13323" width="10.375" style="1"/>
    <col min="13324" max="13324" width="11.625" style="1" bestFit="1" customWidth="1"/>
    <col min="13325" max="13327" width="10.375" style="1"/>
    <col min="13328" max="13328" width="12.875" style="1" customWidth="1"/>
    <col min="13329" max="13329" width="10.375" style="1"/>
    <col min="13330" max="13330" width="13" style="1" customWidth="1"/>
    <col min="13331" max="13569" width="10.375" style="1"/>
    <col min="13570" max="13570" width="33.25" style="1" customWidth="1"/>
    <col min="13571" max="13575" width="10.375" style="1"/>
    <col min="13576" max="13576" width="13.625" style="1" customWidth="1"/>
    <col min="13577" max="13577" width="10.375" style="1"/>
    <col min="13578" max="13578" width="14.375" style="1" customWidth="1"/>
    <col min="13579" max="13579" width="10.375" style="1"/>
    <col min="13580" max="13580" width="11.625" style="1" bestFit="1" customWidth="1"/>
    <col min="13581" max="13583" width="10.375" style="1"/>
    <col min="13584" max="13584" width="12.875" style="1" customWidth="1"/>
    <col min="13585" max="13585" width="10.375" style="1"/>
    <col min="13586" max="13586" width="13" style="1" customWidth="1"/>
    <col min="13587" max="13825" width="10.375" style="1"/>
    <col min="13826" max="13826" width="33.25" style="1" customWidth="1"/>
    <col min="13827" max="13831" width="10.375" style="1"/>
    <col min="13832" max="13832" width="13.625" style="1" customWidth="1"/>
    <col min="13833" max="13833" width="10.375" style="1"/>
    <col min="13834" max="13834" width="14.375" style="1" customWidth="1"/>
    <col min="13835" max="13835" width="10.375" style="1"/>
    <col min="13836" max="13836" width="11.625" style="1" bestFit="1" customWidth="1"/>
    <col min="13837" max="13839" width="10.375" style="1"/>
    <col min="13840" max="13840" width="12.875" style="1" customWidth="1"/>
    <col min="13841" max="13841" width="10.375" style="1"/>
    <col min="13842" max="13842" width="13" style="1" customWidth="1"/>
    <col min="13843" max="14081" width="10.375" style="1"/>
    <col min="14082" max="14082" width="33.25" style="1" customWidth="1"/>
    <col min="14083" max="14087" width="10.375" style="1"/>
    <col min="14088" max="14088" width="13.625" style="1" customWidth="1"/>
    <col min="14089" max="14089" width="10.375" style="1"/>
    <col min="14090" max="14090" width="14.375" style="1" customWidth="1"/>
    <col min="14091" max="14091" width="10.375" style="1"/>
    <col min="14092" max="14092" width="11.625" style="1" bestFit="1" customWidth="1"/>
    <col min="14093" max="14095" width="10.375" style="1"/>
    <col min="14096" max="14096" width="12.875" style="1" customWidth="1"/>
    <col min="14097" max="14097" width="10.375" style="1"/>
    <col min="14098" max="14098" width="13" style="1" customWidth="1"/>
    <col min="14099" max="14337" width="10.375" style="1"/>
    <col min="14338" max="14338" width="33.25" style="1" customWidth="1"/>
    <col min="14339" max="14343" width="10.375" style="1"/>
    <col min="14344" max="14344" width="13.625" style="1" customWidth="1"/>
    <col min="14345" max="14345" width="10.375" style="1"/>
    <col min="14346" max="14346" width="14.375" style="1" customWidth="1"/>
    <col min="14347" max="14347" width="10.375" style="1"/>
    <col min="14348" max="14348" width="11.625" style="1" bestFit="1" customWidth="1"/>
    <col min="14349" max="14351" width="10.375" style="1"/>
    <col min="14352" max="14352" width="12.875" style="1" customWidth="1"/>
    <col min="14353" max="14353" width="10.375" style="1"/>
    <col min="14354" max="14354" width="13" style="1" customWidth="1"/>
    <col min="14355" max="14593" width="10.375" style="1"/>
    <col min="14594" max="14594" width="33.25" style="1" customWidth="1"/>
    <col min="14595" max="14599" width="10.375" style="1"/>
    <col min="14600" max="14600" width="13.625" style="1" customWidth="1"/>
    <col min="14601" max="14601" width="10.375" style="1"/>
    <col min="14602" max="14602" width="14.375" style="1" customWidth="1"/>
    <col min="14603" max="14603" width="10.375" style="1"/>
    <col min="14604" max="14604" width="11.625" style="1" bestFit="1" customWidth="1"/>
    <col min="14605" max="14607" width="10.375" style="1"/>
    <col min="14608" max="14608" width="12.875" style="1" customWidth="1"/>
    <col min="14609" max="14609" width="10.375" style="1"/>
    <col min="14610" max="14610" width="13" style="1" customWidth="1"/>
    <col min="14611" max="14849" width="10.375" style="1"/>
    <col min="14850" max="14850" width="33.25" style="1" customWidth="1"/>
    <col min="14851" max="14855" width="10.375" style="1"/>
    <col min="14856" max="14856" width="13.625" style="1" customWidth="1"/>
    <col min="14857" max="14857" width="10.375" style="1"/>
    <col min="14858" max="14858" width="14.375" style="1" customWidth="1"/>
    <col min="14859" max="14859" width="10.375" style="1"/>
    <col min="14860" max="14860" width="11.625" style="1" bestFit="1" customWidth="1"/>
    <col min="14861" max="14863" width="10.375" style="1"/>
    <col min="14864" max="14864" width="12.875" style="1" customWidth="1"/>
    <col min="14865" max="14865" width="10.375" style="1"/>
    <col min="14866" max="14866" width="13" style="1" customWidth="1"/>
    <col min="14867" max="15105" width="10.375" style="1"/>
    <col min="15106" max="15106" width="33.25" style="1" customWidth="1"/>
    <col min="15107" max="15111" width="10.375" style="1"/>
    <col min="15112" max="15112" width="13.625" style="1" customWidth="1"/>
    <col min="15113" max="15113" width="10.375" style="1"/>
    <col min="15114" max="15114" width="14.375" style="1" customWidth="1"/>
    <col min="15115" max="15115" width="10.375" style="1"/>
    <col min="15116" max="15116" width="11.625" style="1" bestFit="1" customWidth="1"/>
    <col min="15117" max="15119" width="10.375" style="1"/>
    <col min="15120" max="15120" width="12.875" style="1" customWidth="1"/>
    <col min="15121" max="15121" width="10.375" style="1"/>
    <col min="15122" max="15122" width="13" style="1" customWidth="1"/>
    <col min="15123" max="15361" width="10.375" style="1"/>
    <col min="15362" max="15362" width="33.25" style="1" customWidth="1"/>
    <col min="15363" max="15367" width="10.375" style="1"/>
    <col min="15368" max="15368" width="13.625" style="1" customWidth="1"/>
    <col min="15369" max="15369" width="10.375" style="1"/>
    <col min="15370" max="15370" width="14.375" style="1" customWidth="1"/>
    <col min="15371" max="15371" width="10.375" style="1"/>
    <col min="15372" max="15372" width="11.625" style="1" bestFit="1" customWidth="1"/>
    <col min="15373" max="15375" width="10.375" style="1"/>
    <col min="15376" max="15376" width="12.875" style="1" customWidth="1"/>
    <col min="15377" max="15377" width="10.375" style="1"/>
    <col min="15378" max="15378" width="13" style="1" customWidth="1"/>
    <col min="15379" max="15617" width="10.375" style="1"/>
    <col min="15618" max="15618" width="33.25" style="1" customWidth="1"/>
    <col min="15619" max="15623" width="10.375" style="1"/>
    <col min="15624" max="15624" width="13.625" style="1" customWidth="1"/>
    <col min="15625" max="15625" width="10.375" style="1"/>
    <col min="15626" max="15626" width="14.375" style="1" customWidth="1"/>
    <col min="15627" max="15627" width="10.375" style="1"/>
    <col min="15628" max="15628" width="11.625" style="1" bestFit="1" customWidth="1"/>
    <col min="15629" max="15631" width="10.375" style="1"/>
    <col min="15632" max="15632" width="12.875" style="1" customWidth="1"/>
    <col min="15633" max="15633" width="10.375" style="1"/>
    <col min="15634" max="15634" width="13" style="1" customWidth="1"/>
    <col min="15635" max="15873" width="10.375" style="1"/>
    <col min="15874" max="15874" width="33.25" style="1" customWidth="1"/>
    <col min="15875" max="15879" width="10.375" style="1"/>
    <col min="15880" max="15880" width="13.625" style="1" customWidth="1"/>
    <col min="15881" max="15881" width="10.375" style="1"/>
    <col min="15882" max="15882" width="14.375" style="1" customWidth="1"/>
    <col min="15883" max="15883" width="10.375" style="1"/>
    <col min="15884" max="15884" width="11.625" style="1" bestFit="1" customWidth="1"/>
    <col min="15885" max="15887" width="10.375" style="1"/>
    <col min="15888" max="15888" width="12.875" style="1" customWidth="1"/>
    <col min="15889" max="15889" width="10.375" style="1"/>
    <col min="15890" max="15890" width="13" style="1" customWidth="1"/>
    <col min="15891" max="16129" width="10.375" style="1"/>
    <col min="16130" max="16130" width="33.25" style="1" customWidth="1"/>
    <col min="16131" max="16135" width="10.375" style="1"/>
    <col min="16136" max="16136" width="13.625" style="1" customWidth="1"/>
    <col min="16137" max="16137" width="10.375" style="1"/>
    <col min="16138" max="16138" width="14.375" style="1" customWidth="1"/>
    <col min="16139" max="16139" width="10.375" style="1"/>
    <col min="16140" max="16140" width="11.625" style="1" bestFit="1" customWidth="1"/>
    <col min="16141" max="16143" width="10.375" style="1"/>
    <col min="16144" max="16144" width="12.875" style="1" customWidth="1"/>
    <col min="16145" max="16145" width="10.375" style="1"/>
    <col min="16146" max="16146" width="13" style="1" customWidth="1"/>
    <col min="16147" max="16384" width="10.375" style="1"/>
  </cols>
  <sheetData>
    <row r="1" spans="1:18" ht="18.600000000000001">
      <c r="A1" s="175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</row>
    <row r="2" spans="1:18" ht="18.600000000000001">
      <c r="A2" s="176" t="s">
        <v>1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</row>
    <row r="3" spans="1:18" ht="18.600000000000001">
      <c r="A3" s="177" t="s">
        <v>61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</row>
    <row r="4" spans="1:18" ht="18.600000000000001">
      <c r="A4" s="178" t="s">
        <v>3</v>
      </c>
      <c r="B4" s="173" t="s">
        <v>4</v>
      </c>
      <c r="C4" s="173" t="s">
        <v>5</v>
      </c>
      <c r="D4" s="211" t="s">
        <v>6</v>
      </c>
      <c r="E4" s="182" t="s">
        <v>7</v>
      </c>
      <c r="F4" s="183"/>
      <c r="G4" s="183"/>
      <c r="H4" s="183"/>
      <c r="I4" s="183"/>
      <c r="J4" s="184"/>
      <c r="K4" s="214" t="s">
        <v>8</v>
      </c>
      <c r="L4" s="215"/>
      <c r="M4" s="216"/>
      <c r="N4" s="182" t="s">
        <v>9</v>
      </c>
      <c r="O4" s="183"/>
      <c r="P4" s="183"/>
      <c r="Q4" s="183"/>
      <c r="R4" s="184"/>
    </row>
    <row r="5" spans="1:18" ht="18.600000000000001">
      <c r="A5" s="179"/>
      <c r="B5" s="181"/>
      <c r="C5" s="181"/>
      <c r="D5" s="212"/>
      <c r="E5" s="178" t="s">
        <v>10</v>
      </c>
      <c r="F5" s="187" t="s">
        <v>11</v>
      </c>
      <c r="G5" s="187" t="s">
        <v>12</v>
      </c>
      <c r="H5" s="182" t="s">
        <v>13</v>
      </c>
      <c r="I5" s="183"/>
      <c r="J5" s="184"/>
      <c r="K5" s="207" t="s">
        <v>14</v>
      </c>
      <c r="L5" s="209" t="s">
        <v>15</v>
      </c>
      <c r="M5" s="205" t="s">
        <v>16</v>
      </c>
      <c r="N5" s="185" t="s">
        <v>10</v>
      </c>
      <c r="O5" s="187" t="s">
        <v>12</v>
      </c>
      <c r="P5" s="182" t="s">
        <v>13</v>
      </c>
      <c r="Q5" s="183"/>
      <c r="R5" s="184"/>
    </row>
    <row r="6" spans="1:18" ht="16.8">
      <c r="A6" s="180"/>
      <c r="B6" s="174"/>
      <c r="C6" s="174"/>
      <c r="D6" s="213"/>
      <c r="E6" s="180"/>
      <c r="F6" s="188"/>
      <c r="G6" s="188"/>
      <c r="H6" s="5" t="s">
        <v>17</v>
      </c>
      <c r="I6" s="6" t="s">
        <v>18</v>
      </c>
      <c r="J6" s="7" t="s">
        <v>19</v>
      </c>
      <c r="K6" s="208"/>
      <c r="L6" s="210"/>
      <c r="M6" s="206"/>
      <c r="N6" s="186"/>
      <c r="O6" s="188"/>
      <c r="P6" s="5" t="s">
        <v>17</v>
      </c>
      <c r="Q6" s="6" t="s">
        <v>18</v>
      </c>
      <c r="R6" s="7" t="s">
        <v>19</v>
      </c>
    </row>
    <row r="7" spans="1:18" ht="18.600000000000001">
      <c r="A7" s="8"/>
      <c r="B7" s="9" t="s">
        <v>20</v>
      </c>
      <c r="C7" s="10"/>
      <c r="D7" s="11"/>
      <c r="E7" s="12"/>
      <c r="F7" s="12"/>
      <c r="G7" s="13"/>
      <c r="H7" s="14"/>
      <c r="I7" s="15"/>
      <c r="J7" s="11"/>
      <c r="K7" s="16"/>
      <c r="L7" s="17"/>
      <c r="M7" s="18"/>
      <c r="N7" s="19"/>
      <c r="O7" s="13"/>
      <c r="P7" s="13"/>
      <c r="Q7" s="13"/>
      <c r="R7" s="20"/>
    </row>
    <row r="8" spans="1:18" ht="18.600000000000001">
      <c r="A8" s="8">
        <v>1</v>
      </c>
      <c r="B8" s="21"/>
      <c r="C8" s="22"/>
      <c r="D8" s="23">
        <v>0</v>
      </c>
      <c r="E8" s="24"/>
      <c r="F8" s="24"/>
      <c r="G8" s="25"/>
      <c r="H8" s="26">
        <v>0</v>
      </c>
      <c r="I8" s="27">
        <f>H8*0.07</f>
        <v>0</v>
      </c>
      <c r="J8" s="23">
        <v>0</v>
      </c>
      <c r="K8" s="28"/>
      <c r="L8" s="29"/>
      <c r="M8" s="30">
        <v>0</v>
      </c>
      <c r="N8" s="31"/>
      <c r="O8" s="25"/>
      <c r="P8" s="27">
        <f>ROUND(R8*100/107,2)</f>
        <v>0</v>
      </c>
      <c r="Q8" s="27">
        <f>P8*0.07</f>
        <v>0</v>
      </c>
      <c r="R8" s="32">
        <f>D8+J8-M8</f>
        <v>0</v>
      </c>
    </row>
    <row r="9" spans="1:18" ht="18.600000000000001">
      <c r="A9" s="8">
        <f>+A8+1</f>
        <v>2</v>
      </c>
      <c r="B9" s="33" t="s">
        <v>21</v>
      </c>
      <c r="C9" s="22"/>
      <c r="D9" s="23">
        <v>0</v>
      </c>
      <c r="E9" s="24"/>
      <c r="F9" s="24"/>
      <c r="G9" s="25"/>
      <c r="H9" s="34">
        <v>0</v>
      </c>
      <c r="I9" s="35">
        <f>H9*0.07</f>
        <v>0</v>
      </c>
      <c r="J9" s="36">
        <v>0</v>
      </c>
      <c r="K9" s="28"/>
      <c r="L9" s="29"/>
      <c r="M9" s="30">
        <v>0</v>
      </c>
      <c r="N9" s="31"/>
      <c r="O9" s="25"/>
      <c r="P9" s="27">
        <f>ROUND(R9*100/107,2)</f>
        <v>0</v>
      </c>
      <c r="Q9" s="27">
        <f>P9*0.07</f>
        <v>0</v>
      </c>
      <c r="R9" s="32">
        <f>D9+J9-M9</f>
        <v>0</v>
      </c>
    </row>
    <row r="10" spans="1:18" ht="18.600000000000001">
      <c r="A10" s="8">
        <f>+A9+1</f>
        <v>3</v>
      </c>
      <c r="B10" s="37"/>
      <c r="C10" s="22"/>
      <c r="D10" s="23">
        <v>0</v>
      </c>
      <c r="E10" s="24"/>
      <c r="F10" s="38"/>
      <c r="G10" s="39"/>
      <c r="H10" s="40">
        <f>J10*100/107</f>
        <v>0</v>
      </c>
      <c r="I10" s="40">
        <f>H10*0.07</f>
        <v>0</v>
      </c>
      <c r="J10" s="41">
        <v>0</v>
      </c>
      <c r="K10" s="28"/>
      <c r="L10" s="29"/>
      <c r="M10" s="30">
        <v>0</v>
      </c>
      <c r="N10" s="31"/>
      <c r="O10" s="25"/>
      <c r="P10" s="27">
        <f>ROUND(R10*100/107,2)</f>
        <v>0</v>
      </c>
      <c r="Q10" s="27">
        <f>P10*0.07</f>
        <v>0</v>
      </c>
      <c r="R10" s="32">
        <f>D10+J10-M10</f>
        <v>0</v>
      </c>
    </row>
    <row r="11" spans="1:18" ht="19.2" thickBot="1">
      <c r="A11" s="42"/>
      <c r="B11" s="191" t="s">
        <v>19</v>
      </c>
      <c r="C11" s="192"/>
      <c r="D11" s="43">
        <f>SUM(D8:D10)</f>
        <v>0</v>
      </c>
      <c r="E11" s="43"/>
      <c r="F11" s="43"/>
      <c r="G11" s="44"/>
      <c r="H11" s="44">
        <f>SUM(H8:H10)</f>
        <v>0</v>
      </c>
      <c r="I11" s="44">
        <f>SUM(I8:I10)</f>
        <v>0</v>
      </c>
      <c r="J11" s="44">
        <f>SUM(J8:J10)</f>
        <v>0</v>
      </c>
      <c r="K11" s="45"/>
      <c r="L11" s="46"/>
      <c r="M11" s="47">
        <f>SUM(M8:M10)</f>
        <v>0</v>
      </c>
      <c r="N11" s="48"/>
      <c r="O11" s="43"/>
      <c r="P11" s="49">
        <f>ROUND(R11*100/107,2)</f>
        <v>0</v>
      </c>
      <c r="Q11" s="49">
        <f>P11*0.07</f>
        <v>0</v>
      </c>
      <c r="R11" s="50">
        <f>SUM(R8:R10)</f>
        <v>0</v>
      </c>
    </row>
    <row r="12" spans="1:18" ht="19.2" thickTop="1">
      <c r="A12" s="8"/>
      <c r="B12" s="51" t="s">
        <v>22</v>
      </c>
      <c r="C12" s="52"/>
      <c r="D12" s="11"/>
      <c r="E12" s="12"/>
      <c r="F12" s="12"/>
      <c r="G12" s="53"/>
      <c r="H12" s="14"/>
      <c r="I12" s="15"/>
      <c r="J12" s="11"/>
      <c r="K12" s="16"/>
      <c r="L12" s="17"/>
      <c r="M12" s="18"/>
      <c r="N12" s="19"/>
      <c r="O12" s="13"/>
      <c r="P12" s="13"/>
      <c r="Q12" s="13"/>
      <c r="R12" s="20"/>
    </row>
    <row r="13" spans="1:18" ht="34.5" customHeight="1">
      <c r="A13" s="8">
        <v>1</v>
      </c>
      <c r="B13" s="203"/>
      <c r="C13" s="204"/>
      <c r="D13" s="23">
        <v>0</v>
      </c>
      <c r="E13" s="54"/>
      <c r="F13" s="54"/>
      <c r="G13" s="25"/>
      <c r="H13" s="26">
        <v>0</v>
      </c>
      <c r="I13" s="27">
        <f>H13*0.07</f>
        <v>0</v>
      </c>
      <c r="J13" s="23">
        <f>SUM(H13:I13)</f>
        <v>0</v>
      </c>
      <c r="K13" s="55">
        <v>0</v>
      </c>
      <c r="L13" s="56"/>
      <c r="M13" s="55">
        <v>0</v>
      </c>
      <c r="N13" s="31"/>
      <c r="O13" s="25"/>
      <c r="P13" s="27">
        <f>ROUND(R13*100/107,2)</f>
        <v>0</v>
      </c>
      <c r="Q13" s="27">
        <f>P13*0.07</f>
        <v>0</v>
      </c>
      <c r="R13" s="32">
        <f>D13+J13-M13</f>
        <v>0</v>
      </c>
    </row>
    <row r="14" spans="1:18" ht="29.25" customHeight="1">
      <c r="A14" s="8">
        <v>2</v>
      </c>
      <c r="B14" s="197" t="s">
        <v>21</v>
      </c>
      <c r="C14" s="198"/>
      <c r="D14" s="23">
        <v>0</v>
      </c>
      <c r="E14" s="31"/>
      <c r="F14" s="31"/>
      <c r="G14" s="25"/>
      <c r="H14" s="34">
        <v>0</v>
      </c>
      <c r="I14" s="27">
        <f>H14*0.07</f>
        <v>0</v>
      </c>
      <c r="J14" s="23">
        <f>SUM(H14:I14)</f>
        <v>0</v>
      </c>
      <c r="K14" s="58">
        <v>0</v>
      </c>
      <c r="L14" s="56"/>
      <c r="M14" s="55">
        <v>0</v>
      </c>
      <c r="N14" s="31"/>
      <c r="O14" s="25"/>
      <c r="P14" s="27">
        <f>ROUND(R14*100/107,2)</f>
        <v>0</v>
      </c>
      <c r="Q14" s="27">
        <f>P14*0.07</f>
        <v>0</v>
      </c>
      <c r="R14" s="32">
        <f>D14+J14-M14</f>
        <v>0</v>
      </c>
    </row>
    <row r="15" spans="1:18" ht="28.5" customHeight="1">
      <c r="A15" s="8">
        <f>+A14+1</f>
        <v>3</v>
      </c>
      <c r="B15" s="195"/>
      <c r="C15" s="196"/>
      <c r="D15" s="23">
        <v>0</v>
      </c>
      <c r="E15" s="24"/>
      <c r="F15" s="24"/>
      <c r="G15" s="25"/>
      <c r="H15" s="34">
        <v>0</v>
      </c>
      <c r="I15" s="27">
        <f>H15*0.07</f>
        <v>0</v>
      </c>
      <c r="J15" s="23">
        <f>SUM(H15:I15)</f>
        <v>0</v>
      </c>
      <c r="K15" s="55">
        <v>0</v>
      </c>
      <c r="L15" s="60"/>
      <c r="M15" s="55">
        <v>0</v>
      </c>
      <c r="N15" s="31"/>
      <c r="O15" s="25"/>
      <c r="P15" s="27">
        <f>ROUND(R15*100/107,2)</f>
        <v>0</v>
      </c>
      <c r="Q15" s="27">
        <f>P15*0.07</f>
        <v>0</v>
      </c>
      <c r="R15" s="32">
        <f>D15+J15-M15</f>
        <v>0</v>
      </c>
    </row>
    <row r="16" spans="1:18" ht="19.2" thickBot="1">
      <c r="A16" s="42"/>
      <c r="B16" s="191" t="s">
        <v>19</v>
      </c>
      <c r="C16" s="192"/>
      <c r="D16" s="43">
        <f>SUM(D13:D15)</f>
        <v>0</v>
      </c>
      <c r="E16" s="43"/>
      <c r="F16" s="43"/>
      <c r="G16" s="43"/>
      <c r="H16" s="43">
        <f>SUM(H13:H15)</f>
        <v>0</v>
      </c>
      <c r="I16" s="43">
        <f>SUM(I13:I15)</f>
        <v>0</v>
      </c>
      <c r="J16" s="43">
        <f>SUM(J13:J15)</f>
        <v>0</v>
      </c>
      <c r="K16" s="45"/>
      <c r="L16" s="46"/>
      <c r="M16" s="47">
        <f>SUM(M13:M15)</f>
        <v>0</v>
      </c>
      <c r="N16" s="48"/>
      <c r="O16" s="43"/>
      <c r="P16" s="49">
        <f>ROUND(R16*100/107,2)</f>
        <v>0</v>
      </c>
      <c r="Q16" s="49">
        <f>P16*0.07</f>
        <v>0</v>
      </c>
      <c r="R16" s="50">
        <f>SUM(R13:R15)</f>
        <v>0</v>
      </c>
    </row>
    <row r="17" spans="1:18" ht="19.2" thickTop="1">
      <c r="A17" s="8"/>
      <c r="B17" s="51" t="s">
        <v>23</v>
      </c>
      <c r="C17" s="52"/>
      <c r="D17" s="11"/>
      <c r="E17" s="12"/>
      <c r="F17" s="12"/>
      <c r="G17" s="13"/>
      <c r="H17" s="61"/>
      <c r="I17" s="35"/>
      <c r="J17" s="11"/>
      <c r="K17" s="16"/>
      <c r="L17" s="17"/>
      <c r="M17" s="18"/>
      <c r="N17" s="19"/>
      <c r="O17" s="13"/>
      <c r="P17" s="13"/>
      <c r="Q17" s="13"/>
      <c r="R17" s="20"/>
    </row>
    <row r="18" spans="1:18" ht="18.600000000000001">
      <c r="A18" s="8">
        <v>1</v>
      </c>
      <c r="B18" s="62"/>
      <c r="C18" s="63"/>
      <c r="D18" s="23">
        <v>0</v>
      </c>
      <c r="E18" s="24"/>
      <c r="F18" s="24"/>
      <c r="G18" s="25"/>
      <c r="H18" s="26">
        <v>0</v>
      </c>
      <c r="I18" s="27">
        <f>H18*0.07</f>
        <v>0</v>
      </c>
      <c r="J18" s="23">
        <v>0</v>
      </c>
      <c r="K18" s="28"/>
      <c r="L18" s="29"/>
      <c r="M18" s="30">
        <v>0</v>
      </c>
      <c r="N18" s="31"/>
      <c r="O18" s="25"/>
      <c r="P18" s="27">
        <f>ROUND(R18*100/107,2)</f>
        <v>0</v>
      </c>
      <c r="Q18" s="27">
        <f>P18*0.07</f>
        <v>0</v>
      </c>
      <c r="R18" s="32">
        <f>D18+J18-M18</f>
        <v>0</v>
      </c>
    </row>
    <row r="19" spans="1:18" ht="18.600000000000001">
      <c r="A19" s="8">
        <f>+A18+1</f>
        <v>2</v>
      </c>
      <c r="B19" s="64" t="s">
        <v>21</v>
      </c>
      <c r="C19" s="63"/>
      <c r="D19" s="23">
        <v>0</v>
      </c>
      <c r="E19" s="24"/>
      <c r="F19" s="24"/>
      <c r="G19" s="25"/>
      <c r="H19" s="34">
        <v>0</v>
      </c>
      <c r="I19" s="35">
        <f>H19*0.07</f>
        <v>0</v>
      </c>
      <c r="J19" s="36">
        <v>0</v>
      </c>
      <c r="K19" s="28"/>
      <c r="L19" s="29"/>
      <c r="M19" s="30">
        <v>0</v>
      </c>
      <c r="N19" s="31"/>
      <c r="O19" s="25"/>
      <c r="P19" s="27">
        <f>ROUND(R19*100/107,2)</f>
        <v>0</v>
      </c>
      <c r="Q19" s="27">
        <f>P19*0.07</f>
        <v>0</v>
      </c>
      <c r="R19" s="32">
        <f>D19+J19-M19</f>
        <v>0</v>
      </c>
    </row>
    <row r="20" spans="1:18" ht="18.600000000000001">
      <c r="A20" s="8">
        <f>+A19+1</f>
        <v>3</v>
      </c>
      <c r="B20" s="65"/>
      <c r="C20" s="63"/>
      <c r="D20" s="23">
        <v>0</v>
      </c>
      <c r="E20" s="24"/>
      <c r="F20" s="38"/>
      <c r="G20" s="39"/>
      <c r="H20" s="40">
        <f>J20*100/107</f>
        <v>0</v>
      </c>
      <c r="I20" s="40">
        <f>H20*0.07</f>
        <v>0</v>
      </c>
      <c r="J20" s="41">
        <v>0</v>
      </c>
      <c r="K20" s="28"/>
      <c r="L20" s="29"/>
      <c r="M20" s="30">
        <v>0</v>
      </c>
      <c r="N20" s="31"/>
      <c r="O20" s="25"/>
      <c r="P20" s="27">
        <f>ROUND(R20*100/107,2)</f>
        <v>0</v>
      </c>
      <c r="Q20" s="27">
        <f>P20*0.07</f>
        <v>0</v>
      </c>
      <c r="R20" s="32">
        <f>D20+J20-M20</f>
        <v>0</v>
      </c>
    </row>
    <row r="21" spans="1:18" ht="19.2" thickBot="1">
      <c r="A21" s="42"/>
      <c r="B21" s="191" t="s">
        <v>19</v>
      </c>
      <c r="C21" s="192"/>
      <c r="D21" s="43">
        <f>SUM(D18:D20)</f>
        <v>0</v>
      </c>
      <c r="E21" s="43"/>
      <c r="F21" s="43"/>
      <c r="G21" s="44"/>
      <c r="H21" s="44">
        <f>SUM(H18:H20)</f>
        <v>0</v>
      </c>
      <c r="I21" s="44">
        <f>SUM(I18:I20)</f>
        <v>0</v>
      </c>
      <c r="J21" s="44">
        <f>SUM(J18:J20)</f>
        <v>0</v>
      </c>
      <c r="K21" s="45"/>
      <c r="L21" s="46"/>
      <c r="M21" s="47">
        <f>SUM(M18:M20)</f>
        <v>0</v>
      </c>
      <c r="N21" s="48"/>
      <c r="O21" s="43"/>
      <c r="P21" s="49">
        <f>ROUND(R21*100/107,2)</f>
        <v>0</v>
      </c>
      <c r="Q21" s="49">
        <f>P21*0.07</f>
        <v>0</v>
      </c>
      <c r="R21" s="50">
        <f>SUM(R18:R20)</f>
        <v>0</v>
      </c>
    </row>
    <row r="22" spans="1:18" ht="19.2" thickTop="1">
      <c r="A22" s="8"/>
      <c r="B22" s="51" t="s">
        <v>24</v>
      </c>
      <c r="C22" s="52"/>
      <c r="D22" s="11"/>
      <c r="E22" s="12"/>
      <c r="F22" s="12"/>
      <c r="G22" s="53"/>
      <c r="H22" s="14"/>
      <c r="I22" s="15"/>
      <c r="J22" s="11"/>
      <c r="K22" s="16"/>
      <c r="L22" s="17"/>
      <c r="M22" s="18"/>
      <c r="N22" s="19"/>
      <c r="O22" s="13"/>
      <c r="P22" s="13"/>
      <c r="Q22" s="13"/>
      <c r="R22" s="20"/>
    </row>
    <row r="23" spans="1:18" ht="18.600000000000001">
      <c r="A23" s="8">
        <v>1</v>
      </c>
      <c r="B23" s="62"/>
      <c r="C23" s="63"/>
      <c r="D23" s="23"/>
      <c r="E23" s="24"/>
      <c r="F23" s="24"/>
      <c r="G23" s="25"/>
      <c r="H23" s="26">
        <v>0</v>
      </c>
      <c r="I23" s="27">
        <f>H23*0.07</f>
        <v>0</v>
      </c>
      <c r="J23" s="23">
        <v>0</v>
      </c>
      <c r="K23" s="28"/>
      <c r="L23" s="29"/>
      <c r="M23" s="30">
        <v>0</v>
      </c>
      <c r="N23" s="31"/>
      <c r="O23" s="25"/>
      <c r="P23" s="27">
        <f>ROUND(R23*100/107,2)</f>
        <v>0</v>
      </c>
      <c r="Q23" s="27">
        <f>P23*0.07</f>
        <v>0</v>
      </c>
      <c r="R23" s="32">
        <f>D23+J23-M23</f>
        <v>0</v>
      </c>
    </row>
    <row r="24" spans="1:18" ht="18.600000000000001">
      <c r="A24" s="8">
        <f>+A23+1</f>
        <v>2</v>
      </c>
      <c r="B24" s="64" t="s">
        <v>21</v>
      </c>
      <c r="C24" s="63"/>
      <c r="D24" s="23"/>
      <c r="E24" s="24"/>
      <c r="F24" s="24"/>
      <c r="G24" s="25"/>
      <c r="H24" s="26">
        <v>0</v>
      </c>
      <c r="I24" s="27">
        <f>H24*0.07</f>
        <v>0</v>
      </c>
      <c r="J24" s="23">
        <v>0</v>
      </c>
      <c r="K24" s="28"/>
      <c r="L24" s="29"/>
      <c r="M24" s="55">
        <v>0</v>
      </c>
      <c r="N24" s="31"/>
      <c r="O24" s="25"/>
      <c r="P24" s="27">
        <f>ROUND(R24*100/107,2)</f>
        <v>0</v>
      </c>
      <c r="Q24" s="27">
        <f>P24*0.07</f>
        <v>0</v>
      </c>
      <c r="R24" s="32">
        <f>D24+J24-M24</f>
        <v>0</v>
      </c>
    </row>
    <row r="25" spans="1:18" ht="18.600000000000001">
      <c r="A25" s="8">
        <f>+A24+1</f>
        <v>3</v>
      </c>
      <c r="B25" s="65"/>
      <c r="C25" s="63"/>
      <c r="D25" s="23"/>
      <c r="E25" s="24"/>
      <c r="F25" s="38"/>
      <c r="G25" s="39"/>
      <c r="H25" s="40">
        <v>0</v>
      </c>
      <c r="I25" s="40">
        <f>H25*0.07</f>
        <v>0</v>
      </c>
      <c r="J25" s="66">
        <v>0</v>
      </c>
      <c r="K25" s="28"/>
      <c r="L25" s="29"/>
      <c r="M25" s="55">
        <v>0</v>
      </c>
      <c r="N25" s="31"/>
      <c r="O25" s="25"/>
      <c r="P25" s="27">
        <f>ROUND(R25*100/107,2)</f>
        <v>0</v>
      </c>
      <c r="Q25" s="27">
        <f>P25*0.07</f>
        <v>0</v>
      </c>
      <c r="R25" s="32">
        <f>D25+J25-M25</f>
        <v>0</v>
      </c>
    </row>
    <row r="26" spans="1:18" ht="19.2" thickBot="1">
      <c r="A26" s="42"/>
      <c r="B26" s="191" t="s">
        <v>19</v>
      </c>
      <c r="C26" s="192"/>
      <c r="D26" s="43">
        <f>SUM(D23:D25)</f>
        <v>0</v>
      </c>
      <c r="E26" s="43"/>
      <c r="F26" s="43"/>
      <c r="G26" s="44"/>
      <c r="H26" s="44">
        <f>SUM(H23:H25)</f>
        <v>0</v>
      </c>
      <c r="I26" s="44">
        <f>SUM(I23:I25)</f>
        <v>0</v>
      </c>
      <c r="J26" s="44">
        <f>SUM(J23:J25)</f>
        <v>0</v>
      </c>
      <c r="K26" s="45"/>
      <c r="L26" s="46"/>
      <c r="M26" s="47">
        <f>SUM(M23:M25)</f>
        <v>0</v>
      </c>
      <c r="N26" s="48"/>
      <c r="O26" s="43"/>
      <c r="P26" s="49">
        <f>ROUND(R26*100/107,2)</f>
        <v>0</v>
      </c>
      <c r="Q26" s="49">
        <f>P26*0.07</f>
        <v>0</v>
      </c>
      <c r="R26" s="50">
        <f>SUM(R23:R25)</f>
        <v>0</v>
      </c>
    </row>
    <row r="27" spans="1:18" ht="19.2" thickTop="1">
      <c r="A27" s="8"/>
      <c r="B27" s="67"/>
      <c r="C27" s="68"/>
      <c r="D27" s="69"/>
      <c r="E27" s="70"/>
      <c r="F27" s="70"/>
      <c r="G27" s="71"/>
      <c r="H27" s="72"/>
      <c r="I27" s="73"/>
      <c r="J27" s="69"/>
      <c r="K27" s="74"/>
      <c r="L27" s="75"/>
      <c r="M27" s="76"/>
      <c r="N27" s="77"/>
      <c r="O27" s="78"/>
      <c r="P27" s="78"/>
      <c r="Q27" s="78"/>
      <c r="R27" s="79"/>
    </row>
    <row r="28" spans="1:18" ht="18.600000000000001">
      <c r="A28" s="8"/>
      <c r="B28" s="80" t="s">
        <v>25</v>
      </c>
      <c r="C28" s="68"/>
      <c r="D28" s="23"/>
      <c r="E28" s="24"/>
      <c r="F28" s="24"/>
      <c r="G28" s="25"/>
      <c r="H28" s="81"/>
      <c r="I28" s="27"/>
      <c r="J28" s="23"/>
      <c r="K28" s="28"/>
      <c r="L28" s="29"/>
      <c r="M28" s="55"/>
      <c r="N28" s="31"/>
      <c r="O28" s="25"/>
      <c r="P28" s="25"/>
      <c r="Q28" s="25"/>
      <c r="R28" s="32"/>
    </row>
    <row r="29" spans="1:18" ht="18.600000000000001">
      <c r="A29" s="8">
        <f>+A28+1</f>
        <v>1</v>
      </c>
      <c r="B29" s="195"/>
      <c r="C29" s="196"/>
      <c r="D29" s="23">
        <v>0</v>
      </c>
      <c r="E29" s="24"/>
      <c r="F29" s="24"/>
      <c r="G29" s="25"/>
      <c r="H29" s="34">
        <v>0</v>
      </c>
      <c r="I29" s="27">
        <f>H29*0.07</f>
        <v>0</v>
      </c>
      <c r="J29" s="36">
        <v>0</v>
      </c>
      <c r="K29" s="82"/>
      <c r="L29" s="83"/>
      <c r="M29" s="30">
        <v>0</v>
      </c>
      <c r="N29" s="31"/>
      <c r="O29" s="25"/>
      <c r="P29" s="27">
        <f>ROUND(R29*100/107,2)</f>
        <v>0</v>
      </c>
      <c r="Q29" s="27">
        <f>P29*0.07</f>
        <v>0</v>
      </c>
      <c r="R29" s="32">
        <f>D29+J29-M29</f>
        <v>0</v>
      </c>
    </row>
    <row r="30" spans="1:18" ht="18.600000000000001">
      <c r="A30" s="8">
        <v>2</v>
      </c>
      <c r="B30" s="57" t="s">
        <v>21</v>
      </c>
      <c r="C30" s="59"/>
      <c r="D30" s="23">
        <v>0</v>
      </c>
      <c r="E30" s="24"/>
      <c r="F30" s="38"/>
      <c r="G30" s="84"/>
      <c r="H30" s="34">
        <v>0</v>
      </c>
      <c r="I30" s="85">
        <v>0</v>
      </c>
      <c r="J30" s="86">
        <v>0</v>
      </c>
      <c r="K30" s="82"/>
      <c r="L30" s="83"/>
      <c r="M30" s="30"/>
      <c r="N30" s="31"/>
      <c r="O30" s="25"/>
      <c r="P30" s="27">
        <f>ROUND(R30*100/107,2)</f>
        <v>0</v>
      </c>
      <c r="Q30" s="27">
        <f>P30*0.07</f>
        <v>0</v>
      </c>
      <c r="R30" s="32">
        <f>D30+J30-M30</f>
        <v>0</v>
      </c>
    </row>
    <row r="31" spans="1:18" ht="18.600000000000001">
      <c r="A31" s="8">
        <v>3</v>
      </c>
      <c r="B31" s="195"/>
      <c r="C31" s="196"/>
      <c r="D31" s="23">
        <v>0</v>
      </c>
      <c r="E31" s="24"/>
      <c r="F31" s="38"/>
      <c r="G31" s="39"/>
      <c r="H31" s="40">
        <f>J31*100/107</f>
        <v>0</v>
      </c>
      <c r="I31" s="40">
        <f>H31*0.07</f>
        <v>0</v>
      </c>
      <c r="J31" s="41">
        <v>0</v>
      </c>
      <c r="K31" s="82"/>
      <c r="L31" s="83"/>
      <c r="M31" s="30">
        <v>0</v>
      </c>
      <c r="N31" s="31"/>
      <c r="O31" s="25"/>
      <c r="P31" s="27">
        <f>ROUND(R31*100/107,2)</f>
        <v>0</v>
      </c>
      <c r="Q31" s="27">
        <f>P31*0.07</f>
        <v>0</v>
      </c>
      <c r="R31" s="32">
        <f>D31+J31-M31</f>
        <v>0</v>
      </c>
    </row>
    <row r="32" spans="1:18" ht="19.2" thickBot="1">
      <c r="A32" s="42"/>
      <c r="B32" s="191" t="s">
        <v>19</v>
      </c>
      <c r="C32" s="192"/>
      <c r="D32" s="43">
        <f>SUM(D28:D31)</f>
        <v>0</v>
      </c>
      <c r="E32" s="43"/>
      <c r="F32" s="43"/>
      <c r="G32" s="44"/>
      <c r="H32" s="44">
        <f>SUM(H28:H31)</f>
        <v>0</v>
      </c>
      <c r="I32" s="44">
        <f>SUM(I28:I31)</f>
        <v>0</v>
      </c>
      <c r="J32" s="44">
        <f>SUM(J28:J31)</f>
        <v>0</v>
      </c>
      <c r="K32" s="45"/>
      <c r="L32" s="46"/>
      <c r="M32" s="47">
        <f>SUM(M28:M31)</f>
        <v>0</v>
      </c>
      <c r="N32" s="48"/>
      <c r="O32" s="43"/>
      <c r="P32" s="49">
        <f>ROUND(R32*100/107,2)</f>
        <v>0</v>
      </c>
      <c r="Q32" s="49">
        <f>P32*0.07</f>
        <v>0</v>
      </c>
      <c r="R32" s="50">
        <f>SUM(R28:R31)</f>
        <v>0</v>
      </c>
    </row>
    <row r="33" spans="1:18" ht="19.2" thickTop="1">
      <c r="A33" s="8"/>
      <c r="B33" s="51" t="s">
        <v>26</v>
      </c>
      <c r="C33" s="52"/>
      <c r="D33" s="11"/>
      <c r="E33" s="12"/>
      <c r="F33" s="12"/>
      <c r="G33" s="53"/>
      <c r="H33" s="14"/>
      <c r="I33" s="15"/>
      <c r="J33" s="11"/>
      <c r="K33" s="16"/>
      <c r="L33" s="17"/>
      <c r="M33" s="18"/>
      <c r="N33" s="19"/>
      <c r="O33" s="13"/>
      <c r="P33" s="13"/>
      <c r="Q33" s="13"/>
      <c r="R33" s="20"/>
    </row>
    <row r="34" spans="1:18" ht="18.600000000000001">
      <c r="A34" s="8">
        <v>1</v>
      </c>
      <c r="B34" s="33" t="s">
        <v>21</v>
      </c>
      <c r="C34" s="87"/>
      <c r="D34" s="23">
        <v>0</v>
      </c>
      <c r="E34" s="24"/>
      <c r="F34" s="24"/>
      <c r="G34" s="25"/>
      <c r="H34" s="27">
        <v>0</v>
      </c>
      <c r="I34" s="27">
        <f>H34*0.07</f>
        <v>0</v>
      </c>
      <c r="J34" s="36">
        <v>0</v>
      </c>
      <c r="K34" s="28"/>
      <c r="L34" s="29"/>
      <c r="M34" s="30">
        <v>0</v>
      </c>
      <c r="N34" s="31"/>
      <c r="O34" s="25"/>
      <c r="P34" s="27">
        <f>ROUND(R34*100/107,2)</f>
        <v>0</v>
      </c>
      <c r="Q34" s="27">
        <f>P34*0.07</f>
        <v>0</v>
      </c>
      <c r="R34" s="32">
        <f>D34+J34-M34</f>
        <v>0</v>
      </c>
    </row>
    <row r="35" spans="1:18" ht="18.600000000000001">
      <c r="A35" s="8">
        <v>2</v>
      </c>
      <c r="B35" s="33"/>
      <c r="C35" s="87"/>
      <c r="D35" s="23"/>
      <c r="E35" s="24"/>
      <c r="F35" s="38"/>
      <c r="G35" s="84"/>
      <c r="H35" s="34"/>
      <c r="I35" s="34"/>
      <c r="J35" s="86"/>
      <c r="K35" s="28"/>
      <c r="L35" s="29"/>
      <c r="M35" s="30"/>
      <c r="N35" s="31"/>
      <c r="O35" s="25"/>
      <c r="P35" s="27"/>
      <c r="Q35" s="27"/>
      <c r="R35" s="32"/>
    </row>
    <row r="36" spans="1:18" ht="18.600000000000001">
      <c r="A36" s="8">
        <v>3</v>
      </c>
      <c r="B36" s="37"/>
      <c r="C36" s="22"/>
      <c r="D36" s="23">
        <v>0</v>
      </c>
      <c r="E36" s="24"/>
      <c r="F36" s="38"/>
      <c r="G36" s="39"/>
      <c r="H36" s="40">
        <f>J36*100/107</f>
        <v>0</v>
      </c>
      <c r="I36" s="40">
        <f>H36*0.07</f>
        <v>0</v>
      </c>
      <c r="J36" s="41">
        <v>0</v>
      </c>
      <c r="K36" s="28"/>
      <c r="L36" s="29"/>
      <c r="M36" s="30">
        <v>0</v>
      </c>
      <c r="N36" s="31"/>
      <c r="O36" s="25"/>
      <c r="P36" s="27">
        <f>ROUND(R36*100/107,2)</f>
        <v>0</v>
      </c>
      <c r="Q36" s="27">
        <f>P36*0.07</f>
        <v>0</v>
      </c>
      <c r="R36" s="32">
        <f>D36+J36-M36</f>
        <v>0</v>
      </c>
    </row>
    <row r="37" spans="1:18" ht="19.2" thickBot="1">
      <c r="A37" s="42"/>
      <c r="B37" s="191" t="s">
        <v>19</v>
      </c>
      <c r="C37" s="192"/>
      <c r="D37" s="43">
        <f>SUM(D34:D36)</f>
        <v>0</v>
      </c>
      <c r="E37" s="43"/>
      <c r="F37" s="43"/>
      <c r="G37" s="44"/>
      <c r="H37" s="44">
        <f>SUM(H34:H36)</f>
        <v>0</v>
      </c>
      <c r="I37" s="44">
        <f>SUM(I34:I36)</f>
        <v>0</v>
      </c>
      <c r="J37" s="44">
        <f>SUM(J34:J36)</f>
        <v>0</v>
      </c>
      <c r="K37" s="45"/>
      <c r="L37" s="46"/>
      <c r="M37" s="47">
        <f>SUM(M34:M36)</f>
        <v>0</v>
      </c>
      <c r="N37" s="48"/>
      <c r="O37" s="43"/>
      <c r="P37" s="49">
        <f>ROUND(R37*100/107,2)</f>
        <v>0</v>
      </c>
      <c r="Q37" s="49">
        <f>P37*0.07</f>
        <v>0</v>
      </c>
      <c r="R37" s="50">
        <f>SUM(R34:R36)</f>
        <v>0</v>
      </c>
    </row>
    <row r="38" spans="1:18" ht="19.2" thickTop="1">
      <c r="A38" s="42"/>
      <c r="B38" s="88" t="s">
        <v>27</v>
      </c>
      <c r="C38" s="52"/>
      <c r="D38" s="11"/>
      <c r="E38" s="12"/>
      <c r="F38" s="12"/>
      <c r="G38" s="13"/>
      <c r="H38" s="13"/>
      <c r="I38" s="13"/>
      <c r="J38" s="11"/>
      <c r="K38" s="16"/>
      <c r="L38" s="17"/>
      <c r="M38" s="18"/>
      <c r="N38" s="19"/>
      <c r="O38" s="13"/>
      <c r="P38" s="13"/>
      <c r="Q38" s="13"/>
      <c r="R38" s="89"/>
    </row>
    <row r="39" spans="1:18" ht="30.75" customHeight="1">
      <c r="A39" s="42">
        <v>1</v>
      </c>
      <c r="B39" s="195"/>
      <c r="C39" s="196"/>
      <c r="D39" s="23">
        <v>0</v>
      </c>
      <c r="E39" s="31"/>
      <c r="F39" s="31"/>
      <c r="G39" s="25"/>
      <c r="H39" s="90">
        <v>0</v>
      </c>
      <c r="I39" s="27">
        <f>H39*0.07</f>
        <v>0</v>
      </c>
      <c r="J39" s="23">
        <f>SUM(H39:I39)</f>
        <v>0</v>
      </c>
      <c r="K39" s="56"/>
      <c r="L39" s="91"/>
      <c r="M39" s="55">
        <v>0</v>
      </c>
      <c r="N39" s="31"/>
      <c r="O39" s="25"/>
      <c r="P39" s="27">
        <f>ROUND(R39*100/107,2)</f>
        <v>0</v>
      </c>
      <c r="Q39" s="27">
        <f>P39*0.07</f>
        <v>0</v>
      </c>
      <c r="R39" s="92">
        <f>D39+J39-M39</f>
        <v>0</v>
      </c>
    </row>
    <row r="40" spans="1:18" ht="30" customHeight="1">
      <c r="A40" s="8">
        <v>2</v>
      </c>
      <c r="B40" s="197" t="s">
        <v>21</v>
      </c>
      <c r="C40" s="198"/>
      <c r="D40" s="23">
        <v>0</v>
      </c>
      <c r="E40" s="31"/>
      <c r="F40" s="31"/>
      <c r="G40" s="25"/>
      <c r="H40" s="34">
        <v>0</v>
      </c>
      <c r="I40" s="27">
        <f>H40*0.07</f>
        <v>0</v>
      </c>
      <c r="J40" s="23">
        <f>SUM(H40:I40)</f>
        <v>0</v>
      </c>
      <c r="K40" s="56"/>
      <c r="L40" s="56"/>
      <c r="M40" s="55">
        <v>0</v>
      </c>
      <c r="N40" s="31"/>
      <c r="O40" s="25"/>
      <c r="P40" s="27">
        <f>ROUND(R40*100/107,2)</f>
        <v>0</v>
      </c>
      <c r="Q40" s="27">
        <f>P40*0.07</f>
        <v>0</v>
      </c>
      <c r="R40" s="32">
        <f>D40+J40-M40</f>
        <v>0</v>
      </c>
    </row>
    <row r="41" spans="1:18" ht="27" customHeight="1">
      <c r="A41" s="42">
        <v>3</v>
      </c>
      <c r="B41" s="203"/>
      <c r="C41" s="204"/>
      <c r="D41" s="23">
        <v>0</v>
      </c>
      <c r="E41" s="31"/>
      <c r="F41" s="31"/>
      <c r="G41" s="25"/>
      <c r="H41" s="90">
        <v>0</v>
      </c>
      <c r="I41" s="27">
        <f>H41*0.07</f>
        <v>0</v>
      </c>
      <c r="J41" s="23">
        <f>SUM(H41:I41)</f>
        <v>0</v>
      </c>
      <c r="K41" s="56"/>
      <c r="L41" s="56"/>
      <c r="M41" s="55">
        <v>0</v>
      </c>
      <c r="N41" s="31"/>
      <c r="O41" s="25"/>
      <c r="P41" s="27">
        <f>ROUND(R41*100/107,2)</f>
        <v>0</v>
      </c>
      <c r="Q41" s="27">
        <f>P41*0.07</f>
        <v>0</v>
      </c>
      <c r="R41" s="92">
        <f>D41+J41-M41</f>
        <v>0</v>
      </c>
    </row>
    <row r="42" spans="1:18" ht="19.2" thickBot="1">
      <c r="A42" s="93"/>
      <c r="B42" s="191" t="s">
        <v>19</v>
      </c>
      <c r="C42" s="192"/>
      <c r="D42" s="43">
        <f>SUM(D39:D41)</f>
        <v>0</v>
      </c>
      <c r="E42" s="43"/>
      <c r="F42" s="43"/>
      <c r="G42" s="43"/>
      <c r="H42" s="43">
        <f>SUM(H39:H41)</f>
        <v>0</v>
      </c>
      <c r="I42" s="43">
        <f>SUM(I39:I41)</f>
        <v>0</v>
      </c>
      <c r="J42" s="43">
        <f>SUM(J39:J41)</f>
        <v>0</v>
      </c>
      <c r="K42" s="45"/>
      <c r="L42" s="46"/>
      <c r="M42" s="47">
        <f>SUM(M39:M41)</f>
        <v>0</v>
      </c>
      <c r="N42" s="48"/>
      <c r="O42" s="43"/>
      <c r="P42" s="43">
        <f>SUM(P39:P41)</f>
        <v>0</v>
      </c>
      <c r="Q42" s="43">
        <f>SUM(Q39:Q41)</f>
        <v>0</v>
      </c>
      <c r="R42" s="43">
        <f>SUM(R39:R41)</f>
        <v>0</v>
      </c>
    </row>
    <row r="43" spans="1:18" ht="19.2" thickTop="1">
      <c r="A43" s="8"/>
      <c r="B43" s="51" t="s">
        <v>28</v>
      </c>
      <c r="C43" s="94"/>
      <c r="D43" s="11"/>
      <c r="E43" s="12"/>
      <c r="F43" s="12"/>
      <c r="G43" s="53"/>
      <c r="H43" s="14"/>
      <c r="I43" s="15"/>
      <c r="J43" s="11"/>
      <c r="K43" s="16"/>
      <c r="L43" s="17"/>
      <c r="M43" s="18"/>
      <c r="N43" s="19"/>
      <c r="O43" s="13"/>
      <c r="P43" s="13"/>
      <c r="Q43" s="13"/>
      <c r="R43" s="20"/>
    </row>
    <row r="44" spans="1:18" ht="18.600000000000001">
      <c r="A44" s="8">
        <v>1</v>
      </c>
      <c r="B44" s="62"/>
      <c r="C44" s="63"/>
      <c r="D44" s="23">
        <v>0</v>
      </c>
      <c r="E44" s="24"/>
      <c r="F44" s="24"/>
      <c r="G44" s="25"/>
      <c r="H44" s="26">
        <v>0</v>
      </c>
      <c r="I44" s="27">
        <f>H44*0.07</f>
        <v>0</v>
      </c>
      <c r="J44" s="23">
        <v>0</v>
      </c>
      <c r="K44" s="28"/>
      <c r="L44" s="29"/>
      <c r="M44" s="30">
        <v>0</v>
      </c>
      <c r="N44" s="31"/>
      <c r="O44" s="25"/>
      <c r="P44" s="27">
        <f>ROUND(R44*100/107,2)</f>
        <v>0</v>
      </c>
      <c r="Q44" s="27">
        <f>P44*0.07</f>
        <v>0</v>
      </c>
      <c r="R44" s="32">
        <f>D44+J44-M44</f>
        <v>0</v>
      </c>
    </row>
    <row r="45" spans="1:18" ht="18.600000000000001">
      <c r="A45" s="8">
        <f>+A44+1</f>
        <v>2</v>
      </c>
      <c r="B45" s="64" t="s">
        <v>21</v>
      </c>
      <c r="C45" s="63"/>
      <c r="D45" s="23">
        <v>0</v>
      </c>
      <c r="E45" s="24"/>
      <c r="F45" s="24"/>
      <c r="G45" s="25"/>
      <c r="H45" s="27">
        <v>0</v>
      </c>
      <c r="I45" s="27">
        <f>H45*0.07</f>
        <v>0</v>
      </c>
      <c r="J45" s="36">
        <v>0</v>
      </c>
      <c r="K45" s="28"/>
      <c r="L45" s="29"/>
      <c r="M45" s="30">
        <v>0</v>
      </c>
      <c r="N45" s="31"/>
      <c r="O45" s="25"/>
      <c r="P45" s="27">
        <f>ROUND(R45*100/107,2)</f>
        <v>0</v>
      </c>
      <c r="Q45" s="27">
        <f>P45*0.07</f>
        <v>0</v>
      </c>
      <c r="R45" s="32">
        <f>D45+J45-M45</f>
        <v>0</v>
      </c>
    </row>
    <row r="46" spans="1:18" ht="18.600000000000001">
      <c r="A46" s="8">
        <f>+A45+1</f>
        <v>3</v>
      </c>
      <c r="B46" s="65"/>
      <c r="C46" s="63"/>
      <c r="D46" s="23">
        <v>0</v>
      </c>
      <c r="E46" s="24"/>
      <c r="F46" s="38"/>
      <c r="G46" s="39"/>
      <c r="H46" s="40">
        <f>J46*100/107</f>
        <v>0</v>
      </c>
      <c r="I46" s="40">
        <f>H46*0.07</f>
        <v>0</v>
      </c>
      <c r="J46" s="41">
        <v>0</v>
      </c>
      <c r="K46" s="28"/>
      <c r="L46" s="29"/>
      <c r="M46" s="30">
        <v>0</v>
      </c>
      <c r="N46" s="31"/>
      <c r="O46" s="25"/>
      <c r="P46" s="27">
        <f>ROUND(R46*100/107,2)</f>
        <v>0</v>
      </c>
      <c r="Q46" s="27">
        <f>P46*0.07</f>
        <v>0</v>
      </c>
      <c r="R46" s="32">
        <f>D46+J46-M46</f>
        <v>0</v>
      </c>
    </row>
    <row r="47" spans="1:18" ht="19.2" thickBot="1">
      <c r="A47" s="42"/>
      <c r="B47" s="191" t="s">
        <v>19</v>
      </c>
      <c r="C47" s="192"/>
      <c r="D47" s="43">
        <f>SUM(D44:D46)</f>
        <v>0</v>
      </c>
      <c r="E47" s="43"/>
      <c r="F47" s="43"/>
      <c r="G47" s="44"/>
      <c r="H47" s="44">
        <f>SUM(H44:H46)</f>
        <v>0</v>
      </c>
      <c r="I47" s="44">
        <f>SUM(I44:I46)</f>
        <v>0</v>
      </c>
      <c r="J47" s="44">
        <f>SUM(J44:J46)</f>
        <v>0</v>
      </c>
      <c r="K47" s="45"/>
      <c r="L47" s="46"/>
      <c r="M47" s="47">
        <f>SUM(M44:M46)</f>
        <v>0</v>
      </c>
      <c r="N47" s="48"/>
      <c r="O47" s="43"/>
      <c r="P47" s="49">
        <f>ROUND(R47*100/107,2)</f>
        <v>0</v>
      </c>
      <c r="Q47" s="49">
        <f>P47*0.07</f>
        <v>0</v>
      </c>
      <c r="R47" s="50">
        <f>SUM(R44:R46)</f>
        <v>0</v>
      </c>
    </row>
    <row r="48" spans="1:18" ht="19.2" thickTop="1">
      <c r="A48" s="8"/>
      <c r="B48" s="67" t="s">
        <v>29</v>
      </c>
      <c r="C48" s="68"/>
      <c r="D48" s="69"/>
      <c r="E48" s="70"/>
      <c r="F48" s="70"/>
      <c r="G48" s="71"/>
      <c r="H48" s="72"/>
      <c r="I48" s="73"/>
      <c r="J48" s="69"/>
      <c r="K48" s="74"/>
      <c r="L48" s="75"/>
      <c r="M48" s="76"/>
      <c r="N48" s="77"/>
      <c r="O48" s="78"/>
      <c r="P48" s="78"/>
      <c r="Q48" s="78"/>
      <c r="R48" s="79"/>
    </row>
    <row r="49" spans="1:18" ht="18.600000000000001">
      <c r="A49" s="8">
        <v>1</v>
      </c>
      <c r="B49" s="62"/>
      <c r="C49" s="63"/>
      <c r="D49" s="23">
        <v>0</v>
      </c>
      <c r="E49" s="24"/>
      <c r="F49" s="24"/>
      <c r="G49" s="25"/>
      <c r="H49" s="26">
        <v>0</v>
      </c>
      <c r="I49" s="27">
        <f>H49*0.07</f>
        <v>0</v>
      </c>
      <c r="J49" s="23">
        <v>0</v>
      </c>
      <c r="K49" s="28"/>
      <c r="L49" s="29"/>
      <c r="M49" s="30">
        <v>0</v>
      </c>
      <c r="N49" s="31"/>
      <c r="O49" s="25"/>
      <c r="P49" s="27">
        <f>ROUND(R49*100/107,2)</f>
        <v>0</v>
      </c>
      <c r="Q49" s="27">
        <f>P49*0.07</f>
        <v>0</v>
      </c>
      <c r="R49" s="32">
        <f>D49+J49-M49</f>
        <v>0</v>
      </c>
    </row>
    <row r="50" spans="1:18" ht="18.600000000000001">
      <c r="A50" s="8">
        <f>+A49+1</f>
        <v>2</v>
      </c>
      <c r="B50" s="64" t="s">
        <v>21</v>
      </c>
      <c r="C50" s="63"/>
      <c r="D50" s="23">
        <v>0</v>
      </c>
      <c r="E50" s="24"/>
      <c r="F50" s="24"/>
      <c r="G50" s="25"/>
      <c r="H50" s="27">
        <v>0</v>
      </c>
      <c r="I50" s="27">
        <f>H50*0.07</f>
        <v>0</v>
      </c>
      <c r="J50" s="36">
        <v>0</v>
      </c>
      <c r="K50" s="28"/>
      <c r="L50" s="29"/>
      <c r="M50" s="30">
        <v>0</v>
      </c>
      <c r="N50" s="31"/>
      <c r="O50" s="25"/>
      <c r="P50" s="27">
        <f>ROUND(R50*100/107,2)</f>
        <v>0</v>
      </c>
      <c r="Q50" s="27">
        <f>P50*0.07</f>
        <v>0</v>
      </c>
      <c r="R50" s="32">
        <f>D50+J50-M50</f>
        <v>0</v>
      </c>
    </row>
    <row r="51" spans="1:18" ht="18.600000000000001">
      <c r="A51" s="8">
        <f>+A50+1</f>
        <v>3</v>
      </c>
      <c r="B51" s="65"/>
      <c r="C51" s="63"/>
      <c r="D51" s="23">
        <v>0</v>
      </c>
      <c r="E51" s="24"/>
      <c r="F51" s="38"/>
      <c r="G51" s="39"/>
      <c r="H51" s="40">
        <f>J51*100/107</f>
        <v>0</v>
      </c>
      <c r="I51" s="40">
        <f>H51*0.07</f>
        <v>0</v>
      </c>
      <c r="J51" s="41">
        <v>0</v>
      </c>
      <c r="K51" s="28"/>
      <c r="L51" s="29"/>
      <c r="M51" s="30">
        <v>0</v>
      </c>
      <c r="N51" s="31"/>
      <c r="O51" s="25"/>
      <c r="P51" s="27">
        <f>ROUND(R51*100/107,2)</f>
        <v>0</v>
      </c>
      <c r="Q51" s="27">
        <f>P51*0.07</f>
        <v>0</v>
      </c>
      <c r="R51" s="32">
        <f>D51+J51-M51</f>
        <v>0</v>
      </c>
    </row>
    <row r="52" spans="1:18" ht="19.2" thickBot="1">
      <c r="A52" s="42"/>
      <c r="B52" s="191" t="s">
        <v>19</v>
      </c>
      <c r="C52" s="192"/>
      <c r="D52" s="43">
        <f>SUM(D49:D51)</f>
        <v>0</v>
      </c>
      <c r="E52" s="43"/>
      <c r="F52" s="43"/>
      <c r="G52" s="44"/>
      <c r="H52" s="44">
        <f>SUM(H49:H51)</f>
        <v>0</v>
      </c>
      <c r="I52" s="44">
        <f>SUM(I49:I51)</f>
        <v>0</v>
      </c>
      <c r="J52" s="44">
        <f>SUM(J49:J51)</f>
        <v>0</v>
      </c>
      <c r="K52" s="45"/>
      <c r="L52" s="46"/>
      <c r="M52" s="47">
        <f>SUM(M49:M51)</f>
        <v>0</v>
      </c>
      <c r="N52" s="48"/>
      <c r="O52" s="43"/>
      <c r="P52" s="49">
        <f>ROUND(R52*100/107,2)</f>
        <v>0</v>
      </c>
      <c r="Q52" s="49">
        <f>P52*0.07</f>
        <v>0</v>
      </c>
      <c r="R52" s="50">
        <f>SUM(R49:R51)</f>
        <v>0</v>
      </c>
    </row>
    <row r="53" spans="1:18" ht="19.2" thickTop="1">
      <c r="A53" s="8"/>
      <c r="B53" s="51" t="s">
        <v>30</v>
      </c>
      <c r="C53" s="52"/>
      <c r="D53" s="11"/>
      <c r="E53" s="12"/>
      <c r="F53" s="12"/>
      <c r="G53" s="53"/>
      <c r="H53" s="14"/>
      <c r="I53" s="15"/>
      <c r="J53" s="11"/>
      <c r="K53" s="16"/>
      <c r="L53" s="17"/>
      <c r="M53" s="18"/>
      <c r="N53" s="19"/>
      <c r="O53" s="13"/>
      <c r="P53" s="13"/>
      <c r="Q53" s="13"/>
      <c r="R53" s="20"/>
    </row>
    <row r="54" spans="1:18" ht="18.600000000000001">
      <c r="A54" s="8">
        <v>1</v>
      </c>
      <c r="B54" s="62"/>
      <c r="C54" s="63"/>
      <c r="D54" s="23">
        <v>0</v>
      </c>
      <c r="E54" s="24"/>
      <c r="F54" s="24"/>
      <c r="G54" s="25"/>
      <c r="H54" s="26">
        <v>0</v>
      </c>
      <c r="I54" s="27">
        <f>H54*0.07</f>
        <v>0</v>
      </c>
      <c r="J54" s="23">
        <v>0</v>
      </c>
      <c r="K54" s="28"/>
      <c r="L54" s="29"/>
      <c r="M54" s="30">
        <v>0</v>
      </c>
      <c r="N54" s="31"/>
      <c r="O54" s="25"/>
      <c r="P54" s="27">
        <f>ROUND(R54*100/107,2)</f>
        <v>0</v>
      </c>
      <c r="Q54" s="27">
        <f>P54*0.07</f>
        <v>0</v>
      </c>
      <c r="R54" s="32">
        <f>D54+J54-M54</f>
        <v>0</v>
      </c>
    </row>
    <row r="55" spans="1:18" ht="18.600000000000001">
      <c r="A55" s="8">
        <f>+A54+1</f>
        <v>2</v>
      </c>
      <c r="B55" s="64" t="s">
        <v>21</v>
      </c>
      <c r="C55" s="63"/>
      <c r="D55" s="23">
        <v>0</v>
      </c>
      <c r="E55" s="24"/>
      <c r="F55" s="24"/>
      <c r="G55" s="25"/>
      <c r="H55" s="27">
        <v>0</v>
      </c>
      <c r="I55" s="27">
        <f>H55*0.07</f>
        <v>0</v>
      </c>
      <c r="J55" s="36">
        <v>0</v>
      </c>
      <c r="K55" s="28"/>
      <c r="L55" s="29"/>
      <c r="M55" s="30">
        <v>0</v>
      </c>
      <c r="N55" s="31"/>
      <c r="O55" s="25"/>
      <c r="P55" s="27">
        <f>ROUND(R55*100/107,2)</f>
        <v>0</v>
      </c>
      <c r="Q55" s="27">
        <f>P55*0.07</f>
        <v>0</v>
      </c>
      <c r="R55" s="32">
        <f>D55+J55-M55</f>
        <v>0</v>
      </c>
    </row>
    <row r="56" spans="1:18" ht="18.600000000000001">
      <c r="A56" s="8">
        <f>+A55+1</f>
        <v>3</v>
      </c>
      <c r="B56" s="65"/>
      <c r="C56" s="63"/>
      <c r="D56" s="23">
        <v>0</v>
      </c>
      <c r="E56" s="24"/>
      <c r="F56" s="38"/>
      <c r="G56" s="39"/>
      <c r="H56" s="40">
        <f>J56*100/107</f>
        <v>0</v>
      </c>
      <c r="I56" s="40">
        <f>H56*0.07</f>
        <v>0</v>
      </c>
      <c r="J56" s="41">
        <v>0</v>
      </c>
      <c r="K56" s="28"/>
      <c r="L56" s="29"/>
      <c r="M56" s="30">
        <v>0</v>
      </c>
      <c r="N56" s="31"/>
      <c r="O56" s="25"/>
      <c r="P56" s="27">
        <f>ROUND(R56*100/107,2)</f>
        <v>0</v>
      </c>
      <c r="Q56" s="27">
        <f>P56*0.07</f>
        <v>0</v>
      </c>
      <c r="R56" s="32">
        <f>D56+J56-M56</f>
        <v>0</v>
      </c>
    </row>
    <row r="57" spans="1:18" ht="19.2" thickBot="1">
      <c r="A57" s="42"/>
      <c r="B57" s="191" t="s">
        <v>19</v>
      </c>
      <c r="C57" s="192"/>
      <c r="D57" s="43">
        <f>SUM(D54:D56)</f>
        <v>0</v>
      </c>
      <c r="E57" s="43"/>
      <c r="F57" s="43"/>
      <c r="G57" s="44"/>
      <c r="H57" s="44">
        <f>SUM(H54:H56)</f>
        <v>0</v>
      </c>
      <c r="I57" s="44">
        <f>SUM(I54:I56)</f>
        <v>0</v>
      </c>
      <c r="J57" s="44">
        <f>SUM(J54:J56)</f>
        <v>0</v>
      </c>
      <c r="K57" s="45"/>
      <c r="L57" s="46"/>
      <c r="M57" s="47">
        <f>SUM(M54:M56)</f>
        <v>0</v>
      </c>
      <c r="N57" s="48"/>
      <c r="O57" s="43"/>
      <c r="P57" s="49">
        <f>ROUND(R57*100/107,2)</f>
        <v>0</v>
      </c>
      <c r="Q57" s="49">
        <f>P57*0.07</f>
        <v>0</v>
      </c>
      <c r="R57" s="50">
        <f>SUM(R54:R56)</f>
        <v>0</v>
      </c>
    </row>
    <row r="58" spans="1:18" ht="19.2" thickTop="1">
      <c r="A58" s="8"/>
      <c r="B58" s="95" t="s">
        <v>31</v>
      </c>
      <c r="C58" s="68"/>
      <c r="D58" s="69"/>
      <c r="E58" s="70"/>
      <c r="F58" s="70"/>
      <c r="G58" s="78"/>
      <c r="H58" s="78"/>
      <c r="I58" s="78"/>
      <c r="J58" s="69"/>
      <c r="K58" s="74"/>
      <c r="L58" s="75"/>
      <c r="M58" s="76"/>
      <c r="N58" s="77"/>
      <c r="O58" s="78"/>
      <c r="P58" s="78"/>
      <c r="Q58" s="78"/>
      <c r="R58" s="96"/>
    </row>
    <row r="59" spans="1:18" ht="18.600000000000001">
      <c r="A59" s="42">
        <v>1</v>
      </c>
      <c r="B59" s="97" t="s">
        <v>32</v>
      </c>
      <c r="C59" s="98" t="s">
        <v>33</v>
      </c>
      <c r="D59" s="98">
        <v>0</v>
      </c>
      <c r="E59" s="24" t="s">
        <v>34</v>
      </c>
      <c r="F59" s="24"/>
      <c r="G59" s="25"/>
      <c r="H59" s="27">
        <v>322273.98</v>
      </c>
      <c r="I59" s="81">
        <v>0</v>
      </c>
      <c r="J59" s="23">
        <f>SUM(H59:I59)</f>
        <v>322273.98</v>
      </c>
      <c r="K59" s="28"/>
      <c r="L59" s="29"/>
      <c r="M59" s="55">
        <v>0</v>
      </c>
      <c r="N59" s="24" t="s">
        <v>34</v>
      </c>
      <c r="O59" s="25"/>
      <c r="P59" s="27">
        <f>+D59+H59-M59</f>
        <v>322273.98</v>
      </c>
      <c r="Q59" s="27">
        <v>0</v>
      </c>
      <c r="R59" s="99">
        <f>D59+J59-M59</f>
        <v>322273.98</v>
      </c>
    </row>
    <row r="60" spans="1:18" ht="18.600000000000001">
      <c r="A60" s="42"/>
      <c r="B60" s="100" t="s">
        <v>35</v>
      </c>
      <c r="C60" s="98" t="s">
        <v>36</v>
      </c>
      <c r="D60" s="98"/>
      <c r="E60" s="24"/>
      <c r="F60" s="24"/>
      <c r="G60" s="25"/>
      <c r="H60" s="25"/>
      <c r="I60" s="25"/>
      <c r="J60" s="23"/>
      <c r="K60" s="28"/>
      <c r="L60" s="29"/>
      <c r="M60" s="55"/>
      <c r="N60" s="31"/>
      <c r="O60" s="25"/>
      <c r="P60" s="27"/>
      <c r="Q60" s="27"/>
      <c r="R60" s="99"/>
    </row>
    <row r="61" spans="1:18" ht="18.600000000000001">
      <c r="A61" s="42"/>
      <c r="B61" s="100" t="s">
        <v>37</v>
      </c>
      <c r="C61" s="101"/>
      <c r="D61" s="23"/>
      <c r="E61" s="24"/>
      <c r="F61" s="24"/>
      <c r="G61" s="25"/>
      <c r="H61" s="25"/>
      <c r="I61" s="25"/>
      <c r="J61" s="23"/>
      <c r="K61" s="28"/>
      <c r="L61" s="29"/>
      <c r="M61" s="55"/>
      <c r="N61" s="31"/>
      <c r="O61" s="25"/>
      <c r="P61" s="27"/>
      <c r="Q61" s="27"/>
      <c r="R61" s="99"/>
    </row>
    <row r="62" spans="1:18" ht="18.600000000000001">
      <c r="A62" s="42"/>
      <c r="B62" s="100" t="s">
        <v>38</v>
      </c>
      <c r="C62" s="101"/>
      <c r="D62" s="23"/>
      <c r="E62" s="24"/>
      <c r="F62" s="24"/>
      <c r="G62" s="25"/>
      <c r="H62" s="25"/>
      <c r="I62" s="25"/>
      <c r="J62" s="23"/>
      <c r="K62" s="28"/>
      <c r="L62" s="29"/>
      <c r="M62" s="55"/>
      <c r="N62" s="31"/>
      <c r="O62" s="25"/>
      <c r="P62" s="27"/>
      <c r="Q62" s="27"/>
      <c r="R62" s="99"/>
    </row>
    <row r="63" spans="1:18" ht="18.600000000000001">
      <c r="A63" s="8">
        <f>+A59+1</f>
        <v>2</v>
      </c>
      <c r="B63" s="102" t="s">
        <v>32</v>
      </c>
      <c r="C63" s="98" t="s">
        <v>39</v>
      </c>
      <c r="D63" s="98">
        <v>0</v>
      </c>
      <c r="E63" s="62" t="s">
        <v>40</v>
      </c>
      <c r="F63" s="62">
        <v>16</v>
      </c>
      <c r="G63" s="25"/>
      <c r="H63" s="27">
        <v>5208581.93</v>
      </c>
      <c r="I63" s="26">
        <v>0</v>
      </c>
      <c r="J63" s="23">
        <f>SUM(H63:I63)</f>
        <v>5208581.93</v>
      </c>
      <c r="K63" s="28"/>
      <c r="L63" s="29"/>
      <c r="M63" s="55">
        <v>0</v>
      </c>
      <c r="N63" s="62" t="s">
        <v>40</v>
      </c>
      <c r="O63" s="25">
        <v>16</v>
      </c>
      <c r="P63" s="27">
        <f>+D63+H63-M63</f>
        <v>5208581.93</v>
      </c>
      <c r="Q63" s="27">
        <v>0</v>
      </c>
      <c r="R63" s="99">
        <f>D63+J63-M63</f>
        <v>5208581.93</v>
      </c>
    </row>
    <row r="64" spans="1:18" ht="18.600000000000001">
      <c r="A64" s="8"/>
      <c r="B64" s="100" t="s">
        <v>41</v>
      </c>
      <c r="C64" s="101"/>
      <c r="D64" s="23"/>
      <c r="E64" s="62" t="s">
        <v>42</v>
      </c>
      <c r="F64" s="62"/>
      <c r="G64" s="25"/>
      <c r="H64" s="25"/>
      <c r="I64" s="25"/>
      <c r="J64" s="23"/>
      <c r="K64" s="28"/>
      <c r="L64" s="29"/>
      <c r="M64" s="55"/>
      <c r="N64" s="62" t="s">
        <v>42</v>
      </c>
      <c r="O64" s="25"/>
      <c r="P64" s="27"/>
      <c r="Q64" s="25"/>
      <c r="R64" s="92"/>
    </row>
    <row r="65" spans="1:18" ht="18.600000000000001">
      <c r="A65" s="8"/>
      <c r="B65" s="103" t="s">
        <v>43</v>
      </c>
      <c r="C65" s="104"/>
      <c r="D65" s="23"/>
      <c r="E65" s="24"/>
      <c r="F65" s="24"/>
      <c r="G65" s="25"/>
      <c r="H65" s="25"/>
      <c r="I65" s="25"/>
      <c r="J65" s="23"/>
      <c r="K65" s="28"/>
      <c r="L65" s="29"/>
      <c r="M65" s="55"/>
      <c r="N65" s="31"/>
      <c r="O65" s="25"/>
      <c r="P65" s="27"/>
      <c r="Q65" s="25"/>
      <c r="R65" s="92"/>
    </row>
    <row r="66" spans="1:18" ht="18.600000000000001">
      <c r="A66" s="8"/>
      <c r="B66" s="103" t="s">
        <v>44</v>
      </c>
      <c r="C66" s="104"/>
      <c r="D66" s="23"/>
      <c r="E66" s="24"/>
      <c r="F66" s="24"/>
      <c r="G66" s="25"/>
      <c r="H66" s="25"/>
      <c r="I66" s="25"/>
      <c r="J66" s="23"/>
      <c r="K66" s="28"/>
      <c r="L66" s="29"/>
      <c r="M66" s="55"/>
      <c r="N66" s="31"/>
      <c r="O66" s="25"/>
      <c r="P66" s="27"/>
      <c r="Q66" s="25"/>
      <c r="R66" s="92"/>
    </row>
    <row r="67" spans="1:18" ht="18.600000000000001">
      <c r="A67" s="8"/>
      <c r="B67" s="199" t="s">
        <v>19</v>
      </c>
      <c r="C67" s="200"/>
      <c r="D67" s="23"/>
      <c r="E67" s="24"/>
      <c r="F67" s="24"/>
      <c r="G67" s="25"/>
      <c r="H67" s="25"/>
      <c r="I67" s="25"/>
      <c r="J67" s="23"/>
      <c r="K67" s="28"/>
      <c r="L67" s="29"/>
      <c r="M67" s="55"/>
      <c r="N67" s="31"/>
      <c r="O67" s="25"/>
      <c r="P67" s="27"/>
      <c r="Q67" s="25"/>
      <c r="R67" s="92"/>
    </row>
    <row r="68" spans="1:18" ht="21.6" thickBot="1">
      <c r="A68" s="105"/>
      <c r="B68" s="201"/>
      <c r="C68" s="202"/>
      <c r="D68" s="106">
        <f>SUM(D59:D67)</f>
        <v>0</v>
      </c>
      <c r="E68" s="106"/>
      <c r="F68" s="106"/>
      <c r="G68" s="106"/>
      <c r="H68" s="106">
        <f t="shared" ref="H68:M68" si="0">SUM(H59:H67)</f>
        <v>5530855.9100000001</v>
      </c>
      <c r="I68" s="106">
        <f t="shared" si="0"/>
        <v>0</v>
      </c>
      <c r="J68" s="106">
        <f t="shared" si="0"/>
        <v>5530855.9100000001</v>
      </c>
      <c r="K68" s="107"/>
      <c r="L68" s="107"/>
      <c r="M68" s="107">
        <f t="shared" si="0"/>
        <v>0</v>
      </c>
      <c r="N68" s="108"/>
      <c r="O68" s="106"/>
      <c r="P68" s="106">
        <f>SUM(P59:P67)</f>
        <v>5530855.9100000001</v>
      </c>
      <c r="Q68" s="106">
        <f>SUM(Q59:Q67)</f>
        <v>0</v>
      </c>
      <c r="R68" s="106">
        <f>SUM(R59:R67)</f>
        <v>5530855.9100000001</v>
      </c>
    </row>
    <row r="69" spans="1:18" ht="19.2" thickTop="1">
      <c r="A69" s="8"/>
      <c r="B69" s="51" t="s">
        <v>45</v>
      </c>
      <c r="C69" s="52"/>
      <c r="D69" s="11"/>
      <c r="E69" s="12"/>
      <c r="F69" s="12"/>
      <c r="G69" s="53"/>
      <c r="H69" s="14"/>
      <c r="I69" s="15"/>
      <c r="J69" s="11"/>
      <c r="K69" s="16"/>
      <c r="L69" s="17"/>
      <c r="M69" s="18"/>
      <c r="N69" s="19"/>
      <c r="O69" s="13"/>
      <c r="P69" s="13"/>
      <c r="Q69" s="13"/>
      <c r="R69" s="20"/>
    </row>
    <row r="70" spans="1:18" ht="18.600000000000001">
      <c r="A70" s="8">
        <v>1</v>
      </c>
      <c r="B70" s="62"/>
      <c r="C70" s="63"/>
      <c r="D70" s="23">
        <v>0</v>
      </c>
      <c r="E70" s="24"/>
      <c r="F70" s="24"/>
      <c r="G70" s="25"/>
      <c r="H70" s="26">
        <v>0</v>
      </c>
      <c r="I70" s="27">
        <f>H70*0.07</f>
        <v>0</v>
      </c>
      <c r="J70" s="23">
        <v>0</v>
      </c>
      <c r="K70" s="28"/>
      <c r="L70" s="29"/>
      <c r="M70" s="30">
        <v>0</v>
      </c>
      <c r="N70" s="31"/>
      <c r="O70" s="25"/>
      <c r="P70" s="27">
        <f>ROUND(R70*100/107,2)</f>
        <v>0</v>
      </c>
      <c r="Q70" s="27">
        <f>P70*0.07</f>
        <v>0</v>
      </c>
      <c r="R70" s="32">
        <f>D70+J70-M70</f>
        <v>0</v>
      </c>
    </row>
    <row r="71" spans="1:18" ht="18.600000000000001">
      <c r="A71" s="8">
        <f>+A70+1</f>
        <v>2</v>
      </c>
      <c r="B71" s="64" t="s">
        <v>21</v>
      </c>
      <c r="C71" s="63"/>
      <c r="D71" s="23">
        <v>0</v>
      </c>
      <c r="E71" s="24"/>
      <c r="F71" s="24"/>
      <c r="G71" s="25"/>
      <c r="H71" s="34">
        <v>0</v>
      </c>
      <c r="I71" s="35">
        <f>H71*0.07</f>
        <v>0</v>
      </c>
      <c r="J71" s="36">
        <v>0</v>
      </c>
      <c r="K71" s="28"/>
      <c r="L71" s="29"/>
      <c r="M71" s="30">
        <v>0</v>
      </c>
      <c r="N71" s="31"/>
      <c r="O71" s="25"/>
      <c r="P71" s="27">
        <f>ROUND(R71*100/107,2)</f>
        <v>0</v>
      </c>
      <c r="Q71" s="27">
        <f>P71*0.07</f>
        <v>0</v>
      </c>
      <c r="R71" s="32">
        <f>D71+J71-M71</f>
        <v>0</v>
      </c>
    </row>
    <row r="72" spans="1:18" ht="18.600000000000001">
      <c r="A72" s="8">
        <f>+A71+1</f>
        <v>3</v>
      </c>
      <c r="B72" s="65"/>
      <c r="C72" s="63"/>
      <c r="D72" s="23">
        <v>0</v>
      </c>
      <c r="E72" s="24"/>
      <c r="F72" s="38"/>
      <c r="G72" s="39"/>
      <c r="H72" s="40">
        <f>J72*100/107</f>
        <v>0</v>
      </c>
      <c r="I72" s="40">
        <f>H72*0.07</f>
        <v>0</v>
      </c>
      <c r="J72" s="41">
        <v>0</v>
      </c>
      <c r="K72" s="28"/>
      <c r="L72" s="29"/>
      <c r="M72" s="30">
        <v>0</v>
      </c>
      <c r="N72" s="31"/>
      <c r="O72" s="25"/>
      <c r="P72" s="27">
        <f>ROUND(R72*100/107,2)</f>
        <v>0</v>
      </c>
      <c r="Q72" s="27">
        <f>P72*0.07</f>
        <v>0</v>
      </c>
      <c r="R72" s="32">
        <f>D72+J72-M72</f>
        <v>0</v>
      </c>
    </row>
    <row r="73" spans="1:18" ht="19.2" thickBot="1">
      <c r="A73" s="42"/>
      <c r="B73" s="191" t="s">
        <v>19</v>
      </c>
      <c r="C73" s="192"/>
      <c r="D73" s="43">
        <f>SUM(D70:D72)</f>
        <v>0</v>
      </c>
      <c r="E73" s="43"/>
      <c r="F73" s="43"/>
      <c r="G73" s="44"/>
      <c r="H73" s="44">
        <f>SUM(H70:H72)</f>
        <v>0</v>
      </c>
      <c r="I73" s="44">
        <f>SUM(I70:I72)</f>
        <v>0</v>
      </c>
      <c r="J73" s="44">
        <f>SUM(J70:J72)</f>
        <v>0</v>
      </c>
      <c r="K73" s="45"/>
      <c r="L73" s="46"/>
      <c r="M73" s="47">
        <f>SUM(M70:M72)</f>
        <v>0</v>
      </c>
      <c r="N73" s="48"/>
      <c r="O73" s="43"/>
      <c r="P73" s="49">
        <f>ROUND(R73*100/107,2)</f>
        <v>0</v>
      </c>
      <c r="Q73" s="49">
        <f>P73*0.07</f>
        <v>0</v>
      </c>
      <c r="R73" s="50">
        <f>SUM(R70:R72)</f>
        <v>0</v>
      </c>
    </row>
    <row r="74" spans="1:18" ht="19.2" thickTop="1">
      <c r="A74" s="42"/>
      <c r="B74" s="109" t="s">
        <v>46</v>
      </c>
      <c r="C74" s="110"/>
      <c r="D74" s="69"/>
      <c r="E74" s="70"/>
      <c r="F74" s="70"/>
      <c r="G74" s="78"/>
      <c r="H74" s="85">
        <f>J74*100/107</f>
        <v>0</v>
      </c>
      <c r="I74" s="85">
        <f>H74*0.07</f>
        <v>0</v>
      </c>
      <c r="J74" s="111"/>
      <c r="K74" s="74"/>
      <c r="L74" s="75"/>
      <c r="M74" s="76"/>
      <c r="N74" s="77"/>
      <c r="O74" s="78"/>
      <c r="P74" s="78"/>
      <c r="Q74" s="78"/>
      <c r="R74" s="79"/>
    </row>
    <row r="75" spans="1:18" ht="18.600000000000001">
      <c r="A75" s="42">
        <v>1</v>
      </c>
      <c r="B75" s="97"/>
      <c r="C75" s="112"/>
      <c r="D75" s="23">
        <v>0</v>
      </c>
      <c r="E75" s="24"/>
      <c r="F75" s="24"/>
      <c r="G75" s="25"/>
      <c r="H75" s="26">
        <v>0</v>
      </c>
      <c r="I75" s="27">
        <f>H75*0.07</f>
        <v>0</v>
      </c>
      <c r="J75" s="23">
        <v>0</v>
      </c>
      <c r="K75" s="28"/>
      <c r="L75" s="29"/>
      <c r="M75" s="55">
        <v>0</v>
      </c>
      <c r="N75" s="54"/>
      <c r="O75" s="25"/>
      <c r="P75" s="27">
        <f>ROUND(R75*100/107,2)</f>
        <v>0</v>
      </c>
      <c r="Q75" s="27">
        <f>P75*0.07</f>
        <v>0</v>
      </c>
      <c r="R75" s="32">
        <f>D75+J75-M75</f>
        <v>0</v>
      </c>
    </row>
    <row r="76" spans="1:18" ht="18.600000000000001">
      <c r="A76" s="42">
        <f>+A75+1</f>
        <v>2</v>
      </c>
      <c r="B76" s="113" t="s">
        <v>21</v>
      </c>
      <c r="C76" s="112"/>
      <c r="D76" s="23">
        <v>0</v>
      </c>
      <c r="E76" s="24"/>
      <c r="F76" s="24"/>
      <c r="G76" s="25"/>
      <c r="H76" s="26">
        <v>0</v>
      </c>
      <c r="I76" s="27">
        <f>H76*0.07</f>
        <v>0</v>
      </c>
      <c r="J76" s="23">
        <v>0</v>
      </c>
      <c r="K76" s="28"/>
      <c r="L76" s="29"/>
      <c r="M76" s="55">
        <v>0</v>
      </c>
      <c r="N76" s="31"/>
      <c r="O76" s="25"/>
      <c r="P76" s="27">
        <v>0</v>
      </c>
      <c r="Q76" s="27">
        <f>P76*0.07</f>
        <v>0</v>
      </c>
      <c r="R76" s="32">
        <f>D76+J76-M76</f>
        <v>0</v>
      </c>
    </row>
    <row r="77" spans="1:18" ht="18.600000000000001">
      <c r="A77" s="42">
        <f>+A76+1</f>
        <v>3</v>
      </c>
      <c r="B77" s="62"/>
      <c r="C77" s="112"/>
      <c r="D77" s="23">
        <v>0</v>
      </c>
      <c r="E77" s="24"/>
      <c r="F77" s="24"/>
      <c r="G77" s="25"/>
      <c r="H77" s="26">
        <v>0</v>
      </c>
      <c r="I77" s="27">
        <f>H77*0.07</f>
        <v>0</v>
      </c>
      <c r="J77" s="23">
        <v>0</v>
      </c>
      <c r="K77" s="28"/>
      <c r="L77" s="29"/>
      <c r="M77" s="55">
        <v>0</v>
      </c>
      <c r="N77" s="31"/>
      <c r="O77" s="25"/>
      <c r="P77" s="27">
        <f>ROUND(R77*100/107,2)</f>
        <v>0</v>
      </c>
      <c r="Q77" s="27">
        <f>P77*0.07</f>
        <v>0</v>
      </c>
      <c r="R77" s="32">
        <f>D77+J77-M77</f>
        <v>0</v>
      </c>
    </row>
    <row r="78" spans="1:18" ht="19.2" thickBot="1">
      <c r="A78" s="42"/>
      <c r="B78" s="191" t="s">
        <v>19</v>
      </c>
      <c r="C78" s="192"/>
      <c r="D78" s="106">
        <f>SUM(D75:D77)</f>
        <v>0</v>
      </c>
      <c r="E78" s="106"/>
      <c r="F78" s="106"/>
      <c r="G78" s="106"/>
      <c r="H78" s="106">
        <f>SUM(H75:H77)</f>
        <v>0</v>
      </c>
      <c r="I78" s="106">
        <f>SUM(I75:I77)</f>
        <v>0</v>
      </c>
      <c r="J78" s="106">
        <f>SUM(J75:J77)</f>
        <v>0</v>
      </c>
      <c r="K78" s="114"/>
      <c r="L78" s="114"/>
      <c r="M78" s="107">
        <f>SUM(M75:M77)</f>
        <v>0</v>
      </c>
      <c r="N78" s="108"/>
      <c r="O78" s="106"/>
      <c r="P78" s="106">
        <f>SUM(P75:P77)</f>
        <v>0</v>
      </c>
      <c r="Q78" s="106">
        <f>SUM(Q75:Q77)</f>
        <v>0</v>
      </c>
      <c r="R78" s="106">
        <f>SUM(R75:R77)</f>
        <v>0</v>
      </c>
    </row>
    <row r="79" spans="1:18" ht="19.2" thickTop="1">
      <c r="A79" s="42"/>
      <c r="B79" s="115" t="s">
        <v>47</v>
      </c>
      <c r="C79" s="94"/>
      <c r="D79" s="111"/>
      <c r="E79" s="70"/>
      <c r="F79" s="70"/>
      <c r="G79" s="78"/>
      <c r="H79" s="116"/>
      <c r="I79" s="78"/>
      <c r="J79" s="69"/>
      <c r="K79" s="16"/>
      <c r="L79" s="17"/>
      <c r="M79" s="18"/>
      <c r="N79" s="77"/>
      <c r="O79" s="78"/>
      <c r="P79" s="78"/>
      <c r="Q79" s="78"/>
      <c r="R79" s="96"/>
    </row>
    <row r="80" spans="1:18" ht="18.600000000000001">
      <c r="A80" s="42">
        <v>1</v>
      </c>
      <c r="B80" s="195"/>
      <c r="C80" s="196"/>
      <c r="D80" s="23">
        <v>0</v>
      </c>
      <c r="E80" s="77"/>
      <c r="F80" s="77"/>
      <c r="G80" s="78"/>
      <c r="H80" s="34">
        <v>0</v>
      </c>
      <c r="I80" s="27">
        <f>H80*0.07</f>
        <v>0</v>
      </c>
      <c r="J80" s="23">
        <f>SUM(H80:I80)</f>
        <v>0</v>
      </c>
      <c r="K80" s="56"/>
      <c r="L80" s="56"/>
      <c r="M80" s="55">
        <v>0</v>
      </c>
      <c r="N80" s="77"/>
      <c r="O80" s="78"/>
      <c r="P80" s="27">
        <f>R80*100/107</f>
        <v>0</v>
      </c>
      <c r="Q80" s="27">
        <f>P80*0.07</f>
        <v>0</v>
      </c>
      <c r="R80" s="32">
        <f>D80+J80-M80</f>
        <v>0</v>
      </c>
    </row>
    <row r="81" spans="1:18" ht="18.600000000000001">
      <c r="A81" s="8">
        <v>2</v>
      </c>
      <c r="B81" s="197" t="s">
        <v>21</v>
      </c>
      <c r="C81" s="198"/>
      <c r="D81" s="23">
        <v>0</v>
      </c>
      <c r="E81" s="31"/>
      <c r="F81" s="31"/>
      <c r="G81" s="25"/>
      <c r="H81" s="34">
        <v>0</v>
      </c>
      <c r="I81" s="27">
        <f>H81*0.07</f>
        <v>0</v>
      </c>
      <c r="J81" s="23">
        <f>SUM(H81:I81)</f>
        <v>0</v>
      </c>
      <c r="K81" s="56"/>
      <c r="L81" s="117"/>
      <c r="M81" s="55">
        <v>0</v>
      </c>
      <c r="N81" s="31"/>
      <c r="O81" s="25"/>
      <c r="P81" s="27">
        <f>ROUND(R81*100/107,2)</f>
        <v>0</v>
      </c>
      <c r="Q81" s="27">
        <f>P81*0.07</f>
        <v>0</v>
      </c>
      <c r="R81" s="32">
        <f>D81+J81-M81</f>
        <v>0</v>
      </c>
    </row>
    <row r="82" spans="1:18" ht="18.600000000000001">
      <c r="A82" s="42">
        <v>3</v>
      </c>
      <c r="B82" s="195"/>
      <c r="C82" s="196"/>
      <c r="D82" s="118">
        <v>0</v>
      </c>
      <c r="E82" s="54"/>
      <c r="F82" s="54"/>
      <c r="G82" s="25"/>
      <c r="H82" s="81">
        <v>0</v>
      </c>
      <c r="I82" s="27">
        <f>H82*0.07</f>
        <v>0</v>
      </c>
      <c r="J82" s="23">
        <f>SUM(H82:I82)</f>
        <v>0</v>
      </c>
      <c r="K82" s="56"/>
      <c r="L82" s="91"/>
      <c r="M82" s="55">
        <v>0</v>
      </c>
      <c r="N82" s="54"/>
      <c r="O82" s="25"/>
      <c r="P82" s="27">
        <f>R82*100/107</f>
        <v>0</v>
      </c>
      <c r="Q82" s="27">
        <f>P82*0.07</f>
        <v>0</v>
      </c>
      <c r="R82" s="32">
        <f>D82+J82-M82</f>
        <v>0</v>
      </c>
    </row>
    <row r="83" spans="1:18" ht="19.2" thickBot="1">
      <c r="A83" s="42"/>
      <c r="B83" s="191" t="s">
        <v>19</v>
      </c>
      <c r="C83" s="192"/>
      <c r="D83" s="43">
        <f>SUM(D80:D82)</f>
        <v>0</v>
      </c>
      <c r="E83" s="43"/>
      <c r="F83" s="43"/>
      <c r="G83" s="43"/>
      <c r="H83" s="43">
        <f>SUM(H80:H82)</f>
        <v>0</v>
      </c>
      <c r="I83" s="43">
        <f>SUM(I80:I82)</f>
        <v>0</v>
      </c>
      <c r="J83" s="43">
        <f>SUM(J80:J82)</f>
        <v>0</v>
      </c>
      <c r="K83" s="119"/>
      <c r="L83" s="119"/>
      <c r="M83" s="47">
        <f>SUM(M80:M82)</f>
        <v>0</v>
      </c>
      <c r="N83" s="48"/>
      <c r="O83" s="43"/>
      <c r="P83" s="43">
        <f>SUM(P80:P82)</f>
        <v>0</v>
      </c>
      <c r="Q83" s="43">
        <f>SUM(Q80:Q82)</f>
        <v>0</v>
      </c>
      <c r="R83" s="43">
        <f>SUM(R80:R82)</f>
        <v>0</v>
      </c>
    </row>
    <row r="84" spans="1:18" ht="19.2" thickTop="1">
      <c r="A84" s="8"/>
      <c r="B84" s="51" t="s">
        <v>48</v>
      </c>
      <c r="C84" s="52"/>
      <c r="D84" s="11"/>
      <c r="E84" s="12"/>
      <c r="F84" s="12"/>
      <c r="G84" s="53"/>
      <c r="H84" s="14"/>
      <c r="I84" s="15"/>
      <c r="J84" s="11"/>
      <c r="K84" s="16"/>
      <c r="L84" s="17"/>
      <c r="M84" s="18"/>
      <c r="N84" s="19"/>
      <c r="O84" s="13"/>
      <c r="P84" s="13"/>
      <c r="Q84" s="13"/>
      <c r="R84" s="20"/>
    </row>
    <row r="85" spans="1:18" ht="18.600000000000001">
      <c r="A85" s="8">
        <v>1</v>
      </c>
      <c r="B85" s="62"/>
      <c r="C85" s="63"/>
      <c r="D85" s="23">
        <v>0</v>
      </c>
      <c r="E85" s="24"/>
      <c r="F85" s="24"/>
      <c r="G85" s="25"/>
      <c r="H85" s="26">
        <v>0</v>
      </c>
      <c r="I85" s="27">
        <f>H85*0.07</f>
        <v>0</v>
      </c>
      <c r="J85" s="23">
        <v>0</v>
      </c>
      <c r="K85" s="28"/>
      <c r="L85" s="29"/>
      <c r="M85" s="30">
        <v>0</v>
      </c>
      <c r="N85" s="31"/>
      <c r="O85" s="25"/>
      <c r="P85" s="27">
        <f>ROUND(R85*100/107,2)</f>
        <v>0</v>
      </c>
      <c r="Q85" s="27">
        <f>P85*0.07</f>
        <v>0</v>
      </c>
      <c r="R85" s="32">
        <f>D85+J85-M85</f>
        <v>0</v>
      </c>
    </row>
    <row r="86" spans="1:18" ht="18.600000000000001">
      <c r="A86" s="8">
        <f>+A85+1</f>
        <v>2</v>
      </c>
      <c r="B86" s="64" t="s">
        <v>21</v>
      </c>
      <c r="C86" s="63"/>
      <c r="D86" s="23">
        <v>0</v>
      </c>
      <c r="E86" s="24"/>
      <c r="F86" s="24"/>
      <c r="G86" s="25"/>
      <c r="H86" s="34">
        <v>0</v>
      </c>
      <c r="I86" s="35">
        <f>H86*0.07</f>
        <v>0</v>
      </c>
      <c r="J86" s="36">
        <v>0</v>
      </c>
      <c r="K86" s="28"/>
      <c r="L86" s="29"/>
      <c r="M86" s="30">
        <v>0</v>
      </c>
      <c r="N86" s="31"/>
      <c r="O86" s="25"/>
      <c r="P86" s="27">
        <f>ROUND(R86*100/107,2)</f>
        <v>0</v>
      </c>
      <c r="Q86" s="27">
        <f>P86*0.07</f>
        <v>0</v>
      </c>
      <c r="R86" s="32">
        <f>D86+J86-M86</f>
        <v>0</v>
      </c>
    </row>
    <row r="87" spans="1:18" ht="18.600000000000001">
      <c r="A87" s="8">
        <f>+A86+1</f>
        <v>3</v>
      </c>
      <c r="B87" s="65"/>
      <c r="C87" s="63"/>
      <c r="D87" s="23">
        <v>0</v>
      </c>
      <c r="E87" s="24"/>
      <c r="F87" s="38"/>
      <c r="G87" s="39"/>
      <c r="H87" s="40">
        <f>J87*100/107</f>
        <v>0</v>
      </c>
      <c r="I87" s="40">
        <f>H87*0.07</f>
        <v>0</v>
      </c>
      <c r="J87" s="41">
        <v>0</v>
      </c>
      <c r="K87" s="28"/>
      <c r="L87" s="29"/>
      <c r="M87" s="30">
        <v>0</v>
      </c>
      <c r="N87" s="31"/>
      <c r="O87" s="25"/>
      <c r="P87" s="27">
        <f>ROUND(R87*100/107,2)</f>
        <v>0</v>
      </c>
      <c r="Q87" s="27">
        <f>P87*0.07</f>
        <v>0</v>
      </c>
      <c r="R87" s="32">
        <f>D87+J87-M87</f>
        <v>0</v>
      </c>
    </row>
    <row r="88" spans="1:18" ht="19.2" thickBot="1">
      <c r="A88" s="42"/>
      <c r="B88" s="191" t="s">
        <v>19</v>
      </c>
      <c r="C88" s="192"/>
      <c r="D88" s="43">
        <f>SUM(D85:D87)</f>
        <v>0</v>
      </c>
      <c r="E88" s="43"/>
      <c r="F88" s="43"/>
      <c r="G88" s="44"/>
      <c r="H88" s="44">
        <f>SUM(H85:H87)</f>
        <v>0</v>
      </c>
      <c r="I88" s="44">
        <f>SUM(I85:I87)</f>
        <v>0</v>
      </c>
      <c r="J88" s="44">
        <f>SUM(J85:J87)</f>
        <v>0</v>
      </c>
      <c r="K88" s="45"/>
      <c r="L88" s="46"/>
      <c r="M88" s="47">
        <f>SUM(M85:M87)</f>
        <v>0</v>
      </c>
      <c r="N88" s="48"/>
      <c r="O88" s="43"/>
      <c r="P88" s="49">
        <f>ROUND(R88*100/107,2)</f>
        <v>0</v>
      </c>
      <c r="Q88" s="49">
        <f>P88*0.07</f>
        <v>0</v>
      </c>
      <c r="R88" s="50">
        <f>SUM(R85:R87)</f>
        <v>0</v>
      </c>
    </row>
    <row r="89" spans="1:18" ht="19.2" thickTop="1">
      <c r="A89" s="8"/>
      <c r="B89" s="67" t="s">
        <v>49</v>
      </c>
      <c r="C89" s="68"/>
      <c r="D89" s="69"/>
      <c r="E89" s="70"/>
      <c r="F89" s="70"/>
      <c r="G89" s="71"/>
      <c r="H89" s="72"/>
      <c r="I89" s="73"/>
      <c r="J89" s="69"/>
      <c r="K89" s="74"/>
      <c r="L89" s="75"/>
      <c r="M89" s="76"/>
      <c r="N89" s="77"/>
      <c r="O89" s="78"/>
      <c r="P89" s="78"/>
      <c r="Q89" s="78"/>
      <c r="R89" s="79"/>
    </row>
    <row r="90" spans="1:18" ht="18.600000000000001">
      <c r="A90" s="8">
        <v>1</v>
      </c>
      <c r="B90" s="62"/>
      <c r="C90" s="63"/>
      <c r="D90" s="23">
        <v>0</v>
      </c>
      <c r="E90" s="24"/>
      <c r="F90" s="24"/>
      <c r="G90" s="25"/>
      <c r="H90" s="81">
        <v>0</v>
      </c>
      <c r="I90" s="27">
        <f>H90*0.07</f>
        <v>0</v>
      </c>
      <c r="J90" s="23">
        <v>0</v>
      </c>
      <c r="K90" s="28"/>
      <c r="L90" s="29"/>
      <c r="M90" s="30">
        <v>0</v>
      </c>
      <c r="N90" s="31"/>
      <c r="O90" s="25"/>
      <c r="P90" s="27">
        <f>ROUND(R90*100/107,2)</f>
        <v>0</v>
      </c>
      <c r="Q90" s="27">
        <f>P90*0.07</f>
        <v>0</v>
      </c>
      <c r="R90" s="32">
        <f>D90+J90-M90</f>
        <v>0</v>
      </c>
    </row>
    <row r="91" spans="1:18" ht="18.600000000000001">
      <c r="A91" s="8">
        <f>+A90+1</f>
        <v>2</v>
      </c>
      <c r="B91" s="64" t="s">
        <v>21</v>
      </c>
      <c r="C91" s="63"/>
      <c r="D91" s="23">
        <v>0</v>
      </c>
      <c r="E91" s="24"/>
      <c r="F91" s="24"/>
      <c r="G91" s="25"/>
      <c r="H91" s="34">
        <v>0</v>
      </c>
      <c r="I91" s="35">
        <f>H91*0.07</f>
        <v>0</v>
      </c>
      <c r="J91" s="36">
        <v>0</v>
      </c>
      <c r="K91" s="28"/>
      <c r="L91" s="29"/>
      <c r="M91" s="30">
        <v>0</v>
      </c>
      <c r="N91" s="31"/>
      <c r="O91" s="25"/>
      <c r="P91" s="27">
        <f>ROUND(R91*100/107,2)</f>
        <v>0</v>
      </c>
      <c r="Q91" s="27">
        <f>P91*0.07</f>
        <v>0</v>
      </c>
      <c r="R91" s="32">
        <f>D91+J91-M91</f>
        <v>0</v>
      </c>
    </row>
    <row r="92" spans="1:18" ht="18.600000000000001">
      <c r="A92" s="8">
        <f>+A91+1</f>
        <v>3</v>
      </c>
      <c r="B92" s="65"/>
      <c r="C92" s="63"/>
      <c r="D92" s="23">
        <v>0</v>
      </c>
      <c r="E92" s="24"/>
      <c r="F92" s="38"/>
      <c r="G92" s="39"/>
      <c r="H92" s="40">
        <f>J92*100/107</f>
        <v>0</v>
      </c>
      <c r="I92" s="40">
        <f>H92*0.07</f>
        <v>0</v>
      </c>
      <c r="J92" s="41">
        <v>0</v>
      </c>
      <c r="K92" s="28"/>
      <c r="L92" s="29"/>
      <c r="M92" s="30">
        <v>0</v>
      </c>
      <c r="N92" s="31"/>
      <c r="O92" s="25"/>
      <c r="P92" s="27">
        <f>ROUND(R92*100/107,2)</f>
        <v>0</v>
      </c>
      <c r="Q92" s="27">
        <f>P92*0.07</f>
        <v>0</v>
      </c>
      <c r="R92" s="32">
        <f>D92+J92-M92</f>
        <v>0</v>
      </c>
    </row>
    <row r="93" spans="1:18" ht="19.2" thickBot="1">
      <c r="A93" s="42"/>
      <c r="B93" s="191" t="s">
        <v>19</v>
      </c>
      <c r="C93" s="192"/>
      <c r="D93" s="43">
        <f>SUM(D90:D92)</f>
        <v>0</v>
      </c>
      <c r="E93" s="43"/>
      <c r="F93" s="43"/>
      <c r="G93" s="44"/>
      <c r="H93" s="44">
        <f>SUM(H90:H92)</f>
        <v>0</v>
      </c>
      <c r="I93" s="44">
        <f>SUM(I90:I92)</f>
        <v>0</v>
      </c>
      <c r="J93" s="44">
        <f>SUM(J90:J92)</f>
        <v>0</v>
      </c>
      <c r="K93" s="45"/>
      <c r="L93" s="46"/>
      <c r="M93" s="47">
        <f>SUM(M90:M92)</f>
        <v>0</v>
      </c>
      <c r="N93" s="48"/>
      <c r="O93" s="43"/>
      <c r="P93" s="49">
        <f>ROUND(R93*100/107,2)</f>
        <v>0</v>
      </c>
      <c r="Q93" s="49">
        <f>P93*0.07</f>
        <v>0</v>
      </c>
      <c r="R93" s="50">
        <f>SUM(R90:R92)</f>
        <v>0</v>
      </c>
    </row>
    <row r="94" spans="1:18" ht="19.2" thickTop="1">
      <c r="A94" s="8"/>
      <c r="B94" s="67" t="s">
        <v>50</v>
      </c>
      <c r="C94" s="68"/>
      <c r="D94" s="69"/>
      <c r="E94" s="70"/>
      <c r="F94" s="70"/>
      <c r="G94" s="71"/>
      <c r="H94" s="72"/>
      <c r="I94" s="73"/>
      <c r="J94" s="69"/>
      <c r="K94" s="74"/>
      <c r="L94" s="75"/>
      <c r="M94" s="76"/>
      <c r="N94" s="77"/>
      <c r="O94" s="78"/>
      <c r="P94" s="78"/>
      <c r="Q94" s="78"/>
      <c r="R94" s="79"/>
    </row>
    <row r="95" spans="1:18" ht="18.600000000000001">
      <c r="A95" s="8">
        <v>1</v>
      </c>
      <c r="B95" s="62"/>
      <c r="C95" s="63"/>
      <c r="D95" s="23">
        <v>0</v>
      </c>
      <c r="E95" s="24"/>
      <c r="F95" s="24"/>
      <c r="G95" s="25"/>
      <c r="H95" s="81">
        <v>0</v>
      </c>
      <c r="I95" s="27">
        <f>H95*0.07</f>
        <v>0</v>
      </c>
      <c r="J95" s="23">
        <v>0</v>
      </c>
      <c r="K95" s="28"/>
      <c r="L95" s="29"/>
      <c r="M95" s="30">
        <v>0</v>
      </c>
      <c r="N95" s="31"/>
      <c r="O95" s="25"/>
      <c r="P95" s="27">
        <f>ROUND(R95*100/107,2)</f>
        <v>0</v>
      </c>
      <c r="Q95" s="27">
        <f>P95*0.07</f>
        <v>0</v>
      </c>
      <c r="R95" s="32">
        <f>D95+J95-M95</f>
        <v>0</v>
      </c>
    </row>
    <row r="96" spans="1:18" ht="18.600000000000001">
      <c r="A96" s="8">
        <f>+A95+1</f>
        <v>2</v>
      </c>
      <c r="B96" s="64" t="s">
        <v>21</v>
      </c>
      <c r="C96" s="63"/>
      <c r="D96" s="23">
        <v>0</v>
      </c>
      <c r="E96" s="24"/>
      <c r="F96" s="24"/>
      <c r="G96" s="25"/>
      <c r="H96" s="27">
        <v>0</v>
      </c>
      <c r="I96" s="27">
        <f>H96*0.07</f>
        <v>0</v>
      </c>
      <c r="J96" s="36">
        <v>0</v>
      </c>
      <c r="K96" s="28"/>
      <c r="L96" s="29"/>
      <c r="M96" s="30">
        <v>0</v>
      </c>
      <c r="N96" s="31"/>
      <c r="O96" s="25"/>
      <c r="P96" s="27">
        <f>ROUND(R96*100/107,2)</f>
        <v>0</v>
      </c>
      <c r="Q96" s="27">
        <f>P96*0.07</f>
        <v>0</v>
      </c>
      <c r="R96" s="32">
        <f>D96+J96-M96</f>
        <v>0</v>
      </c>
    </row>
    <row r="97" spans="1:18" ht="18.600000000000001">
      <c r="A97" s="8">
        <f>+A96+1</f>
        <v>3</v>
      </c>
      <c r="B97" s="65"/>
      <c r="C97" s="63"/>
      <c r="D97" s="23">
        <v>0</v>
      </c>
      <c r="E97" s="24"/>
      <c r="F97" s="38"/>
      <c r="G97" s="39"/>
      <c r="H97" s="40">
        <f>J97*100/107</f>
        <v>0</v>
      </c>
      <c r="I97" s="40">
        <f>H97*0.07</f>
        <v>0</v>
      </c>
      <c r="J97" s="41">
        <v>0</v>
      </c>
      <c r="K97" s="28"/>
      <c r="L97" s="29"/>
      <c r="M97" s="30">
        <v>0</v>
      </c>
      <c r="N97" s="31"/>
      <c r="O97" s="25"/>
      <c r="P97" s="27">
        <f>ROUND(R97*100/107,2)</f>
        <v>0</v>
      </c>
      <c r="Q97" s="27">
        <f>P97*0.07</f>
        <v>0</v>
      </c>
      <c r="R97" s="32">
        <f>D97+J97-M97</f>
        <v>0</v>
      </c>
    </row>
    <row r="98" spans="1:18" ht="19.2" thickBot="1">
      <c r="A98" s="42"/>
      <c r="B98" s="191" t="s">
        <v>19</v>
      </c>
      <c r="C98" s="192"/>
      <c r="D98" s="43">
        <f>SUM(D95:D97)</f>
        <v>0</v>
      </c>
      <c r="E98" s="43"/>
      <c r="F98" s="43"/>
      <c r="G98" s="44"/>
      <c r="H98" s="44">
        <f>SUM(H95:H97)</f>
        <v>0</v>
      </c>
      <c r="I98" s="44">
        <f>SUM(I95:I97)</f>
        <v>0</v>
      </c>
      <c r="J98" s="44">
        <f>SUM(J95:J97)</f>
        <v>0</v>
      </c>
      <c r="K98" s="45"/>
      <c r="L98" s="46"/>
      <c r="M98" s="47">
        <f>SUM(M95:M97)</f>
        <v>0</v>
      </c>
      <c r="N98" s="48"/>
      <c r="O98" s="43"/>
      <c r="P98" s="49">
        <f>ROUND(R98*100/107,2)</f>
        <v>0</v>
      </c>
      <c r="Q98" s="49">
        <f>P98*0.07</f>
        <v>0</v>
      </c>
      <c r="R98" s="50">
        <f>SUM(R95:R97)</f>
        <v>0</v>
      </c>
    </row>
    <row r="99" spans="1:18" ht="19.2" thickTop="1">
      <c r="A99" s="8"/>
      <c r="B99" s="67" t="s">
        <v>51</v>
      </c>
      <c r="C99" s="68"/>
      <c r="D99" s="69"/>
      <c r="E99" s="70"/>
      <c r="F99" s="70"/>
      <c r="G99" s="71"/>
      <c r="H99" s="72"/>
      <c r="I99" s="73"/>
      <c r="J99" s="69"/>
      <c r="K99" s="74"/>
      <c r="L99" s="75"/>
      <c r="M99" s="76"/>
      <c r="N99" s="77"/>
      <c r="O99" s="78"/>
      <c r="P99" s="78"/>
      <c r="Q99" s="78"/>
      <c r="R99" s="79"/>
    </row>
    <row r="100" spans="1:18" ht="18.600000000000001">
      <c r="A100" s="8">
        <v>1</v>
      </c>
      <c r="B100" s="62"/>
      <c r="C100" s="63"/>
      <c r="D100" s="23">
        <v>0</v>
      </c>
      <c r="E100" s="24"/>
      <c r="F100" s="24"/>
      <c r="G100" s="25"/>
      <c r="H100" s="26">
        <v>0</v>
      </c>
      <c r="I100" s="27">
        <f>H100*0.07</f>
        <v>0</v>
      </c>
      <c r="J100" s="23">
        <v>0</v>
      </c>
      <c r="K100" s="28"/>
      <c r="L100" s="29"/>
      <c r="M100" s="30">
        <v>0</v>
      </c>
      <c r="N100" s="31"/>
      <c r="O100" s="25"/>
      <c r="P100" s="27">
        <f>ROUND(R100*100/107,2)</f>
        <v>0</v>
      </c>
      <c r="Q100" s="27">
        <f>P100*0.07</f>
        <v>0</v>
      </c>
      <c r="R100" s="32">
        <f>D100+J100-M100</f>
        <v>0</v>
      </c>
    </row>
    <row r="101" spans="1:18" ht="18.600000000000001">
      <c r="A101" s="8">
        <f>+A100+1</f>
        <v>2</v>
      </c>
      <c r="B101" s="64" t="s">
        <v>21</v>
      </c>
      <c r="C101" s="63"/>
      <c r="D101" s="23">
        <v>0</v>
      </c>
      <c r="E101" s="24"/>
      <c r="F101" s="24"/>
      <c r="G101" s="25"/>
      <c r="H101" s="34">
        <v>0</v>
      </c>
      <c r="I101" s="35">
        <f>H101*0.07</f>
        <v>0</v>
      </c>
      <c r="J101" s="36">
        <v>0</v>
      </c>
      <c r="K101" s="28"/>
      <c r="L101" s="29"/>
      <c r="M101" s="30">
        <v>0</v>
      </c>
      <c r="N101" s="31"/>
      <c r="O101" s="25"/>
      <c r="P101" s="27">
        <f>ROUND(R101*100/107,2)</f>
        <v>0</v>
      </c>
      <c r="Q101" s="27">
        <f>P101*0.07</f>
        <v>0</v>
      </c>
      <c r="R101" s="32">
        <f>D101+J101-M101</f>
        <v>0</v>
      </c>
    </row>
    <row r="102" spans="1:18" ht="18.600000000000001">
      <c r="A102" s="8">
        <f>+A101+1</f>
        <v>3</v>
      </c>
      <c r="B102" s="65"/>
      <c r="C102" s="63"/>
      <c r="D102" s="23">
        <v>0</v>
      </c>
      <c r="E102" s="24"/>
      <c r="F102" s="38"/>
      <c r="G102" s="39"/>
      <c r="H102" s="40">
        <f>J102*100/107</f>
        <v>0</v>
      </c>
      <c r="I102" s="40">
        <f>H102*0.07</f>
        <v>0</v>
      </c>
      <c r="J102" s="41">
        <v>0</v>
      </c>
      <c r="K102" s="28"/>
      <c r="L102" s="29"/>
      <c r="M102" s="30">
        <v>0</v>
      </c>
      <c r="N102" s="31"/>
      <c r="O102" s="25"/>
      <c r="P102" s="27">
        <f>ROUND(R102*100/107,2)</f>
        <v>0</v>
      </c>
      <c r="Q102" s="27">
        <f>P102*0.07</f>
        <v>0</v>
      </c>
      <c r="R102" s="32">
        <f>D102+J102-M102</f>
        <v>0</v>
      </c>
    </row>
    <row r="103" spans="1:18" ht="19.2" thickBot="1">
      <c r="A103" s="42"/>
      <c r="B103" s="191" t="s">
        <v>19</v>
      </c>
      <c r="C103" s="192"/>
      <c r="D103" s="43">
        <f>SUM(D100:D102)</f>
        <v>0</v>
      </c>
      <c r="E103" s="43"/>
      <c r="F103" s="43"/>
      <c r="G103" s="44"/>
      <c r="H103" s="44">
        <f>SUM(H100:H102)</f>
        <v>0</v>
      </c>
      <c r="I103" s="44">
        <f>SUM(I100:I102)</f>
        <v>0</v>
      </c>
      <c r="J103" s="44">
        <f>SUM(J100:J102)</f>
        <v>0</v>
      </c>
      <c r="K103" s="45"/>
      <c r="L103" s="46"/>
      <c r="M103" s="47">
        <f>SUM(M100:M102)</f>
        <v>0</v>
      </c>
      <c r="N103" s="48"/>
      <c r="O103" s="43"/>
      <c r="P103" s="49">
        <f>ROUND(R103*100/107,2)</f>
        <v>0</v>
      </c>
      <c r="Q103" s="49">
        <f>P103*0.07</f>
        <v>0</v>
      </c>
      <c r="R103" s="50">
        <f>SUM(R100:R102)</f>
        <v>0</v>
      </c>
    </row>
    <row r="104" spans="1:18" ht="19.2" thickTop="1">
      <c r="A104" s="8"/>
      <c r="B104" s="67" t="s">
        <v>52</v>
      </c>
      <c r="C104" s="68"/>
      <c r="D104" s="69"/>
      <c r="E104" s="70"/>
      <c r="F104" s="70"/>
      <c r="G104" s="71"/>
      <c r="H104" s="72"/>
      <c r="I104" s="73"/>
      <c r="J104" s="69"/>
      <c r="K104" s="74"/>
      <c r="L104" s="75"/>
      <c r="M104" s="76"/>
      <c r="N104" s="77"/>
      <c r="O104" s="78"/>
      <c r="P104" s="78"/>
      <c r="Q104" s="78"/>
      <c r="R104" s="79"/>
    </row>
    <row r="105" spans="1:18" ht="18.600000000000001">
      <c r="A105" s="8">
        <v>1</v>
      </c>
      <c r="B105" s="62"/>
      <c r="C105" s="63"/>
      <c r="D105" s="23">
        <v>0</v>
      </c>
      <c r="E105" s="24"/>
      <c r="F105" s="24"/>
      <c r="G105" s="25"/>
      <c r="H105" s="26">
        <v>0</v>
      </c>
      <c r="I105" s="27">
        <f>H105*0.07</f>
        <v>0</v>
      </c>
      <c r="J105" s="23">
        <v>0</v>
      </c>
      <c r="K105" s="28"/>
      <c r="L105" s="29"/>
      <c r="M105" s="30">
        <v>0</v>
      </c>
      <c r="N105" s="31"/>
      <c r="O105" s="25"/>
      <c r="P105" s="27">
        <f>ROUND(R105*100/107,2)</f>
        <v>0</v>
      </c>
      <c r="Q105" s="27">
        <f>P105*0.07</f>
        <v>0</v>
      </c>
      <c r="R105" s="32">
        <f>D105+J105-M105</f>
        <v>0</v>
      </c>
    </row>
    <row r="106" spans="1:18" ht="18.600000000000001">
      <c r="A106" s="8">
        <f>+A105+1</f>
        <v>2</v>
      </c>
      <c r="B106" s="64" t="s">
        <v>21</v>
      </c>
      <c r="C106" s="63"/>
      <c r="D106" s="23">
        <v>0</v>
      </c>
      <c r="E106" s="24"/>
      <c r="F106" s="24"/>
      <c r="G106" s="25"/>
      <c r="H106" s="34">
        <v>0</v>
      </c>
      <c r="I106" s="35">
        <f>H106*0.07</f>
        <v>0</v>
      </c>
      <c r="J106" s="36">
        <v>0</v>
      </c>
      <c r="K106" s="28"/>
      <c r="L106" s="29"/>
      <c r="M106" s="30">
        <v>0</v>
      </c>
      <c r="N106" s="31"/>
      <c r="O106" s="25"/>
      <c r="P106" s="27">
        <f>ROUND(R106*100/107,2)</f>
        <v>0</v>
      </c>
      <c r="Q106" s="27">
        <f>P106*0.07</f>
        <v>0</v>
      </c>
      <c r="R106" s="32">
        <f>D106+J106-M106</f>
        <v>0</v>
      </c>
    </row>
    <row r="107" spans="1:18" ht="18.600000000000001">
      <c r="A107" s="8">
        <f>+A106+1</f>
        <v>3</v>
      </c>
      <c r="B107" s="65"/>
      <c r="C107" s="63"/>
      <c r="D107" s="23">
        <v>0</v>
      </c>
      <c r="E107" s="24"/>
      <c r="F107" s="38"/>
      <c r="G107" s="39"/>
      <c r="H107" s="40">
        <f>J107*100/107</f>
        <v>0</v>
      </c>
      <c r="I107" s="40">
        <f>H107*0.07</f>
        <v>0</v>
      </c>
      <c r="J107" s="41">
        <v>0</v>
      </c>
      <c r="K107" s="28"/>
      <c r="L107" s="29"/>
      <c r="M107" s="30">
        <v>0</v>
      </c>
      <c r="N107" s="31"/>
      <c r="O107" s="25"/>
      <c r="P107" s="27">
        <f>ROUND(R107*100/107,2)</f>
        <v>0</v>
      </c>
      <c r="Q107" s="27">
        <f>P107*0.07</f>
        <v>0</v>
      </c>
      <c r="R107" s="32">
        <f>D107+J107-M107</f>
        <v>0</v>
      </c>
    </row>
    <row r="108" spans="1:18" ht="19.2" thickBot="1">
      <c r="A108" s="42"/>
      <c r="B108" s="191" t="s">
        <v>19</v>
      </c>
      <c r="C108" s="192"/>
      <c r="D108" s="43">
        <f>SUM(D105:D107)</f>
        <v>0</v>
      </c>
      <c r="E108" s="43"/>
      <c r="F108" s="43"/>
      <c r="G108" s="44"/>
      <c r="H108" s="44">
        <f>SUM(H105:H107)</f>
        <v>0</v>
      </c>
      <c r="I108" s="44">
        <f>SUM(I105:I107)</f>
        <v>0</v>
      </c>
      <c r="J108" s="44">
        <f>SUM(J105:J107)</f>
        <v>0</v>
      </c>
      <c r="K108" s="45"/>
      <c r="L108" s="46"/>
      <c r="M108" s="47">
        <f>SUM(M105:M107)</f>
        <v>0</v>
      </c>
      <c r="N108" s="48"/>
      <c r="O108" s="43"/>
      <c r="P108" s="49">
        <f>ROUND(R108*100/107,2)</f>
        <v>0</v>
      </c>
      <c r="Q108" s="49">
        <f>P108*0.07</f>
        <v>0</v>
      </c>
      <c r="R108" s="50">
        <f>SUM(R105:R107)</f>
        <v>0</v>
      </c>
    </row>
    <row r="109" spans="1:18" ht="19.8" thickTop="1" thickBot="1">
      <c r="A109" s="120"/>
      <c r="B109" s="193" t="s">
        <v>53</v>
      </c>
      <c r="C109" s="194"/>
      <c r="D109" s="106">
        <f>+D11+D16+D21+D26+D32+D37+D42+D47+D52+D57+D68+D73+D78+D83+D88+D93+D98+D103+D108</f>
        <v>0</v>
      </c>
      <c r="E109" s="106"/>
      <c r="F109" s="106"/>
      <c r="G109" s="106"/>
      <c r="H109" s="106">
        <f>+H11+H16+H21+H26+H32+H37+H42+H47+H52+H57+H68+H73+H78+H83+H88+H93+H98+H103+H108</f>
        <v>5530855.9100000001</v>
      </c>
      <c r="I109" s="106">
        <f>+I11+I16+I21+I26+I32+I37+I42+I47+I52+I57+I68+I73+I78+I83+I88+I93+I98+I103+I108</f>
        <v>0</v>
      </c>
      <c r="J109" s="106">
        <f>+J11+J16+J21+J26+J32+J37+J42+J47+J52+J57+J68+J73+J78+J83+J88+J93+J98+J103+J108</f>
        <v>5530855.9100000001</v>
      </c>
      <c r="K109" s="114"/>
      <c r="L109" s="114"/>
      <c r="M109" s="107">
        <f>+M11+M16+M21+M26+M32+M37+M42+M47+M52+M57+M68+M73+M78+M83+M88+M93+M98+M103+M108</f>
        <v>0</v>
      </c>
      <c r="N109" s="108"/>
      <c r="O109" s="106"/>
      <c r="P109" s="106">
        <f>+P11+P16+P21+P26+P32+P37+P42+P47+P52+P57+P68+P73+P78+P83+P88+P93+P98+P103+P108</f>
        <v>5530855.9100000001</v>
      </c>
      <c r="Q109" s="106">
        <f>+Q11+Q16+Q21+Q26+Q32+Q37+Q42+Q47+Q52+Q57+Q68+Q73+Q78+Q83+Q88+Q93+Q98+Q103+Q108</f>
        <v>0</v>
      </c>
      <c r="R109" s="106">
        <f>+R11+R16+R21+R26+R32+R37+R42+R47+R52+R57+R68+R73+R78+R83+R88+R93+R98+R103+R108</f>
        <v>5530855.9100000001</v>
      </c>
    </row>
    <row r="110" spans="1:18" ht="19.2" thickTop="1">
      <c r="A110" s="120"/>
      <c r="B110" s="121"/>
      <c r="C110" s="121"/>
      <c r="D110" s="121"/>
      <c r="E110" s="121"/>
      <c r="F110" s="121"/>
      <c r="G110" s="121"/>
      <c r="H110" s="121"/>
      <c r="I110" s="121"/>
      <c r="J110" s="121"/>
      <c r="K110" s="122"/>
      <c r="L110" s="123"/>
      <c r="M110" s="124"/>
      <c r="N110" s="125"/>
      <c r="O110" s="121"/>
      <c r="P110" s="121"/>
      <c r="Q110" s="121"/>
      <c r="R110" s="126"/>
    </row>
    <row r="111" spans="1:18" ht="6.75" customHeight="1">
      <c r="A111" s="120"/>
      <c r="B111" s="121"/>
      <c r="C111" s="121"/>
      <c r="D111" s="121"/>
      <c r="E111" s="121"/>
      <c r="F111" s="121"/>
      <c r="G111" s="121"/>
      <c r="H111" s="121"/>
      <c r="I111" s="121"/>
      <c r="J111" s="121"/>
      <c r="K111" s="122"/>
      <c r="L111" s="123"/>
      <c r="M111" s="124"/>
      <c r="N111" s="125"/>
      <c r="O111" s="121"/>
      <c r="P111" s="121"/>
      <c r="Q111" s="121"/>
      <c r="R111" s="126"/>
    </row>
    <row r="112" spans="1:18" ht="18.600000000000001">
      <c r="A112" s="120"/>
      <c r="B112" s="121"/>
      <c r="C112" s="121"/>
      <c r="D112" s="121"/>
      <c r="E112" s="127"/>
      <c r="F112" s="127"/>
      <c r="G112" s="121"/>
      <c r="H112" s="121"/>
      <c r="I112" s="121"/>
      <c r="J112" s="121"/>
      <c r="K112" s="122"/>
      <c r="L112" s="123"/>
      <c r="M112" s="124"/>
      <c r="N112" s="189" t="s">
        <v>54</v>
      </c>
      <c r="O112" s="189"/>
      <c r="P112" s="189"/>
      <c r="Q112" s="121"/>
      <c r="R112" s="126"/>
    </row>
    <row r="113" spans="1:18" ht="18.600000000000001">
      <c r="B113" s="128"/>
      <c r="C113" s="121"/>
      <c r="D113" s="121"/>
      <c r="E113" s="121"/>
      <c r="F113" s="121"/>
      <c r="G113" s="121"/>
      <c r="H113" s="190"/>
      <c r="I113" s="190"/>
      <c r="J113" s="190"/>
      <c r="K113" s="122"/>
      <c r="L113" s="123"/>
      <c r="M113" s="124"/>
      <c r="N113" s="125"/>
      <c r="O113" s="121" t="s">
        <v>55</v>
      </c>
      <c r="P113" s="121"/>
      <c r="Q113" s="121"/>
      <c r="R113" s="126"/>
    </row>
    <row r="114" spans="1:18" ht="18.600000000000001">
      <c r="A114" s="129"/>
      <c r="B114" s="130"/>
      <c r="C114" s="129"/>
      <c r="D114" s="131"/>
      <c r="E114" s="129"/>
      <c r="F114" s="129"/>
      <c r="G114" s="132"/>
      <c r="H114" s="132"/>
      <c r="I114" s="132"/>
      <c r="J114" s="133"/>
      <c r="K114" s="134"/>
      <c r="L114" s="135"/>
      <c r="M114" s="136"/>
      <c r="N114" s="137"/>
      <c r="O114" s="132"/>
      <c r="P114" s="132"/>
      <c r="Q114" s="132"/>
      <c r="R114" s="138"/>
    </row>
  </sheetData>
  <mergeCells count="54">
    <mergeCell ref="N112:P112"/>
    <mergeCell ref="H113:J113"/>
    <mergeCell ref="B88:C88"/>
    <mergeCell ref="B93:C93"/>
    <mergeCell ref="B98:C98"/>
    <mergeCell ref="B103:C103"/>
    <mergeCell ref="B108:C108"/>
    <mergeCell ref="B109:C109"/>
    <mergeCell ref="B83:C83"/>
    <mergeCell ref="B42:C42"/>
    <mergeCell ref="B47:C47"/>
    <mergeCell ref="B52:C52"/>
    <mergeCell ref="B57:C57"/>
    <mergeCell ref="B67:C67"/>
    <mergeCell ref="B68:C68"/>
    <mergeCell ref="B73:C73"/>
    <mergeCell ref="B78:C78"/>
    <mergeCell ref="B80:C80"/>
    <mergeCell ref="B81:C81"/>
    <mergeCell ref="B82:C82"/>
    <mergeCell ref="B41:C41"/>
    <mergeCell ref="B14:C14"/>
    <mergeCell ref="B15:C15"/>
    <mergeCell ref="B16:C16"/>
    <mergeCell ref="B21:C21"/>
    <mergeCell ref="B26:C26"/>
    <mergeCell ref="B29:C29"/>
    <mergeCell ref="B31:C31"/>
    <mergeCell ref="B32:C32"/>
    <mergeCell ref="B37:C37"/>
    <mergeCell ref="B39:C39"/>
    <mergeCell ref="B40:C40"/>
    <mergeCell ref="B13:C13"/>
    <mergeCell ref="E5:E6"/>
    <mergeCell ref="F5:F6"/>
    <mergeCell ref="G5:G6"/>
    <mergeCell ref="H5:J5"/>
    <mergeCell ref="B11:C11"/>
    <mergeCell ref="A1:R1"/>
    <mergeCell ref="A2:R2"/>
    <mergeCell ref="A3:R3"/>
    <mergeCell ref="A4:A6"/>
    <mergeCell ref="B4:B6"/>
    <mergeCell ref="C4:C6"/>
    <mergeCell ref="D4:D6"/>
    <mergeCell ref="E4:J4"/>
    <mergeCell ref="K4:M4"/>
    <mergeCell ref="N4:R4"/>
    <mergeCell ref="M5:M6"/>
    <mergeCell ref="N5:N6"/>
    <mergeCell ref="O5:O6"/>
    <mergeCell ref="P5:R5"/>
    <mergeCell ref="K5:K6"/>
    <mergeCell ref="L5:L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E2BC-A82E-42D5-A869-FFC051A579D8}">
  <sheetPr>
    <tabColor rgb="FFFFFF00"/>
  </sheetPr>
  <dimension ref="A1:F14"/>
  <sheetViews>
    <sheetView workbookViewId="0">
      <pane ySplit="6" topLeftCell="A7" activePane="bottomLeft" state="frozen"/>
      <selection pane="bottomLeft" activeCell="A4" sqref="A4:A6"/>
    </sheetView>
  </sheetViews>
  <sheetFormatPr defaultColWidth="10.375" defaultRowHeight="14.4"/>
  <cols>
    <col min="1" max="1" width="10.375" style="1"/>
    <col min="2" max="2" width="33.25" style="1" customWidth="1"/>
    <col min="3" max="3" width="10.375" style="1"/>
    <col min="4" max="4" width="10.375" style="139"/>
    <col min="5" max="5" width="11.625" style="139" bestFit="1" customWidth="1"/>
    <col min="6" max="6" width="10.375" style="139"/>
    <col min="7" max="242" width="10.375" style="1"/>
    <col min="243" max="243" width="33.25" style="1" customWidth="1"/>
    <col min="244" max="248" width="10.375" style="1"/>
    <col min="249" max="249" width="13.625" style="1" customWidth="1"/>
    <col min="250" max="250" width="10.375" style="1"/>
    <col min="251" max="251" width="14.375" style="1" customWidth="1"/>
    <col min="252" max="252" width="10.375" style="1"/>
    <col min="253" max="253" width="11.625" style="1" bestFit="1" customWidth="1"/>
    <col min="254" max="256" width="10.375" style="1"/>
    <col min="257" max="257" width="12.875" style="1" customWidth="1"/>
    <col min="258" max="258" width="10.375" style="1"/>
    <col min="259" max="259" width="13" style="1" customWidth="1"/>
    <col min="260" max="498" width="10.375" style="1"/>
    <col min="499" max="499" width="33.25" style="1" customWidth="1"/>
    <col min="500" max="504" width="10.375" style="1"/>
    <col min="505" max="505" width="13.625" style="1" customWidth="1"/>
    <col min="506" max="506" width="10.375" style="1"/>
    <col min="507" max="507" width="14.375" style="1" customWidth="1"/>
    <col min="508" max="508" width="10.375" style="1"/>
    <col min="509" max="509" width="11.625" style="1" bestFit="1" customWidth="1"/>
    <col min="510" max="512" width="10.375" style="1"/>
    <col min="513" max="513" width="12.875" style="1" customWidth="1"/>
    <col min="514" max="514" width="10.375" style="1"/>
    <col min="515" max="515" width="13" style="1" customWidth="1"/>
    <col min="516" max="754" width="10.375" style="1"/>
    <col min="755" max="755" width="33.25" style="1" customWidth="1"/>
    <col min="756" max="760" width="10.375" style="1"/>
    <col min="761" max="761" width="13.625" style="1" customWidth="1"/>
    <col min="762" max="762" width="10.375" style="1"/>
    <col min="763" max="763" width="14.375" style="1" customWidth="1"/>
    <col min="764" max="764" width="10.375" style="1"/>
    <col min="765" max="765" width="11.625" style="1" bestFit="1" customWidth="1"/>
    <col min="766" max="768" width="10.375" style="1"/>
    <col min="769" max="769" width="12.875" style="1" customWidth="1"/>
    <col min="770" max="770" width="10.375" style="1"/>
    <col min="771" max="771" width="13" style="1" customWidth="1"/>
    <col min="772" max="1010" width="10.375" style="1"/>
    <col min="1011" max="1011" width="33.25" style="1" customWidth="1"/>
    <col min="1012" max="1016" width="10.375" style="1"/>
    <col min="1017" max="1017" width="13.625" style="1" customWidth="1"/>
    <col min="1018" max="1018" width="10.375" style="1"/>
    <col min="1019" max="1019" width="14.375" style="1" customWidth="1"/>
    <col min="1020" max="1020" width="10.375" style="1"/>
    <col min="1021" max="1021" width="11.625" style="1" bestFit="1" customWidth="1"/>
    <col min="1022" max="1024" width="10.375" style="1"/>
    <col min="1025" max="1025" width="12.875" style="1" customWidth="1"/>
    <col min="1026" max="1026" width="10.375" style="1"/>
    <col min="1027" max="1027" width="13" style="1" customWidth="1"/>
    <col min="1028" max="1266" width="10.375" style="1"/>
    <col min="1267" max="1267" width="33.25" style="1" customWidth="1"/>
    <col min="1268" max="1272" width="10.375" style="1"/>
    <col min="1273" max="1273" width="13.625" style="1" customWidth="1"/>
    <col min="1274" max="1274" width="10.375" style="1"/>
    <col min="1275" max="1275" width="14.375" style="1" customWidth="1"/>
    <col min="1276" max="1276" width="10.375" style="1"/>
    <col min="1277" max="1277" width="11.625" style="1" bestFit="1" customWidth="1"/>
    <col min="1278" max="1280" width="10.375" style="1"/>
    <col min="1281" max="1281" width="12.875" style="1" customWidth="1"/>
    <col min="1282" max="1282" width="10.375" style="1"/>
    <col min="1283" max="1283" width="13" style="1" customWidth="1"/>
    <col min="1284" max="1522" width="10.375" style="1"/>
    <col min="1523" max="1523" width="33.25" style="1" customWidth="1"/>
    <col min="1524" max="1528" width="10.375" style="1"/>
    <col min="1529" max="1529" width="13.625" style="1" customWidth="1"/>
    <col min="1530" max="1530" width="10.375" style="1"/>
    <col min="1531" max="1531" width="14.375" style="1" customWidth="1"/>
    <col min="1532" max="1532" width="10.375" style="1"/>
    <col min="1533" max="1533" width="11.625" style="1" bestFit="1" customWidth="1"/>
    <col min="1534" max="1536" width="10.375" style="1"/>
    <col min="1537" max="1537" width="12.875" style="1" customWidth="1"/>
    <col min="1538" max="1538" width="10.375" style="1"/>
    <col min="1539" max="1539" width="13" style="1" customWidth="1"/>
    <col min="1540" max="1778" width="10.375" style="1"/>
    <col min="1779" max="1779" width="33.25" style="1" customWidth="1"/>
    <col min="1780" max="1784" width="10.375" style="1"/>
    <col min="1785" max="1785" width="13.625" style="1" customWidth="1"/>
    <col min="1786" max="1786" width="10.375" style="1"/>
    <col min="1787" max="1787" width="14.375" style="1" customWidth="1"/>
    <col min="1788" max="1788" width="10.375" style="1"/>
    <col min="1789" max="1789" width="11.625" style="1" bestFit="1" customWidth="1"/>
    <col min="1790" max="1792" width="10.375" style="1"/>
    <col min="1793" max="1793" width="12.875" style="1" customWidth="1"/>
    <col min="1794" max="1794" width="10.375" style="1"/>
    <col min="1795" max="1795" width="13" style="1" customWidth="1"/>
    <col min="1796" max="2034" width="10.375" style="1"/>
    <col min="2035" max="2035" width="33.25" style="1" customWidth="1"/>
    <col min="2036" max="2040" width="10.375" style="1"/>
    <col min="2041" max="2041" width="13.625" style="1" customWidth="1"/>
    <col min="2042" max="2042" width="10.375" style="1"/>
    <col min="2043" max="2043" width="14.375" style="1" customWidth="1"/>
    <col min="2044" max="2044" width="10.375" style="1"/>
    <col min="2045" max="2045" width="11.625" style="1" bestFit="1" customWidth="1"/>
    <col min="2046" max="2048" width="10.375" style="1"/>
    <col min="2049" max="2049" width="12.875" style="1" customWidth="1"/>
    <col min="2050" max="2050" width="10.375" style="1"/>
    <col min="2051" max="2051" width="13" style="1" customWidth="1"/>
    <col min="2052" max="2290" width="10.375" style="1"/>
    <col min="2291" max="2291" width="33.25" style="1" customWidth="1"/>
    <col min="2292" max="2296" width="10.375" style="1"/>
    <col min="2297" max="2297" width="13.625" style="1" customWidth="1"/>
    <col min="2298" max="2298" width="10.375" style="1"/>
    <col min="2299" max="2299" width="14.375" style="1" customWidth="1"/>
    <col min="2300" max="2300" width="10.375" style="1"/>
    <col min="2301" max="2301" width="11.625" style="1" bestFit="1" customWidth="1"/>
    <col min="2302" max="2304" width="10.375" style="1"/>
    <col min="2305" max="2305" width="12.875" style="1" customWidth="1"/>
    <col min="2306" max="2306" width="10.375" style="1"/>
    <col min="2307" max="2307" width="13" style="1" customWidth="1"/>
    <col min="2308" max="2546" width="10.375" style="1"/>
    <col min="2547" max="2547" width="33.25" style="1" customWidth="1"/>
    <col min="2548" max="2552" width="10.375" style="1"/>
    <col min="2553" max="2553" width="13.625" style="1" customWidth="1"/>
    <col min="2554" max="2554" width="10.375" style="1"/>
    <col min="2555" max="2555" width="14.375" style="1" customWidth="1"/>
    <col min="2556" max="2556" width="10.375" style="1"/>
    <col min="2557" max="2557" width="11.625" style="1" bestFit="1" customWidth="1"/>
    <col min="2558" max="2560" width="10.375" style="1"/>
    <col min="2561" max="2561" width="12.875" style="1" customWidth="1"/>
    <col min="2562" max="2562" width="10.375" style="1"/>
    <col min="2563" max="2563" width="13" style="1" customWidth="1"/>
    <col min="2564" max="2802" width="10.375" style="1"/>
    <col min="2803" max="2803" width="33.25" style="1" customWidth="1"/>
    <col min="2804" max="2808" width="10.375" style="1"/>
    <col min="2809" max="2809" width="13.625" style="1" customWidth="1"/>
    <col min="2810" max="2810" width="10.375" style="1"/>
    <col min="2811" max="2811" width="14.375" style="1" customWidth="1"/>
    <col min="2812" max="2812" width="10.375" style="1"/>
    <col min="2813" max="2813" width="11.625" style="1" bestFit="1" customWidth="1"/>
    <col min="2814" max="2816" width="10.375" style="1"/>
    <col min="2817" max="2817" width="12.875" style="1" customWidth="1"/>
    <col min="2818" max="2818" width="10.375" style="1"/>
    <col min="2819" max="2819" width="13" style="1" customWidth="1"/>
    <col min="2820" max="3058" width="10.375" style="1"/>
    <col min="3059" max="3059" width="33.25" style="1" customWidth="1"/>
    <col min="3060" max="3064" width="10.375" style="1"/>
    <col min="3065" max="3065" width="13.625" style="1" customWidth="1"/>
    <col min="3066" max="3066" width="10.375" style="1"/>
    <col min="3067" max="3067" width="14.375" style="1" customWidth="1"/>
    <col min="3068" max="3068" width="10.375" style="1"/>
    <col min="3069" max="3069" width="11.625" style="1" bestFit="1" customWidth="1"/>
    <col min="3070" max="3072" width="10.375" style="1"/>
    <col min="3073" max="3073" width="12.875" style="1" customWidth="1"/>
    <col min="3074" max="3074" width="10.375" style="1"/>
    <col min="3075" max="3075" width="13" style="1" customWidth="1"/>
    <col min="3076" max="3314" width="10.375" style="1"/>
    <col min="3315" max="3315" width="33.25" style="1" customWidth="1"/>
    <col min="3316" max="3320" width="10.375" style="1"/>
    <col min="3321" max="3321" width="13.625" style="1" customWidth="1"/>
    <col min="3322" max="3322" width="10.375" style="1"/>
    <col min="3323" max="3323" width="14.375" style="1" customWidth="1"/>
    <col min="3324" max="3324" width="10.375" style="1"/>
    <col min="3325" max="3325" width="11.625" style="1" bestFit="1" customWidth="1"/>
    <col min="3326" max="3328" width="10.375" style="1"/>
    <col min="3329" max="3329" width="12.875" style="1" customWidth="1"/>
    <col min="3330" max="3330" width="10.375" style="1"/>
    <col min="3331" max="3331" width="13" style="1" customWidth="1"/>
    <col min="3332" max="3570" width="10.375" style="1"/>
    <col min="3571" max="3571" width="33.25" style="1" customWidth="1"/>
    <col min="3572" max="3576" width="10.375" style="1"/>
    <col min="3577" max="3577" width="13.625" style="1" customWidth="1"/>
    <col min="3578" max="3578" width="10.375" style="1"/>
    <col min="3579" max="3579" width="14.375" style="1" customWidth="1"/>
    <col min="3580" max="3580" width="10.375" style="1"/>
    <col min="3581" max="3581" width="11.625" style="1" bestFit="1" customWidth="1"/>
    <col min="3582" max="3584" width="10.375" style="1"/>
    <col min="3585" max="3585" width="12.875" style="1" customWidth="1"/>
    <col min="3586" max="3586" width="10.375" style="1"/>
    <col min="3587" max="3587" width="13" style="1" customWidth="1"/>
    <col min="3588" max="3826" width="10.375" style="1"/>
    <col min="3827" max="3827" width="33.25" style="1" customWidth="1"/>
    <col min="3828" max="3832" width="10.375" style="1"/>
    <col min="3833" max="3833" width="13.625" style="1" customWidth="1"/>
    <col min="3834" max="3834" width="10.375" style="1"/>
    <col min="3835" max="3835" width="14.375" style="1" customWidth="1"/>
    <col min="3836" max="3836" width="10.375" style="1"/>
    <col min="3837" max="3837" width="11.625" style="1" bestFit="1" customWidth="1"/>
    <col min="3838" max="3840" width="10.375" style="1"/>
    <col min="3841" max="3841" width="12.875" style="1" customWidth="1"/>
    <col min="3842" max="3842" width="10.375" style="1"/>
    <col min="3843" max="3843" width="13" style="1" customWidth="1"/>
    <col min="3844" max="4082" width="10.375" style="1"/>
    <col min="4083" max="4083" width="33.25" style="1" customWidth="1"/>
    <col min="4084" max="4088" width="10.375" style="1"/>
    <col min="4089" max="4089" width="13.625" style="1" customWidth="1"/>
    <col min="4090" max="4090" width="10.375" style="1"/>
    <col min="4091" max="4091" width="14.375" style="1" customWidth="1"/>
    <col min="4092" max="4092" width="10.375" style="1"/>
    <col min="4093" max="4093" width="11.625" style="1" bestFit="1" customWidth="1"/>
    <col min="4094" max="4096" width="10.375" style="1"/>
    <col min="4097" max="4097" width="12.875" style="1" customWidth="1"/>
    <col min="4098" max="4098" width="10.375" style="1"/>
    <col min="4099" max="4099" width="13" style="1" customWidth="1"/>
    <col min="4100" max="4338" width="10.375" style="1"/>
    <col min="4339" max="4339" width="33.25" style="1" customWidth="1"/>
    <col min="4340" max="4344" width="10.375" style="1"/>
    <col min="4345" max="4345" width="13.625" style="1" customWidth="1"/>
    <col min="4346" max="4346" width="10.375" style="1"/>
    <col min="4347" max="4347" width="14.375" style="1" customWidth="1"/>
    <col min="4348" max="4348" width="10.375" style="1"/>
    <col min="4349" max="4349" width="11.625" style="1" bestFit="1" customWidth="1"/>
    <col min="4350" max="4352" width="10.375" style="1"/>
    <col min="4353" max="4353" width="12.875" style="1" customWidth="1"/>
    <col min="4354" max="4354" width="10.375" style="1"/>
    <col min="4355" max="4355" width="13" style="1" customWidth="1"/>
    <col min="4356" max="4594" width="10.375" style="1"/>
    <col min="4595" max="4595" width="33.25" style="1" customWidth="1"/>
    <col min="4596" max="4600" width="10.375" style="1"/>
    <col min="4601" max="4601" width="13.625" style="1" customWidth="1"/>
    <col min="4602" max="4602" width="10.375" style="1"/>
    <col min="4603" max="4603" width="14.375" style="1" customWidth="1"/>
    <col min="4604" max="4604" width="10.375" style="1"/>
    <col min="4605" max="4605" width="11.625" style="1" bestFit="1" customWidth="1"/>
    <col min="4606" max="4608" width="10.375" style="1"/>
    <col min="4609" max="4609" width="12.875" style="1" customWidth="1"/>
    <col min="4610" max="4610" width="10.375" style="1"/>
    <col min="4611" max="4611" width="13" style="1" customWidth="1"/>
    <col min="4612" max="4850" width="10.375" style="1"/>
    <col min="4851" max="4851" width="33.25" style="1" customWidth="1"/>
    <col min="4852" max="4856" width="10.375" style="1"/>
    <col min="4857" max="4857" width="13.625" style="1" customWidth="1"/>
    <col min="4858" max="4858" width="10.375" style="1"/>
    <col min="4859" max="4859" width="14.375" style="1" customWidth="1"/>
    <col min="4860" max="4860" width="10.375" style="1"/>
    <col min="4861" max="4861" width="11.625" style="1" bestFit="1" customWidth="1"/>
    <col min="4862" max="4864" width="10.375" style="1"/>
    <col min="4865" max="4865" width="12.875" style="1" customWidth="1"/>
    <col min="4866" max="4866" width="10.375" style="1"/>
    <col min="4867" max="4867" width="13" style="1" customWidth="1"/>
    <col min="4868" max="5106" width="10.375" style="1"/>
    <col min="5107" max="5107" width="33.25" style="1" customWidth="1"/>
    <col min="5108" max="5112" width="10.375" style="1"/>
    <col min="5113" max="5113" width="13.625" style="1" customWidth="1"/>
    <col min="5114" max="5114" width="10.375" style="1"/>
    <col min="5115" max="5115" width="14.375" style="1" customWidth="1"/>
    <col min="5116" max="5116" width="10.375" style="1"/>
    <col min="5117" max="5117" width="11.625" style="1" bestFit="1" customWidth="1"/>
    <col min="5118" max="5120" width="10.375" style="1"/>
    <col min="5121" max="5121" width="12.875" style="1" customWidth="1"/>
    <col min="5122" max="5122" width="10.375" style="1"/>
    <col min="5123" max="5123" width="13" style="1" customWidth="1"/>
    <col min="5124" max="5362" width="10.375" style="1"/>
    <col min="5363" max="5363" width="33.25" style="1" customWidth="1"/>
    <col min="5364" max="5368" width="10.375" style="1"/>
    <col min="5369" max="5369" width="13.625" style="1" customWidth="1"/>
    <col min="5370" max="5370" width="10.375" style="1"/>
    <col min="5371" max="5371" width="14.375" style="1" customWidth="1"/>
    <col min="5372" max="5372" width="10.375" style="1"/>
    <col min="5373" max="5373" width="11.625" style="1" bestFit="1" customWidth="1"/>
    <col min="5374" max="5376" width="10.375" style="1"/>
    <col min="5377" max="5377" width="12.875" style="1" customWidth="1"/>
    <col min="5378" max="5378" width="10.375" style="1"/>
    <col min="5379" max="5379" width="13" style="1" customWidth="1"/>
    <col min="5380" max="5618" width="10.375" style="1"/>
    <col min="5619" max="5619" width="33.25" style="1" customWidth="1"/>
    <col min="5620" max="5624" width="10.375" style="1"/>
    <col min="5625" max="5625" width="13.625" style="1" customWidth="1"/>
    <col min="5626" max="5626" width="10.375" style="1"/>
    <col min="5627" max="5627" width="14.375" style="1" customWidth="1"/>
    <col min="5628" max="5628" width="10.375" style="1"/>
    <col min="5629" max="5629" width="11.625" style="1" bestFit="1" customWidth="1"/>
    <col min="5630" max="5632" width="10.375" style="1"/>
    <col min="5633" max="5633" width="12.875" style="1" customWidth="1"/>
    <col min="5634" max="5634" width="10.375" style="1"/>
    <col min="5635" max="5635" width="13" style="1" customWidth="1"/>
    <col min="5636" max="5874" width="10.375" style="1"/>
    <col min="5875" max="5875" width="33.25" style="1" customWidth="1"/>
    <col min="5876" max="5880" width="10.375" style="1"/>
    <col min="5881" max="5881" width="13.625" style="1" customWidth="1"/>
    <col min="5882" max="5882" width="10.375" style="1"/>
    <col min="5883" max="5883" width="14.375" style="1" customWidth="1"/>
    <col min="5884" max="5884" width="10.375" style="1"/>
    <col min="5885" max="5885" width="11.625" style="1" bestFit="1" customWidth="1"/>
    <col min="5886" max="5888" width="10.375" style="1"/>
    <col min="5889" max="5889" width="12.875" style="1" customWidth="1"/>
    <col min="5890" max="5890" width="10.375" style="1"/>
    <col min="5891" max="5891" width="13" style="1" customWidth="1"/>
    <col min="5892" max="6130" width="10.375" style="1"/>
    <col min="6131" max="6131" width="33.25" style="1" customWidth="1"/>
    <col min="6132" max="6136" width="10.375" style="1"/>
    <col min="6137" max="6137" width="13.625" style="1" customWidth="1"/>
    <col min="6138" max="6138" width="10.375" style="1"/>
    <col min="6139" max="6139" width="14.375" style="1" customWidth="1"/>
    <col min="6140" max="6140" width="10.375" style="1"/>
    <col min="6141" max="6141" width="11.625" style="1" bestFit="1" customWidth="1"/>
    <col min="6142" max="6144" width="10.375" style="1"/>
    <col min="6145" max="6145" width="12.875" style="1" customWidth="1"/>
    <col min="6146" max="6146" width="10.375" style="1"/>
    <col min="6147" max="6147" width="13" style="1" customWidth="1"/>
    <col min="6148" max="6386" width="10.375" style="1"/>
    <col min="6387" max="6387" width="33.25" style="1" customWidth="1"/>
    <col min="6388" max="6392" width="10.375" style="1"/>
    <col min="6393" max="6393" width="13.625" style="1" customWidth="1"/>
    <col min="6394" max="6394" width="10.375" style="1"/>
    <col min="6395" max="6395" width="14.375" style="1" customWidth="1"/>
    <col min="6396" max="6396" width="10.375" style="1"/>
    <col min="6397" max="6397" width="11.625" style="1" bestFit="1" customWidth="1"/>
    <col min="6398" max="6400" width="10.375" style="1"/>
    <col min="6401" max="6401" width="12.875" style="1" customWidth="1"/>
    <col min="6402" max="6402" width="10.375" style="1"/>
    <col min="6403" max="6403" width="13" style="1" customWidth="1"/>
    <col min="6404" max="6642" width="10.375" style="1"/>
    <col min="6643" max="6643" width="33.25" style="1" customWidth="1"/>
    <col min="6644" max="6648" width="10.375" style="1"/>
    <col min="6649" max="6649" width="13.625" style="1" customWidth="1"/>
    <col min="6650" max="6650" width="10.375" style="1"/>
    <col min="6651" max="6651" width="14.375" style="1" customWidth="1"/>
    <col min="6652" max="6652" width="10.375" style="1"/>
    <col min="6653" max="6653" width="11.625" style="1" bestFit="1" customWidth="1"/>
    <col min="6654" max="6656" width="10.375" style="1"/>
    <col min="6657" max="6657" width="12.875" style="1" customWidth="1"/>
    <col min="6658" max="6658" width="10.375" style="1"/>
    <col min="6659" max="6659" width="13" style="1" customWidth="1"/>
    <col min="6660" max="6898" width="10.375" style="1"/>
    <col min="6899" max="6899" width="33.25" style="1" customWidth="1"/>
    <col min="6900" max="6904" width="10.375" style="1"/>
    <col min="6905" max="6905" width="13.625" style="1" customWidth="1"/>
    <col min="6906" max="6906" width="10.375" style="1"/>
    <col min="6907" max="6907" width="14.375" style="1" customWidth="1"/>
    <col min="6908" max="6908" width="10.375" style="1"/>
    <col min="6909" max="6909" width="11.625" style="1" bestFit="1" customWidth="1"/>
    <col min="6910" max="6912" width="10.375" style="1"/>
    <col min="6913" max="6913" width="12.875" style="1" customWidth="1"/>
    <col min="6914" max="6914" width="10.375" style="1"/>
    <col min="6915" max="6915" width="13" style="1" customWidth="1"/>
    <col min="6916" max="7154" width="10.375" style="1"/>
    <col min="7155" max="7155" width="33.25" style="1" customWidth="1"/>
    <col min="7156" max="7160" width="10.375" style="1"/>
    <col min="7161" max="7161" width="13.625" style="1" customWidth="1"/>
    <col min="7162" max="7162" width="10.375" style="1"/>
    <col min="7163" max="7163" width="14.375" style="1" customWidth="1"/>
    <col min="7164" max="7164" width="10.375" style="1"/>
    <col min="7165" max="7165" width="11.625" style="1" bestFit="1" customWidth="1"/>
    <col min="7166" max="7168" width="10.375" style="1"/>
    <col min="7169" max="7169" width="12.875" style="1" customWidth="1"/>
    <col min="7170" max="7170" width="10.375" style="1"/>
    <col min="7171" max="7171" width="13" style="1" customWidth="1"/>
    <col min="7172" max="7410" width="10.375" style="1"/>
    <col min="7411" max="7411" width="33.25" style="1" customWidth="1"/>
    <col min="7412" max="7416" width="10.375" style="1"/>
    <col min="7417" max="7417" width="13.625" style="1" customWidth="1"/>
    <col min="7418" max="7418" width="10.375" style="1"/>
    <col min="7419" max="7419" width="14.375" style="1" customWidth="1"/>
    <col min="7420" max="7420" width="10.375" style="1"/>
    <col min="7421" max="7421" width="11.625" style="1" bestFit="1" customWidth="1"/>
    <col min="7422" max="7424" width="10.375" style="1"/>
    <col min="7425" max="7425" width="12.875" style="1" customWidth="1"/>
    <col min="7426" max="7426" width="10.375" style="1"/>
    <col min="7427" max="7427" width="13" style="1" customWidth="1"/>
    <col min="7428" max="7666" width="10.375" style="1"/>
    <col min="7667" max="7667" width="33.25" style="1" customWidth="1"/>
    <col min="7668" max="7672" width="10.375" style="1"/>
    <col min="7673" max="7673" width="13.625" style="1" customWidth="1"/>
    <col min="7674" max="7674" width="10.375" style="1"/>
    <col min="7675" max="7675" width="14.375" style="1" customWidth="1"/>
    <col min="7676" max="7676" width="10.375" style="1"/>
    <col min="7677" max="7677" width="11.625" style="1" bestFit="1" customWidth="1"/>
    <col min="7678" max="7680" width="10.375" style="1"/>
    <col min="7681" max="7681" width="12.875" style="1" customWidth="1"/>
    <col min="7682" max="7682" width="10.375" style="1"/>
    <col min="7683" max="7683" width="13" style="1" customWidth="1"/>
    <col min="7684" max="7922" width="10.375" style="1"/>
    <col min="7923" max="7923" width="33.25" style="1" customWidth="1"/>
    <col min="7924" max="7928" width="10.375" style="1"/>
    <col min="7929" max="7929" width="13.625" style="1" customWidth="1"/>
    <col min="7930" max="7930" width="10.375" style="1"/>
    <col min="7931" max="7931" width="14.375" style="1" customWidth="1"/>
    <col min="7932" max="7932" width="10.375" style="1"/>
    <col min="7933" max="7933" width="11.625" style="1" bestFit="1" customWidth="1"/>
    <col min="7934" max="7936" width="10.375" style="1"/>
    <col min="7937" max="7937" width="12.875" style="1" customWidth="1"/>
    <col min="7938" max="7938" width="10.375" style="1"/>
    <col min="7939" max="7939" width="13" style="1" customWidth="1"/>
    <col min="7940" max="8178" width="10.375" style="1"/>
    <col min="8179" max="8179" width="33.25" style="1" customWidth="1"/>
    <col min="8180" max="8184" width="10.375" style="1"/>
    <col min="8185" max="8185" width="13.625" style="1" customWidth="1"/>
    <col min="8186" max="8186" width="10.375" style="1"/>
    <col min="8187" max="8187" width="14.375" style="1" customWidth="1"/>
    <col min="8188" max="8188" width="10.375" style="1"/>
    <col min="8189" max="8189" width="11.625" style="1" bestFit="1" customWidth="1"/>
    <col min="8190" max="8192" width="10.375" style="1"/>
    <col min="8193" max="8193" width="12.875" style="1" customWidth="1"/>
    <col min="8194" max="8194" width="10.375" style="1"/>
    <col min="8195" max="8195" width="13" style="1" customWidth="1"/>
    <col min="8196" max="8434" width="10.375" style="1"/>
    <col min="8435" max="8435" width="33.25" style="1" customWidth="1"/>
    <col min="8436" max="8440" width="10.375" style="1"/>
    <col min="8441" max="8441" width="13.625" style="1" customWidth="1"/>
    <col min="8442" max="8442" width="10.375" style="1"/>
    <col min="8443" max="8443" width="14.375" style="1" customWidth="1"/>
    <col min="8444" max="8444" width="10.375" style="1"/>
    <col min="8445" max="8445" width="11.625" style="1" bestFit="1" customWidth="1"/>
    <col min="8446" max="8448" width="10.375" style="1"/>
    <col min="8449" max="8449" width="12.875" style="1" customWidth="1"/>
    <col min="8450" max="8450" width="10.375" style="1"/>
    <col min="8451" max="8451" width="13" style="1" customWidth="1"/>
    <col min="8452" max="8690" width="10.375" style="1"/>
    <col min="8691" max="8691" width="33.25" style="1" customWidth="1"/>
    <col min="8692" max="8696" width="10.375" style="1"/>
    <col min="8697" max="8697" width="13.625" style="1" customWidth="1"/>
    <col min="8698" max="8698" width="10.375" style="1"/>
    <col min="8699" max="8699" width="14.375" style="1" customWidth="1"/>
    <col min="8700" max="8700" width="10.375" style="1"/>
    <col min="8701" max="8701" width="11.625" style="1" bestFit="1" customWidth="1"/>
    <col min="8702" max="8704" width="10.375" style="1"/>
    <col min="8705" max="8705" width="12.875" style="1" customWidth="1"/>
    <col min="8706" max="8706" width="10.375" style="1"/>
    <col min="8707" max="8707" width="13" style="1" customWidth="1"/>
    <col min="8708" max="8946" width="10.375" style="1"/>
    <col min="8947" max="8947" width="33.25" style="1" customWidth="1"/>
    <col min="8948" max="8952" width="10.375" style="1"/>
    <col min="8953" max="8953" width="13.625" style="1" customWidth="1"/>
    <col min="8954" max="8954" width="10.375" style="1"/>
    <col min="8955" max="8955" width="14.375" style="1" customWidth="1"/>
    <col min="8956" max="8956" width="10.375" style="1"/>
    <col min="8957" max="8957" width="11.625" style="1" bestFit="1" customWidth="1"/>
    <col min="8958" max="8960" width="10.375" style="1"/>
    <col min="8961" max="8961" width="12.875" style="1" customWidth="1"/>
    <col min="8962" max="8962" width="10.375" style="1"/>
    <col min="8963" max="8963" width="13" style="1" customWidth="1"/>
    <col min="8964" max="9202" width="10.375" style="1"/>
    <col min="9203" max="9203" width="33.25" style="1" customWidth="1"/>
    <col min="9204" max="9208" width="10.375" style="1"/>
    <col min="9209" max="9209" width="13.625" style="1" customWidth="1"/>
    <col min="9210" max="9210" width="10.375" style="1"/>
    <col min="9211" max="9211" width="14.375" style="1" customWidth="1"/>
    <col min="9212" max="9212" width="10.375" style="1"/>
    <col min="9213" max="9213" width="11.625" style="1" bestFit="1" customWidth="1"/>
    <col min="9214" max="9216" width="10.375" style="1"/>
    <col min="9217" max="9217" width="12.875" style="1" customWidth="1"/>
    <col min="9218" max="9218" width="10.375" style="1"/>
    <col min="9219" max="9219" width="13" style="1" customWidth="1"/>
    <col min="9220" max="9458" width="10.375" style="1"/>
    <col min="9459" max="9459" width="33.25" style="1" customWidth="1"/>
    <col min="9460" max="9464" width="10.375" style="1"/>
    <col min="9465" max="9465" width="13.625" style="1" customWidth="1"/>
    <col min="9466" max="9466" width="10.375" style="1"/>
    <col min="9467" max="9467" width="14.375" style="1" customWidth="1"/>
    <col min="9468" max="9468" width="10.375" style="1"/>
    <col min="9469" max="9469" width="11.625" style="1" bestFit="1" customWidth="1"/>
    <col min="9470" max="9472" width="10.375" style="1"/>
    <col min="9473" max="9473" width="12.875" style="1" customWidth="1"/>
    <col min="9474" max="9474" width="10.375" style="1"/>
    <col min="9475" max="9475" width="13" style="1" customWidth="1"/>
    <col min="9476" max="9714" width="10.375" style="1"/>
    <col min="9715" max="9715" width="33.25" style="1" customWidth="1"/>
    <col min="9716" max="9720" width="10.375" style="1"/>
    <col min="9721" max="9721" width="13.625" style="1" customWidth="1"/>
    <col min="9722" max="9722" width="10.375" style="1"/>
    <col min="9723" max="9723" width="14.375" style="1" customWidth="1"/>
    <col min="9724" max="9724" width="10.375" style="1"/>
    <col min="9725" max="9725" width="11.625" style="1" bestFit="1" customWidth="1"/>
    <col min="9726" max="9728" width="10.375" style="1"/>
    <col min="9729" max="9729" width="12.875" style="1" customWidth="1"/>
    <col min="9730" max="9730" width="10.375" style="1"/>
    <col min="9731" max="9731" width="13" style="1" customWidth="1"/>
    <col min="9732" max="9970" width="10.375" style="1"/>
    <col min="9971" max="9971" width="33.25" style="1" customWidth="1"/>
    <col min="9972" max="9976" width="10.375" style="1"/>
    <col min="9977" max="9977" width="13.625" style="1" customWidth="1"/>
    <col min="9978" max="9978" width="10.375" style="1"/>
    <col min="9979" max="9979" width="14.375" style="1" customWidth="1"/>
    <col min="9980" max="9980" width="10.375" style="1"/>
    <col min="9981" max="9981" width="11.625" style="1" bestFit="1" customWidth="1"/>
    <col min="9982" max="9984" width="10.375" style="1"/>
    <col min="9985" max="9985" width="12.875" style="1" customWidth="1"/>
    <col min="9986" max="9986" width="10.375" style="1"/>
    <col min="9987" max="9987" width="13" style="1" customWidth="1"/>
    <col min="9988" max="10226" width="10.375" style="1"/>
    <col min="10227" max="10227" width="33.25" style="1" customWidth="1"/>
    <col min="10228" max="10232" width="10.375" style="1"/>
    <col min="10233" max="10233" width="13.625" style="1" customWidth="1"/>
    <col min="10234" max="10234" width="10.375" style="1"/>
    <col min="10235" max="10235" width="14.375" style="1" customWidth="1"/>
    <col min="10236" max="10236" width="10.375" style="1"/>
    <col min="10237" max="10237" width="11.625" style="1" bestFit="1" customWidth="1"/>
    <col min="10238" max="10240" width="10.375" style="1"/>
    <col min="10241" max="10241" width="12.875" style="1" customWidth="1"/>
    <col min="10242" max="10242" width="10.375" style="1"/>
    <col min="10243" max="10243" width="13" style="1" customWidth="1"/>
    <col min="10244" max="10482" width="10.375" style="1"/>
    <col min="10483" max="10483" width="33.25" style="1" customWidth="1"/>
    <col min="10484" max="10488" width="10.375" style="1"/>
    <col min="10489" max="10489" width="13.625" style="1" customWidth="1"/>
    <col min="10490" max="10490" width="10.375" style="1"/>
    <col min="10491" max="10491" width="14.375" style="1" customWidth="1"/>
    <col min="10492" max="10492" width="10.375" style="1"/>
    <col min="10493" max="10493" width="11.625" style="1" bestFit="1" customWidth="1"/>
    <col min="10494" max="10496" width="10.375" style="1"/>
    <col min="10497" max="10497" width="12.875" style="1" customWidth="1"/>
    <col min="10498" max="10498" width="10.375" style="1"/>
    <col min="10499" max="10499" width="13" style="1" customWidth="1"/>
    <col min="10500" max="10738" width="10.375" style="1"/>
    <col min="10739" max="10739" width="33.25" style="1" customWidth="1"/>
    <col min="10740" max="10744" width="10.375" style="1"/>
    <col min="10745" max="10745" width="13.625" style="1" customWidth="1"/>
    <col min="10746" max="10746" width="10.375" style="1"/>
    <col min="10747" max="10747" width="14.375" style="1" customWidth="1"/>
    <col min="10748" max="10748" width="10.375" style="1"/>
    <col min="10749" max="10749" width="11.625" style="1" bestFit="1" customWidth="1"/>
    <col min="10750" max="10752" width="10.375" style="1"/>
    <col min="10753" max="10753" width="12.875" style="1" customWidth="1"/>
    <col min="10754" max="10754" width="10.375" style="1"/>
    <col min="10755" max="10755" width="13" style="1" customWidth="1"/>
    <col min="10756" max="10994" width="10.375" style="1"/>
    <col min="10995" max="10995" width="33.25" style="1" customWidth="1"/>
    <col min="10996" max="11000" width="10.375" style="1"/>
    <col min="11001" max="11001" width="13.625" style="1" customWidth="1"/>
    <col min="11002" max="11002" width="10.375" style="1"/>
    <col min="11003" max="11003" width="14.375" style="1" customWidth="1"/>
    <col min="11004" max="11004" width="10.375" style="1"/>
    <col min="11005" max="11005" width="11.625" style="1" bestFit="1" customWidth="1"/>
    <col min="11006" max="11008" width="10.375" style="1"/>
    <col min="11009" max="11009" width="12.875" style="1" customWidth="1"/>
    <col min="11010" max="11010" width="10.375" style="1"/>
    <col min="11011" max="11011" width="13" style="1" customWidth="1"/>
    <col min="11012" max="11250" width="10.375" style="1"/>
    <col min="11251" max="11251" width="33.25" style="1" customWidth="1"/>
    <col min="11252" max="11256" width="10.375" style="1"/>
    <col min="11257" max="11257" width="13.625" style="1" customWidth="1"/>
    <col min="11258" max="11258" width="10.375" style="1"/>
    <col min="11259" max="11259" width="14.375" style="1" customWidth="1"/>
    <col min="11260" max="11260" width="10.375" style="1"/>
    <col min="11261" max="11261" width="11.625" style="1" bestFit="1" customWidth="1"/>
    <col min="11262" max="11264" width="10.375" style="1"/>
    <col min="11265" max="11265" width="12.875" style="1" customWidth="1"/>
    <col min="11266" max="11266" width="10.375" style="1"/>
    <col min="11267" max="11267" width="13" style="1" customWidth="1"/>
    <col min="11268" max="11506" width="10.375" style="1"/>
    <col min="11507" max="11507" width="33.25" style="1" customWidth="1"/>
    <col min="11508" max="11512" width="10.375" style="1"/>
    <col min="11513" max="11513" width="13.625" style="1" customWidth="1"/>
    <col min="11514" max="11514" width="10.375" style="1"/>
    <col min="11515" max="11515" width="14.375" style="1" customWidth="1"/>
    <col min="11516" max="11516" width="10.375" style="1"/>
    <col min="11517" max="11517" width="11.625" style="1" bestFit="1" customWidth="1"/>
    <col min="11518" max="11520" width="10.375" style="1"/>
    <col min="11521" max="11521" width="12.875" style="1" customWidth="1"/>
    <col min="11522" max="11522" width="10.375" style="1"/>
    <col min="11523" max="11523" width="13" style="1" customWidth="1"/>
    <col min="11524" max="11762" width="10.375" style="1"/>
    <col min="11763" max="11763" width="33.25" style="1" customWidth="1"/>
    <col min="11764" max="11768" width="10.375" style="1"/>
    <col min="11769" max="11769" width="13.625" style="1" customWidth="1"/>
    <col min="11770" max="11770" width="10.375" style="1"/>
    <col min="11771" max="11771" width="14.375" style="1" customWidth="1"/>
    <col min="11772" max="11772" width="10.375" style="1"/>
    <col min="11773" max="11773" width="11.625" style="1" bestFit="1" customWidth="1"/>
    <col min="11774" max="11776" width="10.375" style="1"/>
    <col min="11777" max="11777" width="12.875" style="1" customWidth="1"/>
    <col min="11778" max="11778" width="10.375" style="1"/>
    <col min="11779" max="11779" width="13" style="1" customWidth="1"/>
    <col min="11780" max="12018" width="10.375" style="1"/>
    <col min="12019" max="12019" width="33.25" style="1" customWidth="1"/>
    <col min="12020" max="12024" width="10.375" style="1"/>
    <col min="12025" max="12025" width="13.625" style="1" customWidth="1"/>
    <col min="12026" max="12026" width="10.375" style="1"/>
    <col min="12027" max="12027" width="14.375" style="1" customWidth="1"/>
    <col min="12028" max="12028" width="10.375" style="1"/>
    <col min="12029" max="12029" width="11.625" style="1" bestFit="1" customWidth="1"/>
    <col min="12030" max="12032" width="10.375" style="1"/>
    <col min="12033" max="12033" width="12.875" style="1" customWidth="1"/>
    <col min="12034" max="12034" width="10.375" style="1"/>
    <col min="12035" max="12035" width="13" style="1" customWidth="1"/>
    <col min="12036" max="12274" width="10.375" style="1"/>
    <col min="12275" max="12275" width="33.25" style="1" customWidth="1"/>
    <col min="12276" max="12280" width="10.375" style="1"/>
    <col min="12281" max="12281" width="13.625" style="1" customWidth="1"/>
    <col min="12282" max="12282" width="10.375" style="1"/>
    <col min="12283" max="12283" width="14.375" style="1" customWidth="1"/>
    <col min="12284" max="12284" width="10.375" style="1"/>
    <col min="12285" max="12285" width="11.625" style="1" bestFit="1" customWidth="1"/>
    <col min="12286" max="12288" width="10.375" style="1"/>
    <col min="12289" max="12289" width="12.875" style="1" customWidth="1"/>
    <col min="12290" max="12290" width="10.375" style="1"/>
    <col min="12291" max="12291" width="13" style="1" customWidth="1"/>
    <col min="12292" max="12530" width="10.375" style="1"/>
    <col min="12531" max="12531" width="33.25" style="1" customWidth="1"/>
    <col min="12532" max="12536" width="10.375" style="1"/>
    <col min="12537" max="12537" width="13.625" style="1" customWidth="1"/>
    <col min="12538" max="12538" width="10.375" style="1"/>
    <col min="12539" max="12539" width="14.375" style="1" customWidth="1"/>
    <col min="12540" max="12540" width="10.375" style="1"/>
    <col min="12541" max="12541" width="11.625" style="1" bestFit="1" customWidth="1"/>
    <col min="12542" max="12544" width="10.375" style="1"/>
    <col min="12545" max="12545" width="12.875" style="1" customWidth="1"/>
    <col min="12546" max="12546" width="10.375" style="1"/>
    <col min="12547" max="12547" width="13" style="1" customWidth="1"/>
    <col min="12548" max="12786" width="10.375" style="1"/>
    <col min="12787" max="12787" width="33.25" style="1" customWidth="1"/>
    <col min="12788" max="12792" width="10.375" style="1"/>
    <col min="12793" max="12793" width="13.625" style="1" customWidth="1"/>
    <col min="12794" max="12794" width="10.375" style="1"/>
    <col min="12795" max="12795" width="14.375" style="1" customWidth="1"/>
    <col min="12796" max="12796" width="10.375" style="1"/>
    <col min="12797" max="12797" width="11.625" style="1" bestFit="1" customWidth="1"/>
    <col min="12798" max="12800" width="10.375" style="1"/>
    <col min="12801" max="12801" width="12.875" style="1" customWidth="1"/>
    <col min="12802" max="12802" width="10.375" style="1"/>
    <col min="12803" max="12803" width="13" style="1" customWidth="1"/>
    <col min="12804" max="13042" width="10.375" style="1"/>
    <col min="13043" max="13043" width="33.25" style="1" customWidth="1"/>
    <col min="13044" max="13048" width="10.375" style="1"/>
    <col min="13049" max="13049" width="13.625" style="1" customWidth="1"/>
    <col min="13050" max="13050" width="10.375" style="1"/>
    <col min="13051" max="13051" width="14.375" style="1" customWidth="1"/>
    <col min="13052" max="13052" width="10.375" style="1"/>
    <col min="13053" max="13053" width="11.625" style="1" bestFit="1" customWidth="1"/>
    <col min="13054" max="13056" width="10.375" style="1"/>
    <col min="13057" max="13057" width="12.875" style="1" customWidth="1"/>
    <col min="13058" max="13058" width="10.375" style="1"/>
    <col min="13059" max="13059" width="13" style="1" customWidth="1"/>
    <col min="13060" max="13298" width="10.375" style="1"/>
    <col min="13299" max="13299" width="33.25" style="1" customWidth="1"/>
    <col min="13300" max="13304" width="10.375" style="1"/>
    <col min="13305" max="13305" width="13.625" style="1" customWidth="1"/>
    <col min="13306" max="13306" width="10.375" style="1"/>
    <col min="13307" max="13307" width="14.375" style="1" customWidth="1"/>
    <col min="13308" max="13308" width="10.375" style="1"/>
    <col min="13309" max="13309" width="11.625" style="1" bestFit="1" customWidth="1"/>
    <col min="13310" max="13312" width="10.375" style="1"/>
    <col min="13313" max="13313" width="12.875" style="1" customWidth="1"/>
    <col min="13314" max="13314" width="10.375" style="1"/>
    <col min="13315" max="13315" width="13" style="1" customWidth="1"/>
    <col min="13316" max="13554" width="10.375" style="1"/>
    <col min="13555" max="13555" width="33.25" style="1" customWidth="1"/>
    <col min="13556" max="13560" width="10.375" style="1"/>
    <col min="13561" max="13561" width="13.625" style="1" customWidth="1"/>
    <col min="13562" max="13562" width="10.375" style="1"/>
    <col min="13563" max="13563" width="14.375" style="1" customWidth="1"/>
    <col min="13564" max="13564" width="10.375" style="1"/>
    <col min="13565" max="13565" width="11.625" style="1" bestFit="1" customWidth="1"/>
    <col min="13566" max="13568" width="10.375" style="1"/>
    <col min="13569" max="13569" width="12.875" style="1" customWidth="1"/>
    <col min="13570" max="13570" width="10.375" style="1"/>
    <col min="13571" max="13571" width="13" style="1" customWidth="1"/>
    <col min="13572" max="13810" width="10.375" style="1"/>
    <col min="13811" max="13811" width="33.25" style="1" customWidth="1"/>
    <col min="13812" max="13816" width="10.375" style="1"/>
    <col min="13817" max="13817" width="13.625" style="1" customWidth="1"/>
    <col min="13818" max="13818" width="10.375" style="1"/>
    <col min="13819" max="13819" width="14.375" style="1" customWidth="1"/>
    <col min="13820" max="13820" width="10.375" style="1"/>
    <col min="13821" max="13821" width="11.625" style="1" bestFit="1" customWidth="1"/>
    <col min="13822" max="13824" width="10.375" style="1"/>
    <col min="13825" max="13825" width="12.875" style="1" customWidth="1"/>
    <col min="13826" max="13826" width="10.375" style="1"/>
    <col min="13827" max="13827" width="13" style="1" customWidth="1"/>
    <col min="13828" max="14066" width="10.375" style="1"/>
    <col min="14067" max="14067" width="33.25" style="1" customWidth="1"/>
    <col min="14068" max="14072" width="10.375" style="1"/>
    <col min="14073" max="14073" width="13.625" style="1" customWidth="1"/>
    <col min="14074" max="14074" width="10.375" style="1"/>
    <col min="14075" max="14075" width="14.375" style="1" customWidth="1"/>
    <col min="14076" max="14076" width="10.375" style="1"/>
    <col min="14077" max="14077" width="11.625" style="1" bestFit="1" customWidth="1"/>
    <col min="14078" max="14080" width="10.375" style="1"/>
    <col min="14081" max="14081" width="12.875" style="1" customWidth="1"/>
    <col min="14082" max="14082" width="10.375" style="1"/>
    <col min="14083" max="14083" width="13" style="1" customWidth="1"/>
    <col min="14084" max="14322" width="10.375" style="1"/>
    <col min="14323" max="14323" width="33.25" style="1" customWidth="1"/>
    <col min="14324" max="14328" width="10.375" style="1"/>
    <col min="14329" max="14329" width="13.625" style="1" customWidth="1"/>
    <col min="14330" max="14330" width="10.375" style="1"/>
    <col min="14331" max="14331" width="14.375" style="1" customWidth="1"/>
    <col min="14332" max="14332" width="10.375" style="1"/>
    <col min="14333" max="14333" width="11.625" style="1" bestFit="1" customWidth="1"/>
    <col min="14334" max="14336" width="10.375" style="1"/>
    <col min="14337" max="14337" width="12.875" style="1" customWidth="1"/>
    <col min="14338" max="14338" width="10.375" style="1"/>
    <col min="14339" max="14339" width="13" style="1" customWidth="1"/>
    <col min="14340" max="14578" width="10.375" style="1"/>
    <col min="14579" max="14579" width="33.25" style="1" customWidth="1"/>
    <col min="14580" max="14584" width="10.375" style="1"/>
    <col min="14585" max="14585" width="13.625" style="1" customWidth="1"/>
    <col min="14586" max="14586" width="10.375" style="1"/>
    <col min="14587" max="14587" width="14.375" style="1" customWidth="1"/>
    <col min="14588" max="14588" width="10.375" style="1"/>
    <col min="14589" max="14589" width="11.625" style="1" bestFit="1" customWidth="1"/>
    <col min="14590" max="14592" width="10.375" style="1"/>
    <col min="14593" max="14593" width="12.875" style="1" customWidth="1"/>
    <col min="14594" max="14594" width="10.375" style="1"/>
    <col min="14595" max="14595" width="13" style="1" customWidth="1"/>
    <col min="14596" max="14834" width="10.375" style="1"/>
    <col min="14835" max="14835" width="33.25" style="1" customWidth="1"/>
    <col min="14836" max="14840" width="10.375" style="1"/>
    <col min="14841" max="14841" width="13.625" style="1" customWidth="1"/>
    <col min="14842" max="14842" width="10.375" style="1"/>
    <col min="14843" max="14843" width="14.375" style="1" customWidth="1"/>
    <col min="14844" max="14844" width="10.375" style="1"/>
    <col min="14845" max="14845" width="11.625" style="1" bestFit="1" customWidth="1"/>
    <col min="14846" max="14848" width="10.375" style="1"/>
    <col min="14849" max="14849" width="12.875" style="1" customWidth="1"/>
    <col min="14850" max="14850" width="10.375" style="1"/>
    <col min="14851" max="14851" width="13" style="1" customWidth="1"/>
    <col min="14852" max="15090" width="10.375" style="1"/>
    <col min="15091" max="15091" width="33.25" style="1" customWidth="1"/>
    <col min="15092" max="15096" width="10.375" style="1"/>
    <col min="15097" max="15097" width="13.625" style="1" customWidth="1"/>
    <col min="15098" max="15098" width="10.375" style="1"/>
    <col min="15099" max="15099" width="14.375" style="1" customWidth="1"/>
    <col min="15100" max="15100" width="10.375" style="1"/>
    <col min="15101" max="15101" width="11.625" style="1" bestFit="1" customWidth="1"/>
    <col min="15102" max="15104" width="10.375" style="1"/>
    <col min="15105" max="15105" width="12.875" style="1" customWidth="1"/>
    <col min="15106" max="15106" width="10.375" style="1"/>
    <col min="15107" max="15107" width="13" style="1" customWidth="1"/>
    <col min="15108" max="15346" width="10.375" style="1"/>
    <col min="15347" max="15347" width="33.25" style="1" customWidth="1"/>
    <col min="15348" max="15352" width="10.375" style="1"/>
    <col min="15353" max="15353" width="13.625" style="1" customWidth="1"/>
    <col min="15354" max="15354" width="10.375" style="1"/>
    <col min="15355" max="15355" width="14.375" style="1" customWidth="1"/>
    <col min="15356" max="15356" width="10.375" style="1"/>
    <col min="15357" max="15357" width="11.625" style="1" bestFit="1" customWidth="1"/>
    <col min="15358" max="15360" width="10.375" style="1"/>
    <col min="15361" max="15361" width="12.875" style="1" customWidth="1"/>
    <col min="15362" max="15362" width="10.375" style="1"/>
    <col min="15363" max="15363" width="13" style="1" customWidth="1"/>
    <col min="15364" max="15602" width="10.375" style="1"/>
    <col min="15603" max="15603" width="33.25" style="1" customWidth="1"/>
    <col min="15604" max="15608" width="10.375" style="1"/>
    <col min="15609" max="15609" width="13.625" style="1" customWidth="1"/>
    <col min="15610" max="15610" width="10.375" style="1"/>
    <col min="15611" max="15611" width="14.375" style="1" customWidth="1"/>
    <col min="15612" max="15612" width="10.375" style="1"/>
    <col min="15613" max="15613" width="11.625" style="1" bestFit="1" customWidth="1"/>
    <col min="15614" max="15616" width="10.375" style="1"/>
    <col min="15617" max="15617" width="12.875" style="1" customWidth="1"/>
    <col min="15618" max="15618" width="10.375" style="1"/>
    <col min="15619" max="15619" width="13" style="1" customWidth="1"/>
    <col min="15620" max="15858" width="10.375" style="1"/>
    <col min="15859" max="15859" width="33.25" style="1" customWidth="1"/>
    <col min="15860" max="15864" width="10.375" style="1"/>
    <col min="15865" max="15865" width="13.625" style="1" customWidth="1"/>
    <col min="15866" max="15866" width="10.375" style="1"/>
    <col min="15867" max="15867" width="14.375" style="1" customWidth="1"/>
    <col min="15868" max="15868" width="10.375" style="1"/>
    <col min="15869" max="15869" width="11.625" style="1" bestFit="1" customWidth="1"/>
    <col min="15870" max="15872" width="10.375" style="1"/>
    <col min="15873" max="15873" width="12.875" style="1" customWidth="1"/>
    <col min="15874" max="15874" width="10.375" style="1"/>
    <col min="15875" max="15875" width="13" style="1" customWidth="1"/>
    <col min="15876" max="16114" width="10.375" style="1"/>
    <col min="16115" max="16115" width="33.25" style="1" customWidth="1"/>
    <col min="16116" max="16120" width="10.375" style="1"/>
    <col min="16121" max="16121" width="13.625" style="1" customWidth="1"/>
    <col min="16122" max="16122" width="10.375" style="1"/>
    <col min="16123" max="16123" width="14.375" style="1" customWidth="1"/>
    <col min="16124" max="16124" width="10.375" style="1"/>
    <col min="16125" max="16125" width="11.625" style="1" bestFit="1" customWidth="1"/>
    <col min="16126" max="16128" width="10.375" style="1"/>
    <col min="16129" max="16129" width="12.875" style="1" customWidth="1"/>
    <col min="16130" max="16130" width="10.375" style="1"/>
    <col min="16131" max="16131" width="13" style="1" customWidth="1"/>
    <col min="16132" max="16384" width="10.375" style="1"/>
  </cols>
  <sheetData>
    <row r="1" spans="1:6" ht="18.600000000000001">
      <c r="A1" s="175" t="s">
        <v>0</v>
      </c>
      <c r="B1" s="175"/>
      <c r="C1" s="175"/>
      <c r="D1" s="175"/>
      <c r="E1" s="175"/>
      <c r="F1" s="175"/>
    </row>
    <row r="2" spans="1:6" ht="18.600000000000001">
      <c r="A2" s="176" t="s">
        <v>1</v>
      </c>
      <c r="B2" s="176"/>
      <c r="C2" s="176"/>
      <c r="D2" s="176"/>
      <c r="E2" s="176"/>
      <c r="F2" s="176"/>
    </row>
    <row r="3" spans="1:6" ht="18.600000000000001">
      <c r="A3" s="177" t="s">
        <v>61</v>
      </c>
      <c r="B3" s="177"/>
      <c r="C3" s="177"/>
      <c r="D3" s="177"/>
      <c r="E3" s="177"/>
      <c r="F3" s="177"/>
    </row>
    <row r="4" spans="1:6" ht="18.600000000000001">
      <c r="A4" s="178" t="s">
        <v>3</v>
      </c>
      <c r="B4" s="173" t="s">
        <v>4</v>
      </c>
      <c r="C4" s="173" t="s">
        <v>5</v>
      </c>
      <c r="D4" s="214" t="s">
        <v>8</v>
      </c>
      <c r="E4" s="215"/>
      <c r="F4" s="216"/>
    </row>
    <row r="5" spans="1:6">
      <c r="A5" s="179"/>
      <c r="B5" s="181"/>
      <c r="C5" s="181"/>
      <c r="D5" s="207" t="s">
        <v>14</v>
      </c>
      <c r="E5" s="209" t="s">
        <v>15</v>
      </c>
      <c r="F5" s="205" t="s">
        <v>16</v>
      </c>
    </row>
    <row r="6" spans="1:6">
      <c r="A6" s="180"/>
      <c r="B6" s="174"/>
      <c r="C6" s="174"/>
      <c r="D6" s="208"/>
      <c r="E6" s="210"/>
      <c r="F6" s="206"/>
    </row>
    <row r="7" spans="1:6" ht="18.600000000000001">
      <c r="A7" s="217" t="s">
        <v>57</v>
      </c>
      <c r="B7" s="218"/>
      <c r="C7" s="219"/>
      <c r="D7" s="142"/>
      <c r="E7" s="143"/>
      <c r="F7" s="144"/>
    </row>
    <row r="8" spans="1:6" ht="18.600000000000001">
      <c r="A8" s="140"/>
      <c r="B8" s="141"/>
      <c r="C8" s="141"/>
      <c r="D8" s="142"/>
      <c r="E8" s="143"/>
      <c r="F8" s="144"/>
    </row>
    <row r="9" spans="1:6" ht="23.25" customHeight="1" thickBot="1">
      <c r="A9" s="220" t="s">
        <v>53</v>
      </c>
      <c r="B9" s="220"/>
      <c r="C9" s="221"/>
      <c r="D9" s="114"/>
      <c r="E9" s="114"/>
      <c r="F9" s="107">
        <v>0</v>
      </c>
    </row>
    <row r="10" spans="1:6" ht="19.2" thickTop="1">
      <c r="A10" s="120"/>
      <c r="B10" s="121"/>
      <c r="C10" s="121"/>
      <c r="D10" s="122"/>
      <c r="E10" s="123"/>
      <c r="F10" s="124"/>
    </row>
    <row r="11" spans="1:6" ht="6.75" customHeight="1">
      <c r="A11" s="120"/>
      <c r="B11" s="121"/>
      <c r="C11" s="121"/>
      <c r="D11" s="122"/>
      <c r="E11" s="123"/>
      <c r="F11" s="124"/>
    </row>
    <row r="12" spans="1:6" ht="18.600000000000001">
      <c r="A12" s="120"/>
      <c r="B12" s="121"/>
      <c r="C12" s="121"/>
      <c r="D12" s="122"/>
      <c r="E12" s="123"/>
      <c r="F12" s="124"/>
    </row>
    <row r="13" spans="1:6" ht="18.600000000000001">
      <c r="B13" s="128"/>
      <c r="C13" s="121"/>
      <c r="D13" s="122"/>
      <c r="E13" s="123"/>
      <c r="F13" s="124"/>
    </row>
    <row r="14" spans="1:6" ht="18.600000000000001">
      <c r="A14" s="129"/>
      <c r="B14" s="130"/>
      <c r="C14" s="129"/>
      <c r="D14" s="134"/>
      <c r="E14" s="135"/>
      <c r="F14" s="136"/>
    </row>
  </sheetData>
  <mergeCells count="12">
    <mergeCell ref="A7:C7"/>
    <mergeCell ref="A9:C9"/>
    <mergeCell ref="A1:F1"/>
    <mergeCell ref="A2:F2"/>
    <mergeCell ref="A3:F3"/>
    <mergeCell ref="A4:A6"/>
    <mergeCell ref="B4:B6"/>
    <mergeCell ref="C4:C6"/>
    <mergeCell ref="D4:F4"/>
    <mergeCell ref="D5:D6"/>
    <mergeCell ref="E5:E6"/>
    <mergeCell ref="F5:F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E049-9C27-4BDF-82FB-D1323C1721CB}">
  <sheetPr>
    <tabColor rgb="FFFFFF00"/>
  </sheetPr>
  <dimension ref="A1:F21"/>
  <sheetViews>
    <sheetView workbookViewId="0">
      <pane ySplit="6" topLeftCell="A7" activePane="bottomLeft" state="frozen"/>
      <selection pane="bottomLeft" activeCell="A4" sqref="A4:A6"/>
    </sheetView>
  </sheetViews>
  <sheetFormatPr defaultColWidth="10.375" defaultRowHeight="14.4"/>
  <cols>
    <col min="1" max="1" width="10.375" style="1"/>
    <col min="2" max="2" width="33.25" style="1" customWidth="1"/>
    <col min="3" max="5" width="10.375" style="1"/>
    <col min="6" max="6" width="13" style="1" customWidth="1"/>
    <col min="7" max="245" width="10.375" style="1"/>
    <col min="246" max="246" width="33.25" style="1" customWidth="1"/>
    <col min="247" max="251" width="10.375" style="1"/>
    <col min="252" max="252" width="13.625" style="1" customWidth="1"/>
    <col min="253" max="253" width="10.375" style="1"/>
    <col min="254" max="254" width="14.375" style="1" customWidth="1"/>
    <col min="255" max="255" width="10.375" style="1"/>
    <col min="256" max="256" width="11.625" style="1" bestFit="1" customWidth="1"/>
    <col min="257" max="259" width="10.375" style="1"/>
    <col min="260" max="260" width="12.875" style="1" customWidth="1"/>
    <col min="261" max="261" width="10.375" style="1"/>
    <col min="262" max="262" width="13" style="1" customWidth="1"/>
    <col min="263" max="501" width="10.375" style="1"/>
    <col min="502" max="502" width="33.25" style="1" customWidth="1"/>
    <col min="503" max="507" width="10.375" style="1"/>
    <col min="508" max="508" width="13.625" style="1" customWidth="1"/>
    <col min="509" max="509" width="10.375" style="1"/>
    <col min="510" max="510" width="14.375" style="1" customWidth="1"/>
    <col min="511" max="511" width="10.375" style="1"/>
    <col min="512" max="512" width="11.625" style="1" bestFit="1" customWidth="1"/>
    <col min="513" max="515" width="10.375" style="1"/>
    <col min="516" max="516" width="12.875" style="1" customWidth="1"/>
    <col min="517" max="517" width="10.375" style="1"/>
    <col min="518" max="518" width="13" style="1" customWidth="1"/>
    <col min="519" max="757" width="10.375" style="1"/>
    <col min="758" max="758" width="33.25" style="1" customWidth="1"/>
    <col min="759" max="763" width="10.375" style="1"/>
    <col min="764" max="764" width="13.625" style="1" customWidth="1"/>
    <col min="765" max="765" width="10.375" style="1"/>
    <col min="766" max="766" width="14.375" style="1" customWidth="1"/>
    <col min="767" max="767" width="10.375" style="1"/>
    <col min="768" max="768" width="11.625" style="1" bestFit="1" customWidth="1"/>
    <col min="769" max="771" width="10.375" style="1"/>
    <col min="772" max="772" width="12.875" style="1" customWidth="1"/>
    <col min="773" max="773" width="10.375" style="1"/>
    <col min="774" max="774" width="13" style="1" customWidth="1"/>
    <col min="775" max="1013" width="10.375" style="1"/>
    <col min="1014" max="1014" width="33.25" style="1" customWidth="1"/>
    <col min="1015" max="1019" width="10.375" style="1"/>
    <col min="1020" max="1020" width="13.625" style="1" customWidth="1"/>
    <col min="1021" max="1021" width="10.375" style="1"/>
    <col min="1022" max="1022" width="14.375" style="1" customWidth="1"/>
    <col min="1023" max="1023" width="10.375" style="1"/>
    <col min="1024" max="1024" width="11.625" style="1" bestFit="1" customWidth="1"/>
    <col min="1025" max="1027" width="10.375" style="1"/>
    <col min="1028" max="1028" width="12.875" style="1" customWidth="1"/>
    <col min="1029" max="1029" width="10.375" style="1"/>
    <col min="1030" max="1030" width="13" style="1" customWidth="1"/>
    <col min="1031" max="1269" width="10.375" style="1"/>
    <col min="1270" max="1270" width="33.25" style="1" customWidth="1"/>
    <col min="1271" max="1275" width="10.375" style="1"/>
    <col min="1276" max="1276" width="13.625" style="1" customWidth="1"/>
    <col min="1277" max="1277" width="10.375" style="1"/>
    <col min="1278" max="1278" width="14.375" style="1" customWidth="1"/>
    <col min="1279" max="1279" width="10.375" style="1"/>
    <col min="1280" max="1280" width="11.625" style="1" bestFit="1" customWidth="1"/>
    <col min="1281" max="1283" width="10.375" style="1"/>
    <col min="1284" max="1284" width="12.875" style="1" customWidth="1"/>
    <col min="1285" max="1285" width="10.375" style="1"/>
    <col min="1286" max="1286" width="13" style="1" customWidth="1"/>
    <col min="1287" max="1525" width="10.375" style="1"/>
    <col min="1526" max="1526" width="33.25" style="1" customWidth="1"/>
    <col min="1527" max="1531" width="10.375" style="1"/>
    <col min="1532" max="1532" width="13.625" style="1" customWidth="1"/>
    <col min="1533" max="1533" width="10.375" style="1"/>
    <col min="1534" max="1534" width="14.375" style="1" customWidth="1"/>
    <col min="1535" max="1535" width="10.375" style="1"/>
    <col min="1536" max="1536" width="11.625" style="1" bestFit="1" customWidth="1"/>
    <col min="1537" max="1539" width="10.375" style="1"/>
    <col min="1540" max="1540" width="12.875" style="1" customWidth="1"/>
    <col min="1541" max="1541" width="10.375" style="1"/>
    <col min="1542" max="1542" width="13" style="1" customWidth="1"/>
    <col min="1543" max="1781" width="10.375" style="1"/>
    <col min="1782" max="1782" width="33.25" style="1" customWidth="1"/>
    <col min="1783" max="1787" width="10.375" style="1"/>
    <col min="1788" max="1788" width="13.625" style="1" customWidth="1"/>
    <col min="1789" max="1789" width="10.375" style="1"/>
    <col min="1790" max="1790" width="14.375" style="1" customWidth="1"/>
    <col min="1791" max="1791" width="10.375" style="1"/>
    <col min="1792" max="1792" width="11.625" style="1" bestFit="1" customWidth="1"/>
    <col min="1793" max="1795" width="10.375" style="1"/>
    <col min="1796" max="1796" width="12.875" style="1" customWidth="1"/>
    <col min="1797" max="1797" width="10.375" style="1"/>
    <col min="1798" max="1798" width="13" style="1" customWidth="1"/>
    <col min="1799" max="2037" width="10.375" style="1"/>
    <col min="2038" max="2038" width="33.25" style="1" customWidth="1"/>
    <col min="2039" max="2043" width="10.375" style="1"/>
    <col min="2044" max="2044" width="13.625" style="1" customWidth="1"/>
    <col min="2045" max="2045" width="10.375" style="1"/>
    <col min="2046" max="2046" width="14.375" style="1" customWidth="1"/>
    <col min="2047" max="2047" width="10.375" style="1"/>
    <col min="2048" max="2048" width="11.625" style="1" bestFit="1" customWidth="1"/>
    <col min="2049" max="2051" width="10.375" style="1"/>
    <col min="2052" max="2052" width="12.875" style="1" customWidth="1"/>
    <col min="2053" max="2053" width="10.375" style="1"/>
    <col min="2054" max="2054" width="13" style="1" customWidth="1"/>
    <col min="2055" max="2293" width="10.375" style="1"/>
    <col min="2294" max="2294" width="33.25" style="1" customWidth="1"/>
    <col min="2295" max="2299" width="10.375" style="1"/>
    <col min="2300" max="2300" width="13.625" style="1" customWidth="1"/>
    <col min="2301" max="2301" width="10.375" style="1"/>
    <col min="2302" max="2302" width="14.375" style="1" customWidth="1"/>
    <col min="2303" max="2303" width="10.375" style="1"/>
    <col min="2304" max="2304" width="11.625" style="1" bestFit="1" customWidth="1"/>
    <col min="2305" max="2307" width="10.375" style="1"/>
    <col min="2308" max="2308" width="12.875" style="1" customWidth="1"/>
    <col min="2309" max="2309" width="10.375" style="1"/>
    <col min="2310" max="2310" width="13" style="1" customWidth="1"/>
    <col min="2311" max="2549" width="10.375" style="1"/>
    <col min="2550" max="2550" width="33.25" style="1" customWidth="1"/>
    <col min="2551" max="2555" width="10.375" style="1"/>
    <col min="2556" max="2556" width="13.625" style="1" customWidth="1"/>
    <col min="2557" max="2557" width="10.375" style="1"/>
    <col min="2558" max="2558" width="14.375" style="1" customWidth="1"/>
    <col min="2559" max="2559" width="10.375" style="1"/>
    <col min="2560" max="2560" width="11.625" style="1" bestFit="1" customWidth="1"/>
    <col min="2561" max="2563" width="10.375" style="1"/>
    <col min="2564" max="2564" width="12.875" style="1" customWidth="1"/>
    <col min="2565" max="2565" width="10.375" style="1"/>
    <col min="2566" max="2566" width="13" style="1" customWidth="1"/>
    <col min="2567" max="2805" width="10.375" style="1"/>
    <col min="2806" max="2806" width="33.25" style="1" customWidth="1"/>
    <col min="2807" max="2811" width="10.375" style="1"/>
    <col min="2812" max="2812" width="13.625" style="1" customWidth="1"/>
    <col min="2813" max="2813" width="10.375" style="1"/>
    <col min="2814" max="2814" width="14.375" style="1" customWidth="1"/>
    <col min="2815" max="2815" width="10.375" style="1"/>
    <col min="2816" max="2816" width="11.625" style="1" bestFit="1" customWidth="1"/>
    <col min="2817" max="2819" width="10.375" style="1"/>
    <col min="2820" max="2820" width="12.875" style="1" customWidth="1"/>
    <col min="2821" max="2821" width="10.375" style="1"/>
    <col min="2822" max="2822" width="13" style="1" customWidth="1"/>
    <col min="2823" max="3061" width="10.375" style="1"/>
    <col min="3062" max="3062" width="33.25" style="1" customWidth="1"/>
    <col min="3063" max="3067" width="10.375" style="1"/>
    <col min="3068" max="3068" width="13.625" style="1" customWidth="1"/>
    <col min="3069" max="3069" width="10.375" style="1"/>
    <col min="3070" max="3070" width="14.375" style="1" customWidth="1"/>
    <col min="3071" max="3071" width="10.375" style="1"/>
    <col min="3072" max="3072" width="11.625" style="1" bestFit="1" customWidth="1"/>
    <col min="3073" max="3075" width="10.375" style="1"/>
    <col min="3076" max="3076" width="12.875" style="1" customWidth="1"/>
    <col min="3077" max="3077" width="10.375" style="1"/>
    <col min="3078" max="3078" width="13" style="1" customWidth="1"/>
    <col min="3079" max="3317" width="10.375" style="1"/>
    <col min="3318" max="3318" width="33.25" style="1" customWidth="1"/>
    <col min="3319" max="3323" width="10.375" style="1"/>
    <col min="3324" max="3324" width="13.625" style="1" customWidth="1"/>
    <col min="3325" max="3325" width="10.375" style="1"/>
    <col min="3326" max="3326" width="14.375" style="1" customWidth="1"/>
    <col min="3327" max="3327" width="10.375" style="1"/>
    <col min="3328" max="3328" width="11.625" style="1" bestFit="1" customWidth="1"/>
    <col min="3329" max="3331" width="10.375" style="1"/>
    <col min="3332" max="3332" width="12.875" style="1" customWidth="1"/>
    <col min="3333" max="3333" width="10.375" style="1"/>
    <col min="3334" max="3334" width="13" style="1" customWidth="1"/>
    <col min="3335" max="3573" width="10.375" style="1"/>
    <col min="3574" max="3574" width="33.25" style="1" customWidth="1"/>
    <col min="3575" max="3579" width="10.375" style="1"/>
    <col min="3580" max="3580" width="13.625" style="1" customWidth="1"/>
    <col min="3581" max="3581" width="10.375" style="1"/>
    <col min="3582" max="3582" width="14.375" style="1" customWidth="1"/>
    <col min="3583" max="3583" width="10.375" style="1"/>
    <col min="3584" max="3584" width="11.625" style="1" bestFit="1" customWidth="1"/>
    <col min="3585" max="3587" width="10.375" style="1"/>
    <col min="3588" max="3588" width="12.875" style="1" customWidth="1"/>
    <col min="3589" max="3589" width="10.375" style="1"/>
    <col min="3590" max="3590" width="13" style="1" customWidth="1"/>
    <col min="3591" max="3829" width="10.375" style="1"/>
    <col min="3830" max="3830" width="33.25" style="1" customWidth="1"/>
    <col min="3831" max="3835" width="10.375" style="1"/>
    <col min="3836" max="3836" width="13.625" style="1" customWidth="1"/>
    <col min="3837" max="3837" width="10.375" style="1"/>
    <col min="3838" max="3838" width="14.375" style="1" customWidth="1"/>
    <col min="3839" max="3839" width="10.375" style="1"/>
    <col min="3840" max="3840" width="11.625" style="1" bestFit="1" customWidth="1"/>
    <col min="3841" max="3843" width="10.375" style="1"/>
    <col min="3844" max="3844" width="12.875" style="1" customWidth="1"/>
    <col min="3845" max="3845" width="10.375" style="1"/>
    <col min="3846" max="3846" width="13" style="1" customWidth="1"/>
    <col min="3847" max="4085" width="10.375" style="1"/>
    <col min="4086" max="4086" width="33.25" style="1" customWidth="1"/>
    <col min="4087" max="4091" width="10.375" style="1"/>
    <col min="4092" max="4092" width="13.625" style="1" customWidth="1"/>
    <col min="4093" max="4093" width="10.375" style="1"/>
    <col min="4094" max="4094" width="14.375" style="1" customWidth="1"/>
    <col min="4095" max="4095" width="10.375" style="1"/>
    <col min="4096" max="4096" width="11.625" style="1" bestFit="1" customWidth="1"/>
    <col min="4097" max="4099" width="10.375" style="1"/>
    <col min="4100" max="4100" width="12.875" style="1" customWidth="1"/>
    <col min="4101" max="4101" width="10.375" style="1"/>
    <col min="4102" max="4102" width="13" style="1" customWidth="1"/>
    <col min="4103" max="4341" width="10.375" style="1"/>
    <col min="4342" max="4342" width="33.25" style="1" customWidth="1"/>
    <col min="4343" max="4347" width="10.375" style="1"/>
    <col min="4348" max="4348" width="13.625" style="1" customWidth="1"/>
    <col min="4349" max="4349" width="10.375" style="1"/>
    <col min="4350" max="4350" width="14.375" style="1" customWidth="1"/>
    <col min="4351" max="4351" width="10.375" style="1"/>
    <col min="4352" max="4352" width="11.625" style="1" bestFit="1" customWidth="1"/>
    <col min="4353" max="4355" width="10.375" style="1"/>
    <col min="4356" max="4356" width="12.875" style="1" customWidth="1"/>
    <col min="4357" max="4357" width="10.375" style="1"/>
    <col min="4358" max="4358" width="13" style="1" customWidth="1"/>
    <col min="4359" max="4597" width="10.375" style="1"/>
    <col min="4598" max="4598" width="33.25" style="1" customWidth="1"/>
    <col min="4599" max="4603" width="10.375" style="1"/>
    <col min="4604" max="4604" width="13.625" style="1" customWidth="1"/>
    <col min="4605" max="4605" width="10.375" style="1"/>
    <col min="4606" max="4606" width="14.375" style="1" customWidth="1"/>
    <col min="4607" max="4607" width="10.375" style="1"/>
    <col min="4608" max="4608" width="11.625" style="1" bestFit="1" customWidth="1"/>
    <col min="4609" max="4611" width="10.375" style="1"/>
    <col min="4612" max="4612" width="12.875" style="1" customWidth="1"/>
    <col min="4613" max="4613" width="10.375" style="1"/>
    <col min="4614" max="4614" width="13" style="1" customWidth="1"/>
    <col min="4615" max="4853" width="10.375" style="1"/>
    <col min="4854" max="4854" width="33.25" style="1" customWidth="1"/>
    <col min="4855" max="4859" width="10.375" style="1"/>
    <col min="4860" max="4860" width="13.625" style="1" customWidth="1"/>
    <col min="4861" max="4861" width="10.375" style="1"/>
    <col min="4862" max="4862" width="14.375" style="1" customWidth="1"/>
    <col min="4863" max="4863" width="10.375" style="1"/>
    <col min="4864" max="4864" width="11.625" style="1" bestFit="1" customWidth="1"/>
    <col min="4865" max="4867" width="10.375" style="1"/>
    <col min="4868" max="4868" width="12.875" style="1" customWidth="1"/>
    <col min="4869" max="4869" width="10.375" style="1"/>
    <col min="4870" max="4870" width="13" style="1" customWidth="1"/>
    <col min="4871" max="5109" width="10.375" style="1"/>
    <col min="5110" max="5110" width="33.25" style="1" customWidth="1"/>
    <col min="5111" max="5115" width="10.375" style="1"/>
    <col min="5116" max="5116" width="13.625" style="1" customWidth="1"/>
    <col min="5117" max="5117" width="10.375" style="1"/>
    <col min="5118" max="5118" width="14.375" style="1" customWidth="1"/>
    <col min="5119" max="5119" width="10.375" style="1"/>
    <col min="5120" max="5120" width="11.625" style="1" bestFit="1" customWidth="1"/>
    <col min="5121" max="5123" width="10.375" style="1"/>
    <col min="5124" max="5124" width="12.875" style="1" customWidth="1"/>
    <col min="5125" max="5125" width="10.375" style="1"/>
    <col min="5126" max="5126" width="13" style="1" customWidth="1"/>
    <col min="5127" max="5365" width="10.375" style="1"/>
    <col min="5366" max="5366" width="33.25" style="1" customWidth="1"/>
    <col min="5367" max="5371" width="10.375" style="1"/>
    <col min="5372" max="5372" width="13.625" style="1" customWidth="1"/>
    <col min="5373" max="5373" width="10.375" style="1"/>
    <col min="5374" max="5374" width="14.375" style="1" customWidth="1"/>
    <col min="5375" max="5375" width="10.375" style="1"/>
    <col min="5376" max="5376" width="11.625" style="1" bestFit="1" customWidth="1"/>
    <col min="5377" max="5379" width="10.375" style="1"/>
    <col min="5380" max="5380" width="12.875" style="1" customWidth="1"/>
    <col min="5381" max="5381" width="10.375" style="1"/>
    <col min="5382" max="5382" width="13" style="1" customWidth="1"/>
    <col min="5383" max="5621" width="10.375" style="1"/>
    <col min="5622" max="5622" width="33.25" style="1" customWidth="1"/>
    <col min="5623" max="5627" width="10.375" style="1"/>
    <col min="5628" max="5628" width="13.625" style="1" customWidth="1"/>
    <col min="5629" max="5629" width="10.375" style="1"/>
    <col min="5630" max="5630" width="14.375" style="1" customWidth="1"/>
    <col min="5631" max="5631" width="10.375" style="1"/>
    <col min="5632" max="5632" width="11.625" style="1" bestFit="1" customWidth="1"/>
    <col min="5633" max="5635" width="10.375" style="1"/>
    <col min="5636" max="5636" width="12.875" style="1" customWidth="1"/>
    <col min="5637" max="5637" width="10.375" style="1"/>
    <col min="5638" max="5638" width="13" style="1" customWidth="1"/>
    <col min="5639" max="5877" width="10.375" style="1"/>
    <col min="5878" max="5878" width="33.25" style="1" customWidth="1"/>
    <col min="5879" max="5883" width="10.375" style="1"/>
    <col min="5884" max="5884" width="13.625" style="1" customWidth="1"/>
    <col min="5885" max="5885" width="10.375" style="1"/>
    <col min="5886" max="5886" width="14.375" style="1" customWidth="1"/>
    <col min="5887" max="5887" width="10.375" style="1"/>
    <col min="5888" max="5888" width="11.625" style="1" bestFit="1" customWidth="1"/>
    <col min="5889" max="5891" width="10.375" style="1"/>
    <col min="5892" max="5892" width="12.875" style="1" customWidth="1"/>
    <col min="5893" max="5893" width="10.375" style="1"/>
    <col min="5894" max="5894" width="13" style="1" customWidth="1"/>
    <col min="5895" max="6133" width="10.375" style="1"/>
    <col min="6134" max="6134" width="33.25" style="1" customWidth="1"/>
    <col min="6135" max="6139" width="10.375" style="1"/>
    <col min="6140" max="6140" width="13.625" style="1" customWidth="1"/>
    <col min="6141" max="6141" width="10.375" style="1"/>
    <col min="6142" max="6142" width="14.375" style="1" customWidth="1"/>
    <col min="6143" max="6143" width="10.375" style="1"/>
    <col min="6144" max="6144" width="11.625" style="1" bestFit="1" customWidth="1"/>
    <col min="6145" max="6147" width="10.375" style="1"/>
    <col min="6148" max="6148" width="12.875" style="1" customWidth="1"/>
    <col min="6149" max="6149" width="10.375" style="1"/>
    <col min="6150" max="6150" width="13" style="1" customWidth="1"/>
    <col min="6151" max="6389" width="10.375" style="1"/>
    <col min="6390" max="6390" width="33.25" style="1" customWidth="1"/>
    <col min="6391" max="6395" width="10.375" style="1"/>
    <col min="6396" max="6396" width="13.625" style="1" customWidth="1"/>
    <col min="6397" max="6397" width="10.375" style="1"/>
    <col min="6398" max="6398" width="14.375" style="1" customWidth="1"/>
    <col min="6399" max="6399" width="10.375" style="1"/>
    <col min="6400" max="6400" width="11.625" style="1" bestFit="1" customWidth="1"/>
    <col min="6401" max="6403" width="10.375" style="1"/>
    <col min="6404" max="6404" width="12.875" style="1" customWidth="1"/>
    <col min="6405" max="6405" width="10.375" style="1"/>
    <col min="6406" max="6406" width="13" style="1" customWidth="1"/>
    <col min="6407" max="6645" width="10.375" style="1"/>
    <col min="6646" max="6646" width="33.25" style="1" customWidth="1"/>
    <col min="6647" max="6651" width="10.375" style="1"/>
    <col min="6652" max="6652" width="13.625" style="1" customWidth="1"/>
    <col min="6653" max="6653" width="10.375" style="1"/>
    <col min="6654" max="6654" width="14.375" style="1" customWidth="1"/>
    <col min="6655" max="6655" width="10.375" style="1"/>
    <col min="6656" max="6656" width="11.625" style="1" bestFit="1" customWidth="1"/>
    <col min="6657" max="6659" width="10.375" style="1"/>
    <col min="6660" max="6660" width="12.875" style="1" customWidth="1"/>
    <col min="6661" max="6661" width="10.375" style="1"/>
    <col min="6662" max="6662" width="13" style="1" customWidth="1"/>
    <col min="6663" max="6901" width="10.375" style="1"/>
    <col min="6902" max="6902" width="33.25" style="1" customWidth="1"/>
    <col min="6903" max="6907" width="10.375" style="1"/>
    <col min="6908" max="6908" width="13.625" style="1" customWidth="1"/>
    <col min="6909" max="6909" width="10.375" style="1"/>
    <col min="6910" max="6910" width="14.375" style="1" customWidth="1"/>
    <col min="6911" max="6911" width="10.375" style="1"/>
    <col min="6912" max="6912" width="11.625" style="1" bestFit="1" customWidth="1"/>
    <col min="6913" max="6915" width="10.375" style="1"/>
    <col min="6916" max="6916" width="12.875" style="1" customWidth="1"/>
    <col min="6917" max="6917" width="10.375" style="1"/>
    <col min="6918" max="6918" width="13" style="1" customWidth="1"/>
    <col min="6919" max="7157" width="10.375" style="1"/>
    <col min="7158" max="7158" width="33.25" style="1" customWidth="1"/>
    <col min="7159" max="7163" width="10.375" style="1"/>
    <col min="7164" max="7164" width="13.625" style="1" customWidth="1"/>
    <col min="7165" max="7165" width="10.375" style="1"/>
    <col min="7166" max="7166" width="14.375" style="1" customWidth="1"/>
    <col min="7167" max="7167" width="10.375" style="1"/>
    <col min="7168" max="7168" width="11.625" style="1" bestFit="1" customWidth="1"/>
    <col min="7169" max="7171" width="10.375" style="1"/>
    <col min="7172" max="7172" width="12.875" style="1" customWidth="1"/>
    <col min="7173" max="7173" width="10.375" style="1"/>
    <col min="7174" max="7174" width="13" style="1" customWidth="1"/>
    <col min="7175" max="7413" width="10.375" style="1"/>
    <col min="7414" max="7414" width="33.25" style="1" customWidth="1"/>
    <col min="7415" max="7419" width="10.375" style="1"/>
    <col min="7420" max="7420" width="13.625" style="1" customWidth="1"/>
    <col min="7421" max="7421" width="10.375" style="1"/>
    <col min="7422" max="7422" width="14.375" style="1" customWidth="1"/>
    <col min="7423" max="7423" width="10.375" style="1"/>
    <col min="7424" max="7424" width="11.625" style="1" bestFit="1" customWidth="1"/>
    <col min="7425" max="7427" width="10.375" style="1"/>
    <col min="7428" max="7428" width="12.875" style="1" customWidth="1"/>
    <col min="7429" max="7429" width="10.375" style="1"/>
    <col min="7430" max="7430" width="13" style="1" customWidth="1"/>
    <col min="7431" max="7669" width="10.375" style="1"/>
    <col min="7670" max="7670" width="33.25" style="1" customWidth="1"/>
    <col min="7671" max="7675" width="10.375" style="1"/>
    <col min="7676" max="7676" width="13.625" style="1" customWidth="1"/>
    <col min="7677" max="7677" width="10.375" style="1"/>
    <col min="7678" max="7678" width="14.375" style="1" customWidth="1"/>
    <col min="7679" max="7679" width="10.375" style="1"/>
    <col min="7680" max="7680" width="11.625" style="1" bestFit="1" customWidth="1"/>
    <col min="7681" max="7683" width="10.375" style="1"/>
    <col min="7684" max="7684" width="12.875" style="1" customWidth="1"/>
    <col min="7685" max="7685" width="10.375" style="1"/>
    <col min="7686" max="7686" width="13" style="1" customWidth="1"/>
    <col min="7687" max="7925" width="10.375" style="1"/>
    <col min="7926" max="7926" width="33.25" style="1" customWidth="1"/>
    <col min="7927" max="7931" width="10.375" style="1"/>
    <col min="7932" max="7932" width="13.625" style="1" customWidth="1"/>
    <col min="7933" max="7933" width="10.375" style="1"/>
    <col min="7934" max="7934" width="14.375" style="1" customWidth="1"/>
    <col min="7935" max="7935" width="10.375" style="1"/>
    <col min="7936" max="7936" width="11.625" style="1" bestFit="1" customWidth="1"/>
    <col min="7937" max="7939" width="10.375" style="1"/>
    <col min="7940" max="7940" width="12.875" style="1" customWidth="1"/>
    <col min="7941" max="7941" width="10.375" style="1"/>
    <col min="7942" max="7942" width="13" style="1" customWidth="1"/>
    <col min="7943" max="8181" width="10.375" style="1"/>
    <col min="8182" max="8182" width="33.25" style="1" customWidth="1"/>
    <col min="8183" max="8187" width="10.375" style="1"/>
    <col min="8188" max="8188" width="13.625" style="1" customWidth="1"/>
    <col min="8189" max="8189" width="10.375" style="1"/>
    <col min="8190" max="8190" width="14.375" style="1" customWidth="1"/>
    <col min="8191" max="8191" width="10.375" style="1"/>
    <col min="8192" max="8192" width="11.625" style="1" bestFit="1" customWidth="1"/>
    <col min="8193" max="8195" width="10.375" style="1"/>
    <col min="8196" max="8196" width="12.875" style="1" customWidth="1"/>
    <col min="8197" max="8197" width="10.375" style="1"/>
    <col min="8198" max="8198" width="13" style="1" customWidth="1"/>
    <col min="8199" max="8437" width="10.375" style="1"/>
    <col min="8438" max="8438" width="33.25" style="1" customWidth="1"/>
    <col min="8439" max="8443" width="10.375" style="1"/>
    <col min="8444" max="8444" width="13.625" style="1" customWidth="1"/>
    <col min="8445" max="8445" width="10.375" style="1"/>
    <col min="8446" max="8446" width="14.375" style="1" customWidth="1"/>
    <col min="8447" max="8447" width="10.375" style="1"/>
    <col min="8448" max="8448" width="11.625" style="1" bestFit="1" customWidth="1"/>
    <col min="8449" max="8451" width="10.375" style="1"/>
    <col min="8452" max="8452" width="12.875" style="1" customWidth="1"/>
    <col min="8453" max="8453" width="10.375" style="1"/>
    <col min="8454" max="8454" width="13" style="1" customWidth="1"/>
    <col min="8455" max="8693" width="10.375" style="1"/>
    <col min="8694" max="8694" width="33.25" style="1" customWidth="1"/>
    <col min="8695" max="8699" width="10.375" style="1"/>
    <col min="8700" max="8700" width="13.625" style="1" customWidth="1"/>
    <col min="8701" max="8701" width="10.375" style="1"/>
    <col min="8702" max="8702" width="14.375" style="1" customWidth="1"/>
    <col min="8703" max="8703" width="10.375" style="1"/>
    <col min="8704" max="8704" width="11.625" style="1" bestFit="1" customWidth="1"/>
    <col min="8705" max="8707" width="10.375" style="1"/>
    <col min="8708" max="8708" width="12.875" style="1" customWidth="1"/>
    <col min="8709" max="8709" width="10.375" style="1"/>
    <col min="8710" max="8710" width="13" style="1" customWidth="1"/>
    <col min="8711" max="8949" width="10.375" style="1"/>
    <col min="8950" max="8950" width="33.25" style="1" customWidth="1"/>
    <col min="8951" max="8955" width="10.375" style="1"/>
    <col min="8956" max="8956" width="13.625" style="1" customWidth="1"/>
    <col min="8957" max="8957" width="10.375" style="1"/>
    <col min="8958" max="8958" width="14.375" style="1" customWidth="1"/>
    <col min="8959" max="8959" width="10.375" style="1"/>
    <col min="8960" max="8960" width="11.625" style="1" bestFit="1" customWidth="1"/>
    <col min="8961" max="8963" width="10.375" style="1"/>
    <col min="8964" max="8964" width="12.875" style="1" customWidth="1"/>
    <col min="8965" max="8965" width="10.375" style="1"/>
    <col min="8966" max="8966" width="13" style="1" customWidth="1"/>
    <col min="8967" max="9205" width="10.375" style="1"/>
    <col min="9206" max="9206" width="33.25" style="1" customWidth="1"/>
    <col min="9207" max="9211" width="10.375" style="1"/>
    <col min="9212" max="9212" width="13.625" style="1" customWidth="1"/>
    <col min="9213" max="9213" width="10.375" style="1"/>
    <col min="9214" max="9214" width="14.375" style="1" customWidth="1"/>
    <col min="9215" max="9215" width="10.375" style="1"/>
    <col min="9216" max="9216" width="11.625" style="1" bestFit="1" customWidth="1"/>
    <col min="9217" max="9219" width="10.375" style="1"/>
    <col min="9220" max="9220" width="12.875" style="1" customWidth="1"/>
    <col min="9221" max="9221" width="10.375" style="1"/>
    <col min="9222" max="9222" width="13" style="1" customWidth="1"/>
    <col min="9223" max="9461" width="10.375" style="1"/>
    <col min="9462" max="9462" width="33.25" style="1" customWidth="1"/>
    <col min="9463" max="9467" width="10.375" style="1"/>
    <col min="9468" max="9468" width="13.625" style="1" customWidth="1"/>
    <col min="9469" max="9469" width="10.375" style="1"/>
    <col min="9470" max="9470" width="14.375" style="1" customWidth="1"/>
    <col min="9471" max="9471" width="10.375" style="1"/>
    <col min="9472" max="9472" width="11.625" style="1" bestFit="1" customWidth="1"/>
    <col min="9473" max="9475" width="10.375" style="1"/>
    <col min="9476" max="9476" width="12.875" style="1" customWidth="1"/>
    <col min="9477" max="9477" width="10.375" style="1"/>
    <col min="9478" max="9478" width="13" style="1" customWidth="1"/>
    <col min="9479" max="9717" width="10.375" style="1"/>
    <col min="9718" max="9718" width="33.25" style="1" customWidth="1"/>
    <col min="9719" max="9723" width="10.375" style="1"/>
    <col min="9724" max="9724" width="13.625" style="1" customWidth="1"/>
    <col min="9725" max="9725" width="10.375" style="1"/>
    <col min="9726" max="9726" width="14.375" style="1" customWidth="1"/>
    <col min="9727" max="9727" width="10.375" style="1"/>
    <col min="9728" max="9728" width="11.625" style="1" bestFit="1" customWidth="1"/>
    <col min="9729" max="9731" width="10.375" style="1"/>
    <col min="9732" max="9732" width="12.875" style="1" customWidth="1"/>
    <col min="9733" max="9733" width="10.375" style="1"/>
    <col min="9734" max="9734" width="13" style="1" customWidth="1"/>
    <col min="9735" max="9973" width="10.375" style="1"/>
    <col min="9974" max="9974" width="33.25" style="1" customWidth="1"/>
    <col min="9975" max="9979" width="10.375" style="1"/>
    <col min="9980" max="9980" width="13.625" style="1" customWidth="1"/>
    <col min="9981" max="9981" width="10.375" style="1"/>
    <col min="9982" max="9982" width="14.375" style="1" customWidth="1"/>
    <col min="9983" max="9983" width="10.375" style="1"/>
    <col min="9984" max="9984" width="11.625" style="1" bestFit="1" customWidth="1"/>
    <col min="9985" max="9987" width="10.375" style="1"/>
    <col min="9988" max="9988" width="12.875" style="1" customWidth="1"/>
    <col min="9989" max="9989" width="10.375" style="1"/>
    <col min="9990" max="9990" width="13" style="1" customWidth="1"/>
    <col min="9991" max="10229" width="10.375" style="1"/>
    <col min="10230" max="10230" width="33.25" style="1" customWidth="1"/>
    <col min="10231" max="10235" width="10.375" style="1"/>
    <col min="10236" max="10236" width="13.625" style="1" customWidth="1"/>
    <col min="10237" max="10237" width="10.375" style="1"/>
    <col min="10238" max="10238" width="14.375" style="1" customWidth="1"/>
    <col min="10239" max="10239" width="10.375" style="1"/>
    <col min="10240" max="10240" width="11.625" style="1" bestFit="1" customWidth="1"/>
    <col min="10241" max="10243" width="10.375" style="1"/>
    <col min="10244" max="10244" width="12.875" style="1" customWidth="1"/>
    <col min="10245" max="10245" width="10.375" style="1"/>
    <col min="10246" max="10246" width="13" style="1" customWidth="1"/>
    <col min="10247" max="10485" width="10.375" style="1"/>
    <col min="10486" max="10486" width="33.25" style="1" customWidth="1"/>
    <col min="10487" max="10491" width="10.375" style="1"/>
    <col min="10492" max="10492" width="13.625" style="1" customWidth="1"/>
    <col min="10493" max="10493" width="10.375" style="1"/>
    <col min="10494" max="10494" width="14.375" style="1" customWidth="1"/>
    <col min="10495" max="10495" width="10.375" style="1"/>
    <col min="10496" max="10496" width="11.625" style="1" bestFit="1" customWidth="1"/>
    <col min="10497" max="10499" width="10.375" style="1"/>
    <col min="10500" max="10500" width="12.875" style="1" customWidth="1"/>
    <col min="10501" max="10501" width="10.375" style="1"/>
    <col min="10502" max="10502" width="13" style="1" customWidth="1"/>
    <col min="10503" max="10741" width="10.375" style="1"/>
    <col min="10742" max="10742" width="33.25" style="1" customWidth="1"/>
    <col min="10743" max="10747" width="10.375" style="1"/>
    <col min="10748" max="10748" width="13.625" style="1" customWidth="1"/>
    <col min="10749" max="10749" width="10.375" style="1"/>
    <col min="10750" max="10750" width="14.375" style="1" customWidth="1"/>
    <col min="10751" max="10751" width="10.375" style="1"/>
    <col min="10752" max="10752" width="11.625" style="1" bestFit="1" customWidth="1"/>
    <col min="10753" max="10755" width="10.375" style="1"/>
    <col min="10756" max="10756" width="12.875" style="1" customWidth="1"/>
    <col min="10757" max="10757" width="10.375" style="1"/>
    <col min="10758" max="10758" width="13" style="1" customWidth="1"/>
    <col min="10759" max="10997" width="10.375" style="1"/>
    <col min="10998" max="10998" width="33.25" style="1" customWidth="1"/>
    <col min="10999" max="11003" width="10.375" style="1"/>
    <col min="11004" max="11004" width="13.625" style="1" customWidth="1"/>
    <col min="11005" max="11005" width="10.375" style="1"/>
    <col min="11006" max="11006" width="14.375" style="1" customWidth="1"/>
    <col min="11007" max="11007" width="10.375" style="1"/>
    <col min="11008" max="11008" width="11.625" style="1" bestFit="1" customWidth="1"/>
    <col min="11009" max="11011" width="10.375" style="1"/>
    <col min="11012" max="11012" width="12.875" style="1" customWidth="1"/>
    <col min="11013" max="11013" width="10.375" style="1"/>
    <col min="11014" max="11014" width="13" style="1" customWidth="1"/>
    <col min="11015" max="11253" width="10.375" style="1"/>
    <col min="11254" max="11254" width="33.25" style="1" customWidth="1"/>
    <col min="11255" max="11259" width="10.375" style="1"/>
    <col min="11260" max="11260" width="13.625" style="1" customWidth="1"/>
    <col min="11261" max="11261" width="10.375" style="1"/>
    <col min="11262" max="11262" width="14.375" style="1" customWidth="1"/>
    <col min="11263" max="11263" width="10.375" style="1"/>
    <col min="11264" max="11264" width="11.625" style="1" bestFit="1" customWidth="1"/>
    <col min="11265" max="11267" width="10.375" style="1"/>
    <col min="11268" max="11268" width="12.875" style="1" customWidth="1"/>
    <col min="11269" max="11269" width="10.375" style="1"/>
    <col min="11270" max="11270" width="13" style="1" customWidth="1"/>
    <col min="11271" max="11509" width="10.375" style="1"/>
    <col min="11510" max="11510" width="33.25" style="1" customWidth="1"/>
    <col min="11511" max="11515" width="10.375" style="1"/>
    <col min="11516" max="11516" width="13.625" style="1" customWidth="1"/>
    <col min="11517" max="11517" width="10.375" style="1"/>
    <col min="11518" max="11518" width="14.375" style="1" customWidth="1"/>
    <col min="11519" max="11519" width="10.375" style="1"/>
    <col min="11520" max="11520" width="11.625" style="1" bestFit="1" customWidth="1"/>
    <col min="11521" max="11523" width="10.375" style="1"/>
    <col min="11524" max="11524" width="12.875" style="1" customWidth="1"/>
    <col min="11525" max="11525" width="10.375" style="1"/>
    <col min="11526" max="11526" width="13" style="1" customWidth="1"/>
    <col min="11527" max="11765" width="10.375" style="1"/>
    <col min="11766" max="11766" width="33.25" style="1" customWidth="1"/>
    <col min="11767" max="11771" width="10.375" style="1"/>
    <col min="11772" max="11772" width="13.625" style="1" customWidth="1"/>
    <col min="11773" max="11773" width="10.375" style="1"/>
    <col min="11774" max="11774" width="14.375" style="1" customWidth="1"/>
    <col min="11775" max="11775" width="10.375" style="1"/>
    <col min="11776" max="11776" width="11.625" style="1" bestFit="1" customWidth="1"/>
    <col min="11777" max="11779" width="10.375" style="1"/>
    <col min="11780" max="11780" width="12.875" style="1" customWidth="1"/>
    <col min="11781" max="11781" width="10.375" style="1"/>
    <col min="11782" max="11782" width="13" style="1" customWidth="1"/>
    <col min="11783" max="12021" width="10.375" style="1"/>
    <col min="12022" max="12022" width="33.25" style="1" customWidth="1"/>
    <col min="12023" max="12027" width="10.375" style="1"/>
    <col min="12028" max="12028" width="13.625" style="1" customWidth="1"/>
    <col min="12029" max="12029" width="10.375" style="1"/>
    <col min="12030" max="12030" width="14.375" style="1" customWidth="1"/>
    <col min="12031" max="12031" width="10.375" style="1"/>
    <col min="12032" max="12032" width="11.625" style="1" bestFit="1" customWidth="1"/>
    <col min="12033" max="12035" width="10.375" style="1"/>
    <col min="12036" max="12036" width="12.875" style="1" customWidth="1"/>
    <col min="12037" max="12037" width="10.375" style="1"/>
    <col min="12038" max="12038" width="13" style="1" customWidth="1"/>
    <col min="12039" max="12277" width="10.375" style="1"/>
    <col min="12278" max="12278" width="33.25" style="1" customWidth="1"/>
    <col min="12279" max="12283" width="10.375" style="1"/>
    <col min="12284" max="12284" width="13.625" style="1" customWidth="1"/>
    <col min="12285" max="12285" width="10.375" style="1"/>
    <col min="12286" max="12286" width="14.375" style="1" customWidth="1"/>
    <col min="12287" max="12287" width="10.375" style="1"/>
    <col min="12288" max="12288" width="11.625" style="1" bestFit="1" customWidth="1"/>
    <col min="12289" max="12291" width="10.375" style="1"/>
    <col min="12292" max="12292" width="12.875" style="1" customWidth="1"/>
    <col min="12293" max="12293" width="10.375" style="1"/>
    <col min="12294" max="12294" width="13" style="1" customWidth="1"/>
    <col min="12295" max="12533" width="10.375" style="1"/>
    <col min="12534" max="12534" width="33.25" style="1" customWidth="1"/>
    <col min="12535" max="12539" width="10.375" style="1"/>
    <col min="12540" max="12540" width="13.625" style="1" customWidth="1"/>
    <col min="12541" max="12541" width="10.375" style="1"/>
    <col min="12542" max="12542" width="14.375" style="1" customWidth="1"/>
    <col min="12543" max="12543" width="10.375" style="1"/>
    <col min="12544" max="12544" width="11.625" style="1" bestFit="1" customWidth="1"/>
    <col min="12545" max="12547" width="10.375" style="1"/>
    <col min="12548" max="12548" width="12.875" style="1" customWidth="1"/>
    <col min="12549" max="12549" width="10.375" style="1"/>
    <col min="12550" max="12550" width="13" style="1" customWidth="1"/>
    <col min="12551" max="12789" width="10.375" style="1"/>
    <col min="12790" max="12790" width="33.25" style="1" customWidth="1"/>
    <col min="12791" max="12795" width="10.375" style="1"/>
    <col min="12796" max="12796" width="13.625" style="1" customWidth="1"/>
    <col min="12797" max="12797" width="10.375" style="1"/>
    <col min="12798" max="12798" width="14.375" style="1" customWidth="1"/>
    <col min="12799" max="12799" width="10.375" style="1"/>
    <col min="12800" max="12800" width="11.625" style="1" bestFit="1" customWidth="1"/>
    <col min="12801" max="12803" width="10.375" style="1"/>
    <col min="12804" max="12804" width="12.875" style="1" customWidth="1"/>
    <col min="12805" max="12805" width="10.375" style="1"/>
    <col min="12806" max="12806" width="13" style="1" customWidth="1"/>
    <col min="12807" max="13045" width="10.375" style="1"/>
    <col min="13046" max="13046" width="33.25" style="1" customWidth="1"/>
    <col min="13047" max="13051" width="10.375" style="1"/>
    <col min="13052" max="13052" width="13.625" style="1" customWidth="1"/>
    <col min="13053" max="13053" width="10.375" style="1"/>
    <col min="13054" max="13054" width="14.375" style="1" customWidth="1"/>
    <col min="13055" max="13055" width="10.375" style="1"/>
    <col min="13056" max="13056" width="11.625" style="1" bestFit="1" customWidth="1"/>
    <col min="13057" max="13059" width="10.375" style="1"/>
    <col min="13060" max="13060" width="12.875" style="1" customWidth="1"/>
    <col min="13061" max="13061" width="10.375" style="1"/>
    <col min="13062" max="13062" width="13" style="1" customWidth="1"/>
    <col min="13063" max="13301" width="10.375" style="1"/>
    <col min="13302" max="13302" width="33.25" style="1" customWidth="1"/>
    <col min="13303" max="13307" width="10.375" style="1"/>
    <col min="13308" max="13308" width="13.625" style="1" customWidth="1"/>
    <col min="13309" max="13309" width="10.375" style="1"/>
    <col min="13310" max="13310" width="14.375" style="1" customWidth="1"/>
    <col min="13311" max="13311" width="10.375" style="1"/>
    <col min="13312" max="13312" width="11.625" style="1" bestFit="1" customWidth="1"/>
    <col min="13313" max="13315" width="10.375" style="1"/>
    <col min="13316" max="13316" width="12.875" style="1" customWidth="1"/>
    <col min="13317" max="13317" width="10.375" style="1"/>
    <col min="13318" max="13318" width="13" style="1" customWidth="1"/>
    <col min="13319" max="13557" width="10.375" style="1"/>
    <col min="13558" max="13558" width="33.25" style="1" customWidth="1"/>
    <col min="13559" max="13563" width="10.375" style="1"/>
    <col min="13564" max="13564" width="13.625" style="1" customWidth="1"/>
    <col min="13565" max="13565" width="10.375" style="1"/>
    <col min="13566" max="13566" width="14.375" style="1" customWidth="1"/>
    <col min="13567" max="13567" width="10.375" style="1"/>
    <col min="13568" max="13568" width="11.625" style="1" bestFit="1" customWidth="1"/>
    <col min="13569" max="13571" width="10.375" style="1"/>
    <col min="13572" max="13572" width="12.875" style="1" customWidth="1"/>
    <col min="13573" max="13573" width="10.375" style="1"/>
    <col min="13574" max="13574" width="13" style="1" customWidth="1"/>
    <col min="13575" max="13813" width="10.375" style="1"/>
    <col min="13814" max="13814" width="33.25" style="1" customWidth="1"/>
    <col min="13815" max="13819" width="10.375" style="1"/>
    <col min="13820" max="13820" width="13.625" style="1" customWidth="1"/>
    <col min="13821" max="13821" width="10.375" style="1"/>
    <col min="13822" max="13822" width="14.375" style="1" customWidth="1"/>
    <col min="13823" max="13823" width="10.375" style="1"/>
    <col min="13824" max="13824" width="11.625" style="1" bestFit="1" customWidth="1"/>
    <col min="13825" max="13827" width="10.375" style="1"/>
    <col min="13828" max="13828" width="12.875" style="1" customWidth="1"/>
    <col min="13829" max="13829" width="10.375" style="1"/>
    <col min="13830" max="13830" width="13" style="1" customWidth="1"/>
    <col min="13831" max="14069" width="10.375" style="1"/>
    <col min="14070" max="14070" width="33.25" style="1" customWidth="1"/>
    <col min="14071" max="14075" width="10.375" style="1"/>
    <col min="14076" max="14076" width="13.625" style="1" customWidth="1"/>
    <col min="14077" max="14077" width="10.375" style="1"/>
    <col min="14078" max="14078" width="14.375" style="1" customWidth="1"/>
    <col min="14079" max="14079" width="10.375" style="1"/>
    <col min="14080" max="14080" width="11.625" style="1" bestFit="1" customWidth="1"/>
    <col min="14081" max="14083" width="10.375" style="1"/>
    <col min="14084" max="14084" width="12.875" style="1" customWidth="1"/>
    <col min="14085" max="14085" width="10.375" style="1"/>
    <col min="14086" max="14086" width="13" style="1" customWidth="1"/>
    <col min="14087" max="14325" width="10.375" style="1"/>
    <col min="14326" max="14326" width="33.25" style="1" customWidth="1"/>
    <col min="14327" max="14331" width="10.375" style="1"/>
    <col min="14332" max="14332" width="13.625" style="1" customWidth="1"/>
    <col min="14333" max="14333" width="10.375" style="1"/>
    <col min="14334" max="14334" width="14.375" style="1" customWidth="1"/>
    <col min="14335" max="14335" width="10.375" style="1"/>
    <col min="14336" max="14336" width="11.625" style="1" bestFit="1" customWidth="1"/>
    <col min="14337" max="14339" width="10.375" style="1"/>
    <col min="14340" max="14340" width="12.875" style="1" customWidth="1"/>
    <col min="14341" max="14341" width="10.375" style="1"/>
    <col min="14342" max="14342" width="13" style="1" customWidth="1"/>
    <col min="14343" max="14581" width="10.375" style="1"/>
    <col min="14582" max="14582" width="33.25" style="1" customWidth="1"/>
    <col min="14583" max="14587" width="10.375" style="1"/>
    <col min="14588" max="14588" width="13.625" style="1" customWidth="1"/>
    <col min="14589" max="14589" width="10.375" style="1"/>
    <col min="14590" max="14590" width="14.375" style="1" customWidth="1"/>
    <col min="14591" max="14591" width="10.375" style="1"/>
    <col min="14592" max="14592" width="11.625" style="1" bestFit="1" customWidth="1"/>
    <col min="14593" max="14595" width="10.375" style="1"/>
    <col min="14596" max="14596" width="12.875" style="1" customWidth="1"/>
    <col min="14597" max="14597" width="10.375" style="1"/>
    <col min="14598" max="14598" width="13" style="1" customWidth="1"/>
    <col min="14599" max="14837" width="10.375" style="1"/>
    <col min="14838" max="14838" width="33.25" style="1" customWidth="1"/>
    <col min="14839" max="14843" width="10.375" style="1"/>
    <col min="14844" max="14844" width="13.625" style="1" customWidth="1"/>
    <col min="14845" max="14845" width="10.375" style="1"/>
    <col min="14846" max="14846" width="14.375" style="1" customWidth="1"/>
    <col min="14847" max="14847" width="10.375" style="1"/>
    <col min="14848" max="14848" width="11.625" style="1" bestFit="1" customWidth="1"/>
    <col min="14849" max="14851" width="10.375" style="1"/>
    <col min="14852" max="14852" width="12.875" style="1" customWidth="1"/>
    <col min="14853" max="14853" width="10.375" style="1"/>
    <col min="14854" max="14854" width="13" style="1" customWidth="1"/>
    <col min="14855" max="15093" width="10.375" style="1"/>
    <col min="15094" max="15094" width="33.25" style="1" customWidth="1"/>
    <col min="15095" max="15099" width="10.375" style="1"/>
    <col min="15100" max="15100" width="13.625" style="1" customWidth="1"/>
    <col min="15101" max="15101" width="10.375" style="1"/>
    <col min="15102" max="15102" width="14.375" style="1" customWidth="1"/>
    <col min="15103" max="15103" width="10.375" style="1"/>
    <col min="15104" max="15104" width="11.625" style="1" bestFit="1" customWidth="1"/>
    <col min="15105" max="15107" width="10.375" style="1"/>
    <col min="15108" max="15108" width="12.875" style="1" customWidth="1"/>
    <col min="15109" max="15109" width="10.375" style="1"/>
    <col min="15110" max="15110" width="13" style="1" customWidth="1"/>
    <col min="15111" max="15349" width="10.375" style="1"/>
    <col min="15350" max="15350" width="33.25" style="1" customWidth="1"/>
    <col min="15351" max="15355" width="10.375" style="1"/>
    <col min="15356" max="15356" width="13.625" style="1" customWidth="1"/>
    <col min="15357" max="15357" width="10.375" style="1"/>
    <col min="15358" max="15358" width="14.375" style="1" customWidth="1"/>
    <col min="15359" max="15359" width="10.375" style="1"/>
    <col min="15360" max="15360" width="11.625" style="1" bestFit="1" customWidth="1"/>
    <col min="15361" max="15363" width="10.375" style="1"/>
    <col min="15364" max="15364" width="12.875" style="1" customWidth="1"/>
    <col min="15365" max="15365" width="10.375" style="1"/>
    <col min="15366" max="15366" width="13" style="1" customWidth="1"/>
    <col min="15367" max="15605" width="10.375" style="1"/>
    <col min="15606" max="15606" width="33.25" style="1" customWidth="1"/>
    <col min="15607" max="15611" width="10.375" style="1"/>
    <col min="15612" max="15612" width="13.625" style="1" customWidth="1"/>
    <col min="15613" max="15613" width="10.375" style="1"/>
    <col min="15614" max="15614" width="14.375" style="1" customWidth="1"/>
    <col min="15615" max="15615" width="10.375" style="1"/>
    <col min="15616" max="15616" width="11.625" style="1" bestFit="1" customWidth="1"/>
    <col min="15617" max="15619" width="10.375" style="1"/>
    <col min="15620" max="15620" width="12.875" style="1" customWidth="1"/>
    <col min="15621" max="15621" width="10.375" style="1"/>
    <col min="15622" max="15622" width="13" style="1" customWidth="1"/>
    <col min="15623" max="15861" width="10.375" style="1"/>
    <col min="15862" max="15862" width="33.25" style="1" customWidth="1"/>
    <col min="15863" max="15867" width="10.375" style="1"/>
    <col min="15868" max="15868" width="13.625" style="1" customWidth="1"/>
    <col min="15869" max="15869" width="10.375" style="1"/>
    <col min="15870" max="15870" width="14.375" style="1" customWidth="1"/>
    <col min="15871" max="15871" width="10.375" style="1"/>
    <col min="15872" max="15872" width="11.625" style="1" bestFit="1" customWidth="1"/>
    <col min="15873" max="15875" width="10.375" style="1"/>
    <col min="15876" max="15876" width="12.875" style="1" customWidth="1"/>
    <col min="15877" max="15877" width="10.375" style="1"/>
    <col min="15878" max="15878" width="13" style="1" customWidth="1"/>
    <col min="15879" max="16117" width="10.375" style="1"/>
    <col min="16118" max="16118" width="33.25" style="1" customWidth="1"/>
    <col min="16119" max="16123" width="10.375" style="1"/>
    <col min="16124" max="16124" width="13.625" style="1" customWidth="1"/>
    <col min="16125" max="16125" width="10.375" style="1"/>
    <col min="16126" max="16126" width="14.375" style="1" customWidth="1"/>
    <col min="16127" max="16127" width="10.375" style="1"/>
    <col min="16128" max="16128" width="11.625" style="1" bestFit="1" customWidth="1"/>
    <col min="16129" max="16131" width="10.375" style="1"/>
    <col min="16132" max="16132" width="12.875" style="1" customWidth="1"/>
    <col min="16133" max="16133" width="10.375" style="1"/>
    <col min="16134" max="16134" width="13" style="1" customWidth="1"/>
    <col min="16135" max="16384" width="10.375" style="1"/>
  </cols>
  <sheetData>
    <row r="1" spans="1:6" ht="18.600000000000001">
      <c r="A1" s="175" t="s">
        <v>0</v>
      </c>
      <c r="B1" s="175"/>
      <c r="C1" s="175"/>
      <c r="D1" s="175"/>
      <c r="E1" s="175"/>
      <c r="F1" s="175"/>
    </row>
    <row r="2" spans="1:6" ht="18.600000000000001">
      <c r="A2" s="176" t="s">
        <v>1</v>
      </c>
      <c r="B2" s="176"/>
      <c r="C2" s="176"/>
      <c r="D2" s="176"/>
      <c r="E2" s="176"/>
      <c r="F2" s="176"/>
    </row>
    <row r="3" spans="1:6" ht="18.600000000000001">
      <c r="A3" s="177" t="s">
        <v>61</v>
      </c>
      <c r="B3" s="177"/>
      <c r="C3" s="177"/>
      <c r="D3" s="177"/>
      <c r="E3" s="177"/>
      <c r="F3" s="177"/>
    </row>
    <row r="4" spans="1:6" ht="18.600000000000001">
      <c r="A4" s="178" t="s">
        <v>3</v>
      </c>
      <c r="B4" s="173" t="s">
        <v>4</v>
      </c>
      <c r="C4" s="146"/>
      <c r="D4" s="182" t="s">
        <v>9</v>
      </c>
      <c r="E4" s="183"/>
      <c r="F4" s="184"/>
    </row>
    <row r="5" spans="1:6" ht="18.600000000000001">
      <c r="A5" s="179"/>
      <c r="B5" s="181"/>
      <c r="C5" s="3" t="s">
        <v>58</v>
      </c>
      <c r="D5" s="185" t="s">
        <v>10</v>
      </c>
      <c r="E5" s="187" t="s">
        <v>12</v>
      </c>
      <c r="F5" s="2"/>
    </row>
    <row r="6" spans="1:6" ht="18.600000000000001">
      <c r="A6" s="180"/>
      <c r="B6" s="174"/>
      <c r="C6" s="4"/>
      <c r="D6" s="186"/>
      <c r="E6" s="188"/>
      <c r="F6" s="7" t="s">
        <v>19</v>
      </c>
    </row>
    <row r="7" spans="1:6" ht="18.600000000000001">
      <c r="A7" s="156"/>
      <c r="B7" s="173" t="s">
        <v>59</v>
      </c>
      <c r="C7" s="157"/>
      <c r="D7" s="158"/>
      <c r="E7" s="159"/>
      <c r="F7" s="160"/>
    </row>
    <row r="8" spans="1:6" ht="21.75" customHeight="1">
      <c r="A8" s="164"/>
      <c r="B8" s="174"/>
      <c r="C8" s="165"/>
      <c r="D8" s="150"/>
      <c r="E8" s="84"/>
      <c r="F8" s="166"/>
    </row>
    <row r="9" spans="1:6" ht="19.2" thickBot="1">
      <c r="A9" s="167"/>
      <c r="B9" s="168"/>
      <c r="C9" s="168"/>
      <c r="D9" s="169"/>
      <c r="E9" s="170"/>
      <c r="F9" s="171"/>
    </row>
    <row r="10" spans="1:6" ht="19.2" thickTop="1">
      <c r="A10" s="161"/>
      <c r="B10" s="162"/>
      <c r="C10" s="162"/>
      <c r="D10" s="77"/>
      <c r="E10" s="78"/>
      <c r="F10" s="163"/>
    </row>
    <row r="11" spans="1:6" ht="18.600000000000001">
      <c r="A11" s="151"/>
      <c r="B11" s="155" t="s">
        <v>31</v>
      </c>
      <c r="C11" s="147"/>
      <c r="D11" s="77"/>
      <c r="E11" s="78"/>
      <c r="F11" s="96"/>
    </row>
    <row r="12" spans="1:6" ht="18.600000000000001">
      <c r="A12" s="42">
        <v>1</v>
      </c>
      <c r="B12" s="97" t="s">
        <v>32</v>
      </c>
      <c r="C12" s="98"/>
      <c r="D12" s="24" t="s">
        <v>34</v>
      </c>
      <c r="E12" s="25"/>
      <c r="F12" s="99">
        <v>322273.98</v>
      </c>
    </row>
    <row r="13" spans="1:6" ht="18.600000000000001">
      <c r="A13" s="42"/>
      <c r="B13" s="100" t="s">
        <v>35</v>
      </c>
      <c r="C13" s="98"/>
      <c r="D13" s="31"/>
      <c r="E13" s="25"/>
      <c r="F13" s="99"/>
    </row>
    <row r="14" spans="1:6" ht="18.600000000000001">
      <c r="A14" s="42"/>
      <c r="B14" s="100" t="s">
        <v>37</v>
      </c>
      <c r="C14" s="101"/>
      <c r="D14" s="31"/>
      <c r="E14" s="25"/>
      <c r="F14" s="99"/>
    </row>
    <row r="15" spans="1:6" ht="18.600000000000001">
      <c r="A15" s="42"/>
      <c r="B15" s="100" t="s">
        <v>38</v>
      </c>
      <c r="C15" s="101"/>
      <c r="D15" s="31"/>
      <c r="E15" s="25"/>
      <c r="F15" s="99"/>
    </row>
    <row r="16" spans="1:6" ht="18.600000000000001">
      <c r="A16" s="8">
        <v>2</v>
      </c>
      <c r="B16" s="102" t="s">
        <v>32</v>
      </c>
      <c r="C16" s="98"/>
      <c r="D16" s="62" t="s">
        <v>40</v>
      </c>
      <c r="E16" s="25">
        <v>16</v>
      </c>
      <c r="F16" s="99">
        <v>5208581.93</v>
      </c>
    </row>
    <row r="17" spans="1:6" ht="18.600000000000001">
      <c r="A17" s="8"/>
      <c r="B17" s="153" t="s">
        <v>41</v>
      </c>
      <c r="C17" s="101"/>
      <c r="D17" s="62" t="s">
        <v>42</v>
      </c>
      <c r="E17" s="25"/>
      <c r="F17" s="92"/>
    </row>
    <row r="18" spans="1:6" ht="18.600000000000001">
      <c r="A18" s="8"/>
      <c r="B18" s="103" t="s">
        <v>43</v>
      </c>
      <c r="C18" s="101"/>
      <c r="D18" s="31"/>
      <c r="E18" s="25"/>
      <c r="F18" s="92"/>
    </row>
    <row r="19" spans="1:6" ht="18.600000000000001">
      <c r="A19" s="148"/>
      <c r="B19" s="149" t="s">
        <v>44</v>
      </c>
      <c r="C19" s="154"/>
      <c r="D19" s="150"/>
      <c r="E19" s="25"/>
      <c r="F19" s="92"/>
    </row>
    <row r="20" spans="1:6" ht="19.2" thickBot="1">
      <c r="A20" s="152"/>
      <c r="B20" s="172" t="s">
        <v>53</v>
      </c>
      <c r="C20" s="145"/>
      <c r="D20" s="108"/>
      <c r="E20" s="106"/>
      <c r="F20" s="106">
        <f>SUM(F12:F18)</f>
        <v>5530855.9100000001</v>
      </c>
    </row>
    <row r="21" spans="1:6" ht="19.2" thickTop="1">
      <c r="A21" s="120"/>
      <c r="B21" s="121"/>
      <c r="C21" s="121"/>
      <c r="D21" s="125"/>
      <c r="E21" s="121"/>
      <c r="F21" s="126"/>
    </row>
  </sheetData>
  <mergeCells count="9">
    <mergeCell ref="B7:B8"/>
    <mergeCell ref="A1:F1"/>
    <mergeCell ref="A2:F2"/>
    <mergeCell ref="A3:F3"/>
    <mergeCell ref="A4:A6"/>
    <mergeCell ref="B4:B6"/>
    <mergeCell ref="D4:F4"/>
    <mergeCell ref="D5:D6"/>
    <mergeCell ref="E5:E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69C9-6177-4D73-A6DA-9C302E151013}">
  <sheetPr>
    <tabColor rgb="FFFFFF00"/>
  </sheetPr>
  <dimension ref="A1:E21"/>
  <sheetViews>
    <sheetView workbookViewId="0">
      <pane ySplit="6" topLeftCell="A7" activePane="bottomLeft" state="frozen"/>
      <selection pane="bottomLeft" activeCell="M12" sqref="M12"/>
    </sheetView>
  </sheetViews>
  <sheetFormatPr defaultColWidth="10.375" defaultRowHeight="14.4"/>
  <cols>
    <col min="1" max="1" width="10.375" style="1"/>
    <col min="2" max="2" width="33.25" style="1" customWidth="1"/>
    <col min="3" max="4" width="10.375" style="1"/>
    <col min="5" max="5" width="13" style="1" customWidth="1"/>
    <col min="6" max="244" width="10.375" style="1"/>
    <col min="245" max="245" width="33.25" style="1" customWidth="1"/>
    <col min="246" max="250" width="10.375" style="1"/>
    <col min="251" max="251" width="13.625" style="1" customWidth="1"/>
    <col min="252" max="252" width="10.375" style="1"/>
    <col min="253" max="253" width="14.375" style="1" customWidth="1"/>
    <col min="254" max="254" width="10.375" style="1"/>
    <col min="255" max="255" width="11.625" style="1" bestFit="1" customWidth="1"/>
    <col min="256" max="258" width="10.375" style="1"/>
    <col min="259" max="259" width="12.875" style="1" customWidth="1"/>
    <col min="260" max="260" width="10.375" style="1"/>
    <col min="261" max="261" width="13" style="1" customWidth="1"/>
    <col min="262" max="500" width="10.375" style="1"/>
    <col min="501" max="501" width="33.25" style="1" customWidth="1"/>
    <col min="502" max="506" width="10.375" style="1"/>
    <col min="507" max="507" width="13.625" style="1" customWidth="1"/>
    <col min="508" max="508" width="10.375" style="1"/>
    <col min="509" max="509" width="14.375" style="1" customWidth="1"/>
    <col min="510" max="510" width="10.375" style="1"/>
    <col min="511" max="511" width="11.625" style="1" bestFit="1" customWidth="1"/>
    <col min="512" max="514" width="10.375" style="1"/>
    <col min="515" max="515" width="12.875" style="1" customWidth="1"/>
    <col min="516" max="516" width="10.375" style="1"/>
    <col min="517" max="517" width="13" style="1" customWidth="1"/>
    <col min="518" max="756" width="10.375" style="1"/>
    <col min="757" max="757" width="33.25" style="1" customWidth="1"/>
    <col min="758" max="762" width="10.375" style="1"/>
    <col min="763" max="763" width="13.625" style="1" customWidth="1"/>
    <col min="764" max="764" width="10.375" style="1"/>
    <col min="765" max="765" width="14.375" style="1" customWidth="1"/>
    <col min="766" max="766" width="10.375" style="1"/>
    <col min="767" max="767" width="11.625" style="1" bestFit="1" customWidth="1"/>
    <col min="768" max="770" width="10.375" style="1"/>
    <col min="771" max="771" width="12.875" style="1" customWidth="1"/>
    <col min="772" max="772" width="10.375" style="1"/>
    <col min="773" max="773" width="13" style="1" customWidth="1"/>
    <col min="774" max="1012" width="10.375" style="1"/>
    <col min="1013" max="1013" width="33.25" style="1" customWidth="1"/>
    <col min="1014" max="1018" width="10.375" style="1"/>
    <col min="1019" max="1019" width="13.625" style="1" customWidth="1"/>
    <col min="1020" max="1020" width="10.375" style="1"/>
    <col min="1021" max="1021" width="14.375" style="1" customWidth="1"/>
    <col min="1022" max="1022" width="10.375" style="1"/>
    <col min="1023" max="1023" width="11.625" style="1" bestFit="1" customWidth="1"/>
    <col min="1024" max="1026" width="10.375" style="1"/>
    <col min="1027" max="1027" width="12.875" style="1" customWidth="1"/>
    <col min="1028" max="1028" width="10.375" style="1"/>
    <col min="1029" max="1029" width="13" style="1" customWidth="1"/>
    <col min="1030" max="1268" width="10.375" style="1"/>
    <col min="1269" max="1269" width="33.25" style="1" customWidth="1"/>
    <col min="1270" max="1274" width="10.375" style="1"/>
    <col min="1275" max="1275" width="13.625" style="1" customWidth="1"/>
    <col min="1276" max="1276" width="10.375" style="1"/>
    <col min="1277" max="1277" width="14.375" style="1" customWidth="1"/>
    <col min="1278" max="1278" width="10.375" style="1"/>
    <col min="1279" max="1279" width="11.625" style="1" bestFit="1" customWidth="1"/>
    <col min="1280" max="1282" width="10.375" style="1"/>
    <col min="1283" max="1283" width="12.875" style="1" customWidth="1"/>
    <col min="1284" max="1284" width="10.375" style="1"/>
    <col min="1285" max="1285" width="13" style="1" customWidth="1"/>
    <col min="1286" max="1524" width="10.375" style="1"/>
    <col min="1525" max="1525" width="33.25" style="1" customWidth="1"/>
    <col min="1526" max="1530" width="10.375" style="1"/>
    <col min="1531" max="1531" width="13.625" style="1" customWidth="1"/>
    <col min="1532" max="1532" width="10.375" style="1"/>
    <col min="1533" max="1533" width="14.375" style="1" customWidth="1"/>
    <col min="1534" max="1534" width="10.375" style="1"/>
    <col min="1535" max="1535" width="11.625" style="1" bestFit="1" customWidth="1"/>
    <col min="1536" max="1538" width="10.375" style="1"/>
    <col min="1539" max="1539" width="12.875" style="1" customWidth="1"/>
    <col min="1540" max="1540" width="10.375" style="1"/>
    <col min="1541" max="1541" width="13" style="1" customWidth="1"/>
    <col min="1542" max="1780" width="10.375" style="1"/>
    <col min="1781" max="1781" width="33.25" style="1" customWidth="1"/>
    <col min="1782" max="1786" width="10.375" style="1"/>
    <col min="1787" max="1787" width="13.625" style="1" customWidth="1"/>
    <col min="1788" max="1788" width="10.375" style="1"/>
    <col min="1789" max="1789" width="14.375" style="1" customWidth="1"/>
    <col min="1790" max="1790" width="10.375" style="1"/>
    <col min="1791" max="1791" width="11.625" style="1" bestFit="1" customWidth="1"/>
    <col min="1792" max="1794" width="10.375" style="1"/>
    <col min="1795" max="1795" width="12.875" style="1" customWidth="1"/>
    <col min="1796" max="1796" width="10.375" style="1"/>
    <col min="1797" max="1797" width="13" style="1" customWidth="1"/>
    <col min="1798" max="2036" width="10.375" style="1"/>
    <col min="2037" max="2037" width="33.25" style="1" customWidth="1"/>
    <col min="2038" max="2042" width="10.375" style="1"/>
    <col min="2043" max="2043" width="13.625" style="1" customWidth="1"/>
    <col min="2044" max="2044" width="10.375" style="1"/>
    <col min="2045" max="2045" width="14.375" style="1" customWidth="1"/>
    <col min="2046" max="2046" width="10.375" style="1"/>
    <col min="2047" max="2047" width="11.625" style="1" bestFit="1" customWidth="1"/>
    <col min="2048" max="2050" width="10.375" style="1"/>
    <col min="2051" max="2051" width="12.875" style="1" customWidth="1"/>
    <col min="2052" max="2052" width="10.375" style="1"/>
    <col min="2053" max="2053" width="13" style="1" customWidth="1"/>
    <col min="2054" max="2292" width="10.375" style="1"/>
    <col min="2293" max="2293" width="33.25" style="1" customWidth="1"/>
    <col min="2294" max="2298" width="10.375" style="1"/>
    <col min="2299" max="2299" width="13.625" style="1" customWidth="1"/>
    <col min="2300" max="2300" width="10.375" style="1"/>
    <col min="2301" max="2301" width="14.375" style="1" customWidth="1"/>
    <col min="2302" max="2302" width="10.375" style="1"/>
    <col min="2303" max="2303" width="11.625" style="1" bestFit="1" customWidth="1"/>
    <col min="2304" max="2306" width="10.375" style="1"/>
    <col min="2307" max="2307" width="12.875" style="1" customWidth="1"/>
    <col min="2308" max="2308" width="10.375" style="1"/>
    <col min="2309" max="2309" width="13" style="1" customWidth="1"/>
    <col min="2310" max="2548" width="10.375" style="1"/>
    <col min="2549" max="2549" width="33.25" style="1" customWidth="1"/>
    <col min="2550" max="2554" width="10.375" style="1"/>
    <col min="2555" max="2555" width="13.625" style="1" customWidth="1"/>
    <col min="2556" max="2556" width="10.375" style="1"/>
    <col min="2557" max="2557" width="14.375" style="1" customWidth="1"/>
    <col min="2558" max="2558" width="10.375" style="1"/>
    <col min="2559" max="2559" width="11.625" style="1" bestFit="1" customWidth="1"/>
    <col min="2560" max="2562" width="10.375" style="1"/>
    <col min="2563" max="2563" width="12.875" style="1" customWidth="1"/>
    <col min="2564" max="2564" width="10.375" style="1"/>
    <col min="2565" max="2565" width="13" style="1" customWidth="1"/>
    <col min="2566" max="2804" width="10.375" style="1"/>
    <col min="2805" max="2805" width="33.25" style="1" customWidth="1"/>
    <col min="2806" max="2810" width="10.375" style="1"/>
    <col min="2811" max="2811" width="13.625" style="1" customWidth="1"/>
    <col min="2812" max="2812" width="10.375" style="1"/>
    <col min="2813" max="2813" width="14.375" style="1" customWidth="1"/>
    <col min="2814" max="2814" width="10.375" style="1"/>
    <col min="2815" max="2815" width="11.625" style="1" bestFit="1" customWidth="1"/>
    <col min="2816" max="2818" width="10.375" style="1"/>
    <col min="2819" max="2819" width="12.875" style="1" customWidth="1"/>
    <col min="2820" max="2820" width="10.375" style="1"/>
    <col min="2821" max="2821" width="13" style="1" customWidth="1"/>
    <col min="2822" max="3060" width="10.375" style="1"/>
    <col min="3061" max="3061" width="33.25" style="1" customWidth="1"/>
    <col min="3062" max="3066" width="10.375" style="1"/>
    <col min="3067" max="3067" width="13.625" style="1" customWidth="1"/>
    <col min="3068" max="3068" width="10.375" style="1"/>
    <col min="3069" max="3069" width="14.375" style="1" customWidth="1"/>
    <col min="3070" max="3070" width="10.375" style="1"/>
    <col min="3071" max="3071" width="11.625" style="1" bestFit="1" customWidth="1"/>
    <col min="3072" max="3074" width="10.375" style="1"/>
    <col min="3075" max="3075" width="12.875" style="1" customWidth="1"/>
    <col min="3076" max="3076" width="10.375" style="1"/>
    <col min="3077" max="3077" width="13" style="1" customWidth="1"/>
    <col min="3078" max="3316" width="10.375" style="1"/>
    <col min="3317" max="3317" width="33.25" style="1" customWidth="1"/>
    <col min="3318" max="3322" width="10.375" style="1"/>
    <col min="3323" max="3323" width="13.625" style="1" customWidth="1"/>
    <col min="3324" max="3324" width="10.375" style="1"/>
    <col min="3325" max="3325" width="14.375" style="1" customWidth="1"/>
    <col min="3326" max="3326" width="10.375" style="1"/>
    <col min="3327" max="3327" width="11.625" style="1" bestFit="1" customWidth="1"/>
    <col min="3328" max="3330" width="10.375" style="1"/>
    <col min="3331" max="3331" width="12.875" style="1" customWidth="1"/>
    <col min="3332" max="3332" width="10.375" style="1"/>
    <col min="3333" max="3333" width="13" style="1" customWidth="1"/>
    <col min="3334" max="3572" width="10.375" style="1"/>
    <col min="3573" max="3573" width="33.25" style="1" customWidth="1"/>
    <col min="3574" max="3578" width="10.375" style="1"/>
    <col min="3579" max="3579" width="13.625" style="1" customWidth="1"/>
    <col min="3580" max="3580" width="10.375" style="1"/>
    <col min="3581" max="3581" width="14.375" style="1" customWidth="1"/>
    <col min="3582" max="3582" width="10.375" style="1"/>
    <col min="3583" max="3583" width="11.625" style="1" bestFit="1" customWidth="1"/>
    <col min="3584" max="3586" width="10.375" style="1"/>
    <col min="3587" max="3587" width="12.875" style="1" customWidth="1"/>
    <col min="3588" max="3588" width="10.375" style="1"/>
    <col min="3589" max="3589" width="13" style="1" customWidth="1"/>
    <col min="3590" max="3828" width="10.375" style="1"/>
    <col min="3829" max="3829" width="33.25" style="1" customWidth="1"/>
    <col min="3830" max="3834" width="10.375" style="1"/>
    <col min="3835" max="3835" width="13.625" style="1" customWidth="1"/>
    <col min="3836" max="3836" width="10.375" style="1"/>
    <col min="3837" max="3837" width="14.375" style="1" customWidth="1"/>
    <col min="3838" max="3838" width="10.375" style="1"/>
    <col min="3839" max="3839" width="11.625" style="1" bestFit="1" customWidth="1"/>
    <col min="3840" max="3842" width="10.375" style="1"/>
    <col min="3843" max="3843" width="12.875" style="1" customWidth="1"/>
    <col min="3844" max="3844" width="10.375" style="1"/>
    <col min="3845" max="3845" width="13" style="1" customWidth="1"/>
    <col min="3846" max="4084" width="10.375" style="1"/>
    <col min="4085" max="4085" width="33.25" style="1" customWidth="1"/>
    <col min="4086" max="4090" width="10.375" style="1"/>
    <col min="4091" max="4091" width="13.625" style="1" customWidth="1"/>
    <col min="4092" max="4092" width="10.375" style="1"/>
    <col min="4093" max="4093" width="14.375" style="1" customWidth="1"/>
    <col min="4094" max="4094" width="10.375" style="1"/>
    <col min="4095" max="4095" width="11.625" style="1" bestFit="1" customWidth="1"/>
    <col min="4096" max="4098" width="10.375" style="1"/>
    <col min="4099" max="4099" width="12.875" style="1" customWidth="1"/>
    <col min="4100" max="4100" width="10.375" style="1"/>
    <col min="4101" max="4101" width="13" style="1" customWidth="1"/>
    <col min="4102" max="4340" width="10.375" style="1"/>
    <col min="4341" max="4341" width="33.25" style="1" customWidth="1"/>
    <col min="4342" max="4346" width="10.375" style="1"/>
    <col min="4347" max="4347" width="13.625" style="1" customWidth="1"/>
    <col min="4348" max="4348" width="10.375" style="1"/>
    <col min="4349" max="4349" width="14.375" style="1" customWidth="1"/>
    <col min="4350" max="4350" width="10.375" style="1"/>
    <col min="4351" max="4351" width="11.625" style="1" bestFit="1" customWidth="1"/>
    <col min="4352" max="4354" width="10.375" style="1"/>
    <col min="4355" max="4355" width="12.875" style="1" customWidth="1"/>
    <col min="4356" max="4356" width="10.375" style="1"/>
    <col min="4357" max="4357" width="13" style="1" customWidth="1"/>
    <col min="4358" max="4596" width="10.375" style="1"/>
    <col min="4597" max="4597" width="33.25" style="1" customWidth="1"/>
    <col min="4598" max="4602" width="10.375" style="1"/>
    <col min="4603" max="4603" width="13.625" style="1" customWidth="1"/>
    <col min="4604" max="4604" width="10.375" style="1"/>
    <col min="4605" max="4605" width="14.375" style="1" customWidth="1"/>
    <col min="4606" max="4606" width="10.375" style="1"/>
    <col min="4607" max="4607" width="11.625" style="1" bestFit="1" customWidth="1"/>
    <col min="4608" max="4610" width="10.375" style="1"/>
    <col min="4611" max="4611" width="12.875" style="1" customWidth="1"/>
    <col min="4612" max="4612" width="10.375" style="1"/>
    <col min="4613" max="4613" width="13" style="1" customWidth="1"/>
    <col min="4614" max="4852" width="10.375" style="1"/>
    <col min="4853" max="4853" width="33.25" style="1" customWidth="1"/>
    <col min="4854" max="4858" width="10.375" style="1"/>
    <col min="4859" max="4859" width="13.625" style="1" customWidth="1"/>
    <col min="4860" max="4860" width="10.375" style="1"/>
    <col min="4861" max="4861" width="14.375" style="1" customWidth="1"/>
    <col min="4862" max="4862" width="10.375" style="1"/>
    <col min="4863" max="4863" width="11.625" style="1" bestFit="1" customWidth="1"/>
    <col min="4864" max="4866" width="10.375" style="1"/>
    <col min="4867" max="4867" width="12.875" style="1" customWidth="1"/>
    <col min="4868" max="4868" width="10.375" style="1"/>
    <col min="4869" max="4869" width="13" style="1" customWidth="1"/>
    <col min="4870" max="5108" width="10.375" style="1"/>
    <col min="5109" max="5109" width="33.25" style="1" customWidth="1"/>
    <col min="5110" max="5114" width="10.375" style="1"/>
    <col min="5115" max="5115" width="13.625" style="1" customWidth="1"/>
    <col min="5116" max="5116" width="10.375" style="1"/>
    <col min="5117" max="5117" width="14.375" style="1" customWidth="1"/>
    <col min="5118" max="5118" width="10.375" style="1"/>
    <col min="5119" max="5119" width="11.625" style="1" bestFit="1" customWidth="1"/>
    <col min="5120" max="5122" width="10.375" style="1"/>
    <col min="5123" max="5123" width="12.875" style="1" customWidth="1"/>
    <col min="5124" max="5124" width="10.375" style="1"/>
    <col min="5125" max="5125" width="13" style="1" customWidth="1"/>
    <col min="5126" max="5364" width="10.375" style="1"/>
    <col min="5365" max="5365" width="33.25" style="1" customWidth="1"/>
    <col min="5366" max="5370" width="10.375" style="1"/>
    <col min="5371" max="5371" width="13.625" style="1" customWidth="1"/>
    <col min="5372" max="5372" width="10.375" style="1"/>
    <col min="5373" max="5373" width="14.375" style="1" customWidth="1"/>
    <col min="5374" max="5374" width="10.375" style="1"/>
    <col min="5375" max="5375" width="11.625" style="1" bestFit="1" customWidth="1"/>
    <col min="5376" max="5378" width="10.375" style="1"/>
    <col min="5379" max="5379" width="12.875" style="1" customWidth="1"/>
    <col min="5380" max="5380" width="10.375" style="1"/>
    <col min="5381" max="5381" width="13" style="1" customWidth="1"/>
    <col min="5382" max="5620" width="10.375" style="1"/>
    <col min="5621" max="5621" width="33.25" style="1" customWidth="1"/>
    <col min="5622" max="5626" width="10.375" style="1"/>
    <col min="5627" max="5627" width="13.625" style="1" customWidth="1"/>
    <col min="5628" max="5628" width="10.375" style="1"/>
    <col min="5629" max="5629" width="14.375" style="1" customWidth="1"/>
    <col min="5630" max="5630" width="10.375" style="1"/>
    <col min="5631" max="5631" width="11.625" style="1" bestFit="1" customWidth="1"/>
    <col min="5632" max="5634" width="10.375" style="1"/>
    <col min="5635" max="5635" width="12.875" style="1" customWidth="1"/>
    <col min="5636" max="5636" width="10.375" style="1"/>
    <col min="5637" max="5637" width="13" style="1" customWidth="1"/>
    <col min="5638" max="5876" width="10.375" style="1"/>
    <col min="5877" max="5877" width="33.25" style="1" customWidth="1"/>
    <col min="5878" max="5882" width="10.375" style="1"/>
    <col min="5883" max="5883" width="13.625" style="1" customWidth="1"/>
    <col min="5884" max="5884" width="10.375" style="1"/>
    <col min="5885" max="5885" width="14.375" style="1" customWidth="1"/>
    <col min="5886" max="5886" width="10.375" style="1"/>
    <col min="5887" max="5887" width="11.625" style="1" bestFit="1" customWidth="1"/>
    <col min="5888" max="5890" width="10.375" style="1"/>
    <col min="5891" max="5891" width="12.875" style="1" customWidth="1"/>
    <col min="5892" max="5892" width="10.375" style="1"/>
    <col min="5893" max="5893" width="13" style="1" customWidth="1"/>
    <col min="5894" max="6132" width="10.375" style="1"/>
    <col min="6133" max="6133" width="33.25" style="1" customWidth="1"/>
    <col min="6134" max="6138" width="10.375" style="1"/>
    <col min="6139" max="6139" width="13.625" style="1" customWidth="1"/>
    <col min="6140" max="6140" width="10.375" style="1"/>
    <col min="6141" max="6141" width="14.375" style="1" customWidth="1"/>
    <col min="6142" max="6142" width="10.375" style="1"/>
    <col min="6143" max="6143" width="11.625" style="1" bestFit="1" customWidth="1"/>
    <col min="6144" max="6146" width="10.375" style="1"/>
    <col min="6147" max="6147" width="12.875" style="1" customWidth="1"/>
    <col min="6148" max="6148" width="10.375" style="1"/>
    <col min="6149" max="6149" width="13" style="1" customWidth="1"/>
    <col min="6150" max="6388" width="10.375" style="1"/>
    <col min="6389" max="6389" width="33.25" style="1" customWidth="1"/>
    <col min="6390" max="6394" width="10.375" style="1"/>
    <col min="6395" max="6395" width="13.625" style="1" customWidth="1"/>
    <col min="6396" max="6396" width="10.375" style="1"/>
    <col min="6397" max="6397" width="14.375" style="1" customWidth="1"/>
    <col min="6398" max="6398" width="10.375" style="1"/>
    <col min="6399" max="6399" width="11.625" style="1" bestFit="1" customWidth="1"/>
    <col min="6400" max="6402" width="10.375" style="1"/>
    <col min="6403" max="6403" width="12.875" style="1" customWidth="1"/>
    <col min="6404" max="6404" width="10.375" style="1"/>
    <col min="6405" max="6405" width="13" style="1" customWidth="1"/>
    <col min="6406" max="6644" width="10.375" style="1"/>
    <col min="6645" max="6645" width="33.25" style="1" customWidth="1"/>
    <col min="6646" max="6650" width="10.375" style="1"/>
    <col min="6651" max="6651" width="13.625" style="1" customWidth="1"/>
    <col min="6652" max="6652" width="10.375" style="1"/>
    <col min="6653" max="6653" width="14.375" style="1" customWidth="1"/>
    <col min="6654" max="6654" width="10.375" style="1"/>
    <col min="6655" max="6655" width="11.625" style="1" bestFit="1" customWidth="1"/>
    <col min="6656" max="6658" width="10.375" style="1"/>
    <col min="6659" max="6659" width="12.875" style="1" customWidth="1"/>
    <col min="6660" max="6660" width="10.375" style="1"/>
    <col min="6661" max="6661" width="13" style="1" customWidth="1"/>
    <col min="6662" max="6900" width="10.375" style="1"/>
    <col min="6901" max="6901" width="33.25" style="1" customWidth="1"/>
    <col min="6902" max="6906" width="10.375" style="1"/>
    <col min="6907" max="6907" width="13.625" style="1" customWidth="1"/>
    <col min="6908" max="6908" width="10.375" style="1"/>
    <col min="6909" max="6909" width="14.375" style="1" customWidth="1"/>
    <col min="6910" max="6910" width="10.375" style="1"/>
    <col min="6911" max="6911" width="11.625" style="1" bestFit="1" customWidth="1"/>
    <col min="6912" max="6914" width="10.375" style="1"/>
    <col min="6915" max="6915" width="12.875" style="1" customWidth="1"/>
    <col min="6916" max="6916" width="10.375" style="1"/>
    <col min="6917" max="6917" width="13" style="1" customWidth="1"/>
    <col min="6918" max="7156" width="10.375" style="1"/>
    <col min="7157" max="7157" width="33.25" style="1" customWidth="1"/>
    <col min="7158" max="7162" width="10.375" style="1"/>
    <col min="7163" max="7163" width="13.625" style="1" customWidth="1"/>
    <col min="7164" max="7164" width="10.375" style="1"/>
    <col min="7165" max="7165" width="14.375" style="1" customWidth="1"/>
    <col min="7166" max="7166" width="10.375" style="1"/>
    <col min="7167" max="7167" width="11.625" style="1" bestFit="1" customWidth="1"/>
    <col min="7168" max="7170" width="10.375" style="1"/>
    <col min="7171" max="7171" width="12.875" style="1" customWidth="1"/>
    <col min="7172" max="7172" width="10.375" style="1"/>
    <col min="7173" max="7173" width="13" style="1" customWidth="1"/>
    <col min="7174" max="7412" width="10.375" style="1"/>
    <col min="7413" max="7413" width="33.25" style="1" customWidth="1"/>
    <col min="7414" max="7418" width="10.375" style="1"/>
    <col min="7419" max="7419" width="13.625" style="1" customWidth="1"/>
    <col min="7420" max="7420" width="10.375" style="1"/>
    <col min="7421" max="7421" width="14.375" style="1" customWidth="1"/>
    <col min="7422" max="7422" width="10.375" style="1"/>
    <col min="7423" max="7423" width="11.625" style="1" bestFit="1" customWidth="1"/>
    <col min="7424" max="7426" width="10.375" style="1"/>
    <col min="7427" max="7427" width="12.875" style="1" customWidth="1"/>
    <col min="7428" max="7428" width="10.375" style="1"/>
    <col min="7429" max="7429" width="13" style="1" customWidth="1"/>
    <col min="7430" max="7668" width="10.375" style="1"/>
    <col min="7669" max="7669" width="33.25" style="1" customWidth="1"/>
    <col min="7670" max="7674" width="10.375" style="1"/>
    <col min="7675" max="7675" width="13.625" style="1" customWidth="1"/>
    <col min="7676" max="7676" width="10.375" style="1"/>
    <col min="7677" max="7677" width="14.375" style="1" customWidth="1"/>
    <col min="7678" max="7678" width="10.375" style="1"/>
    <col min="7679" max="7679" width="11.625" style="1" bestFit="1" customWidth="1"/>
    <col min="7680" max="7682" width="10.375" style="1"/>
    <col min="7683" max="7683" width="12.875" style="1" customWidth="1"/>
    <col min="7684" max="7684" width="10.375" style="1"/>
    <col min="7685" max="7685" width="13" style="1" customWidth="1"/>
    <col min="7686" max="7924" width="10.375" style="1"/>
    <col min="7925" max="7925" width="33.25" style="1" customWidth="1"/>
    <col min="7926" max="7930" width="10.375" style="1"/>
    <col min="7931" max="7931" width="13.625" style="1" customWidth="1"/>
    <col min="7932" max="7932" width="10.375" style="1"/>
    <col min="7933" max="7933" width="14.375" style="1" customWidth="1"/>
    <col min="7934" max="7934" width="10.375" style="1"/>
    <col min="7935" max="7935" width="11.625" style="1" bestFit="1" customWidth="1"/>
    <col min="7936" max="7938" width="10.375" style="1"/>
    <col min="7939" max="7939" width="12.875" style="1" customWidth="1"/>
    <col min="7940" max="7940" width="10.375" style="1"/>
    <col min="7941" max="7941" width="13" style="1" customWidth="1"/>
    <col min="7942" max="8180" width="10.375" style="1"/>
    <col min="8181" max="8181" width="33.25" style="1" customWidth="1"/>
    <col min="8182" max="8186" width="10.375" style="1"/>
    <col min="8187" max="8187" width="13.625" style="1" customWidth="1"/>
    <col min="8188" max="8188" width="10.375" style="1"/>
    <col min="8189" max="8189" width="14.375" style="1" customWidth="1"/>
    <col min="8190" max="8190" width="10.375" style="1"/>
    <col min="8191" max="8191" width="11.625" style="1" bestFit="1" customWidth="1"/>
    <col min="8192" max="8194" width="10.375" style="1"/>
    <col min="8195" max="8195" width="12.875" style="1" customWidth="1"/>
    <col min="8196" max="8196" width="10.375" style="1"/>
    <col min="8197" max="8197" width="13" style="1" customWidth="1"/>
    <col min="8198" max="8436" width="10.375" style="1"/>
    <col min="8437" max="8437" width="33.25" style="1" customWidth="1"/>
    <col min="8438" max="8442" width="10.375" style="1"/>
    <col min="8443" max="8443" width="13.625" style="1" customWidth="1"/>
    <col min="8444" max="8444" width="10.375" style="1"/>
    <col min="8445" max="8445" width="14.375" style="1" customWidth="1"/>
    <col min="8446" max="8446" width="10.375" style="1"/>
    <col min="8447" max="8447" width="11.625" style="1" bestFit="1" customWidth="1"/>
    <col min="8448" max="8450" width="10.375" style="1"/>
    <col min="8451" max="8451" width="12.875" style="1" customWidth="1"/>
    <col min="8452" max="8452" width="10.375" style="1"/>
    <col min="8453" max="8453" width="13" style="1" customWidth="1"/>
    <col min="8454" max="8692" width="10.375" style="1"/>
    <col min="8693" max="8693" width="33.25" style="1" customWidth="1"/>
    <col min="8694" max="8698" width="10.375" style="1"/>
    <col min="8699" max="8699" width="13.625" style="1" customWidth="1"/>
    <col min="8700" max="8700" width="10.375" style="1"/>
    <col min="8701" max="8701" width="14.375" style="1" customWidth="1"/>
    <col min="8702" max="8702" width="10.375" style="1"/>
    <col min="8703" max="8703" width="11.625" style="1" bestFit="1" customWidth="1"/>
    <col min="8704" max="8706" width="10.375" style="1"/>
    <col min="8707" max="8707" width="12.875" style="1" customWidth="1"/>
    <col min="8708" max="8708" width="10.375" style="1"/>
    <col min="8709" max="8709" width="13" style="1" customWidth="1"/>
    <col min="8710" max="8948" width="10.375" style="1"/>
    <col min="8949" max="8949" width="33.25" style="1" customWidth="1"/>
    <col min="8950" max="8954" width="10.375" style="1"/>
    <col min="8955" max="8955" width="13.625" style="1" customWidth="1"/>
    <col min="8956" max="8956" width="10.375" style="1"/>
    <col min="8957" max="8957" width="14.375" style="1" customWidth="1"/>
    <col min="8958" max="8958" width="10.375" style="1"/>
    <col min="8959" max="8959" width="11.625" style="1" bestFit="1" customWidth="1"/>
    <col min="8960" max="8962" width="10.375" style="1"/>
    <col min="8963" max="8963" width="12.875" style="1" customWidth="1"/>
    <col min="8964" max="8964" width="10.375" style="1"/>
    <col min="8965" max="8965" width="13" style="1" customWidth="1"/>
    <col min="8966" max="9204" width="10.375" style="1"/>
    <col min="9205" max="9205" width="33.25" style="1" customWidth="1"/>
    <col min="9206" max="9210" width="10.375" style="1"/>
    <col min="9211" max="9211" width="13.625" style="1" customWidth="1"/>
    <col min="9212" max="9212" width="10.375" style="1"/>
    <col min="9213" max="9213" width="14.375" style="1" customWidth="1"/>
    <col min="9214" max="9214" width="10.375" style="1"/>
    <col min="9215" max="9215" width="11.625" style="1" bestFit="1" customWidth="1"/>
    <col min="9216" max="9218" width="10.375" style="1"/>
    <col min="9219" max="9219" width="12.875" style="1" customWidth="1"/>
    <col min="9220" max="9220" width="10.375" style="1"/>
    <col min="9221" max="9221" width="13" style="1" customWidth="1"/>
    <col min="9222" max="9460" width="10.375" style="1"/>
    <col min="9461" max="9461" width="33.25" style="1" customWidth="1"/>
    <col min="9462" max="9466" width="10.375" style="1"/>
    <col min="9467" max="9467" width="13.625" style="1" customWidth="1"/>
    <col min="9468" max="9468" width="10.375" style="1"/>
    <col min="9469" max="9469" width="14.375" style="1" customWidth="1"/>
    <col min="9470" max="9470" width="10.375" style="1"/>
    <col min="9471" max="9471" width="11.625" style="1" bestFit="1" customWidth="1"/>
    <col min="9472" max="9474" width="10.375" style="1"/>
    <col min="9475" max="9475" width="12.875" style="1" customWidth="1"/>
    <col min="9476" max="9476" width="10.375" style="1"/>
    <col min="9477" max="9477" width="13" style="1" customWidth="1"/>
    <col min="9478" max="9716" width="10.375" style="1"/>
    <col min="9717" max="9717" width="33.25" style="1" customWidth="1"/>
    <col min="9718" max="9722" width="10.375" style="1"/>
    <col min="9723" max="9723" width="13.625" style="1" customWidth="1"/>
    <col min="9724" max="9724" width="10.375" style="1"/>
    <col min="9725" max="9725" width="14.375" style="1" customWidth="1"/>
    <col min="9726" max="9726" width="10.375" style="1"/>
    <col min="9727" max="9727" width="11.625" style="1" bestFit="1" customWidth="1"/>
    <col min="9728" max="9730" width="10.375" style="1"/>
    <col min="9731" max="9731" width="12.875" style="1" customWidth="1"/>
    <col min="9732" max="9732" width="10.375" style="1"/>
    <col min="9733" max="9733" width="13" style="1" customWidth="1"/>
    <col min="9734" max="9972" width="10.375" style="1"/>
    <col min="9973" max="9973" width="33.25" style="1" customWidth="1"/>
    <col min="9974" max="9978" width="10.375" style="1"/>
    <col min="9979" max="9979" width="13.625" style="1" customWidth="1"/>
    <col min="9980" max="9980" width="10.375" style="1"/>
    <col min="9981" max="9981" width="14.375" style="1" customWidth="1"/>
    <col min="9982" max="9982" width="10.375" style="1"/>
    <col min="9983" max="9983" width="11.625" style="1" bestFit="1" customWidth="1"/>
    <col min="9984" max="9986" width="10.375" style="1"/>
    <col min="9987" max="9987" width="12.875" style="1" customWidth="1"/>
    <col min="9988" max="9988" width="10.375" style="1"/>
    <col min="9989" max="9989" width="13" style="1" customWidth="1"/>
    <col min="9990" max="10228" width="10.375" style="1"/>
    <col min="10229" max="10229" width="33.25" style="1" customWidth="1"/>
    <col min="10230" max="10234" width="10.375" style="1"/>
    <col min="10235" max="10235" width="13.625" style="1" customWidth="1"/>
    <col min="10236" max="10236" width="10.375" style="1"/>
    <col min="10237" max="10237" width="14.375" style="1" customWidth="1"/>
    <col min="10238" max="10238" width="10.375" style="1"/>
    <col min="10239" max="10239" width="11.625" style="1" bestFit="1" customWidth="1"/>
    <col min="10240" max="10242" width="10.375" style="1"/>
    <col min="10243" max="10243" width="12.875" style="1" customWidth="1"/>
    <col min="10244" max="10244" width="10.375" style="1"/>
    <col min="10245" max="10245" width="13" style="1" customWidth="1"/>
    <col min="10246" max="10484" width="10.375" style="1"/>
    <col min="10485" max="10485" width="33.25" style="1" customWidth="1"/>
    <col min="10486" max="10490" width="10.375" style="1"/>
    <col min="10491" max="10491" width="13.625" style="1" customWidth="1"/>
    <col min="10492" max="10492" width="10.375" style="1"/>
    <col min="10493" max="10493" width="14.375" style="1" customWidth="1"/>
    <col min="10494" max="10494" width="10.375" style="1"/>
    <col min="10495" max="10495" width="11.625" style="1" bestFit="1" customWidth="1"/>
    <col min="10496" max="10498" width="10.375" style="1"/>
    <col min="10499" max="10499" width="12.875" style="1" customWidth="1"/>
    <col min="10500" max="10500" width="10.375" style="1"/>
    <col min="10501" max="10501" width="13" style="1" customWidth="1"/>
    <col min="10502" max="10740" width="10.375" style="1"/>
    <col min="10741" max="10741" width="33.25" style="1" customWidth="1"/>
    <col min="10742" max="10746" width="10.375" style="1"/>
    <col min="10747" max="10747" width="13.625" style="1" customWidth="1"/>
    <col min="10748" max="10748" width="10.375" style="1"/>
    <col min="10749" max="10749" width="14.375" style="1" customWidth="1"/>
    <col min="10750" max="10750" width="10.375" style="1"/>
    <col min="10751" max="10751" width="11.625" style="1" bestFit="1" customWidth="1"/>
    <col min="10752" max="10754" width="10.375" style="1"/>
    <col min="10755" max="10755" width="12.875" style="1" customWidth="1"/>
    <col min="10756" max="10756" width="10.375" style="1"/>
    <col min="10757" max="10757" width="13" style="1" customWidth="1"/>
    <col min="10758" max="10996" width="10.375" style="1"/>
    <col min="10997" max="10997" width="33.25" style="1" customWidth="1"/>
    <col min="10998" max="11002" width="10.375" style="1"/>
    <col min="11003" max="11003" width="13.625" style="1" customWidth="1"/>
    <col min="11004" max="11004" width="10.375" style="1"/>
    <col min="11005" max="11005" width="14.375" style="1" customWidth="1"/>
    <col min="11006" max="11006" width="10.375" style="1"/>
    <col min="11007" max="11007" width="11.625" style="1" bestFit="1" customWidth="1"/>
    <col min="11008" max="11010" width="10.375" style="1"/>
    <col min="11011" max="11011" width="12.875" style="1" customWidth="1"/>
    <col min="11012" max="11012" width="10.375" style="1"/>
    <col min="11013" max="11013" width="13" style="1" customWidth="1"/>
    <col min="11014" max="11252" width="10.375" style="1"/>
    <col min="11253" max="11253" width="33.25" style="1" customWidth="1"/>
    <col min="11254" max="11258" width="10.375" style="1"/>
    <col min="11259" max="11259" width="13.625" style="1" customWidth="1"/>
    <col min="11260" max="11260" width="10.375" style="1"/>
    <col min="11261" max="11261" width="14.375" style="1" customWidth="1"/>
    <col min="11262" max="11262" width="10.375" style="1"/>
    <col min="11263" max="11263" width="11.625" style="1" bestFit="1" customWidth="1"/>
    <col min="11264" max="11266" width="10.375" style="1"/>
    <col min="11267" max="11267" width="12.875" style="1" customWidth="1"/>
    <col min="11268" max="11268" width="10.375" style="1"/>
    <col min="11269" max="11269" width="13" style="1" customWidth="1"/>
    <col min="11270" max="11508" width="10.375" style="1"/>
    <col min="11509" max="11509" width="33.25" style="1" customWidth="1"/>
    <col min="11510" max="11514" width="10.375" style="1"/>
    <col min="11515" max="11515" width="13.625" style="1" customWidth="1"/>
    <col min="11516" max="11516" width="10.375" style="1"/>
    <col min="11517" max="11517" width="14.375" style="1" customWidth="1"/>
    <col min="11518" max="11518" width="10.375" style="1"/>
    <col min="11519" max="11519" width="11.625" style="1" bestFit="1" customWidth="1"/>
    <col min="11520" max="11522" width="10.375" style="1"/>
    <col min="11523" max="11523" width="12.875" style="1" customWidth="1"/>
    <col min="11524" max="11524" width="10.375" style="1"/>
    <col min="11525" max="11525" width="13" style="1" customWidth="1"/>
    <col min="11526" max="11764" width="10.375" style="1"/>
    <col min="11765" max="11765" width="33.25" style="1" customWidth="1"/>
    <col min="11766" max="11770" width="10.375" style="1"/>
    <col min="11771" max="11771" width="13.625" style="1" customWidth="1"/>
    <col min="11772" max="11772" width="10.375" style="1"/>
    <col min="11773" max="11773" width="14.375" style="1" customWidth="1"/>
    <col min="11774" max="11774" width="10.375" style="1"/>
    <col min="11775" max="11775" width="11.625" style="1" bestFit="1" customWidth="1"/>
    <col min="11776" max="11778" width="10.375" style="1"/>
    <col min="11779" max="11779" width="12.875" style="1" customWidth="1"/>
    <col min="11780" max="11780" width="10.375" style="1"/>
    <col min="11781" max="11781" width="13" style="1" customWidth="1"/>
    <col min="11782" max="12020" width="10.375" style="1"/>
    <col min="12021" max="12021" width="33.25" style="1" customWidth="1"/>
    <col min="12022" max="12026" width="10.375" style="1"/>
    <col min="12027" max="12027" width="13.625" style="1" customWidth="1"/>
    <col min="12028" max="12028" width="10.375" style="1"/>
    <col min="12029" max="12029" width="14.375" style="1" customWidth="1"/>
    <col min="12030" max="12030" width="10.375" style="1"/>
    <col min="12031" max="12031" width="11.625" style="1" bestFit="1" customWidth="1"/>
    <col min="12032" max="12034" width="10.375" style="1"/>
    <col min="12035" max="12035" width="12.875" style="1" customWidth="1"/>
    <col min="12036" max="12036" width="10.375" style="1"/>
    <col min="12037" max="12037" width="13" style="1" customWidth="1"/>
    <col min="12038" max="12276" width="10.375" style="1"/>
    <col min="12277" max="12277" width="33.25" style="1" customWidth="1"/>
    <col min="12278" max="12282" width="10.375" style="1"/>
    <col min="12283" max="12283" width="13.625" style="1" customWidth="1"/>
    <col min="12284" max="12284" width="10.375" style="1"/>
    <col min="12285" max="12285" width="14.375" style="1" customWidth="1"/>
    <col min="12286" max="12286" width="10.375" style="1"/>
    <col min="12287" max="12287" width="11.625" style="1" bestFit="1" customWidth="1"/>
    <col min="12288" max="12290" width="10.375" style="1"/>
    <col min="12291" max="12291" width="12.875" style="1" customWidth="1"/>
    <col min="12292" max="12292" width="10.375" style="1"/>
    <col min="12293" max="12293" width="13" style="1" customWidth="1"/>
    <col min="12294" max="12532" width="10.375" style="1"/>
    <col min="12533" max="12533" width="33.25" style="1" customWidth="1"/>
    <col min="12534" max="12538" width="10.375" style="1"/>
    <col min="12539" max="12539" width="13.625" style="1" customWidth="1"/>
    <col min="12540" max="12540" width="10.375" style="1"/>
    <col min="12541" max="12541" width="14.375" style="1" customWidth="1"/>
    <col min="12542" max="12542" width="10.375" style="1"/>
    <col min="12543" max="12543" width="11.625" style="1" bestFit="1" customWidth="1"/>
    <col min="12544" max="12546" width="10.375" style="1"/>
    <col min="12547" max="12547" width="12.875" style="1" customWidth="1"/>
    <col min="12548" max="12548" width="10.375" style="1"/>
    <col min="12549" max="12549" width="13" style="1" customWidth="1"/>
    <col min="12550" max="12788" width="10.375" style="1"/>
    <col min="12789" max="12789" width="33.25" style="1" customWidth="1"/>
    <col min="12790" max="12794" width="10.375" style="1"/>
    <col min="12795" max="12795" width="13.625" style="1" customWidth="1"/>
    <col min="12796" max="12796" width="10.375" style="1"/>
    <col min="12797" max="12797" width="14.375" style="1" customWidth="1"/>
    <col min="12798" max="12798" width="10.375" style="1"/>
    <col min="12799" max="12799" width="11.625" style="1" bestFit="1" customWidth="1"/>
    <col min="12800" max="12802" width="10.375" style="1"/>
    <col min="12803" max="12803" width="12.875" style="1" customWidth="1"/>
    <col min="12804" max="12804" width="10.375" style="1"/>
    <col min="12805" max="12805" width="13" style="1" customWidth="1"/>
    <col min="12806" max="13044" width="10.375" style="1"/>
    <col min="13045" max="13045" width="33.25" style="1" customWidth="1"/>
    <col min="13046" max="13050" width="10.375" style="1"/>
    <col min="13051" max="13051" width="13.625" style="1" customWidth="1"/>
    <col min="13052" max="13052" width="10.375" style="1"/>
    <col min="13053" max="13053" width="14.375" style="1" customWidth="1"/>
    <col min="13054" max="13054" width="10.375" style="1"/>
    <col min="13055" max="13055" width="11.625" style="1" bestFit="1" customWidth="1"/>
    <col min="13056" max="13058" width="10.375" style="1"/>
    <col min="13059" max="13059" width="12.875" style="1" customWidth="1"/>
    <col min="13060" max="13060" width="10.375" style="1"/>
    <col min="13061" max="13061" width="13" style="1" customWidth="1"/>
    <col min="13062" max="13300" width="10.375" style="1"/>
    <col min="13301" max="13301" width="33.25" style="1" customWidth="1"/>
    <col min="13302" max="13306" width="10.375" style="1"/>
    <col min="13307" max="13307" width="13.625" style="1" customWidth="1"/>
    <col min="13308" max="13308" width="10.375" style="1"/>
    <col min="13309" max="13309" width="14.375" style="1" customWidth="1"/>
    <col min="13310" max="13310" width="10.375" style="1"/>
    <col min="13311" max="13311" width="11.625" style="1" bestFit="1" customWidth="1"/>
    <col min="13312" max="13314" width="10.375" style="1"/>
    <col min="13315" max="13315" width="12.875" style="1" customWidth="1"/>
    <col min="13316" max="13316" width="10.375" style="1"/>
    <col min="13317" max="13317" width="13" style="1" customWidth="1"/>
    <col min="13318" max="13556" width="10.375" style="1"/>
    <col min="13557" max="13557" width="33.25" style="1" customWidth="1"/>
    <col min="13558" max="13562" width="10.375" style="1"/>
    <col min="13563" max="13563" width="13.625" style="1" customWidth="1"/>
    <col min="13564" max="13564" width="10.375" style="1"/>
    <col min="13565" max="13565" width="14.375" style="1" customWidth="1"/>
    <col min="13566" max="13566" width="10.375" style="1"/>
    <col min="13567" max="13567" width="11.625" style="1" bestFit="1" customWidth="1"/>
    <col min="13568" max="13570" width="10.375" style="1"/>
    <col min="13571" max="13571" width="12.875" style="1" customWidth="1"/>
    <col min="13572" max="13572" width="10.375" style="1"/>
    <col min="13573" max="13573" width="13" style="1" customWidth="1"/>
    <col min="13574" max="13812" width="10.375" style="1"/>
    <col min="13813" max="13813" width="33.25" style="1" customWidth="1"/>
    <col min="13814" max="13818" width="10.375" style="1"/>
    <col min="13819" max="13819" width="13.625" style="1" customWidth="1"/>
    <col min="13820" max="13820" width="10.375" style="1"/>
    <col min="13821" max="13821" width="14.375" style="1" customWidth="1"/>
    <col min="13822" max="13822" width="10.375" style="1"/>
    <col min="13823" max="13823" width="11.625" style="1" bestFit="1" customWidth="1"/>
    <col min="13824" max="13826" width="10.375" style="1"/>
    <col min="13827" max="13827" width="12.875" style="1" customWidth="1"/>
    <col min="13828" max="13828" width="10.375" style="1"/>
    <col min="13829" max="13829" width="13" style="1" customWidth="1"/>
    <col min="13830" max="14068" width="10.375" style="1"/>
    <col min="14069" max="14069" width="33.25" style="1" customWidth="1"/>
    <col min="14070" max="14074" width="10.375" style="1"/>
    <col min="14075" max="14075" width="13.625" style="1" customWidth="1"/>
    <col min="14076" max="14076" width="10.375" style="1"/>
    <col min="14077" max="14077" width="14.375" style="1" customWidth="1"/>
    <col min="14078" max="14078" width="10.375" style="1"/>
    <col min="14079" max="14079" width="11.625" style="1" bestFit="1" customWidth="1"/>
    <col min="14080" max="14082" width="10.375" style="1"/>
    <col min="14083" max="14083" width="12.875" style="1" customWidth="1"/>
    <col min="14084" max="14084" width="10.375" style="1"/>
    <col min="14085" max="14085" width="13" style="1" customWidth="1"/>
    <col min="14086" max="14324" width="10.375" style="1"/>
    <col min="14325" max="14325" width="33.25" style="1" customWidth="1"/>
    <col min="14326" max="14330" width="10.375" style="1"/>
    <col min="14331" max="14331" width="13.625" style="1" customWidth="1"/>
    <col min="14332" max="14332" width="10.375" style="1"/>
    <col min="14333" max="14333" width="14.375" style="1" customWidth="1"/>
    <col min="14334" max="14334" width="10.375" style="1"/>
    <col min="14335" max="14335" width="11.625" style="1" bestFit="1" customWidth="1"/>
    <col min="14336" max="14338" width="10.375" style="1"/>
    <col min="14339" max="14339" width="12.875" style="1" customWidth="1"/>
    <col min="14340" max="14340" width="10.375" style="1"/>
    <col min="14341" max="14341" width="13" style="1" customWidth="1"/>
    <col min="14342" max="14580" width="10.375" style="1"/>
    <col min="14581" max="14581" width="33.25" style="1" customWidth="1"/>
    <col min="14582" max="14586" width="10.375" style="1"/>
    <col min="14587" max="14587" width="13.625" style="1" customWidth="1"/>
    <col min="14588" max="14588" width="10.375" style="1"/>
    <col min="14589" max="14589" width="14.375" style="1" customWidth="1"/>
    <col min="14590" max="14590" width="10.375" style="1"/>
    <col min="14591" max="14591" width="11.625" style="1" bestFit="1" customWidth="1"/>
    <col min="14592" max="14594" width="10.375" style="1"/>
    <col min="14595" max="14595" width="12.875" style="1" customWidth="1"/>
    <col min="14596" max="14596" width="10.375" style="1"/>
    <col min="14597" max="14597" width="13" style="1" customWidth="1"/>
    <col min="14598" max="14836" width="10.375" style="1"/>
    <col min="14837" max="14837" width="33.25" style="1" customWidth="1"/>
    <col min="14838" max="14842" width="10.375" style="1"/>
    <col min="14843" max="14843" width="13.625" style="1" customWidth="1"/>
    <col min="14844" max="14844" width="10.375" style="1"/>
    <col min="14845" max="14845" width="14.375" style="1" customWidth="1"/>
    <col min="14846" max="14846" width="10.375" style="1"/>
    <col min="14847" max="14847" width="11.625" style="1" bestFit="1" customWidth="1"/>
    <col min="14848" max="14850" width="10.375" style="1"/>
    <col min="14851" max="14851" width="12.875" style="1" customWidth="1"/>
    <col min="14852" max="14852" width="10.375" style="1"/>
    <col min="14853" max="14853" width="13" style="1" customWidth="1"/>
    <col min="14854" max="15092" width="10.375" style="1"/>
    <col min="15093" max="15093" width="33.25" style="1" customWidth="1"/>
    <col min="15094" max="15098" width="10.375" style="1"/>
    <col min="15099" max="15099" width="13.625" style="1" customWidth="1"/>
    <col min="15100" max="15100" width="10.375" style="1"/>
    <col min="15101" max="15101" width="14.375" style="1" customWidth="1"/>
    <col min="15102" max="15102" width="10.375" style="1"/>
    <col min="15103" max="15103" width="11.625" style="1" bestFit="1" customWidth="1"/>
    <col min="15104" max="15106" width="10.375" style="1"/>
    <col min="15107" max="15107" width="12.875" style="1" customWidth="1"/>
    <col min="15108" max="15108" width="10.375" style="1"/>
    <col min="15109" max="15109" width="13" style="1" customWidth="1"/>
    <col min="15110" max="15348" width="10.375" style="1"/>
    <col min="15349" max="15349" width="33.25" style="1" customWidth="1"/>
    <col min="15350" max="15354" width="10.375" style="1"/>
    <col min="15355" max="15355" width="13.625" style="1" customWidth="1"/>
    <col min="15356" max="15356" width="10.375" style="1"/>
    <col min="15357" max="15357" width="14.375" style="1" customWidth="1"/>
    <col min="15358" max="15358" width="10.375" style="1"/>
    <col min="15359" max="15359" width="11.625" style="1" bestFit="1" customWidth="1"/>
    <col min="15360" max="15362" width="10.375" style="1"/>
    <col min="15363" max="15363" width="12.875" style="1" customWidth="1"/>
    <col min="15364" max="15364" width="10.375" style="1"/>
    <col min="15365" max="15365" width="13" style="1" customWidth="1"/>
    <col min="15366" max="15604" width="10.375" style="1"/>
    <col min="15605" max="15605" width="33.25" style="1" customWidth="1"/>
    <col min="15606" max="15610" width="10.375" style="1"/>
    <col min="15611" max="15611" width="13.625" style="1" customWidth="1"/>
    <col min="15612" max="15612" width="10.375" style="1"/>
    <col min="15613" max="15613" width="14.375" style="1" customWidth="1"/>
    <col min="15614" max="15614" width="10.375" style="1"/>
    <col min="15615" max="15615" width="11.625" style="1" bestFit="1" customWidth="1"/>
    <col min="15616" max="15618" width="10.375" style="1"/>
    <col min="15619" max="15619" width="12.875" style="1" customWidth="1"/>
    <col min="15620" max="15620" width="10.375" style="1"/>
    <col min="15621" max="15621" width="13" style="1" customWidth="1"/>
    <col min="15622" max="15860" width="10.375" style="1"/>
    <col min="15861" max="15861" width="33.25" style="1" customWidth="1"/>
    <col min="15862" max="15866" width="10.375" style="1"/>
    <col min="15867" max="15867" width="13.625" style="1" customWidth="1"/>
    <col min="15868" max="15868" width="10.375" style="1"/>
    <col min="15869" max="15869" width="14.375" style="1" customWidth="1"/>
    <col min="15870" max="15870" width="10.375" style="1"/>
    <col min="15871" max="15871" width="11.625" style="1" bestFit="1" customWidth="1"/>
    <col min="15872" max="15874" width="10.375" style="1"/>
    <col min="15875" max="15875" width="12.875" style="1" customWidth="1"/>
    <col min="15876" max="15876" width="10.375" style="1"/>
    <col min="15877" max="15877" width="13" style="1" customWidth="1"/>
    <col min="15878" max="16116" width="10.375" style="1"/>
    <col min="16117" max="16117" width="33.25" style="1" customWidth="1"/>
    <col min="16118" max="16122" width="10.375" style="1"/>
    <col min="16123" max="16123" width="13.625" style="1" customWidth="1"/>
    <col min="16124" max="16124" width="10.375" style="1"/>
    <col min="16125" max="16125" width="14.375" style="1" customWidth="1"/>
    <col min="16126" max="16126" width="10.375" style="1"/>
    <col min="16127" max="16127" width="11.625" style="1" bestFit="1" customWidth="1"/>
    <col min="16128" max="16130" width="10.375" style="1"/>
    <col min="16131" max="16131" width="12.875" style="1" customWidth="1"/>
    <col min="16132" max="16132" width="10.375" style="1"/>
    <col min="16133" max="16133" width="13" style="1" customWidth="1"/>
    <col min="16134" max="16384" width="10.375" style="1"/>
  </cols>
  <sheetData>
    <row r="1" spans="1:5" ht="18.600000000000001">
      <c r="A1" s="175" t="s">
        <v>0</v>
      </c>
      <c r="B1" s="175"/>
      <c r="C1" s="175"/>
      <c r="D1" s="175"/>
      <c r="E1" s="175"/>
    </row>
    <row r="2" spans="1:5" ht="18.600000000000001">
      <c r="A2" s="176" t="s">
        <v>1</v>
      </c>
      <c r="B2" s="176"/>
      <c r="C2" s="176"/>
      <c r="D2" s="176"/>
      <c r="E2" s="176"/>
    </row>
    <row r="3" spans="1:5" ht="18.600000000000001">
      <c r="A3" s="177" t="s">
        <v>61</v>
      </c>
      <c r="B3" s="177"/>
      <c r="C3" s="177"/>
      <c r="D3" s="177"/>
      <c r="E3" s="177"/>
    </row>
    <row r="4" spans="1:5" ht="18.600000000000001">
      <c r="A4" s="178" t="s">
        <v>3</v>
      </c>
      <c r="B4" s="173" t="s">
        <v>4</v>
      </c>
      <c r="C4" s="182" t="s">
        <v>9</v>
      </c>
      <c r="D4" s="183"/>
      <c r="E4" s="184"/>
    </row>
    <row r="5" spans="1:5" ht="18.600000000000001">
      <c r="A5" s="179"/>
      <c r="B5" s="181"/>
      <c r="C5" s="185" t="s">
        <v>10</v>
      </c>
      <c r="D5" s="187" t="s">
        <v>12</v>
      </c>
      <c r="E5" s="2"/>
    </row>
    <row r="6" spans="1:5" ht="16.8">
      <c r="A6" s="180"/>
      <c r="B6" s="174"/>
      <c r="C6" s="186"/>
      <c r="D6" s="188"/>
      <c r="E6" s="7" t="s">
        <v>19</v>
      </c>
    </row>
    <row r="7" spans="1:5" ht="18.600000000000001">
      <c r="A7" s="156"/>
      <c r="B7" s="173" t="s">
        <v>59</v>
      </c>
      <c r="C7" s="158"/>
      <c r="D7" s="159"/>
      <c r="E7" s="160"/>
    </row>
    <row r="8" spans="1:5" ht="21.75" customHeight="1">
      <c r="A8" s="164"/>
      <c r="B8" s="174"/>
      <c r="C8" s="150"/>
      <c r="D8" s="84"/>
      <c r="E8" s="166"/>
    </row>
    <row r="9" spans="1:5" ht="19.2" thickBot="1">
      <c r="A9" s="167"/>
      <c r="B9" s="168"/>
      <c r="C9" s="169"/>
      <c r="D9" s="170"/>
      <c r="E9" s="171"/>
    </row>
    <row r="10" spans="1:5" ht="19.2" thickTop="1">
      <c r="A10" s="161"/>
      <c r="B10" s="162"/>
      <c r="C10" s="77"/>
      <c r="D10" s="78"/>
      <c r="E10" s="163"/>
    </row>
    <row r="11" spans="1:5" ht="18.600000000000001">
      <c r="A11" s="151"/>
      <c r="B11" s="155" t="s">
        <v>31</v>
      </c>
      <c r="C11" s="77"/>
      <c r="D11" s="78"/>
      <c r="E11" s="96"/>
    </row>
    <row r="12" spans="1:5" ht="18.600000000000001">
      <c r="A12" s="42">
        <v>1</v>
      </c>
      <c r="B12" s="97" t="s">
        <v>32</v>
      </c>
      <c r="C12" s="24" t="s">
        <v>34</v>
      </c>
      <c r="D12" s="25"/>
      <c r="E12" s="99">
        <v>322273.98</v>
      </c>
    </row>
    <row r="13" spans="1:5" ht="18.600000000000001">
      <c r="A13" s="42"/>
      <c r="B13" s="100" t="s">
        <v>35</v>
      </c>
      <c r="C13" s="31"/>
      <c r="D13" s="25"/>
      <c r="E13" s="99"/>
    </row>
    <row r="14" spans="1:5" ht="18.600000000000001">
      <c r="A14" s="42"/>
      <c r="B14" s="100" t="s">
        <v>37</v>
      </c>
      <c r="C14" s="31"/>
      <c r="D14" s="25"/>
      <c r="E14" s="99"/>
    </row>
    <row r="15" spans="1:5" ht="18.600000000000001">
      <c r="A15" s="42"/>
      <c r="B15" s="100" t="s">
        <v>38</v>
      </c>
      <c r="C15" s="31"/>
      <c r="D15" s="25"/>
      <c r="E15" s="99"/>
    </row>
    <row r="16" spans="1:5" ht="18.600000000000001">
      <c r="A16" s="8">
        <v>2</v>
      </c>
      <c r="B16" s="102" t="s">
        <v>32</v>
      </c>
      <c r="C16" s="62" t="s">
        <v>40</v>
      </c>
      <c r="D16" s="25">
        <v>16</v>
      </c>
      <c r="E16" s="99">
        <v>5208581.93</v>
      </c>
    </row>
    <row r="17" spans="1:5" ht="18.600000000000001">
      <c r="A17" s="8"/>
      <c r="B17" s="153" t="s">
        <v>41</v>
      </c>
      <c r="C17" s="62" t="s">
        <v>42</v>
      </c>
      <c r="D17" s="25"/>
      <c r="E17" s="92"/>
    </row>
    <row r="18" spans="1:5" ht="18.600000000000001">
      <c r="A18" s="8"/>
      <c r="B18" s="103" t="s">
        <v>43</v>
      </c>
      <c r="C18" s="31"/>
      <c r="D18" s="25"/>
      <c r="E18" s="92"/>
    </row>
    <row r="19" spans="1:5" ht="18.600000000000001">
      <c r="A19" s="148"/>
      <c r="B19" s="149" t="s">
        <v>44</v>
      </c>
      <c r="C19" s="150"/>
      <c r="D19" s="25"/>
      <c r="E19" s="92"/>
    </row>
    <row r="20" spans="1:5" ht="19.2" thickBot="1">
      <c r="A20" s="152"/>
      <c r="B20" s="172" t="s">
        <v>53</v>
      </c>
      <c r="C20" s="108"/>
      <c r="D20" s="106"/>
      <c r="E20" s="106">
        <f>SUM(E12:E18)</f>
        <v>5530855.9100000001</v>
      </c>
    </row>
    <row r="21" spans="1:5" ht="19.2" thickTop="1">
      <c r="A21" s="120"/>
      <c r="B21" s="121"/>
      <c r="C21" s="125"/>
      <c r="D21" s="121"/>
      <c r="E21" s="126"/>
    </row>
  </sheetData>
  <mergeCells count="9">
    <mergeCell ref="B7:B8"/>
    <mergeCell ref="A1:E1"/>
    <mergeCell ref="A2:E2"/>
    <mergeCell ref="A3:E3"/>
    <mergeCell ref="A4:A6"/>
    <mergeCell ref="B4:B6"/>
    <mergeCell ref="C4:E4"/>
    <mergeCell ref="C5:C6"/>
    <mergeCell ref="D5:D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08ED1-D59F-44A0-AD14-B6AA46B42DE6}">
  <sheetPr>
    <tabColor rgb="FF92D050"/>
  </sheetPr>
  <dimension ref="A1:R114"/>
  <sheetViews>
    <sheetView workbookViewId="0">
      <pane ySplit="6" topLeftCell="A97" activePane="bottomLeft" state="frozen"/>
      <selection pane="bottomLeft" activeCell="B125" sqref="B125"/>
    </sheetView>
  </sheetViews>
  <sheetFormatPr defaultColWidth="10.375" defaultRowHeight="14.4"/>
  <cols>
    <col min="1" max="1" width="10.375" style="1"/>
    <col min="2" max="2" width="33.25" style="1" customWidth="1"/>
    <col min="3" max="7" width="10.375" style="1"/>
    <col min="8" max="8" width="13.625" style="1" customWidth="1"/>
    <col min="9" max="9" width="10.375" style="1"/>
    <col min="10" max="10" width="14.375" style="1" customWidth="1"/>
    <col min="11" max="11" width="10.375" style="139"/>
    <col min="12" max="12" width="11.625" style="139" bestFit="1" customWidth="1"/>
    <col min="13" max="13" width="10.375" style="139"/>
    <col min="14" max="15" width="10.375" style="1"/>
    <col min="16" max="16" width="12.875" style="1" customWidth="1"/>
    <col min="17" max="17" width="10.375" style="1"/>
    <col min="18" max="18" width="13" style="1" customWidth="1"/>
    <col min="19" max="257" width="10.375" style="1"/>
    <col min="258" max="258" width="33.25" style="1" customWidth="1"/>
    <col min="259" max="263" width="10.375" style="1"/>
    <col min="264" max="264" width="13.625" style="1" customWidth="1"/>
    <col min="265" max="265" width="10.375" style="1"/>
    <col min="266" max="266" width="14.375" style="1" customWidth="1"/>
    <col min="267" max="267" width="10.375" style="1"/>
    <col min="268" max="268" width="11.625" style="1" bestFit="1" customWidth="1"/>
    <col min="269" max="271" width="10.375" style="1"/>
    <col min="272" max="272" width="12.875" style="1" customWidth="1"/>
    <col min="273" max="273" width="10.375" style="1"/>
    <col min="274" max="274" width="13" style="1" customWidth="1"/>
    <col min="275" max="513" width="10.375" style="1"/>
    <col min="514" max="514" width="33.25" style="1" customWidth="1"/>
    <col min="515" max="519" width="10.375" style="1"/>
    <col min="520" max="520" width="13.625" style="1" customWidth="1"/>
    <col min="521" max="521" width="10.375" style="1"/>
    <col min="522" max="522" width="14.375" style="1" customWidth="1"/>
    <col min="523" max="523" width="10.375" style="1"/>
    <col min="524" max="524" width="11.625" style="1" bestFit="1" customWidth="1"/>
    <col min="525" max="527" width="10.375" style="1"/>
    <col min="528" max="528" width="12.875" style="1" customWidth="1"/>
    <col min="529" max="529" width="10.375" style="1"/>
    <col min="530" max="530" width="13" style="1" customWidth="1"/>
    <col min="531" max="769" width="10.375" style="1"/>
    <col min="770" max="770" width="33.25" style="1" customWidth="1"/>
    <col min="771" max="775" width="10.375" style="1"/>
    <col min="776" max="776" width="13.625" style="1" customWidth="1"/>
    <col min="777" max="777" width="10.375" style="1"/>
    <col min="778" max="778" width="14.375" style="1" customWidth="1"/>
    <col min="779" max="779" width="10.375" style="1"/>
    <col min="780" max="780" width="11.625" style="1" bestFit="1" customWidth="1"/>
    <col min="781" max="783" width="10.375" style="1"/>
    <col min="784" max="784" width="12.875" style="1" customWidth="1"/>
    <col min="785" max="785" width="10.375" style="1"/>
    <col min="786" max="786" width="13" style="1" customWidth="1"/>
    <col min="787" max="1025" width="10.375" style="1"/>
    <col min="1026" max="1026" width="33.25" style="1" customWidth="1"/>
    <col min="1027" max="1031" width="10.375" style="1"/>
    <col min="1032" max="1032" width="13.625" style="1" customWidth="1"/>
    <col min="1033" max="1033" width="10.375" style="1"/>
    <col min="1034" max="1034" width="14.375" style="1" customWidth="1"/>
    <col min="1035" max="1035" width="10.375" style="1"/>
    <col min="1036" max="1036" width="11.625" style="1" bestFit="1" customWidth="1"/>
    <col min="1037" max="1039" width="10.375" style="1"/>
    <col min="1040" max="1040" width="12.875" style="1" customWidth="1"/>
    <col min="1041" max="1041" width="10.375" style="1"/>
    <col min="1042" max="1042" width="13" style="1" customWidth="1"/>
    <col min="1043" max="1281" width="10.375" style="1"/>
    <col min="1282" max="1282" width="33.25" style="1" customWidth="1"/>
    <col min="1283" max="1287" width="10.375" style="1"/>
    <col min="1288" max="1288" width="13.625" style="1" customWidth="1"/>
    <col min="1289" max="1289" width="10.375" style="1"/>
    <col min="1290" max="1290" width="14.375" style="1" customWidth="1"/>
    <col min="1291" max="1291" width="10.375" style="1"/>
    <col min="1292" max="1292" width="11.625" style="1" bestFit="1" customWidth="1"/>
    <col min="1293" max="1295" width="10.375" style="1"/>
    <col min="1296" max="1296" width="12.875" style="1" customWidth="1"/>
    <col min="1297" max="1297" width="10.375" style="1"/>
    <col min="1298" max="1298" width="13" style="1" customWidth="1"/>
    <col min="1299" max="1537" width="10.375" style="1"/>
    <col min="1538" max="1538" width="33.25" style="1" customWidth="1"/>
    <col min="1539" max="1543" width="10.375" style="1"/>
    <col min="1544" max="1544" width="13.625" style="1" customWidth="1"/>
    <col min="1545" max="1545" width="10.375" style="1"/>
    <col min="1546" max="1546" width="14.375" style="1" customWidth="1"/>
    <col min="1547" max="1547" width="10.375" style="1"/>
    <col min="1548" max="1548" width="11.625" style="1" bestFit="1" customWidth="1"/>
    <col min="1549" max="1551" width="10.375" style="1"/>
    <col min="1552" max="1552" width="12.875" style="1" customWidth="1"/>
    <col min="1553" max="1553" width="10.375" style="1"/>
    <col min="1554" max="1554" width="13" style="1" customWidth="1"/>
    <col min="1555" max="1793" width="10.375" style="1"/>
    <col min="1794" max="1794" width="33.25" style="1" customWidth="1"/>
    <col min="1795" max="1799" width="10.375" style="1"/>
    <col min="1800" max="1800" width="13.625" style="1" customWidth="1"/>
    <col min="1801" max="1801" width="10.375" style="1"/>
    <col min="1802" max="1802" width="14.375" style="1" customWidth="1"/>
    <col min="1803" max="1803" width="10.375" style="1"/>
    <col min="1804" max="1804" width="11.625" style="1" bestFit="1" customWidth="1"/>
    <col min="1805" max="1807" width="10.375" style="1"/>
    <col min="1808" max="1808" width="12.875" style="1" customWidth="1"/>
    <col min="1809" max="1809" width="10.375" style="1"/>
    <col min="1810" max="1810" width="13" style="1" customWidth="1"/>
    <col min="1811" max="2049" width="10.375" style="1"/>
    <col min="2050" max="2050" width="33.25" style="1" customWidth="1"/>
    <col min="2051" max="2055" width="10.375" style="1"/>
    <col min="2056" max="2056" width="13.625" style="1" customWidth="1"/>
    <col min="2057" max="2057" width="10.375" style="1"/>
    <col min="2058" max="2058" width="14.375" style="1" customWidth="1"/>
    <col min="2059" max="2059" width="10.375" style="1"/>
    <col min="2060" max="2060" width="11.625" style="1" bestFit="1" customWidth="1"/>
    <col min="2061" max="2063" width="10.375" style="1"/>
    <col min="2064" max="2064" width="12.875" style="1" customWidth="1"/>
    <col min="2065" max="2065" width="10.375" style="1"/>
    <col min="2066" max="2066" width="13" style="1" customWidth="1"/>
    <col min="2067" max="2305" width="10.375" style="1"/>
    <col min="2306" max="2306" width="33.25" style="1" customWidth="1"/>
    <col min="2307" max="2311" width="10.375" style="1"/>
    <col min="2312" max="2312" width="13.625" style="1" customWidth="1"/>
    <col min="2313" max="2313" width="10.375" style="1"/>
    <col min="2314" max="2314" width="14.375" style="1" customWidth="1"/>
    <col min="2315" max="2315" width="10.375" style="1"/>
    <col min="2316" max="2316" width="11.625" style="1" bestFit="1" customWidth="1"/>
    <col min="2317" max="2319" width="10.375" style="1"/>
    <col min="2320" max="2320" width="12.875" style="1" customWidth="1"/>
    <col min="2321" max="2321" width="10.375" style="1"/>
    <col min="2322" max="2322" width="13" style="1" customWidth="1"/>
    <col min="2323" max="2561" width="10.375" style="1"/>
    <col min="2562" max="2562" width="33.25" style="1" customWidth="1"/>
    <col min="2563" max="2567" width="10.375" style="1"/>
    <col min="2568" max="2568" width="13.625" style="1" customWidth="1"/>
    <col min="2569" max="2569" width="10.375" style="1"/>
    <col min="2570" max="2570" width="14.375" style="1" customWidth="1"/>
    <col min="2571" max="2571" width="10.375" style="1"/>
    <col min="2572" max="2572" width="11.625" style="1" bestFit="1" customWidth="1"/>
    <col min="2573" max="2575" width="10.375" style="1"/>
    <col min="2576" max="2576" width="12.875" style="1" customWidth="1"/>
    <col min="2577" max="2577" width="10.375" style="1"/>
    <col min="2578" max="2578" width="13" style="1" customWidth="1"/>
    <col min="2579" max="2817" width="10.375" style="1"/>
    <col min="2818" max="2818" width="33.25" style="1" customWidth="1"/>
    <col min="2819" max="2823" width="10.375" style="1"/>
    <col min="2824" max="2824" width="13.625" style="1" customWidth="1"/>
    <col min="2825" max="2825" width="10.375" style="1"/>
    <col min="2826" max="2826" width="14.375" style="1" customWidth="1"/>
    <col min="2827" max="2827" width="10.375" style="1"/>
    <col min="2828" max="2828" width="11.625" style="1" bestFit="1" customWidth="1"/>
    <col min="2829" max="2831" width="10.375" style="1"/>
    <col min="2832" max="2832" width="12.875" style="1" customWidth="1"/>
    <col min="2833" max="2833" width="10.375" style="1"/>
    <col min="2834" max="2834" width="13" style="1" customWidth="1"/>
    <col min="2835" max="3073" width="10.375" style="1"/>
    <col min="3074" max="3074" width="33.25" style="1" customWidth="1"/>
    <col min="3075" max="3079" width="10.375" style="1"/>
    <col min="3080" max="3080" width="13.625" style="1" customWidth="1"/>
    <col min="3081" max="3081" width="10.375" style="1"/>
    <col min="3082" max="3082" width="14.375" style="1" customWidth="1"/>
    <col min="3083" max="3083" width="10.375" style="1"/>
    <col min="3084" max="3084" width="11.625" style="1" bestFit="1" customWidth="1"/>
    <col min="3085" max="3087" width="10.375" style="1"/>
    <col min="3088" max="3088" width="12.875" style="1" customWidth="1"/>
    <col min="3089" max="3089" width="10.375" style="1"/>
    <col min="3090" max="3090" width="13" style="1" customWidth="1"/>
    <col min="3091" max="3329" width="10.375" style="1"/>
    <col min="3330" max="3330" width="33.25" style="1" customWidth="1"/>
    <col min="3331" max="3335" width="10.375" style="1"/>
    <col min="3336" max="3336" width="13.625" style="1" customWidth="1"/>
    <col min="3337" max="3337" width="10.375" style="1"/>
    <col min="3338" max="3338" width="14.375" style="1" customWidth="1"/>
    <col min="3339" max="3339" width="10.375" style="1"/>
    <col min="3340" max="3340" width="11.625" style="1" bestFit="1" customWidth="1"/>
    <col min="3341" max="3343" width="10.375" style="1"/>
    <col min="3344" max="3344" width="12.875" style="1" customWidth="1"/>
    <col min="3345" max="3345" width="10.375" style="1"/>
    <col min="3346" max="3346" width="13" style="1" customWidth="1"/>
    <col min="3347" max="3585" width="10.375" style="1"/>
    <col min="3586" max="3586" width="33.25" style="1" customWidth="1"/>
    <col min="3587" max="3591" width="10.375" style="1"/>
    <col min="3592" max="3592" width="13.625" style="1" customWidth="1"/>
    <col min="3593" max="3593" width="10.375" style="1"/>
    <col min="3594" max="3594" width="14.375" style="1" customWidth="1"/>
    <col min="3595" max="3595" width="10.375" style="1"/>
    <col min="3596" max="3596" width="11.625" style="1" bestFit="1" customWidth="1"/>
    <col min="3597" max="3599" width="10.375" style="1"/>
    <col min="3600" max="3600" width="12.875" style="1" customWidth="1"/>
    <col min="3601" max="3601" width="10.375" style="1"/>
    <col min="3602" max="3602" width="13" style="1" customWidth="1"/>
    <col min="3603" max="3841" width="10.375" style="1"/>
    <col min="3842" max="3842" width="33.25" style="1" customWidth="1"/>
    <col min="3843" max="3847" width="10.375" style="1"/>
    <col min="3848" max="3848" width="13.625" style="1" customWidth="1"/>
    <col min="3849" max="3849" width="10.375" style="1"/>
    <col min="3850" max="3850" width="14.375" style="1" customWidth="1"/>
    <col min="3851" max="3851" width="10.375" style="1"/>
    <col min="3852" max="3852" width="11.625" style="1" bestFit="1" customWidth="1"/>
    <col min="3853" max="3855" width="10.375" style="1"/>
    <col min="3856" max="3856" width="12.875" style="1" customWidth="1"/>
    <col min="3857" max="3857" width="10.375" style="1"/>
    <col min="3858" max="3858" width="13" style="1" customWidth="1"/>
    <col min="3859" max="4097" width="10.375" style="1"/>
    <col min="4098" max="4098" width="33.25" style="1" customWidth="1"/>
    <col min="4099" max="4103" width="10.375" style="1"/>
    <col min="4104" max="4104" width="13.625" style="1" customWidth="1"/>
    <col min="4105" max="4105" width="10.375" style="1"/>
    <col min="4106" max="4106" width="14.375" style="1" customWidth="1"/>
    <col min="4107" max="4107" width="10.375" style="1"/>
    <col min="4108" max="4108" width="11.625" style="1" bestFit="1" customWidth="1"/>
    <col min="4109" max="4111" width="10.375" style="1"/>
    <col min="4112" max="4112" width="12.875" style="1" customWidth="1"/>
    <col min="4113" max="4113" width="10.375" style="1"/>
    <col min="4114" max="4114" width="13" style="1" customWidth="1"/>
    <col min="4115" max="4353" width="10.375" style="1"/>
    <col min="4354" max="4354" width="33.25" style="1" customWidth="1"/>
    <col min="4355" max="4359" width="10.375" style="1"/>
    <col min="4360" max="4360" width="13.625" style="1" customWidth="1"/>
    <col min="4361" max="4361" width="10.375" style="1"/>
    <col min="4362" max="4362" width="14.375" style="1" customWidth="1"/>
    <col min="4363" max="4363" width="10.375" style="1"/>
    <col min="4364" max="4364" width="11.625" style="1" bestFit="1" customWidth="1"/>
    <col min="4365" max="4367" width="10.375" style="1"/>
    <col min="4368" max="4368" width="12.875" style="1" customWidth="1"/>
    <col min="4369" max="4369" width="10.375" style="1"/>
    <col min="4370" max="4370" width="13" style="1" customWidth="1"/>
    <col min="4371" max="4609" width="10.375" style="1"/>
    <col min="4610" max="4610" width="33.25" style="1" customWidth="1"/>
    <col min="4611" max="4615" width="10.375" style="1"/>
    <col min="4616" max="4616" width="13.625" style="1" customWidth="1"/>
    <col min="4617" max="4617" width="10.375" style="1"/>
    <col min="4618" max="4618" width="14.375" style="1" customWidth="1"/>
    <col min="4619" max="4619" width="10.375" style="1"/>
    <col min="4620" max="4620" width="11.625" style="1" bestFit="1" customWidth="1"/>
    <col min="4621" max="4623" width="10.375" style="1"/>
    <col min="4624" max="4624" width="12.875" style="1" customWidth="1"/>
    <col min="4625" max="4625" width="10.375" style="1"/>
    <col min="4626" max="4626" width="13" style="1" customWidth="1"/>
    <col min="4627" max="4865" width="10.375" style="1"/>
    <col min="4866" max="4866" width="33.25" style="1" customWidth="1"/>
    <col min="4867" max="4871" width="10.375" style="1"/>
    <col min="4872" max="4872" width="13.625" style="1" customWidth="1"/>
    <col min="4873" max="4873" width="10.375" style="1"/>
    <col min="4874" max="4874" width="14.375" style="1" customWidth="1"/>
    <col min="4875" max="4875" width="10.375" style="1"/>
    <col min="4876" max="4876" width="11.625" style="1" bestFit="1" customWidth="1"/>
    <col min="4877" max="4879" width="10.375" style="1"/>
    <col min="4880" max="4880" width="12.875" style="1" customWidth="1"/>
    <col min="4881" max="4881" width="10.375" style="1"/>
    <col min="4882" max="4882" width="13" style="1" customWidth="1"/>
    <col min="4883" max="5121" width="10.375" style="1"/>
    <col min="5122" max="5122" width="33.25" style="1" customWidth="1"/>
    <col min="5123" max="5127" width="10.375" style="1"/>
    <col min="5128" max="5128" width="13.625" style="1" customWidth="1"/>
    <col min="5129" max="5129" width="10.375" style="1"/>
    <col min="5130" max="5130" width="14.375" style="1" customWidth="1"/>
    <col min="5131" max="5131" width="10.375" style="1"/>
    <col min="5132" max="5132" width="11.625" style="1" bestFit="1" customWidth="1"/>
    <col min="5133" max="5135" width="10.375" style="1"/>
    <col min="5136" max="5136" width="12.875" style="1" customWidth="1"/>
    <col min="5137" max="5137" width="10.375" style="1"/>
    <col min="5138" max="5138" width="13" style="1" customWidth="1"/>
    <col min="5139" max="5377" width="10.375" style="1"/>
    <col min="5378" max="5378" width="33.25" style="1" customWidth="1"/>
    <col min="5379" max="5383" width="10.375" style="1"/>
    <col min="5384" max="5384" width="13.625" style="1" customWidth="1"/>
    <col min="5385" max="5385" width="10.375" style="1"/>
    <col min="5386" max="5386" width="14.375" style="1" customWidth="1"/>
    <col min="5387" max="5387" width="10.375" style="1"/>
    <col min="5388" max="5388" width="11.625" style="1" bestFit="1" customWidth="1"/>
    <col min="5389" max="5391" width="10.375" style="1"/>
    <col min="5392" max="5392" width="12.875" style="1" customWidth="1"/>
    <col min="5393" max="5393" width="10.375" style="1"/>
    <col min="5394" max="5394" width="13" style="1" customWidth="1"/>
    <col min="5395" max="5633" width="10.375" style="1"/>
    <col min="5634" max="5634" width="33.25" style="1" customWidth="1"/>
    <col min="5635" max="5639" width="10.375" style="1"/>
    <col min="5640" max="5640" width="13.625" style="1" customWidth="1"/>
    <col min="5641" max="5641" width="10.375" style="1"/>
    <col min="5642" max="5642" width="14.375" style="1" customWidth="1"/>
    <col min="5643" max="5643" width="10.375" style="1"/>
    <col min="5644" max="5644" width="11.625" style="1" bestFit="1" customWidth="1"/>
    <col min="5645" max="5647" width="10.375" style="1"/>
    <col min="5648" max="5648" width="12.875" style="1" customWidth="1"/>
    <col min="5649" max="5649" width="10.375" style="1"/>
    <col min="5650" max="5650" width="13" style="1" customWidth="1"/>
    <col min="5651" max="5889" width="10.375" style="1"/>
    <col min="5890" max="5890" width="33.25" style="1" customWidth="1"/>
    <col min="5891" max="5895" width="10.375" style="1"/>
    <col min="5896" max="5896" width="13.625" style="1" customWidth="1"/>
    <col min="5897" max="5897" width="10.375" style="1"/>
    <col min="5898" max="5898" width="14.375" style="1" customWidth="1"/>
    <col min="5899" max="5899" width="10.375" style="1"/>
    <col min="5900" max="5900" width="11.625" style="1" bestFit="1" customWidth="1"/>
    <col min="5901" max="5903" width="10.375" style="1"/>
    <col min="5904" max="5904" width="12.875" style="1" customWidth="1"/>
    <col min="5905" max="5905" width="10.375" style="1"/>
    <col min="5906" max="5906" width="13" style="1" customWidth="1"/>
    <col min="5907" max="6145" width="10.375" style="1"/>
    <col min="6146" max="6146" width="33.25" style="1" customWidth="1"/>
    <col min="6147" max="6151" width="10.375" style="1"/>
    <col min="6152" max="6152" width="13.625" style="1" customWidth="1"/>
    <col min="6153" max="6153" width="10.375" style="1"/>
    <col min="6154" max="6154" width="14.375" style="1" customWidth="1"/>
    <col min="6155" max="6155" width="10.375" style="1"/>
    <col min="6156" max="6156" width="11.625" style="1" bestFit="1" customWidth="1"/>
    <col min="6157" max="6159" width="10.375" style="1"/>
    <col min="6160" max="6160" width="12.875" style="1" customWidth="1"/>
    <col min="6161" max="6161" width="10.375" style="1"/>
    <col min="6162" max="6162" width="13" style="1" customWidth="1"/>
    <col min="6163" max="6401" width="10.375" style="1"/>
    <col min="6402" max="6402" width="33.25" style="1" customWidth="1"/>
    <col min="6403" max="6407" width="10.375" style="1"/>
    <col min="6408" max="6408" width="13.625" style="1" customWidth="1"/>
    <col min="6409" max="6409" width="10.375" style="1"/>
    <col min="6410" max="6410" width="14.375" style="1" customWidth="1"/>
    <col min="6411" max="6411" width="10.375" style="1"/>
    <col min="6412" max="6412" width="11.625" style="1" bestFit="1" customWidth="1"/>
    <col min="6413" max="6415" width="10.375" style="1"/>
    <col min="6416" max="6416" width="12.875" style="1" customWidth="1"/>
    <col min="6417" max="6417" width="10.375" style="1"/>
    <col min="6418" max="6418" width="13" style="1" customWidth="1"/>
    <col min="6419" max="6657" width="10.375" style="1"/>
    <col min="6658" max="6658" width="33.25" style="1" customWidth="1"/>
    <col min="6659" max="6663" width="10.375" style="1"/>
    <col min="6664" max="6664" width="13.625" style="1" customWidth="1"/>
    <col min="6665" max="6665" width="10.375" style="1"/>
    <col min="6666" max="6666" width="14.375" style="1" customWidth="1"/>
    <col min="6667" max="6667" width="10.375" style="1"/>
    <col min="6668" max="6668" width="11.625" style="1" bestFit="1" customWidth="1"/>
    <col min="6669" max="6671" width="10.375" style="1"/>
    <col min="6672" max="6672" width="12.875" style="1" customWidth="1"/>
    <col min="6673" max="6673" width="10.375" style="1"/>
    <col min="6674" max="6674" width="13" style="1" customWidth="1"/>
    <col min="6675" max="6913" width="10.375" style="1"/>
    <col min="6914" max="6914" width="33.25" style="1" customWidth="1"/>
    <col min="6915" max="6919" width="10.375" style="1"/>
    <col min="6920" max="6920" width="13.625" style="1" customWidth="1"/>
    <col min="6921" max="6921" width="10.375" style="1"/>
    <col min="6922" max="6922" width="14.375" style="1" customWidth="1"/>
    <col min="6923" max="6923" width="10.375" style="1"/>
    <col min="6924" max="6924" width="11.625" style="1" bestFit="1" customWidth="1"/>
    <col min="6925" max="6927" width="10.375" style="1"/>
    <col min="6928" max="6928" width="12.875" style="1" customWidth="1"/>
    <col min="6929" max="6929" width="10.375" style="1"/>
    <col min="6930" max="6930" width="13" style="1" customWidth="1"/>
    <col min="6931" max="7169" width="10.375" style="1"/>
    <col min="7170" max="7170" width="33.25" style="1" customWidth="1"/>
    <col min="7171" max="7175" width="10.375" style="1"/>
    <col min="7176" max="7176" width="13.625" style="1" customWidth="1"/>
    <col min="7177" max="7177" width="10.375" style="1"/>
    <col min="7178" max="7178" width="14.375" style="1" customWidth="1"/>
    <col min="7179" max="7179" width="10.375" style="1"/>
    <col min="7180" max="7180" width="11.625" style="1" bestFit="1" customWidth="1"/>
    <col min="7181" max="7183" width="10.375" style="1"/>
    <col min="7184" max="7184" width="12.875" style="1" customWidth="1"/>
    <col min="7185" max="7185" width="10.375" style="1"/>
    <col min="7186" max="7186" width="13" style="1" customWidth="1"/>
    <col min="7187" max="7425" width="10.375" style="1"/>
    <col min="7426" max="7426" width="33.25" style="1" customWidth="1"/>
    <col min="7427" max="7431" width="10.375" style="1"/>
    <col min="7432" max="7432" width="13.625" style="1" customWidth="1"/>
    <col min="7433" max="7433" width="10.375" style="1"/>
    <col min="7434" max="7434" width="14.375" style="1" customWidth="1"/>
    <col min="7435" max="7435" width="10.375" style="1"/>
    <col min="7436" max="7436" width="11.625" style="1" bestFit="1" customWidth="1"/>
    <col min="7437" max="7439" width="10.375" style="1"/>
    <col min="7440" max="7440" width="12.875" style="1" customWidth="1"/>
    <col min="7441" max="7441" width="10.375" style="1"/>
    <col min="7442" max="7442" width="13" style="1" customWidth="1"/>
    <col min="7443" max="7681" width="10.375" style="1"/>
    <col min="7682" max="7682" width="33.25" style="1" customWidth="1"/>
    <col min="7683" max="7687" width="10.375" style="1"/>
    <col min="7688" max="7688" width="13.625" style="1" customWidth="1"/>
    <col min="7689" max="7689" width="10.375" style="1"/>
    <col min="7690" max="7690" width="14.375" style="1" customWidth="1"/>
    <col min="7691" max="7691" width="10.375" style="1"/>
    <col min="7692" max="7692" width="11.625" style="1" bestFit="1" customWidth="1"/>
    <col min="7693" max="7695" width="10.375" style="1"/>
    <col min="7696" max="7696" width="12.875" style="1" customWidth="1"/>
    <col min="7697" max="7697" width="10.375" style="1"/>
    <col min="7698" max="7698" width="13" style="1" customWidth="1"/>
    <col min="7699" max="7937" width="10.375" style="1"/>
    <col min="7938" max="7938" width="33.25" style="1" customWidth="1"/>
    <col min="7939" max="7943" width="10.375" style="1"/>
    <col min="7944" max="7944" width="13.625" style="1" customWidth="1"/>
    <col min="7945" max="7945" width="10.375" style="1"/>
    <col min="7946" max="7946" width="14.375" style="1" customWidth="1"/>
    <col min="7947" max="7947" width="10.375" style="1"/>
    <col min="7948" max="7948" width="11.625" style="1" bestFit="1" customWidth="1"/>
    <col min="7949" max="7951" width="10.375" style="1"/>
    <col min="7952" max="7952" width="12.875" style="1" customWidth="1"/>
    <col min="7953" max="7953" width="10.375" style="1"/>
    <col min="7954" max="7954" width="13" style="1" customWidth="1"/>
    <col min="7955" max="8193" width="10.375" style="1"/>
    <col min="8194" max="8194" width="33.25" style="1" customWidth="1"/>
    <col min="8195" max="8199" width="10.375" style="1"/>
    <col min="8200" max="8200" width="13.625" style="1" customWidth="1"/>
    <col min="8201" max="8201" width="10.375" style="1"/>
    <col min="8202" max="8202" width="14.375" style="1" customWidth="1"/>
    <col min="8203" max="8203" width="10.375" style="1"/>
    <col min="8204" max="8204" width="11.625" style="1" bestFit="1" customWidth="1"/>
    <col min="8205" max="8207" width="10.375" style="1"/>
    <col min="8208" max="8208" width="12.875" style="1" customWidth="1"/>
    <col min="8209" max="8209" width="10.375" style="1"/>
    <col min="8210" max="8210" width="13" style="1" customWidth="1"/>
    <col min="8211" max="8449" width="10.375" style="1"/>
    <col min="8450" max="8450" width="33.25" style="1" customWidth="1"/>
    <col min="8451" max="8455" width="10.375" style="1"/>
    <col min="8456" max="8456" width="13.625" style="1" customWidth="1"/>
    <col min="8457" max="8457" width="10.375" style="1"/>
    <col min="8458" max="8458" width="14.375" style="1" customWidth="1"/>
    <col min="8459" max="8459" width="10.375" style="1"/>
    <col min="8460" max="8460" width="11.625" style="1" bestFit="1" customWidth="1"/>
    <col min="8461" max="8463" width="10.375" style="1"/>
    <col min="8464" max="8464" width="12.875" style="1" customWidth="1"/>
    <col min="8465" max="8465" width="10.375" style="1"/>
    <col min="8466" max="8466" width="13" style="1" customWidth="1"/>
    <col min="8467" max="8705" width="10.375" style="1"/>
    <col min="8706" max="8706" width="33.25" style="1" customWidth="1"/>
    <col min="8707" max="8711" width="10.375" style="1"/>
    <col min="8712" max="8712" width="13.625" style="1" customWidth="1"/>
    <col min="8713" max="8713" width="10.375" style="1"/>
    <col min="8714" max="8714" width="14.375" style="1" customWidth="1"/>
    <col min="8715" max="8715" width="10.375" style="1"/>
    <col min="8716" max="8716" width="11.625" style="1" bestFit="1" customWidth="1"/>
    <col min="8717" max="8719" width="10.375" style="1"/>
    <col min="8720" max="8720" width="12.875" style="1" customWidth="1"/>
    <col min="8721" max="8721" width="10.375" style="1"/>
    <col min="8722" max="8722" width="13" style="1" customWidth="1"/>
    <col min="8723" max="8961" width="10.375" style="1"/>
    <col min="8962" max="8962" width="33.25" style="1" customWidth="1"/>
    <col min="8963" max="8967" width="10.375" style="1"/>
    <col min="8968" max="8968" width="13.625" style="1" customWidth="1"/>
    <col min="8969" max="8969" width="10.375" style="1"/>
    <col min="8970" max="8970" width="14.375" style="1" customWidth="1"/>
    <col min="8971" max="8971" width="10.375" style="1"/>
    <col min="8972" max="8972" width="11.625" style="1" bestFit="1" customWidth="1"/>
    <col min="8973" max="8975" width="10.375" style="1"/>
    <col min="8976" max="8976" width="12.875" style="1" customWidth="1"/>
    <col min="8977" max="8977" width="10.375" style="1"/>
    <col min="8978" max="8978" width="13" style="1" customWidth="1"/>
    <col min="8979" max="9217" width="10.375" style="1"/>
    <col min="9218" max="9218" width="33.25" style="1" customWidth="1"/>
    <col min="9219" max="9223" width="10.375" style="1"/>
    <col min="9224" max="9224" width="13.625" style="1" customWidth="1"/>
    <col min="9225" max="9225" width="10.375" style="1"/>
    <col min="9226" max="9226" width="14.375" style="1" customWidth="1"/>
    <col min="9227" max="9227" width="10.375" style="1"/>
    <col min="9228" max="9228" width="11.625" style="1" bestFit="1" customWidth="1"/>
    <col min="9229" max="9231" width="10.375" style="1"/>
    <col min="9232" max="9232" width="12.875" style="1" customWidth="1"/>
    <col min="9233" max="9233" width="10.375" style="1"/>
    <col min="9234" max="9234" width="13" style="1" customWidth="1"/>
    <col min="9235" max="9473" width="10.375" style="1"/>
    <col min="9474" max="9474" width="33.25" style="1" customWidth="1"/>
    <col min="9475" max="9479" width="10.375" style="1"/>
    <col min="9480" max="9480" width="13.625" style="1" customWidth="1"/>
    <col min="9481" max="9481" width="10.375" style="1"/>
    <col min="9482" max="9482" width="14.375" style="1" customWidth="1"/>
    <col min="9483" max="9483" width="10.375" style="1"/>
    <col min="9484" max="9484" width="11.625" style="1" bestFit="1" customWidth="1"/>
    <col min="9485" max="9487" width="10.375" style="1"/>
    <col min="9488" max="9488" width="12.875" style="1" customWidth="1"/>
    <col min="9489" max="9489" width="10.375" style="1"/>
    <col min="9490" max="9490" width="13" style="1" customWidth="1"/>
    <col min="9491" max="9729" width="10.375" style="1"/>
    <col min="9730" max="9730" width="33.25" style="1" customWidth="1"/>
    <col min="9731" max="9735" width="10.375" style="1"/>
    <col min="9736" max="9736" width="13.625" style="1" customWidth="1"/>
    <col min="9737" max="9737" width="10.375" style="1"/>
    <col min="9738" max="9738" width="14.375" style="1" customWidth="1"/>
    <col min="9739" max="9739" width="10.375" style="1"/>
    <col min="9740" max="9740" width="11.625" style="1" bestFit="1" customWidth="1"/>
    <col min="9741" max="9743" width="10.375" style="1"/>
    <col min="9744" max="9744" width="12.875" style="1" customWidth="1"/>
    <col min="9745" max="9745" width="10.375" style="1"/>
    <col min="9746" max="9746" width="13" style="1" customWidth="1"/>
    <col min="9747" max="9985" width="10.375" style="1"/>
    <col min="9986" max="9986" width="33.25" style="1" customWidth="1"/>
    <col min="9987" max="9991" width="10.375" style="1"/>
    <col min="9992" max="9992" width="13.625" style="1" customWidth="1"/>
    <col min="9993" max="9993" width="10.375" style="1"/>
    <col min="9994" max="9994" width="14.375" style="1" customWidth="1"/>
    <col min="9995" max="9995" width="10.375" style="1"/>
    <col min="9996" max="9996" width="11.625" style="1" bestFit="1" customWidth="1"/>
    <col min="9997" max="9999" width="10.375" style="1"/>
    <col min="10000" max="10000" width="12.875" style="1" customWidth="1"/>
    <col min="10001" max="10001" width="10.375" style="1"/>
    <col min="10002" max="10002" width="13" style="1" customWidth="1"/>
    <col min="10003" max="10241" width="10.375" style="1"/>
    <col min="10242" max="10242" width="33.25" style="1" customWidth="1"/>
    <col min="10243" max="10247" width="10.375" style="1"/>
    <col min="10248" max="10248" width="13.625" style="1" customWidth="1"/>
    <col min="10249" max="10249" width="10.375" style="1"/>
    <col min="10250" max="10250" width="14.375" style="1" customWidth="1"/>
    <col min="10251" max="10251" width="10.375" style="1"/>
    <col min="10252" max="10252" width="11.625" style="1" bestFit="1" customWidth="1"/>
    <col min="10253" max="10255" width="10.375" style="1"/>
    <col min="10256" max="10256" width="12.875" style="1" customWidth="1"/>
    <col min="10257" max="10257" width="10.375" style="1"/>
    <col min="10258" max="10258" width="13" style="1" customWidth="1"/>
    <col min="10259" max="10497" width="10.375" style="1"/>
    <col min="10498" max="10498" width="33.25" style="1" customWidth="1"/>
    <col min="10499" max="10503" width="10.375" style="1"/>
    <col min="10504" max="10504" width="13.625" style="1" customWidth="1"/>
    <col min="10505" max="10505" width="10.375" style="1"/>
    <col min="10506" max="10506" width="14.375" style="1" customWidth="1"/>
    <col min="10507" max="10507" width="10.375" style="1"/>
    <col min="10508" max="10508" width="11.625" style="1" bestFit="1" customWidth="1"/>
    <col min="10509" max="10511" width="10.375" style="1"/>
    <col min="10512" max="10512" width="12.875" style="1" customWidth="1"/>
    <col min="10513" max="10513" width="10.375" style="1"/>
    <col min="10514" max="10514" width="13" style="1" customWidth="1"/>
    <col min="10515" max="10753" width="10.375" style="1"/>
    <col min="10754" max="10754" width="33.25" style="1" customWidth="1"/>
    <col min="10755" max="10759" width="10.375" style="1"/>
    <col min="10760" max="10760" width="13.625" style="1" customWidth="1"/>
    <col min="10761" max="10761" width="10.375" style="1"/>
    <col min="10762" max="10762" width="14.375" style="1" customWidth="1"/>
    <col min="10763" max="10763" width="10.375" style="1"/>
    <col min="10764" max="10764" width="11.625" style="1" bestFit="1" customWidth="1"/>
    <col min="10765" max="10767" width="10.375" style="1"/>
    <col min="10768" max="10768" width="12.875" style="1" customWidth="1"/>
    <col min="10769" max="10769" width="10.375" style="1"/>
    <col min="10770" max="10770" width="13" style="1" customWidth="1"/>
    <col min="10771" max="11009" width="10.375" style="1"/>
    <col min="11010" max="11010" width="33.25" style="1" customWidth="1"/>
    <col min="11011" max="11015" width="10.375" style="1"/>
    <col min="11016" max="11016" width="13.625" style="1" customWidth="1"/>
    <col min="11017" max="11017" width="10.375" style="1"/>
    <col min="11018" max="11018" width="14.375" style="1" customWidth="1"/>
    <col min="11019" max="11019" width="10.375" style="1"/>
    <col min="11020" max="11020" width="11.625" style="1" bestFit="1" customWidth="1"/>
    <col min="11021" max="11023" width="10.375" style="1"/>
    <col min="11024" max="11024" width="12.875" style="1" customWidth="1"/>
    <col min="11025" max="11025" width="10.375" style="1"/>
    <col min="11026" max="11026" width="13" style="1" customWidth="1"/>
    <col min="11027" max="11265" width="10.375" style="1"/>
    <col min="11266" max="11266" width="33.25" style="1" customWidth="1"/>
    <col min="11267" max="11271" width="10.375" style="1"/>
    <col min="11272" max="11272" width="13.625" style="1" customWidth="1"/>
    <col min="11273" max="11273" width="10.375" style="1"/>
    <col min="11274" max="11274" width="14.375" style="1" customWidth="1"/>
    <col min="11275" max="11275" width="10.375" style="1"/>
    <col min="11276" max="11276" width="11.625" style="1" bestFit="1" customWidth="1"/>
    <col min="11277" max="11279" width="10.375" style="1"/>
    <col min="11280" max="11280" width="12.875" style="1" customWidth="1"/>
    <col min="11281" max="11281" width="10.375" style="1"/>
    <col min="11282" max="11282" width="13" style="1" customWidth="1"/>
    <col min="11283" max="11521" width="10.375" style="1"/>
    <col min="11522" max="11522" width="33.25" style="1" customWidth="1"/>
    <col min="11523" max="11527" width="10.375" style="1"/>
    <col min="11528" max="11528" width="13.625" style="1" customWidth="1"/>
    <col min="11529" max="11529" width="10.375" style="1"/>
    <col min="11530" max="11530" width="14.375" style="1" customWidth="1"/>
    <col min="11531" max="11531" width="10.375" style="1"/>
    <col min="11532" max="11532" width="11.625" style="1" bestFit="1" customWidth="1"/>
    <col min="11533" max="11535" width="10.375" style="1"/>
    <col min="11536" max="11536" width="12.875" style="1" customWidth="1"/>
    <col min="11537" max="11537" width="10.375" style="1"/>
    <col min="11538" max="11538" width="13" style="1" customWidth="1"/>
    <col min="11539" max="11777" width="10.375" style="1"/>
    <col min="11778" max="11778" width="33.25" style="1" customWidth="1"/>
    <col min="11779" max="11783" width="10.375" style="1"/>
    <col min="11784" max="11784" width="13.625" style="1" customWidth="1"/>
    <col min="11785" max="11785" width="10.375" style="1"/>
    <col min="11786" max="11786" width="14.375" style="1" customWidth="1"/>
    <col min="11787" max="11787" width="10.375" style="1"/>
    <col min="11788" max="11788" width="11.625" style="1" bestFit="1" customWidth="1"/>
    <col min="11789" max="11791" width="10.375" style="1"/>
    <col min="11792" max="11792" width="12.875" style="1" customWidth="1"/>
    <col min="11793" max="11793" width="10.375" style="1"/>
    <col min="11794" max="11794" width="13" style="1" customWidth="1"/>
    <col min="11795" max="12033" width="10.375" style="1"/>
    <col min="12034" max="12034" width="33.25" style="1" customWidth="1"/>
    <col min="12035" max="12039" width="10.375" style="1"/>
    <col min="12040" max="12040" width="13.625" style="1" customWidth="1"/>
    <col min="12041" max="12041" width="10.375" style="1"/>
    <col min="12042" max="12042" width="14.375" style="1" customWidth="1"/>
    <col min="12043" max="12043" width="10.375" style="1"/>
    <col min="12044" max="12044" width="11.625" style="1" bestFit="1" customWidth="1"/>
    <col min="12045" max="12047" width="10.375" style="1"/>
    <col min="12048" max="12048" width="12.875" style="1" customWidth="1"/>
    <col min="12049" max="12049" width="10.375" style="1"/>
    <col min="12050" max="12050" width="13" style="1" customWidth="1"/>
    <col min="12051" max="12289" width="10.375" style="1"/>
    <col min="12290" max="12290" width="33.25" style="1" customWidth="1"/>
    <col min="12291" max="12295" width="10.375" style="1"/>
    <col min="12296" max="12296" width="13.625" style="1" customWidth="1"/>
    <col min="12297" max="12297" width="10.375" style="1"/>
    <col min="12298" max="12298" width="14.375" style="1" customWidth="1"/>
    <col min="12299" max="12299" width="10.375" style="1"/>
    <col min="12300" max="12300" width="11.625" style="1" bestFit="1" customWidth="1"/>
    <col min="12301" max="12303" width="10.375" style="1"/>
    <col min="12304" max="12304" width="12.875" style="1" customWidth="1"/>
    <col min="12305" max="12305" width="10.375" style="1"/>
    <col min="12306" max="12306" width="13" style="1" customWidth="1"/>
    <col min="12307" max="12545" width="10.375" style="1"/>
    <col min="12546" max="12546" width="33.25" style="1" customWidth="1"/>
    <col min="12547" max="12551" width="10.375" style="1"/>
    <col min="12552" max="12552" width="13.625" style="1" customWidth="1"/>
    <col min="12553" max="12553" width="10.375" style="1"/>
    <col min="12554" max="12554" width="14.375" style="1" customWidth="1"/>
    <col min="12555" max="12555" width="10.375" style="1"/>
    <col min="12556" max="12556" width="11.625" style="1" bestFit="1" customWidth="1"/>
    <col min="12557" max="12559" width="10.375" style="1"/>
    <col min="12560" max="12560" width="12.875" style="1" customWidth="1"/>
    <col min="12561" max="12561" width="10.375" style="1"/>
    <col min="12562" max="12562" width="13" style="1" customWidth="1"/>
    <col min="12563" max="12801" width="10.375" style="1"/>
    <col min="12802" max="12802" width="33.25" style="1" customWidth="1"/>
    <col min="12803" max="12807" width="10.375" style="1"/>
    <col min="12808" max="12808" width="13.625" style="1" customWidth="1"/>
    <col min="12809" max="12809" width="10.375" style="1"/>
    <col min="12810" max="12810" width="14.375" style="1" customWidth="1"/>
    <col min="12811" max="12811" width="10.375" style="1"/>
    <col min="12812" max="12812" width="11.625" style="1" bestFit="1" customWidth="1"/>
    <col min="12813" max="12815" width="10.375" style="1"/>
    <col min="12816" max="12816" width="12.875" style="1" customWidth="1"/>
    <col min="12817" max="12817" width="10.375" style="1"/>
    <col min="12818" max="12818" width="13" style="1" customWidth="1"/>
    <col min="12819" max="13057" width="10.375" style="1"/>
    <col min="13058" max="13058" width="33.25" style="1" customWidth="1"/>
    <col min="13059" max="13063" width="10.375" style="1"/>
    <col min="13064" max="13064" width="13.625" style="1" customWidth="1"/>
    <col min="13065" max="13065" width="10.375" style="1"/>
    <col min="13066" max="13066" width="14.375" style="1" customWidth="1"/>
    <col min="13067" max="13067" width="10.375" style="1"/>
    <col min="13068" max="13068" width="11.625" style="1" bestFit="1" customWidth="1"/>
    <col min="13069" max="13071" width="10.375" style="1"/>
    <col min="13072" max="13072" width="12.875" style="1" customWidth="1"/>
    <col min="13073" max="13073" width="10.375" style="1"/>
    <col min="13074" max="13074" width="13" style="1" customWidth="1"/>
    <col min="13075" max="13313" width="10.375" style="1"/>
    <col min="13314" max="13314" width="33.25" style="1" customWidth="1"/>
    <col min="13315" max="13319" width="10.375" style="1"/>
    <col min="13320" max="13320" width="13.625" style="1" customWidth="1"/>
    <col min="13321" max="13321" width="10.375" style="1"/>
    <col min="13322" max="13322" width="14.375" style="1" customWidth="1"/>
    <col min="13323" max="13323" width="10.375" style="1"/>
    <col min="13324" max="13324" width="11.625" style="1" bestFit="1" customWidth="1"/>
    <col min="13325" max="13327" width="10.375" style="1"/>
    <col min="13328" max="13328" width="12.875" style="1" customWidth="1"/>
    <col min="13329" max="13329" width="10.375" style="1"/>
    <col min="13330" max="13330" width="13" style="1" customWidth="1"/>
    <col min="13331" max="13569" width="10.375" style="1"/>
    <col min="13570" max="13570" width="33.25" style="1" customWidth="1"/>
    <col min="13571" max="13575" width="10.375" style="1"/>
    <col min="13576" max="13576" width="13.625" style="1" customWidth="1"/>
    <col min="13577" max="13577" width="10.375" style="1"/>
    <col min="13578" max="13578" width="14.375" style="1" customWidth="1"/>
    <col min="13579" max="13579" width="10.375" style="1"/>
    <col min="13580" max="13580" width="11.625" style="1" bestFit="1" customWidth="1"/>
    <col min="13581" max="13583" width="10.375" style="1"/>
    <col min="13584" max="13584" width="12.875" style="1" customWidth="1"/>
    <col min="13585" max="13585" width="10.375" style="1"/>
    <col min="13586" max="13586" width="13" style="1" customWidth="1"/>
    <col min="13587" max="13825" width="10.375" style="1"/>
    <col min="13826" max="13826" width="33.25" style="1" customWidth="1"/>
    <col min="13827" max="13831" width="10.375" style="1"/>
    <col min="13832" max="13832" width="13.625" style="1" customWidth="1"/>
    <col min="13833" max="13833" width="10.375" style="1"/>
    <col min="13834" max="13834" width="14.375" style="1" customWidth="1"/>
    <col min="13835" max="13835" width="10.375" style="1"/>
    <col min="13836" max="13836" width="11.625" style="1" bestFit="1" customWidth="1"/>
    <col min="13837" max="13839" width="10.375" style="1"/>
    <col min="13840" max="13840" width="12.875" style="1" customWidth="1"/>
    <col min="13841" max="13841" width="10.375" style="1"/>
    <col min="13842" max="13842" width="13" style="1" customWidth="1"/>
    <col min="13843" max="14081" width="10.375" style="1"/>
    <col min="14082" max="14082" width="33.25" style="1" customWidth="1"/>
    <col min="14083" max="14087" width="10.375" style="1"/>
    <col min="14088" max="14088" width="13.625" style="1" customWidth="1"/>
    <col min="14089" max="14089" width="10.375" style="1"/>
    <col min="14090" max="14090" width="14.375" style="1" customWidth="1"/>
    <col min="14091" max="14091" width="10.375" style="1"/>
    <col min="14092" max="14092" width="11.625" style="1" bestFit="1" customWidth="1"/>
    <col min="14093" max="14095" width="10.375" style="1"/>
    <col min="14096" max="14096" width="12.875" style="1" customWidth="1"/>
    <col min="14097" max="14097" width="10.375" style="1"/>
    <col min="14098" max="14098" width="13" style="1" customWidth="1"/>
    <col min="14099" max="14337" width="10.375" style="1"/>
    <col min="14338" max="14338" width="33.25" style="1" customWidth="1"/>
    <col min="14339" max="14343" width="10.375" style="1"/>
    <col min="14344" max="14344" width="13.625" style="1" customWidth="1"/>
    <col min="14345" max="14345" width="10.375" style="1"/>
    <col min="14346" max="14346" width="14.375" style="1" customWidth="1"/>
    <col min="14347" max="14347" width="10.375" style="1"/>
    <col min="14348" max="14348" width="11.625" style="1" bestFit="1" customWidth="1"/>
    <col min="14349" max="14351" width="10.375" style="1"/>
    <col min="14352" max="14352" width="12.875" style="1" customWidth="1"/>
    <col min="14353" max="14353" width="10.375" style="1"/>
    <col min="14354" max="14354" width="13" style="1" customWidth="1"/>
    <col min="14355" max="14593" width="10.375" style="1"/>
    <col min="14594" max="14594" width="33.25" style="1" customWidth="1"/>
    <col min="14595" max="14599" width="10.375" style="1"/>
    <col min="14600" max="14600" width="13.625" style="1" customWidth="1"/>
    <col min="14601" max="14601" width="10.375" style="1"/>
    <col min="14602" max="14602" width="14.375" style="1" customWidth="1"/>
    <col min="14603" max="14603" width="10.375" style="1"/>
    <col min="14604" max="14604" width="11.625" style="1" bestFit="1" customWidth="1"/>
    <col min="14605" max="14607" width="10.375" style="1"/>
    <col min="14608" max="14608" width="12.875" style="1" customWidth="1"/>
    <col min="14609" max="14609" width="10.375" style="1"/>
    <col min="14610" max="14610" width="13" style="1" customWidth="1"/>
    <col min="14611" max="14849" width="10.375" style="1"/>
    <col min="14850" max="14850" width="33.25" style="1" customWidth="1"/>
    <col min="14851" max="14855" width="10.375" style="1"/>
    <col min="14856" max="14856" width="13.625" style="1" customWidth="1"/>
    <col min="14857" max="14857" width="10.375" style="1"/>
    <col min="14858" max="14858" width="14.375" style="1" customWidth="1"/>
    <col min="14859" max="14859" width="10.375" style="1"/>
    <col min="14860" max="14860" width="11.625" style="1" bestFit="1" customWidth="1"/>
    <col min="14861" max="14863" width="10.375" style="1"/>
    <col min="14864" max="14864" width="12.875" style="1" customWidth="1"/>
    <col min="14865" max="14865" width="10.375" style="1"/>
    <col min="14866" max="14866" width="13" style="1" customWidth="1"/>
    <col min="14867" max="15105" width="10.375" style="1"/>
    <col min="15106" max="15106" width="33.25" style="1" customWidth="1"/>
    <col min="15107" max="15111" width="10.375" style="1"/>
    <col min="15112" max="15112" width="13.625" style="1" customWidth="1"/>
    <col min="15113" max="15113" width="10.375" style="1"/>
    <col min="15114" max="15114" width="14.375" style="1" customWidth="1"/>
    <col min="15115" max="15115" width="10.375" style="1"/>
    <col min="15116" max="15116" width="11.625" style="1" bestFit="1" customWidth="1"/>
    <col min="15117" max="15119" width="10.375" style="1"/>
    <col min="15120" max="15120" width="12.875" style="1" customWidth="1"/>
    <col min="15121" max="15121" width="10.375" style="1"/>
    <col min="15122" max="15122" width="13" style="1" customWidth="1"/>
    <col min="15123" max="15361" width="10.375" style="1"/>
    <col min="15362" max="15362" width="33.25" style="1" customWidth="1"/>
    <col min="15363" max="15367" width="10.375" style="1"/>
    <col min="15368" max="15368" width="13.625" style="1" customWidth="1"/>
    <col min="15369" max="15369" width="10.375" style="1"/>
    <col min="15370" max="15370" width="14.375" style="1" customWidth="1"/>
    <col min="15371" max="15371" width="10.375" style="1"/>
    <col min="15372" max="15372" width="11.625" style="1" bestFit="1" customWidth="1"/>
    <col min="15373" max="15375" width="10.375" style="1"/>
    <col min="15376" max="15376" width="12.875" style="1" customWidth="1"/>
    <col min="15377" max="15377" width="10.375" style="1"/>
    <col min="15378" max="15378" width="13" style="1" customWidth="1"/>
    <col min="15379" max="15617" width="10.375" style="1"/>
    <col min="15618" max="15618" width="33.25" style="1" customWidth="1"/>
    <col min="15619" max="15623" width="10.375" style="1"/>
    <col min="15624" max="15624" width="13.625" style="1" customWidth="1"/>
    <col min="15625" max="15625" width="10.375" style="1"/>
    <col min="15626" max="15626" width="14.375" style="1" customWidth="1"/>
    <col min="15627" max="15627" width="10.375" style="1"/>
    <col min="15628" max="15628" width="11.625" style="1" bestFit="1" customWidth="1"/>
    <col min="15629" max="15631" width="10.375" style="1"/>
    <col min="15632" max="15632" width="12.875" style="1" customWidth="1"/>
    <col min="15633" max="15633" width="10.375" style="1"/>
    <col min="15634" max="15634" width="13" style="1" customWidth="1"/>
    <col min="15635" max="15873" width="10.375" style="1"/>
    <col min="15874" max="15874" width="33.25" style="1" customWidth="1"/>
    <col min="15875" max="15879" width="10.375" style="1"/>
    <col min="15880" max="15880" width="13.625" style="1" customWidth="1"/>
    <col min="15881" max="15881" width="10.375" style="1"/>
    <col min="15882" max="15882" width="14.375" style="1" customWidth="1"/>
    <col min="15883" max="15883" width="10.375" style="1"/>
    <col min="15884" max="15884" width="11.625" style="1" bestFit="1" customWidth="1"/>
    <col min="15885" max="15887" width="10.375" style="1"/>
    <col min="15888" max="15888" width="12.875" style="1" customWidth="1"/>
    <col min="15889" max="15889" width="10.375" style="1"/>
    <col min="15890" max="15890" width="13" style="1" customWidth="1"/>
    <col min="15891" max="16129" width="10.375" style="1"/>
    <col min="16130" max="16130" width="33.25" style="1" customWidth="1"/>
    <col min="16131" max="16135" width="10.375" style="1"/>
    <col min="16136" max="16136" width="13.625" style="1" customWidth="1"/>
    <col min="16137" max="16137" width="10.375" style="1"/>
    <col min="16138" max="16138" width="14.375" style="1" customWidth="1"/>
    <col min="16139" max="16139" width="10.375" style="1"/>
    <col min="16140" max="16140" width="11.625" style="1" bestFit="1" customWidth="1"/>
    <col min="16141" max="16143" width="10.375" style="1"/>
    <col min="16144" max="16144" width="12.875" style="1" customWidth="1"/>
    <col min="16145" max="16145" width="10.375" style="1"/>
    <col min="16146" max="16146" width="13" style="1" customWidth="1"/>
    <col min="16147" max="16384" width="10.375" style="1"/>
  </cols>
  <sheetData>
    <row r="1" spans="1:18" ht="18.600000000000001">
      <c r="A1" s="175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</row>
    <row r="2" spans="1:18" ht="18.600000000000001">
      <c r="A2" s="176" t="s">
        <v>1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</row>
    <row r="3" spans="1:18" ht="18.600000000000001">
      <c r="A3" s="177" t="s">
        <v>60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</row>
    <row r="4" spans="1:18" ht="18.600000000000001">
      <c r="A4" s="178" t="s">
        <v>3</v>
      </c>
      <c r="B4" s="173" t="s">
        <v>4</v>
      </c>
      <c r="C4" s="173" t="s">
        <v>5</v>
      </c>
      <c r="D4" s="211" t="s">
        <v>6</v>
      </c>
      <c r="E4" s="182" t="s">
        <v>7</v>
      </c>
      <c r="F4" s="183"/>
      <c r="G4" s="183"/>
      <c r="H4" s="183"/>
      <c r="I4" s="183"/>
      <c r="J4" s="184"/>
      <c r="K4" s="214" t="s">
        <v>8</v>
      </c>
      <c r="L4" s="215"/>
      <c r="M4" s="216"/>
      <c r="N4" s="182" t="s">
        <v>9</v>
      </c>
      <c r="O4" s="183"/>
      <c r="P4" s="183"/>
      <c r="Q4" s="183"/>
      <c r="R4" s="184"/>
    </row>
    <row r="5" spans="1:18" ht="18.600000000000001">
      <c r="A5" s="179"/>
      <c r="B5" s="181"/>
      <c r="C5" s="181"/>
      <c r="D5" s="212"/>
      <c r="E5" s="178" t="s">
        <v>10</v>
      </c>
      <c r="F5" s="187" t="s">
        <v>11</v>
      </c>
      <c r="G5" s="187" t="s">
        <v>12</v>
      </c>
      <c r="H5" s="182" t="s">
        <v>13</v>
      </c>
      <c r="I5" s="183"/>
      <c r="J5" s="184"/>
      <c r="K5" s="207" t="s">
        <v>14</v>
      </c>
      <c r="L5" s="209" t="s">
        <v>15</v>
      </c>
      <c r="M5" s="205" t="s">
        <v>16</v>
      </c>
      <c r="N5" s="185" t="s">
        <v>10</v>
      </c>
      <c r="O5" s="187" t="s">
        <v>12</v>
      </c>
      <c r="P5" s="182" t="s">
        <v>13</v>
      </c>
      <c r="Q5" s="183"/>
      <c r="R5" s="184"/>
    </row>
    <row r="6" spans="1:18" ht="16.8">
      <c r="A6" s="180"/>
      <c r="B6" s="174"/>
      <c r="C6" s="174"/>
      <c r="D6" s="213"/>
      <c r="E6" s="180"/>
      <c r="F6" s="188"/>
      <c r="G6" s="188"/>
      <c r="H6" s="5" t="s">
        <v>17</v>
      </c>
      <c r="I6" s="6" t="s">
        <v>18</v>
      </c>
      <c r="J6" s="7" t="s">
        <v>19</v>
      </c>
      <c r="K6" s="208"/>
      <c r="L6" s="210"/>
      <c r="M6" s="206"/>
      <c r="N6" s="186"/>
      <c r="O6" s="188"/>
      <c r="P6" s="5" t="s">
        <v>17</v>
      </c>
      <c r="Q6" s="6" t="s">
        <v>18</v>
      </c>
      <c r="R6" s="7" t="s">
        <v>19</v>
      </c>
    </row>
    <row r="7" spans="1:18" ht="18.600000000000001">
      <c r="A7" s="8"/>
      <c r="B7" s="9" t="s">
        <v>20</v>
      </c>
      <c r="C7" s="10"/>
      <c r="D7" s="11"/>
      <c r="E7" s="12"/>
      <c r="F7" s="12"/>
      <c r="G7" s="13"/>
      <c r="H7" s="14"/>
      <c r="I7" s="15"/>
      <c r="J7" s="11"/>
      <c r="K7" s="16"/>
      <c r="L7" s="17"/>
      <c r="M7" s="18"/>
      <c r="N7" s="19"/>
      <c r="O7" s="13"/>
      <c r="P7" s="13"/>
      <c r="Q7" s="13"/>
      <c r="R7" s="20"/>
    </row>
    <row r="8" spans="1:18" ht="18.600000000000001">
      <c r="A8" s="8">
        <v>1</v>
      </c>
      <c r="B8" s="21"/>
      <c r="C8" s="22"/>
      <c r="D8" s="23">
        <v>0</v>
      </c>
      <c r="E8" s="24"/>
      <c r="F8" s="24"/>
      <c r="G8" s="25"/>
      <c r="H8" s="26">
        <v>0</v>
      </c>
      <c r="I8" s="27">
        <f>H8*0.07</f>
        <v>0</v>
      </c>
      <c r="J8" s="23">
        <v>0</v>
      </c>
      <c r="K8" s="28"/>
      <c r="L8" s="29"/>
      <c r="M8" s="30">
        <v>0</v>
      </c>
      <c r="N8" s="31"/>
      <c r="O8" s="25"/>
      <c r="P8" s="27">
        <f>ROUND(R8*100/107,2)</f>
        <v>0</v>
      </c>
      <c r="Q8" s="27">
        <f>P8*0.07</f>
        <v>0</v>
      </c>
      <c r="R8" s="32">
        <f>D8+J8-M8</f>
        <v>0</v>
      </c>
    </row>
    <row r="9" spans="1:18" ht="18.600000000000001">
      <c r="A9" s="8">
        <f>+A8+1</f>
        <v>2</v>
      </c>
      <c r="B9" s="33" t="s">
        <v>21</v>
      </c>
      <c r="C9" s="22"/>
      <c r="D9" s="23">
        <v>0</v>
      </c>
      <c r="E9" s="24"/>
      <c r="F9" s="24"/>
      <c r="G9" s="25"/>
      <c r="H9" s="34">
        <v>0</v>
      </c>
      <c r="I9" s="35">
        <f>H9*0.07</f>
        <v>0</v>
      </c>
      <c r="J9" s="36">
        <v>0</v>
      </c>
      <c r="K9" s="28"/>
      <c r="L9" s="29"/>
      <c r="M9" s="30">
        <v>0</v>
      </c>
      <c r="N9" s="31"/>
      <c r="O9" s="25"/>
      <c r="P9" s="27">
        <f>ROUND(R9*100/107,2)</f>
        <v>0</v>
      </c>
      <c r="Q9" s="27">
        <f>P9*0.07</f>
        <v>0</v>
      </c>
      <c r="R9" s="32">
        <f>D9+J9-M9</f>
        <v>0</v>
      </c>
    </row>
    <row r="10" spans="1:18" ht="18.600000000000001">
      <c r="A10" s="8">
        <f>+A9+1</f>
        <v>3</v>
      </c>
      <c r="B10" s="37"/>
      <c r="C10" s="22"/>
      <c r="D10" s="23">
        <v>0</v>
      </c>
      <c r="E10" s="24"/>
      <c r="F10" s="38"/>
      <c r="G10" s="39"/>
      <c r="H10" s="40">
        <f>J10*100/107</f>
        <v>0</v>
      </c>
      <c r="I10" s="40">
        <f>H10*0.07</f>
        <v>0</v>
      </c>
      <c r="J10" s="41">
        <v>0</v>
      </c>
      <c r="K10" s="28"/>
      <c r="L10" s="29"/>
      <c r="M10" s="30">
        <v>0</v>
      </c>
      <c r="N10" s="31"/>
      <c r="O10" s="25"/>
      <c r="P10" s="27">
        <f>ROUND(R10*100/107,2)</f>
        <v>0</v>
      </c>
      <c r="Q10" s="27">
        <f>P10*0.07</f>
        <v>0</v>
      </c>
      <c r="R10" s="32">
        <f>D10+J10-M10</f>
        <v>0</v>
      </c>
    </row>
    <row r="11" spans="1:18" ht="19.2" thickBot="1">
      <c r="A11" s="42"/>
      <c r="B11" s="191" t="s">
        <v>19</v>
      </c>
      <c r="C11" s="192"/>
      <c r="D11" s="43">
        <f>SUM(D8:D10)</f>
        <v>0</v>
      </c>
      <c r="E11" s="43"/>
      <c r="F11" s="43"/>
      <c r="G11" s="44"/>
      <c r="H11" s="44">
        <f>SUM(H8:H10)</f>
        <v>0</v>
      </c>
      <c r="I11" s="44">
        <f>SUM(I8:I10)</f>
        <v>0</v>
      </c>
      <c r="J11" s="44">
        <f>SUM(J8:J10)</f>
        <v>0</v>
      </c>
      <c r="K11" s="45"/>
      <c r="L11" s="46"/>
      <c r="M11" s="47">
        <f>SUM(M8:M10)</f>
        <v>0</v>
      </c>
      <c r="N11" s="48"/>
      <c r="O11" s="43"/>
      <c r="P11" s="49">
        <f>ROUND(R11*100/107,2)</f>
        <v>0</v>
      </c>
      <c r="Q11" s="49">
        <f>P11*0.07</f>
        <v>0</v>
      </c>
      <c r="R11" s="50">
        <f>SUM(R8:R10)</f>
        <v>0</v>
      </c>
    </row>
    <row r="12" spans="1:18" ht="19.2" thickTop="1">
      <c r="A12" s="8"/>
      <c r="B12" s="51" t="s">
        <v>22</v>
      </c>
      <c r="C12" s="52"/>
      <c r="D12" s="11"/>
      <c r="E12" s="12"/>
      <c r="F12" s="12"/>
      <c r="G12" s="53"/>
      <c r="H12" s="14"/>
      <c r="I12" s="15"/>
      <c r="J12" s="11"/>
      <c r="K12" s="16"/>
      <c r="L12" s="17"/>
      <c r="M12" s="18"/>
      <c r="N12" s="19"/>
      <c r="O12" s="13"/>
      <c r="P12" s="13"/>
      <c r="Q12" s="13"/>
      <c r="R12" s="20"/>
    </row>
    <row r="13" spans="1:18" ht="34.5" customHeight="1">
      <c r="A13" s="8">
        <v>1</v>
      </c>
      <c r="B13" s="203"/>
      <c r="C13" s="204"/>
      <c r="D13" s="23">
        <v>0</v>
      </c>
      <c r="E13" s="54"/>
      <c r="F13" s="54"/>
      <c r="G13" s="25"/>
      <c r="H13" s="26">
        <v>0</v>
      </c>
      <c r="I13" s="27">
        <f>H13*0.07</f>
        <v>0</v>
      </c>
      <c r="J13" s="23">
        <f>SUM(H13:I13)</f>
        <v>0</v>
      </c>
      <c r="K13" s="55">
        <v>0</v>
      </c>
      <c r="L13" s="56"/>
      <c r="M13" s="55">
        <v>0</v>
      </c>
      <c r="N13" s="31"/>
      <c r="O13" s="25"/>
      <c r="P13" s="27">
        <f>ROUND(R13*100/107,2)</f>
        <v>0</v>
      </c>
      <c r="Q13" s="27">
        <f>P13*0.07</f>
        <v>0</v>
      </c>
      <c r="R13" s="32">
        <f>D13+J13-M13</f>
        <v>0</v>
      </c>
    </row>
    <row r="14" spans="1:18" ht="29.25" customHeight="1">
      <c r="A14" s="8">
        <v>2</v>
      </c>
      <c r="B14" s="197" t="s">
        <v>21</v>
      </c>
      <c r="C14" s="198"/>
      <c r="D14" s="23">
        <v>0</v>
      </c>
      <c r="E14" s="31"/>
      <c r="F14" s="31"/>
      <c r="G14" s="25"/>
      <c r="H14" s="34">
        <v>0</v>
      </c>
      <c r="I14" s="27">
        <f>H14*0.07</f>
        <v>0</v>
      </c>
      <c r="J14" s="23">
        <f>SUM(H14:I14)</f>
        <v>0</v>
      </c>
      <c r="K14" s="58">
        <v>0</v>
      </c>
      <c r="L14" s="56"/>
      <c r="M14" s="55">
        <v>0</v>
      </c>
      <c r="N14" s="31"/>
      <c r="O14" s="25"/>
      <c r="P14" s="27">
        <f>ROUND(R14*100/107,2)</f>
        <v>0</v>
      </c>
      <c r="Q14" s="27">
        <f>P14*0.07</f>
        <v>0</v>
      </c>
      <c r="R14" s="32">
        <f>D14+J14-M14</f>
        <v>0</v>
      </c>
    </row>
    <row r="15" spans="1:18" ht="28.5" customHeight="1">
      <c r="A15" s="8">
        <f>+A14+1</f>
        <v>3</v>
      </c>
      <c r="B15" s="195"/>
      <c r="C15" s="196"/>
      <c r="D15" s="23">
        <v>0</v>
      </c>
      <c r="E15" s="24"/>
      <c r="F15" s="24"/>
      <c r="G15" s="25"/>
      <c r="H15" s="34">
        <v>0</v>
      </c>
      <c r="I15" s="27">
        <f>H15*0.07</f>
        <v>0</v>
      </c>
      <c r="J15" s="23">
        <f>SUM(H15:I15)</f>
        <v>0</v>
      </c>
      <c r="K15" s="55">
        <v>0</v>
      </c>
      <c r="L15" s="60"/>
      <c r="M15" s="55">
        <v>0</v>
      </c>
      <c r="N15" s="31"/>
      <c r="O15" s="25"/>
      <c r="P15" s="27">
        <f>ROUND(R15*100/107,2)</f>
        <v>0</v>
      </c>
      <c r="Q15" s="27">
        <f>P15*0.07</f>
        <v>0</v>
      </c>
      <c r="R15" s="32">
        <f>D15+J15-M15</f>
        <v>0</v>
      </c>
    </row>
    <row r="16" spans="1:18" ht="19.2" thickBot="1">
      <c r="A16" s="42"/>
      <c r="B16" s="191" t="s">
        <v>19</v>
      </c>
      <c r="C16" s="192"/>
      <c r="D16" s="43">
        <f>SUM(D13:D15)</f>
        <v>0</v>
      </c>
      <c r="E16" s="43"/>
      <c r="F16" s="43"/>
      <c r="G16" s="43"/>
      <c r="H16" s="43">
        <f>SUM(H13:H15)</f>
        <v>0</v>
      </c>
      <c r="I16" s="43">
        <f>SUM(I13:I15)</f>
        <v>0</v>
      </c>
      <c r="J16" s="43">
        <f>SUM(J13:J15)</f>
        <v>0</v>
      </c>
      <c r="K16" s="45"/>
      <c r="L16" s="46"/>
      <c r="M16" s="47">
        <f>SUM(M13:M15)</f>
        <v>0</v>
      </c>
      <c r="N16" s="48"/>
      <c r="O16" s="43"/>
      <c r="P16" s="49">
        <f>ROUND(R16*100/107,2)</f>
        <v>0</v>
      </c>
      <c r="Q16" s="49">
        <f>P16*0.07</f>
        <v>0</v>
      </c>
      <c r="R16" s="50">
        <f>SUM(R13:R15)</f>
        <v>0</v>
      </c>
    </row>
    <row r="17" spans="1:18" ht="19.2" thickTop="1">
      <c r="A17" s="8"/>
      <c r="B17" s="51" t="s">
        <v>23</v>
      </c>
      <c r="C17" s="52"/>
      <c r="D17" s="11"/>
      <c r="E17" s="12"/>
      <c r="F17" s="12"/>
      <c r="G17" s="13"/>
      <c r="H17" s="61"/>
      <c r="I17" s="35"/>
      <c r="J17" s="11"/>
      <c r="K17" s="16"/>
      <c r="L17" s="17"/>
      <c r="M17" s="18"/>
      <c r="N17" s="19"/>
      <c r="O17" s="13"/>
      <c r="P17" s="13"/>
      <c r="Q17" s="13"/>
      <c r="R17" s="20"/>
    </row>
    <row r="18" spans="1:18" ht="18.600000000000001">
      <c r="A18" s="8">
        <v>1</v>
      </c>
      <c r="B18" s="62"/>
      <c r="C18" s="63"/>
      <c r="D18" s="23">
        <v>0</v>
      </c>
      <c r="E18" s="24"/>
      <c r="F18" s="24"/>
      <c r="G18" s="25"/>
      <c r="H18" s="26">
        <v>0</v>
      </c>
      <c r="I18" s="27">
        <f>H18*0.07</f>
        <v>0</v>
      </c>
      <c r="J18" s="23">
        <v>0</v>
      </c>
      <c r="K18" s="28"/>
      <c r="L18" s="29"/>
      <c r="M18" s="30">
        <v>0</v>
      </c>
      <c r="N18" s="31"/>
      <c r="O18" s="25"/>
      <c r="P18" s="27">
        <f>ROUND(R18*100/107,2)</f>
        <v>0</v>
      </c>
      <c r="Q18" s="27">
        <f>P18*0.07</f>
        <v>0</v>
      </c>
      <c r="R18" s="32">
        <f>D18+J18-M18</f>
        <v>0</v>
      </c>
    </row>
    <row r="19" spans="1:18" ht="18.600000000000001">
      <c r="A19" s="8">
        <f>+A18+1</f>
        <v>2</v>
      </c>
      <c r="B19" s="64" t="s">
        <v>21</v>
      </c>
      <c r="C19" s="63"/>
      <c r="D19" s="23">
        <v>0</v>
      </c>
      <c r="E19" s="24"/>
      <c r="F19" s="24"/>
      <c r="G19" s="25"/>
      <c r="H19" s="34">
        <v>0</v>
      </c>
      <c r="I19" s="35">
        <f>H19*0.07</f>
        <v>0</v>
      </c>
      <c r="J19" s="36">
        <v>0</v>
      </c>
      <c r="K19" s="28"/>
      <c r="L19" s="29"/>
      <c r="M19" s="30">
        <v>0</v>
      </c>
      <c r="N19" s="31"/>
      <c r="O19" s="25"/>
      <c r="P19" s="27">
        <f>ROUND(R19*100/107,2)</f>
        <v>0</v>
      </c>
      <c r="Q19" s="27">
        <f>P19*0.07</f>
        <v>0</v>
      </c>
      <c r="R19" s="32">
        <f>D19+J19-M19</f>
        <v>0</v>
      </c>
    </row>
    <row r="20" spans="1:18" ht="18.600000000000001">
      <c r="A20" s="8">
        <f>+A19+1</f>
        <v>3</v>
      </c>
      <c r="B20" s="65"/>
      <c r="C20" s="63"/>
      <c r="D20" s="23">
        <v>0</v>
      </c>
      <c r="E20" s="24"/>
      <c r="F20" s="38"/>
      <c r="G20" s="39"/>
      <c r="H20" s="40">
        <f>J20*100/107</f>
        <v>0</v>
      </c>
      <c r="I20" s="40">
        <f>H20*0.07</f>
        <v>0</v>
      </c>
      <c r="J20" s="41">
        <v>0</v>
      </c>
      <c r="K20" s="28"/>
      <c r="L20" s="29"/>
      <c r="M20" s="30">
        <v>0</v>
      </c>
      <c r="N20" s="31"/>
      <c r="O20" s="25"/>
      <c r="P20" s="27">
        <f>ROUND(R20*100/107,2)</f>
        <v>0</v>
      </c>
      <c r="Q20" s="27">
        <f>P20*0.07</f>
        <v>0</v>
      </c>
      <c r="R20" s="32">
        <f>D20+J20-M20</f>
        <v>0</v>
      </c>
    </row>
    <row r="21" spans="1:18" ht="19.2" thickBot="1">
      <c r="A21" s="42"/>
      <c r="B21" s="191" t="s">
        <v>19</v>
      </c>
      <c r="C21" s="192"/>
      <c r="D21" s="43">
        <f>SUM(D18:D20)</f>
        <v>0</v>
      </c>
      <c r="E21" s="43"/>
      <c r="F21" s="43"/>
      <c r="G21" s="44"/>
      <c r="H21" s="44">
        <f>SUM(H18:H20)</f>
        <v>0</v>
      </c>
      <c r="I21" s="44">
        <f>SUM(I18:I20)</f>
        <v>0</v>
      </c>
      <c r="J21" s="44">
        <f>SUM(J18:J20)</f>
        <v>0</v>
      </c>
      <c r="K21" s="45"/>
      <c r="L21" s="46"/>
      <c r="M21" s="47">
        <f>SUM(M18:M20)</f>
        <v>0</v>
      </c>
      <c r="N21" s="48"/>
      <c r="O21" s="43"/>
      <c r="P21" s="49">
        <f>ROUND(R21*100/107,2)</f>
        <v>0</v>
      </c>
      <c r="Q21" s="49">
        <f>P21*0.07</f>
        <v>0</v>
      </c>
      <c r="R21" s="50">
        <f>SUM(R18:R20)</f>
        <v>0</v>
      </c>
    </row>
    <row r="22" spans="1:18" ht="19.2" thickTop="1">
      <c r="A22" s="8"/>
      <c r="B22" s="51" t="s">
        <v>24</v>
      </c>
      <c r="C22" s="52"/>
      <c r="D22" s="11"/>
      <c r="E22" s="12"/>
      <c r="F22" s="12"/>
      <c r="G22" s="53"/>
      <c r="H22" s="14"/>
      <c r="I22" s="15"/>
      <c r="J22" s="11"/>
      <c r="K22" s="16"/>
      <c r="L22" s="17"/>
      <c r="M22" s="18"/>
      <c r="N22" s="19"/>
      <c r="O22" s="13"/>
      <c r="P22" s="13"/>
      <c r="Q22" s="13"/>
      <c r="R22" s="20"/>
    </row>
    <row r="23" spans="1:18" ht="18.600000000000001">
      <c r="A23" s="8">
        <v>1</v>
      </c>
      <c r="B23" s="62"/>
      <c r="C23" s="63"/>
      <c r="D23" s="23"/>
      <c r="E23" s="24"/>
      <c r="F23" s="24"/>
      <c r="G23" s="25"/>
      <c r="H23" s="26">
        <v>0</v>
      </c>
      <c r="I23" s="27">
        <f>H23*0.07</f>
        <v>0</v>
      </c>
      <c r="J23" s="23">
        <v>0</v>
      </c>
      <c r="K23" s="28"/>
      <c r="L23" s="29"/>
      <c r="M23" s="30">
        <v>0</v>
      </c>
      <c r="N23" s="31"/>
      <c r="O23" s="25"/>
      <c r="P23" s="27">
        <f>ROUND(R23*100/107,2)</f>
        <v>0</v>
      </c>
      <c r="Q23" s="27">
        <f>P23*0.07</f>
        <v>0</v>
      </c>
      <c r="R23" s="32">
        <f>D23+J23-M23</f>
        <v>0</v>
      </c>
    </row>
    <row r="24" spans="1:18" ht="18.600000000000001">
      <c r="A24" s="8">
        <f>+A23+1</f>
        <v>2</v>
      </c>
      <c r="B24" s="64" t="s">
        <v>21</v>
      </c>
      <c r="C24" s="63"/>
      <c r="D24" s="23"/>
      <c r="E24" s="24"/>
      <c r="F24" s="24"/>
      <c r="G24" s="25"/>
      <c r="H24" s="26">
        <v>0</v>
      </c>
      <c r="I24" s="27">
        <f>H24*0.07</f>
        <v>0</v>
      </c>
      <c r="J24" s="23">
        <v>0</v>
      </c>
      <c r="K24" s="28"/>
      <c r="L24" s="29"/>
      <c r="M24" s="55">
        <v>0</v>
      </c>
      <c r="N24" s="31"/>
      <c r="O24" s="25"/>
      <c r="P24" s="27">
        <f>ROUND(R24*100/107,2)</f>
        <v>0</v>
      </c>
      <c r="Q24" s="27">
        <f>P24*0.07</f>
        <v>0</v>
      </c>
      <c r="R24" s="32">
        <f>D24+J24-M24</f>
        <v>0</v>
      </c>
    </row>
    <row r="25" spans="1:18" ht="18.600000000000001">
      <c r="A25" s="8">
        <f>+A24+1</f>
        <v>3</v>
      </c>
      <c r="B25" s="65"/>
      <c r="C25" s="63"/>
      <c r="D25" s="23"/>
      <c r="E25" s="24"/>
      <c r="F25" s="38"/>
      <c r="G25" s="39"/>
      <c r="H25" s="40">
        <v>0</v>
      </c>
      <c r="I25" s="40">
        <f>H25*0.07</f>
        <v>0</v>
      </c>
      <c r="J25" s="66">
        <v>0</v>
      </c>
      <c r="K25" s="28"/>
      <c r="L25" s="29"/>
      <c r="M25" s="55">
        <v>0</v>
      </c>
      <c r="N25" s="31"/>
      <c r="O25" s="25"/>
      <c r="P25" s="27">
        <f>ROUND(R25*100/107,2)</f>
        <v>0</v>
      </c>
      <c r="Q25" s="27">
        <f>P25*0.07</f>
        <v>0</v>
      </c>
      <c r="R25" s="32">
        <f>D25+J25-M25</f>
        <v>0</v>
      </c>
    </row>
    <row r="26" spans="1:18" ht="19.2" thickBot="1">
      <c r="A26" s="42"/>
      <c r="B26" s="191" t="s">
        <v>19</v>
      </c>
      <c r="C26" s="192"/>
      <c r="D26" s="43">
        <f>SUM(D23:D25)</f>
        <v>0</v>
      </c>
      <c r="E26" s="43"/>
      <c r="F26" s="43"/>
      <c r="G26" s="44"/>
      <c r="H26" s="44">
        <f>SUM(H23:H25)</f>
        <v>0</v>
      </c>
      <c r="I26" s="44">
        <f>SUM(I23:I25)</f>
        <v>0</v>
      </c>
      <c r="J26" s="44">
        <f>SUM(J23:J25)</f>
        <v>0</v>
      </c>
      <c r="K26" s="45"/>
      <c r="L26" s="46"/>
      <c r="M26" s="47">
        <f>SUM(M23:M25)</f>
        <v>0</v>
      </c>
      <c r="N26" s="48"/>
      <c r="O26" s="43"/>
      <c r="P26" s="49">
        <f>ROUND(R26*100/107,2)</f>
        <v>0</v>
      </c>
      <c r="Q26" s="49">
        <f>P26*0.07</f>
        <v>0</v>
      </c>
      <c r="R26" s="50">
        <f>SUM(R23:R25)</f>
        <v>0</v>
      </c>
    </row>
    <row r="27" spans="1:18" ht="19.2" thickTop="1">
      <c r="A27" s="8"/>
      <c r="B27" s="67"/>
      <c r="C27" s="68"/>
      <c r="D27" s="69"/>
      <c r="E27" s="70"/>
      <c r="F27" s="70"/>
      <c r="G27" s="71"/>
      <c r="H27" s="72"/>
      <c r="I27" s="73"/>
      <c r="J27" s="69"/>
      <c r="K27" s="74"/>
      <c r="L27" s="75"/>
      <c r="M27" s="76"/>
      <c r="N27" s="77"/>
      <c r="O27" s="78"/>
      <c r="P27" s="78"/>
      <c r="Q27" s="78"/>
      <c r="R27" s="79"/>
    </row>
    <row r="28" spans="1:18" ht="18.600000000000001">
      <c r="A28" s="8"/>
      <c r="B28" s="80" t="s">
        <v>25</v>
      </c>
      <c r="C28" s="68"/>
      <c r="D28" s="23"/>
      <c r="E28" s="24"/>
      <c r="F28" s="24"/>
      <c r="G28" s="25"/>
      <c r="H28" s="81"/>
      <c r="I28" s="27"/>
      <c r="J28" s="23"/>
      <c r="K28" s="28"/>
      <c r="L28" s="29"/>
      <c r="M28" s="55"/>
      <c r="N28" s="31"/>
      <c r="O28" s="25"/>
      <c r="P28" s="25"/>
      <c r="Q28" s="25"/>
      <c r="R28" s="32"/>
    </row>
    <row r="29" spans="1:18" ht="18.600000000000001">
      <c r="A29" s="8">
        <f>+A28+1</f>
        <v>1</v>
      </c>
      <c r="B29" s="195"/>
      <c r="C29" s="196"/>
      <c r="D29" s="23">
        <v>0</v>
      </c>
      <c r="E29" s="24"/>
      <c r="F29" s="24"/>
      <c r="G29" s="25"/>
      <c r="H29" s="34">
        <v>0</v>
      </c>
      <c r="I29" s="27">
        <f>H29*0.07</f>
        <v>0</v>
      </c>
      <c r="J29" s="36">
        <v>0</v>
      </c>
      <c r="K29" s="82"/>
      <c r="L29" s="83"/>
      <c r="M29" s="30">
        <v>0</v>
      </c>
      <c r="N29" s="31"/>
      <c r="O29" s="25"/>
      <c r="P29" s="27">
        <f>ROUND(R29*100/107,2)</f>
        <v>0</v>
      </c>
      <c r="Q29" s="27">
        <f>P29*0.07</f>
        <v>0</v>
      </c>
      <c r="R29" s="32">
        <f>D29+J29-M29</f>
        <v>0</v>
      </c>
    </row>
    <row r="30" spans="1:18" ht="18.600000000000001">
      <c r="A30" s="8">
        <v>2</v>
      </c>
      <c r="B30" s="57" t="s">
        <v>21</v>
      </c>
      <c r="C30" s="59"/>
      <c r="D30" s="23">
        <v>0</v>
      </c>
      <c r="E30" s="24"/>
      <c r="F30" s="38"/>
      <c r="G30" s="84"/>
      <c r="H30" s="34">
        <v>0</v>
      </c>
      <c r="I30" s="85">
        <v>0</v>
      </c>
      <c r="J30" s="86">
        <v>0</v>
      </c>
      <c r="K30" s="82"/>
      <c r="L30" s="83"/>
      <c r="M30" s="30"/>
      <c r="N30" s="31"/>
      <c r="O30" s="25"/>
      <c r="P30" s="27">
        <f>ROUND(R30*100/107,2)</f>
        <v>0</v>
      </c>
      <c r="Q30" s="27">
        <f>P30*0.07</f>
        <v>0</v>
      </c>
      <c r="R30" s="32">
        <f>D30+J30-M30</f>
        <v>0</v>
      </c>
    </row>
    <row r="31" spans="1:18" ht="18.600000000000001">
      <c r="A31" s="8">
        <v>3</v>
      </c>
      <c r="B31" s="195"/>
      <c r="C31" s="196"/>
      <c r="D31" s="23">
        <v>0</v>
      </c>
      <c r="E31" s="24"/>
      <c r="F31" s="38"/>
      <c r="G31" s="39"/>
      <c r="H31" s="40">
        <f>J31*100/107</f>
        <v>0</v>
      </c>
      <c r="I31" s="40">
        <f>H31*0.07</f>
        <v>0</v>
      </c>
      <c r="J31" s="41">
        <v>0</v>
      </c>
      <c r="K31" s="82"/>
      <c r="L31" s="83"/>
      <c r="M31" s="30">
        <v>0</v>
      </c>
      <c r="N31" s="31"/>
      <c r="O31" s="25"/>
      <c r="P31" s="27">
        <f>ROUND(R31*100/107,2)</f>
        <v>0</v>
      </c>
      <c r="Q31" s="27">
        <f>P31*0.07</f>
        <v>0</v>
      </c>
      <c r="R31" s="32">
        <f>D31+J31-M31</f>
        <v>0</v>
      </c>
    </row>
    <row r="32" spans="1:18" ht="19.2" thickBot="1">
      <c r="A32" s="42"/>
      <c r="B32" s="191" t="s">
        <v>19</v>
      </c>
      <c r="C32" s="192"/>
      <c r="D32" s="43">
        <f>SUM(D28:D31)</f>
        <v>0</v>
      </c>
      <c r="E32" s="43"/>
      <c r="F32" s="43"/>
      <c r="G32" s="44"/>
      <c r="H32" s="44">
        <f>SUM(H28:H31)</f>
        <v>0</v>
      </c>
      <c r="I32" s="44">
        <f>SUM(I28:I31)</f>
        <v>0</v>
      </c>
      <c r="J32" s="44">
        <f>SUM(J28:J31)</f>
        <v>0</v>
      </c>
      <c r="K32" s="45"/>
      <c r="L32" s="46"/>
      <c r="M32" s="47">
        <f>SUM(M28:M31)</f>
        <v>0</v>
      </c>
      <c r="N32" s="48"/>
      <c r="O32" s="43"/>
      <c r="P32" s="49">
        <f>ROUND(R32*100/107,2)</f>
        <v>0</v>
      </c>
      <c r="Q32" s="49">
        <f>P32*0.07</f>
        <v>0</v>
      </c>
      <c r="R32" s="50">
        <f>SUM(R28:R31)</f>
        <v>0</v>
      </c>
    </row>
    <row r="33" spans="1:18" ht="19.2" thickTop="1">
      <c r="A33" s="8"/>
      <c r="B33" s="51" t="s">
        <v>26</v>
      </c>
      <c r="C33" s="52"/>
      <c r="D33" s="11"/>
      <c r="E33" s="12"/>
      <c r="F33" s="12"/>
      <c r="G33" s="53"/>
      <c r="H33" s="14"/>
      <c r="I33" s="15"/>
      <c r="J33" s="11"/>
      <c r="K33" s="16"/>
      <c r="L33" s="17"/>
      <c r="M33" s="18"/>
      <c r="N33" s="19"/>
      <c r="O33" s="13"/>
      <c r="P33" s="13"/>
      <c r="Q33" s="13"/>
      <c r="R33" s="20"/>
    </row>
    <row r="34" spans="1:18" ht="18.600000000000001">
      <c r="A34" s="8">
        <v>1</v>
      </c>
      <c r="B34" s="33" t="s">
        <v>21</v>
      </c>
      <c r="C34" s="87"/>
      <c r="D34" s="23">
        <v>0</v>
      </c>
      <c r="E34" s="24"/>
      <c r="F34" s="24"/>
      <c r="G34" s="25"/>
      <c r="H34" s="27">
        <v>0</v>
      </c>
      <c r="I34" s="27">
        <f>H34*0.07</f>
        <v>0</v>
      </c>
      <c r="J34" s="36">
        <v>0</v>
      </c>
      <c r="K34" s="28"/>
      <c r="L34" s="29"/>
      <c r="M34" s="30">
        <v>0</v>
      </c>
      <c r="N34" s="31"/>
      <c r="O34" s="25"/>
      <c r="P34" s="27">
        <f>ROUND(R34*100/107,2)</f>
        <v>0</v>
      </c>
      <c r="Q34" s="27">
        <f>P34*0.07</f>
        <v>0</v>
      </c>
      <c r="R34" s="32">
        <f>D34+J34-M34</f>
        <v>0</v>
      </c>
    </row>
    <row r="35" spans="1:18" ht="18.600000000000001">
      <c r="A35" s="8">
        <v>2</v>
      </c>
      <c r="B35" s="33"/>
      <c r="C35" s="87"/>
      <c r="D35" s="23"/>
      <c r="E35" s="24"/>
      <c r="F35" s="38"/>
      <c r="G35" s="84"/>
      <c r="H35" s="34"/>
      <c r="I35" s="34"/>
      <c r="J35" s="86"/>
      <c r="K35" s="28"/>
      <c r="L35" s="29"/>
      <c r="M35" s="30"/>
      <c r="N35" s="31"/>
      <c r="O35" s="25"/>
      <c r="P35" s="27"/>
      <c r="Q35" s="27"/>
      <c r="R35" s="32"/>
    </row>
    <row r="36" spans="1:18" ht="18.600000000000001">
      <c r="A36" s="8">
        <v>3</v>
      </c>
      <c r="B36" s="37"/>
      <c r="C36" s="22"/>
      <c r="D36" s="23">
        <v>0</v>
      </c>
      <c r="E36" s="24"/>
      <c r="F36" s="38"/>
      <c r="G36" s="39"/>
      <c r="H36" s="40">
        <f>J36*100/107</f>
        <v>0</v>
      </c>
      <c r="I36" s="40">
        <f>H36*0.07</f>
        <v>0</v>
      </c>
      <c r="J36" s="41">
        <v>0</v>
      </c>
      <c r="K36" s="28"/>
      <c r="L36" s="29"/>
      <c r="M36" s="30">
        <v>0</v>
      </c>
      <c r="N36" s="31"/>
      <c r="O36" s="25"/>
      <c r="P36" s="27">
        <f>ROUND(R36*100/107,2)</f>
        <v>0</v>
      </c>
      <c r="Q36" s="27">
        <f>P36*0.07</f>
        <v>0</v>
      </c>
      <c r="R36" s="32">
        <f>D36+J36-M36</f>
        <v>0</v>
      </c>
    </row>
    <row r="37" spans="1:18" ht="19.2" thickBot="1">
      <c r="A37" s="42"/>
      <c r="B37" s="191" t="s">
        <v>19</v>
      </c>
      <c r="C37" s="192"/>
      <c r="D37" s="43">
        <f>SUM(D34:D36)</f>
        <v>0</v>
      </c>
      <c r="E37" s="43"/>
      <c r="F37" s="43"/>
      <c r="G37" s="44"/>
      <c r="H37" s="44">
        <f>SUM(H34:H36)</f>
        <v>0</v>
      </c>
      <c r="I37" s="44">
        <f>SUM(I34:I36)</f>
        <v>0</v>
      </c>
      <c r="J37" s="44">
        <f>SUM(J34:J36)</f>
        <v>0</v>
      </c>
      <c r="K37" s="45"/>
      <c r="L37" s="46"/>
      <c r="M37" s="47">
        <f>SUM(M34:M36)</f>
        <v>0</v>
      </c>
      <c r="N37" s="48"/>
      <c r="O37" s="43"/>
      <c r="P37" s="49">
        <f>ROUND(R37*100/107,2)</f>
        <v>0</v>
      </c>
      <c r="Q37" s="49">
        <f>P37*0.07</f>
        <v>0</v>
      </c>
      <c r="R37" s="50">
        <f>SUM(R34:R36)</f>
        <v>0</v>
      </c>
    </row>
    <row r="38" spans="1:18" ht="19.2" thickTop="1">
      <c r="A38" s="42"/>
      <c r="B38" s="88" t="s">
        <v>27</v>
      </c>
      <c r="C38" s="52"/>
      <c r="D38" s="11"/>
      <c r="E38" s="12"/>
      <c r="F38" s="12"/>
      <c r="G38" s="13"/>
      <c r="H38" s="13"/>
      <c r="I38" s="13"/>
      <c r="J38" s="11"/>
      <c r="K38" s="16"/>
      <c r="L38" s="17"/>
      <c r="M38" s="18"/>
      <c r="N38" s="19"/>
      <c r="O38" s="13"/>
      <c r="P38" s="13"/>
      <c r="Q38" s="13"/>
      <c r="R38" s="89"/>
    </row>
    <row r="39" spans="1:18" ht="30.75" customHeight="1">
      <c r="A39" s="42">
        <v>1</v>
      </c>
      <c r="B39" s="195"/>
      <c r="C39" s="196"/>
      <c r="D39" s="23">
        <v>0</v>
      </c>
      <c r="E39" s="31"/>
      <c r="F39" s="31"/>
      <c r="G39" s="25"/>
      <c r="H39" s="90">
        <v>0</v>
      </c>
      <c r="I39" s="27">
        <f>H39*0.07</f>
        <v>0</v>
      </c>
      <c r="J39" s="23">
        <f>SUM(H39:I39)</f>
        <v>0</v>
      </c>
      <c r="K39" s="56"/>
      <c r="L39" s="91"/>
      <c r="M39" s="55">
        <v>0</v>
      </c>
      <c r="N39" s="31"/>
      <c r="O39" s="25"/>
      <c r="P39" s="27">
        <f>ROUND(R39*100/107,2)</f>
        <v>0</v>
      </c>
      <c r="Q39" s="27">
        <f>P39*0.07</f>
        <v>0</v>
      </c>
      <c r="R39" s="92">
        <f>D39+J39-M39</f>
        <v>0</v>
      </c>
    </row>
    <row r="40" spans="1:18" ht="30" customHeight="1">
      <c r="A40" s="8">
        <v>2</v>
      </c>
      <c r="B40" s="197" t="s">
        <v>21</v>
      </c>
      <c r="C40" s="198"/>
      <c r="D40" s="23">
        <v>0</v>
      </c>
      <c r="E40" s="31"/>
      <c r="F40" s="31"/>
      <c r="G40" s="25"/>
      <c r="H40" s="34">
        <v>0</v>
      </c>
      <c r="I40" s="27">
        <f>H40*0.07</f>
        <v>0</v>
      </c>
      <c r="J40" s="23">
        <f>SUM(H40:I40)</f>
        <v>0</v>
      </c>
      <c r="K40" s="56"/>
      <c r="L40" s="56"/>
      <c r="M40" s="55">
        <v>0</v>
      </c>
      <c r="N40" s="31"/>
      <c r="O40" s="25"/>
      <c r="P40" s="27">
        <f>ROUND(R40*100/107,2)</f>
        <v>0</v>
      </c>
      <c r="Q40" s="27">
        <f>P40*0.07</f>
        <v>0</v>
      </c>
      <c r="R40" s="32">
        <f>D40+J40-M40</f>
        <v>0</v>
      </c>
    </row>
    <row r="41" spans="1:18" ht="27" customHeight="1">
      <c r="A41" s="42">
        <v>3</v>
      </c>
      <c r="B41" s="203"/>
      <c r="C41" s="204"/>
      <c r="D41" s="23">
        <v>0</v>
      </c>
      <c r="E41" s="31"/>
      <c r="F41" s="31"/>
      <c r="G41" s="25"/>
      <c r="H41" s="90">
        <v>0</v>
      </c>
      <c r="I41" s="27">
        <f>H41*0.07</f>
        <v>0</v>
      </c>
      <c r="J41" s="23">
        <f>SUM(H41:I41)</f>
        <v>0</v>
      </c>
      <c r="K41" s="56"/>
      <c r="L41" s="56"/>
      <c r="M41" s="55">
        <v>0</v>
      </c>
      <c r="N41" s="31"/>
      <c r="O41" s="25"/>
      <c r="P41" s="27">
        <f>ROUND(R41*100/107,2)</f>
        <v>0</v>
      </c>
      <c r="Q41" s="27">
        <f>P41*0.07</f>
        <v>0</v>
      </c>
      <c r="R41" s="92">
        <f>D41+J41-M41</f>
        <v>0</v>
      </c>
    </row>
    <row r="42" spans="1:18" ht="19.2" thickBot="1">
      <c r="A42" s="93"/>
      <c r="B42" s="191" t="s">
        <v>19</v>
      </c>
      <c r="C42" s="192"/>
      <c r="D42" s="43">
        <f>SUM(D39:D41)</f>
        <v>0</v>
      </c>
      <c r="E42" s="43"/>
      <c r="F42" s="43"/>
      <c r="G42" s="43"/>
      <c r="H42" s="43">
        <f>SUM(H39:H41)</f>
        <v>0</v>
      </c>
      <c r="I42" s="43">
        <f>SUM(I39:I41)</f>
        <v>0</v>
      </c>
      <c r="J42" s="43">
        <f>SUM(J39:J41)</f>
        <v>0</v>
      </c>
      <c r="K42" s="45"/>
      <c r="L42" s="46"/>
      <c r="M42" s="47">
        <f>SUM(M39:M41)</f>
        <v>0</v>
      </c>
      <c r="N42" s="48"/>
      <c r="O42" s="43"/>
      <c r="P42" s="43">
        <f>SUM(P39:P41)</f>
        <v>0</v>
      </c>
      <c r="Q42" s="43">
        <f>SUM(Q39:Q41)</f>
        <v>0</v>
      </c>
      <c r="R42" s="43">
        <f>SUM(R39:R41)</f>
        <v>0</v>
      </c>
    </row>
    <row r="43" spans="1:18" ht="19.2" thickTop="1">
      <c r="A43" s="8"/>
      <c r="B43" s="51" t="s">
        <v>28</v>
      </c>
      <c r="C43" s="94"/>
      <c r="D43" s="11"/>
      <c r="E43" s="12"/>
      <c r="F43" s="12"/>
      <c r="G43" s="53"/>
      <c r="H43" s="14"/>
      <c r="I43" s="15"/>
      <c r="J43" s="11"/>
      <c r="K43" s="16"/>
      <c r="L43" s="17"/>
      <c r="M43" s="18"/>
      <c r="N43" s="19"/>
      <c r="O43" s="13"/>
      <c r="P43" s="13"/>
      <c r="Q43" s="13"/>
      <c r="R43" s="20"/>
    </row>
    <row r="44" spans="1:18" ht="18.600000000000001">
      <c r="A44" s="8">
        <v>1</v>
      </c>
      <c r="B44" s="62"/>
      <c r="C44" s="63"/>
      <c r="D44" s="23">
        <v>0</v>
      </c>
      <c r="E44" s="24"/>
      <c r="F44" s="24"/>
      <c r="G44" s="25"/>
      <c r="H44" s="26">
        <v>0</v>
      </c>
      <c r="I44" s="27">
        <f>H44*0.07</f>
        <v>0</v>
      </c>
      <c r="J44" s="23">
        <v>0</v>
      </c>
      <c r="K44" s="28"/>
      <c r="L44" s="29"/>
      <c r="M44" s="30">
        <v>0</v>
      </c>
      <c r="N44" s="31"/>
      <c r="O44" s="25"/>
      <c r="P44" s="27">
        <f>ROUND(R44*100/107,2)</f>
        <v>0</v>
      </c>
      <c r="Q44" s="27">
        <f>P44*0.07</f>
        <v>0</v>
      </c>
      <c r="R44" s="32">
        <f>D44+J44-M44</f>
        <v>0</v>
      </c>
    </row>
    <row r="45" spans="1:18" ht="18.600000000000001">
      <c r="A45" s="8">
        <f>+A44+1</f>
        <v>2</v>
      </c>
      <c r="B45" s="64" t="s">
        <v>21</v>
      </c>
      <c r="C45" s="63"/>
      <c r="D45" s="23">
        <v>0</v>
      </c>
      <c r="E45" s="24"/>
      <c r="F45" s="24"/>
      <c r="G45" s="25"/>
      <c r="H45" s="27">
        <v>0</v>
      </c>
      <c r="I45" s="27">
        <f>H45*0.07</f>
        <v>0</v>
      </c>
      <c r="J45" s="36">
        <v>0</v>
      </c>
      <c r="K45" s="28"/>
      <c r="L45" s="29"/>
      <c r="M45" s="30">
        <v>0</v>
      </c>
      <c r="N45" s="31"/>
      <c r="O45" s="25"/>
      <c r="P45" s="27">
        <f>ROUND(R45*100/107,2)</f>
        <v>0</v>
      </c>
      <c r="Q45" s="27">
        <f>P45*0.07</f>
        <v>0</v>
      </c>
      <c r="R45" s="32">
        <f>D45+J45-M45</f>
        <v>0</v>
      </c>
    </row>
    <row r="46" spans="1:18" ht="18.600000000000001">
      <c r="A46" s="8">
        <f>+A45+1</f>
        <v>3</v>
      </c>
      <c r="B46" s="65"/>
      <c r="C46" s="63"/>
      <c r="D46" s="23">
        <v>0</v>
      </c>
      <c r="E46" s="24"/>
      <c r="F46" s="38"/>
      <c r="G46" s="39"/>
      <c r="H46" s="40">
        <f>J46*100/107</f>
        <v>0</v>
      </c>
      <c r="I46" s="40">
        <f>H46*0.07</f>
        <v>0</v>
      </c>
      <c r="J46" s="41">
        <v>0</v>
      </c>
      <c r="K46" s="28"/>
      <c r="L46" s="29"/>
      <c r="M46" s="30">
        <v>0</v>
      </c>
      <c r="N46" s="31"/>
      <c r="O46" s="25"/>
      <c r="P46" s="27">
        <f>ROUND(R46*100/107,2)</f>
        <v>0</v>
      </c>
      <c r="Q46" s="27">
        <f>P46*0.07</f>
        <v>0</v>
      </c>
      <c r="R46" s="32">
        <f>D46+J46-M46</f>
        <v>0</v>
      </c>
    </row>
    <row r="47" spans="1:18" ht="19.2" thickBot="1">
      <c r="A47" s="42"/>
      <c r="B47" s="191" t="s">
        <v>19</v>
      </c>
      <c r="C47" s="192"/>
      <c r="D47" s="43">
        <f>SUM(D44:D46)</f>
        <v>0</v>
      </c>
      <c r="E47" s="43"/>
      <c r="F47" s="43"/>
      <c r="G47" s="44"/>
      <c r="H47" s="44">
        <f>SUM(H44:H46)</f>
        <v>0</v>
      </c>
      <c r="I47" s="44">
        <f>SUM(I44:I46)</f>
        <v>0</v>
      </c>
      <c r="J47" s="44">
        <f>SUM(J44:J46)</f>
        <v>0</v>
      </c>
      <c r="K47" s="45"/>
      <c r="L47" s="46"/>
      <c r="M47" s="47">
        <f>SUM(M44:M46)</f>
        <v>0</v>
      </c>
      <c r="N47" s="48"/>
      <c r="O47" s="43"/>
      <c r="P47" s="49">
        <f>ROUND(R47*100/107,2)</f>
        <v>0</v>
      </c>
      <c r="Q47" s="49">
        <f>P47*0.07</f>
        <v>0</v>
      </c>
      <c r="R47" s="50">
        <f>SUM(R44:R46)</f>
        <v>0</v>
      </c>
    </row>
    <row r="48" spans="1:18" ht="19.2" thickTop="1">
      <c r="A48" s="8"/>
      <c r="B48" s="67" t="s">
        <v>29</v>
      </c>
      <c r="C48" s="68"/>
      <c r="D48" s="69"/>
      <c r="E48" s="70"/>
      <c r="F48" s="70"/>
      <c r="G48" s="71"/>
      <c r="H48" s="72"/>
      <c r="I48" s="73"/>
      <c r="J48" s="69"/>
      <c r="K48" s="74"/>
      <c r="L48" s="75"/>
      <c r="M48" s="76"/>
      <c r="N48" s="77"/>
      <c r="O48" s="78"/>
      <c r="P48" s="78"/>
      <c r="Q48" s="78"/>
      <c r="R48" s="79"/>
    </row>
    <row r="49" spans="1:18" ht="18.600000000000001">
      <c r="A49" s="8">
        <v>1</v>
      </c>
      <c r="B49" s="62"/>
      <c r="C49" s="63"/>
      <c r="D49" s="23">
        <v>0</v>
      </c>
      <c r="E49" s="24"/>
      <c r="F49" s="24"/>
      <c r="G49" s="25"/>
      <c r="H49" s="26">
        <v>0</v>
      </c>
      <c r="I49" s="27">
        <f>H49*0.07</f>
        <v>0</v>
      </c>
      <c r="J49" s="23">
        <v>0</v>
      </c>
      <c r="K49" s="28"/>
      <c r="L49" s="29"/>
      <c r="M49" s="30">
        <v>0</v>
      </c>
      <c r="N49" s="31"/>
      <c r="O49" s="25"/>
      <c r="P49" s="27">
        <f>ROUND(R49*100/107,2)</f>
        <v>0</v>
      </c>
      <c r="Q49" s="27">
        <f>P49*0.07</f>
        <v>0</v>
      </c>
      <c r="R49" s="32">
        <f>D49+J49-M49</f>
        <v>0</v>
      </c>
    </row>
    <row r="50" spans="1:18" ht="18.600000000000001">
      <c r="A50" s="8">
        <f>+A49+1</f>
        <v>2</v>
      </c>
      <c r="B50" s="64" t="s">
        <v>21</v>
      </c>
      <c r="C50" s="63"/>
      <c r="D50" s="23">
        <v>0</v>
      </c>
      <c r="E50" s="24"/>
      <c r="F50" s="24"/>
      <c r="G50" s="25"/>
      <c r="H50" s="27">
        <v>0</v>
      </c>
      <c r="I50" s="27">
        <f>H50*0.07</f>
        <v>0</v>
      </c>
      <c r="J50" s="36">
        <v>0</v>
      </c>
      <c r="K50" s="28"/>
      <c r="L50" s="29"/>
      <c r="M50" s="30">
        <v>0</v>
      </c>
      <c r="N50" s="31"/>
      <c r="O50" s="25"/>
      <c r="P50" s="27">
        <f>ROUND(R50*100/107,2)</f>
        <v>0</v>
      </c>
      <c r="Q50" s="27">
        <f>P50*0.07</f>
        <v>0</v>
      </c>
      <c r="R50" s="32">
        <f>D50+J50-M50</f>
        <v>0</v>
      </c>
    </row>
    <row r="51" spans="1:18" ht="18.600000000000001">
      <c r="A51" s="8">
        <f>+A50+1</f>
        <v>3</v>
      </c>
      <c r="B51" s="65"/>
      <c r="C51" s="63"/>
      <c r="D51" s="23">
        <v>0</v>
      </c>
      <c r="E51" s="24"/>
      <c r="F51" s="38"/>
      <c r="G51" s="39"/>
      <c r="H51" s="40">
        <f>J51*100/107</f>
        <v>0</v>
      </c>
      <c r="I51" s="40">
        <f>H51*0.07</f>
        <v>0</v>
      </c>
      <c r="J51" s="41">
        <v>0</v>
      </c>
      <c r="K51" s="28"/>
      <c r="L51" s="29"/>
      <c r="M51" s="30">
        <v>0</v>
      </c>
      <c r="N51" s="31"/>
      <c r="O51" s="25"/>
      <c r="P51" s="27">
        <f>ROUND(R51*100/107,2)</f>
        <v>0</v>
      </c>
      <c r="Q51" s="27">
        <f>P51*0.07</f>
        <v>0</v>
      </c>
      <c r="R51" s="32">
        <f>D51+J51-M51</f>
        <v>0</v>
      </c>
    </row>
    <row r="52" spans="1:18" ht="19.2" thickBot="1">
      <c r="A52" s="42"/>
      <c r="B52" s="191" t="s">
        <v>19</v>
      </c>
      <c r="C52" s="192"/>
      <c r="D52" s="43">
        <f>SUM(D49:D51)</f>
        <v>0</v>
      </c>
      <c r="E52" s="43"/>
      <c r="F52" s="43"/>
      <c r="G52" s="44"/>
      <c r="H52" s="44">
        <f>SUM(H49:H51)</f>
        <v>0</v>
      </c>
      <c r="I52" s="44">
        <f>SUM(I49:I51)</f>
        <v>0</v>
      </c>
      <c r="J52" s="44">
        <f>SUM(J49:J51)</f>
        <v>0</v>
      </c>
      <c r="K52" s="45"/>
      <c r="L52" s="46"/>
      <c r="M52" s="47">
        <f>SUM(M49:M51)</f>
        <v>0</v>
      </c>
      <c r="N52" s="48"/>
      <c r="O52" s="43"/>
      <c r="P52" s="49">
        <f>ROUND(R52*100/107,2)</f>
        <v>0</v>
      </c>
      <c r="Q52" s="49">
        <f>P52*0.07</f>
        <v>0</v>
      </c>
      <c r="R52" s="50">
        <f>SUM(R49:R51)</f>
        <v>0</v>
      </c>
    </row>
    <row r="53" spans="1:18" ht="19.2" thickTop="1">
      <c r="A53" s="8"/>
      <c r="B53" s="51" t="s">
        <v>30</v>
      </c>
      <c r="C53" s="52"/>
      <c r="D53" s="11"/>
      <c r="E53" s="12"/>
      <c r="F53" s="12"/>
      <c r="G53" s="53"/>
      <c r="H53" s="14"/>
      <c r="I53" s="15"/>
      <c r="J53" s="11"/>
      <c r="K53" s="16"/>
      <c r="L53" s="17"/>
      <c r="M53" s="18"/>
      <c r="N53" s="19"/>
      <c r="O53" s="13"/>
      <c r="P53" s="13"/>
      <c r="Q53" s="13"/>
      <c r="R53" s="20"/>
    </row>
    <row r="54" spans="1:18" ht="18.600000000000001">
      <c r="A54" s="8">
        <v>1</v>
      </c>
      <c r="B54" s="62"/>
      <c r="C54" s="63"/>
      <c r="D54" s="23">
        <v>0</v>
      </c>
      <c r="E54" s="24"/>
      <c r="F54" s="24"/>
      <c r="G54" s="25"/>
      <c r="H54" s="26">
        <v>0</v>
      </c>
      <c r="I54" s="27">
        <f>H54*0.07</f>
        <v>0</v>
      </c>
      <c r="J54" s="23">
        <v>0</v>
      </c>
      <c r="K54" s="28"/>
      <c r="L54" s="29"/>
      <c r="M54" s="30">
        <v>0</v>
      </c>
      <c r="N54" s="31"/>
      <c r="O54" s="25"/>
      <c r="P54" s="27">
        <f>ROUND(R54*100/107,2)</f>
        <v>0</v>
      </c>
      <c r="Q54" s="27">
        <f>P54*0.07</f>
        <v>0</v>
      </c>
      <c r="R54" s="32">
        <f>D54+J54-M54</f>
        <v>0</v>
      </c>
    </row>
    <row r="55" spans="1:18" ht="18.600000000000001">
      <c r="A55" s="8">
        <f>+A54+1</f>
        <v>2</v>
      </c>
      <c r="B55" s="64" t="s">
        <v>21</v>
      </c>
      <c r="C55" s="63"/>
      <c r="D55" s="23">
        <v>0</v>
      </c>
      <c r="E55" s="24"/>
      <c r="F55" s="24"/>
      <c r="G55" s="25"/>
      <c r="H55" s="27">
        <v>0</v>
      </c>
      <c r="I55" s="27">
        <f>H55*0.07</f>
        <v>0</v>
      </c>
      <c r="J55" s="36">
        <v>0</v>
      </c>
      <c r="K55" s="28"/>
      <c r="L55" s="29"/>
      <c r="M55" s="30">
        <v>0</v>
      </c>
      <c r="N55" s="31"/>
      <c r="O55" s="25"/>
      <c r="P55" s="27">
        <f>ROUND(R55*100/107,2)</f>
        <v>0</v>
      </c>
      <c r="Q55" s="27">
        <f>P55*0.07</f>
        <v>0</v>
      </c>
      <c r="R55" s="32">
        <f>D55+J55-M55</f>
        <v>0</v>
      </c>
    </row>
    <row r="56" spans="1:18" ht="18.600000000000001">
      <c r="A56" s="8">
        <f>+A55+1</f>
        <v>3</v>
      </c>
      <c r="B56" s="65"/>
      <c r="C56" s="63"/>
      <c r="D56" s="23">
        <v>0</v>
      </c>
      <c r="E56" s="24"/>
      <c r="F56" s="38"/>
      <c r="G56" s="39"/>
      <c r="H56" s="40">
        <f>J56*100/107</f>
        <v>0</v>
      </c>
      <c r="I56" s="40">
        <f>H56*0.07</f>
        <v>0</v>
      </c>
      <c r="J56" s="41">
        <v>0</v>
      </c>
      <c r="K56" s="28"/>
      <c r="L56" s="29"/>
      <c r="M56" s="30">
        <v>0</v>
      </c>
      <c r="N56" s="31"/>
      <c r="O56" s="25"/>
      <c r="P56" s="27">
        <f>ROUND(R56*100/107,2)</f>
        <v>0</v>
      </c>
      <c r="Q56" s="27">
        <f>P56*0.07</f>
        <v>0</v>
      </c>
      <c r="R56" s="32">
        <f>D56+J56-M56</f>
        <v>0</v>
      </c>
    </row>
    <row r="57" spans="1:18" ht="19.2" thickBot="1">
      <c r="A57" s="42"/>
      <c r="B57" s="191" t="s">
        <v>19</v>
      </c>
      <c r="C57" s="192"/>
      <c r="D57" s="43">
        <f>SUM(D54:D56)</f>
        <v>0</v>
      </c>
      <c r="E57" s="43"/>
      <c r="F57" s="43"/>
      <c r="G57" s="44"/>
      <c r="H57" s="44">
        <f>SUM(H54:H56)</f>
        <v>0</v>
      </c>
      <c r="I57" s="44">
        <f>SUM(I54:I56)</f>
        <v>0</v>
      </c>
      <c r="J57" s="44">
        <f>SUM(J54:J56)</f>
        <v>0</v>
      </c>
      <c r="K57" s="45"/>
      <c r="L57" s="46"/>
      <c r="M57" s="47">
        <f>SUM(M54:M56)</f>
        <v>0</v>
      </c>
      <c r="N57" s="48"/>
      <c r="O57" s="43"/>
      <c r="P57" s="49">
        <f>ROUND(R57*100/107,2)</f>
        <v>0</v>
      </c>
      <c r="Q57" s="49">
        <f>P57*0.07</f>
        <v>0</v>
      </c>
      <c r="R57" s="50">
        <f>SUM(R54:R56)</f>
        <v>0</v>
      </c>
    </row>
    <row r="58" spans="1:18" ht="19.2" thickTop="1">
      <c r="A58" s="8"/>
      <c r="B58" s="95" t="s">
        <v>31</v>
      </c>
      <c r="C58" s="68"/>
      <c r="D58" s="69"/>
      <c r="E58" s="70"/>
      <c r="F58" s="70"/>
      <c r="G58" s="78"/>
      <c r="H58" s="78"/>
      <c r="I58" s="78"/>
      <c r="J58" s="69"/>
      <c r="K58" s="74"/>
      <c r="L58" s="75"/>
      <c r="M58" s="76"/>
      <c r="N58" s="77"/>
      <c r="O58" s="78"/>
      <c r="P58" s="78"/>
      <c r="Q58" s="78"/>
      <c r="R58" s="96"/>
    </row>
    <row r="59" spans="1:18" ht="18.600000000000001">
      <c r="A59" s="42">
        <v>1</v>
      </c>
      <c r="B59" s="97" t="s">
        <v>32</v>
      </c>
      <c r="C59" s="98" t="s">
        <v>33</v>
      </c>
      <c r="D59" s="98">
        <v>0</v>
      </c>
      <c r="E59" s="24" t="s">
        <v>34</v>
      </c>
      <c r="F59" s="24"/>
      <c r="G59" s="25"/>
      <c r="H59" s="27">
        <v>322273.98</v>
      </c>
      <c r="I59" s="81">
        <v>0</v>
      </c>
      <c r="J59" s="23">
        <f>SUM(H59:I59)</f>
        <v>322273.98</v>
      </c>
      <c r="K59" s="28"/>
      <c r="L59" s="29"/>
      <c r="M59" s="55">
        <v>0</v>
      </c>
      <c r="N59" s="24" t="s">
        <v>34</v>
      </c>
      <c r="O59" s="25"/>
      <c r="P59" s="27">
        <f>+D59+H59-M59</f>
        <v>322273.98</v>
      </c>
      <c r="Q59" s="27">
        <v>0</v>
      </c>
      <c r="R59" s="99">
        <f>D59+J59-M59</f>
        <v>322273.98</v>
      </c>
    </row>
    <row r="60" spans="1:18" ht="18.600000000000001">
      <c r="A60" s="42"/>
      <c r="B60" s="100" t="s">
        <v>35</v>
      </c>
      <c r="C60" s="98" t="s">
        <v>36</v>
      </c>
      <c r="D60" s="98"/>
      <c r="E60" s="24"/>
      <c r="F60" s="24"/>
      <c r="G60" s="25"/>
      <c r="H60" s="25"/>
      <c r="I60" s="25"/>
      <c r="J60" s="23"/>
      <c r="K60" s="28"/>
      <c r="L60" s="29"/>
      <c r="M60" s="55"/>
      <c r="N60" s="31"/>
      <c r="O60" s="25"/>
      <c r="P60" s="27"/>
      <c r="Q60" s="27"/>
      <c r="R60" s="99"/>
    </row>
    <row r="61" spans="1:18" ht="18.600000000000001">
      <c r="A61" s="42"/>
      <c r="B61" s="100" t="s">
        <v>37</v>
      </c>
      <c r="C61" s="101"/>
      <c r="D61" s="23"/>
      <c r="E61" s="24"/>
      <c r="F61" s="24"/>
      <c r="G61" s="25"/>
      <c r="H61" s="25"/>
      <c r="I61" s="25"/>
      <c r="J61" s="23"/>
      <c r="K61" s="28"/>
      <c r="L61" s="29"/>
      <c r="M61" s="55"/>
      <c r="N61" s="31"/>
      <c r="O61" s="25"/>
      <c r="P61" s="27"/>
      <c r="Q61" s="27"/>
      <c r="R61" s="99"/>
    </row>
    <row r="62" spans="1:18" ht="18.600000000000001">
      <c r="A62" s="42"/>
      <c r="B62" s="100" t="s">
        <v>38</v>
      </c>
      <c r="C62" s="101"/>
      <c r="D62" s="23"/>
      <c r="E62" s="24"/>
      <c r="F62" s="24"/>
      <c r="G62" s="25"/>
      <c r="H62" s="25"/>
      <c r="I62" s="25"/>
      <c r="J62" s="23"/>
      <c r="K62" s="28"/>
      <c r="L62" s="29"/>
      <c r="M62" s="55"/>
      <c r="N62" s="31"/>
      <c r="O62" s="25"/>
      <c r="P62" s="27"/>
      <c r="Q62" s="27"/>
      <c r="R62" s="99"/>
    </row>
    <row r="63" spans="1:18" ht="18.600000000000001">
      <c r="A63" s="8">
        <f>+A59+1</f>
        <v>2</v>
      </c>
      <c r="B63" s="102" t="s">
        <v>32</v>
      </c>
      <c r="C63" s="98" t="s">
        <v>39</v>
      </c>
      <c r="D63" s="98">
        <v>0</v>
      </c>
      <c r="E63" s="62" t="s">
        <v>40</v>
      </c>
      <c r="F63" s="62">
        <v>16</v>
      </c>
      <c r="G63" s="25"/>
      <c r="H63" s="27">
        <v>5208581.93</v>
      </c>
      <c r="I63" s="26">
        <v>0</v>
      </c>
      <c r="J63" s="23">
        <f>SUM(H63:I63)</f>
        <v>5208581.93</v>
      </c>
      <c r="K63" s="28"/>
      <c r="L63" s="29"/>
      <c r="M63" s="55">
        <v>0</v>
      </c>
      <c r="N63" s="62" t="s">
        <v>40</v>
      </c>
      <c r="O63" s="25">
        <v>16</v>
      </c>
      <c r="P63" s="27">
        <f>+D63+H63-M63</f>
        <v>5208581.93</v>
      </c>
      <c r="Q63" s="27">
        <v>0</v>
      </c>
      <c r="R63" s="99">
        <f>D63+J63-M63</f>
        <v>5208581.93</v>
      </c>
    </row>
    <row r="64" spans="1:18" ht="18.600000000000001">
      <c r="A64" s="8"/>
      <c r="B64" s="100" t="s">
        <v>41</v>
      </c>
      <c r="C64" s="101"/>
      <c r="D64" s="23"/>
      <c r="E64" s="62" t="s">
        <v>42</v>
      </c>
      <c r="F64" s="62"/>
      <c r="G64" s="25"/>
      <c r="H64" s="25"/>
      <c r="I64" s="25"/>
      <c r="J64" s="23"/>
      <c r="K64" s="28"/>
      <c r="L64" s="29"/>
      <c r="M64" s="55"/>
      <c r="N64" s="62" t="s">
        <v>42</v>
      </c>
      <c r="O64" s="25"/>
      <c r="P64" s="27"/>
      <c r="Q64" s="25"/>
      <c r="R64" s="92"/>
    </row>
    <row r="65" spans="1:18" ht="18.600000000000001">
      <c r="A65" s="8"/>
      <c r="B65" s="103" t="s">
        <v>43</v>
      </c>
      <c r="C65" s="104"/>
      <c r="D65" s="23"/>
      <c r="E65" s="24"/>
      <c r="F65" s="24"/>
      <c r="G65" s="25"/>
      <c r="H65" s="25"/>
      <c r="I65" s="25"/>
      <c r="J65" s="23"/>
      <c r="K65" s="28"/>
      <c r="L65" s="29"/>
      <c r="M65" s="55"/>
      <c r="N65" s="31"/>
      <c r="O65" s="25"/>
      <c r="P65" s="27"/>
      <c r="Q65" s="25"/>
      <c r="R65" s="92"/>
    </row>
    <row r="66" spans="1:18" ht="18.600000000000001">
      <c r="A66" s="8"/>
      <c r="B66" s="103" t="s">
        <v>44</v>
      </c>
      <c r="C66" s="104"/>
      <c r="D66" s="23"/>
      <c r="E66" s="24"/>
      <c r="F66" s="24"/>
      <c r="G66" s="25"/>
      <c r="H66" s="25"/>
      <c r="I66" s="25"/>
      <c r="J66" s="23"/>
      <c r="K66" s="28"/>
      <c r="L66" s="29"/>
      <c r="M66" s="55"/>
      <c r="N66" s="31"/>
      <c r="O66" s="25"/>
      <c r="P66" s="27"/>
      <c r="Q66" s="25"/>
      <c r="R66" s="92"/>
    </row>
    <row r="67" spans="1:18" ht="18.600000000000001">
      <c r="A67" s="8"/>
      <c r="B67" s="199" t="s">
        <v>19</v>
      </c>
      <c r="C67" s="200"/>
      <c r="D67" s="23"/>
      <c r="E67" s="24"/>
      <c r="F67" s="24"/>
      <c r="G67" s="25"/>
      <c r="H67" s="25"/>
      <c r="I67" s="25"/>
      <c r="J67" s="23"/>
      <c r="K67" s="28"/>
      <c r="L67" s="29"/>
      <c r="M67" s="55"/>
      <c r="N67" s="31"/>
      <c r="O67" s="25"/>
      <c r="P67" s="27"/>
      <c r="Q67" s="25"/>
      <c r="R67" s="92"/>
    </row>
    <row r="68" spans="1:18" ht="21.6" thickBot="1">
      <c r="A68" s="105"/>
      <c r="B68" s="201"/>
      <c r="C68" s="202"/>
      <c r="D68" s="106">
        <f>SUM(D59:D67)</f>
        <v>0</v>
      </c>
      <c r="E68" s="106"/>
      <c r="F68" s="106"/>
      <c r="G68" s="106"/>
      <c r="H68" s="106">
        <f t="shared" ref="H68:M68" si="0">SUM(H59:H67)</f>
        <v>5530855.9100000001</v>
      </c>
      <c r="I68" s="106">
        <f t="shared" si="0"/>
        <v>0</v>
      </c>
      <c r="J68" s="106">
        <f t="shared" si="0"/>
        <v>5530855.9100000001</v>
      </c>
      <c r="K68" s="107"/>
      <c r="L68" s="107"/>
      <c r="M68" s="107">
        <f t="shared" si="0"/>
        <v>0</v>
      </c>
      <c r="N68" s="108"/>
      <c r="O68" s="106"/>
      <c r="P68" s="106">
        <f>SUM(P59:P67)</f>
        <v>5530855.9100000001</v>
      </c>
      <c r="Q68" s="106">
        <f>SUM(Q59:Q67)</f>
        <v>0</v>
      </c>
      <c r="R68" s="106">
        <f>SUM(R59:R67)</f>
        <v>5530855.9100000001</v>
      </c>
    </row>
    <row r="69" spans="1:18" ht="19.2" thickTop="1">
      <c r="A69" s="8"/>
      <c r="B69" s="51" t="s">
        <v>45</v>
      </c>
      <c r="C69" s="52"/>
      <c r="D69" s="11"/>
      <c r="E69" s="12"/>
      <c r="F69" s="12"/>
      <c r="G69" s="53"/>
      <c r="H69" s="14"/>
      <c r="I69" s="15"/>
      <c r="J69" s="11"/>
      <c r="K69" s="16"/>
      <c r="L69" s="17"/>
      <c r="M69" s="18"/>
      <c r="N69" s="19"/>
      <c r="O69" s="13"/>
      <c r="P69" s="13"/>
      <c r="Q69" s="13"/>
      <c r="R69" s="20"/>
    </row>
    <row r="70" spans="1:18" ht="18.600000000000001">
      <c r="A70" s="8">
        <v>1</v>
      </c>
      <c r="B70" s="62"/>
      <c r="C70" s="63"/>
      <c r="D70" s="23">
        <v>0</v>
      </c>
      <c r="E70" s="24"/>
      <c r="F70" s="24"/>
      <c r="G70" s="25"/>
      <c r="H70" s="26">
        <v>0</v>
      </c>
      <c r="I70" s="27">
        <f>H70*0.07</f>
        <v>0</v>
      </c>
      <c r="J70" s="23">
        <v>0</v>
      </c>
      <c r="K70" s="28"/>
      <c r="L70" s="29"/>
      <c r="M70" s="30">
        <v>0</v>
      </c>
      <c r="N70" s="31"/>
      <c r="O70" s="25"/>
      <c r="P70" s="27">
        <f>ROUND(R70*100/107,2)</f>
        <v>0</v>
      </c>
      <c r="Q70" s="27">
        <f>P70*0.07</f>
        <v>0</v>
      </c>
      <c r="R70" s="32">
        <f>D70+J70-M70</f>
        <v>0</v>
      </c>
    </row>
    <row r="71" spans="1:18" ht="18.600000000000001">
      <c r="A71" s="8">
        <f>+A70+1</f>
        <v>2</v>
      </c>
      <c r="B71" s="64" t="s">
        <v>21</v>
      </c>
      <c r="C71" s="63"/>
      <c r="D71" s="23">
        <v>0</v>
      </c>
      <c r="E71" s="24"/>
      <c r="F71" s="24"/>
      <c r="G71" s="25"/>
      <c r="H71" s="34">
        <v>0</v>
      </c>
      <c r="I71" s="35">
        <f>H71*0.07</f>
        <v>0</v>
      </c>
      <c r="J71" s="36">
        <v>0</v>
      </c>
      <c r="K71" s="28"/>
      <c r="L71" s="29"/>
      <c r="M71" s="30">
        <v>0</v>
      </c>
      <c r="N71" s="31"/>
      <c r="O71" s="25"/>
      <c r="P71" s="27">
        <f>ROUND(R71*100/107,2)</f>
        <v>0</v>
      </c>
      <c r="Q71" s="27">
        <f>P71*0.07</f>
        <v>0</v>
      </c>
      <c r="R71" s="32">
        <f>D71+J71-M71</f>
        <v>0</v>
      </c>
    </row>
    <row r="72" spans="1:18" ht="18.600000000000001">
      <c r="A72" s="8">
        <f>+A71+1</f>
        <v>3</v>
      </c>
      <c r="B72" s="65"/>
      <c r="C72" s="63"/>
      <c r="D72" s="23">
        <v>0</v>
      </c>
      <c r="E72" s="24"/>
      <c r="F72" s="38"/>
      <c r="G72" s="39"/>
      <c r="H72" s="40">
        <f>J72*100/107</f>
        <v>0</v>
      </c>
      <c r="I72" s="40">
        <f>H72*0.07</f>
        <v>0</v>
      </c>
      <c r="J72" s="41">
        <v>0</v>
      </c>
      <c r="K72" s="28"/>
      <c r="L72" s="29"/>
      <c r="M72" s="30">
        <v>0</v>
      </c>
      <c r="N72" s="31"/>
      <c r="O72" s="25"/>
      <c r="P72" s="27">
        <f>ROUND(R72*100/107,2)</f>
        <v>0</v>
      </c>
      <c r="Q72" s="27">
        <f>P72*0.07</f>
        <v>0</v>
      </c>
      <c r="R72" s="32">
        <f>D72+J72-M72</f>
        <v>0</v>
      </c>
    </row>
    <row r="73" spans="1:18" ht="19.2" thickBot="1">
      <c r="A73" s="42"/>
      <c r="B73" s="191" t="s">
        <v>19</v>
      </c>
      <c r="C73" s="192"/>
      <c r="D73" s="43">
        <f>SUM(D70:D72)</f>
        <v>0</v>
      </c>
      <c r="E73" s="43"/>
      <c r="F73" s="43"/>
      <c r="G73" s="44"/>
      <c r="H73" s="44">
        <f>SUM(H70:H72)</f>
        <v>0</v>
      </c>
      <c r="I73" s="44">
        <f>SUM(I70:I72)</f>
        <v>0</v>
      </c>
      <c r="J73" s="44">
        <f>SUM(J70:J72)</f>
        <v>0</v>
      </c>
      <c r="K73" s="45"/>
      <c r="L73" s="46"/>
      <c r="M73" s="47">
        <f>SUM(M70:M72)</f>
        <v>0</v>
      </c>
      <c r="N73" s="48"/>
      <c r="O73" s="43"/>
      <c r="P73" s="49">
        <f>ROUND(R73*100/107,2)</f>
        <v>0</v>
      </c>
      <c r="Q73" s="49">
        <f>P73*0.07</f>
        <v>0</v>
      </c>
      <c r="R73" s="50">
        <f>SUM(R70:R72)</f>
        <v>0</v>
      </c>
    </row>
    <row r="74" spans="1:18" ht="19.2" thickTop="1">
      <c r="A74" s="42"/>
      <c r="B74" s="109" t="s">
        <v>46</v>
      </c>
      <c r="C74" s="110"/>
      <c r="D74" s="69"/>
      <c r="E74" s="70"/>
      <c r="F74" s="70"/>
      <c r="G74" s="78"/>
      <c r="H74" s="85">
        <f>J74*100/107</f>
        <v>0</v>
      </c>
      <c r="I74" s="85">
        <f>H74*0.07</f>
        <v>0</v>
      </c>
      <c r="J74" s="111"/>
      <c r="K74" s="74"/>
      <c r="L74" s="75"/>
      <c r="M74" s="76"/>
      <c r="N74" s="77"/>
      <c r="O74" s="78"/>
      <c r="P74" s="78"/>
      <c r="Q74" s="78"/>
      <c r="R74" s="79"/>
    </row>
    <row r="75" spans="1:18" ht="18.600000000000001">
      <c r="A75" s="42">
        <v>1</v>
      </c>
      <c r="B75" s="97"/>
      <c r="C75" s="112"/>
      <c r="D75" s="23">
        <v>0</v>
      </c>
      <c r="E75" s="24"/>
      <c r="F75" s="24"/>
      <c r="G75" s="25"/>
      <c r="H75" s="26">
        <v>0</v>
      </c>
      <c r="I75" s="27">
        <f>H75*0.07</f>
        <v>0</v>
      </c>
      <c r="J75" s="23">
        <v>0</v>
      </c>
      <c r="K75" s="28"/>
      <c r="L75" s="29"/>
      <c r="M75" s="55">
        <v>0</v>
      </c>
      <c r="N75" s="54"/>
      <c r="O75" s="25"/>
      <c r="P75" s="27">
        <f>ROUND(R75*100/107,2)</f>
        <v>0</v>
      </c>
      <c r="Q75" s="27">
        <f>P75*0.07</f>
        <v>0</v>
      </c>
      <c r="R75" s="32">
        <f>D75+J75-M75</f>
        <v>0</v>
      </c>
    </row>
    <row r="76" spans="1:18" ht="18.600000000000001">
      <c r="A76" s="42">
        <f>+A75+1</f>
        <v>2</v>
      </c>
      <c r="B76" s="113" t="s">
        <v>21</v>
      </c>
      <c r="C76" s="112"/>
      <c r="D76" s="23">
        <v>0</v>
      </c>
      <c r="E76" s="24"/>
      <c r="F76" s="24"/>
      <c r="G76" s="25"/>
      <c r="H76" s="26">
        <v>0</v>
      </c>
      <c r="I76" s="27">
        <f>H76*0.07</f>
        <v>0</v>
      </c>
      <c r="J76" s="23">
        <v>0</v>
      </c>
      <c r="K76" s="28"/>
      <c r="L76" s="29"/>
      <c r="M76" s="55">
        <v>0</v>
      </c>
      <c r="N76" s="31"/>
      <c r="O76" s="25"/>
      <c r="P76" s="27">
        <v>0</v>
      </c>
      <c r="Q76" s="27">
        <f>P76*0.07</f>
        <v>0</v>
      </c>
      <c r="R76" s="32">
        <f>D76+J76-M76</f>
        <v>0</v>
      </c>
    </row>
    <row r="77" spans="1:18" ht="18.600000000000001">
      <c r="A77" s="42">
        <f>+A76+1</f>
        <v>3</v>
      </c>
      <c r="B77" s="62"/>
      <c r="C77" s="112"/>
      <c r="D77" s="23">
        <v>0</v>
      </c>
      <c r="E77" s="24"/>
      <c r="F77" s="24"/>
      <c r="G77" s="25"/>
      <c r="H77" s="26">
        <v>0</v>
      </c>
      <c r="I77" s="27">
        <f>H77*0.07</f>
        <v>0</v>
      </c>
      <c r="J77" s="23">
        <v>0</v>
      </c>
      <c r="K77" s="28"/>
      <c r="L77" s="29"/>
      <c r="M77" s="55">
        <v>0</v>
      </c>
      <c r="N77" s="31"/>
      <c r="O77" s="25"/>
      <c r="P77" s="27">
        <f>ROUND(R77*100/107,2)</f>
        <v>0</v>
      </c>
      <c r="Q77" s="27">
        <f>P77*0.07</f>
        <v>0</v>
      </c>
      <c r="R77" s="32">
        <f>D77+J77-M77</f>
        <v>0</v>
      </c>
    </row>
    <row r="78" spans="1:18" ht="19.2" thickBot="1">
      <c r="A78" s="42"/>
      <c r="B78" s="191" t="s">
        <v>19</v>
      </c>
      <c r="C78" s="192"/>
      <c r="D78" s="106">
        <f>SUM(D75:D77)</f>
        <v>0</v>
      </c>
      <c r="E78" s="106"/>
      <c r="F78" s="106"/>
      <c r="G78" s="106"/>
      <c r="H78" s="106">
        <f>SUM(H75:H77)</f>
        <v>0</v>
      </c>
      <c r="I78" s="106">
        <f>SUM(I75:I77)</f>
        <v>0</v>
      </c>
      <c r="J78" s="106">
        <f>SUM(J75:J77)</f>
        <v>0</v>
      </c>
      <c r="K78" s="114"/>
      <c r="L78" s="114"/>
      <c r="M78" s="107">
        <f>SUM(M75:M77)</f>
        <v>0</v>
      </c>
      <c r="N78" s="108"/>
      <c r="O78" s="106"/>
      <c r="P78" s="106">
        <f>SUM(P75:P77)</f>
        <v>0</v>
      </c>
      <c r="Q78" s="106">
        <f>SUM(Q75:Q77)</f>
        <v>0</v>
      </c>
      <c r="R78" s="106">
        <f>SUM(R75:R77)</f>
        <v>0</v>
      </c>
    </row>
    <row r="79" spans="1:18" ht="19.2" thickTop="1">
      <c r="A79" s="42"/>
      <c r="B79" s="115" t="s">
        <v>47</v>
      </c>
      <c r="C79" s="94"/>
      <c r="D79" s="111"/>
      <c r="E79" s="70"/>
      <c r="F79" s="70"/>
      <c r="G79" s="78"/>
      <c r="H79" s="116"/>
      <c r="I79" s="78"/>
      <c r="J79" s="69"/>
      <c r="K79" s="16"/>
      <c r="L79" s="17"/>
      <c r="M79" s="18"/>
      <c r="N79" s="77"/>
      <c r="O79" s="78"/>
      <c r="P79" s="78"/>
      <c r="Q79" s="78"/>
      <c r="R79" s="96"/>
    </row>
    <row r="80" spans="1:18" ht="18.600000000000001">
      <c r="A80" s="42">
        <v>1</v>
      </c>
      <c r="B80" s="195"/>
      <c r="C80" s="196"/>
      <c r="D80" s="23">
        <v>0</v>
      </c>
      <c r="E80" s="77"/>
      <c r="F80" s="77"/>
      <c r="G80" s="78"/>
      <c r="H80" s="34">
        <v>0</v>
      </c>
      <c r="I80" s="27">
        <f>H80*0.07</f>
        <v>0</v>
      </c>
      <c r="J80" s="23">
        <f>SUM(H80:I80)</f>
        <v>0</v>
      </c>
      <c r="K80" s="56"/>
      <c r="L80" s="56"/>
      <c r="M80" s="55">
        <v>0</v>
      </c>
      <c r="N80" s="77"/>
      <c r="O80" s="78"/>
      <c r="P80" s="27">
        <f>R80*100/107</f>
        <v>0</v>
      </c>
      <c r="Q80" s="27">
        <f>P80*0.07</f>
        <v>0</v>
      </c>
      <c r="R80" s="32">
        <f>D80+J80-M80</f>
        <v>0</v>
      </c>
    </row>
    <row r="81" spans="1:18" ht="18.600000000000001">
      <c r="A81" s="8">
        <v>2</v>
      </c>
      <c r="B81" s="197" t="s">
        <v>21</v>
      </c>
      <c r="C81" s="198"/>
      <c r="D81" s="23">
        <v>0</v>
      </c>
      <c r="E81" s="31"/>
      <c r="F81" s="31"/>
      <c r="G81" s="25"/>
      <c r="H81" s="34">
        <v>0</v>
      </c>
      <c r="I81" s="27">
        <f>H81*0.07</f>
        <v>0</v>
      </c>
      <c r="J81" s="23">
        <f>SUM(H81:I81)</f>
        <v>0</v>
      </c>
      <c r="K81" s="56"/>
      <c r="L81" s="117"/>
      <c r="M81" s="55">
        <v>0</v>
      </c>
      <c r="N81" s="31"/>
      <c r="O81" s="25"/>
      <c r="P81" s="27">
        <f>ROUND(R81*100/107,2)</f>
        <v>0</v>
      </c>
      <c r="Q81" s="27">
        <f>P81*0.07</f>
        <v>0</v>
      </c>
      <c r="R81" s="32">
        <f>D81+J81-M81</f>
        <v>0</v>
      </c>
    </row>
    <row r="82" spans="1:18" ht="18.600000000000001">
      <c r="A82" s="42">
        <v>3</v>
      </c>
      <c r="B82" s="195"/>
      <c r="C82" s="196"/>
      <c r="D82" s="118">
        <v>0</v>
      </c>
      <c r="E82" s="54"/>
      <c r="F82" s="54"/>
      <c r="G82" s="25"/>
      <c r="H82" s="81">
        <v>0</v>
      </c>
      <c r="I82" s="27">
        <f>H82*0.07</f>
        <v>0</v>
      </c>
      <c r="J82" s="23">
        <f>SUM(H82:I82)</f>
        <v>0</v>
      </c>
      <c r="K82" s="56"/>
      <c r="L82" s="91"/>
      <c r="M82" s="55">
        <v>0</v>
      </c>
      <c r="N82" s="54"/>
      <c r="O82" s="25"/>
      <c r="P82" s="27">
        <f>R82*100/107</f>
        <v>0</v>
      </c>
      <c r="Q82" s="27">
        <f>P82*0.07</f>
        <v>0</v>
      </c>
      <c r="R82" s="32">
        <f>D82+J82-M82</f>
        <v>0</v>
      </c>
    </row>
    <row r="83" spans="1:18" ht="19.2" thickBot="1">
      <c r="A83" s="42"/>
      <c r="B83" s="191" t="s">
        <v>19</v>
      </c>
      <c r="C83" s="192"/>
      <c r="D83" s="43">
        <f>SUM(D80:D82)</f>
        <v>0</v>
      </c>
      <c r="E83" s="43"/>
      <c r="F83" s="43"/>
      <c r="G83" s="43"/>
      <c r="H83" s="43">
        <f>SUM(H80:H82)</f>
        <v>0</v>
      </c>
      <c r="I83" s="43">
        <f>SUM(I80:I82)</f>
        <v>0</v>
      </c>
      <c r="J83" s="43">
        <f>SUM(J80:J82)</f>
        <v>0</v>
      </c>
      <c r="K83" s="119"/>
      <c r="L83" s="119"/>
      <c r="M83" s="47">
        <f>SUM(M80:M82)</f>
        <v>0</v>
      </c>
      <c r="N83" s="48"/>
      <c r="O83" s="43"/>
      <c r="P83" s="43">
        <f>SUM(P80:P82)</f>
        <v>0</v>
      </c>
      <c r="Q83" s="43">
        <f>SUM(Q80:Q82)</f>
        <v>0</v>
      </c>
      <c r="R83" s="43">
        <f>SUM(R80:R82)</f>
        <v>0</v>
      </c>
    </row>
    <row r="84" spans="1:18" ht="19.2" thickTop="1">
      <c r="A84" s="8"/>
      <c r="B84" s="51" t="s">
        <v>48</v>
      </c>
      <c r="C84" s="52"/>
      <c r="D84" s="11"/>
      <c r="E84" s="12"/>
      <c r="F84" s="12"/>
      <c r="G84" s="53"/>
      <c r="H84" s="14"/>
      <c r="I84" s="15"/>
      <c r="J84" s="11"/>
      <c r="K84" s="16"/>
      <c r="L84" s="17"/>
      <c r="M84" s="18"/>
      <c r="N84" s="19"/>
      <c r="O84" s="13"/>
      <c r="P84" s="13"/>
      <c r="Q84" s="13"/>
      <c r="R84" s="20"/>
    </row>
    <row r="85" spans="1:18" ht="18.600000000000001">
      <c r="A85" s="8">
        <v>1</v>
      </c>
      <c r="B85" s="62"/>
      <c r="C85" s="63"/>
      <c r="D85" s="23">
        <v>0</v>
      </c>
      <c r="E85" s="24"/>
      <c r="F85" s="24"/>
      <c r="G85" s="25"/>
      <c r="H85" s="26">
        <v>0</v>
      </c>
      <c r="I85" s="27">
        <f>H85*0.07</f>
        <v>0</v>
      </c>
      <c r="J85" s="23">
        <v>0</v>
      </c>
      <c r="K85" s="28"/>
      <c r="L85" s="29"/>
      <c r="M85" s="30">
        <v>0</v>
      </c>
      <c r="N85" s="31"/>
      <c r="O85" s="25"/>
      <c r="P85" s="27">
        <f>ROUND(R85*100/107,2)</f>
        <v>0</v>
      </c>
      <c r="Q85" s="27">
        <f>P85*0.07</f>
        <v>0</v>
      </c>
      <c r="R85" s="32">
        <f>D85+J85-M85</f>
        <v>0</v>
      </c>
    </row>
    <row r="86" spans="1:18" ht="18.600000000000001">
      <c r="A86" s="8">
        <f>+A85+1</f>
        <v>2</v>
      </c>
      <c r="B86" s="64" t="s">
        <v>21</v>
      </c>
      <c r="C86" s="63"/>
      <c r="D86" s="23">
        <v>0</v>
      </c>
      <c r="E86" s="24"/>
      <c r="F86" s="24"/>
      <c r="G86" s="25"/>
      <c r="H86" s="34">
        <v>0</v>
      </c>
      <c r="I86" s="35">
        <f>H86*0.07</f>
        <v>0</v>
      </c>
      <c r="J86" s="36">
        <v>0</v>
      </c>
      <c r="K86" s="28"/>
      <c r="L86" s="29"/>
      <c r="M86" s="30">
        <v>0</v>
      </c>
      <c r="N86" s="31"/>
      <c r="O86" s="25"/>
      <c r="P86" s="27">
        <f>ROUND(R86*100/107,2)</f>
        <v>0</v>
      </c>
      <c r="Q86" s="27">
        <f>P86*0.07</f>
        <v>0</v>
      </c>
      <c r="R86" s="32">
        <f>D86+J86-M86</f>
        <v>0</v>
      </c>
    </row>
    <row r="87" spans="1:18" ht="18.600000000000001">
      <c r="A87" s="8">
        <f>+A86+1</f>
        <v>3</v>
      </c>
      <c r="B87" s="65"/>
      <c r="C87" s="63"/>
      <c r="D87" s="23">
        <v>0</v>
      </c>
      <c r="E87" s="24"/>
      <c r="F87" s="38"/>
      <c r="G87" s="39"/>
      <c r="H87" s="40">
        <f>J87*100/107</f>
        <v>0</v>
      </c>
      <c r="I87" s="40">
        <f>H87*0.07</f>
        <v>0</v>
      </c>
      <c r="J87" s="41">
        <v>0</v>
      </c>
      <c r="K87" s="28"/>
      <c r="L87" s="29"/>
      <c r="M87" s="30">
        <v>0</v>
      </c>
      <c r="N87" s="31"/>
      <c r="O87" s="25"/>
      <c r="P87" s="27">
        <f>ROUND(R87*100/107,2)</f>
        <v>0</v>
      </c>
      <c r="Q87" s="27">
        <f>P87*0.07</f>
        <v>0</v>
      </c>
      <c r="R87" s="32">
        <f>D87+J87-M87</f>
        <v>0</v>
      </c>
    </row>
    <row r="88" spans="1:18" ht="19.2" thickBot="1">
      <c r="A88" s="42"/>
      <c r="B88" s="191" t="s">
        <v>19</v>
      </c>
      <c r="C88" s="192"/>
      <c r="D88" s="43">
        <f>SUM(D85:D87)</f>
        <v>0</v>
      </c>
      <c r="E88" s="43"/>
      <c r="F88" s="43"/>
      <c r="G88" s="44"/>
      <c r="H88" s="44">
        <f>SUM(H85:H87)</f>
        <v>0</v>
      </c>
      <c r="I88" s="44">
        <f>SUM(I85:I87)</f>
        <v>0</v>
      </c>
      <c r="J88" s="44">
        <f>SUM(J85:J87)</f>
        <v>0</v>
      </c>
      <c r="K88" s="45"/>
      <c r="L88" s="46"/>
      <c r="M88" s="47">
        <f>SUM(M85:M87)</f>
        <v>0</v>
      </c>
      <c r="N88" s="48"/>
      <c r="O88" s="43"/>
      <c r="P88" s="49">
        <f>ROUND(R88*100/107,2)</f>
        <v>0</v>
      </c>
      <c r="Q88" s="49">
        <f>P88*0.07</f>
        <v>0</v>
      </c>
      <c r="R88" s="50">
        <f>SUM(R85:R87)</f>
        <v>0</v>
      </c>
    </row>
    <row r="89" spans="1:18" ht="19.2" thickTop="1">
      <c r="A89" s="8"/>
      <c r="B89" s="67" t="s">
        <v>49</v>
      </c>
      <c r="C89" s="68"/>
      <c r="D89" s="69"/>
      <c r="E89" s="70"/>
      <c r="F89" s="70"/>
      <c r="G89" s="71"/>
      <c r="H89" s="72"/>
      <c r="I89" s="73"/>
      <c r="J89" s="69"/>
      <c r="K89" s="74"/>
      <c r="L89" s="75"/>
      <c r="M89" s="76"/>
      <c r="N89" s="77"/>
      <c r="O89" s="78"/>
      <c r="P89" s="78"/>
      <c r="Q89" s="78"/>
      <c r="R89" s="79"/>
    </row>
    <row r="90" spans="1:18" ht="18.600000000000001">
      <c r="A90" s="8">
        <v>1</v>
      </c>
      <c r="B90" s="62"/>
      <c r="C90" s="63"/>
      <c r="D90" s="23">
        <v>0</v>
      </c>
      <c r="E90" s="24"/>
      <c r="F90" s="24"/>
      <c r="G90" s="25"/>
      <c r="H90" s="81">
        <v>0</v>
      </c>
      <c r="I90" s="27">
        <f>H90*0.07</f>
        <v>0</v>
      </c>
      <c r="J90" s="23">
        <v>0</v>
      </c>
      <c r="K90" s="28"/>
      <c r="L90" s="29"/>
      <c r="M90" s="30">
        <v>0</v>
      </c>
      <c r="N90" s="31"/>
      <c r="O90" s="25"/>
      <c r="P90" s="27">
        <f>ROUND(R90*100/107,2)</f>
        <v>0</v>
      </c>
      <c r="Q90" s="27">
        <f>P90*0.07</f>
        <v>0</v>
      </c>
      <c r="R90" s="32">
        <f>D90+J90-M90</f>
        <v>0</v>
      </c>
    </row>
    <row r="91" spans="1:18" ht="18.600000000000001">
      <c r="A91" s="8">
        <f>+A90+1</f>
        <v>2</v>
      </c>
      <c r="B91" s="64" t="s">
        <v>21</v>
      </c>
      <c r="C91" s="63"/>
      <c r="D91" s="23">
        <v>0</v>
      </c>
      <c r="E91" s="24"/>
      <c r="F91" s="24"/>
      <c r="G91" s="25"/>
      <c r="H91" s="34">
        <v>0</v>
      </c>
      <c r="I91" s="35">
        <f>H91*0.07</f>
        <v>0</v>
      </c>
      <c r="J91" s="36">
        <v>0</v>
      </c>
      <c r="K91" s="28"/>
      <c r="L91" s="29"/>
      <c r="M91" s="30">
        <v>0</v>
      </c>
      <c r="N91" s="31"/>
      <c r="O91" s="25"/>
      <c r="P91" s="27">
        <f>ROUND(R91*100/107,2)</f>
        <v>0</v>
      </c>
      <c r="Q91" s="27">
        <f>P91*0.07</f>
        <v>0</v>
      </c>
      <c r="R91" s="32">
        <f>D91+J91-M91</f>
        <v>0</v>
      </c>
    </row>
    <row r="92" spans="1:18" ht="18.600000000000001">
      <c r="A92" s="8">
        <f>+A91+1</f>
        <v>3</v>
      </c>
      <c r="B92" s="65"/>
      <c r="C92" s="63"/>
      <c r="D92" s="23">
        <v>0</v>
      </c>
      <c r="E92" s="24"/>
      <c r="F92" s="38"/>
      <c r="G92" s="39"/>
      <c r="H92" s="40">
        <f>J92*100/107</f>
        <v>0</v>
      </c>
      <c r="I92" s="40">
        <f>H92*0.07</f>
        <v>0</v>
      </c>
      <c r="J92" s="41">
        <v>0</v>
      </c>
      <c r="K92" s="28"/>
      <c r="L92" s="29"/>
      <c r="M92" s="30">
        <v>0</v>
      </c>
      <c r="N92" s="31"/>
      <c r="O92" s="25"/>
      <c r="P92" s="27">
        <f>ROUND(R92*100/107,2)</f>
        <v>0</v>
      </c>
      <c r="Q92" s="27">
        <f>P92*0.07</f>
        <v>0</v>
      </c>
      <c r="R92" s="32">
        <f>D92+J92-M92</f>
        <v>0</v>
      </c>
    </row>
    <row r="93" spans="1:18" ht="19.2" thickBot="1">
      <c r="A93" s="42"/>
      <c r="B93" s="191" t="s">
        <v>19</v>
      </c>
      <c r="C93" s="192"/>
      <c r="D93" s="43">
        <f>SUM(D90:D92)</f>
        <v>0</v>
      </c>
      <c r="E93" s="43"/>
      <c r="F93" s="43"/>
      <c r="G93" s="44"/>
      <c r="H93" s="44">
        <f>SUM(H90:H92)</f>
        <v>0</v>
      </c>
      <c r="I93" s="44">
        <f>SUM(I90:I92)</f>
        <v>0</v>
      </c>
      <c r="J93" s="44">
        <f>SUM(J90:J92)</f>
        <v>0</v>
      </c>
      <c r="K93" s="45"/>
      <c r="L93" s="46"/>
      <c r="M93" s="47">
        <f>SUM(M90:M92)</f>
        <v>0</v>
      </c>
      <c r="N93" s="48"/>
      <c r="O93" s="43"/>
      <c r="P93" s="49">
        <f>ROUND(R93*100/107,2)</f>
        <v>0</v>
      </c>
      <c r="Q93" s="49">
        <f>P93*0.07</f>
        <v>0</v>
      </c>
      <c r="R93" s="50">
        <f>SUM(R90:R92)</f>
        <v>0</v>
      </c>
    </row>
    <row r="94" spans="1:18" ht="19.2" thickTop="1">
      <c r="A94" s="8"/>
      <c r="B94" s="67" t="s">
        <v>50</v>
      </c>
      <c r="C94" s="68"/>
      <c r="D94" s="69"/>
      <c r="E94" s="70"/>
      <c r="F94" s="70"/>
      <c r="G94" s="71"/>
      <c r="H94" s="72"/>
      <c r="I94" s="73"/>
      <c r="J94" s="69"/>
      <c r="K94" s="74"/>
      <c r="L94" s="75"/>
      <c r="M94" s="76"/>
      <c r="N94" s="77"/>
      <c r="O94" s="78"/>
      <c r="P94" s="78"/>
      <c r="Q94" s="78"/>
      <c r="R94" s="79"/>
    </row>
    <row r="95" spans="1:18" ht="18.600000000000001">
      <c r="A95" s="8">
        <v>1</v>
      </c>
      <c r="B95" s="62"/>
      <c r="C95" s="63"/>
      <c r="D95" s="23">
        <v>0</v>
      </c>
      <c r="E95" s="24"/>
      <c r="F95" s="24"/>
      <c r="G95" s="25"/>
      <c r="H95" s="81">
        <v>0</v>
      </c>
      <c r="I95" s="27">
        <f>H95*0.07</f>
        <v>0</v>
      </c>
      <c r="J95" s="23">
        <v>0</v>
      </c>
      <c r="K95" s="28"/>
      <c r="L95" s="29"/>
      <c r="M95" s="30">
        <v>0</v>
      </c>
      <c r="N95" s="31"/>
      <c r="O95" s="25"/>
      <c r="P95" s="27">
        <f>ROUND(R95*100/107,2)</f>
        <v>0</v>
      </c>
      <c r="Q95" s="27">
        <f>P95*0.07</f>
        <v>0</v>
      </c>
      <c r="R95" s="32">
        <f>D95+J95-M95</f>
        <v>0</v>
      </c>
    </row>
    <row r="96" spans="1:18" ht="18.600000000000001">
      <c r="A96" s="8">
        <f>+A95+1</f>
        <v>2</v>
      </c>
      <c r="B96" s="64" t="s">
        <v>21</v>
      </c>
      <c r="C96" s="63"/>
      <c r="D96" s="23">
        <v>0</v>
      </c>
      <c r="E96" s="24"/>
      <c r="F96" s="24"/>
      <c r="G96" s="25"/>
      <c r="H96" s="27">
        <v>0</v>
      </c>
      <c r="I96" s="27">
        <f>H96*0.07</f>
        <v>0</v>
      </c>
      <c r="J96" s="36">
        <v>0</v>
      </c>
      <c r="K96" s="28"/>
      <c r="L96" s="29"/>
      <c r="M96" s="30">
        <v>0</v>
      </c>
      <c r="N96" s="31"/>
      <c r="O96" s="25"/>
      <c r="P96" s="27">
        <f>ROUND(R96*100/107,2)</f>
        <v>0</v>
      </c>
      <c r="Q96" s="27">
        <f>P96*0.07</f>
        <v>0</v>
      </c>
      <c r="R96" s="32">
        <f>D96+J96-M96</f>
        <v>0</v>
      </c>
    </row>
    <row r="97" spans="1:18" ht="18.600000000000001">
      <c r="A97" s="8">
        <f>+A96+1</f>
        <v>3</v>
      </c>
      <c r="B97" s="65"/>
      <c r="C97" s="63"/>
      <c r="D97" s="23">
        <v>0</v>
      </c>
      <c r="E97" s="24"/>
      <c r="F97" s="38"/>
      <c r="G97" s="39"/>
      <c r="H97" s="40">
        <f>J97*100/107</f>
        <v>0</v>
      </c>
      <c r="I97" s="40">
        <f>H97*0.07</f>
        <v>0</v>
      </c>
      <c r="J97" s="41">
        <v>0</v>
      </c>
      <c r="K97" s="28"/>
      <c r="L97" s="29"/>
      <c r="M97" s="30">
        <v>0</v>
      </c>
      <c r="N97" s="31"/>
      <c r="O97" s="25"/>
      <c r="P97" s="27">
        <f>ROUND(R97*100/107,2)</f>
        <v>0</v>
      </c>
      <c r="Q97" s="27">
        <f>P97*0.07</f>
        <v>0</v>
      </c>
      <c r="R97" s="32">
        <f>D97+J97-M97</f>
        <v>0</v>
      </c>
    </row>
    <row r="98" spans="1:18" ht="19.2" thickBot="1">
      <c r="A98" s="42"/>
      <c r="B98" s="191" t="s">
        <v>19</v>
      </c>
      <c r="C98" s="192"/>
      <c r="D98" s="43">
        <f>SUM(D95:D97)</f>
        <v>0</v>
      </c>
      <c r="E98" s="43"/>
      <c r="F98" s="43"/>
      <c r="G98" s="44"/>
      <c r="H98" s="44">
        <f>SUM(H95:H97)</f>
        <v>0</v>
      </c>
      <c r="I98" s="44">
        <f>SUM(I95:I97)</f>
        <v>0</v>
      </c>
      <c r="J98" s="44">
        <f>SUM(J95:J97)</f>
        <v>0</v>
      </c>
      <c r="K98" s="45"/>
      <c r="L98" s="46"/>
      <c r="M98" s="47">
        <f>SUM(M95:M97)</f>
        <v>0</v>
      </c>
      <c r="N98" s="48"/>
      <c r="O98" s="43"/>
      <c r="P98" s="49">
        <f>ROUND(R98*100/107,2)</f>
        <v>0</v>
      </c>
      <c r="Q98" s="49">
        <f>P98*0.07</f>
        <v>0</v>
      </c>
      <c r="R98" s="50">
        <f>SUM(R95:R97)</f>
        <v>0</v>
      </c>
    </row>
    <row r="99" spans="1:18" ht="19.2" thickTop="1">
      <c r="A99" s="8"/>
      <c r="B99" s="67" t="s">
        <v>51</v>
      </c>
      <c r="C99" s="68"/>
      <c r="D99" s="69"/>
      <c r="E99" s="70"/>
      <c r="F99" s="70"/>
      <c r="G99" s="71"/>
      <c r="H99" s="72"/>
      <c r="I99" s="73"/>
      <c r="J99" s="69"/>
      <c r="K99" s="74"/>
      <c r="L99" s="75"/>
      <c r="M99" s="76"/>
      <c r="N99" s="77"/>
      <c r="O99" s="78"/>
      <c r="P99" s="78"/>
      <c r="Q99" s="78"/>
      <c r="R99" s="79"/>
    </row>
    <row r="100" spans="1:18" ht="18.600000000000001">
      <c r="A100" s="8">
        <v>1</v>
      </c>
      <c r="B100" s="62"/>
      <c r="C100" s="63"/>
      <c r="D100" s="23">
        <v>0</v>
      </c>
      <c r="E100" s="24"/>
      <c r="F100" s="24"/>
      <c r="G100" s="25"/>
      <c r="H100" s="26">
        <v>0</v>
      </c>
      <c r="I100" s="27">
        <f>H100*0.07</f>
        <v>0</v>
      </c>
      <c r="J100" s="23">
        <v>0</v>
      </c>
      <c r="K100" s="28"/>
      <c r="L100" s="29"/>
      <c r="M100" s="30">
        <v>0</v>
      </c>
      <c r="N100" s="31"/>
      <c r="O100" s="25"/>
      <c r="P100" s="27">
        <f>ROUND(R100*100/107,2)</f>
        <v>0</v>
      </c>
      <c r="Q100" s="27">
        <f>P100*0.07</f>
        <v>0</v>
      </c>
      <c r="R100" s="32">
        <f>D100+J100-M100</f>
        <v>0</v>
      </c>
    </row>
    <row r="101" spans="1:18" ht="18.600000000000001">
      <c r="A101" s="8">
        <f>+A100+1</f>
        <v>2</v>
      </c>
      <c r="B101" s="64" t="s">
        <v>21</v>
      </c>
      <c r="C101" s="63"/>
      <c r="D101" s="23">
        <v>0</v>
      </c>
      <c r="E101" s="24"/>
      <c r="F101" s="24"/>
      <c r="G101" s="25"/>
      <c r="H101" s="34">
        <v>0</v>
      </c>
      <c r="I101" s="35">
        <f>H101*0.07</f>
        <v>0</v>
      </c>
      <c r="J101" s="36">
        <v>0</v>
      </c>
      <c r="K101" s="28"/>
      <c r="L101" s="29"/>
      <c r="M101" s="30">
        <v>0</v>
      </c>
      <c r="N101" s="31"/>
      <c r="O101" s="25"/>
      <c r="P101" s="27">
        <f>ROUND(R101*100/107,2)</f>
        <v>0</v>
      </c>
      <c r="Q101" s="27">
        <f>P101*0.07</f>
        <v>0</v>
      </c>
      <c r="R101" s="32">
        <f>D101+J101-M101</f>
        <v>0</v>
      </c>
    </row>
    <row r="102" spans="1:18" ht="18.600000000000001">
      <c r="A102" s="8">
        <f>+A101+1</f>
        <v>3</v>
      </c>
      <c r="B102" s="65"/>
      <c r="C102" s="63"/>
      <c r="D102" s="23">
        <v>0</v>
      </c>
      <c r="E102" s="24"/>
      <c r="F102" s="38"/>
      <c r="G102" s="39"/>
      <c r="H102" s="40">
        <f>J102*100/107</f>
        <v>0</v>
      </c>
      <c r="I102" s="40">
        <f>H102*0.07</f>
        <v>0</v>
      </c>
      <c r="J102" s="41">
        <v>0</v>
      </c>
      <c r="K102" s="28"/>
      <c r="L102" s="29"/>
      <c r="M102" s="30">
        <v>0</v>
      </c>
      <c r="N102" s="31"/>
      <c r="O102" s="25"/>
      <c r="P102" s="27">
        <f>ROUND(R102*100/107,2)</f>
        <v>0</v>
      </c>
      <c r="Q102" s="27">
        <f>P102*0.07</f>
        <v>0</v>
      </c>
      <c r="R102" s="32">
        <f>D102+J102-M102</f>
        <v>0</v>
      </c>
    </row>
    <row r="103" spans="1:18" ht="19.2" thickBot="1">
      <c r="A103" s="42"/>
      <c r="B103" s="191" t="s">
        <v>19</v>
      </c>
      <c r="C103" s="192"/>
      <c r="D103" s="43">
        <f>SUM(D100:D102)</f>
        <v>0</v>
      </c>
      <c r="E103" s="43"/>
      <c r="F103" s="43"/>
      <c r="G103" s="44"/>
      <c r="H103" s="44">
        <f>SUM(H100:H102)</f>
        <v>0</v>
      </c>
      <c r="I103" s="44">
        <f>SUM(I100:I102)</f>
        <v>0</v>
      </c>
      <c r="J103" s="44">
        <f>SUM(J100:J102)</f>
        <v>0</v>
      </c>
      <c r="K103" s="45"/>
      <c r="L103" s="46"/>
      <c r="M103" s="47">
        <f>SUM(M100:M102)</f>
        <v>0</v>
      </c>
      <c r="N103" s="48"/>
      <c r="O103" s="43"/>
      <c r="P103" s="49">
        <f>ROUND(R103*100/107,2)</f>
        <v>0</v>
      </c>
      <c r="Q103" s="49">
        <f>P103*0.07</f>
        <v>0</v>
      </c>
      <c r="R103" s="50">
        <f>SUM(R100:R102)</f>
        <v>0</v>
      </c>
    </row>
    <row r="104" spans="1:18" ht="19.2" thickTop="1">
      <c r="A104" s="8"/>
      <c r="B104" s="67" t="s">
        <v>52</v>
      </c>
      <c r="C104" s="68"/>
      <c r="D104" s="69"/>
      <c r="E104" s="70"/>
      <c r="F104" s="70"/>
      <c r="G104" s="71"/>
      <c r="H104" s="72"/>
      <c r="I104" s="73"/>
      <c r="J104" s="69"/>
      <c r="K104" s="74"/>
      <c r="L104" s="75"/>
      <c r="M104" s="76"/>
      <c r="N104" s="77"/>
      <c r="O104" s="78"/>
      <c r="P104" s="78"/>
      <c r="Q104" s="78"/>
      <c r="R104" s="79"/>
    </row>
    <row r="105" spans="1:18" ht="18.600000000000001">
      <c r="A105" s="8">
        <v>1</v>
      </c>
      <c r="B105" s="62"/>
      <c r="C105" s="63"/>
      <c r="D105" s="23">
        <v>0</v>
      </c>
      <c r="E105" s="24"/>
      <c r="F105" s="24"/>
      <c r="G105" s="25"/>
      <c r="H105" s="26">
        <v>0</v>
      </c>
      <c r="I105" s="27">
        <f>H105*0.07</f>
        <v>0</v>
      </c>
      <c r="J105" s="23">
        <v>0</v>
      </c>
      <c r="K105" s="28"/>
      <c r="L105" s="29"/>
      <c r="M105" s="30">
        <v>0</v>
      </c>
      <c r="N105" s="31"/>
      <c r="O105" s="25"/>
      <c r="P105" s="27">
        <f>ROUND(R105*100/107,2)</f>
        <v>0</v>
      </c>
      <c r="Q105" s="27">
        <f>P105*0.07</f>
        <v>0</v>
      </c>
      <c r="R105" s="32">
        <f>D105+J105-M105</f>
        <v>0</v>
      </c>
    </row>
    <row r="106" spans="1:18" ht="18.600000000000001">
      <c r="A106" s="8">
        <f>+A105+1</f>
        <v>2</v>
      </c>
      <c r="B106" s="64" t="s">
        <v>21</v>
      </c>
      <c r="C106" s="63"/>
      <c r="D106" s="23">
        <v>0</v>
      </c>
      <c r="E106" s="24"/>
      <c r="F106" s="24"/>
      <c r="G106" s="25"/>
      <c r="H106" s="34">
        <v>0</v>
      </c>
      <c r="I106" s="35">
        <f>H106*0.07</f>
        <v>0</v>
      </c>
      <c r="J106" s="36">
        <v>0</v>
      </c>
      <c r="K106" s="28"/>
      <c r="L106" s="29"/>
      <c r="M106" s="30">
        <v>0</v>
      </c>
      <c r="N106" s="31"/>
      <c r="O106" s="25"/>
      <c r="P106" s="27">
        <f>ROUND(R106*100/107,2)</f>
        <v>0</v>
      </c>
      <c r="Q106" s="27">
        <f>P106*0.07</f>
        <v>0</v>
      </c>
      <c r="R106" s="32">
        <f>D106+J106-M106</f>
        <v>0</v>
      </c>
    </row>
    <row r="107" spans="1:18" ht="18.600000000000001">
      <c r="A107" s="8">
        <f>+A106+1</f>
        <v>3</v>
      </c>
      <c r="B107" s="65"/>
      <c r="C107" s="63"/>
      <c r="D107" s="23">
        <v>0</v>
      </c>
      <c r="E107" s="24"/>
      <c r="F107" s="38"/>
      <c r="G107" s="39"/>
      <c r="H107" s="40">
        <f>J107*100/107</f>
        <v>0</v>
      </c>
      <c r="I107" s="40">
        <f>H107*0.07</f>
        <v>0</v>
      </c>
      <c r="J107" s="41">
        <v>0</v>
      </c>
      <c r="K107" s="28"/>
      <c r="L107" s="29"/>
      <c r="M107" s="30">
        <v>0</v>
      </c>
      <c r="N107" s="31"/>
      <c r="O107" s="25"/>
      <c r="P107" s="27">
        <f>ROUND(R107*100/107,2)</f>
        <v>0</v>
      </c>
      <c r="Q107" s="27">
        <f>P107*0.07</f>
        <v>0</v>
      </c>
      <c r="R107" s="32">
        <f>D107+J107-M107</f>
        <v>0</v>
      </c>
    </row>
    <row r="108" spans="1:18" ht="19.2" thickBot="1">
      <c r="A108" s="42"/>
      <c r="B108" s="191" t="s">
        <v>19</v>
      </c>
      <c r="C108" s="192"/>
      <c r="D108" s="43">
        <f>SUM(D105:D107)</f>
        <v>0</v>
      </c>
      <c r="E108" s="43"/>
      <c r="F108" s="43"/>
      <c r="G108" s="44"/>
      <c r="H108" s="44">
        <f>SUM(H105:H107)</f>
        <v>0</v>
      </c>
      <c r="I108" s="44">
        <f>SUM(I105:I107)</f>
        <v>0</v>
      </c>
      <c r="J108" s="44">
        <f>SUM(J105:J107)</f>
        <v>0</v>
      </c>
      <c r="K108" s="45"/>
      <c r="L108" s="46"/>
      <c r="M108" s="47">
        <f>SUM(M105:M107)</f>
        <v>0</v>
      </c>
      <c r="N108" s="48"/>
      <c r="O108" s="43"/>
      <c r="P108" s="49">
        <f>ROUND(R108*100/107,2)</f>
        <v>0</v>
      </c>
      <c r="Q108" s="49">
        <f>P108*0.07</f>
        <v>0</v>
      </c>
      <c r="R108" s="50">
        <f>SUM(R105:R107)</f>
        <v>0</v>
      </c>
    </row>
    <row r="109" spans="1:18" ht="19.8" thickTop="1" thickBot="1">
      <c r="A109" s="120"/>
      <c r="B109" s="193" t="s">
        <v>53</v>
      </c>
      <c r="C109" s="194"/>
      <c r="D109" s="106">
        <f>+D11+D16+D21+D26+D32+D37+D42+D47+D52+D57+D68+D73+D78+D83+D88+D93+D98+D103+D108</f>
        <v>0</v>
      </c>
      <c r="E109" s="106"/>
      <c r="F109" s="106"/>
      <c r="G109" s="106"/>
      <c r="H109" s="106">
        <f>+H11+H16+H21+H26+H32+H37+H42+H47+H52+H57+H68+H73+H78+H83+H88+H93+H98+H103+H108</f>
        <v>5530855.9100000001</v>
      </c>
      <c r="I109" s="106">
        <f>+I11+I16+I21+I26+I32+I37+I42+I47+I52+I57+I68+I73+I78+I83+I88+I93+I98+I103+I108</f>
        <v>0</v>
      </c>
      <c r="J109" s="106">
        <f>+J11+J16+J21+J26+J32+J37+J42+J47+J52+J57+J68+J73+J78+J83+J88+J93+J98+J103+J108</f>
        <v>5530855.9100000001</v>
      </c>
      <c r="K109" s="114"/>
      <c r="L109" s="114"/>
      <c r="M109" s="107">
        <f>+M11+M16+M21+M26+M32+M37+M42+M47+M52+M57+M68+M73+M78+M83+M88+M93+M98+M103+M108</f>
        <v>0</v>
      </c>
      <c r="N109" s="108"/>
      <c r="O109" s="106"/>
      <c r="P109" s="106">
        <f>+P11+P16+P21+P26+P32+P37+P42+P47+P52+P57+P68+P73+P78+P83+P88+P93+P98+P103+P108</f>
        <v>5530855.9100000001</v>
      </c>
      <c r="Q109" s="106">
        <f>+Q11+Q16+Q21+Q26+Q32+Q37+Q42+Q47+Q52+Q57+Q68+Q73+Q78+Q83+Q88+Q93+Q98+Q103+Q108</f>
        <v>0</v>
      </c>
      <c r="R109" s="106">
        <f>+R11+R16+R21+R26+R32+R37+R42+R47+R52+R57+R68+R73+R78+R83+R88+R93+R98+R103+R108</f>
        <v>5530855.9100000001</v>
      </c>
    </row>
    <row r="110" spans="1:18" ht="19.2" thickTop="1">
      <c r="A110" s="120"/>
      <c r="B110" s="121"/>
      <c r="C110" s="121"/>
      <c r="D110" s="121"/>
      <c r="E110" s="121"/>
      <c r="F110" s="121"/>
      <c r="G110" s="121"/>
      <c r="H110" s="121"/>
      <c r="I110" s="121"/>
      <c r="J110" s="121"/>
      <c r="K110" s="122"/>
      <c r="L110" s="123"/>
      <c r="M110" s="124"/>
      <c r="N110" s="125"/>
      <c r="O110" s="121"/>
      <c r="P110" s="121"/>
      <c r="Q110" s="121"/>
      <c r="R110" s="126"/>
    </row>
    <row r="111" spans="1:18" ht="6.75" customHeight="1">
      <c r="A111" s="120"/>
      <c r="B111" s="121"/>
      <c r="C111" s="121"/>
      <c r="D111" s="121"/>
      <c r="E111" s="121"/>
      <c r="F111" s="121"/>
      <c r="G111" s="121"/>
      <c r="H111" s="121"/>
      <c r="I111" s="121"/>
      <c r="J111" s="121"/>
      <c r="K111" s="122"/>
      <c r="L111" s="123"/>
      <c r="M111" s="124"/>
      <c r="N111" s="125"/>
      <c r="O111" s="121"/>
      <c r="P111" s="121"/>
      <c r="Q111" s="121"/>
      <c r="R111" s="126"/>
    </row>
    <row r="112" spans="1:18" ht="18.600000000000001">
      <c r="A112" s="120"/>
      <c r="B112" s="121"/>
      <c r="C112" s="121"/>
      <c r="D112" s="121"/>
      <c r="E112" s="127"/>
      <c r="F112" s="127"/>
      <c r="G112" s="121"/>
      <c r="H112" s="121"/>
      <c r="I112" s="121"/>
      <c r="J112" s="121"/>
      <c r="K112" s="122"/>
      <c r="L112" s="123"/>
      <c r="M112" s="124"/>
      <c r="N112" s="189" t="s">
        <v>54</v>
      </c>
      <c r="O112" s="189"/>
      <c r="P112" s="189"/>
      <c r="Q112" s="121"/>
      <c r="R112" s="126"/>
    </row>
    <row r="113" spans="1:18" ht="18.600000000000001">
      <c r="B113" s="128"/>
      <c r="C113" s="121"/>
      <c r="D113" s="121"/>
      <c r="E113" s="121"/>
      <c r="F113" s="121"/>
      <c r="G113" s="121"/>
      <c r="H113" s="190"/>
      <c r="I113" s="190"/>
      <c r="J113" s="190"/>
      <c r="K113" s="122"/>
      <c r="L113" s="123"/>
      <c r="M113" s="124"/>
      <c r="N113" s="125"/>
      <c r="O113" s="121" t="s">
        <v>55</v>
      </c>
      <c r="P113" s="121"/>
      <c r="Q113" s="121"/>
      <c r="R113" s="126"/>
    </row>
    <row r="114" spans="1:18" ht="18.600000000000001">
      <c r="A114" s="129"/>
      <c r="B114" s="130"/>
      <c r="C114" s="129"/>
      <c r="D114" s="131"/>
      <c r="E114" s="129"/>
      <c r="F114" s="129"/>
      <c r="G114" s="132"/>
      <c r="H114" s="132"/>
      <c r="I114" s="132"/>
      <c r="J114" s="133"/>
      <c r="K114" s="134"/>
      <c r="L114" s="135"/>
      <c r="M114" s="136"/>
      <c r="N114" s="137"/>
      <c r="O114" s="132"/>
      <c r="P114" s="132"/>
      <c r="Q114" s="132"/>
      <c r="R114" s="138"/>
    </row>
  </sheetData>
  <mergeCells count="54">
    <mergeCell ref="A1:R1"/>
    <mergeCell ref="A2:R2"/>
    <mergeCell ref="A3:R3"/>
    <mergeCell ref="A4:A6"/>
    <mergeCell ref="B4:B6"/>
    <mergeCell ref="C4:C6"/>
    <mergeCell ref="D4:D6"/>
    <mergeCell ref="E4:J4"/>
    <mergeCell ref="K4:M4"/>
    <mergeCell ref="N4:R4"/>
    <mergeCell ref="M5:M6"/>
    <mergeCell ref="N5:N6"/>
    <mergeCell ref="O5:O6"/>
    <mergeCell ref="P5:R5"/>
    <mergeCell ref="K5:K6"/>
    <mergeCell ref="L5:L6"/>
    <mergeCell ref="B13:C13"/>
    <mergeCell ref="E5:E6"/>
    <mergeCell ref="F5:F6"/>
    <mergeCell ref="G5:G6"/>
    <mergeCell ref="H5:J5"/>
    <mergeCell ref="B11:C11"/>
    <mergeCell ref="B41:C41"/>
    <mergeCell ref="B14:C14"/>
    <mergeCell ref="B15:C15"/>
    <mergeCell ref="B16:C16"/>
    <mergeCell ref="B21:C21"/>
    <mergeCell ref="B26:C26"/>
    <mergeCell ref="B29:C29"/>
    <mergeCell ref="B31:C31"/>
    <mergeCell ref="B32:C32"/>
    <mergeCell ref="B37:C37"/>
    <mergeCell ref="B39:C39"/>
    <mergeCell ref="B40:C40"/>
    <mergeCell ref="B83:C83"/>
    <mergeCell ref="B42:C42"/>
    <mergeCell ref="B47:C47"/>
    <mergeCell ref="B52:C52"/>
    <mergeCell ref="B57:C57"/>
    <mergeCell ref="B67:C67"/>
    <mergeCell ref="B68:C68"/>
    <mergeCell ref="B73:C73"/>
    <mergeCell ref="B78:C78"/>
    <mergeCell ref="B80:C80"/>
    <mergeCell ref="B81:C81"/>
    <mergeCell ref="B82:C82"/>
    <mergeCell ref="N112:P112"/>
    <mergeCell ref="H113:J113"/>
    <mergeCell ref="B88:C88"/>
    <mergeCell ref="B93:C93"/>
    <mergeCell ref="B98:C98"/>
    <mergeCell ref="B103:C103"/>
    <mergeCell ref="B108:C108"/>
    <mergeCell ref="B109:C10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C8101-83F1-4B26-9000-19582F323F11}">
  <sheetPr>
    <tabColor rgb="FF92D050"/>
  </sheetPr>
  <dimension ref="A1:F14"/>
  <sheetViews>
    <sheetView workbookViewId="0">
      <pane ySplit="6" topLeftCell="A7" activePane="bottomLeft" state="frozen"/>
      <selection pane="bottomLeft" activeCell="A4" sqref="A4:A6"/>
    </sheetView>
  </sheetViews>
  <sheetFormatPr defaultColWidth="10.375" defaultRowHeight="14.4"/>
  <cols>
    <col min="1" max="1" width="10.375" style="1"/>
    <col min="2" max="2" width="33.25" style="1" customWidth="1"/>
    <col min="3" max="3" width="10.375" style="1"/>
    <col min="4" max="4" width="10.375" style="139"/>
    <col min="5" max="5" width="11.625" style="139" bestFit="1" customWidth="1"/>
    <col min="6" max="6" width="10.375" style="139"/>
    <col min="7" max="242" width="10.375" style="1"/>
    <col min="243" max="243" width="33.25" style="1" customWidth="1"/>
    <col min="244" max="248" width="10.375" style="1"/>
    <col min="249" max="249" width="13.625" style="1" customWidth="1"/>
    <col min="250" max="250" width="10.375" style="1"/>
    <col min="251" max="251" width="14.375" style="1" customWidth="1"/>
    <col min="252" max="252" width="10.375" style="1"/>
    <col min="253" max="253" width="11.625" style="1" bestFit="1" customWidth="1"/>
    <col min="254" max="256" width="10.375" style="1"/>
    <col min="257" max="257" width="12.875" style="1" customWidth="1"/>
    <col min="258" max="258" width="10.375" style="1"/>
    <col min="259" max="259" width="13" style="1" customWidth="1"/>
    <col min="260" max="498" width="10.375" style="1"/>
    <col min="499" max="499" width="33.25" style="1" customWidth="1"/>
    <col min="500" max="504" width="10.375" style="1"/>
    <col min="505" max="505" width="13.625" style="1" customWidth="1"/>
    <col min="506" max="506" width="10.375" style="1"/>
    <col min="507" max="507" width="14.375" style="1" customWidth="1"/>
    <col min="508" max="508" width="10.375" style="1"/>
    <col min="509" max="509" width="11.625" style="1" bestFit="1" customWidth="1"/>
    <col min="510" max="512" width="10.375" style="1"/>
    <col min="513" max="513" width="12.875" style="1" customWidth="1"/>
    <col min="514" max="514" width="10.375" style="1"/>
    <col min="515" max="515" width="13" style="1" customWidth="1"/>
    <col min="516" max="754" width="10.375" style="1"/>
    <col min="755" max="755" width="33.25" style="1" customWidth="1"/>
    <col min="756" max="760" width="10.375" style="1"/>
    <col min="761" max="761" width="13.625" style="1" customWidth="1"/>
    <col min="762" max="762" width="10.375" style="1"/>
    <col min="763" max="763" width="14.375" style="1" customWidth="1"/>
    <col min="764" max="764" width="10.375" style="1"/>
    <col min="765" max="765" width="11.625" style="1" bestFit="1" customWidth="1"/>
    <col min="766" max="768" width="10.375" style="1"/>
    <col min="769" max="769" width="12.875" style="1" customWidth="1"/>
    <col min="770" max="770" width="10.375" style="1"/>
    <col min="771" max="771" width="13" style="1" customWidth="1"/>
    <col min="772" max="1010" width="10.375" style="1"/>
    <col min="1011" max="1011" width="33.25" style="1" customWidth="1"/>
    <col min="1012" max="1016" width="10.375" style="1"/>
    <col min="1017" max="1017" width="13.625" style="1" customWidth="1"/>
    <col min="1018" max="1018" width="10.375" style="1"/>
    <col min="1019" max="1019" width="14.375" style="1" customWidth="1"/>
    <col min="1020" max="1020" width="10.375" style="1"/>
    <col min="1021" max="1021" width="11.625" style="1" bestFit="1" customWidth="1"/>
    <col min="1022" max="1024" width="10.375" style="1"/>
    <col min="1025" max="1025" width="12.875" style="1" customWidth="1"/>
    <col min="1026" max="1026" width="10.375" style="1"/>
    <col min="1027" max="1027" width="13" style="1" customWidth="1"/>
    <col min="1028" max="1266" width="10.375" style="1"/>
    <col min="1267" max="1267" width="33.25" style="1" customWidth="1"/>
    <col min="1268" max="1272" width="10.375" style="1"/>
    <col min="1273" max="1273" width="13.625" style="1" customWidth="1"/>
    <col min="1274" max="1274" width="10.375" style="1"/>
    <col min="1275" max="1275" width="14.375" style="1" customWidth="1"/>
    <col min="1276" max="1276" width="10.375" style="1"/>
    <col min="1277" max="1277" width="11.625" style="1" bestFit="1" customWidth="1"/>
    <col min="1278" max="1280" width="10.375" style="1"/>
    <col min="1281" max="1281" width="12.875" style="1" customWidth="1"/>
    <col min="1282" max="1282" width="10.375" style="1"/>
    <col min="1283" max="1283" width="13" style="1" customWidth="1"/>
    <col min="1284" max="1522" width="10.375" style="1"/>
    <col min="1523" max="1523" width="33.25" style="1" customWidth="1"/>
    <col min="1524" max="1528" width="10.375" style="1"/>
    <col min="1529" max="1529" width="13.625" style="1" customWidth="1"/>
    <col min="1530" max="1530" width="10.375" style="1"/>
    <col min="1531" max="1531" width="14.375" style="1" customWidth="1"/>
    <col min="1532" max="1532" width="10.375" style="1"/>
    <col min="1533" max="1533" width="11.625" style="1" bestFit="1" customWidth="1"/>
    <col min="1534" max="1536" width="10.375" style="1"/>
    <col min="1537" max="1537" width="12.875" style="1" customWidth="1"/>
    <col min="1538" max="1538" width="10.375" style="1"/>
    <col min="1539" max="1539" width="13" style="1" customWidth="1"/>
    <col min="1540" max="1778" width="10.375" style="1"/>
    <col min="1779" max="1779" width="33.25" style="1" customWidth="1"/>
    <col min="1780" max="1784" width="10.375" style="1"/>
    <col min="1785" max="1785" width="13.625" style="1" customWidth="1"/>
    <col min="1786" max="1786" width="10.375" style="1"/>
    <col min="1787" max="1787" width="14.375" style="1" customWidth="1"/>
    <col min="1788" max="1788" width="10.375" style="1"/>
    <col min="1789" max="1789" width="11.625" style="1" bestFit="1" customWidth="1"/>
    <col min="1790" max="1792" width="10.375" style="1"/>
    <col min="1793" max="1793" width="12.875" style="1" customWidth="1"/>
    <col min="1794" max="1794" width="10.375" style="1"/>
    <col min="1795" max="1795" width="13" style="1" customWidth="1"/>
    <col min="1796" max="2034" width="10.375" style="1"/>
    <col min="2035" max="2035" width="33.25" style="1" customWidth="1"/>
    <col min="2036" max="2040" width="10.375" style="1"/>
    <col min="2041" max="2041" width="13.625" style="1" customWidth="1"/>
    <col min="2042" max="2042" width="10.375" style="1"/>
    <col min="2043" max="2043" width="14.375" style="1" customWidth="1"/>
    <col min="2044" max="2044" width="10.375" style="1"/>
    <col min="2045" max="2045" width="11.625" style="1" bestFit="1" customWidth="1"/>
    <col min="2046" max="2048" width="10.375" style="1"/>
    <col min="2049" max="2049" width="12.875" style="1" customWidth="1"/>
    <col min="2050" max="2050" width="10.375" style="1"/>
    <col min="2051" max="2051" width="13" style="1" customWidth="1"/>
    <col min="2052" max="2290" width="10.375" style="1"/>
    <col min="2291" max="2291" width="33.25" style="1" customWidth="1"/>
    <col min="2292" max="2296" width="10.375" style="1"/>
    <col min="2297" max="2297" width="13.625" style="1" customWidth="1"/>
    <col min="2298" max="2298" width="10.375" style="1"/>
    <col min="2299" max="2299" width="14.375" style="1" customWidth="1"/>
    <col min="2300" max="2300" width="10.375" style="1"/>
    <col min="2301" max="2301" width="11.625" style="1" bestFit="1" customWidth="1"/>
    <col min="2302" max="2304" width="10.375" style="1"/>
    <col min="2305" max="2305" width="12.875" style="1" customWidth="1"/>
    <col min="2306" max="2306" width="10.375" style="1"/>
    <col min="2307" max="2307" width="13" style="1" customWidth="1"/>
    <col min="2308" max="2546" width="10.375" style="1"/>
    <col min="2547" max="2547" width="33.25" style="1" customWidth="1"/>
    <col min="2548" max="2552" width="10.375" style="1"/>
    <col min="2553" max="2553" width="13.625" style="1" customWidth="1"/>
    <col min="2554" max="2554" width="10.375" style="1"/>
    <col min="2555" max="2555" width="14.375" style="1" customWidth="1"/>
    <col min="2556" max="2556" width="10.375" style="1"/>
    <col min="2557" max="2557" width="11.625" style="1" bestFit="1" customWidth="1"/>
    <col min="2558" max="2560" width="10.375" style="1"/>
    <col min="2561" max="2561" width="12.875" style="1" customWidth="1"/>
    <col min="2562" max="2562" width="10.375" style="1"/>
    <col min="2563" max="2563" width="13" style="1" customWidth="1"/>
    <col min="2564" max="2802" width="10.375" style="1"/>
    <col min="2803" max="2803" width="33.25" style="1" customWidth="1"/>
    <col min="2804" max="2808" width="10.375" style="1"/>
    <col min="2809" max="2809" width="13.625" style="1" customWidth="1"/>
    <col min="2810" max="2810" width="10.375" style="1"/>
    <col min="2811" max="2811" width="14.375" style="1" customWidth="1"/>
    <col min="2812" max="2812" width="10.375" style="1"/>
    <col min="2813" max="2813" width="11.625" style="1" bestFit="1" customWidth="1"/>
    <col min="2814" max="2816" width="10.375" style="1"/>
    <col min="2817" max="2817" width="12.875" style="1" customWidth="1"/>
    <col min="2818" max="2818" width="10.375" style="1"/>
    <col min="2819" max="2819" width="13" style="1" customWidth="1"/>
    <col min="2820" max="3058" width="10.375" style="1"/>
    <col min="3059" max="3059" width="33.25" style="1" customWidth="1"/>
    <col min="3060" max="3064" width="10.375" style="1"/>
    <col min="3065" max="3065" width="13.625" style="1" customWidth="1"/>
    <col min="3066" max="3066" width="10.375" style="1"/>
    <col min="3067" max="3067" width="14.375" style="1" customWidth="1"/>
    <col min="3068" max="3068" width="10.375" style="1"/>
    <col min="3069" max="3069" width="11.625" style="1" bestFit="1" customWidth="1"/>
    <col min="3070" max="3072" width="10.375" style="1"/>
    <col min="3073" max="3073" width="12.875" style="1" customWidth="1"/>
    <col min="3074" max="3074" width="10.375" style="1"/>
    <col min="3075" max="3075" width="13" style="1" customWidth="1"/>
    <col min="3076" max="3314" width="10.375" style="1"/>
    <col min="3315" max="3315" width="33.25" style="1" customWidth="1"/>
    <col min="3316" max="3320" width="10.375" style="1"/>
    <col min="3321" max="3321" width="13.625" style="1" customWidth="1"/>
    <col min="3322" max="3322" width="10.375" style="1"/>
    <col min="3323" max="3323" width="14.375" style="1" customWidth="1"/>
    <col min="3324" max="3324" width="10.375" style="1"/>
    <col min="3325" max="3325" width="11.625" style="1" bestFit="1" customWidth="1"/>
    <col min="3326" max="3328" width="10.375" style="1"/>
    <col min="3329" max="3329" width="12.875" style="1" customWidth="1"/>
    <col min="3330" max="3330" width="10.375" style="1"/>
    <col min="3331" max="3331" width="13" style="1" customWidth="1"/>
    <col min="3332" max="3570" width="10.375" style="1"/>
    <col min="3571" max="3571" width="33.25" style="1" customWidth="1"/>
    <col min="3572" max="3576" width="10.375" style="1"/>
    <col min="3577" max="3577" width="13.625" style="1" customWidth="1"/>
    <col min="3578" max="3578" width="10.375" style="1"/>
    <col min="3579" max="3579" width="14.375" style="1" customWidth="1"/>
    <col min="3580" max="3580" width="10.375" style="1"/>
    <col min="3581" max="3581" width="11.625" style="1" bestFit="1" customWidth="1"/>
    <col min="3582" max="3584" width="10.375" style="1"/>
    <col min="3585" max="3585" width="12.875" style="1" customWidth="1"/>
    <col min="3586" max="3586" width="10.375" style="1"/>
    <col min="3587" max="3587" width="13" style="1" customWidth="1"/>
    <col min="3588" max="3826" width="10.375" style="1"/>
    <col min="3827" max="3827" width="33.25" style="1" customWidth="1"/>
    <col min="3828" max="3832" width="10.375" style="1"/>
    <col min="3833" max="3833" width="13.625" style="1" customWidth="1"/>
    <col min="3834" max="3834" width="10.375" style="1"/>
    <col min="3835" max="3835" width="14.375" style="1" customWidth="1"/>
    <col min="3836" max="3836" width="10.375" style="1"/>
    <col min="3837" max="3837" width="11.625" style="1" bestFit="1" customWidth="1"/>
    <col min="3838" max="3840" width="10.375" style="1"/>
    <col min="3841" max="3841" width="12.875" style="1" customWidth="1"/>
    <col min="3842" max="3842" width="10.375" style="1"/>
    <col min="3843" max="3843" width="13" style="1" customWidth="1"/>
    <col min="3844" max="4082" width="10.375" style="1"/>
    <col min="4083" max="4083" width="33.25" style="1" customWidth="1"/>
    <col min="4084" max="4088" width="10.375" style="1"/>
    <col min="4089" max="4089" width="13.625" style="1" customWidth="1"/>
    <col min="4090" max="4090" width="10.375" style="1"/>
    <col min="4091" max="4091" width="14.375" style="1" customWidth="1"/>
    <col min="4092" max="4092" width="10.375" style="1"/>
    <col min="4093" max="4093" width="11.625" style="1" bestFit="1" customWidth="1"/>
    <col min="4094" max="4096" width="10.375" style="1"/>
    <col min="4097" max="4097" width="12.875" style="1" customWidth="1"/>
    <col min="4098" max="4098" width="10.375" style="1"/>
    <col min="4099" max="4099" width="13" style="1" customWidth="1"/>
    <col min="4100" max="4338" width="10.375" style="1"/>
    <col min="4339" max="4339" width="33.25" style="1" customWidth="1"/>
    <col min="4340" max="4344" width="10.375" style="1"/>
    <col min="4345" max="4345" width="13.625" style="1" customWidth="1"/>
    <col min="4346" max="4346" width="10.375" style="1"/>
    <col min="4347" max="4347" width="14.375" style="1" customWidth="1"/>
    <col min="4348" max="4348" width="10.375" style="1"/>
    <col min="4349" max="4349" width="11.625" style="1" bestFit="1" customWidth="1"/>
    <col min="4350" max="4352" width="10.375" style="1"/>
    <col min="4353" max="4353" width="12.875" style="1" customWidth="1"/>
    <col min="4354" max="4354" width="10.375" style="1"/>
    <col min="4355" max="4355" width="13" style="1" customWidth="1"/>
    <col min="4356" max="4594" width="10.375" style="1"/>
    <col min="4595" max="4595" width="33.25" style="1" customWidth="1"/>
    <col min="4596" max="4600" width="10.375" style="1"/>
    <col min="4601" max="4601" width="13.625" style="1" customWidth="1"/>
    <col min="4602" max="4602" width="10.375" style="1"/>
    <col min="4603" max="4603" width="14.375" style="1" customWidth="1"/>
    <col min="4604" max="4604" width="10.375" style="1"/>
    <col min="4605" max="4605" width="11.625" style="1" bestFit="1" customWidth="1"/>
    <col min="4606" max="4608" width="10.375" style="1"/>
    <col min="4609" max="4609" width="12.875" style="1" customWidth="1"/>
    <col min="4610" max="4610" width="10.375" style="1"/>
    <col min="4611" max="4611" width="13" style="1" customWidth="1"/>
    <col min="4612" max="4850" width="10.375" style="1"/>
    <col min="4851" max="4851" width="33.25" style="1" customWidth="1"/>
    <col min="4852" max="4856" width="10.375" style="1"/>
    <col min="4857" max="4857" width="13.625" style="1" customWidth="1"/>
    <col min="4858" max="4858" width="10.375" style="1"/>
    <col min="4859" max="4859" width="14.375" style="1" customWidth="1"/>
    <col min="4860" max="4860" width="10.375" style="1"/>
    <col min="4861" max="4861" width="11.625" style="1" bestFit="1" customWidth="1"/>
    <col min="4862" max="4864" width="10.375" style="1"/>
    <col min="4865" max="4865" width="12.875" style="1" customWidth="1"/>
    <col min="4866" max="4866" width="10.375" style="1"/>
    <col min="4867" max="4867" width="13" style="1" customWidth="1"/>
    <col min="4868" max="5106" width="10.375" style="1"/>
    <col min="5107" max="5107" width="33.25" style="1" customWidth="1"/>
    <col min="5108" max="5112" width="10.375" style="1"/>
    <col min="5113" max="5113" width="13.625" style="1" customWidth="1"/>
    <col min="5114" max="5114" width="10.375" style="1"/>
    <col min="5115" max="5115" width="14.375" style="1" customWidth="1"/>
    <col min="5116" max="5116" width="10.375" style="1"/>
    <col min="5117" max="5117" width="11.625" style="1" bestFit="1" customWidth="1"/>
    <col min="5118" max="5120" width="10.375" style="1"/>
    <col min="5121" max="5121" width="12.875" style="1" customWidth="1"/>
    <col min="5122" max="5122" width="10.375" style="1"/>
    <col min="5123" max="5123" width="13" style="1" customWidth="1"/>
    <col min="5124" max="5362" width="10.375" style="1"/>
    <col min="5363" max="5363" width="33.25" style="1" customWidth="1"/>
    <col min="5364" max="5368" width="10.375" style="1"/>
    <col min="5369" max="5369" width="13.625" style="1" customWidth="1"/>
    <col min="5370" max="5370" width="10.375" style="1"/>
    <col min="5371" max="5371" width="14.375" style="1" customWidth="1"/>
    <col min="5372" max="5372" width="10.375" style="1"/>
    <col min="5373" max="5373" width="11.625" style="1" bestFit="1" customWidth="1"/>
    <col min="5374" max="5376" width="10.375" style="1"/>
    <col min="5377" max="5377" width="12.875" style="1" customWidth="1"/>
    <col min="5378" max="5378" width="10.375" style="1"/>
    <col min="5379" max="5379" width="13" style="1" customWidth="1"/>
    <col min="5380" max="5618" width="10.375" style="1"/>
    <col min="5619" max="5619" width="33.25" style="1" customWidth="1"/>
    <col min="5620" max="5624" width="10.375" style="1"/>
    <col min="5625" max="5625" width="13.625" style="1" customWidth="1"/>
    <col min="5626" max="5626" width="10.375" style="1"/>
    <col min="5627" max="5627" width="14.375" style="1" customWidth="1"/>
    <col min="5628" max="5628" width="10.375" style="1"/>
    <col min="5629" max="5629" width="11.625" style="1" bestFit="1" customWidth="1"/>
    <col min="5630" max="5632" width="10.375" style="1"/>
    <col min="5633" max="5633" width="12.875" style="1" customWidth="1"/>
    <col min="5634" max="5634" width="10.375" style="1"/>
    <col min="5635" max="5635" width="13" style="1" customWidth="1"/>
    <col min="5636" max="5874" width="10.375" style="1"/>
    <col min="5875" max="5875" width="33.25" style="1" customWidth="1"/>
    <col min="5876" max="5880" width="10.375" style="1"/>
    <col min="5881" max="5881" width="13.625" style="1" customWidth="1"/>
    <col min="5882" max="5882" width="10.375" style="1"/>
    <col min="5883" max="5883" width="14.375" style="1" customWidth="1"/>
    <col min="5884" max="5884" width="10.375" style="1"/>
    <col min="5885" max="5885" width="11.625" style="1" bestFit="1" customWidth="1"/>
    <col min="5886" max="5888" width="10.375" style="1"/>
    <col min="5889" max="5889" width="12.875" style="1" customWidth="1"/>
    <col min="5890" max="5890" width="10.375" style="1"/>
    <col min="5891" max="5891" width="13" style="1" customWidth="1"/>
    <col min="5892" max="6130" width="10.375" style="1"/>
    <col min="6131" max="6131" width="33.25" style="1" customWidth="1"/>
    <col min="6132" max="6136" width="10.375" style="1"/>
    <col min="6137" max="6137" width="13.625" style="1" customWidth="1"/>
    <col min="6138" max="6138" width="10.375" style="1"/>
    <col min="6139" max="6139" width="14.375" style="1" customWidth="1"/>
    <col min="6140" max="6140" width="10.375" style="1"/>
    <col min="6141" max="6141" width="11.625" style="1" bestFit="1" customWidth="1"/>
    <col min="6142" max="6144" width="10.375" style="1"/>
    <col min="6145" max="6145" width="12.875" style="1" customWidth="1"/>
    <col min="6146" max="6146" width="10.375" style="1"/>
    <col min="6147" max="6147" width="13" style="1" customWidth="1"/>
    <col min="6148" max="6386" width="10.375" style="1"/>
    <col min="6387" max="6387" width="33.25" style="1" customWidth="1"/>
    <col min="6388" max="6392" width="10.375" style="1"/>
    <col min="6393" max="6393" width="13.625" style="1" customWidth="1"/>
    <col min="6394" max="6394" width="10.375" style="1"/>
    <col min="6395" max="6395" width="14.375" style="1" customWidth="1"/>
    <col min="6396" max="6396" width="10.375" style="1"/>
    <col min="6397" max="6397" width="11.625" style="1" bestFit="1" customWidth="1"/>
    <col min="6398" max="6400" width="10.375" style="1"/>
    <col min="6401" max="6401" width="12.875" style="1" customWidth="1"/>
    <col min="6402" max="6402" width="10.375" style="1"/>
    <col min="6403" max="6403" width="13" style="1" customWidth="1"/>
    <col min="6404" max="6642" width="10.375" style="1"/>
    <col min="6643" max="6643" width="33.25" style="1" customWidth="1"/>
    <col min="6644" max="6648" width="10.375" style="1"/>
    <col min="6649" max="6649" width="13.625" style="1" customWidth="1"/>
    <col min="6650" max="6650" width="10.375" style="1"/>
    <col min="6651" max="6651" width="14.375" style="1" customWidth="1"/>
    <col min="6652" max="6652" width="10.375" style="1"/>
    <col min="6653" max="6653" width="11.625" style="1" bestFit="1" customWidth="1"/>
    <col min="6654" max="6656" width="10.375" style="1"/>
    <col min="6657" max="6657" width="12.875" style="1" customWidth="1"/>
    <col min="6658" max="6658" width="10.375" style="1"/>
    <col min="6659" max="6659" width="13" style="1" customWidth="1"/>
    <col min="6660" max="6898" width="10.375" style="1"/>
    <col min="6899" max="6899" width="33.25" style="1" customWidth="1"/>
    <col min="6900" max="6904" width="10.375" style="1"/>
    <col min="6905" max="6905" width="13.625" style="1" customWidth="1"/>
    <col min="6906" max="6906" width="10.375" style="1"/>
    <col min="6907" max="6907" width="14.375" style="1" customWidth="1"/>
    <col min="6908" max="6908" width="10.375" style="1"/>
    <col min="6909" max="6909" width="11.625" style="1" bestFit="1" customWidth="1"/>
    <col min="6910" max="6912" width="10.375" style="1"/>
    <col min="6913" max="6913" width="12.875" style="1" customWidth="1"/>
    <col min="6914" max="6914" width="10.375" style="1"/>
    <col min="6915" max="6915" width="13" style="1" customWidth="1"/>
    <col min="6916" max="7154" width="10.375" style="1"/>
    <col min="7155" max="7155" width="33.25" style="1" customWidth="1"/>
    <col min="7156" max="7160" width="10.375" style="1"/>
    <col min="7161" max="7161" width="13.625" style="1" customWidth="1"/>
    <col min="7162" max="7162" width="10.375" style="1"/>
    <col min="7163" max="7163" width="14.375" style="1" customWidth="1"/>
    <col min="7164" max="7164" width="10.375" style="1"/>
    <col min="7165" max="7165" width="11.625" style="1" bestFit="1" customWidth="1"/>
    <col min="7166" max="7168" width="10.375" style="1"/>
    <col min="7169" max="7169" width="12.875" style="1" customWidth="1"/>
    <col min="7170" max="7170" width="10.375" style="1"/>
    <col min="7171" max="7171" width="13" style="1" customWidth="1"/>
    <col min="7172" max="7410" width="10.375" style="1"/>
    <col min="7411" max="7411" width="33.25" style="1" customWidth="1"/>
    <col min="7412" max="7416" width="10.375" style="1"/>
    <col min="7417" max="7417" width="13.625" style="1" customWidth="1"/>
    <col min="7418" max="7418" width="10.375" style="1"/>
    <col min="7419" max="7419" width="14.375" style="1" customWidth="1"/>
    <col min="7420" max="7420" width="10.375" style="1"/>
    <col min="7421" max="7421" width="11.625" style="1" bestFit="1" customWidth="1"/>
    <col min="7422" max="7424" width="10.375" style="1"/>
    <col min="7425" max="7425" width="12.875" style="1" customWidth="1"/>
    <col min="7426" max="7426" width="10.375" style="1"/>
    <col min="7427" max="7427" width="13" style="1" customWidth="1"/>
    <col min="7428" max="7666" width="10.375" style="1"/>
    <col min="7667" max="7667" width="33.25" style="1" customWidth="1"/>
    <col min="7668" max="7672" width="10.375" style="1"/>
    <col min="7673" max="7673" width="13.625" style="1" customWidth="1"/>
    <col min="7674" max="7674" width="10.375" style="1"/>
    <col min="7675" max="7675" width="14.375" style="1" customWidth="1"/>
    <col min="7676" max="7676" width="10.375" style="1"/>
    <col min="7677" max="7677" width="11.625" style="1" bestFit="1" customWidth="1"/>
    <col min="7678" max="7680" width="10.375" style="1"/>
    <col min="7681" max="7681" width="12.875" style="1" customWidth="1"/>
    <col min="7682" max="7682" width="10.375" style="1"/>
    <col min="7683" max="7683" width="13" style="1" customWidth="1"/>
    <col min="7684" max="7922" width="10.375" style="1"/>
    <col min="7923" max="7923" width="33.25" style="1" customWidth="1"/>
    <col min="7924" max="7928" width="10.375" style="1"/>
    <col min="7929" max="7929" width="13.625" style="1" customWidth="1"/>
    <col min="7930" max="7930" width="10.375" style="1"/>
    <col min="7931" max="7931" width="14.375" style="1" customWidth="1"/>
    <col min="7932" max="7932" width="10.375" style="1"/>
    <col min="7933" max="7933" width="11.625" style="1" bestFit="1" customWidth="1"/>
    <col min="7934" max="7936" width="10.375" style="1"/>
    <col min="7937" max="7937" width="12.875" style="1" customWidth="1"/>
    <col min="7938" max="7938" width="10.375" style="1"/>
    <col min="7939" max="7939" width="13" style="1" customWidth="1"/>
    <col min="7940" max="8178" width="10.375" style="1"/>
    <col min="8179" max="8179" width="33.25" style="1" customWidth="1"/>
    <col min="8180" max="8184" width="10.375" style="1"/>
    <col min="8185" max="8185" width="13.625" style="1" customWidth="1"/>
    <col min="8186" max="8186" width="10.375" style="1"/>
    <col min="8187" max="8187" width="14.375" style="1" customWidth="1"/>
    <col min="8188" max="8188" width="10.375" style="1"/>
    <col min="8189" max="8189" width="11.625" style="1" bestFit="1" customWidth="1"/>
    <col min="8190" max="8192" width="10.375" style="1"/>
    <col min="8193" max="8193" width="12.875" style="1" customWidth="1"/>
    <col min="8194" max="8194" width="10.375" style="1"/>
    <col min="8195" max="8195" width="13" style="1" customWidth="1"/>
    <col min="8196" max="8434" width="10.375" style="1"/>
    <col min="8435" max="8435" width="33.25" style="1" customWidth="1"/>
    <col min="8436" max="8440" width="10.375" style="1"/>
    <col min="8441" max="8441" width="13.625" style="1" customWidth="1"/>
    <col min="8442" max="8442" width="10.375" style="1"/>
    <col min="8443" max="8443" width="14.375" style="1" customWidth="1"/>
    <col min="8444" max="8444" width="10.375" style="1"/>
    <col min="8445" max="8445" width="11.625" style="1" bestFit="1" customWidth="1"/>
    <col min="8446" max="8448" width="10.375" style="1"/>
    <col min="8449" max="8449" width="12.875" style="1" customWidth="1"/>
    <col min="8450" max="8450" width="10.375" style="1"/>
    <col min="8451" max="8451" width="13" style="1" customWidth="1"/>
    <col min="8452" max="8690" width="10.375" style="1"/>
    <col min="8691" max="8691" width="33.25" style="1" customWidth="1"/>
    <col min="8692" max="8696" width="10.375" style="1"/>
    <col min="8697" max="8697" width="13.625" style="1" customWidth="1"/>
    <col min="8698" max="8698" width="10.375" style="1"/>
    <col min="8699" max="8699" width="14.375" style="1" customWidth="1"/>
    <col min="8700" max="8700" width="10.375" style="1"/>
    <col min="8701" max="8701" width="11.625" style="1" bestFit="1" customWidth="1"/>
    <col min="8702" max="8704" width="10.375" style="1"/>
    <col min="8705" max="8705" width="12.875" style="1" customWidth="1"/>
    <col min="8706" max="8706" width="10.375" style="1"/>
    <col min="8707" max="8707" width="13" style="1" customWidth="1"/>
    <col min="8708" max="8946" width="10.375" style="1"/>
    <col min="8947" max="8947" width="33.25" style="1" customWidth="1"/>
    <col min="8948" max="8952" width="10.375" style="1"/>
    <col min="8953" max="8953" width="13.625" style="1" customWidth="1"/>
    <col min="8954" max="8954" width="10.375" style="1"/>
    <col min="8955" max="8955" width="14.375" style="1" customWidth="1"/>
    <col min="8956" max="8956" width="10.375" style="1"/>
    <col min="8957" max="8957" width="11.625" style="1" bestFit="1" customWidth="1"/>
    <col min="8958" max="8960" width="10.375" style="1"/>
    <col min="8961" max="8961" width="12.875" style="1" customWidth="1"/>
    <col min="8962" max="8962" width="10.375" style="1"/>
    <col min="8963" max="8963" width="13" style="1" customWidth="1"/>
    <col min="8964" max="9202" width="10.375" style="1"/>
    <col min="9203" max="9203" width="33.25" style="1" customWidth="1"/>
    <col min="9204" max="9208" width="10.375" style="1"/>
    <col min="9209" max="9209" width="13.625" style="1" customWidth="1"/>
    <col min="9210" max="9210" width="10.375" style="1"/>
    <col min="9211" max="9211" width="14.375" style="1" customWidth="1"/>
    <col min="9212" max="9212" width="10.375" style="1"/>
    <col min="9213" max="9213" width="11.625" style="1" bestFit="1" customWidth="1"/>
    <col min="9214" max="9216" width="10.375" style="1"/>
    <col min="9217" max="9217" width="12.875" style="1" customWidth="1"/>
    <col min="9218" max="9218" width="10.375" style="1"/>
    <col min="9219" max="9219" width="13" style="1" customWidth="1"/>
    <col min="9220" max="9458" width="10.375" style="1"/>
    <col min="9459" max="9459" width="33.25" style="1" customWidth="1"/>
    <col min="9460" max="9464" width="10.375" style="1"/>
    <col min="9465" max="9465" width="13.625" style="1" customWidth="1"/>
    <col min="9466" max="9466" width="10.375" style="1"/>
    <col min="9467" max="9467" width="14.375" style="1" customWidth="1"/>
    <col min="9468" max="9468" width="10.375" style="1"/>
    <col min="9469" max="9469" width="11.625" style="1" bestFit="1" customWidth="1"/>
    <col min="9470" max="9472" width="10.375" style="1"/>
    <col min="9473" max="9473" width="12.875" style="1" customWidth="1"/>
    <col min="9474" max="9474" width="10.375" style="1"/>
    <col min="9475" max="9475" width="13" style="1" customWidth="1"/>
    <col min="9476" max="9714" width="10.375" style="1"/>
    <col min="9715" max="9715" width="33.25" style="1" customWidth="1"/>
    <col min="9716" max="9720" width="10.375" style="1"/>
    <col min="9721" max="9721" width="13.625" style="1" customWidth="1"/>
    <col min="9722" max="9722" width="10.375" style="1"/>
    <col min="9723" max="9723" width="14.375" style="1" customWidth="1"/>
    <col min="9724" max="9724" width="10.375" style="1"/>
    <col min="9725" max="9725" width="11.625" style="1" bestFit="1" customWidth="1"/>
    <col min="9726" max="9728" width="10.375" style="1"/>
    <col min="9729" max="9729" width="12.875" style="1" customWidth="1"/>
    <col min="9730" max="9730" width="10.375" style="1"/>
    <col min="9731" max="9731" width="13" style="1" customWidth="1"/>
    <col min="9732" max="9970" width="10.375" style="1"/>
    <col min="9971" max="9971" width="33.25" style="1" customWidth="1"/>
    <col min="9972" max="9976" width="10.375" style="1"/>
    <col min="9977" max="9977" width="13.625" style="1" customWidth="1"/>
    <col min="9978" max="9978" width="10.375" style="1"/>
    <col min="9979" max="9979" width="14.375" style="1" customWidth="1"/>
    <col min="9980" max="9980" width="10.375" style="1"/>
    <col min="9981" max="9981" width="11.625" style="1" bestFit="1" customWidth="1"/>
    <col min="9982" max="9984" width="10.375" style="1"/>
    <col min="9985" max="9985" width="12.875" style="1" customWidth="1"/>
    <col min="9986" max="9986" width="10.375" style="1"/>
    <col min="9987" max="9987" width="13" style="1" customWidth="1"/>
    <col min="9988" max="10226" width="10.375" style="1"/>
    <col min="10227" max="10227" width="33.25" style="1" customWidth="1"/>
    <col min="10228" max="10232" width="10.375" style="1"/>
    <col min="10233" max="10233" width="13.625" style="1" customWidth="1"/>
    <col min="10234" max="10234" width="10.375" style="1"/>
    <col min="10235" max="10235" width="14.375" style="1" customWidth="1"/>
    <col min="10236" max="10236" width="10.375" style="1"/>
    <col min="10237" max="10237" width="11.625" style="1" bestFit="1" customWidth="1"/>
    <col min="10238" max="10240" width="10.375" style="1"/>
    <col min="10241" max="10241" width="12.875" style="1" customWidth="1"/>
    <col min="10242" max="10242" width="10.375" style="1"/>
    <col min="10243" max="10243" width="13" style="1" customWidth="1"/>
    <col min="10244" max="10482" width="10.375" style="1"/>
    <col min="10483" max="10483" width="33.25" style="1" customWidth="1"/>
    <col min="10484" max="10488" width="10.375" style="1"/>
    <col min="10489" max="10489" width="13.625" style="1" customWidth="1"/>
    <col min="10490" max="10490" width="10.375" style="1"/>
    <col min="10491" max="10491" width="14.375" style="1" customWidth="1"/>
    <col min="10492" max="10492" width="10.375" style="1"/>
    <col min="10493" max="10493" width="11.625" style="1" bestFit="1" customWidth="1"/>
    <col min="10494" max="10496" width="10.375" style="1"/>
    <col min="10497" max="10497" width="12.875" style="1" customWidth="1"/>
    <col min="10498" max="10498" width="10.375" style="1"/>
    <col min="10499" max="10499" width="13" style="1" customWidth="1"/>
    <col min="10500" max="10738" width="10.375" style="1"/>
    <col min="10739" max="10739" width="33.25" style="1" customWidth="1"/>
    <col min="10740" max="10744" width="10.375" style="1"/>
    <col min="10745" max="10745" width="13.625" style="1" customWidth="1"/>
    <col min="10746" max="10746" width="10.375" style="1"/>
    <col min="10747" max="10747" width="14.375" style="1" customWidth="1"/>
    <col min="10748" max="10748" width="10.375" style="1"/>
    <col min="10749" max="10749" width="11.625" style="1" bestFit="1" customWidth="1"/>
    <col min="10750" max="10752" width="10.375" style="1"/>
    <col min="10753" max="10753" width="12.875" style="1" customWidth="1"/>
    <col min="10754" max="10754" width="10.375" style="1"/>
    <col min="10755" max="10755" width="13" style="1" customWidth="1"/>
    <col min="10756" max="10994" width="10.375" style="1"/>
    <col min="10995" max="10995" width="33.25" style="1" customWidth="1"/>
    <col min="10996" max="11000" width="10.375" style="1"/>
    <col min="11001" max="11001" width="13.625" style="1" customWidth="1"/>
    <col min="11002" max="11002" width="10.375" style="1"/>
    <col min="11003" max="11003" width="14.375" style="1" customWidth="1"/>
    <col min="11004" max="11004" width="10.375" style="1"/>
    <col min="11005" max="11005" width="11.625" style="1" bestFit="1" customWidth="1"/>
    <col min="11006" max="11008" width="10.375" style="1"/>
    <col min="11009" max="11009" width="12.875" style="1" customWidth="1"/>
    <col min="11010" max="11010" width="10.375" style="1"/>
    <col min="11011" max="11011" width="13" style="1" customWidth="1"/>
    <col min="11012" max="11250" width="10.375" style="1"/>
    <col min="11251" max="11251" width="33.25" style="1" customWidth="1"/>
    <col min="11252" max="11256" width="10.375" style="1"/>
    <col min="11257" max="11257" width="13.625" style="1" customWidth="1"/>
    <col min="11258" max="11258" width="10.375" style="1"/>
    <col min="11259" max="11259" width="14.375" style="1" customWidth="1"/>
    <col min="11260" max="11260" width="10.375" style="1"/>
    <col min="11261" max="11261" width="11.625" style="1" bestFit="1" customWidth="1"/>
    <col min="11262" max="11264" width="10.375" style="1"/>
    <col min="11265" max="11265" width="12.875" style="1" customWidth="1"/>
    <col min="11266" max="11266" width="10.375" style="1"/>
    <col min="11267" max="11267" width="13" style="1" customWidth="1"/>
    <col min="11268" max="11506" width="10.375" style="1"/>
    <col min="11507" max="11507" width="33.25" style="1" customWidth="1"/>
    <col min="11508" max="11512" width="10.375" style="1"/>
    <col min="11513" max="11513" width="13.625" style="1" customWidth="1"/>
    <col min="11514" max="11514" width="10.375" style="1"/>
    <col min="11515" max="11515" width="14.375" style="1" customWidth="1"/>
    <col min="11516" max="11516" width="10.375" style="1"/>
    <col min="11517" max="11517" width="11.625" style="1" bestFit="1" customWidth="1"/>
    <col min="11518" max="11520" width="10.375" style="1"/>
    <col min="11521" max="11521" width="12.875" style="1" customWidth="1"/>
    <col min="11522" max="11522" width="10.375" style="1"/>
    <col min="11523" max="11523" width="13" style="1" customWidth="1"/>
    <col min="11524" max="11762" width="10.375" style="1"/>
    <col min="11763" max="11763" width="33.25" style="1" customWidth="1"/>
    <col min="11764" max="11768" width="10.375" style="1"/>
    <col min="11769" max="11769" width="13.625" style="1" customWidth="1"/>
    <col min="11770" max="11770" width="10.375" style="1"/>
    <col min="11771" max="11771" width="14.375" style="1" customWidth="1"/>
    <col min="11772" max="11772" width="10.375" style="1"/>
    <col min="11773" max="11773" width="11.625" style="1" bestFit="1" customWidth="1"/>
    <col min="11774" max="11776" width="10.375" style="1"/>
    <col min="11777" max="11777" width="12.875" style="1" customWidth="1"/>
    <col min="11778" max="11778" width="10.375" style="1"/>
    <col min="11779" max="11779" width="13" style="1" customWidth="1"/>
    <col min="11780" max="12018" width="10.375" style="1"/>
    <col min="12019" max="12019" width="33.25" style="1" customWidth="1"/>
    <col min="12020" max="12024" width="10.375" style="1"/>
    <col min="12025" max="12025" width="13.625" style="1" customWidth="1"/>
    <col min="12026" max="12026" width="10.375" style="1"/>
    <col min="12027" max="12027" width="14.375" style="1" customWidth="1"/>
    <col min="12028" max="12028" width="10.375" style="1"/>
    <col min="12029" max="12029" width="11.625" style="1" bestFit="1" customWidth="1"/>
    <col min="12030" max="12032" width="10.375" style="1"/>
    <col min="12033" max="12033" width="12.875" style="1" customWidth="1"/>
    <col min="12034" max="12034" width="10.375" style="1"/>
    <col min="12035" max="12035" width="13" style="1" customWidth="1"/>
    <col min="12036" max="12274" width="10.375" style="1"/>
    <col min="12275" max="12275" width="33.25" style="1" customWidth="1"/>
    <col min="12276" max="12280" width="10.375" style="1"/>
    <col min="12281" max="12281" width="13.625" style="1" customWidth="1"/>
    <col min="12282" max="12282" width="10.375" style="1"/>
    <col min="12283" max="12283" width="14.375" style="1" customWidth="1"/>
    <col min="12284" max="12284" width="10.375" style="1"/>
    <col min="12285" max="12285" width="11.625" style="1" bestFit="1" customWidth="1"/>
    <col min="12286" max="12288" width="10.375" style="1"/>
    <col min="12289" max="12289" width="12.875" style="1" customWidth="1"/>
    <col min="12290" max="12290" width="10.375" style="1"/>
    <col min="12291" max="12291" width="13" style="1" customWidth="1"/>
    <col min="12292" max="12530" width="10.375" style="1"/>
    <col min="12531" max="12531" width="33.25" style="1" customWidth="1"/>
    <col min="12532" max="12536" width="10.375" style="1"/>
    <col min="12537" max="12537" width="13.625" style="1" customWidth="1"/>
    <col min="12538" max="12538" width="10.375" style="1"/>
    <col min="12539" max="12539" width="14.375" style="1" customWidth="1"/>
    <col min="12540" max="12540" width="10.375" style="1"/>
    <col min="12541" max="12541" width="11.625" style="1" bestFit="1" customWidth="1"/>
    <col min="12542" max="12544" width="10.375" style="1"/>
    <col min="12545" max="12545" width="12.875" style="1" customWidth="1"/>
    <col min="12546" max="12546" width="10.375" style="1"/>
    <col min="12547" max="12547" width="13" style="1" customWidth="1"/>
    <col min="12548" max="12786" width="10.375" style="1"/>
    <col min="12787" max="12787" width="33.25" style="1" customWidth="1"/>
    <col min="12788" max="12792" width="10.375" style="1"/>
    <col min="12793" max="12793" width="13.625" style="1" customWidth="1"/>
    <col min="12794" max="12794" width="10.375" style="1"/>
    <col min="12795" max="12795" width="14.375" style="1" customWidth="1"/>
    <col min="12796" max="12796" width="10.375" style="1"/>
    <col min="12797" max="12797" width="11.625" style="1" bestFit="1" customWidth="1"/>
    <col min="12798" max="12800" width="10.375" style="1"/>
    <col min="12801" max="12801" width="12.875" style="1" customWidth="1"/>
    <col min="12802" max="12802" width="10.375" style="1"/>
    <col min="12803" max="12803" width="13" style="1" customWidth="1"/>
    <col min="12804" max="13042" width="10.375" style="1"/>
    <col min="13043" max="13043" width="33.25" style="1" customWidth="1"/>
    <col min="13044" max="13048" width="10.375" style="1"/>
    <col min="13049" max="13049" width="13.625" style="1" customWidth="1"/>
    <col min="13050" max="13050" width="10.375" style="1"/>
    <col min="13051" max="13051" width="14.375" style="1" customWidth="1"/>
    <col min="13052" max="13052" width="10.375" style="1"/>
    <col min="13053" max="13053" width="11.625" style="1" bestFit="1" customWidth="1"/>
    <col min="13054" max="13056" width="10.375" style="1"/>
    <col min="13057" max="13057" width="12.875" style="1" customWidth="1"/>
    <col min="13058" max="13058" width="10.375" style="1"/>
    <col min="13059" max="13059" width="13" style="1" customWidth="1"/>
    <col min="13060" max="13298" width="10.375" style="1"/>
    <col min="13299" max="13299" width="33.25" style="1" customWidth="1"/>
    <col min="13300" max="13304" width="10.375" style="1"/>
    <col min="13305" max="13305" width="13.625" style="1" customWidth="1"/>
    <col min="13306" max="13306" width="10.375" style="1"/>
    <col min="13307" max="13307" width="14.375" style="1" customWidth="1"/>
    <col min="13308" max="13308" width="10.375" style="1"/>
    <col min="13309" max="13309" width="11.625" style="1" bestFit="1" customWidth="1"/>
    <col min="13310" max="13312" width="10.375" style="1"/>
    <col min="13313" max="13313" width="12.875" style="1" customWidth="1"/>
    <col min="13314" max="13314" width="10.375" style="1"/>
    <col min="13315" max="13315" width="13" style="1" customWidth="1"/>
    <col min="13316" max="13554" width="10.375" style="1"/>
    <col min="13555" max="13555" width="33.25" style="1" customWidth="1"/>
    <col min="13556" max="13560" width="10.375" style="1"/>
    <col min="13561" max="13561" width="13.625" style="1" customWidth="1"/>
    <col min="13562" max="13562" width="10.375" style="1"/>
    <col min="13563" max="13563" width="14.375" style="1" customWidth="1"/>
    <col min="13564" max="13564" width="10.375" style="1"/>
    <col min="13565" max="13565" width="11.625" style="1" bestFit="1" customWidth="1"/>
    <col min="13566" max="13568" width="10.375" style="1"/>
    <col min="13569" max="13569" width="12.875" style="1" customWidth="1"/>
    <col min="13570" max="13570" width="10.375" style="1"/>
    <col min="13571" max="13571" width="13" style="1" customWidth="1"/>
    <col min="13572" max="13810" width="10.375" style="1"/>
    <col min="13811" max="13811" width="33.25" style="1" customWidth="1"/>
    <col min="13812" max="13816" width="10.375" style="1"/>
    <col min="13817" max="13817" width="13.625" style="1" customWidth="1"/>
    <col min="13818" max="13818" width="10.375" style="1"/>
    <col min="13819" max="13819" width="14.375" style="1" customWidth="1"/>
    <col min="13820" max="13820" width="10.375" style="1"/>
    <col min="13821" max="13821" width="11.625" style="1" bestFit="1" customWidth="1"/>
    <col min="13822" max="13824" width="10.375" style="1"/>
    <col min="13825" max="13825" width="12.875" style="1" customWidth="1"/>
    <col min="13826" max="13826" width="10.375" style="1"/>
    <col min="13827" max="13827" width="13" style="1" customWidth="1"/>
    <col min="13828" max="14066" width="10.375" style="1"/>
    <col min="14067" max="14067" width="33.25" style="1" customWidth="1"/>
    <col min="14068" max="14072" width="10.375" style="1"/>
    <col min="14073" max="14073" width="13.625" style="1" customWidth="1"/>
    <col min="14074" max="14074" width="10.375" style="1"/>
    <col min="14075" max="14075" width="14.375" style="1" customWidth="1"/>
    <col min="14076" max="14076" width="10.375" style="1"/>
    <col min="14077" max="14077" width="11.625" style="1" bestFit="1" customWidth="1"/>
    <col min="14078" max="14080" width="10.375" style="1"/>
    <col min="14081" max="14081" width="12.875" style="1" customWidth="1"/>
    <col min="14082" max="14082" width="10.375" style="1"/>
    <col min="14083" max="14083" width="13" style="1" customWidth="1"/>
    <col min="14084" max="14322" width="10.375" style="1"/>
    <col min="14323" max="14323" width="33.25" style="1" customWidth="1"/>
    <col min="14324" max="14328" width="10.375" style="1"/>
    <col min="14329" max="14329" width="13.625" style="1" customWidth="1"/>
    <col min="14330" max="14330" width="10.375" style="1"/>
    <col min="14331" max="14331" width="14.375" style="1" customWidth="1"/>
    <col min="14332" max="14332" width="10.375" style="1"/>
    <col min="14333" max="14333" width="11.625" style="1" bestFit="1" customWidth="1"/>
    <col min="14334" max="14336" width="10.375" style="1"/>
    <col min="14337" max="14337" width="12.875" style="1" customWidth="1"/>
    <col min="14338" max="14338" width="10.375" style="1"/>
    <col min="14339" max="14339" width="13" style="1" customWidth="1"/>
    <col min="14340" max="14578" width="10.375" style="1"/>
    <col min="14579" max="14579" width="33.25" style="1" customWidth="1"/>
    <col min="14580" max="14584" width="10.375" style="1"/>
    <col min="14585" max="14585" width="13.625" style="1" customWidth="1"/>
    <col min="14586" max="14586" width="10.375" style="1"/>
    <col min="14587" max="14587" width="14.375" style="1" customWidth="1"/>
    <col min="14588" max="14588" width="10.375" style="1"/>
    <col min="14589" max="14589" width="11.625" style="1" bestFit="1" customWidth="1"/>
    <col min="14590" max="14592" width="10.375" style="1"/>
    <col min="14593" max="14593" width="12.875" style="1" customWidth="1"/>
    <col min="14594" max="14594" width="10.375" style="1"/>
    <col min="14595" max="14595" width="13" style="1" customWidth="1"/>
    <col min="14596" max="14834" width="10.375" style="1"/>
    <col min="14835" max="14835" width="33.25" style="1" customWidth="1"/>
    <col min="14836" max="14840" width="10.375" style="1"/>
    <col min="14841" max="14841" width="13.625" style="1" customWidth="1"/>
    <col min="14842" max="14842" width="10.375" style="1"/>
    <col min="14843" max="14843" width="14.375" style="1" customWidth="1"/>
    <col min="14844" max="14844" width="10.375" style="1"/>
    <col min="14845" max="14845" width="11.625" style="1" bestFit="1" customWidth="1"/>
    <col min="14846" max="14848" width="10.375" style="1"/>
    <col min="14849" max="14849" width="12.875" style="1" customWidth="1"/>
    <col min="14850" max="14850" width="10.375" style="1"/>
    <col min="14851" max="14851" width="13" style="1" customWidth="1"/>
    <col min="14852" max="15090" width="10.375" style="1"/>
    <col min="15091" max="15091" width="33.25" style="1" customWidth="1"/>
    <col min="15092" max="15096" width="10.375" style="1"/>
    <col min="15097" max="15097" width="13.625" style="1" customWidth="1"/>
    <col min="15098" max="15098" width="10.375" style="1"/>
    <col min="15099" max="15099" width="14.375" style="1" customWidth="1"/>
    <col min="15100" max="15100" width="10.375" style="1"/>
    <col min="15101" max="15101" width="11.625" style="1" bestFit="1" customWidth="1"/>
    <col min="15102" max="15104" width="10.375" style="1"/>
    <col min="15105" max="15105" width="12.875" style="1" customWidth="1"/>
    <col min="15106" max="15106" width="10.375" style="1"/>
    <col min="15107" max="15107" width="13" style="1" customWidth="1"/>
    <col min="15108" max="15346" width="10.375" style="1"/>
    <col min="15347" max="15347" width="33.25" style="1" customWidth="1"/>
    <col min="15348" max="15352" width="10.375" style="1"/>
    <col min="15353" max="15353" width="13.625" style="1" customWidth="1"/>
    <col min="15354" max="15354" width="10.375" style="1"/>
    <col min="15355" max="15355" width="14.375" style="1" customWidth="1"/>
    <col min="15356" max="15356" width="10.375" style="1"/>
    <col min="15357" max="15357" width="11.625" style="1" bestFit="1" customWidth="1"/>
    <col min="15358" max="15360" width="10.375" style="1"/>
    <col min="15361" max="15361" width="12.875" style="1" customWidth="1"/>
    <col min="15362" max="15362" width="10.375" style="1"/>
    <col min="15363" max="15363" width="13" style="1" customWidth="1"/>
    <col min="15364" max="15602" width="10.375" style="1"/>
    <col min="15603" max="15603" width="33.25" style="1" customWidth="1"/>
    <col min="15604" max="15608" width="10.375" style="1"/>
    <col min="15609" max="15609" width="13.625" style="1" customWidth="1"/>
    <col min="15610" max="15610" width="10.375" style="1"/>
    <col min="15611" max="15611" width="14.375" style="1" customWidth="1"/>
    <col min="15612" max="15612" width="10.375" style="1"/>
    <col min="15613" max="15613" width="11.625" style="1" bestFit="1" customWidth="1"/>
    <col min="15614" max="15616" width="10.375" style="1"/>
    <col min="15617" max="15617" width="12.875" style="1" customWidth="1"/>
    <col min="15618" max="15618" width="10.375" style="1"/>
    <col min="15619" max="15619" width="13" style="1" customWidth="1"/>
    <col min="15620" max="15858" width="10.375" style="1"/>
    <col min="15859" max="15859" width="33.25" style="1" customWidth="1"/>
    <col min="15860" max="15864" width="10.375" style="1"/>
    <col min="15865" max="15865" width="13.625" style="1" customWidth="1"/>
    <col min="15866" max="15866" width="10.375" style="1"/>
    <col min="15867" max="15867" width="14.375" style="1" customWidth="1"/>
    <col min="15868" max="15868" width="10.375" style="1"/>
    <col min="15869" max="15869" width="11.625" style="1" bestFit="1" customWidth="1"/>
    <col min="15870" max="15872" width="10.375" style="1"/>
    <col min="15873" max="15873" width="12.875" style="1" customWidth="1"/>
    <col min="15874" max="15874" width="10.375" style="1"/>
    <col min="15875" max="15875" width="13" style="1" customWidth="1"/>
    <col min="15876" max="16114" width="10.375" style="1"/>
    <col min="16115" max="16115" width="33.25" style="1" customWidth="1"/>
    <col min="16116" max="16120" width="10.375" style="1"/>
    <col min="16121" max="16121" width="13.625" style="1" customWidth="1"/>
    <col min="16122" max="16122" width="10.375" style="1"/>
    <col min="16123" max="16123" width="14.375" style="1" customWidth="1"/>
    <col min="16124" max="16124" width="10.375" style="1"/>
    <col min="16125" max="16125" width="11.625" style="1" bestFit="1" customWidth="1"/>
    <col min="16126" max="16128" width="10.375" style="1"/>
    <col min="16129" max="16129" width="12.875" style="1" customWidth="1"/>
    <col min="16130" max="16130" width="10.375" style="1"/>
    <col min="16131" max="16131" width="13" style="1" customWidth="1"/>
    <col min="16132" max="16384" width="10.375" style="1"/>
  </cols>
  <sheetData>
    <row r="1" spans="1:6" ht="18.600000000000001">
      <c r="A1" s="175" t="s">
        <v>0</v>
      </c>
      <c r="B1" s="175"/>
      <c r="C1" s="175"/>
      <c r="D1" s="175"/>
      <c r="E1" s="175"/>
      <c r="F1" s="175"/>
    </row>
    <row r="2" spans="1:6" ht="18.600000000000001">
      <c r="A2" s="176" t="s">
        <v>1</v>
      </c>
      <c r="B2" s="176"/>
      <c r="C2" s="176"/>
      <c r="D2" s="176"/>
      <c r="E2" s="176"/>
      <c r="F2" s="176"/>
    </row>
    <row r="3" spans="1:6" ht="18.600000000000001">
      <c r="A3" s="177" t="s">
        <v>60</v>
      </c>
      <c r="B3" s="177"/>
      <c r="C3" s="177"/>
      <c r="D3" s="177"/>
      <c r="E3" s="177"/>
      <c r="F3" s="177"/>
    </row>
    <row r="4" spans="1:6" ht="18.600000000000001">
      <c r="A4" s="178" t="s">
        <v>3</v>
      </c>
      <c r="B4" s="173" t="s">
        <v>4</v>
      </c>
      <c r="C4" s="173" t="s">
        <v>5</v>
      </c>
      <c r="D4" s="214" t="s">
        <v>8</v>
      </c>
      <c r="E4" s="215"/>
      <c r="F4" s="216"/>
    </row>
    <row r="5" spans="1:6">
      <c r="A5" s="179"/>
      <c r="B5" s="181"/>
      <c r="C5" s="181"/>
      <c r="D5" s="207" t="s">
        <v>14</v>
      </c>
      <c r="E5" s="209" t="s">
        <v>15</v>
      </c>
      <c r="F5" s="205" t="s">
        <v>16</v>
      </c>
    </row>
    <row r="6" spans="1:6">
      <c r="A6" s="180"/>
      <c r="B6" s="174"/>
      <c r="C6" s="174"/>
      <c r="D6" s="208"/>
      <c r="E6" s="210"/>
      <c r="F6" s="206"/>
    </row>
    <row r="7" spans="1:6" ht="18.600000000000001">
      <c r="A7" s="217" t="s">
        <v>57</v>
      </c>
      <c r="B7" s="218"/>
      <c r="C7" s="219"/>
      <c r="D7" s="142"/>
      <c r="E7" s="143"/>
      <c r="F7" s="144"/>
    </row>
    <row r="8" spans="1:6" ht="18.600000000000001">
      <c r="A8" s="140"/>
      <c r="B8" s="141"/>
      <c r="C8" s="141"/>
      <c r="D8" s="142"/>
      <c r="E8" s="143"/>
      <c r="F8" s="144"/>
    </row>
    <row r="9" spans="1:6" ht="23.25" customHeight="1" thickBot="1">
      <c r="A9" s="220" t="s">
        <v>53</v>
      </c>
      <c r="B9" s="220"/>
      <c r="C9" s="221"/>
      <c r="D9" s="114"/>
      <c r="E9" s="114"/>
      <c r="F9" s="107">
        <v>0</v>
      </c>
    </row>
    <row r="10" spans="1:6" ht="19.2" thickTop="1">
      <c r="A10" s="120"/>
      <c r="B10" s="121"/>
      <c r="C10" s="121"/>
      <c r="D10" s="122"/>
      <c r="E10" s="123"/>
      <c r="F10" s="124"/>
    </row>
    <row r="11" spans="1:6" ht="6.75" customHeight="1">
      <c r="A11" s="120"/>
      <c r="B11" s="121"/>
      <c r="C11" s="121"/>
      <c r="D11" s="122"/>
      <c r="E11" s="123"/>
      <c r="F11" s="124"/>
    </row>
    <row r="12" spans="1:6" ht="18.600000000000001">
      <c r="A12" s="120"/>
      <c r="B12" s="121"/>
      <c r="C12" s="121"/>
      <c r="D12" s="122"/>
      <c r="E12" s="123"/>
      <c r="F12" s="124"/>
    </row>
    <row r="13" spans="1:6" ht="18.600000000000001">
      <c r="B13" s="128"/>
      <c r="C13" s="121"/>
      <c r="D13" s="122"/>
      <c r="E13" s="123"/>
      <c r="F13" s="124"/>
    </row>
    <row r="14" spans="1:6" ht="18.600000000000001">
      <c r="A14" s="129"/>
      <c r="B14" s="130"/>
      <c r="C14" s="129"/>
      <c r="D14" s="134"/>
      <c r="E14" s="135"/>
      <c r="F14" s="136"/>
    </row>
  </sheetData>
  <mergeCells count="12">
    <mergeCell ref="A7:C7"/>
    <mergeCell ref="A9:C9"/>
    <mergeCell ref="A1:F1"/>
    <mergeCell ref="A2:F2"/>
    <mergeCell ref="A3:F3"/>
    <mergeCell ref="A4:A6"/>
    <mergeCell ref="B4:B6"/>
    <mergeCell ref="C4:C6"/>
    <mergeCell ref="D4:F4"/>
    <mergeCell ref="D5:D6"/>
    <mergeCell ref="E5:E6"/>
    <mergeCell ref="F5:F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C15E8-78B0-4C76-B4E5-CB1BBD16BA34}">
  <sheetPr>
    <tabColor rgb="FF92D050"/>
  </sheetPr>
  <dimension ref="A1:F21"/>
  <sheetViews>
    <sheetView workbookViewId="0">
      <pane ySplit="6" topLeftCell="A7" activePane="bottomLeft" state="frozen"/>
      <selection pane="bottomLeft" activeCell="A4" sqref="A4:A6"/>
    </sheetView>
  </sheetViews>
  <sheetFormatPr defaultColWidth="10.375" defaultRowHeight="14.4"/>
  <cols>
    <col min="1" max="1" width="10.375" style="1"/>
    <col min="2" max="2" width="33.25" style="1" customWidth="1"/>
    <col min="3" max="5" width="10.375" style="1"/>
    <col min="6" max="6" width="13" style="1" customWidth="1"/>
    <col min="7" max="245" width="10.375" style="1"/>
    <col min="246" max="246" width="33.25" style="1" customWidth="1"/>
    <col min="247" max="251" width="10.375" style="1"/>
    <col min="252" max="252" width="13.625" style="1" customWidth="1"/>
    <col min="253" max="253" width="10.375" style="1"/>
    <col min="254" max="254" width="14.375" style="1" customWidth="1"/>
    <col min="255" max="255" width="10.375" style="1"/>
    <col min="256" max="256" width="11.625" style="1" bestFit="1" customWidth="1"/>
    <col min="257" max="259" width="10.375" style="1"/>
    <col min="260" max="260" width="12.875" style="1" customWidth="1"/>
    <col min="261" max="261" width="10.375" style="1"/>
    <col min="262" max="262" width="13" style="1" customWidth="1"/>
    <col min="263" max="501" width="10.375" style="1"/>
    <col min="502" max="502" width="33.25" style="1" customWidth="1"/>
    <col min="503" max="507" width="10.375" style="1"/>
    <col min="508" max="508" width="13.625" style="1" customWidth="1"/>
    <col min="509" max="509" width="10.375" style="1"/>
    <col min="510" max="510" width="14.375" style="1" customWidth="1"/>
    <col min="511" max="511" width="10.375" style="1"/>
    <col min="512" max="512" width="11.625" style="1" bestFit="1" customWidth="1"/>
    <col min="513" max="515" width="10.375" style="1"/>
    <col min="516" max="516" width="12.875" style="1" customWidth="1"/>
    <col min="517" max="517" width="10.375" style="1"/>
    <col min="518" max="518" width="13" style="1" customWidth="1"/>
    <col min="519" max="757" width="10.375" style="1"/>
    <col min="758" max="758" width="33.25" style="1" customWidth="1"/>
    <col min="759" max="763" width="10.375" style="1"/>
    <col min="764" max="764" width="13.625" style="1" customWidth="1"/>
    <col min="765" max="765" width="10.375" style="1"/>
    <col min="766" max="766" width="14.375" style="1" customWidth="1"/>
    <col min="767" max="767" width="10.375" style="1"/>
    <col min="768" max="768" width="11.625" style="1" bestFit="1" customWidth="1"/>
    <col min="769" max="771" width="10.375" style="1"/>
    <col min="772" max="772" width="12.875" style="1" customWidth="1"/>
    <col min="773" max="773" width="10.375" style="1"/>
    <col min="774" max="774" width="13" style="1" customWidth="1"/>
    <col min="775" max="1013" width="10.375" style="1"/>
    <col min="1014" max="1014" width="33.25" style="1" customWidth="1"/>
    <col min="1015" max="1019" width="10.375" style="1"/>
    <col min="1020" max="1020" width="13.625" style="1" customWidth="1"/>
    <col min="1021" max="1021" width="10.375" style="1"/>
    <col min="1022" max="1022" width="14.375" style="1" customWidth="1"/>
    <col min="1023" max="1023" width="10.375" style="1"/>
    <col min="1024" max="1024" width="11.625" style="1" bestFit="1" customWidth="1"/>
    <col min="1025" max="1027" width="10.375" style="1"/>
    <col min="1028" max="1028" width="12.875" style="1" customWidth="1"/>
    <col min="1029" max="1029" width="10.375" style="1"/>
    <col min="1030" max="1030" width="13" style="1" customWidth="1"/>
    <col min="1031" max="1269" width="10.375" style="1"/>
    <col min="1270" max="1270" width="33.25" style="1" customWidth="1"/>
    <col min="1271" max="1275" width="10.375" style="1"/>
    <col min="1276" max="1276" width="13.625" style="1" customWidth="1"/>
    <col min="1277" max="1277" width="10.375" style="1"/>
    <col min="1278" max="1278" width="14.375" style="1" customWidth="1"/>
    <col min="1279" max="1279" width="10.375" style="1"/>
    <col min="1280" max="1280" width="11.625" style="1" bestFit="1" customWidth="1"/>
    <col min="1281" max="1283" width="10.375" style="1"/>
    <col min="1284" max="1284" width="12.875" style="1" customWidth="1"/>
    <col min="1285" max="1285" width="10.375" style="1"/>
    <col min="1286" max="1286" width="13" style="1" customWidth="1"/>
    <col min="1287" max="1525" width="10.375" style="1"/>
    <col min="1526" max="1526" width="33.25" style="1" customWidth="1"/>
    <col min="1527" max="1531" width="10.375" style="1"/>
    <col min="1532" max="1532" width="13.625" style="1" customWidth="1"/>
    <col min="1533" max="1533" width="10.375" style="1"/>
    <col min="1534" max="1534" width="14.375" style="1" customWidth="1"/>
    <col min="1535" max="1535" width="10.375" style="1"/>
    <col min="1536" max="1536" width="11.625" style="1" bestFit="1" customWidth="1"/>
    <col min="1537" max="1539" width="10.375" style="1"/>
    <col min="1540" max="1540" width="12.875" style="1" customWidth="1"/>
    <col min="1541" max="1541" width="10.375" style="1"/>
    <col min="1542" max="1542" width="13" style="1" customWidth="1"/>
    <col min="1543" max="1781" width="10.375" style="1"/>
    <col min="1782" max="1782" width="33.25" style="1" customWidth="1"/>
    <col min="1783" max="1787" width="10.375" style="1"/>
    <col min="1788" max="1788" width="13.625" style="1" customWidth="1"/>
    <col min="1789" max="1789" width="10.375" style="1"/>
    <col min="1790" max="1790" width="14.375" style="1" customWidth="1"/>
    <col min="1791" max="1791" width="10.375" style="1"/>
    <col min="1792" max="1792" width="11.625" style="1" bestFit="1" customWidth="1"/>
    <col min="1793" max="1795" width="10.375" style="1"/>
    <col min="1796" max="1796" width="12.875" style="1" customWidth="1"/>
    <col min="1797" max="1797" width="10.375" style="1"/>
    <col min="1798" max="1798" width="13" style="1" customWidth="1"/>
    <col min="1799" max="2037" width="10.375" style="1"/>
    <col min="2038" max="2038" width="33.25" style="1" customWidth="1"/>
    <col min="2039" max="2043" width="10.375" style="1"/>
    <col min="2044" max="2044" width="13.625" style="1" customWidth="1"/>
    <col min="2045" max="2045" width="10.375" style="1"/>
    <col min="2046" max="2046" width="14.375" style="1" customWidth="1"/>
    <col min="2047" max="2047" width="10.375" style="1"/>
    <col min="2048" max="2048" width="11.625" style="1" bestFit="1" customWidth="1"/>
    <col min="2049" max="2051" width="10.375" style="1"/>
    <col min="2052" max="2052" width="12.875" style="1" customWidth="1"/>
    <col min="2053" max="2053" width="10.375" style="1"/>
    <col min="2054" max="2054" width="13" style="1" customWidth="1"/>
    <col min="2055" max="2293" width="10.375" style="1"/>
    <col min="2294" max="2294" width="33.25" style="1" customWidth="1"/>
    <col min="2295" max="2299" width="10.375" style="1"/>
    <col min="2300" max="2300" width="13.625" style="1" customWidth="1"/>
    <col min="2301" max="2301" width="10.375" style="1"/>
    <col min="2302" max="2302" width="14.375" style="1" customWidth="1"/>
    <col min="2303" max="2303" width="10.375" style="1"/>
    <col min="2304" max="2304" width="11.625" style="1" bestFit="1" customWidth="1"/>
    <col min="2305" max="2307" width="10.375" style="1"/>
    <col min="2308" max="2308" width="12.875" style="1" customWidth="1"/>
    <col min="2309" max="2309" width="10.375" style="1"/>
    <col min="2310" max="2310" width="13" style="1" customWidth="1"/>
    <col min="2311" max="2549" width="10.375" style="1"/>
    <col min="2550" max="2550" width="33.25" style="1" customWidth="1"/>
    <col min="2551" max="2555" width="10.375" style="1"/>
    <col min="2556" max="2556" width="13.625" style="1" customWidth="1"/>
    <col min="2557" max="2557" width="10.375" style="1"/>
    <col min="2558" max="2558" width="14.375" style="1" customWidth="1"/>
    <col min="2559" max="2559" width="10.375" style="1"/>
    <col min="2560" max="2560" width="11.625" style="1" bestFit="1" customWidth="1"/>
    <col min="2561" max="2563" width="10.375" style="1"/>
    <col min="2564" max="2564" width="12.875" style="1" customWidth="1"/>
    <col min="2565" max="2565" width="10.375" style="1"/>
    <col min="2566" max="2566" width="13" style="1" customWidth="1"/>
    <col min="2567" max="2805" width="10.375" style="1"/>
    <col min="2806" max="2806" width="33.25" style="1" customWidth="1"/>
    <col min="2807" max="2811" width="10.375" style="1"/>
    <col min="2812" max="2812" width="13.625" style="1" customWidth="1"/>
    <col min="2813" max="2813" width="10.375" style="1"/>
    <col min="2814" max="2814" width="14.375" style="1" customWidth="1"/>
    <col min="2815" max="2815" width="10.375" style="1"/>
    <col min="2816" max="2816" width="11.625" style="1" bestFit="1" customWidth="1"/>
    <col min="2817" max="2819" width="10.375" style="1"/>
    <col min="2820" max="2820" width="12.875" style="1" customWidth="1"/>
    <col min="2821" max="2821" width="10.375" style="1"/>
    <col min="2822" max="2822" width="13" style="1" customWidth="1"/>
    <col min="2823" max="3061" width="10.375" style="1"/>
    <col min="3062" max="3062" width="33.25" style="1" customWidth="1"/>
    <col min="3063" max="3067" width="10.375" style="1"/>
    <col min="3068" max="3068" width="13.625" style="1" customWidth="1"/>
    <col min="3069" max="3069" width="10.375" style="1"/>
    <col min="3070" max="3070" width="14.375" style="1" customWidth="1"/>
    <col min="3071" max="3071" width="10.375" style="1"/>
    <col min="3072" max="3072" width="11.625" style="1" bestFit="1" customWidth="1"/>
    <col min="3073" max="3075" width="10.375" style="1"/>
    <col min="3076" max="3076" width="12.875" style="1" customWidth="1"/>
    <col min="3077" max="3077" width="10.375" style="1"/>
    <col min="3078" max="3078" width="13" style="1" customWidth="1"/>
    <col min="3079" max="3317" width="10.375" style="1"/>
    <col min="3318" max="3318" width="33.25" style="1" customWidth="1"/>
    <col min="3319" max="3323" width="10.375" style="1"/>
    <col min="3324" max="3324" width="13.625" style="1" customWidth="1"/>
    <col min="3325" max="3325" width="10.375" style="1"/>
    <col min="3326" max="3326" width="14.375" style="1" customWidth="1"/>
    <col min="3327" max="3327" width="10.375" style="1"/>
    <col min="3328" max="3328" width="11.625" style="1" bestFit="1" customWidth="1"/>
    <col min="3329" max="3331" width="10.375" style="1"/>
    <col min="3332" max="3332" width="12.875" style="1" customWidth="1"/>
    <col min="3333" max="3333" width="10.375" style="1"/>
    <col min="3334" max="3334" width="13" style="1" customWidth="1"/>
    <col min="3335" max="3573" width="10.375" style="1"/>
    <col min="3574" max="3574" width="33.25" style="1" customWidth="1"/>
    <col min="3575" max="3579" width="10.375" style="1"/>
    <col min="3580" max="3580" width="13.625" style="1" customWidth="1"/>
    <col min="3581" max="3581" width="10.375" style="1"/>
    <col min="3582" max="3582" width="14.375" style="1" customWidth="1"/>
    <col min="3583" max="3583" width="10.375" style="1"/>
    <col min="3584" max="3584" width="11.625" style="1" bestFit="1" customWidth="1"/>
    <col min="3585" max="3587" width="10.375" style="1"/>
    <col min="3588" max="3588" width="12.875" style="1" customWidth="1"/>
    <col min="3589" max="3589" width="10.375" style="1"/>
    <col min="3590" max="3590" width="13" style="1" customWidth="1"/>
    <col min="3591" max="3829" width="10.375" style="1"/>
    <col min="3830" max="3830" width="33.25" style="1" customWidth="1"/>
    <col min="3831" max="3835" width="10.375" style="1"/>
    <col min="3836" max="3836" width="13.625" style="1" customWidth="1"/>
    <col min="3837" max="3837" width="10.375" style="1"/>
    <col min="3838" max="3838" width="14.375" style="1" customWidth="1"/>
    <col min="3839" max="3839" width="10.375" style="1"/>
    <col min="3840" max="3840" width="11.625" style="1" bestFit="1" customWidth="1"/>
    <col min="3841" max="3843" width="10.375" style="1"/>
    <col min="3844" max="3844" width="12.875" style="1" customWidth="1"/>
    <col min="3845" max="3845" width="10.375" style="1"/>
    <col min="3846" max="3846" width="13" style="1" customWidth="1"/>
    <col min="3847" max="4085" width="10.375" style="1"/>
    <col min="4086" max="4086" width="33.25" style="1" customWidth="1"/>
    <col min="4087" max="4091" width="10.375" style="1"/>
    <col min="4092" max="4092" width="13.625" style="1" customWidth="1"/>
    <col min="4093" max="4093" width="10.375" style="1"/>
    <col min="4094" max="4094" width="14.375" style="1" customWidth="1"/>
    <col min="4095" max="4095" width="10.375" style="1"/>
    <col min="4096" max="4096" width="11.625" style="1" bestFit="1" customWidth="1"/>
    <col min="4097" max="4099" width="10.375" style="1"/>
    <col min="4100" max="4100" width="12.875" style="1" customWidth="1"/>
    <col min="4101" max="4101" width="10.375" style="1"/>
    <col min="4102" max="4102" width="13" style="1" customWidth="1"/>
    <col min="4103" max="4341" width="10.375" style="1"/>
    <col min="4342" max="4342" width="33.25" style="1" customWidth="1"/>
    <col min="4343" max="4347" width="10.375" style="1"/>
    <col min="4348" max="4348" width="13.625" style="1" customWidth="1"/>
    <col min="4349" max="4349" width="10.375" style="1"/>
    <col min="4350" max="4350" width="14.375" style="1" customWidth="1"/>
    <col min="4351" max="4351" width="10.375" style="1"/>
    <col min="4352" max="4352" width="11.625" style="1" bestFit="1" customWidth="1"/>
    <col min="4353" max="4355" width="10.375" style="1"/>
    <col min="4356" max="4356" width="12.875" style="1" customWidth="1"/>
    <col min="4357" max="4357" width="10.375" style="1"/>
    <col min="4358" max="4358" width="13" style="1" customWidth="1"/>
    <col min="4359" max="4597" width="10.375" style="1"/>
    <col min="4598" max="4598" width="33.25" style="1" customWidth="1"/>
    <col min="4599" max="4603" width="10.375" style="1"/>
    <col min="4604" max="4604" width="13.625" style="1" customWidth="1"/>
    <col min="4605" max="4605" width="10.375" style="1"/>
    <col min="4606" max="4606" width="14.375" style="1" customWidth="1"/>
    <col min="4607" max="4607" width="10.375" style="1"/>
    <col min="4608" max="4608" width="11.625" style="1" bestFit="1" customWidth="1"/>
    <col min="4609" max="4611" width="10.375" style="1"/>
    <col min="4612" max="4612" width="12.875" style="1" customWidth="1"/>
    <col min="4613" max="4613" width="10.375" style="1"/>
    <col min="4614" max="4614" width="13" style="1" customWidth="1"/>
    <col min="4615" max="4853" width="10.375" style="1"/>
    <col min="4854" max="4854" width="33.25" style="1" customWidth="1"/>
    <col min="4855" max="4859" width="10.375" style="1"/>
    <col min="4860" max="4860" width="13.625" style="1" customWidth="1"/>
    <col min="4861" max="4861" width="10.375" style="1"/>
    <col min="4862" max="4862" width="14.375" style="1" customWidth="1"/>
    <col min="4863" max="4863" width="10.375" style="1"/>
    <col min="4864" max="4864" width="11.625" style="1" bestFit="1" customWidth="1"/>
    <col min="4865" max="4867" width="10.375" style="1"/>
    <col min="4868" max="4868" width="12.875" style="1" customWidth="1"/>
    <col min="4869" max="4869" width="10.375" style="1"/>
    <col min="4870" max="4870" width="13" style="1" customWidth="1"/>
    <col min="4871" max="5109" width="10.375" style="1"/>
    <col min="5110" max="5110" width="33.25" style="1" customWidth="1"/>
    <col min="5111" max="5115" width="10.375" style="1"/>
    <col min="5116" max="5116" width="13.625" style="1" customWidth="1"/>
    <col min="5117" max="5117" width="10.375" style="1"/>
    <col min="5118" max="5118" width="14.375" style="1" customWidth="1"/>
    <col min="5119" max="5119" width="10.375" style="1"/>
    <col min="5120" max="5120" width="11.625" style="1" bestFit="1" customWidth="1"/>
    <col min="5121" max="5123" width="10.375" style="1"/>
    <col min="5124" max="5124" width="12.875" style="1" customWidth="1"/>
    <col min="5125" max="5125" width="10.375" style="1"/>
    <col min="5126" max="5126" width="13" style="1" customWidth="1"/>
    <col min="5127" max="5365" width="10.375" style="1"/>
    <col min="5366" max="5366" width="33.25" style="1" customWidth="1"/>
    <col min="5367" max="5371" width="10.375" style="1"/>
    <col min="5372" max="5372" width="13.625" style="1" customWidth="1"/>
    <col min="5373" max="5373" width="10.375" style="1"/>
    <col min="5374" max="5374" width="14.375" style="1" customWidth="1"/>
    <col min="5375" max="5375" width="10.375" style="1"/>
    <col min="5376" max="5376" width="11.625" style="1" bestFit="1" customWidth="1"/>
    <col min="5377" max="5379" width="10.375" style="1"/>
    <col min="5380" max="5380" width="12.875" style="1" customWidth="1"/>
    <col min="5381" max="5381" width="10.375" style="1"/>
    <col min="5382" max="5382" width="13" style="1" customWidth="1"/>
    <col min="5383" max="5621" width="10.375" style="1"/>
    <col min="5622" max="5622" width="33.25" style="1" customWidth="1"/>
    <col min="5623" max="5627" width="10.375" style="1"/>
    <col min="5628" max="5628" width="13.625" style="1" customWidth="1"/>
    <col min="5629" max="5629" width="10.375" style="1"/>
    <col min="5630" max="5630" width="14.375" style="1" customWidth="1"/>
    <col min="5631" max="5631" width="10.375" style="1"/>
    <col min="5632" max="5632" width="11.625" style="1" bestFit="1" customWidth="1"/>
    <col min="5633" max="5635" width="10.375" style="1"/>
    <col min="5636" max="5636" width="12.875" style="1" customWidth="1"/>
    <col min="5637" max="5637" width="10.375" style="1"/>
    <col min="5638" max="5638" width="13" style="1" customWidth="1"/>
    <col min="5639" max="5877" width="10.375" style="1"/>
    <col min="5878" max="5878" width="33.25" style="1" customWidth="1"/>
    <col min="5879" max="5883" width="10.375" style="1"/>
    <col min="5884" max="5884" width="13.625" style="1" customWidth="1"/>
    <col min="5885" max="5885" width="10.375" style="1"/>
    <col min="5886" max="5886" width="14.375" style="1" customWidth="1"/>
    <col min="5887" max="5887" width="10.375" style="1"/>
    <col min="5888" max="5888" width="11.625" style="1" bestFit="1" customWidth="1"/>
    <col min="5889" max="5891" width="10.375" style="1"/>
    <col min="5892" max="5892" width="12.875" style="1" customWidth="1"/>
    <col min="5893" max="5893" width="10.375" style="1"/>
    <col min="5894" max="5894" width="13" style="1" customWidth="1"/>
    <col min="5895" max="6133" width="10.375" style="1"/>
    <col min="6134" max="6134" width="33.25" style="1" customWidth="1"/>
    <col min="6135" max="6139" width="10.375" style="1"/>
    <col min="6140" max="6140" width="13.625" style="1" customWidth="1"/>
    <col min="6141" max="6141" width="10.375" style="1"/>
    <col min="6142" max="6142" width="14.375" style="1" customWidth="1"/>
    <col min="6143" max="6143" width="10.375" style="1"/>
    <col min="6144" max="6144" width="11.625" style="1" bestFit="1" customWidth="1"/>
    <col min="6145" max="6147" width="10.375" style="1"/>
    <col min="6148" max="6148" width="12.875" style="1" customWidth="1"/>
    <col min="6149" max="6149" width="10.375" style="1"/>
    <col min="6150" max="6150" width="13" style="1" customWidth="1"/>
    <col min="6151" max="6389" width="10.375" style="1"/>
    <col min="6390" max="6390" width="33.25" style="1" customWidth="1"/>
    <col min="6391" max="6395" width="10.375" style="1"/>
    <col min="6396" max="6396" width="13.625" style="1" customWidth="1"/>
    <col min="6397" max="6397" width="10.375" style="1"/>
    <col min="6398" max="6398" width="14.375" style="1" customWidth="1"/>
    <col min="6399" max="6399" width="10.375" style="1"/>
    <col min="6400" max="6400" width="11.625" style="1" bestFit="1" customWidth="1"/>
    <col min="6401" max="6403" width="10.375" style="1"/>
    <col min="6404" max="6404" width="12.875" style="1" customWidth="1"/>
    <col min="6405" max="6405" width="10.375" style="1"/>
    <col min="6406" max="6406" width="13" style="1" customWidth="1"/>
    <col min="6407" max="6645" width="10.375" style="1"/>
    <col min="6646" max="6646" width="33.25" style="1" customWidth="1"/>
    <col min="6647" max="6651" width="10.375" style="1"/>
    <col min="6652" max="6652" width="13.625" style="1" customWidth="1"/>
    <col min="6653" max="6653" width="10.375" style="1"/>
    <col min="6654" max="6654" width="14.375" style="1" customWidth="1"/>
    <col min="6655" max="6655" width="10.375" style="1"/>
    <col min="6656" max="6656" width="11.625" style="1" bestFit="1" customWidth="1"/>
    <col min="6657" max="6659" width="10.375" style="1"/>
    <col min="6660" max="6660" width="12.875" style="1" customWidth="1"/>
    <col min="6661" max="6661" width="10.375" style="1"/>
    <col min="6662" max="6662" width="13" style="1" customWidth="1"/>
    <col min="6663" max="6901" width="10.375" style="1"/>
    <col min="6902" max="6902" width="33.25" style="1" customWidth="1"/>
    <col min="6903" max="6907" width="10.375" style="1"/>
    <col min="6908" max="6908" width="13.625" style="1" customWidth="1"/>
    <col min="6909" max="6909" width="10.375" style="1"/>
    <col min="6910" max="6910" width="14.375" style="1" customWidth="1"/>
    <col min="6911" max="6911" width="10.375" style="1"/>
    <col min="6912" max="6912" width="11.625" style="1" bestFit="1" customWidth="1"/>
    <col min="6913" max="6915" width="10.375" style="1"/>
    <col min="6916" max="6916" width="12.875" style="1" customWidth="1"/>
    <col min="6917" max="6917" width="10.375" style="1"/>
    <col min="6918" max="6918" width="13" style="1" customWidth="1"/>
    <col min="6919" max="7157" width="10.375" style="1"/>
    <col min="7158" max="7158" width="33.25" style="1" customWidth="1"/>
    <col min="7159" max="7163" width="10.375" style="1"/>
    <col min="7164" max="7164" width="13.625" style="1" customWidth="1"/>
    <col min="7165" max="7165" width="10.375" style="1"/>
    <col min="7166" max="7166" width="14.375" style="1" customWidth="1"/>
    <col min="7167" max="7167" width="10.375" style="1"/>
    <col min="7168" max="7168" width="11.625" style="1" bestFit="1" customWidth="1"/>
    <col min="7169" max="7171" width="10.375" style="1"/>
    <col min="7172" max="7172" width="12.875" style="1" customWidth="1"/>
    <col min="7173" max="7173" width="10.375" style="1"/>
    <col min="7174" max="7174" width="13" style="1" customWidth="1"/>
    <col min="7175" max="7413" width="10.375" style="1"/>
    <col min="7414" max="7414" width="33.25" style="1" customWidth="1"/>
    <col min="7415" max="7419" width="10.375" style="1"/>
    <col min="7420" max="7420" width="13.625" style="1" customWidth="1"/>
    <col min="7421" max="7421" width="10.375" style="1"/>
    <col min="7422" max="7422" width="14.375" style="1" customWidth="1"/>
    <col min="7423" max="7423" width="10.375" style="1"/>
    <col min="7424" max="7424" width="11.625" style="1" bestFit="1" customWidth="1"/>
    <col min="7425" max="7427" width="10.375" style="1"/>
    <col min="7428" max="7428" width="12.875" style="1" customWidth="1"/>
    <col min="7429" max="7429" width="10.375" style="1"/>
    <col min="7430" max="7430" width="13" style="1" customWidth="1"/>
    <col min="7431" max="7669" width="10.375" style="1"/>
    <col min="7670" max="7670" width="33.25" style="1" customWidth="1"/>
    <col min="7671" max="7675" width="10.375" style="1"/>
    <col min="7676" max="7676" width="13.625" style="1" customWidth="1"/>
    <col min="7677" max="7677" width="10.375" style="1"/>
    <col min="7678" max="7678" width="14.375" style="1" customWidth="1"/>
    <col min="7679" max="7679" width="10.375" style="1"/>
    <col min="7680" max="7680" width="11.625" style="1" bestFit="1" customWidth="1"/>
    <col min="7681" max="7683" width="10.375" style="1"/>
    <col min="7684" max="7684" width="12.875" style="1" customWidth="1"/>
    <col min="7685" max="7685" width="10.375" style="1"/>
    <col min="7686" max="7686" width="13" style="1" customWidth="1"/>
    <col min="7687" max="7925" width="10.375" style="1"/>
    <col min="7926" max="7926" width="33.25" style="1" customWidth="1"/>
    <col min="7927" max="7931" width="10.375" style="1"/>
    <col min="7932" max="7932" width="13.625" style="1" customWidth="1"/>
    <col min="7933" max="7933" width="10.375" style="1"/>
    <col min="7934" max="7934" width="14.375" style="1" customWidth="1"/>
    <col min="7935" max="7935" width="10.375" style="1"/>
    <col min="7936" max="7936" width="11.625" style="1" bestFit="1" customWidth="1"/>
    <col min="7937" max="7939" width="10.375" style="1"/>
    <col min="7940" max="7940" width="12.875" style="1" customWidth="1"/>
    <col min="7941" max="7941" width="10.375" style="1"/>
    <col min="7942" max="7942" width="13" style="1" customWidth="1"/>
    <col min="7943" max="8181" width="10.375" style="1"/>
    <col min="8182" max="8182" width="33.25" style="1" customWidth="1"/>
    <col min="8183" max="8187" width="10.375" style="1"/>
    <col min="8188" max="8188" width="13.625" style="1" customWidth="1"/>
    <col min="8189" max="8189" width="10.375" style="1"/>
    <col min="8190" max="8190" width="14.375" style="1" customWidth="1"/>
    <col min="8191" max="8191" width="10.375" style="1"/>
    <col min="8192" max="8192" width="11.625" style="1" bestFit="1" customWidth="1"/>
    <col min="8193" max="8195" width="10.375" style="1"/>
    <col min="8196" max="8196" width="12.875" style="1" customWidth="1"/>
    <col min="8197" max="8197" width="10.375" style="1"/>
    <col min="8198" max="8198" width="13" style="1" customWidth="1"/>
    <col min="8199" max="8437" width="10.375" style="1"/>
    <col min="8438" max="8438" width="33.25" style="1" customWidth="1"/>
    <col min="8439" max="8443" width="10.375" style="1"/>
    <col min="8444" max="8444" width="13.625" style="1" customWidth="1"/>
    <col min="8445" max="8445" width="10.375" style="1"/>
    <col min="8446" max="8446" width="14.375" style="1" customWidth="1"/>
    <col min="8447" max="8447" width="10.375" style="1"/>
    <col min="8448" max="8448" width="11.625" style="1" bestFit="1" customWidth="1"/>
    <col min="8449" max="8451" width="10.375" style="1"/>
    <col min="8452" max="8452" width="12.875" style="1" customWidth="1"/>
    <col min="8453" max="8453" width="10.375" style="1"/>
    <col min="8454" max="8454" width="13" style="1" customWidth="1"/>
    <col min="8455" max="8693" width="10.375" style="1"/>
    <col min="8694" max="8694" width="33.25" style="1" customWidth="1"/>
    <col min="8695" max="8699" width="10.375" style="1"/>
    <col min="8700" max="8700" width="13.625" style="1" customWidth="1"/>
    <col min="8701" max="8701" width="10.375" style="1"/>
    <col min="8702" max="8702" width="14.375" style="1" customWidth="1"/>
    <col min="8703" max="8703" width="10.375" style="1"/>
    <col min="8704" max="8704" width="11.625" style="1" bestFit="1" customWidth="1"/>
    <col min="8705" max="8707" width="10.375" style="1"/>
    <col min="8708" max="8708" width="12.875" style="1" customWidth="1"/>
    <col min="8709" max="8709" width="10.375" style="1"/>
    <col min="8710" max="8710" width="13" style="1" customWidth="1"/>
    <col min="8711" max="8949" width="10.375" style="1"/>
    <col min="8950" max="8950" width="33.25" style="1" customWidth="1"/>
    <col min="8951" max="8955" width="10.375" style="1"/>
    <col min="8956" max="8956" width="13.625" style="1" customWidth="1"/>
    <col min="8957" max="8957" width="10.375" style="1"/>
    <col min="8958" max="8958" width="14.375" style="1" customWidth="1"/>
    <col min="8959" max="8959" width="10.375" style="1"/>
    <col min="8960" max="8960" width="11.625" style="1" bestFit="1" customWidth="1"/>
    <col min="8961" max="8963" width="10.375" style="1"/>
    <col min="8964" max="8964" width="12.875" style="1" customWidth="1"/>
    <col min="8965" max="8965" width="10.375" style="1"/>
    <col min="8966" max="8966" width="13" style="1" customWidth="1"/>
    <col min="8967" max="9205" width="10.375" style="1"/>
    <col min="9206" max="9206" width="33.25" style="1" customWidth="1"/>
    <col min="9207" max="9211" width="10.375" style="1"/>
    <col min="9212" max="9212" width="13.625" style="1" customWidth="1"/>
    <col min="9213" max="9213" width="10.375" style="1"/>
    <col min="9214" max="9214" width="14.375" style="1" customWidth="1"/>
    <col min="9215" max="9215" width="10.375" style="1"/>
    <col min="9216" max="9216" width="11.625" style="1" bestFit="1" customWidth="1"/>
    <col min="9217" max="9219" width="10.375" style="1"/>
    <col min="9220" max="9220" width="12.875" style="1" customWidth="1"/>
    <col min="9221" max="9221" width="10.375" style="1"/>
    <col min="9222" max="9222" width="13" style="1" customWidth="1"/>
    <col min="9223" max="9461" width="10.375" style="1"/>
    <col min="9462" max="9462" width="33.25" style="1" customWidth="1"/>
    <col min="9463" max="9467" width="10.375" style="1"/>
    <col min="9468" max="9468" width="13.625" style="1" customWidth="1"/>
    <col min="9469" max="9469" width="10.375" style="1"/>
    <col min="9470" max="9470" width="14.375" style="1" customWidth="1"/>
    <col min="9471" max="9471" width="10.375" style="1"/>
    <col min="9472" max="9472" width="11.625" style="1" bestFit="1" customWidth="1"/>
    <col min="9473" max="9475" width="10.375" style="1"/>
    <col min="9476" max="9476" width="12.875" style="1" customWidth="1"/>
    <col min="9477" max="9477" width="10.375" style="1"/>
    <col min="9478" max="9478" width="13" style="1" customWidth="1"/>
    <col min="9479" max="9717" width="10.375" style="1"/>
    <col min="9718" max="9718" width="33.25" style="1" customWidth="1"/>
    <col min="9719" max="9723" width="10.375" style="1"/>
    <col min="9724" max="9724" width="13.625" style="1" customWidth="1"/>
    <col min="9725" max="9725" width="10.375" style="1"/>
    <col min="9726" max="9726" width="14.375" style="1" customWidth="1"/>
    <col min="9727" max="9727" width="10.375" style="1"/>
    <col min="9728" max="9728" width="11.625" style="1" bestFit="1" customWidth="1"/>
    <col min="9729" max="9731" width="10.375" style="1"/>
    <col min="9732" max="9732" width="12.875" style="1" customWidth="1"/>
    <col min="9733" max="9733" width="10.375" style="1"/>
    <col min="9734" max="9734" width="13" style="1" customWidth="1"/>
    <col min="9735" max="9973" width="10.375" style="1"/>
    <col min="9974" max="9974" width="33.25" style="1" customWidth="1"/>
    <col min="9975" max="9979" width="10.375" style="1"/>
    <col min="9980" max="9980" width="13.625" style="1" customWidth="1"/>
    <col min="9981" max="9981" width="10.375" style="1"/>
    <col min="9982" max="9982" width="14.375" style="1" customWidth="1"/>
    <col min="9983" max="9983" width="10.375" style="1"/>
    <col min="9984" max="9984" width="11.625" style="1" bestFit="1" customWidth="1"/>
    <col min="9985" max="9987" width="10.375" style="1"/>
    <col min="9988" max="9988" width="12.875" style="1" customWidth="1"/>
    <col min="9989" max="9989" width="10.375" style="1"/>
    <col min="9990" max="9990" width="13" style="1" customWidth="1"/>
    <col min="9991" max="10229" width="10.375" style="1"/>
    <col min="10230" max="10230" width="33.25" style="1" customWidth="1"/>
    <col min="10231" max="10235" width="10.375" style="1"/>
    <col min="10236" max="10236" width="13.625" style="1" customWidth="1"/>
    <col min="10237" max="10237" width="10.375" style="1"/>
    <col min="10238" max="10238" width="14.375" style="1" customWidth="1"/>
    <col min="10239" max="10239" width="10.375" style="1"/>
    <col min="10240" max="10240" width="11.625" style="1" bestFit="1" customWidth="1"/>
    <col min="10241" max="10243" width="10.375" style="1"/>
    <col min="10244" max="10244" width="12.875" style="1" customWidth="1"/>
    <col min="10245" max="10245" width="10.375" style="1"/>
    <col min="10246" max="10246" width="13" style="1" customWidth="1"/>
    <col min="10247" max="10485" width="10.375" style="1"/>
    <col min="10486" max="10486" width="33.25" style="1" customWidth="1"/>
    <col min="10487" max="10491" width="10.375" style="1"/>
    <col min="10492" max="10492" width="13.625" style="1" customWidth="1"/>
    <col min="10493" max="10493" width="10.375" style="1"/>
    <col min="10494" max="10494" width="14.375" style="1" customWidth="1"/>
    <col min="10495" max="10495" width="10.375" style="1"/>
    <col min="10496" max="10496" width="11.625" style="1" bestFit="1" customWidth="1"/>
    <col min="10497" max="10499" width="10.375" style="1"/>
    <col min="10500" max="10500" width="12.875" style="1" customWidth="1"/>
    <col min="10501" max="10501" width="10.375" style="1"/>
    <col min="10502" max="10502" width="13" style="1" customWidth="1"/>
    <col min="10503" max="10741" width="10.375" style="1"/>
    <col min="10742" max="10742" width="33.25" style="1" customWidth="1"/>
    <col min="10743" max="10747" width="10.375" style="1"/>
    <col min="10748" max="10748" width="13.625" style="1" customWidth="1"/>
    <col min="10749" max="10749" width="10.375" style="1"/>
    <col min="10750" max="10750" width="14.375" style="1" customWidth="1"/>
    <col min="10751" max="10751" width="10.375" style="1"/>
    <col min="10752" max="10752" width="11.625" style="1" bestFit="1" customWidth="1"/>
    <col min="10753" max="10755" width="10.375" style="1"/>
    <col min="10756" max="10756" width="12.875" style="1" customWidth="1"/>
    <col min="10757" max="10757" width="10.375" style="1"/>
    <col min="10758" max="10758" width="13" style="1" customWidth="1"/>
    <col min="10759" max="10997" width="10.375" style="1"/>
    <col min="10998" max="10998" width="33.25" style="1" customWidth="1"/>
    <col min="10999" max="11003" width="10.375" style="1"/>
    <col min="11004" max="11004" width="13.625" style="1" customWidth="1"/>
    <col min="11005" max="11005" width="10.375" style="1"/>
    <col min="11006" max="11006" width="14.375" style="1" customWidth="1"/>
    <col min="11007" max="11007" width="10.375" style="1"/>
    <col min="11008" max="11008" width="11.625" style="1" bestFit="1" customWidth="1"/>
    <col min="11009" max="11011" width="10.375" style="1"/>
    <col min="11012" max="11012" width="12.875" style="1" customWidth="1"/>
    <col min="11013" max="11013" width="10.375" style="1"/>
    <col min="11014" max="11014" width="13" style="1" customWidth="1"/>
    <col min="11015" max="11253" width="10.375" style="1"/>
    <col min="11254" max="11254" width="33.25" style="1" customWidth="1"/>
    <col min="11255" max="11259" width="10.375" style="1"/>
    <col min="11260" max="11260" width="13.625" style="1" customWidth="1"/>
    <col min="11261" max="11261" width="10.375" style="1"/>
    <col min="11262" max="11262" width="14.375" style="1" customWidth="1"/>
    <col min="11263" max="11263" width="10.375" style="1"/>
    <col min="11264" max="11264" width="11.625" style="1" bestFit="1" customWidth="1"/>
    <col min="11265" max="11267" width="10.375" style="1"/>
    <col min="11268" max="11268" width="12.875" style="1" customWidth="1"/>
    <col min="11269" max="11269" width="10.375" style="1"/>
    <col min="11270" max="11270" width="13" style="1" customWidth="1"/>
    <col min="11271" max="11509" width="10.375" style="1"/>
    <col min="11510" max="11510" width="33.25" style="1" customWidth="1"/>
    <col min="11511" max="11515" width="10.375" style="1"/>
    <col min="11516" max="11516" width="13.625" style="1" customWidth="1"/>
    <col min="11517" max="11517" width="10.375" style="1"/>
    <col min="11518" max="11518" width="14.375" style="1" customWidth="1"/>
    <col min="11519" max="11519" width="10.375" style="1"/>
    <col min="11520" max="11520" width="11.625" style="1" bestFit="1" customWidth="1"/>
    <col min="11521" max="11523" width="10.375" style="1"/>
    <col min="11524" max="11524" width="12.875" style="1" customWidth="1"/>
    <col min="11525" max="11525" width="10.375" style="1"/>
    <col min="11526" max="11526" width="13" style="1" customWidth="1"/>
    <col min="11527" max="11765" width="10.375" style="1"/>
    <col min="11766" max="11766" width="33.25" style="1" customWidth="1"/>
    <col min="11767" max="11771" width="10.375" style="1"/>
    <col min="11772" max="11772" width="13.625" style="1" customWidth="1"/>
    <col min="11773" max="11773" width="10.375" style="1"/>
    <col min="11774" max="11774" width="14.375" style="1" customWidth="1"/>
    <col min="11775" max="11775" width="10.375" style="1"/>
    <col min="11776" max="11776" width="11.625" style="1" bestFit="1" customWidth="1"/>
    <col min="11777" max="11779" width="10.375" style="1"/>
    <col min="11780" max="11780" width="12.875" style="1" customWidth="1"/>
    <col min="11781" max="11781" width="10.375" style="1"/>
    <col min="11782" max="11782" width="13" style="1" customWidth="1"/>
    <col min="11783" max="12021" width="10.375" style="1"/>
    <col min="12022" max="12022" width="33.25" style="1" customWidth="1"/>
    <col min="12023" max="12027" width="10.375" style="1"/>
    <col min="12028" max="12028" width="13.625" style="1" customWidth="1"/>
    <col min="12029" max="12029" width="10.375" style="1"/>
    <col min="12030" max="12030" width="14.375" style="1" customWidth="1"/>
    <col min="12031" max="12031" width="10.375" style="1"/>
    <col min="12032" max="12032" width="11.625" style="1" bestFit="1" customWidth="1"/>
    <col min="12033" max="12035" width="10.375" style="1"/>
    <col min="12036" max="12036" width="12.875" style="1" customWidth="1"/>
    <col min="12037" max="12037" width="10.375" style="1"/>
    <col min="12038" max="12038" width="13" style="1" customWidth="1"/>
    <col min="12039" max="12277" width="10.375" style="1"/>
    <col min="12278" max="12278" width="33.25" style="1" customWidth="1"/>
    <col min="12279" max="12283" width="10.375" style="1"/>
    <col min="12284" max="12284" width="13.625" style="1" customWidth="1"/>
    <col min="12285" max="12285" width="10.375" style="1"/>
    <col min="12286" max="12286" width="14.375" style="1" customWidth="1"/>
    <col min="12287" max="12287" width="10.375" style="1"/>
    <col min="12288" max="12288" width="11.625" style="1" bestFit="1" customWidth="1"/>
    <col min="12289" max="12291" width="10.375" style="1"/>
    <col min="12292" max="12292" width="12.875" style="1" customWidth="1"/>
    <col min="12293" max="12293" width="10.375" style="1"/>
    <col min="12294" max="12294" width="13" style="1" customWidth="1"/>
    <col min="12295" max="12533" width="10.375" style="1"/>
    <col min="12534" max="12534" width="33.25" style="1" customWidth="1"/>
    <col min="12535" max="12539" width="10.375" style="1"/>
    <col min="12540" max="12540" width="13.625" style="1" customWidth="1"/>
    <col min="12541" max="12541" width="10.375" style="1"/>
    <col min="12542" max="12542" width="14.375" style="1" customWidth="1"/>
    <col min="12543" max="12543" width="10.375" style="1"/>
    <col min="12544" max="12544" width="11.625" style="1" bestFit="1" customWidth="1"/>
    <col min="12545" max="12547" width="10.375" style="1"/>
    <col min="12548" max="12548" width="12.875" style="1" customWidth="1"/>
    <col min="12549" max="12549" width="10.375" style="1"/>
    <col min="12550" max="12550" width="13" style="1" customWidth="1"/>
    <col min="12551" max="12789" width="10.375" style="1"/>
    <col min="12790" max="12790" width="33.25" style="1" customWidth="1"/>
    <col min="12791" max="12795" width="10.375" style="1"/>
    <col min="12796" max="12796" width="13.625" style="1" customWidth="1"/>
    <col min="12797" max="12797" width="10.375" style="1"/>
    <col min="12798" max="12798" width="14.375" style="1" customWidth="1"/>
    <col min="12799" max="12799" width="10.375" style="1"/>
    <col min="12800" max="12800" width="11.625" style="1" bestFit="1" customWidth="1"/>
    <col min="12801" max="12803" width="10.375" style="1"/>
    <col min="12804" max="12804" width="12.875" style="1" customWidth="1"/>
    <col min="12805" max="12805" width="10.375" style="1"/>
    <col min="12806" max="12806" width="13" style="1" customWidth="1"/>
    <col min="12807" max="13045" width="10.375" style="1"/>
    <col min="13046" max="13046" width="33.25" style="1" customWidth="1"/>
    <col min="13047" max="13051" width="10.375" style="1"/>
    <col min="13052" max="13052" width="13.625" style="1" customWidth="1"/>
    <col min="13053" max="13053" width="10.375" style="1"/>
    <col min="13054" max="13054" width="14.375" style="1" customWidth="1"/>
    <col min="13055" max="13055" width="10.375" style="1"/>
    <col min="13056" max="13056" width="11.625" style="1" bestFit="1" customWidth="1"/>
    <col min="13057" max="13059" width="10.375" style="1"/>
    <col min="13060" max="13060" width="12.875" style="1" customWidth="1"/>
    <col min="13061" max="13061" width="10.375" style="1"/>
    <col min="13062" max="13062" width="13" style="1" customWidth="1"/>
    <col min="13063" max="13301" width="10.375" style="1"/>
    <col min="13302" max="13302" width="33.25" style="1" customWidth="1"/>
    <col min="13303" max="13307" width="10.375" style="1"/>
    <col min="13308" max="13308" width="13.625" style="1" customWidth="1"/>
    <col min="13309" max="13309" width="10.375" style="1"/>
    <col min="13310" max="13310" width="14.375" style="1" customWidth="1"/>
    <col min="13311" max="13311" width="10.375" style="1"/>
    <col min="13312" max="13312" width="11.625" style="1" bestFit="1" customWidth="1"/>
    <col min="13313" max="13315" width="10.375" style="1"/>
    <col min="13316" max="13316" width="12.875" style="1" customWidth="1"/>
    <col min="13317" max="13317" width="10.375" style="1"/>
    <col min="13318" max="13318" width="13" style="1" customWidth="1"/>
    <col min="13319" max="13557" width="10.375" style="1"/>
    <col min="13558" max="13558" width="33.25" style="1" customWidth="1"/>
    <col min="13559" max="13563" width="10.375" style="1"/>
    <col min="13564" max="13564" width="13.625" style="1" customWidth="1"/>
    <col min="13565" max="13565" width="10.375" style="1"/>
    <col min="13566" max="13566" width="14.375" style="1" customWidth="1"/>
    <col min="13567" max="13567" width="10.375" style="1"/>
    <col min="13568" max="13568" width="11.625" style="1" bestFit="1" customWidth="1"/>
    <col min="13569" max="13571" width="10.375" style="1"/>
    <col min="13572" max="13572" width="12.875" style="1" customWidth="1"/>
    <col min="13573" max="13573" width="10.375" style="1"/>
    <col min="13574" max="13574" width="13" style="1" customWidth="1"/>
    <col min="13575" max="13813" width="10.375" style="1"/>
    <col min="13814" max="13814" width="33.25" style="1" customWidth="1"/>
    <col min="13815" max="13819" width="10.375" style="1"/>
    <col min="13820" max="13820" width="13.625" style="1" customWidth="1"/>
    <col min="13821" max="13821" width="10.375" style="1"/>
    <col min="13822" max="13822" width="14.375" style="1" customWidth="1"/>
    <col min="13823" max="13823" width="10.375" style="1"/>
    <col min="13824" max="13824" width="11.625" style="1" bestFit="1" customWidth="1"/>
    <col min="13825" max="13827" width="10.375" style="1"/>
    <col min="13828" max="13828" width="12.875" style="1" customWidth="1"/>
    <col min="13829" max="13829" width="10.375" style="1"/>
    <col min="13830" max="13830" width="13" style="1" customWidth="1"/>
    <col min="13831" max="14069" width="10.375" style="1"/>
    <col min="14070" max="14070" width="33.25" style="1" customWidth="1"/>
    <col min="14071" max="14075" width="10.375" style="1"/>
    <col min="14076" max="14076" width="13.625" style="1" customWidth="1"/>
    <col min="14077" max="14077" width="10.375" style="1"/>
    <col min="14078" max="14078" width="14.375" style="1" customWidth="1"/>
    <col min="14079" max="14079" width="10.375" style="1"/>
    <col min="14080" max="14080" width="11.625" style="1" bestFit="1" customWidth="1"/>
    <col min="14081" max="14083" width="10.375" style="1"/>
    <col min="14084" max="14084" width="12.875" style="1" customWidth="1"/>
    <col min="14085" max="14085" width="10.375" style="1"/>
    <col min="14086" max="14086" width="13" style="1" customWidth="1"/>
    <col min="14087" max="14325" width="10.375" style="1"/>
    <col min="14326" max="14326" width="33.25" style="1" customWidth="1"/>
    <col min="14327" max="14331" width="10.375" style="1"/>
    <col min="14332" max="14332" width="13.625" style="1" customWidth="1"/>
    <col min="14333" max="14333" width="10.375" style="1"/>
    <col min="14334" max="14334" width="14.375" style="1" customWidth="1"/>
    <col min="14335" max="14335" width="10.375" style="1"/>
    <col min="14336" max="14336" width="11.625" style="1" bestFit="1" customWidth="1"/>
    <col min="14337" max="14339" width="10.375" style="1"/>
    <col min="14340" max="14340" width="12.875" style="1" customWidth="1"/>
    <col min="14341" max="14341" width="10.375" style="1"/>
    <col min="14342" max="14342" width="13" style="1" customWidth="1"/>
    <col min="14343" max="14581" width="10.375" style="1"/>
    <col min="14582" max="14582" width="33.25" style="1" customWidth="1"/>
    <col min="14583" max="14587" width="10.375" style="1"/>
    <col min="14588" max="14588" width="13.625" style="1" customWidth="1"/>
    <col min="14589" max="14589" width="10.375" style="1"/>
    <col min="14590" max="14590" width="14.375" style="1" customWidth="1"/>
    <col min="14591" max="14591" width="10.375" style="1"/>
    <col min="14592" max="14592" width="11.625" style="1" bestFit="1" customWidth="1"/>
    <col min="14593" max="14595" width="10.375" style="1"/>
    <col min="14596" max="14596" width="12.875" style="1" customWidth="1"/>
    <col min="14597" max="14597" width="10.375" style="1"/>
    <col min="14598" max="14598" width="13" style="1" customWidth="1"/>
    <col min="14599" max="14837" width="10.375" style="1"/>
    <col min="14838" max="14838" width="33.25" style="1" customWidth="1"/>
    <col min="14839" max="14843" width="10.375" style="1"/>
    <col min="14844" max="14844" width="13.625" style="1" customWidth="1"/>
    <col min="14845" max="14845" width="10.375" style="1"/>
    <col min="14846" max="14846" width="14.375" style="1" customWidth="1"/>
    <col min="14847" max="14847" width="10.375" style="1"/>
    <col min="14848" max="14848" width="11.625" style="1" bestFit="1" customWidth="1"/>
    <col min="14849" max="14851" width="10.375" style="1"/>
    <col min="14852" max="14852" width="12.875" style="1" customWidth="1"/>
    <col min="14853" max="14853" width="10.375" style="1"/>
    <col min="14854" max="14854" width="13" style="1" customWidth="1"/>
    <col min="14855" max="15093" width="10.375" style="1"/>
    <col min="15094" max="15094" width="33.25" style="1" customWidth="1"/>
    <col min="15095" max="15099" width="10.375" style="1"/>
    <col min="15100" max="15100" width="13.625" style="1" customWidth="1"/>
    <col min="15101" max="15101" width="10.375" style="1"/>
    <col min="15102" max="15102" width="14.375" style="1" customWidth="1"/>
    <col min="15103" max="15103" width="10.375" style="1"/>
    <col min="15104" max="15104" width="11.625" style="1" bestFit="1" customWidth="1"/>
    <col min="15105" max="15107" width="10.375" style="1"/>
    <col min="15108" max="15108" width="12.875" style="1" customWidth="1"/>
    <col min="15109" max="15109" width="10.375" style="1"/>
    <col min="15110" max="15110" width="13" style="1" customWidth="1"/>
    <col min="15111" max="15349" width="10.375" style="1"/>
    <col min="15350" max="15350" width="33.25" style="1" customWidth="1"/>
    <col min="15351" max="15355" width="10.375" style="1"/>
    <col min="15356" max="15356" width="13.625" style="1" customWidth="1"/>
    <col min="15357" max="15357" width="10.375" style="1"/>
    <col min="15358" max="15358" width="14.375" style="1" customWidth="1"/>
    <col min="15359" max="15359" width="10.375" style="1"/>
    <col min="15360" max="15360" width="11.625" style="1" bestFit="1" customWidth="1"/>
    <col min="15361" max="15363" width="10.375" style="1"/>
    <col min="15364" max="15364" width="12.875" style="1" customWidth="1"/>
    <col min="15365" max="15365" width="10.375" style="1"/>
    <col min="15366" max="15366" width="13" style="1" customWidth="1"/>
    <col min="15367" max="15605" width="10.375" style="1"/>
    <col min="15606" max="15606" width="33.25" style="1" customWidth="1"/>
    <col min="15607" max="15611" width="10.375" style="1"/>
    <col min="15612" max="15612" width="13.625" style="1" customWidth="1"/>
    <col min="15613" max="15613" width="10.375" style="1"/>
    <col min="15614" max="15614" width="14.375" style="1" customWidth="1"/>
    <col min="15615" max="15615" width="10.375" style="1"/>
    <col min="15616" max="15616" width="11.625" style="1" bestFit="1" customWidth="1"/>
    <col min="15617" max="15619" width="10.375" style="1"/>
    <col min="15620" max="15620" width="12.875" style="1" customWidth="1"/>
    <col min="15621" max="15621" width="10.375" style="1"/>
    <col min="15622" max="15622" width="13" style="1" customWidth="1"/>
    <col min="15623" max="15861" width="10.375" style="1"/>
    <col min="15862" max="15862" width="33.25" style="1" customWidth="1"/>
    <col min="15863" max="15867" width="10.375" style="1"/>
    <col min="15868" max="15868" width="13.625" style="1" customWidth="1"/>
    <col min="15869" max="15869" width="10.375" style="1"/>
    <col min="15870" max="15870" width="14.375" style="1" customWidth="1"/>
    <col min="15871" max="15871" width="10.375" style="1"/>
    <col min="15872" max="15872" width="11.625" style="1" bestFit="1" customWidth="1"/>
    <col min="15873" max="15875" width="10.375" style="1"/>
    <col min="15876" max="15876" width="12.875" style="1" customWidth="1"/>
    <col min="15877" max="15877" width="10.375" style="1"/>
    <col min="15878" max="15878" width="13" style="1" customWidth="1"/>
    <col min="15879" max="16117" width="10.375" style="1"/>
    <col min="16118" max="16118" width="33.25" style="1" customWidth="1"/>
    <col min="16119" max="16123" width="10.375" style="1"/>
    <col min="16124" max="16124" width="13.625" style="1" customWidth="1"/>
    <col min="16125" max="16125" width="10.375" style="1"/>
    <col min="16126" max="16126" width="14.375" style="1" customWidth="1"/>
    <col min="16127" max="16127" width="10.375" style="1"/>
    <col min="16128" max="16128" width="11.625" style="1" bestFit="1" customWidth="1"/>
    <col min="16129" max="16131" width="10.375" style="1"/>
    <col min="16132" max="16132" width="12.875" style="1" customWidth="1"/>
    <col min="16133" max="16133" width="10.375" style="1"/>
    <col min="16134" max="16134" width="13" style="1" customWidth="1"/>
    <col min="16135" max="16384" width="10.375" style="1"/>
  </cols>
  <sheetData>
    <row r="1" spans="1:6" ht="18.600000000000001">
      <c r="A1" s="175" t="s">
        <v>0</v>
      </c>
      <c r="B1" s="175"/>
      <c r="C1" s="175"/>
      <c r="D1" s="175"/>
      <c r="E1" s="175"/>
      <c r="F1" s="175"/>
    </row>
    <row r="2" spans="1:6" ht="18.600000000000001">
      <c r="A2" s="176" t="s">
        <v>1</v>
      </c>
      <c r="B2" s="176"/>
      <c r="C2" s="176"/>
      <c r="D2" s="176"/>
      <c r="E2" s="176"/>
      <c r="F2" s="176"/>
    </row>
    <row r="3" spans="1:6" ht="18.600000000000001">
      <c r="A3" s="177" t="s">
        <v>60</v>
      </c>
      <c r="B3" s="177"/>
      <c r="C3" s="177"/>
      <c r="D3" s="177"/>
      <c r="E3" s="177"/>
      <c r="F3" s="177"/>
    </row>
    <row r="4" spans="1:6" ht="18.600000000000001">
      <c r="A4" s="178" t="s">
        <v>3</v>
      </c>
      <c r="B4" s="173" t="s">
        <v>4</v>
      </c>
      <c r="C4" s="146"/>
      <c r="D4" s="182" t="s">
        <v>9</v>
      </c>
      <c r="E4" s="183"/>
      <c r="F4" s="184"/>
    </row>
    <row r="5" spans="1:6" ht="18.600000000000001">
      <c r="A5" s="179"/>
      <c r="B5" s="181"/>
      <c r="C5" s="3" t="s">
        <v>58</v>
      </c>
      <c r="D5" s="185" t="s">
        <v>10</v>
      </c>
      <c r="E5" s="187" t="s">
        <v>12</v>
      </c>
      <c r="F5" s="2"/>
    </row>
    <row r="6" spans="1:6" ht="18.600000000000001">
      <c r="A6" s="180"/>
      <c r="B6" s="174"/>
      <c r="C6" s="4"/>
      <c r="D6" s="186"/>
      <c r="E6" s="188"/>
      <c r="F6" s="7" t="s">
        <v>19</v>
      </c>
    </row>
    <row r="7" spans="1:6" ht="18.600000000000001">
      <c r="A7" s="156"/>
      <c r="B7" s="173" t="s">
        <v>59</v>
      </c>
      <c r="C7" s="157"/>
      <c r="D7" s="158"/>
      <c r="E7" s="159"/>
      <c r="F7" s="160"/>
    </row>
    <row r="8" spans="1:6" ht="21.75" customHeight="1">
      <c r="A8" s="164"/>
      <c r="B8" s="174"/>
      <c r="C8" s="165"/>
      <c r="D8" s="150"/>
      <c r="E8" s="84"/>
      <c r="F8" s="166"/>
    </row>
    <row r="9" spans="1:6" ht="19.2" thickBot="1">
      <c r="A9" s="167"/>
      <c r="B9" s="168"/>
      <c r="C9" s="168"/>
      <c r="D9" s="169"/>
      <c r="E9" s="170"/>
      <c r="F9" s="171"/>
    </row>
    <row r="10" spans="1:6" ht="19.2" thickTop="1">
      <c r="A10" s="161"/>
      <c r="B10" s="162"/>
      <c r="C10" s="162"/>
      <c r="D10" s="77"/>
      <c r="E10" s="78"/>
      <c r="F10" s="163"/>
    </row>
    <row r="11" spans="1:6" ht="18.600000000000001">
      <c r="A11" s="151"/>
      <c r="B11" s="155" t="s">
        <v>31</v>
      </c>
      <c r="C11" s="147"/>
      <c r="D11" s="77"/>
      <c r="E11" s="78"/>
      <c r="F11" s="96"/>
    </row>
    <row r="12" spans="1:6" ht="18.600000000000001">
      <c r="A12" s="42">
        <v>1</v>
      </c>
      <c r="B12" s="97" t="s">
        <v>32</v>
      </c>
      <c r="C12" s="98"/>
      <c r="D12" s="24" t="s">
        <v>34</v>
      </c>
      <c r="E12" s="25"/>
      <c r="F12" s="99">
        <v>322273.98</v>
      </c>
    </row>
    <row r="13" spans="1:6" ht="18.600000000000001">
      <c r="A13" s="42"/>
      <c r="B13" s="100" t="s">
        <v>35</v>
      </c>
      <c r="C13" s="98"/>
      <c r="D13" s="31"/>
      <c r="E13" s="25"/>
      <c r="F13" s="99"/>
    </row>
    <row r="14" spans="1:6" ht="18.600000000000001">
      <c r="A14" s="42"/>
      <c r="B14" s="100" t="s">
        <v>37</v>
      </c>
      <c r="C14" s="101"/>
      <c r="D14" s="31"/>
      <c r="E14" s="25"/>
      <c r="F14" s="99"/>
    </row>
    <row r="15" spans="1:6" ht="18.600000000000001">
      <c r="A15" s="42"/>
      <c r="B15" s="100" t="s">
        <v>38</v>
      </c>
      <c r="C15" s="101"/>
      <c r="D15" s="31"/>
      <c r="E15" s="25"/>
      <c r="F15" s="99"/>
    </row>
    <row r="16" spans="1:6" ht="18.600000000000001">
      <c r="A16" s="8">
        <v>2</v>
      </c>
      <c r="B16" s="102" t="s">
        <v>32</v>
      </c>
      <c r="C16" s="98"/>
      <c r="D16" s="62" t="s">
        <v>40</v>
      </c>
      <c r="E16" s="25">
        <v>16</v>
      </c>
      <c r="F16" s="99">
        <v>5208581.93</v>
      </c>
    </row>
    <row r="17" spans="1:6" ht="18.600000000000001">
      <c r="A17" s="8"/>
      <c r="B17" s="153" t="s">
        <v>41</v>
      </c>
      <c r="C17" s="101"/>
      <c r="D17" s="62" t="s">
        <v>42</v>
      </c>
      <c r="E17" s="25"/>
      <c r="F17" s="92"/>
    </row>
    <row r="18" spans="1:6" ht="18.600000000000001">
      <c r="A18" s="8"/>
      <c r="B18" s="103" t="s">
        <v>43</v>
      </c>
      <c r="C18" s="101"/>
      <c r="D18" s="31"/>
      <c r="E18" s="25"/>
      <c r="F18" s="92"/>
    </row>
    <row r="19" spans="1:6" ht="18.600000000000001">
      <c r="A19" s="148"/>
      <c r="B19" s="149" t="s">
        <v>44</v>
      </c>
      <c r="C19" s="154"/>
      <c r="D19" s="150"/>
      <c r="E19" s="25"/>
      <c r="F19" s="92"/>
    </row>
    <row r="20" spans="1:6" ht="19.2" thickBot="1">
      <c r="A20" s="152"/>
      <c r="B20" s="172" t="s">
        <v>53</v>
      </c>
      <c r="C20" s="145"/>
      <c r="D20" s="108"/>
      <c r="E20" s="106"/>
      <c r="F20" s="106">
        <f>SUM(F12:F18)</f>
        <v>5530855.9100000001</v>
      </c>
    </row>
    <row r="21" spans="1:6" ht="19.2" thickTop="1">
      <c r="A21" s="120"/>
      <c r="B21" s="121"/>
      <c r="C21" s="121"/>
      <c r="D21" s="125"/>
      <c r="E21" s="121"/>
      <c r="F21" s="126"/>
    </row>
  </sheetData>
  <mergeCells count="9">
    <mergeCell ref="B7:B8"/>
    <mergeCell ref="A1:F1"/>
    <mergeCell ref="A2:F2"/>
    <mergeCell ref="A3:F3"/>
    <mergeCell ref="A4:A6"/>
    <mergeCell ref="B4:B6"/>
    <mergeCell ref="D4:F4"/>
    <mergeCell ref="D5:D6"/>
    <mergeCell ref="E5:E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6C1DF-AE68-435A-8888-386FD779A7BA}">
  <sheetPr>
    <tabColor rgb="FF92D050"/>
  </sheetPr>
  <dimension ref="A1:E21"/>
  <sheetViews>
    <sheetView workbookViewId="0">
      <pane ySplit="6" topLeftCell="A7" activePane="bottomLeft" state="frozen"/>
      <selection pane="bottomLeft" activeCell="D30" sqref="D30"/>
    </sheetView>
  </sheetViews>
  <sheetFormatPr defaultColWidth="10.375" defaultRowHeight="14.4"/>
  <cols>
    <col min="1" max="1" width="10.375" style="1"/>
    <col min="2" max="2" width="33.25" style="1" customWidth="1"/>
    <col min="3" max="4" width="10.375" style="1"/>
    <col min="5" max="5" width="13" style="1" customWidth="1"/>
    <col min="6" max="244" width="10.375" style="1"/>
    <col min="245" max="245" width="33.25" style="1" customWidth="1"/>
    <col min="246" max="250" width="10.375" style="1"/>
    <col min="251" max="251" width="13.625" style="1" customWidth="1"/>
    <col min="252" max="252" width="10.375" style="1"/>
    <col min="253" max="253" width="14.375" style="1" customWidth="1"/>
    <col min="254" max="254" width="10.375" style="1"/>
    <col min="255" max="255" width="11.625" style="1" bestFit="1" customWidth="1"/>
    <col min="256" max="258" width="10.375" style="1"/>
    <col min="259" max="259" width="12.875" style="1" customWidth="1"/>
    <col min="260" max="260" width="10.375" style="1"/>
    <col min="261" max="261" width="13" style="1" customWidth="1"/>
    <col min="262" max="500" width="10.375" style="1"/>
    <col min="501" max="501" width="33.25" style="1" customWidth="1"/>
    <col min="502" max="506" width="10.375" style="1"/>
    <col min="507" max="507" width="13.625" style="1" customWidth="1"/>
    <col min="508" max="508" width="10.375" style="1"/>
    <col min="509" max="509" width="14.375" style="1" customWidth="1"/>
    <col min="510" max="510" width="10.375" style="1"/>
    <col min="511" max="511" width="11.625" style="1" bestFit="1" customWidth="1"/>
    <col min="512" max="514" width="10.375" style="1"/>
    <col min="515" max="515" width="12.875" style="1" customWidth="1"/>
    <col min="516" max="516" width="10.375" style="1"/>
    <col min="517" max="517" width="13" style="1" customWidth="1"/>
    <col min="518" max="756" width="10.375" style="1"/>
    <col min="757" max="757" width="33.25" style="1" customWidth="1"/>
    <col min="758" max="762" width="10.375" style="1"/>
    <col min="763" max="763" width="13.625" style="1" customWidth="1"/>
    <col min="764" max="764" width="10.375" style="1"/>
    <col min="765" max="765" width="14.375" style="1" customWidth="1"/>
    <col min="766" max="766" width="10.375" style="1"/>
    <col min="767" max="767" width="11.625" style="1" bestFit="1" customWidth="1"/>
    <col min="768" max="770" width="10.375" style="1"/>
    <col min="771" max="771" width="12.875" style="1" customWidth="1"/>
    <col min="772" max="772" width="10.375" style="1"/>
    <col min="773" max="773" width="13" style="1" customWidth="1"/>
    <col min="774" max="1012" width="10.375" style="1"/>
    <col min="1013" max="1013" width="33.25" style="1" customWidth="1"/>
    <col min="1014" max="1018" width="10.375" style="1"/>
    <col min="1019" max="1019" width="13.625" style="1" customWidth="1"/>
    <col min="1020" max="1020" width="10.375" style="1"/>
    <col min="1021" max="1021" width="14.375" style="1" customWidth="1"/>
    <col min="1022" max="1022" width="10.375" style="1"/>
    <col min="1023" max="1023" width="11.625" style="1" bestFit="1" customWidth="1"/>
    <col min="1024" max="1026" width="10.375" style="1"/>
    <col min="1027" max="1027" width="12.875" style="1" customWidth="1"/>
    <col min="1028" max="1028" width="10.375" style="1"/>
    <col min="1029" max="1029" width="13" style="1" customWidth="1"/>
    <col min="1030" max="1268" width="10.375" style="1"/>
    <col min="1269" max="1269" width="33.25" style="1" customWidth="1"/>
    <col min="1270" max="1274" width="10.375" style="1"/>
    <col min="1275" max="1275" width="13.625" style="1" customWidth="1"/>
    <col min="1276" max="1276" width="10.375" style="1"/>
    <col min="1277" max="1277" width="14.375" style="1" customWidth="1"/>
    <col min="1278" max="1278" width="10.375" style="1"/>
    <col min="1279" max="1279" width="11.625" style="1" bestFit="1" customWidth="1"/>
    <col min="1280" max="1282" width="10.375" style="1"/>
    <col min="1283" max="1283" width="12.875" style="1" customWidth="1"/>
    <col min="1284" max="1284" width="10.375" style="1"/>
    <col min="1285" max="1285" width="13" style="1" customWidth="1"/>
    <col min="1286" max="1524" width="10.375" style="1"/>
    <col min="1525" max="1525" width="33.25" style="1" customWidth="1"/>
    <col min="1526" max="1530" width="10.375" style="1"/>
    <col min="1531" max="1531" width="13.625" style="1" customWidth="1"/>
    <col min="1532" max="1532" width="10.375" style="1"/>
    <col min="1533" max="1533" width="14.375" style="1" customWidth="1"/>
    <col min="1534" max="1534" width="10.375" style="1"/>
    <col min="1535" max="1535" width="11.625" style="1" bestFit="1" customWidth="1"/>
    <col min="1536" max="1538" width="10.375" style="1"/>
    <col min="1539" max="1539" width="12.875" style="1" customWidth="1"/>
    <col min="1540" max="1540" width="10.375" style="1"/>
    <col min="1541" max="1541" width="13" style="1" customWidth="1"/>
    <col min="1542" max="1780" width="10.375" style="1"/>
    <col min="1781" max="1781" width="33.25" style="1" customWidth="1"/>
    <col min="1782" max="1786" width="10.375" style="1"/>
    <col min="1787" max="1787" width="13.625" style="1" customWidth="1"/>
    <col min="1788" max="1788" width="10.375" style="1"/>
    <col min="1789" max="1789" width="14.375" style="1" customWidth="1"/>
    <col min="1790" max="1790" width="10.375" style="1"/>
    <col min="1791" max="1791" width="11.625" style="1" bestFit="1" customWidth="1"/>
    <col min="1792" max="1794" width="10.375" style="1"/>
    <col min="1795" max="1795" width="12.875" style="1" customWidth="1"/>
    <col min="1796" max="1796" width="10.375" style="1"/>
    <col min="1797" max="1797" width="13" style="1" customWidth="1"/>
    <col min="1798" max="2036" width="10.375" style="1"/>
    <col min="2037" max="2037" width="33.25" style="1" customWidth="1"/>
    <col min="2038" max="2042" width="10.375" style="1"/>
    <col min="2043" max="2043" width="13.625" style="1" customWidth="1"/>
    <col min="2044" max="2044" width="10.375" style="1"/>
    <col min="2045" max="2045" width="14.375" style="1" customWidth="1"/>
    <col min="2046" max="2046" width="10.375" style="1"/>
    <col min="2047" max="2047" width="11.625" style="1" bestFit="1" customWidth="1"/>
    <col min="2048" max="2050" width="10.375" style="1"/>
    <col min="2051" max="2051" width="12.875" style="1" customWidth="1"/>
    <col min="2052" max="2052" width="10.375" style="1"/>
    <col min="2053" max="2053" width="13" style="1" customWidth="1"/>
    <col min="2054" max="2292" width="10.375" style="1"/>
    <col min="2293" max="2293" width="33.25" style="1" customWidth="1"/>
    <col min="2294" max="2298" width="10.375" style="1"/>
    <col min="2299" max="2299" width="13.625" style="1" customWidth="1"/>
    <col min="2300" max="2300" width="10.375" style="1"/>
    <col min="2301" max="2301" width="14.375" style="1" customWidth="1"/>
    <col min="2302" max="2302" width="10.375" style="1"/>
    <col min="2303" max="2303" width="11.625" style="1" bestFit="1" customWidth="1"/>
    <col min="2304" max="2306" width="10.375" style="1"/>
    <col min="2307" max="2307" width="12.875" style="1" customWidth="1"/>
    <col min="2308" max="2308" width="10.375" style="1"/>
    <col min="2309" max="2309" width="13" style="1" customWidth="1"/>
    <col min="2310" max="2548" width="10.375" style="1"/>
    <col min="2549" max="2549" width="33.25" style="1" customWidth="1"/>
    <col min="2550" max="2554" width="10.375" style="1"/>
    <col min="2555" max="2555" width="13.625" style="1" customWidth="1"/>
    <col min="2556" max="2556" width="10.375" style="1"/>
    <col min="2557" max="2557" width="14.375" style="1" customWidth="1"/>
    <col min="2558" max="2558" width="10.375" style="1"/>
    <col min="2559" max="2559" width="11.625" style="1" bestFit="1" customWidth="1"/>
    <col min="2560" max="2562" width="10.375" style="1"/>
    <col min="2563" max="2563" width="12.875" style="1" customWidth="1"/>
    <col min="2564" max="2564" width="10.375" style="1"/>
    <col min="2565" max="2565" width="13" style="1" customWidth="1"/>
    <col min="2566" max="2804" width="10.375" style="1"/>
    <col min="2805" max="2805" width="33.25" style="1" customWidth="1"/>
    <col min="2806" max="2810" width="10.375" style="1"/>
    <col min="2811" max="2811" width="13.625" style="1" customWidth="1"/>
    <col min="2812" max="2812" width="10.375" style="1"/>
    <col min="2813" max="2813" width="14.375" style="1" customWidth="1"/>
    <col min="2814" max="2814" width="10.375" style="1"/>
    <col min="2815" max="2815" width="11.625" style="1" bestFit="1" customWidth="1"/>
    <col min="2816" max="2818" width="10.375" style="1"/>
    <col min="2819" max="2819" width="12.875" style="1" customWidth="1"/>
    <col min="2820" max="2820" width="10.375" style="1"/>
    <col min="2821" max="2821" width="13" style="1" customWidth="1"/>
    <col min="2822" max="3060" width="10.375" style="1"/>
    <col min="3061" max="3061" width="33.25" style="1" customWidth="1"/>
    <col min="3062" max="3066" width="10.375" style="1"/>
    <col min="3067" max="3067" width="13.625" style="1" customWidth="1"/>
    <col min="3068" max="3068" width="10.375" style="1"/>
    <col min="3069" max="3069" width="14.375" style="1" customWidth="1"/>
    <col min="3070" max="3070" width="10.375" style="1"/>
    <col min="3071" max="3071" width="11.625" style="1" bestFit="1" customWidth="1"/>
    <col min="3072" max="3074" width="10.375" style="1"/>
    <col min="3075" max="3075" width="12.875" style="1" customWidth="1"/>
    <col min="3076" max="3076" width="10.375" style="1"/>
    <col min="3077" max="3077" width="13" style="1" customWidth="1"/>
    <col min="3078" max="3316" width="10.375" style="1"/>
    <col min="3317" max="3317" width="33.25" style="1" customWidth="1"/>
    <col min="3318" max="3322" width="10.375" style="1"/>
    <col min="3323" max="3323" width="13.625" style="1" customWidth="1"/>
    <col min="3324" max="3324" width="10.375" style="1"/>
    <col min="3325" max="3325" width="14.375" style="1" customWidth="1"/>
    <col min="3326" max="3326" width="10.375" style="1"/>
    <col min="3327" max="3327" width="11.625" style="1" bestFit="1" customWidth="1"/>
    <col min="3328" max="3330" width="10.375" style="1"/>
    <col min="3331" max="3331" width="12.875" style="1" customWidth="1"/>
    <col min="3332" max="3332" width="10.375" style="1"/>
    <col min="3333" max="3333" width="13" style="1" customWidth="1"/>
    <col min="3334" max="3572" width="10.375" style="1"/>
    <col min="3573" max="3573" width="33.25" style="1" customWidth="1"/>
    <col min="3574" max="3578" width="10.375" style="1"/>
    <col min="3579" max="3579" width="13.625" style="1" customWidth="1"/>
    <col min="3580" max="3580" width="10.375" style="1"/>
    <col min="3581" max="3581" width="14.375" style="1" customWidth="1"/>
    <col min="3582" max="3582" width="10.375" style="1"/>
    <col min="3583" max="3583" width="11.625" style="1" bestFit="1" customWidth="1"/>
    <col min="3584" max="3586" width="10.375" style="1"/>
    <col min="3587" max="3587" width="12.875" style="1" customWidth="1"/>
    <col min="3588" max="3588" width="10.375" style="1"/>
    <col min="3589" max="3589" width="13" style="1" customWidth="1"/>
    <col min="3590" max="3828" width="10.375" style="1"/>
    <col min="3829" max="3829" width="33.25" style="1" customWidth="1"/>
    <col min="3830" max="3834" width="10.375" style="1"/>
    <col min="3835" max="3835" width="13.625" style="1" customWidth="1"/>
    <col min="3836" max="3836" width="10.375" style="1"/>
    <col min="3837" max="3837" width="14.375" style="1" customWidth="1"/>
    <col min="3838" max="3838" width="10.375" style="1"/>
    <col min="3839" max="3839" width="11.625" style="1" bestFit="1" customWidth="1"/>
    <col min="3840" max="3842" width="10.375" style="1"/>
    <col min="3843" max="3843" width="12.875" style="1" customWidth="1"/>
    <col min="3844" max="3844" width="10.375" style="1"/>
    <col min="3845" max="3845" width="13" style="1" customWidth="1"/>
    <col min="3846" max="4084" width="10.375" style="1"/>
    <col min="4085" max="4085" width="33.25" style="1" customWidth="1"/>
    <col min="4086" max="4090" width="10.375" style="1"/>
    <col min="4091" max="4091" width="13.625" style="1" customWidth="1"/>
    <col min="4092" max="4092" width="10.375" style="1"/>
    <col min="4093" max="4093" width="14.375" style="1" customWidth="1"/>
    <col min="4094" max="4094" width="10.375" style="1"/>
    <col min="4095" max="4095" width="11.625" style="1" bestFit="1" customWidth="1"/>
    <col min="4096" max="4098" width="10.375" style="1"/>
    <col min="4099" max="4099" width="12.875" style="1" customWidth="1"/>
    <col min="4100" max="4100" width="10.375" style="1"/>
    <col min="4101" max="4101" width="13" style="1" customWidth="1"/>
    <col min="4102" max="4340" width="10.375" style="1"/>
    <col min="4341" max="4341" width="33.25" style="1" customWidth="1"/>
    <col min="4342" max="4346" width="10.375" style="1"/>
    <col min="4347" max="4347" width="13.625" style="1" customWidth="1"/>
    <col min="4348" max="4348" width="10.375" style="1"/>
    <col min="4349" max="4349" width="14.375" style="1" customWidth="1"/>
    <col min="4350" max="4350" width="10.375" style="1"/>
    <col min="4351" max="4351" width="11.625" style="1" bestFit="1" customWidth="1"/>
    <col min="4352" max="4354" width="10.375" style="1"/>
    <col min="4355" max="4355" width="12.875" style="1" customWidth="1"/>
    <col min="4356" max="4356" width="10.375" style="1"/>
    <col min="4357" max="4357" width="13" style="1" customWidth="1"/>
    <col min="4358" max="4596" width="10.375" style="1"/>
    <col min="4597" max="4597" width="33.25" style="1" customWidth="1"/>
    <col min="4598" max="4602" width="10.375" style="1"/>
    <col min="4603" max="4603" width="13.625" style="1" customWidth="1"/>
    <col min="4604" max="4604" width="10.375" style="1"/>
    <col min="4605" max="4605" width="14.375" style="1" customWidth="1"/>
    <col min="4606" max="4606" width="10.375" style="1"/>
    <col min="4607" max="4607" width="11.625" style="1" bestFit="1" customWidth="1"/>
    <col min="4608" max="4610" width="10.375" style="1"/>
    <col min="4611" max="4611" width="12.875" style="1" customWidth="1"/>
    <col min="4612" max="4612" width="10.375" style="1"/>
    <col min="4613" max="4613" width="13" style="1" customWidth="1"/>
    <col min="4614" max="4852" width="10.375" style="1"/>
    <col min="4853" max="4853" width="33.25" style="1" customWidth="1"/>
    <col min="4854" max="4858" width="10.375" style="1"/>
    <col min="4859" max="4859" width="13.625" style="1" customWidth="1"/>
    <col min="4860" max="4860" width="10.375" style="1"/>
    <col min="4861" max="4861" width="14.375" style="1" customWidth="1"/>
    <col min="4862" max="4862" width="10.375" style="1"/>
    <col min="4863" max="4863" width="11.625" style="1" bestFit="1" customWidth="1"/>
    <col min="4864" max="4866" width="10.375" style="1"/>
    <col min="4867" max="4867" width="12.875" style="1" customWidth="1"/>
    <col min="4868" max="4868" width="10.375" style="1"/>
    <col min="4869" max="4869" width="13" style="1" customWidth="1"/>
    <col min="4870" max="5108" width="10.375" style="1"/>
    <col min="5109" max="5109" width="33.25" style="1" customWidth="1"/>
    <col min="5110" max="5114" width="10.375" style="1"/>
    <col min="5115" max="5115" width="13.625" style="1" customWidth="1"/>
    <col min="5116" max="5116" width="10.375" style="1"/>
    <col min="5117" max="5117" width="14.375" style="1" customWidth="1"/>
    <col min="5118" max="5118" width="10.375" style="1"/>
    <col min="5119" max="5119" width="11.625" style="1" bestFit="1" customWidth="1"/>
    <col min="5120" max="5122" width="10.375" style="1"/>
    <col min="5123" max="5123" width="12.875" style="1" customWidth="1"/>
    <col min="5124" max="5124" width="10.375" style="1"/>
    <col min="5125" max="5125" width="13" style="1" customWidth="1"/>
    <col min="5126" max="5364" width="10.375" style="1"/>
    <col min="5365" max="5365" width="33.25" style="1" customWidth="1"/>
    <col min="5366" max="5370" width="10.375" style="1"/>
    <col min="5371" max="5371" width="13.625" style="1" customWidth="1"/>
    <col min="5372" max="5372" width="10.375" style="1"/>
    <col min="5373" max="5373" width="14.375" style="1" customWidth="1"/>
    <col min="5374" max="5374" width="10.375" style="1"/>
    <col min="5375" max="5375" width="11.625" style="1" bestFit="1" customWidth="1"/>
    <col min="5376" max="5378" width="10.375" style="1"/>
    <col min="5379" max="5379" width="12.875" style="1" customWidth="1"/>
    <col min="5380" max="5380" width="10.375" style="1"/>
    <col min="5381" max="5381" width="13" style="1" customWidth="1"/>
    <col min="5382" max="5620" width="10.375" style="1"/>
    <col min="5621" max="5621" width="33.25" style="1" customWidth="1"/>
    <col min="5622" max="5626" width="10.375" style="1"/>
    <col min="5627" max="5627" width="13.625" style="1" customWidth="1"/>
    <col min="5628" max="5628" width="10.375" style="1"/>
    <col min="5629" max="5629" width="14.375" style="1" customWidth="1"/>
    <col min="5630" max="5630" width="10.375" style="1"/>
    <col min="5631" max="5631" width="11.625" style="1" bestFit="1" customWidth="1"/>
    <col min="5632" max="5634" width="10.375" style="1"/>
    <col min="5635" max="5635" width="12.875" style="1" customWidth="1"/>
    <col min="5636" max="5636" width="10.375" style="1"/>
    <col min="5637" max="5637" width="13" style="1" customWidth="1"/>
    <col min="5638" max="5876" width="10.375" style="1"/>
    <col min="5877" max="5877" width="33.25" style="1" customWidth="1"/>
    <col min="5878" max="5882" width="10.375" style="1"/>
    <col min="5883" max="5883" width="13.625" style="1" customWidth="1"/>
    <col min="5884" max="5884" width="10.375" style="1"/>
    <col min="5885" max="5885" width="14.375" style="1" customWidth="1"/>
    <col min="5886" max="5886" width="10.375" style="1"/>
    <col min="5887" max="5887" width="11.625" style="1" bestFit="1" customWidth="1"/>
    <col min="5888" max="5890" width="10.375" style="1"/>
    <col min="5891" max="5891" width="12.875" style="1" customWidth="1"/>
    <col min="5892" max="5892" width="10.375" style="1"/>
    <col min="5893" max="5893" width="13" style="1" customWidth="1"/>
    <col min="5894" max="6132" width="10.375" style="1"/>
    <col min="6133" max="6133" width="33.25" style="1" customWidth="1"/>
    <col min="6134" max="6138" width="10.375" style="1"/>
    <col min="6139" max="6139" width="13.625" style="1" customWidth="1"/>
    <col min="6140" max="6140" width="10.375" style="1"/>
    <col min="6141" max="6141" width="14.375" style="1" customWidth="1"/>
    <col min="6142" max="6142" width="10.375" style="1"/>
    <col min="6143" max="6143" width="11.625" style="1" bestFit="1" customWidth="1"/>
    <col min="6144" max="6146" width="10.375" style="1"/>
    <col min="6147" max="6147" width="12.875" style="1" customWidth="1"/>
    <col min="6148" max="6148" width="10.375" style="1"/>
    <col min="6149" max="6149" width="13" style="1" customWidth="1"/>
    <col min="6150" max="6388" width="10.375" style="1"/>
    <col min="6389" max="6389" width="33.25" style="1" customWidth="1"/>
    <col min="6390" max="6394" width="10.375" style="1"/>
    <col min="6395" max="6395" width="13.625" style="1" customWidth="1"/>
    <col min="6396" max="6396" width="10.375" style="1"/>
    <col min="6397" max="6397" width="14.375" style="1" customWidth="1"/>
    <col min="6398" max="6398" width="10.375" style="1"/>
    <col min="6399" max="6399" width="11.625" style="1" bestFit="1" customWidth="1"/>
    <col min="6400" max="6402" width="10.375" style="1"/>
    <col min="6403" max="6403" width="12.875" style="1" customWidth="1"/>
    <col min="6404" max="6404" width="10.375" style="1"/>
    <col min="6405" max="6405" width="13" style="1" customWidth="1"/>
    <col min="6406" max="6644" width="10.375" style="1"/>
    <col min="6645" max="6645" width="33.25" style="1" customWidth="1"/>
    <col min="6646" max="6650" width="10.375" style="1"/>
    <col min="6651" max="6651" width="13.625" style="1" customWidth="1"/>
    <col min="6652" max="6652" width="10.375" style="1"/>
    <col min="6653" max="6653" width="14.375" style="1" customWidth="1"/>
    <col min="6654" max="6654" width="10.375" style="1"/>
    <col min="6655" max="6655" width="11.625" style="1" bestFit="1" customWidth="1"/>
    <col min="6656" max="6658" width="10.375" style="1"/>
    <col min="6659" max="6659" width="12.875" style="1" customWidth="1"/>
    <col min="6660" max="6660" width="10.375" style="1"/>
    <col min="6661" max="6661" width="13" style="1" customWidth="1"/>
    <col min="6662" max="6900" width="10.375" style="1"/>
    <col min="6901" max="6901" width="33.25" style="1" customWidth="1"/>
    <col min="6902" max="6906" width="10.375" style="1"/>
    <col min="6907" max="6907" width="13.625" style="1" customWidth="1"/>
    <col min="6908" max="6908" width="10.375" style="1"/>
    <col min="6909" max="6909" width="14.375" style="1" customWidth="1"/>
    <col min="6910" max="6910" width="10.375" style="1"/>
    <col min="6911" max="6911" width="11.625" style="1" bestFit="1" customWidth="1"/>
    <col min="6912" max="6914" width="10.375" style="1"/>
    <col min="6915" max="6915" width="12.875" style="1" customWidth="1"/>
    <col min="6916" max="6916" width="10.375" style="1"/>
    <col min="6917" max="6917" width="13" style="1" customWidth="1"/>
    <col min="6918" max="7156" width="10.375" style="1"/>
    <col min="7157" max="7157" width="33.25" style="1" customWidth="1"/>
    <col min="7158" max="7162" width="10.375" style="1"/>
    <col min="7163" max="7163" width="13.625" style="1" customWidth="1"/>
    <col min="7164" max="7164" width="10.375" style="1"/>
    <col min="7165" max="7165" width="14.375" style="1" customWidth="1"/>
    <col min="7166" max="7166" width="10.375" style="1"/>
    <col min="7167" max="7167" width="11.625" style="1" bestFit="1" customWidth="1"/>
    <col min="7168" max="7170" width="10.375" style="1"/>
    <col min="7171" max="7171" width="12.875" style="1" customWidth="1"/>
    <col min="7172" max="7172" width="10.375" style="1"/>
    <col min="7173" max="7173" width="13" style="1" customWidth="1"/>
    <col min="7174" max="7412" width="10.375" style="1"/>
    <col min="7413" max="7413" width="33.25" style="1" customWidth="1"/>
    <col min="7414" max="7418" width="10.375" style="1"/>
    <col min="7419" max="7419" width="13.625" style="1" customWidth="1"/>
    <col min="7420" max="7420" width="10.375" style="1"/>
    <col min="7421" max="7421" width="14.375" style="1" customWidth="1"/>
    <col min="7422" max="7422" width="10.375" style="1"/>
    <col min="7423" max="7423" width="11.625" style="1" bestFit="1" customWidth="1"/>
    <col min="7424" max="7426" width="10.375" style="1"/>
    <col min="7427" max="7427" width="12.875" style="1" customWidth="1"/>
    <col min="7428" max="7428" width="10.375" style="1"/>
    <col min="7429" max="7429" width="13" style="1" customWidth="1"/>
    <col min="7430" max="7668" width="10.375" style="1"/>
    <col min="7669" max="7669" width="33.25" style="1" customWidth="1"/>
    <col min="7670" max="7674" width="10.375" style="1"/>
    <col min="7675" max="7675" width="13.625" style="1" customWidth="1"/>
    <col min="7676" max="7676" width="10.375" style="1"/>
    <col min="7677" max="7677" width="14.375" style="1" customWidth="1"/>
    <col min="7678" max="7678" width="10.375" style="1"/>
    <col min="7679" max="7679" width="11.625" style="1" bestFit="1" customWidth="1"/>
    <col min="7680" max="7682" width="10.375" style="1"/>
    <col min="7683" max="7683" width="12.875" style="1" customWidth="1"/>
    <col min="7684" max="7684" width="10.375" style="1"/>
    <col min="7685" max="7685" width="13" style="1" customWidth="1"/>
    <col min="7686" max="7924" width="10.375" style="1"/>
    <col min="7925" max="7925" width="33.25" style="1" customWidth="1"/>
    <col min="7926" max="7930" width="10.375" style="1"/>
    <col min="7931" max="7931" width="13.625" style="1" customWidth="1"/>
    <col min="7932" max="7932" width="10.375" style="1"/>
    <col min="7933" max="7933" width="14.375" style="1" customWidth="1"/>
    <col min="7934" max="7934" width="10.375" style="1"/>
    <col min="7935" max="7935" width="11.625" style="1" bestFit="1" customWidth="1"/>
    <col min="7936" max="7938" width="10.375" style="1"/>
    <col min="7939" max="7939" width="12.875" style="1" customWidth="1"/>
    <col min="7940" max="7940" width="10.375" style="1"/>
    <col min="7941" max="7941" width="13" style="1" customWidth="1"/>
    <col min="7942" max="8180" width="10.375" style="1"/>
    <col min="8181" max="8181" width="33.25" style="1" customWidth="1"/>
    <col min="8182" max="8186" width="10.375" style="1"/>
    <col min="8187" max="8187" width="13.625" style="1" customWidth="1"/>
    <col min="8188" max="8188" width="10.375" style="1"/>
    <col min="8189" max="8189" width="14.375" style="1" customWidth="1"/>
    <col min="8190" max="8190" width="10.375" style="1"/>
    <col min="8191" max="8191" width="11.625" style="1" bestFit="1" customWidth="1"/>
    <col min="8192" max="8194" width="10.375" style="1"/>
    <col min="8195" max="8195" width="12.875" style="1" customWidth="1"/>
    <col min="8196" max="8196" width="10.375" style="1"/>
    <col min="8197" max="8197" width="13" style="1" customWidth="1"/>
    <col min="8198" max="8436" width="10.375" style="1"/>
    <col min="8437" max="8437" width="33.25" style="1" customWidth="1"/>
    <col min="8438" max="8442" width="10.375" style="1"/>
    <col min="8443" max="8443" width="13.625" style="1" customWidth="1"/>
    <col min="8444" max="8444" width="10.375" style="1"/>
    <col min="8445" max="8445" width="14.375" style="1" customWidth="1"/>
    <col min="8446" max="8446" width="10.375" style="1"/>
    <col min="8447" max="8447" width="11.625" style="1" bestFit="1" customWidth="1"/>
    <col min="8448" max="8450" width="10.375" style="1"/>
    <col min="8451" max="8451" width="12.875" style="1" customWidth="1"/>
    <col min="8452" max="8452" width="10.375" style="1"/>
    <col min="8453" max="8453" width="13" style="1" customWidth="1"/>
    <col min="8454" max="8692" width="10.375" style="1"/>
    <col min="8693" max="8693" width="33.25" style="1" customWidth="1"/>
    <col min="8694" max="8698" width="10.375" style="1"/>
    <col min="8699" max="8699" width="13.625" style="1" customWidth="1"/>
    <col min="8700" max="8700" width="10.375" style="1"/>
    <col min="8701" max="8701" width="14.375" style="1" customWidth="1"/>
    <col min="8702" max="8702" width="10.375" style="1"/>
    <col min="8703" max="8703" width="11.625" style="1" bestFit="1" customWidth="1"/>
    <col min="8704" max="8706" width="10.375" style="1"/>
    <col min="8707" max="8707" width="12.875" style="1" customWidth="1"/>
    <col min="8708" max="8708" width="10.375" style="1"/>
    <col min="8709" max="8709" width="13" style="1" customWidth="1"/>
    <col min="8710" max="8948" width="10.375" style="1"/>
    <col min="8949" max="8949" width="33.25" style="1" customWidth="1"/>
    <col min="8950" max="8954" width="10.375" style="1"/>
    <col min="8955" max="8955" width="13.625" style="1" customWidth="1"/>
    <col min="8956" max="8956" width="10.375" style="1"/>
    <col min="8957" max="8957" width="14.375" style="1" customWidth="1"/>
    <col min="8958" max="8958" width="10.375" style="1"/>
    <col min="8959" max="8959" width="11.625" style="1" bestFit="1" customWidth="1"/>
    <col min="8960" max="8962" width="10.375" style="1"/>
    <col min="8963" max="8963" width="12.875" style="1" customWidth="1"/>
    <col min="8964" max="8964" width="10.375" style="1"/>
    <col min="8965" max="8965" width="13" style="1" customWidth="1"/>
    <col min="8966" max="9204" width="10.375" style="1"/>
    <col min="9205" max="9205" width="33.25" style="1" customWidth="1"/>
    <col min="9206" max="9210" width="10.375" style="1"/>
    <col min="9211" max="9211" width="13.625" style="1" customWidth="1"/>
    <col min="9212" max="9212" width="10.375" style="1"/>
    <col min="9213" max="9213" width="14.375" style="1" customWidth="1"/>
    <col min="9214" max="9214" width="10.375" style="1"/>
    <col min="9215" max="9215" width="11.625" style="1" bestFit="1" customWidth="1"/>
    <col min="9216" max="9218" width="10.375" style="1"/>
    <col min="9219" max="9219" width="12.875" style="1" customWidth="1"/>
    <col min="9220" max="9220" width="10.375" style="1"/>
    <col min="9221" max="9221" width="13" style="1" customWidth="1"/>
    <col min="9222" max="9460" width="10.375" style="1"/>
    <col min="9461" max="9461" width="33.25" style="1" customWidth="1"/>
    <col min="9462" max="9466" width="10.375" style="1"/>
    <col min="9467" max="9467" width="13.625" style="1" customWidth="1"/>
    <col min="9468" max="9468" width="10.375" style="1"/>
    <col min="9469" max="9469" width="14.375" style="1" customWidth="1"/>
    <col min="9470" max="9470" width="10.375" style="1"/>
    <col min="9471" max="9471" width="11.625" style="1" bestFit="1" customWidth="1"/>
    <col min="9472" max="9474" width="10.375" style="1"/>
    <col min="9475" max="9475" width="12.875" style="1" customWidth="1"/>
    <col min="9476" max="9476" width="10.375" style="1"/>
    <col min="9477" max="9477" width="13" style="1" customWidth="1"/>
    <col min="9478" max="9716" width="10.375" style="1"/>
    <col min="9717" max="9717" width="33.25" style="1" customWidth="1"/>
    <col min="9718" max="9722" width="10.375" style="1"/>
    <col min="9723" max="9723" width="13.625" style="1" customWidth="1"/>
    <col min="9724" max="9724" width="10.375" style="1"/>
    <col min="9725" max="9725" width="14.375" style="1" customWidth="1"/>
    <col min="9726" max="9726" width="10.375" style="1"/>
    <col min="9727" max="9727" width="11.625" style="1" bestFit="1" customWidth="1"/>
    <col min="9728" max="9730" width="10.375" style="1"/>
    <col min="9731" max="9731" width="12.875" style="1" customWidth="1"/>
    <col min="9732" max="9732" width="10.375" style="1"/>
    <col min="9733" max="9733" width="13" style="1" customWidth="1"/>
    <col min="9734" max="9972" width="10.375" style="1"/>
    <col min="9973" max="9973" width="33.25" style="1" customWidth="1"/>
    <col min="9974" max="9978" width="10.375" style="1"/>
    <col min="9979" max="9979" width="13.625" style="1" customWidth="1"/>
    <col min="9980" max="9980" width="10.375" style="1"/>
    <col min="9981" max="9981" width="14.375" style="1" customWidth="1"/>
    <col min="9982" max="9982" width="10.375" style="1"/>
    <col min="9983" max="9983" width="11.625" style="1" bestFit="1" customWidth="1"/>
    <col min="9984" max="9986" width="10.375" style="1"/>
    <col min="9987" max="9987" width="12.875" style="1" customWidth="1"/>
    <col min="9988" max="9988" width="10.375" style="1"/>
    <col min="9989" max="9989" width="13" style="1" customWidth="1"/>
    <col min="9990" max="10228" width="10.375" style="1"/>
    <col min="10229" max="10229" width="33.25" style="1" customWidth="1"/>
    <col min="10230" max="10234" width="10.375" style="1"/>
    <col min="10235" max="10235" width="13.625" style="1" customWidth="1"/>
    <col min="10236" max="10236" width="10.375" style="1"/>
    <col min="10237" max="10237" width="14.375" style="1" customWidth="1"/>
    <col min="10238" max="10238" width="10.375" style="1"/>
    <col min="10239" max="10239" width="11.625" style="1" bestFit="1" customWidth="1"/>
    <col min="10240" max="10242" width="10.375" style="1"/>
    <col min="10243" max="10243" width="12.875" style="1" customWidth="1"/>
    <col min="10244" max="10244" width="10.375" style="1"/>
    <col min="10245" max="10245" width="13" style="1" customWidth="1"/>
    <col min="10246" max="10484" width="10.375" style="1"/>
    <col min="10485" max="10485" width="33.25" style="1" customWidth="1"/>
    <col min="10486" max="10490" width="10.375" style="1"/>
    <col min="10491" max="10491" width="13.625" style="1" customWidth="1"/>
    <col min="10492" max="10492" width="10.375" style="1"/>
    <col min="10493" max="10493" width="14.375" style="1" customWidth="1"/>
    <col min="10494" max="10494" width="10.375" style="1"/>
    <col min="10495" max="10495" width="11.625" style="1" bestFit="1" customWidth="1"/>
    <col min="10496" max="10498" width="10.375" style="1"/>
    <col min="10499" max="10499" width="12.875" style="1" customWidth="1"/>
    <col min="10500" max="10500" width="10.375" style="1"/>
    <col min="10501" max="10501" width="13" style="1" customWidth="1"/>
    <col min="10502" max="10740" width="10.375" style="1"/>
    <col min="10741" max="10741" width="33.25" style="1" customWidth="1"/>
    <col min="10742" max="10746" width="10.375" style="1"/>
    <col min="10747" max="10747" width="13.625" style="1" customWidth="1"/>
    <col min="10748" max="10748" width="10.375" style="1"/>
    <col min="10749" max="10749" width="14.375" style="1" customWidth="1"/>
    <col min="10750" max="10750" width="10.375" style="1"/>
    <col min="10751" max="10751" width="11.625" style="1" bestFit="1" customWidth="1"/>
    <col min="10752" max="10754" width="10.375" style="1"/>
    <col min="10755" max="10755" width="12.875" style="1" customWidth="1"/>
    <col min="10756" max="10756" width="10.375" style="1"/>
    <col min="10757" max="10757" width="13" style="1" customWidth="1"/>
    <col min="10758" max="10996" width="10.375" style="1"/>
    <col min="10997" max="10997" width="33.25" style="1" customWidth="1"/>
    <col min="10998" max="11002" width="10.375" style="1"/>
    <col min="11003" max="11003" width="13.625" style="1" customWidth="1"/>
    <col min="11004" max="11004" width="10.375" style="1"/>
    <col min="11005" max="11005" width="14.375" style="1" customWidth="1"/>
    <col min="11006" max="11006" width="10.375" style="1"/>
    <col min="11007" max="11007" width="11.625" style="1" bestFit="1" customWidth="1"/>
    <col min="11008" max="11010" width="10.375" style="1"/>
    <col min="11011" max="11011" width="12.875" style="1" customWidth="1"/>
    <col min="11012" max="11012" width="10.375" style="1"/>
    <col min="11013" max="11013" width="13" style="1" customWidth="1"/>
    <col min="11014" max="11252" width="10.375" style="1"/>
    <col min="11253" max="11253" width="33.25" style="1" customWidth="1"/>
    <col min="11254" max="11258" width="10.375" style="1"/>
    <col min="11259" max="11259" width="13.625" style="1" customWidth="1"/>
    <col min="11260" max="11260" width="10.375" style="1"/>
    <col min="11261" max="11261" width="14.375" style="1" customWidth="1"/>
    <col min="11262" max="11262" width="10.375" style="1"/>
    <col min="11263" max="11263" width="11.625" style="1" bestFit="1" customWidth="1"/>
    <col min="11264" max="11266" width="10.375" style="1"/>
    <col min="11267" max="11267" width="12.875" style="1" customWidth="1"/>
    <col min="11268" max="11268" width="10.375" style="1"/>
    <col min="11269" max="11269" width="13" style="1" customWidth="1"/>
    <col min="11270" max="11508" width="10.375" style="1"/>
    <col min="11509" max="11509" width="33.25" style="1" customWidth="1"/>
    <col min="11510" max="11514" width="10.375" style="1"/>
    <col min="11515" max="11515" width="13.625" style="1" customWidth="1"/>
    <col min="11516" max="11516" width="10.375" style="1"/>
    <col min="11517" max="11517" width="14.375" style="1" customWidth="1"/>
    <col min="11518" max="11518" width="10.375" style="1"/>
    <col min="11519" max="11519" width="11.625" style="1" bestFit="1" customWidth="1"/>
    <col min="11520" max="11522" width="10.375" style="1"/>
    <col min="11523" max="11523" width="12.875" style="1" customWidth="1"/>
    <col min="11524" max="11524" width="10.375" style="1"/>
    <col min="11525" max="11525" width="13" style="1" customWidth="1"/>
    <col min="11526" max="11764" width="10.375" style="1"/>
    <col min="11765" max="11765" width="33.25" style="1" customWidth="1"/>
    <col min="11766" max="11770" width="10.375" style="1"/>
    <col min="11771" max="11771" width="13.625" style="1" customWidth="1"/>
    <col min="11772" max="11772" width="10.375" style="1"/>
    <col min="11773" max="11773" width="14.375" style="1" customWidth="1"/>
    <col min="11774" max="11774" width="10.375" style="1"/>
    <col min="11775" max="11775" width="11.625" style="1" bestFit="1" customWidth="1"/>
    <col min="11776" max="11778" width="10.375" style="1"/>
    <col min="11779" max="11779" width="12.875" style="1" customWidth="1"/>
    <col min="11780" max="11780" width="10.375" style="1"/>
    <col min="11781" max="11781" width="13" style="1" customWidth="1"/>
    <col min="11782" max="12020" width="10.375" style="1"/>
    <col min="12021" max="12021" width="33.25" style="1" customWidth="1"/>
    <col min="12022" max="12026" width="10.375" style="1"/>
    <col min="12027" max="12027" width="13.625" style="1" customWidth="1"/>
    <col min="12028" max="12028" width="10.375" style="1"/>
    <col min="12029" max="12029" width="14.375" style="1" customWidth="1"/>
    <col min="12030" max="12030" width="10.375" style="1"/>
    <col min="12031" max="12031" width="11.625" style="1" bestFit="1" customWidth="1"/>
    <col min="12032" max="12034" width="10.375" style="1"/>
    <col min="12035" max="12035" width="12.875" style="1" customWidth="1"/>
    <col min="12036" max="12036" width="10.375" style="1"/>
    <col min="12037" max="12037" width="13" style="1" customWidth="1"/>
    <col min="12038" max="12276" width="10.375" style="1"/>
    <col min="12277" max="12277" width="33.25" style="1" customWidth="1"/>
    <col min="12278" max="12282" width="10.375" style="1"/>
    <col min="12283" max="12283" width="13.625" style="1" customWidth="1"/>
    <col min="12284" max="12284" width="10.375" style="1"/>
    <col min="12285" max="12285" width="14.375" style="1" customWidth="1"/>
    <col min="12286" max="12286" width="10.375" style="1"/>
    <col min="12287" max="12287" width="11.625" style="1" bestFit="1" customWidth="1"/>
    <col min="12288" max="12290" width="10.375" style="1"/>
    <col min="12291" max="12291" width="12.875" style="1" customWidth="1"/>
    <col min="12292" max="12292" width="10.375" style="1"/>
    <col min="12293" max="12293" width="13" style="1" customWidth="1"/>
    <col min="12294" max="12532" width="10.375" style="1"/>
    <col min="12533" max="12533" width="33.25" style="1" customWidth="1"/>
    <col min="12534" max="12538" width="10.375" style="1"/>
    <col min="12539" max="12539" width="13.625" style="1" customWidth="1"/>
    <col min="12540" max="12540" width="10.375" style="1"/>
    <col min="12541" max="12541" width="14.375" style="1" customWidth="1"/>
    <col min="12542" max="12542" width="10.375" style="1"/>
    <col min="12543" max="12543" width="11.625" style="1" bestFit="1" customWidth="1"/>
    <col min="12544" max="12546" width="10.375" style="1"/>
    <col min="12547" max="12547" width="12.875" style="1" customWidth="1"/>
    <col min="12548" max="12548" width="10.375" style="1"/>
    <col min="12549" max="12549" width="13" style="1" customWidth="1"/>
    <col min="12550" max="12788" width="10.375" style="1"/>
    <col min="12789" max="12789" width="33.25" style="1" customWidth="1"/>
    <col min="12790" max="12794" width="10.375" style="1"/>
    <col min="12795" max="12795" width="13.625" style="1" customWidth="1"/>
    <col min="12796" max="12796" width="10.375" style="1"/>
    <col min="12797" max="12797" width="14.375" style="1" customWidth="1"/>
    <col min="12798" max="12798" width="10.375" style="1"/>
    <col min="12799" max="12799" width="11.625" style="1" bestFit="1" customWidth="1"/>
    <col min="12800" max="12802" width="10.375" style="1"/>
    <col min="12803" max="12803" width="12.875" style="1" customWidth="1"/>
    <col min="12804" max="12804" width="10.375" style="1"/>
    <col min="12805" max="12805" width="13" style="1" customWidth="1"/>
    <col min="12806" max="13044" width="10.375" style="1"/>
    <col min="13045" max="13045" width="33.25" style="1" customWidth="1"/>
    <col min="13046" max="13050" width="10.375" style="1"/>
    <col min="13051" max="13051" width="13.625" style="1" customWidth="1"/>
    <col min="13052" max="13052" width="10.375" style="1"/>
    <col min="13053" max="13053" width="14.375" style="1" customWidth="1"/>
    <col min="13054" max="13054" width="10.375" style="1"/>
    <col min="13055" max="13055" width="11.625" style="1" bestFit="1" customWidth="1"/>
    <col min="13056" max="13058" width="10.375" style="1"/>
    <col min="13059" max="13059" width="12.875" style="1" customWidth="1"/>
    <col min="13060" max="13060" width="10.375" style="1"/>
    <col min="13061" max="13061" width="13" style="1" customWidth="1"/>
    <col min="13062" max="13300" width="10.375" style="1"/>
    <col min="13301" max="13301" width="33.25" style="1" customWidth="1"/>
    <col min="13302" max="13306" width="10.375" style="1"/>
    <col min="13307" max="13307" width="13.625" style="1" customWidth="1"/>
    <col min="13308" max="13308" width="10.375" style="1"/>
    <col min="13309" max="13309" width="14.375" style="1" customWidth="1"/>
    <col min="13310" max="13310" width="10.375" style="1"/>
    <col min="13311" max="13311" width="11.625" style="1" bestFit="1" customWidth="1"/>
    <col min="13312" max="13314" width="10.375" style="1"/>
    <col min="13315" max="13315" width="12.875" style="1" customWidth="1"/>
    <col min="13316" max="13316" width="10.375" style="1"/>
    <col min="13317" max="13317" width="13" style="1" customWidth="1"/>
    <col min="13318" max="13556" width="10.375" style="1"/>
    <col min="13557" max="13557" width="33.25" style="1" customWidth="1"/>
    <col min="13558" max="13562" width="10.375" style="1"/>
    <col min="13563" max="13563" width="13.625" style="1" customWidth="1"/>
    <col min="13564" max="13564" width="10.375" style="1"/>
    <col min="13565" max="13565" width="14.375" style="1" customWidth="1"/>
    <col min="13566" max="13566" width="10.375" style="1"/>
    <col min="13567" max="13567" width="11.625" style="1" bestFit="1" customWidth="1"/>
    <col min="13568" max="13570" width="10.375" style="1"/>
    <col min="13571" max="13571" width="12.875" style="1" customWidth="1"/>
    <col min="13572" max="13572" width="10.375" style="1"/>
    <col min="13573" max="13573" width="13" style="1" customWidth="1"/>
    <col min="13574" max="13812" width="10.375" style="1"/>
    <col min="13813" max="13813" width="33.25" style="1" customWidth="1"/>
    <col min="13814" max="13818" width="10.375" style="1"/>
    <col min="13819" max="13819" width="13.625" style="1" customWidth="1"/>
    <col min="13820" max="13820" width="10.375" style="1"/>
    <col min="13821" max="13821" width="14.375" style="1" customWidth="1"/>
    <col min="13822" max="13822" width="10.375" style="1"/>
    <col min="13823" max="13823" width="11.625" style="1" bestFit="1" customWidth="1"/>
    <col min="13824" max="13826" width="10.375" style="1"/>
    <col min="13827" max="13827" width="12.875" style="1" customWidth="1"/>
    <col min="13828" max="13828" width="10.375" style="1"/>
    <col min="13829" max="13829" width="13" style="1" customWidth="1"/>
    <col min="13830" max="14068" width="10.375" style="1"/>
    <col min="14069" max="14069" width="33.25" style="1" customWidth="1"/>
    <col min="14070" max="14074" width="10.375" style="1"/>
    <col min="14075" max="14075" width="13.625" style="1" customWidth="1"/>
    <col min="14076" max="14076" width="10.375" style="1"/>
    <col min="14077" max="14077" width="14.375" style="1" customWidth="1"/>
    <col min="14078" max="14078" width="10.375" style="1"/>
    <col min="14079" max="14079" width="11.625" style="1" bestFit="1" customWidth="1"/>
    <col min="14080" max="14082" width="10.375" style="1"/>
    <col min="14083" max="14083" width="12.875" style="1" customWidth="1"/>
    <col min="14084" max="14084" width="10.375" style="1"/>
    <col min="14085" max="14085" width="13" style="1" customWidth="1"/>
    <col min="14086" max="14324" width="10.375" style="1"/>
    <col min="14325" max="14325" width="33.25" style="1" customWidth="1"/>
    <col min="14326" max="14330" width="10.375" style="1"/>
    <col min="14331" max="14331" width="13.625" style="1" customWidth="1"/>
    <col min="14332" max="14332" width="10.375" style="1"/>
    <col min="14333" max="14333" width="14.375" style="1" customWidth="1"/>
    <col min="14334" max="14334" width="10.375" style="1"/>
    <col min="14335" max="14335" width="11.625" style="1" bestFit="1" customWidth="1"/>
    <col min="14336" max="14338" width="10.375" style="1"/>
    <col min="14339" max="14339" width="12.875" style="1" customWidth="1"/>
    <col min="14340" max="14340" width="10.375" style="1"/>
    <col min="14341" max="14341" width="13" style="1" customWidth="1"/>
    <col min="14342" max="14580" width="10.375" style="1"/>
    <col min="14581" max="14581" width="33.25" style="1" customWidth="1"/>
    <col min="14582" max="14586" width="10.375" style="1"/>
    <col min="14587" max="14587" width="13.625" style="1" customWidth="1"/>
    <col min="14588" max="14588" width="10.375" style="1"/>
    <col min="14589" max="14589" width="14.375" style="1" customWidth="1"/>
    <col min="14590" max="14590" width="10.375" style="1"/>
    <col min="14591" max="14591" width="11.625" style="1" bestFit="1" customWidth="1"/>
    <col min="14592" max="14594" width="10.375" style="1"/>
    <col min="14595" max="14595" width="12.875" style="1" customWidth="1"/>
    <col min="14596" max="14596" width="10.375" style="1"/>
    <col min="14597" max="14597" width="13" style="1" customWidth="1"/>
    <col min="14598" max="14836" width="10.375" style="1"/>
    <col min="14837" max="14837" width="33.25" style="1" customWidth="1"/>
    <col min="14838" max="14842" width="10.375" style="1"/>
    <col min="14843" max="14843" width="13.625" style="1" customWidth="1"/>
    <col min="14844" max="14844" width="10.375" style="1"/>
    <col min="14845" max="14845" width="14.375" style="1" customWidth="1"/>
    <col min="14846" max="14846" width="10.375" style="1"/>
    <col min="14847" max="14847" width="11.625" style="1" bestFit="1" customWidth="1"/>
    <col min="14848" max="14850" width="10.375" style="1"/>
    <col min="14851" max="14851" width="12.875" style="1" customWidth="1"/>
    <col min="14852" max="14852" width="10.375" style="1"/>
    <col min="14853" max="14853" width="13" style="1" customWidth="1"/>
    <col min="14854" max="15092" width="10.375" style="1"/>
    <col min="15093" max="15093" width="33.25" style="1" customWidth="1"/>
    <col min="15094" max="15098" width="10.375" style="1"/>
    <col min="15099" max="15099" width="13.625" style="1" customWidth="1"/>
    <col min="15100" max="15100" width="10.375" style="1"/>
    <col min="15101" max="15101" width="14.375" style="1" customWidth="1"/>
    <col min="15102" max="15102" width="10.375" style="1"/>
    <col min="15103" max="15103" width="11.625" style="1" bestFit="1" customWidth="1"/>
    <col min="15104" max="15106" width="10.375" style="1"/>
    <col min="15107" max="15107" width="12.875" style="1" customWidth="1"/>
    <col min="15108" max="15108" width="10.375" style="1"/>
    <col min="15109" max="15109" width="13" style="1" customWidth="1"/>
    <col min="15110" max="15348" width="10.375" style="1"/>
    <col min="15349" max="15349" width="33.25" style="1" customWidth="1"/>
    <col min="15350" max="15354" width="10.375" style="1"/>
    <col min="15355" max="15355" width="13.625" style="1" customWidth="1"/>
    <col min="15356" max="15356" width="10.375" style="1"/>
    <col min="15357" max="15357" width="14.375" style="1" customWidth="1"/>
    <col min="15358" max="15358" width="10.375" style="1"/>
    <col min="15359" max="15359" width="11.625" style="1" bestFit="1" customWidth="1"/>
    <col min="15360" max="15362" width="10.375" style="1"/>
    <col min="15363" max="15363" width="12.875" style="1" customWidth="1"/>
    <col min="15364" max="15364" width="10.375" style="1"/>
    <col min="15365" max="15365" width="13" style="1" customWidth="1"/>
    <col min="15366" max="15604" width="10.375" style="1"/>
    <col min="15605" max="15605" width="33.25" style="1" customWidth="1"/>
    <col min="15606" max="15610" width="10.375" style="1"/>
    <col min="15611" max="15611" width="13.625" style="1" customWidth="1"/>
    <col min="15612" max="15612" width="10.375" style="1"/>
    <col min="15613" max="15613" width="14.375" style="1" customWidth="1"/>
    <col min="15614" max="15614" width="10.375" style="1"/>
    <col min="15615" max="15615" width="11.625" style="1" bestFit="1" customWidth="1"/>
    <col min="15616" max="15618" width="10.375" style="1"/>
    <col min="15619" max="15619" width="12.875" style="1" customWidth="1"/>
    <col min="15620" max="15620" width="10.375" style="1"/>
    <col min="15621" max="15621" width="13" style="1" customWidth="1"/>
    <col min="15622" max="15860" width="10.375" style="1"/>
    <col min="15861" max="15861" width="33.25" style="1" customWidth="1"/>
    <col min="15862" max="15866" width="10.375" style="1"/>
    <col min="15867" max="15867" width="13.625" style="1" customWidth="1"/>
    <col min="15868" max="15868" width="10.375" style="1"/>
    <col min="15869" max="15869" width="14.375" style="1" customWidth="1"/>
    <col min="15870" max="15870" width="10.375" style="1"/>
    <col min="15871" max="15871" width="11.625" style="1" bestFit="1" customWidth="1"/>
    <col min="15872" max="15874" width="10.375" style="1"/>
    <col min="15875" max="15875" width="12.875" style="1" customWidth="1"/>
    <col min="15876" max="15876" width="10.375" style="1"/>
    <col min="15877" max="15877" width="13" style="1" customWidth="1"/>
    <col min="15878" max="16116" width="10.375" style="1"/>
    <col min="16117" max="16117" width="33.25" style="1" customWidth="1"/>
    <col min="16118" max="16122" width="10.375" style="1"/>
    <col min="16123" max="16123" width="13.625" style="1" customWidth="1"/>
    <col min="16124" max="16124" width="10.375" style="1"/>
    <col min="16125" max="16125" width="14.375" style="1" customWidth="1"/>
    <col min="16126" max="16126" width="10.375" style="1"/>
    <col min="16127" max="16127" width="11.625" style="1" bestFit="1" customWidth="1"/>
    <col min="16128" max="16130" width="10.375" style="1"/>
    <col min="16131" max="16131" width="12.875" style="1" customWidth="1"/>
    <col min="16132" max="16132" width="10.375" style="1"/>
    <col min="16133" max="16133" width="13" style="1" customWidth="1"/>
    <col min="16134" max="16384" width="10.375" style="1"/>
  </cols>
  <sheetData>
    <row r="1" spans="1:5" ht="18.600000000000001">
      <c r="A1" s="175" t="s">
        <v>0</v>
      </c>
      <c r="B1" s="175"/>
      <c r="C1" s="175"/>
      <c r="D1" s="175"/>
      <c r="E1" s="175"/>
    </row>
    <row r="2" spans="1:5" ht="18.600000000000001">
      <c r="A2" s="176" t="s">
        <v>1</v>
      </c>
      <c r="B2" s="176"/>
      <c r="C2" s="176"/>
      <c r="D2" s="176"/>
      <c r="E2" s="176"/>
    </row>
    <row r="3" spans="1:5" ht="18.600000000000001">
      <c r="A3" s="177" t="s">
        <v>60</v>
      </c>
      <c r="B3" s="177"/>
      <c r="C3" s="177"/>
      <c r="D3" s="177"/>
      <c r="E3" s="177"/>
    </row>
    <row r="4" spans="1:5" ht="18.600000000000001">
      <c r="A4" s="178" t="s">
        <v>3</v>
      </c>
      <c r="B4" s="173" t="s">
        <v>4</v>
      </c>
      <c r="C4" s="182" t="s">
        <v>9</v>
      </c>
      <c r="D4" s="183"/>
      <c r="E4" s="184"/>
    </row>
    <row r="5" spans="1:5" ht="18.600000000000001">
      <c r="A5" s="179"/>
      <c r="B5" s="181"/>
      <c r="C5" s="185" t="s">
        <v>10</v>
      </c>
      <c r="D5" s="187" t="s">
        <v>12</v>
      </c>
      <c r="E5" s="2"/>
    </row>
    <row r="6" spans="1:5" ht="16.8">
      <c r="A6" s="180"/>
      <c r="B6" s="174"/>
      <c r="C6" s="186"/>
      <c r="D6" s="188"/>
      <c r="E6" s="7" t="s">
        <v>19</v>
      </c>
    </row>
    <row r="7" spans="1:5" ht="18.600000000000001">
      <c r="A7" s="156"/>
      <c r="B7" s="173" t="s">
        <v>59</v>
      </c>
      <c r="C7" s="158"/>
      <c r="D7" s="159"/>
      <c r="E7" s="160"/>
    </row>
    <row r="8" spans="1:5" ht="21.75" customHeight="1">
      <c r="A8" s="164"/>
      <c r="B8" s="174"/>
      <c r="C8" s="150"/>
      <c r="D8" s="84"/>
      <c r="E8" s="166"/>
    </row>
    <row r="9" spans="1:5" ht="19.2" thickBot="1">
      <c r="A9" s="167"/>
      <c r="B9" s="168"/>
      <c r="C9" s="169"/>
      <c r="D9" s="170"/>
      <c r="E9" s="171"/>
    </row>
    <row r="10" spans="1:5" ht="19.2" thickTop="1">
      <c r="A10" s="161"/>
      <c r="B10" s="162"/>
      <c r="C10" s="77"/>
      <c r="D10" s="78"/>
      <c r="E10" s="163"/>
    </row>
    <row r="11" spans="1:5" ht="18.600000000000001">
      <c r="A11" s="151"/>
      <c r="B11" s="155" t="s">
        <v>31</v>
      </c>
      <c r="C11" s="77"/>
      <c r="D11" s="78"/>
      <c r="E11" s="96"/>
    </row>
    <row r="12" spans="1:5" ht="18.600000000000001">
      <c r="A12" s="42">
        <v>1</v>
      </c>
      <c r="B12" s="97" t="s">
        <v>32</v>
      </c>
      <c r="C12" s="24" t="s">
        <v>34</v>
      </c>
      <c r="D12" s="25"/>
      <c r="E12" s="99">
        <v>322273.98</v>
      </c>
    </row>
    <row r="13" spans="1:5" ht="18.600000000000001">
      <c r="A13" s="42"/>
      <c r="B13" s="100" t="s">
        <v>35</v>
      </c>
      <c r="C13" s="31"/>
      <c r="D13" s="25"/>
      <c r="E13" s="99"/>
    </row>
    <row r="14" spans="1:5" ht="18.600000000000001">
      <c r="A14" s="42"/>
      <c r="B14" s="100" t="s">
        <v>37</v>
      </c>
      <c r="C14" s="31"/>
      <c r="D14" s="25"/>
      <c r="E14" s="99"/>
    </row>
    <row r="15" spans="1:5" ht="18.600000000000001">
      <c r="A15" s="42"/>
      <c r="B15" s="100" t="s">
        <v>38</v>
      </c>
      <c r="C15" s="31"/>
      <c r="D15" s="25"/>
      <c r="E15" s="99"/>
    </row>
    <row r="16" spans="1:5" ht="18.600000000000001">
      <c r="A16" s="8">
        <v>2</v>
      </c>
      <c r="B16" s="102" t="s">
        <v>32</v>
      </c>
      <c r="C16" s="62" t="s">
        <v>40</v>
      </c>
      <c r="D16" s="25">
        <v>16</v>
      </c>
      <c r="E16" s="99">
        <v>5208581.93</v>
      </c>
    </row>
    <row r="17" spans="1:5" ht="18.600000000000001">
      <c r="A17" s="8"/>
      <c r="B17" s="153" t="s">
        <v>41</v>
      </c>
      <c r="C17" s="62" t="s">
        <v>42</v>
      </c>
      <c r="D17" s="25"/>
      <c r="E17" s="92"/>
    </row>
    <row r="18" spans="1:5" ht="18.600000000000001">
      <c r="A18" s="8"/>
      <c r="B18" s="103" t="s">
        <v>43</v>
      </c>
      <c r="C18" s="31"/>
      <c r="D18" s="25"/>
      <c r="E18" s="92"/>
    </row>
    <row r="19" spans="1:5" ht="18.600000000000001">
      <c r="A19" s="148"/>
      <c r="B19" s="149" t="s">
        <v>44</v>
      </c>
      <c r="C19" s="150"/>
      <c r="D19" s="25"/>
      <c r="E19" s="92"/>
    </row>
    <row r="20" spans="1:5" ht="19.2" thickBot="1">
      <c r="A20" s="152"/>
      <c r="B20" s="172" t="s">
        <v>53</v>
      </c>
      <c r="C20" s="108"/>
      <c r="D20" s="106"/>
      <c r="E20" s="106">
        <f>SUM(E12:E18)</f>
        <v>5530855.9100000001</v>
      </c>
    </row>
    <row r="21" spans="1:5" ht="19.2" thickTop="1">
      <c r="A21" s="120"/>
      <c r="B21" s="121"/>
      <c r="C21" s="125"/>
      <c r="D21" s="121"/>
      <c r="E21" s="126"/>
    </row>
  </sheetData>
  <mergeCells count="9">
    <mergeCell ref="B7:B8"/>
    <mergeCell ref="A1:E1"/>
    <mergeCell ref="A2:E2"/>
    <mergeCell ref="A3:E3"/>
    <mergeCell ref="A4:A6"/>
    <mergeCell ref="B4:B6"/>
    <mergeCell ref="C4:E4"/>
    <mergeCell ref="C5:C6"/>
    <mergeCell ref="D5:D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1B70-3D8F-4FAB-8AEE-6EFEB5FB02AC}">
  <sheetPr>
    <tabColor rgb="FF92D050"/>
  </sheetPr>
  <dimension ref="A1:R114"/>
  <sheetViews>
    <sheetView workbookViewId="0">
      <pane ySplit="6" topLeftCell="A7" activePane="bottomLeft" state="frozen"/>
      <selection pane="bottomLeft" activeCell="B23" sqref="B23"/>
    </sheetView>
  </sheetViews>
  <sheetFormatPr defaultColWidth="10.375" defaultRowHeight="14.4"/>
  <cols>
    <col min="1" max="1" width="10.375" style="1"/>
    <col min="2" max="2" width="33.25" style="1" customWidth="1"/>
    <col min="3" max="7" width="10.375" style="1"/>
    <col min="8" max="8" width="13.625" style="1" customWidth="1"/>
    <col min="9" max="9" width="10.375" style="1"/>
    <col min="10" max="10" width="14.375" style="1" customWidth="1"/>
    <col min="11" max="11" width="10.375" style="139"/>
    <col min="12" max="12" width="11.625" style="139" bestFit="1" customWidth="1"/>
    <col min="13" max="13" width="10.375" style="139"/>
    <col min="14" max="15" width="10.375" style="1"/>
    <col min="16" max="16" width="12.875" style="1" customWidth="1"/>
    <col min="17" max="17" width="10.375" style="1"/>
    <col min="18" max="18" width="13" style="1" customWidth="1"/>
    <col min="19" max="257" width="10.375" style="1"/>
    <col min="258" max="258" width="33.25" style="1" customWidth="1"/>
    <col min="259" max="263" width="10.375" style="1"/>
    <col min="264" max="264" width="13.625" style="1" customWidth="1"/>
    <col min="265" max="265" width="10.375" style="1"/>
    <col min="266" max="266" width="14.375" style="1" customWidth="1"/>
    <col min="267" max="267" width="10.375" style="1"/>
    <col min="268" max="268" width="11.625" style="1" bestFit="1" customWidth="1"/>
    <col min="269" max="271" width="10.375" style="1"/>
    <col min="272" max="272" width="12.875" style="1" customWidth="1"/>
    <col min="273" max="273" width="10.375" style="1"/>
    <col min="274" max="274" width="13" style="1" customWidth="1"/>
    <col min="275" max="513" width="10.375" style="1"/>
    <col min="514" max="514" width="33.25" style="1" customWidth="1"/>
    <col min="515" max="519" width="10.375" style="1"/>
    <col min="520" max="520" width="13.625" style="1" customWidth="1"/>
    <col min="521" max="521" width="10.375" style="1"/>
    <col min="522" max="522" width="14.375" style="1" customWidth="1"/>
    <col min="523" max="523" width="10.375" style="1"/>
    <col min="524" max="524" width="11.625" style="1" bestFit="1" customWidth="1"/>
    <col min="525" max="527" width="10.375" style="1"/>
    <col min="528" max="528" width="12.875" style="1" customWidth="1"/>
    <col min="529" max="529" width="10.375" style="1"/>
    <col min="530" max="530" width="13" style="1" customWidth="1"/>
    <col min="531" max="769" width="10.375" style="1"/>
    <col min="770" max="770" width="33.25" style="1" customWidth="1"/>
    <col min="771" max="775" width="10.375" style="1"/>
    <col min="776" max="776" width="13.625" style="1" customWidth="1"/>
    <col min="777" max="777" width="10.375" style="1"/>
    <col min="778" max="778" width="14.375" style="1" customWidth="1"/>
    <col min="779" max="779" width="10.375" style="1"/>
    <col min="780" max="780" width="11.625" style="1" bestFit="1" customWidth="1"/>
    <col min="781" max="783" width="10.375" style="1"/>
    <col min="784" max="784" width="12.875" style="1" customWidth="1"/>
    <col min="785" max="785" width="10.375" style="1"/>
    <col min="786" max="786" width="13" style="1" customWidth="1"/>
    <col min="787" max="1025" width="10.375" style="1"/>
    <col min="1026" max="1026" width="33.25" style="1" customWidth="1"/>
    <col min="1027" max="1031" width="10.375" style="1"/>
    <col min="1032" max="1032" width="13.625" style="1" customWidth="1"/>
    <col min="1033" max="1033" width="10.375" style="1"/>
    <col min="1034" max="1034" width="14.375" style="1" customWidth="1"/>
    <col min="1035" max="1035" width="10.375" style="1"/>
    <col min="1036" max="1036" width="11.625" style="1" bestFit="1" customWidth="1"/>
    <col min="1037" max="1039" width="10.375" style="1"/>
    <col min="1040" max="1040" width="12.875" style="1" customWidth="1"/>
    <col min="1041" max="1041" width="10.375" style="1"/>
    <col min="1042" max="1042" width="13" style="1" customWidth="1"/>
    <col min="1043" max="1281" width="10.375" style="1"/>
    <col min="1282" max="1282" width="33.25" style="1" customWidth="1"/>
    <col min="1283" max="1287" width="10.375" style="1"/>
    <col min="1288" max="1288" width="13.625" style="1" customWidth="1"/>
    <col min="1289" max="1289" width="10.375" style="1"/>
    <col min="1290" max="1290" width="14.375" style="1" customWidth="1"/>
    <col min="1291" max="1291" width="10.375" style="1"/>
    <col min="1292" max="1292" width="11.625" style="1" bestFit="1" customWidth="1"/>
    <col min="1293" max="1295" width="10.375" style="1"/>
    <col min="1296" max="1296" width="12.875" style="1" customWidth="1"/>
    <col min="1297" max="1297" width="10.375" style="1"/>
    <col min="1298" max="1298" width="13" style="1" customWidth="1"/>
    <col min="1299" max="1537" width="10.375" style="1"/>
    <col min="1538" max="1538" width="33.25" style="1" customWidth="1"/>
    <col min="1539" max="1543" width="10.375" style="1"/>
    <col min="1544" max="1544" width="13.625" style="1" customWidth="1"/>
    <col min="1545" max="1545" width="10.375" style="1"/>
    <col min="1546" max="1546" width="14.375" style="1" customWidth="1"/>
    <col min="1547" max="1547" width="10.375" style="1"/>
    <col min="1548" max="1548" width="11.625" style="1" bestFit="1" customWidth="1"/>
    <col min="1549" max="1551" width="10.375" style="1"/>
    <col min="1552" max="1552" width="12.875" style="1" customWidth="1"/>
    <col min="1553" max="1553" width="10.375" style="1"/>
    <col min="1554" max="1554" width="13" style="1" customWidth="1"/>
    <col min="1555" max="1793" width="10.375" style="1"/>
    <col min="1794" max="1794" width="33.25" style="1" customWidth="1"/>
    <col min="1795" max="1799" width="10.375" style="1"/>
    <col min="1800" max="1800" width="13.625" style="1" customWidth="1"/>
    <col min="1801" max="1801" width="10.375" style="1"/>
    <col min="1802" max="1802" width="14.375" style="1" customWidth="1"/>
    <col min="1803" max="1803" width="10.375" style="1"/>
    <col min="1804" max="1804" width="11.625" style="1" bestFit="1" customWidth="1"/>
    <col min="1805" max="1807" width="10.375" style="1"/>
    <col min="1808" max="1808" width="12.875" style="1" customWidth="1"/>
    <col min="1809" max="1809" width="10.375" style="1"/>
    <col min="1810" max="1810" width="13" style="1" customWidth="1"/>
    <col min="1811" max="2049" width="10.375" style="1"/>
    <col min="2050" max="2050" width="33.25" style="1" customWidth="1"/>
    <col min="2051" max="2055" width="10.375" style="1"/>
    <col min="2056" max="2056" width="13.625" style="1" customWidth="1"/>
    <col min="2057" max="2057" width="10.375" style="1"/>
    <col min="2058" max="2058" width="14.375" style="1" customWidth="1"/>
    <col min="2059" max="2059" width="10.375" style="1"/>
    <col min="2060" max="2060" width="11.625" style="1" bestFit="1" customWidth="1"/>
    <col min="2061" max="2063" width="10.375" style="1"/>
    <col min="2064" max="2064" width="12.875" style="1" customWidth="1"/>
    <col min="2065" max="2065" width="10.375" style="1"/>
    <col min="2066" max="2066" width="13" style="1" customWidth="1"/>
    <col min="2067" max="2305" width="10.375" style="1"/>
    <col min="2306" max="2306" width="33.25" style="1" customWidth="1"/>
    <col min="2307" max="2311" width="10.375" style="1"/>
    <col min="2312" max="2312" width="13.625" style="1" customWidth="1"/>
    <col min="2313" max="2313" width="10.375" style="1"/>
    <col min="2314" max="2314" width="14.375" style="1" customWidth="1"/>
    <col min="2315" max="2315" width="10.375" style="1"/>
    <col min="2316" max="2316" width="11.625" style="1" bestFit="1" customWidth="1"/>
    <col min="2317" max="2319" width="10.375" style="1"/>
    <col min="2320" max="2320" width="12.875" style="1" customWidth="1"/>
    <col min="2321" max="2321" width="10.375" style="1"/>
    <col min="2322" max="2322" width="13" style="1" customWidth="1"/>
    <col min="2323" max="2561" width="10.375" style="1"/>
    <col min="2562" max="2562" width="33.25" style="1" customWidth="1"/>
    <col min="2563" max="2567" width="10.375" style="1"/>
    <col min="2568" max="2568" width="13.625" style="1" customWidth="1"/>
    <col min="2569" max="2569" width="10.375" style="1"/>
    <col min="2570" max="2570" width="14.375" style="1" customWidth="1"/>
    <col min="2571" max="2571" width="10.375" style="1"/>
    <col min="2572" max="2572" width="11.625" style="1" bestFit="1" customWidth="1"/>
    <col min="2573" max="2575" width="10.375" style="1"/>
    <col min="2576" max="2576" width="12.875" style="1" customWidth="1"/>
    <col min="2577" max="2577" width="10.375" style="1"/>
    <col min="2578" max="2578" width="13" style="1" customWidth="1"/>
    <col min="2579" max="2817" width="10.375" style="1"/>
    <col min="2818" max="2818" width="33.25" style="1" customWidth="1"/>
    <col min="2819" max="2823" width="10.375" style="1"/>
    <col min="2824" max="2824" width="13.625" style="1" customWidth="1"/>
    <col min="2825" max="2825" width="10.375" style="1"/>
    <col min="2826" max="2826" width="14.375" style="1" customWidth="1"/>
    <col min="2827" max="2827" width="10.375" style="1"/>
    <col min="2828" max="2828" width="11.625" style="1" bestFit="1" customWidth="1"/>
    <col min="2829" max="2831" width="10.375" style="1"/>
    <col min="2832" max="2832" width="12.875" style="1" customWidth="1"/>
    <col min="2833" max="2833" width="10.375" style="1"/>
    <col min="2834" max="2834" width="13" style="1" customWidth="1"/>
    <col min="2835" max="3073" width="10.375" style="1"/>
    <col min="3074" max="3074" width="33.25" style="1" customWidth="1"/>
    <col min="3075" max="3079" width="10.375" style="1"/>
    <col min="3080" max="3080" width="13.625" style="1" customWidth="1"/>
    <col min="3081" max="3081" width="10.375" style="1"/>
    <col min="3082" max="3082" width="14.375" style="1" customWidth="1"/>
    <col min="3083" max="3083" width="10.375" style="1"/>
    <col min="3084" max="3084" width="11.625" style="1" bestFit="1" customWidth="1"/>
    <col min="3085" max="3087" width="10.375" style="1"/>
    <col min="3088" max="3088" width="12.875" style="1" customWidth="1"/>
    <col min="3089" max="3089" width="10.375" style="1"/>
    <col min="3090" max="3090" width="13" style="1" customWidth="1"/>
    <col min="3091" max="3329" width="10.375" style="1"/>
    <col min="3330" max="3330" width="33.25" style="1" customWidth="1"/>
    <col min="3331" max="3335" width="10.375" style="1"/>
    <col min="3336" max="3336" width="13.625" style="1" customWidth="1"/>
    <col min="3337" max="3337" width="10.375" style="1"/>
    <col min="3338" max="3338" width="14.375" style="1" customWidth="1"/>
    <col min="3339" max="3339" width="10.375" style="1"/>
    <col min="3340" max="3340" width="11.625" style="1" bestFit="1" customWidth="1"/>
    <col min="3341" max="3343" width="10.375" style="1"/>
    <col min="3344" max="3344" width="12.875" style="1" customWidth="1"/>
    <col min="3345" max="3345" width="10.375" style="1"/>
    <col min="3346" max="3346" width="13" style="1" customWidth="1"/>
    <col min="3347" max="3585" width="10.375" style="1"/>
    <col min="3586" max="3586" width="33.25" style="1" customWidth="1"/>
    <col min="3587" max="3591" width="10.375" style="1"/>
    <col min="3592" max="3592" width="13.625" style="1" customWidth="1"/>
    <col min="3593" max="3593" width="10.375" style="1"/>
    <col min="3594" max="3594" width="14.375" style="1" customWidth="1"/>
    <col min="3595" max="3595" width="10.375" style="1"/>
    <col min="3596" max="3596" width="11.625" style="1" bestFit="1" customWidth="1"/>
    <col min="3597" max="3599" width="10.375" style="1"/>
    <col min="3600" max="3600" width="12.875" style="1" customWidth="1"/>
    <col min="3601" max="3601" width="10.375" style="1"/>
    <col min="3602" max="3602" width="13" style="1" customWidth="1"/>
    <col min="3603" max="3841" width="10.375" style="1"/>
    <col min="3842" max="3842" width="33.25" style="1" customWidth="1"/>
    <col min="3843" max="3847" width="10.375" style="1"/>
    <col min="3848" max="3848" width="13.625" style="1" customWidth="1"/>
    <col min="3849" max="3849" width="10.375" style="1"/>
    <col min="3850" max="3850" width="14.375" style="1" customWidth="1"/>
    <col min="3851" max="3851" width="10.375" style="1"/>
    <col min="3852" max="3852" width="11.625" style="1" bestFit="1" customWidth="1"/>
    <col min="3853" max="3855" width="10.375" style="1"/>
    <col min="3856" max="3856" width="12.875" style="1" customWidth="1"/>
    <col min="3857" max="3857" width="10.375" style="1"/>
    <col min="3858" max="3858" width="13" style="1" customWidth="1"/>
    <col min="3859" max="4097" width="10.375" style="1"/>
    <col min="4098" max="4098" width="33.25" style="1" customWidth="1"/>
    <col min="4099" max="4103" width="10.375" style="1"/>
    <col min="4104" max="4104" width="13.625" style="1" customWidth="1"/>
    <col min="4105" max="4105" width="10.375" style="1"/>
    <col min="4106" max="4106" width="14.375" style="1" customWidth="1"/>
    <col min="4107" max="4107" width="10.375" style="1"/>
    <col min="4108" max="4108" width="11.625" style="1" bestFit="1" customWidth="1"/>
    <col min="4109" max="4111" width="10.375" style="1"/>
    <col min="4112" max="4112" width="12.875" style="1" customWidth="1"/>
    <col min="4113" max="4113" width="10.375" style="1"/>
    <col min="4114" max="4114" width="13" style="1" customWidth="1"/>
    <col min="4115" max="4353" width="10.375" style="1"/>
    <col min="4354" max="4354" width="33.25" style="1" customWidth="1"/>
    <col min="4355" max="4359" width="10.375" style="1"/>
    <col min="4360" max="4360" width="13.625" style="1" customWidth="1"/>
    <col min="4361" max="4361" width="10.375" style="1"/>
    <col min="4362" max="4362" width="14.375" style="1" customWidth="1"/>
    <col min="4363" max="4363" width="10.375" style="1"/>
    <col min="4364" max="4364" width="11.625" style="1" bestFit="1" customWidth="1"/>
    <col min="4365" max="4367" width="10.375" style="1"/>
    <col min="4368" max="4368" width="12.875" style="1" customWidth="1"/>
    <col min="4369" max="4369" width="10.375" style="1"/>
    <col min="4370" max="4370" width="13" style="1" customWidth="1"/>
    <col min="4371" max="4609" width="10.375" style="1"/>
    <col min="4610" max="4610" width="33.25" style="1" customWidth="1"/>
    <col min="4611" max="4615" width="10.375" style="1"/>
    <col min="4616" max="4616" width="13.625" style="1" customWidth="1"/>
    <col min="4617" max="4617" width="10.375" style="1"/>
    <col min="4618" max="4618" width="14.375" style="1" customWidth="1"/>
    <col min="4619" max="4619" width="10.375" style="1"/>
    <col min="4620" max="4620" width="11.625" style="1" bestFit="1" customWidth="1"/>
    <col min="4621" max="4623" width="10.375" style="1"/>
    <col min="4624" max="4624" width="12.875" style="1" customWidth="1"/>
    <col min="4625" max="4625" width="10.375" style="1"/>
    <col min="4626" max="4626" width="13" style="1" customWidth="1"/>
    <col min="4627" max="4865" width="10.375" style="1"/>
    <col min="4866" max="4866" width="33.25" style="1" customWidth="1"/>
    <col min="4867" max="4871" width="10.375" style="1"/>
    <col min="4872" max="4872" width="13.625" style="1" customWidth="1"/>
    <col min="4873" max="4873" width="10.375" style="1"/>
    <col min="4874" max="4874" width="14.375" style="1" customWidth="1"/>
    <col min="4875" max="4875" width="10.375" style="1"/>
    <col min="4876" max="4876" width="11.625" style="1" bestFit="1" customWidth="1"/>
    <col min="4877" max="4879" width="10.375" style="1"/>
    <col min="4880" max="4880" width="12.875" style="1" customWidth="1"/>
    <col min="4881" max="4881" width="10.375" style="1"/>
    <col min="4882" max="4882" width="13" style="1" customWidth="1"/>
    <col min="4883" max="5121" width="10.375" style="1"/>
    <col min="5122" max="5122" width="33.25" style="1" customWidth="1"/>
    <col min="5123" max="5127" width="10.375" style="1"/>
    <col min="5128" max="5128" width="13.625" style="1" customWidth="1"/>
    <col min="5129" max="5129" width="10.375" style="1"/>
    <col min="5130" max="5130" width="14.375" style="1" customWidth="1"/>
    <col min="5131" max="5131" width="10.375" style="1"/>
    <col min="5132" max="5132" width="11.625" style="1" bestFit="1" customWidth="1"/>
    <col min="5133" max="5135" width="10.375" style="1"/>
    <col min="5136" max="5136" width="12.875" style="1" customWidth="1"/>
    <col min="5137" max="5137" width="10.375" style="1"/>
    <col min="5138" max="5138" width="13" style="1" customWidth="1"/>
    <col min="5139" max="5377" width="10.375" style="1"/>
    <col min="5378" max="5378" width="33.25" style="1" customWidth="1"/>
    <col min="5379" max="5383" width="10.375" style="1"/>
    <col min="5384" max="5384" width="13.625" style="1" customWidth="1"/>
    <col min="5385" max="5385" width="10.375" style="1"/>
    <col min="5386" max="5386" width="14.375" style="1" customWidth="1"/>
    <col min="5387" max="5387" width="10.375" style="1"/>
    <col min="5388" max="5388" width="11.625" style="1" bestFit="1" customWidth="1"/>
    <col min="5389" max="5391" width="10.375" style="1"/>
    <col min="5392" max="5392" width="12.875" style="1" customWidth="1"/>
    <col min="5393" max="5393" width="10.375" style="1"/>
    <col min="5394" max="5394" width="13" style="1" customWidth="1"/>
    <col min="5395" max="5633" width="10.375" style="1"/>
    <col min="5634" max="5634" width="33.25" style="1" customWidth="1"/>
    <col min="5635" max="5639" width="10.375" style="1"/>
    <col min="5640" max="5640" width="13.625" style="1" customWidth="1"/>
    <col min="5641" max="5641" width="10.375" style="1"/>
    <col min="5642" max="5642" width="14.375" style="1" customWidth="1"/>
    <col min="5643" max="5643" width="10.375" style="1"/>
    <col min="5644" max="5644" width="11.625" style="1" bestFit="1" customWidth="1"/>
    <col min="5645" max="5647" width="10.375" style="1"/>
    <col min="5648" max="5648" width="12.875" style="1" customWidth="1"/>
    <col min="5649" max="5649" width="10.375" style="1"/>
    <col min="5650" max="5650" width="13" style="1" customWidth="1"/>
    <col min="5651" max="5889" width="10.375" style="1"/>
    <col min="5890" max="5890" width="33.25" style="1" customWidth="1"/>
    <col min="5891" max="5895" width="10.375" style="1"/>
    <col min="5896" max="5896" width="13.625" style="1" customWidth="1"/>
    <col min="5897" max="5897" width="10.375" style="1"/>
    <col min="5898" max="5898" width="14.375" style="1" customWidth="1"/>
    <col min="5899" max="5899" width="10.375" style="1"/>
    <col min="5900" max="5900" width="11.625" style="1" bestFit="1" customWidth="1"/>
    <col min="5901" max="5903" width="10.375" style="1"/>
    <col min="5904" max="5904" width="12.875" style="1" customWidth="1"/>
    <col min="5905" max="5905" width="10.375" style="1"/>
    <col min="5906" max="5906" width="13" style="1" customWidth="1"/>
    <col min="5907" max="6145" width="10.375" style="1"/>
    <col min="6146" max="6146" width="33.25" style="1" customWidth="1"/>
    <col min="6147" max="6151" width="10.375" style="1"/>
    <col min="6152" max="6152" width="13.625" style="1" customWidth="1"/>
    <col min="6153" max="6153" width="10.375" style="1"/>
    <col min="6154" max="6154" width="14.375" style="1" customWidth="1"/>
    <col min="6155" max="6155" width="10.375" style="1"/>
    <col min="6156" max="6156" width="11.625" style="1" bestFit="1" customWidth="1"/>
    <col min="6157" max="6159" width="10.375" style="1"/>
    <col min="6160" max="6160" width="12.875" style="1" customWidth="1"/>
    <col min="6161" max="6161" width="10.375" style="1"/>
    <col min="6162" max="6162" width="13" style="1" customWidth="1"/>
    <col min="6163" max="6401" width="10.375" style="1"/>
    <col min="6402" max="6402" width="33.25" style="1" customWidth="1"/>
    <col min="6403" max="6407" width="10.375" style="1"/>
    <col min="6408" max="6408" width="13.625" style="1" customWidth="1"/>
    <col min="6409" max="6409" width="10.375" style="1"/>
    <col min="6410" max="6410" width="14.375" style="1" customWidth="1"/>
    <col min="6411" max="6411" width="10.375" style="1"/>
    <col min="6412" max="6412" width="11.625" style="1" bestFit="1" customWidth="1"/>
    <col min="6413" max="6415" width="10.375" style="1"/>
    <col min="6416" max="6416" width="12.875" style="1" customWidth="1"/>
    <col min="6417" max="6417" width="10.375" style="1"/>
    <col min="6418" max="6418" width="13" style="1" customWidth="1"/>
    <col min="6419" max="6657" width="10.375" style="1"/>
    <col min="6658" max="6658" width="33.25" style="1" customWidth="1"/>
    <col min="6659" max="6663" width="10.375" style="1"/>
    <col min="6664" max="6664" width="13.625" style="1" customWidth="1"/>
    <col min="6665" max="6665" width="10.375" style="1"/>
    <col min="6666" max="6666" width="14.375" style="1" customWidth="1"/>
    <col min="6667" max="6667" width="10.375" style="1"/>
    <col min="6668" max="6668" width="11.625" style="1" bestFit="1" customWidth="1"/>
    <col min="6669" max="6671" width="10.375" style="1"/>
    <col min="6672" max="6672" width="12.875" style="1" customWidth="1"/>
    <col min="6673" max="6673" width="10.375" style="1"/>
    <col min="6674" max="6674" width="13" style="1" customWidth="1"/>
    <col min="6675" max="6913" width="10.375" style="1"/>
    <col min="6914" max="6914" width="33.25" style="1" customWidth="1"/>
    <col min="6915" max="6919" width="10.375" style="1"/>
    <col min="6920" max="6920" width="13.625" style="1" customWidth="1"/>
    <col min="6921" max="6921" width="10.375" style="1"/>
    <col min="6922" max="6922" width="14.375" style="1" customWidth="1"/>
    <col min="6923" max="6923" width="10.375" style="1"/>
    <col min="6924" max="6924" width="11.625" style="1" bestFit="1" customWidth="1"/>
    <col min="6925" max="6927" width="10.375" style="1"/>
    <col min="6928" max="6928" width="12.875" style="1" customWidth="1"/>
    <col min="6929" max="6929" width="10.375" style="1"/>
    <col min="6930" max="6930" width="13" style="1" customWidth="1"/>
    <col min="6931" max="7169" width="10.375" style="1"/>
    <col min="7170" max="7170" width="33.25" style="1" customWidth="1"/>
    <col min="7171" max="7175" width="10.375" style="1"/>
    <col min="7176" max="7176" width="13.625" style="1" customWidth="1"/>
    <col min="7177" max="7177" width="10.375" style="1"/>
    <col min="7178" max="7178" width="14.375" style="1" customWidth="1"/>
    <col min="7179" max="7179" width="10.375" style="1"/>
    <col min="7180" max="7180" width="11.625" style="1" bestFit="1" customWidth="1"/>
    <col min="7181" max="7183" width="10.375" style="1"/>
    <col min="7184" max="7184" width="12.875" style="1" customWidth="1"/>
    <col min="7185" max="7185" width="10.375" style="1"/>
    <col min="7186" max="7186" width="13" style="1" customWidth="1"/>
    <col min="7187" max="7425" width="10.375" style="1"/>
    <col min="7426" max="7426" width="33.25" style="1" customWidth="1"/>
    <col min="7427" max="7431" width="10.375" style="1"/>
    <col min="7432" max="7432" width="13.625" style="1" customWidth="1"/>
    <col min="7433" max="7433" width="10.375" style="1"/>
    <col min="7434" max="7434" width="14.375" style="1" customWidth="1"/>
    <col min="7435" max="7435" width="10.375" style="1"/>
    <col min="7436" max="7436" width="11.625" style="1" bestFit="1" customWidth="1"/>
    <col min="7437" max="7439" width="10.375" style="1"/>
    <col min="7440" max="7440" width="12.875" style="1" customWidth="1"/>
    <col min="7441" max="7441" width="10.375" style="1"/>
    <col min="7442" max="7442" width="13" style="1" customWidth="1"/>
    <col min="7443" max="7681" width="10.375" style="1"/>
    <col min="7682" max="7682" width="33.25" style="1" customWidth="1"/>
    <col min="7683" max="7687" width="10.375" style="1"/>
    <col min="7688" max="7688" width="13.625" style="1" customWidth="1"/>
    <col min="7689" max="7689" width="10.375" style="1"/>
    <col min="7690" max="7690" width="14.375" style="1" customWidth="1"/>
    <col min="7691" max="7691" width="10.375" style="1"/>
    <col min="7692" max="7692" width="11.625" style="1" bestFit="1" customWidth="1"/>
    <col min="7693" max="7695" width="10.375" style="1"/>
    <col min="7696" max="7696" width="12.875" style="1" customWidth="1"/>
    <col min="7697" max="7697" width="10.375" style="1"/>
    <col min="7698" max="7698" width="13" style="1" customWidth="1"/>
    <col min="7699" max="7937" width="10.375" style="1"/>
    <col min="7938" max="7938" width="33.25" style="1" customWidth="1"/>
    <col min="7939" max="7943" width="10.375" style="1"/>
    <col min="7944" max="7944" width="13.625" style="1" customWidth="1"/>
    <col min="7945" max="7945" width="10.375" style="1"/>
    <col min="7946" max="7946" width="14.375" style="1" customWidth="1"/>
    <col min="7947" max="7947" width="10.375" style="1"/>
    <col min="7948" max="7948" width="11.625" style="1" bestFit="1" customWidth="1"/>
    <col min="7949" max="7951" width="10.375" style="1"/>
    <col min="7952" max="7952" width="12.875" style="1" customWidth="1"/>
    <col min="7953" max="7953" width="10.375" style="1"/>
    <col min="7954" max="7954" width="13" style="1" customWidth="1"/>
    <col min="7955" max="8193" width="10.375" style="1"/>
    <col min="8194" max="8194" width="33.25" style="1" customWidth="1"/>
    <col min="8195" max="8199" width="10.375" style="1"/>
    <col min="8200" max="8200" width="13.625" style="1" customWidth="1"/>
    <col min="8201" max="8201" width="10.375" style="1"/>
    <col min="8202" max="8202" width="14.375" style="1" customWidth="1"/>
    <col min="8203" max="8203" width="10.375" style="1"/>
    <col min="8204" max="8204" width="11.625" style="1" bestFit="1" customWidth="1"/>
    <col min="8205" max="8207" width="10.375" style="1"/>
    <col min="8208" max="8208" width="12.875" style="1" customWidth="1"/>
    <col min="8209" max="8209" width="10.375" style="1"/>
    <col min="8210" max="8210" width="13" style="1" customWidth="1"/>
    <col min="8211" max="8449" width="10.375" style="1"/>
    <col min="8450" max="8450" width="33.25" style="1" customWidth="1"/>
    <col min="8451" max="8455" width="10.375" style="1"/>
    <col min="8456" max="8456" width="13.625" style="1" customWidth="1"/>
    <col min="8457" max="8457" width="10.375" style="1"/>
    <col min="8458" max="8458" width="14.375" style="1" customWidth="1"/>
    <col min="8459" max="8459" width="10.375" style="1"/>
    <col min="8460" max="8460" width="11.625" style="1" bestFit="1" customWidth="1"/>
    <col min="8461" max="8463" width="10.375" style="1"/>
    <col min="8464" max="8464" width="12.875" style="1" customWidth="1"/>
    <col min="8465" max="8465" width="10.375" style="1"/>
    <col min="8466" max="8466" width="13" style="1" customWidth="1"/>
    <col min="8467" max="8705" width="10.375" style="1"/>
    <col min="8706" max="8706" width="33.25" style="1" customWidth="1"/>
    <col min="8707" max="8711" width="10.375" style="1"/>
    <col min="8712" max="8712" width="13.625" style="1" customWidth="1"/>
    <col min="8713" max="8713" width="10.375" style="1"/>
    <col min="8714" max="8714" width="14.375" style="1" customWidth="1"/>
    <col min="8715" max="8715" width="10.375" style="1"/>
    <col min="8716" max="8716" width="11.625" style="1" bestFit="1" customWidth="1"/>
    <col min="8717" max="8719" width="10.375" style="1"/>
    <col min="8720" max="8720" width="12.875" style="1" customWidth="1"/>
    <col min="8721" max="8721" width="10.375" style="1"/>
    <col min="8722" max="8722" width="13" style="1" customWidth="1"/>
    <col min="8723" max="8961" width="10.375" style="1"/>
    <col min="8962" max="8962" width="33.25" style="1" customWidth="1"/>
    <col min="8963" max="8967" width="10.375" style="1"/>
    <col min="8968" max="8968" width="13.625" style="1" customWidth="1"/>
    <col min="8969" max="8969" width="10.375" style="1"/>
    <col min="8970" max="8970" width="14.375" style="1" customWidth="1"/>
    <col min="8971" max="8971" width="10.375" style="1"/>
    <col min="8972" max="8972" width="11.625" style="1" bestFit="1" customWidth="1"/>
    <col min="8973" max="8975" width="10.375" style="1"/>
    <col min="8976" max="8976" width="12.875" style="1" customWidth="1"/>
    <col min="8977" max="8977" width="10.375" style="1"/>
    <col min="8978" max="8978" width="13" style="1" customWidth="1"/>
    <col min="8979" max="9217" width="10.375" style="1"/>
    <col min="9218" max="9218" width="33.25" style="1" customWidth="1"/>
    <col min="9219" max="9223" width="10.375" style="1"/>
    <col min="9224" max="9224" width="13.625" style="1" customWidth="1"/>
    <col min="9225" max="9225" width="10.375" style="1"/>
    <col min="9226" max="9226" width="14.375" style="1" customWidth="1"/>
    <col min="9227" max="9227" width="10.375" style="1"/>
    <col min="9228" max="9228" width="11.625" style="1" bestFit="1" customWidth="1"/>
    <col min="9229" max="9231" width="10.375" style="1"/>
    <col min="9232" max="9232" width="12.875" style="1" customWidth="1"/>
    <col min="9233" max="9233" width="10.375" style="1"/>
    <col min="9234" max="9234" width="13" style="1" customWidth="1"/>
    <col min="9235" max="9473" width="10.375" style="1"/>
    <col min="9474" max="9474" width="33.25" style="1" customWidth="1"/>
    <col min="9475" max="9479" width="10.375" style="1"/>
    <col min="9480" max="9480" width="13.625" style="1" customWidth="1"/>
    <col min="9481" max="9481" width="10.375" style="1"/>
    <col min="9482" max="9482" width="14.375" style="1" customWidth="1"/>
    <col min="9483" max="9483" width="10.375" style="1"/>
    <col min="9484" max="9484" width="11.625" style="1" bestFit="1" customWidth="1"/>
    <col min="9485" max="9487" width="10.375" style="1"/>
    <col min="9488" max="9488" width="12.875" style="1" customWidth="1"/>
    <col min="9489" max="9489" width="10.375" style="1"/>
    <col min="9490" max="9490" width="13" style="1" customWidth="1"/>
    <col min="9491" max="9729" width="10.375" style="1"/>
    <col min="9730" max="9730" width="33.25" style="1" customWidth="1"/>
    <col min="9731" max="9735" width="10.375" style="1"/>
    <col min="9736" max="9736" width="13.625" style="1" customWidth="1"/>
    <col min="9737" max="9737" width="10.375" style="1"/>
    <col min="9738" max="9738" width="14.375" style="1" customWidth="1"/>
    <col min="9739" max="9739" width="10.375" style="1"/>
    <col min="9740" max="9740" width="11.625" style="1" bestFit="1" customWidth="1"/>
    <col min="9741" max="9743" width="10.375" style="1"/>
    <col min="9744" max="9744" width="12.875" style="1" customWidth="1"/>
    <col min="9745" max="9745" width="10.375" style="1"/>
    <col min="9746" max="9746" width="13" style="1" customWidth="1"/>
    <col min="9747" max="9985" width="10.375" style="1"/>
    <col min="9986" max="9986" width="33.25" style="1" customWidth="1"/>
    <col min="9987" max="9991" width="10.375" style="1"/>
    <col min="9992" max="9992" width="13.625" style="1" customWidth="1"/>
    <col min="9993" max="9993" width="10.375" style="1"/>
    <col min="9994" max="9994" width="14.375" style="1" customWidth="1"/>
    <col min="9995" max="9995" width="10.375" style="1"/>
    <col min="9996" max="9996" width="11.625" style="1" bestFit="1" customWidth="1"/>
    <col min="9997" max="9999" width="10.375" style="1"/>
    <col min="10000" max="10000" width="12.875" style="1" customWidth="1"/>
    <col min="10001" max="10001" width="10.375" style="1"/>
    <col min="10002" max="10002" width="13" style="1" customWidth="1"/>
    <col min="10003" max="10241" width="10.375" style="1"/>
    <col min="10242" max="10242" width="33.25" style="1" customWidth="1"/>
    <col min="10243" max="10247" width="10.375" style="1"/>
    <col min="10248" max="10248" width="13.625" style="1" customWidth="1"/>
    <col min="10249" max="10249" width="10.375" style="1"/>
    <col min="10250" max="10250" width="14.375" style="1" customWidth="1"/>
    <col min="10251" max="10251" width="10.375" style="1"/>
    <col min="10252" max="10252" width="11.625" style="1" bestFit="1" customWidth="1"/>
    <col min="10253" max="10255" width="10.375" style="1"/>
    <col min="10256" max="10256" width="12.875" style="1" customWidth="1"/>
    <col min="10257" max="10257" width="10.375" style="1"/>
    <col min="10258" max="10258" width="13" style="1" customWidth="1"/>
    <col min="10259" max="10497" width="10.375" style="1"/>
    <col min="10498" max="10498" width="33.25" style="1" customWidth="1"/>
    <col min="10499" max="10503" width="10.375" style="1"/>
    <col min="10504" max="10504" width="13.625" style="1" customWidth="1"/>
    <col min="10505" max="10505" width="10.375" style="1"/>
    <col min="10506" max="10506" width="14.375" style="1" customWidth="1"/>
    <col min="10507" max="10507" width="10.375" style="1"/>
    <col min="10508" max="10508" width="11.625" style="1" bestFit="1" customWidth="1"/>
    <col min="10509" max="10511" width="10.375" style="1"/>
    <col min="10512" max="10512" width="12.875" style="1" customWidth="1"/>
    <col min="10513" max="10513" width="10.375" style="1"/>
    <col min="10514" max="10514" width="13" style="1" customWidth="1"/>
    <col min="10515" max="10753" width="10.375" style="1"/>
    <col min="10754" max="10754" width="33.25" style="1" customWidth="1"/>
    <col min="10755" max="10759" width="10.375" style="1"/>
    <col min="10760" max="10760" width="13.625" style="1" customWidth="1"/>
    <col min="10761" max="10761" width="10.375" style="1"/>
    <col min="10762" max="10762" width="14.375" style="1" customWidth="1"/>
    <col min="10763" max="10763" width="10.375" style="1"/>
    <col min="10764" max="10764" width="11.625" style="1" bestFit="1" customWidth="1"/>
    <col min="10765" max="10767" width="10.375" style="1"/>
    <col min="10768" max="10768" width="12.875" style="1" customWidth="1"/>
    <col min="10769" max="10769" width="10.375" style="1"/>
    <col min="10770" max="10770" width="13" style="1" customWidth="1"/>
    <col min="10771" max="11009" width="10.375" style="1"/>
    <col min="11010" max="11010" width="33.25" style="1" customWidth="1"/>
    <col min="11011" max="11015" width="10.375" style="1"/>
    <col min="11016" max="11016" width="13.625" style="1" customWidth="1"/>
    <col min="11017" max="11017" width="10.375" style="1"/>
    <col min="11018" max="11018" width="14.375" style="1" customWidth="1"/>
    <col min="11019" max="11019" width="10.375" style="1"/>
    <col min="11020" max="11020" width="11.625" style="1" bestFit="1" customWidth="1"/>
    <col min="11021" max="11023" width="10.375" style="1"/>
    <col min="11024" max="11024" width="12.875" style="1" customWidth="1"/>
    <col min="11025" max="11025" width="10.375" style="1"/>
    <col min="11026" max="11026" width="13" style="1" customWidth="1"/>
    <col min="11027" max="11265" width="10.375" style="1"/>
    <col min="11266" max="11266" width="33.25" style="1" customWidth="1"/>
    <col min="11267" max="11271" width="10.375" style="1"/>
    <col min="11272" max="11272" width="13.625" style="1" customWidth="1"/>
    <col min="11273" max="11273" width="10.375" style="1"/>
    <col min="11274" max="11274" width="14.375" style="1" customWidth="1"/>
    <col min="11275" max="11275" width="10.375" style="1"/>
    <col min="11276" max="11276" width="11.625" style="1" bestFit="1" customWidth="1"/>
    <col min="11277" max="11279" width="10.375" style="1"/>
    <col min="11280" max="11280" width="12.875" style="1" customWidth="1"/>
    <col min="11281" max="11281" width="10.375" style="1"/>
    <col min="11282" max="11282" width="13" style="1" customWidth="1"/>
    <col min="11283" max="11521" width="10.375" style="1"/>
    <col min="11522" max="11522" width="33.25" style="1" customWidth="1"/>
    <col min="11523" max="11527" width="10.375" style="1"/>
    <col min="11528" max="11528" width="13.625" style="1" customWidth="1"/>
    <col min="11529" max="11529" width="10.375" style="1"/>
    <col min="11530" max="11530" width="14.375" style="1" customWidth="1"/>
    <col min="11531" max="11531" width="10.375" style="1"/>
    <col min="11532" max="11532" width="11.625" style="1" bestFit="1" customWidth="1"/>
    <col min="11533" max="11535" width="10.375" style="1"/>
    <col min="11536" max="11536" width="12.875" style="1" customWidth="1"/>
    <col min="11537" max="11537" width="10.375" style="1"/>
    <col min="11538" max="11538" width="13" style="1" customWidth="1"/>
    <col min="11539" max="11777" width="10.375" style="1"/>
    <col min="11778" max="11778" width="33.25" style="1" customWidth="1"/>
    <col min="11779" max="11783" width="10.375" style="1"/>
    <col min="11784" max="11784" width="13.625" style="1" customWidth="1"/>
    <col min="11785" max="11785" width="10.375" style="1"/>
    <col min="11786" max="11786" width="14.375" style="1" customWidth="1"/>
    <col min="11787" max="11787" width="10.375" style="1"/>
    <col min="11788" max="11788" width="11.625" style="1" bestFit="1" customWidth="1"/>
    <col min="11789" max="11791" width="10.375" style="1"/>
    <col min="11792" max="11792" width="12.875" style="1" customWidth="1"/>
    <col min="11793" max="11793" width="10.375" style="1"/>
    <col min="11794" max="11794" width="13" style="1" customWidth="1"/>
    <col min="11795" max="12033" width="10.375" style="1"/>
    <col min="12034" max="12034" width="33.25" style="1" customWidth="1"/>
    <col min="12035" max="12039" width="10.375" style="1"/>
    <col min="12040" max="12040" width="13.625" style="1" customWidth="1"/>
    <col min="12041" max="12041" width="10.375" style="1"/>
    <col min="12042" max="12042" width="14.375" style="1" customWidth="1"/>
    <col min="12043" max="12043" width="10.375" style="1"/>
    <col min="12044" max="12044" width="11.625" style="1" bestFit="1" customWidth="1"/>
    <col min="12045" max="12047" width="10.375" style="1"/>
    <col min="12048" max="12048" width="12.875" style="1" customWidth="1"/>
    <col min="12049" max="12049" width="10.375" style="1"/>
    <col min="12050" max="12050" width="13" style="1" customWidth="1"/>
    <col min="12051" max="12289" width="10.375" style="1"/>
    <col min="12290" max="12290" width="33.25" style="1" customWidth="1"/>
    <col min="12291" max="12295" width="10.375" style="1"/>
    <col min="12296" max="12296" width="13.625" style="1" customWidth="1"/>
    <col min="12297" max="12297" width="10.375" style="1"/>
    <col min="12298" max="12298" width="14.375" style="1" customWidth="1"/>
    <col min="12299" max="12299" width="10.375" style="1"/>
    <col min="12300" max="12300" width="11.625" style="1" bestFit="1" customWidth="1"/>
    <col min="12301" max="12303" width="10.375" style="1"/>
    <col min="12304" max="12304" width="12.875" style="1" customWidth="1"/>
    <col min="12305" max="12305" width="10.375" style="1"/>
    <col min="12306" max="12306" width="13" style="1" customWidth="1"/>
    <col min="12307" max="12545" width="10.375" style="1"/>
    <col min="12546" max="12546" width="33.25" style="1" customWidth="1"/>
    <col min="12547" max="12551" width="10.375" style="1"/>
    <col min="12552" max="12552" width="13.625" style="1" customWidth="1"/>
    <col min="12553" max="12553" width="10.375" style="1"/>
    <col min="12554" max="12554" width="14.375" style="1" customWidth="1"/>
    <col min="12555" max="12555" width="10.375" style="1"/>
    <col min="12556" max="12556" width="11.625" style="1" bestFit="1" customWidth="1"/>
    <col min="12557" max="12559" width="10.375" style="1"/>
    <col min="12560" max="12560" width="12.875" style="1" customWidth="1"/>
    <col min="12561" max="12561" width="10.375" style="1"/>
    <col min="12562" max="12562" width="13" style="1" customWidth="1"/>
    <col min="12563" max="12801" width="10.375" style="1"/>
    <col min="12802" max="12802" width="33.25" style="1" customWidth="1"/>
    <col min="12803" max="12807" width="10.375" style="1"/>
    <col min="12808" max="12808" width="13.625" style="1" customWidth="1"/>
    <col min="12809" max="12809" width="10.375" style="1"/>
    <col min="12810" max="12810" width="14.375" style="1" customWidth="1"/>
    <col min="12811" max="12811" width="10.375" style="1"/>
    <col min="12812" max="12812" width="11.625" style="1" bestFit="1" customWidth="1"/>
    <col min="12813" max="12815" width="10.375" style="1"/>
    <col min="12816" max="12816" width="12.875" style="1" customWidth="1"/>
    <col min="12817" max="12817" width="10.375" style="1"/>
    <col min="12818" max="12818" width="13" style="1" customWidth="1"/>
    <col min="12819" max="13057" width="10.375" style="1"/>
    <col min="13058" max="13058" width="33.25" style="1" customWidth="1"/>
    <col min="13059" max="13063" width="10.375" style="1"/>
    <col min="13064" max="13064" width="13.625" style="1" customWidth="1"/>
    <col min="13065" max="13065" width="10.375" style="1"/>
    <col min="13066" max="13066" width="14.375" style="1" customWidth="1"/>
    <col min="13067" max="13067" width="10.375" style="1"/>
    <col min="13068" max="13068" width="11.625" style="1" bestFit="1" customWidth="1"/>
    <col min="13069" max="13071" width="10.375" style="1"/>
    <col min="13072" max="13072" width="12.875" style="1" customWidth="1"/>
    <col min="13073" max="13073" width="10.375" style="1"/>
    <col min="13074" max="13074" width="13" style="1" customWidth="1"/>
    <col min="13075" max="13313" width="10.375" style="1"/>
    <col min="13314" max="13314" width="33.25" style="1" customWidth="1"/>
    <col min="13315" max="13319" width="10.375" style="1"/>
    <col min="13320" max="13320" width="13.625" style="1" customWidth="1"/>
    <col min="13321" max="13321" width="10.375" style="1"/>
    <col min="13322" max="13322" width="14.375" style="1" customWidth="1"/>
    <col min="13323" max="13323" width="10.375" style="1"/>
    <col min="13324" max="13324" width="11.625" style="1" bestFit="1" customWidth="1"/>
    <col min="13325" max="13327" width="10.375" style="1"/>
    <col min="13328" max="13328" width="12.875" style="1" customWidth="1"/>
    <col min="13329" max="13329" width="10.375" style="1"/>
    <col min="13330" max="13330" width="13" style="1" customWidth="1"/>
    <col min="13331" max="13569" width="10.375" style="1"/>
    <col min="13570" max="13570" width="33.25" style="1" customWidth="1"/>
    <col min="13571" max="13575" width="10.375" style="1"/>
    <col min="13576" max="13576" width="13.625" style="1" customWidth="1"/>
    <col min="13577" max="13577" width="10.375" style="1"/>
    <col min="13578" max="13578" width="14.375" style="1" customWidth="1"/>
    <col min="13579" max="13579" width="10.375" style="1"/>
    <col min="13580" max="13580" width="11.625" style="1" bestFit="1" customWidth="1"/>
    <col min="13581" max="13583" width="10.375" style="1"/>
    <col min="13584" max="13584" width="12.875" style="1" customWidth="1"/>
    <col min="13585" max="13585" width="10.375" style="1"/>
    <col min="13586" max="13586" width="13" style="1" customWidth="1"/>
    <col min="13587" max="13825" width="10.375" style="1"/>
    <col min="13826" max="13826" width="33.25" style="1" customWidth="1"/>
    <col min="13827" max="13831" width="10.375" style="1"/>
    <col min="13832" max="13832" width="13.625" style="1" customWidth="1"/>
    <col min="13833" max="13833" width="10.375" style="1"/>
    <col min="13834" max="13834" width="14.375" style="1" customWidth="1"/>
    <col min="13835" max="13835" width="10.375" style="1"/>
    <col min="13836" max="13836" width="11.625" style="1" bestFit="1" customWidth="1"/>
    <col min="13837" max="13839" width="10.375" style="1"/>
    <col min="13840" max="13840" width="12.875" style="1" customWidth="1"/>
    <col min="13841" max="13841" width="10.375" style="1"/>
    <col min="13842" max="13842" width="13" style="1" customWidth="1"/>
    <col min="13843" max="14081" width="10.375" style="1"/>
    <col min="14082" max="14082" width="33.25" style="1" customWidth="1"/>
    <col min="14083" max="14087" width="10.375" style="1"/>
    <col min="14088" max="14088" width="13.625" style="1" customWidth="1"/>
    <col min="14089" max="14089" width="10.375" style="1"/>
    <col min="14090" max="14090" width="14.375" style="1" customWidth="1"/>
    <col min="14091" max="14091" width="10.375" style="1"/>
    <col min="14092" max="14092" width="11.625" style="1" bestFit="1" customWidth="1"/>
    <col min="14093" max="14095" width="10.375" style="1"/>
    <col min="14096" max="14096" width="12.875" style="1" customWidth="1"/>
    <col min="14097" max="14097" width="10.375" style="1"/>
    <col min="14098" max="14098" width="13" style="1" customWidth="1"/>
    <col min="14099" max="14337" width="10.375" style="1"/>
    <col min="14338" max="14338" width="33.25" style="1" customWidth="1"/>
    <col min="14339" max="14343" width="10.375" style="1"/>
    <col min="14344" max="14344" width="13.625" style="1" customWidth="1"/>
    <col min="14345" max="14345" width="10.375" style="1"/>
    <col min="14346" max="14346" width="14.375" style="1" customWidth="1"/>
    <col min="14347" max="14347" width="10.375" style="1"/>
    <col min="14348" max="14348" width="11.625" style="1" bestFit="1" customWidth="1"/>
    <col min="14349" max="14351" width="10.375" style="1"/>
    <col min="14352" max="14352" width="12.875" style="1" customWidth="1"/>
    <col min="14353" max="14353" width="10.375" style="1"/>
    <col min="14354" max="14354" width="13" style="1" customWidth="1"/>
    <col min="14355" max="14593" width="10.375" style="1"/>
    <col min="14594" max="14594" width="33.25" style="1" customWidth="1"/>
    <col min="14595" max="14599" width="10.375" style="1"/>
    <col min="14600" max="14600" width="13.625" style="1" customWidth="1"/>
    <col min="14601" max="14601" width="10.375" style="1"/>
    <col min="14602" max="14602" width="14.375" style="1" customWidth="1"/>
    <col min="14603" max="14603" width="10.375" style="1"/>
    <col min="14604" max="14604" width="11.625" style="1" bestFit="1" customWidth="1"/>
    <col min="14605" max="14607" width="10.375" style="1"/>
    <col min="14608" max="14608" width="12.875" style="1" customWidth="1"/>
    <col min="14609" max="14609" width="10.375" style="1"/>
    <col min="14610" max="14610" width="13" style="1" customWidth="1"/>
    <col min="14611" max="14849" width="10.375" style="1"/>
    <col min="14850" max="14850" width="33.25" style="1" customWidth="1"/>
    <col min="14851" max="14855" width="10.375" style="1"/>
    <col min="14856" max="14856" width="13.625" style="1" customWidth="1"/>
    <col min="14857" max="14857" width="10.375" style="1"/>
    <col min="14858" max="14858" width="14.375" style="1" customWidth="1"/>
    <col min="14859" max="14859" width="10.375" style="1"/>
    <col min="14860" max="14860" width="11.625" style="1" bestFit="1" customWidth="1"/>
    <col min="14861" max="14863" width="10.375" style="1"/>
    <col min="14864" max="14864" width="12.875" style="1" customWidth="1"/>
    <col min="14865" max="14865" width="10.375" style="1"/>
    <col min="14866" max="14866" width="13" style="1" customWidth="1"/>
    <col min="14867" max="15105" width="10.375" style="1"/>
    <col min="15106" max="15106" width="33.25" style="1" customWidth="1"/>
    <col min="15107" max="15111" width="10.375" style="1"/>
    <col min="15112" max="15112" width="13.625" style="1" customWidth="1"/>
    <col min="15113" max="15113" width="10.375" style="1"/>
    <col min="15114" max="15114" width="14.375" style="1" customWidth="1"/>
    <col min="15115" max="15115" width="10.375" style="1"/>
    <col min="15116" max="15116" width="11.625" style="1" bestFit="1" customWidth="1"/>
    <col min="15117" max="15119" width="10.375" style="1"/>
    <col min="15120" max="15120" width="12.875" style="1" customWidth="1"/>
    <col min="15121" max="15121" width="10.375" style="1"/>
    <col min="15122" max="15122" width="13" style="1" customWidth="1"/>
    <col min="15123" max="15361" width="10.375" style="1"/>
    <col min="15362" max="15362" width="33.25" style="1" customWidth="1"/>
    <col min="15363" max="15367" width="10.375" style="1"/>
    <col min="15368" max="15368" width="13.625" style="1" customWidth="1"/>
    <col min="15369" max="15369" width="10.375" style="1"/>
    <col min="15370" max="15370" width="14.375" style="1" customWidth="1"/>
    <col min="15371" max="15371" width="10.375" style="1"/>
    <col min="15372" max="15372" width="11.625" style="1" bestFit="1" customWidth="1"/>
    <col min="15373" max="15375" width="10.375" style="1"/>
    <col min="15376" max="15376" width="12.875" style="1" customWidth="1"/>
    <col min="15377" max="15377" width="10.375" style="1"/>
    <col min="15378" max="15378" width="13" style="1" customWidth="1"/>
    <col min="15379" max="15617" width="10.375" style="1"/>
    <col min="15618" max="15618" width="33.25" style="1" customWidth="1"/>
    <col min="15619" max="15623" width="10.375" style="1"/>
    <col min="15624" max="15624" width="13.625" style="1" customWidth="1"/>
    <col min="15625" max="15625" width="10.375" style="1"/>
    <col min="15626" max="15626" width="14.375" style="1" customWidth="1"/>
    <col min="15627" max="15627" width="10.375" style="1"/>
    <col min="15628" max="15628" width="11.625" style="1" bestFit="1" customWidth="1"/>
    <col min="15629" max="15631" width="10.375" style="1"/>
    <col min="15632" max="15632" width="12.875" style="1" customWidth="1"/>
    <col min="15633" max="15633" width="10.375" style="1"/>
    <col min="15634" max="15634" width="13" style="1" customWidth="1"/>
    <col min="15635" max="15873" width="10.375" style="1"/>
    <col min="15874" max="15874" width="33.25" style="1" customWidth="1"/>
    <col min="15875" max="15879" width="10.375" style="1"/>
    <col min="15880" max="15880" width="13.625" style="1" customWidth="1"/>
    <col min="15881" max="15881" width="10.375" style="1"/>
    <col min="15882" max="15882" width="14.375" style="1" customWidth="1"/>
    <col min="15883" max="15883" width="10.375" style="1"/>
    <col min="15884" max="15884" width="11.625" style="1" bestFit="1" customWidth="1"/>
    <col min="15885" max="15887" width="10.375" style="1"/>
    <col min="15888" max="15888" width="12.875" style="1" customWidth="1"/>
    <col min="15889" max="15889" width="10.375" style="1"/>
    <col min="15890" max="15890" width="13" style="1" customWidth="1"/>
    <col min="15891" max="16129" width="10.375" style="1"/>
    <col min="16130" max="16130" width="33.25" style="1" customWidth="1"/>
    <col min="16131" max="16135" width="10.375" style="1"/>
    <col min="16136" max="16136" width="13.625" style="1" customWidth="1"/>
    <col min="16137" max="16137" width="10.375" style="1"/>
    <col min="16138" max="16138" width="14.375" style="1" customWidth="1"/>
    <col min="16139" max="16139" width="10.375" style="1"/>
    <col min="16140" max="16140" width="11.625" style="1" bestFit="1" customWidth="1"/>
    <col min="16141" max="16143" width="10.375" style="1"/>
    <col min="16144" max="16144" width="12.875" style="1" customWidth="1"/>
    <col min="16145" max="16145" width="10.375" style="1"/>
    <col min="16146" max="16146" width="13" style="1" customWidth="1"/>
    <col min="16147" max="16384" width="10.375" style="1"/>
  </cols>
  <sheetData>
    <row r="1" spans="1:18" ht="18.600000000000001">
      <c r="A1" s="175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</row>
    <row r="2" spans="1:18" ht="18.600000000000001">
      <c r="A2" s="176" t="s">
        <v>1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</row>
    <row r="3" spans="1:18" ht="18.600000000000001">
      <c r="A3" s="177" t="s">
        <v>56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</row>
    <row r="4" spans="1:18" ht="18.600000000000001">
      <c r="A4" s="178" t="s">
        <v>3</v>
      </c>
      <c r="B4" s="173" t="s">
        <v>4</v>
      </c>
      <c r="C4" s="173" t="s">
        <v>5</v>
      </c>
      <c r="D4" s="211" t="s">
        <v>6</v>
      </c>
      <c r="E4" s="182" t="s">
        <v>7</v>
      </c>
      <c r="F4" s="183"/>
      <c r="G4" s="183"/>
      <c r="H4" s="183"/>
      <c r="I4" s="183"/>
      <c r="J4" s="184"/>
      <c r="K4" s="214" t="s">
        <v>8</v>
      </c>
      <c r="L4" s="215"/>
      <c r="M4" s="216"/>
      <c r="N4" s="182" t="s">
        <v>9</v>
      </c>
      <c r="O4" s="183"/>
      <c r="P4" s="183"/>
      <c r="Q4" s="183"/>
      <c r="R4" s="184"/>
    </row>
    <row r="5" spans="1:18" ht="18.600000000000001">
      <c r="A5" s="179"/>
      <c r="B5" s="181"/>
      <c r="C5" s="181"/>
      <c r="D5" s="212"/>
      <c r="E5" s="178" t="s">
        <v>10</v>
      </c>
      <c r="F5" s="187" t="s">
        <v>11</v>
      </c>
      <c r="G5" s="187" t="s">
        <v>12</v>
      </c>
      <c r="H5" s="182" t="s">
        <v>13</v>
      </c>
      <c r="I5" s="183"/>
      <c r="J5" s="184"/>
      <c r="K5" s="207" t="s">
        <v>14</v>
      </c>
      <c r="L5" s="209" t="s">
        <v>15</v>
      </c>
      <c r="M5" s="205" t="s">
        <v>16</v>
      </c>
      <c r="N5" s="185" t="s">
        <v>10</v>
      </c>
      <c r="O5" s="187" t="s">
        <v>12</v>
      </c>
      <c r="P5" s="182" t="s">
        <v>13</v>
      </c>
      <c r="Q5" s="183"/>
      <c r="R5" s="184"/>
    </row>
    <row r="6" spans="1:18" ht="16.8">
      <c r="A6" s="180"/>
      <c r="B6" s="174"/>
      <c r="C6" s="174"/>
      <c r="D6" s="213"/>
      <c r="E6" s="180"/>
      <c r="F6" s="188"/>
      <c r="G6" s="188"/>
      <c r="H6" s="5" t="s">
        <v>17</v>
      </c>
      <c r="I6" s="6" t="s">
        <v>18</v>
      </c>
      <c r="J6" s="7" t="s">
        <v>19</v>
      </c>
      <c r="K6" s="208"/>
      <c r="L6" s="210"/>
      <c r="M6" s="206"/>
      <c r="N6" s="186"/>
      <c r="O6" s="188"/>
      <c r="P6" s="5" t="s">
        <v>17</v>
      </c>
      <c r="Q6" s="6" t="s">
        <v>18</v>
      </c>
      <c r="R6" s="7" t="s">
        <v>19</v>
      </c>
    </row>
    <row r="7" spans="1:18" ht="18.600000000000001">
      <c r="A7" s="8"/>
      <c r="B7" s="9" t="s">
        <v>20</v>
      </c>
      <c r="C7" s="10"/>
      <c r="D7" s="11"/>
      <c r="E7" s="12"/>
      <c r="F7" s="12"/>
      <c r="G7" s="13"/>
      <c r="H7" s="14"/>
      <c r="I7" s="15"/>
      <c r="J7" s="11"/>
      <c r="K7" s="16"/>
      <c r="L7" s="17"/>
      <c r="M7" s="18"/>
      <c r="N7" s="19"/>
      <c r="O7" s="13"/>
      <c r="P7" s="13"/>
      <c r="Q7" s="13"/>
      <c r="R7" s="20"/>
    </row>
    <row r="8" spans="1:18" ht="18.600000000000001">
      <c r="A8" s="8">
        <v>1</v>
      </c>
      <c r="B8" s="21"/>
      <c r="C8" s="22"/>
      <c r="D8" s="23">
        <v>0</v>
      </c>
      <c r="E8" s="24"/>
      <c r="F8" s="24"/>
      <c r="G8" s="25"/>
      <c r="H8" s="26">
        <v>0</v>
      </c>
      <c r="I8" s="27">
        <f>H8*0.07</f>
        <v>0</v>
      </c>
      <c r="J8" s="23">
        <v>0</v>
      </c>
      <c r="K8" s="28"/>
      <c r="L8" s="29"/>
      <c r="M8" s="30">
        <v>0</v>
      </c>
      <c r="N8" s="31"/>
      <c r="O8" s="25"/>
      <c r="P8" s="27">
        <f>ROUND(R8*100/107,2)</f>
        <v>0</v>
      </c>
      <c r="Q8" s="27">
        <f>P8*0.07</f>
        <v>0</v>
      </c>
      <c r="R8" s="32">
        <f>D8+J8-M8</f>
        <v>0</v>
      </c>
    </row>
    <row r="9" spans="1:18" ht="18.600000000000001">
      <c r="A9" s="8">
        <f>+A8+1</f>
        <v>2</v>
      </c>
      <c r="B9" s="33" t="s">
        <v>21</v>
      </c>
      <c r="C9" s="22"/>
      <c r="D9" s="23">
        <v>0</v>
      </c>
      <c r="E9" s="24"/>
      <c r="F9" s="24"/>
      <c r="G9" s="25"/>
      <c r="H9" s="34">
        <v>0</v>
      </c>
      <c r="I9" s="35">
        <f>H9*0.07</f>
        <v>0</v>
      </c>
      <c r="J9" s="36">
        <v>0</v>
      </c>
      <c r="K9" s="28"/>
      <c r="L9" s="29"/>
      <c r="M9" s="30">
        <v>0</v>
      </c>
      <c r="N9" s="31"/>
      <c r="O9" s="25"/>
      <c r="P9" s="27">
        <f>ROUND(R9*100/107,2)</f>
        <v>0</v>
      </c>
      <c r="Q9" s="27">
        <f>P9*0.07</f>
        <v>0</v>
      </c>
      <c r="R9" s="32">
        <f>D9+J9-M9</f>
        <v>0</v>
      </c>
    </row>
    <row r="10" spans="1:18" ht="18.600000000000001">
      <c r="A10" s="8">
        <f>+A9+1</f>
        <v>3</v>
      </c>
      <c r="B10" s="37"/>
      <c r="C10" s="22"/>
      <c r="D10" s="23">
        <v>0</v>
      </c>
      <c r="E10" s="24"/>
      <c r="F10" s="38"/>
      <c r="G10" s="39"/>
      <c r="H10" s="40">
        <f>J10*100/107</f>
        <v>0</v>
      </c>
      <c r="I10" s="40">
        <f>H10*0.07</f>
        <v>0</v>
      </c>
      <c r="J10" s="41">
        <v>0</v>
      </c>
      <c r="K10" s="28"/>
      <c r="L10" s="29"/>
      <c r="M10" s="30">
        <v>0</v>
      </c>
      <c r="N10" s="31"/>
      <c r="O10" s="25"/>
      <c r="P10" s="27">
        <f>ROUND(R10*100/107,2)</f>
        <v>0</v>
      </c>
      <c r="Q10" s="27">
        <f>P10*0.07</f>
        <v>0</v>
      </c>
      <c r="R10" s="32">
        <f>D10+J10-M10</f>
        <v>0</v>
      </c>
    </row>
    <row r="11" spans="1:18" ht="19.2" thickBot="1">
      <c r="A11" s="42"/>
      <c r="B11" s="191" t="s">
        <v>19</v>
      </c>
      <c r="C11" s="192"/>
      <c r="D11" s="43">
        <f>SUM(D8:D10)</f>
        <v>0</v>
      </c>
      <c r="E11" s="43"/>
      <c r="F11" s="43"/>
      <c r="G11" s="44"/>
      <c r="H11" s="44">
        <f>SUM(H8:H10)</f>
        <v>0</v>
      </c>
      <c r="I11" s="44">
        <f>SUM(I8:I10)</f>
        <v>0</v>
      </c>
      <c r="J11" s="44">
        <f>SUM(J8:J10)</f>
        <v>0</v>
      </c>
      <c r="K11" s="45"/>
      <c r="L11" s="46"/>
      <c r="M11" s="47">
        <f>SUM(M8:M10)</f>
        <v>0</v>
      </c>
      <c r="N11" s="48"/>
      <c r="O11" s="43"/>
      <c r="P11" s="49">
        <f>ROUND(R11*100/107,2)</f>
        <v>0</v>
      </c>
      <c r="Q11" s="49">
        <f>P11*0.07</f>
        <v>0</v>
      </c>
      <c r="R11" s="50">
        <f>SUM(R8:R10)</f>
        <v>0</v>
      </c>
    </row>
    <row r="12" spans="1:18" ht="19.2" thickTop="1">
      <c r="A12" s="8"/>
      <c r="B12" s="51" t="s">
        <v>22</v>
      </c>
      <c r="C12" s="52"/>
      <c r="D12" s="11"/>
      <c r="E12" s="12"/>
      <c r="F12" s="12"/>
      <c r="G12" s="53"/>
      <c r="H12" s="14"/>
      <c r="I12" s="15"/>
      <c r="J12" s="11"/>
      <c r="K12" s="16"/>
      <c r="L12" s="17"/>
      <c r="M12" s="18"/>
      <c r="N12" s="19"/>
      <c r="O12" s="13"/>
      <c r="P12" s="13"/>
      <c r="Q12" s="13"/>
      <c r="R12" s="20"/>
    </row>
    <row r="13" spans="1:18" ht="34.5" customHeight="1">
      <c r="A13" s="8">
        <v>1</v>
      </c>
      <c r="B13" s="203"/>
      <c r="C13" s="204"/>
      <c r="D13" s="23">
        <v>0</v>
      </c>
      <c r="E13" s="54"/>
      <c r="F13" s="54"/>
      <c r="G13" s="25"/>
      <c r="H13" s="26">
        <v>0</v>
      </c>
      <c r="I13" s="27">
        <f>H13*0.07</f>
        <v>0</v>
      </c>
      <c r="J13" s="23">
        <f>SUM(H13:I13)</f>
        <v>0</v>
      </c>
      <c r="K13" s="55">
        <v>0</v>
      </c>
      <c r="L13" s="56"/>
      <c r="M13" s="55">
        <v>0</v>
      </c>
      <c r="N13" s="31"/>
      <c r="O13" s="25"/>
      <c r="P13" s="27">
        <f>ROUND(R13*100/107,2)</f>
        <v>0</v>
      </c>
      <c r="Q13" s="27">
        <f>P13*0.07</f>
        <v>0</v>
      </c>
      <c r="R13" s="32">
        <f>D13+J13-M13</f>
        <v>0</v>
      </c>
    </row>
    <row r="14" spans="1:18" ht="29.25" customHeight="1">
      <c r="A14" s="8">
        <v>2</v>
      </c>
      <c r="B14" s="197" t="s">
        <v>21</v>
      </c>
      <c r="C14" s="198"/>
      <c r="D14" s="23">
        <v>0</v>
      </c>
      <c r="E14" s="31"/>
      <c r="F14" s="31"/>
      <c r="G14" s="25"/>
      <c r="H14" s="34">
        <v>0</v>
      </c>
      <c r="I14" s="27">
        <f>H14*0.07</f>
        <v>0</v>
      </c>
      <c r="J14" s="23">
        <f>SUM(H14:I14)</f>
        <v>0</v>
      </c>
      <c r="K14" s="58">
        <v>0</v>
      </c>
      <c r="L14" s="56"/>
      <c r="M14" s="55">
        <v>0</v>
      </c>
      <c r="N14" s="31"/>
      <c r="O14" s="25"/>
      <c r="P14" s="27">
        <f>ROUND(R14*100/107,2)</f>
        <v>0</v>
      </c>
      <c r="Q14" s="27">
        <f>P14*0.07</f>
        <v>0</v>
      </c>
      <c r="R14" s="32">
        <f>D14+J14-M14</f>
        <v>0</v>
      </c>
    </row>
    <row r="15" spans="1:18" ht="28.5" customHeight="1">
      <c r="A15" s="8">
        <f>+A14+1</f>
        <v>3</v>
      </c>
      <c r="B15" s="195"/>
      <c r="C15" s="196"/>
      <c r="D15" s="23">
        <v>0</v>
      </c>
      <c r="E15" s="24"/>
      <c r="F15" s="24"/>
      <c r="G15" s="25"/>
      <c r="H15" s="34">
        <v>0</v>
      </c>
      <c r="I15" s="27">
        <f>H15*0.07</f>
        <v>0</v>
      </c>
      <c r="J15" s="23">
        <f>SUM(H15:I15)</f>
        <v>0</v>
      </c>
      <c r="K15" s="55">
        <v>0</v>
      </c>
      <c r="L15" s="60"/>
      <c r="M15" s="55">
        <v>0</v>
      </c>
      <c r="N15" s="31"/>
      <c r="O15" s="25"/>
      <c r="P15" s="27">
        <f>ROUND(R15*100/107,2)</f>
        <v>0</v>
      </c>
      <c r="Q15" s="27">
        <f>P15*0.07</f>
        <v>0</v>
      </c>
      <c r="R15" s="32">
        <f>D15+J15-M15</f>
        <v>0</v>
      </c>
    </row>
    <row r="16" spans="1:18" ht="19.2" thickBot="1">
      <c r="A16" s="42"/>
      <c r="B16" s="191" t="s">
        <v>19</v>
      </c>
      <c r="C16" s="192"/>
      <c r="D16" s="43">
        <f>SUM(D13:D15)</f>
        <v>0</v>
      </c>
      <c r="E16" s="43"/>
      <c r="F16" s="43"/>
      <c r="G16" s="43"/>
      <c r="H16" s="43">
        <f>SUM(H13:H15)</f>
        <v>0</v>
      </c>
      <c r="I16" s="43">
        <f>SUM(I13:I15)</f>
        <v>0</v>
      </c>
      <c r="J16" s="43">
        <f>SUM(J13:J15)</f>
        <v>0</v>
      </c>
      <c r="K16" s="45"/>
      <c r="L16" s="46"/>
      <c r="M16" s="47">
        <f>SUM(M13:M15)</f>
        <v>0</v>
      </c>
      <c r="N16" s="48"/>
      <c r="O16" s="43"/>
      <c r="P16" s="49">
        <f>ROUND(R16*100/107,2)</f>
        <v>0</v>
      </c>
      <c r="Q16" s="49">
        <f>P16*0.07</f>
        <v>0</v>
      </c>
      <c r="R16" s="50">
        <f>SUM(R13:R15)</f>
        <v>0</v>
      </c>
    </row>
    <row r="17" spans="1:18" ht="19.2" thickTop="1">
      <c r="A17" s="8"/>
      <c r="B17" s="51" t="s">
        <v>23</v>
      </c>
      <c r="C17" s="52"/>
      <c r="D17" s="11"/>
      <c r="E17" s="12"/>
      <c r="F17" s="12"/>
      <c r="G17" s="13"/>
      <c r="H17" s="61"/>
      <c r="I17" s="35"/>
      <c r="J17" s="11"/>
      <c r="K17" s="16"/>
      <c r="L17" s="17"/>
      <c r="M17" s="18"/>
      <c r="N17" s="19"/>
      <c r="O17" s="13"/>
      <c r="P17" s="13"/>
      <c r="Q17" s="13"/>
      <c r="R17" s="20"/>
    </row>
    <row r="18" spans="1:18" ht="18.600000000000001">
      <c r="A18" s="8">
        <v>1</v>
      </c>
      <c r="B18" s="62"/>
      <c r="C18" s="63"/>
      <c r="D18" s="23">
        <v>0</v>
      </c>
      <c r="E18" s="24"/>
      <c r="F18" s="24"/>
      <c r="G18" s="25"/>
      <c r="H18" s="26">
        <v>0</v>
      </c>
      <c r="I18" s="27">
        <f>H18*0.07</f>
        <v>0</v>
      </c>
      <c r="J18" s="23">
        <v>0</v>
      </c>
      <c r="K18" s="28"/>
      <c r="L18" s="29"/>
      <c r="M18" s="30">
        <v>0</v>
      </c>
      <c r="N18" s="31"/>
      <c r="O18" s="25"/>
      <c r="P18" s="27">
        <f>ROUND(R18*100/107,2)</f>
        <v>0</v>
      </c>
      <c r="Q18" s="27">
        <f>P18*0.07</f>
        <v>0</v>
      </c>
      <c r="R18" s="32">
        <f>D18+J18-M18</f>
        <v>0</v>
      </c>
    </row>
    <row r="19" spans="1:18" ht="18.600000000000001">
      <c r="A19" s="8">
        <f>+A18+1</f>
        <v>2</v>
      </c>
      <c r="B19" s="64" t="s">
        <v>21</v>
      </c>
      <c r="C19" s="63"/>
      <c r="D19" s="23">
        <v>0</v>
      </c>
      <c r="E19" s="24"/>
      <c r="F19" s="24"/>
      <c r="G19" s="25"/>
      <c r="H19" s="34">
        <v>0</v>
      </c>
      <c r="I19" s="35">
        <f>H19*0.07</f>
        <v>0</v>
      </c>
      <c r="J19" s="36">
        <v>0</v>
      </c>
      <c r="K19" s="28"/>
      <c r="L19" s="29"/>
      <c r="M19" s="30">
        <v>0</v>
      </c>
      <c r="N19" s="31"/>
      <c r="O19" s="25"/>
      <c r="P19" s="27">
        <f>ROUND(R19*100/107,2)</f>
        <v>0</v>
      </c>
      <c r="Q19" s="27">
        <f>P19*0.07</f>
        <v>0</v>
      </c>
      <c r="R19" s="32">
        <f>D19+J19-M19</f>
        <v>0</v>
      </c>
    </row>
    <row r="20" spans="1:18" ht="18.600000000000001">
      <c r="A20" s="8">
        <f>+A19+1</f>
        <v>3</v>
      </c>
      <c r="B20" s="65"/>
      <c r="C20" s="63"/>
      <c r="D20" s="23">
        <v>0</v>
      </c>
      <c r="E20" s="24"/>
      <c r="F20" s="38"/>
      <c r="G20" s="39"/>
      <c r="H20" s="40">
        <f>J20*100/107</f>
        <v>0</v>
      </c>
      <c r="I20" s="40">
        <f>H20*0.07</f>
        <v>0</v>
      </c>
      <c r="J20" s="41">
        <v>0</v>
      </c>
      <c r="K20" s="28"/>
      <c r="L20" s="29"/>
      <c r="M20" s="30">
        <v>0</v>
      </c>
      <c r="N20" s="31"/>
      <c r="O20" s="25"/>
      <c r="P20" s="27">
        <f>ROUND(R20*100/107,2)</f>
        <v>0</v>
      </c>
      <c r="Q20" s="27">
        <f>P20*0.07</f>
        <v>0</v>
      </c>
      <c r="R20" s="32">
        <f>D20+J20-M20</f>
        <v>0</v>
      </c>
    </row>
    <row r="21" spans="1:18" ht="19.2" thickBot="1">
      <c r="A21" s="42"/>
      <c r="B21" s="191" t="s">
        <v>19</v>
      </c>
      <c r="C21" s="192"/>
      <c r="D21" s="43">
        <f>SUM(D18:D20)</f>
        <v>0</v>
      </c>
      <c r="E21" s="43"/>
      <c r="F21" s="43"/>
      <c r="G21" s="44"/>
      <c r="H21" s="44">
        <f>SUM(H18:H20)</f>
        <v>0</v>
      </c>
      <c r="I21" s="44">
        <f>SUM(I18:I20)</f>
        <v>0</v>
      </c>
      <c r="J21" s="44">
        <f>SUM(J18:J20)</f>
        <v>0</v>
      </c>
      <c r="K21" s="45"/>
      <c r="L21" s="46"/>
      <c r="M21" s="47">
        <f>SUM(M18:M20)</f>
        <v>0</v>
      </c>
      <c r="N21" s="48"/>
      <c r="O21" s="43"/>
      <c r="P21" s="49">
        <f>ROUND(R21*100/107,2)</f>
        <v>0</v>
      </c>
      <c r="Q21" s="49">
        <f>P21*0.07</f>
        <v>0</v>
      </c>
      <c r="R21" s="50">
        <f>SUM(R18:R20)</f>
        <v>0</v>
      </c>
    </row>
    <row r="22" spans="1:18" ht="19.2" thickTop="1">
      <c r="A22" s="8"/>
      <c r="B22" s="51" t="s">
        <v>24</v>
      </c>
      <c r="C22" s="52"/>
      <c r="D22" s="11"/>
      <c r="E22" s="12"/>
      <c r="F22" s="12"/>
      <c r="G22" s="53"/>
      <c r="H22" s="14"/>
      <c r="I22" s="15"/>
      <c r="J22" s="11"/>
      <c r="K22" s="16"/>
      <c r="L22" s="17"/>
      <c r="M22" s="18"/>
      <c r="N22" s="19"/>
      <c r="O22" s="13"/>
      <c r="P22" s="13"/>
      <c r="Q22" s="13"/>
      <c r="R22" s="20"/>
    </row>
    <row r="23" spans="1:18" ht="18.600000000000001">
      <c r="A23" s="8">
        <v>1</v>
      </c>
      <c r="B23" s="62"/>
      <c r="C23" s="63"/>
      <c r="D23" s="23"/>
      <c r="E23" s="24"/>
      <c r="F23" s="24"/>
      <c r="G23" s="25"/>
      <c r="H23" s="26">
        <v>0</v>
      </c>
      <c r="I23" s="27">
        <f>H23*0.07</f>
        <v>0</v>
      </c>
      <c r="J23" s="23">
        <v>0</v>
      </c>
      <c r="K23" s="28"/>
      <c r="L23" s="29"/>
      <c r="M23" s="30">
        <v>0</v>
      </c>
      <c r="N23" s="31"/>
      <c r="O23" s="25"/>
      <c r="P23" s="27">
        <f>ROUND(R23*100/107,2)</f>
        <v>0</v>
      </c>
      <c r="Q23" s="27">
        <f>P23*0.07</f>
        <v>0</v>
      </c>
      <c r="R23" s="32">
        <f>D23+J23-M23</f>
        <v>0</v>
      </c>
    </row>
    <row r="24" spans="1:18" ht="18.600000000000001">
      <c r="A24" s="8">
        <f>+A23+1</f>
        <v>2</v>
      </c>
      <c r="B24" s="64" t="s">
        <v>21</v>
      </c>
      <c r="C24" s="63"/>
      <c r="D24" s="23"/>
      <c r="E24" s="24"/>
      <c r="F24" s="24"/>
      <c r="G24" s="25"/>
      <c r="H24" s="26">
        <v>0</v>
      </c>
      <c r="I24" s="27">
        <f>H24*0.07</f>
        <v>0</v>
      </c>
      <c r="J24" s="23">
        <v>0</v>
      </c>
      <c r="K24" s="28"/>
      <c r="L24" s="29"/>
      <c r="M24" s="55">
        <v>0</v>
      </c>
      <c r="N24" s="31"/>
      <c r="O24" s="25"/>
      <c r="P24" s="27">
        <f>ROUND(R24*100/107,2)</f>
        <v>0</v>
      </c>
      <c r="Q24" s="27">
        <f>P24*0.07</f>
        <v>0</v>
      </c>
      <c r="R24" s="32">
        <f>D24+J24-M24</f>
        <v>0</v>
      </c>
    </row>
    <row r="25" spans="1:18" ht="18.600000000000001">
      <c r="A25" s="8">
        <f>+A24+1</f>
        <v>3</v>
      </c>
      <c r="B25" s="65"/>
      <c r="C25" s="63"/>
      <c r="D25" s="23"/>
      <c r="E25" s="24"/>
      <c r="F25" s="38"/>
      <c r="G25" s="39"/>
      <c r="H25" s="40">
        <v>0</v>
      </c>
      <c r="I25" s="40">
        <f>H25*0.07</f>
        <v>0</v>
      </c>
      <c r="J25" s="66">
        <v>0</v>
      </c>
      <c r="K25" s="28"/>
      <c r="L25" s="29"/>
      <c r="M25" s="55">
        <v>0</v>
      </c>
      <c r="N25" s="31"/>
      <c r="O25" s="25"/>
      <c r="P25" s="27">
        <f>ROUND(R25*100/107,2)</f>
        <v>0</v>
      </c>
      <c r="Q25" s="27">
        <f>P25*0.07</f>
        <v>0</v>
      </c>
      <c r="R25" s="32">
        <f>D25+J25-M25</f>
        <v>0</v>
      </c>
    </row>
    <row r="26" spans="1:18" ht="19.2" thickBot="1">
      <c r="A26" s="42"/>
      <c r="B26" s="191" t="s">
        <v>19</v>
      </c>
      <c r="C26" s="192"/>
      <c r="D26" s="43">
        <f>SUM(D23:D25)</f>
        <v>0</v>
      </c>
      <c r="E26" s="43"/>
      <c r="F26" s="43"/>
      <c r="G26" s="44"/>
      <c r="H26" s="44">
        <f>SUM(H23:H25)</f>
        <v>0</v>
      </c>
      <c r="I26" s="44">
        <f>SUM(I23:I25)</f>
        <v>0</v>
      </c>
      <c r="J26" s="44">
        <f>SUM(J23:J25)</f>
        <v>0</v>
      </c>
      <c r="K26" s="45"/>
      <c r="L26" s="46"/>
      <c r="M26" s="47">
        <f>SUM(M23:M25)</f>
        <v>0</v>
      </c>
      <c r="N26" s="48"/>
      <c r="O26" s="43"/>
      <c r="P26" s="49">
        <f>ROUND(R26*100/107,2)</f>
        <v>0</v>
      </c>
      <c r="Q26" s="49">
        <f>P26*0.07</f>
        <v>0</v>
      </c>
      <c r="R26" s="50">
        <f>SUM(R23:R25)</f>
        <v>0</v>
      </c>
    </row>
    <row r="27" spans="1:18" ht="19.2" thickTop="1">
      <c r="A27" s="8"/>
      <c r="B27" s="67"/>
      <c r="C27" s="68"/>
      <c r="D27" s="69"/>
      <c r="E27" s="70"/>
      <c r="F27" s="70"/>
      <c r="G27" s="71"/>
      <c r="H27" s="72"/>
      <c r="I27" s="73"/>
      <c r="J27" s="69"/>
      <c r="K27" s="74"/>
      <c r="L27" s="75"/>
      <c r="M27" s="76"/>
      <c r="N27" s="77"/>
      <c r="O27" s="78"/>
      <c r="P27" s="78"/>
      <c r="Q27" s="78"/>
      <c r="R27" s="79"/>
    </row>
    <row r="28" spans="1:18" ht="18.600000000000001">
      <c r="A28" s="8"/>
      <c r="B28" s="80" t="s">
        <v>25</v>
      </c>
      <c r="C28" s="68"/>
      <c r="D28" s="23"/>
      <c r="E28" s="24"/>
      <c r="F28" s="24"/>
      <c r="G28" s="25"/>
      <c r="H28" s="81"/>
      <c r="I28" s="27"/>
      <c r="J28" s="23"/>
      <c r="K28" s="28"/>
      <c r="L28" s="29"/>
      <c r="M28" s="55"/>
      <c r="N28" s="31"/>
      <c r="O28" s="25"/>
      <c r="P28" s="25"/>
      <c r="Q28" s="25"/>
      <c r="R28" s="32"/>
    </row>
    <row r="29" spans="1:18" ht="18.600000000000001">
      <c r="A29" s="8">
        <f>+A28+1</f>
        <v>1</v>
      </c>
      <c r="B29" s="195"/>
      <c r="C29" s="196"/>
      <c r="D29" s="23">
        <v>0</v>
      </c>
      <c r="E29" s="24"/>
      <c r="F29" s="24"/>
      <c r="G29" s="25"/>
      <c r="H29" s="34">
        <v>0</v>
      </c>
      <c r="I29" s="27">
        <f>H29*0.07</f>
        <v>0</v>
      </c>
      <c r="J29" s="36">
        <v>0</v>
      </c>
      <c r="K29" s="82"/>
      <c r="L29" s="83"/>
      <c r="M29" s="30">
        <v>0</v>
      </c>
      <c r="N29" s="31"/>
      <c r="O29" s="25"/>
      <c r="P29" s="27">
        <f>ROUND(R29*100/107,2)</f>
        <v>0</v>
      </c>
      <c r="Q29" s="27">
        <f>P29*0.07</f>
        <v>0</v>
      </c>
      <c r="R29" s="32">
        <f>D29+J29-M29</f>
        <v>0</v>
      </c>
    </row>
    <row r="30" spans="1:18" ht="18.600000000000001">
      <c r="A30" s="8">
        <v>2</v>
      </c>
      <c r="B30" s="57" t="s">
        <v>21</v>
      </c>
      <c r="C30" s="59"/>
      <c r="D30" s="23">
        <v>0</v>
      </c>
      <c r="E30" s="24"/>
      <c r="F30" s="38"/>
      <c r="G30" s="84"/>
      <c r="H30" s="34">
        <v>0</v>
      </c>
      <c r="I30" s="85">
        <v>0</v>
      </c>
      <c r="J30" s="86">
        <v>0</v>
      </c>
      <c r="K30" s="82"/>
      <c r="L30" s="83"/>
      <c r="M30" s="30"/>
      <c r="N30" s="31"/>
      <c r="O30" s="25"/>
      <c r="P30" s="27">
        <f>ROUND(R30*100/107,2)</f>
        <v>0</v>
      </c>
      <c r="Q30" s="27">
        <f>P30*0.07</f>
        <v>0</v>
      </c>
      <c r="R30" s="32">
        <f>D30+J30-M30</f>
        <v>0</v>
      </c>
    </row>
    <row r="31" spans="1:18" ht="18.600000000000001">
      <c r="A31" s="8">
        <v>3</v>
      </c>
      <c r="B31" s="195"/>
      <c r="C31" s="196"/>
      <c r="D31" s="23">
        <v>0</v>
      </c>
      <c r="E31" s="24"/>
      <c r="F31" s="38"/>
      <c r="G31" s="39"/>
      <c r="H31" s="40">
        <f>J31*100/107</f>
        <v>0</v>
      </c>
      <c r="I31" s="40">
        <f>H31*0.07</f>
        <v>0</v>
      </c>
      <c r="J31" s="41">
        <v>0</v>
      </c>
      <c r="K31" s="82"/>
      <c r="L31" s="83"/>
      <c r="M31" s="30">
        <v>0</v>
      </c>
      <c r="N31" s="31"/>
      <c r="O31" s="25"/>
      <c r="P31" s="27">
        <f>ROUND(R31*100/107,2)</f>
        <v>0</v>
      </c>
      <c r="Q31" s="27">
        <f>P31*0.07</f>
        <v>0</v>
      </c>
      <c r="R31" s="32">
        <f>D31+J31-M31</f>
        <v>0</v>
      </c>
    </row>
    <row r="32" spans="1:18" ht="19.2" thickBot="1">
      <c r="A32" s="42"/>
      <c r="B32" s="191" t="s">
        <v>19</v>
      </c>
      <c r="C32" s="192"/>
      <c r="D32" s="43">
        <f>SUM(D28:D31)</f>
        <v>0</v>
      </c>
      <c r="E32" s="43"/>
      <c r="F32" s="43"/>
      <c r="G32" s="44"/>
      <c r="H32" s="44">
        <f>SUM(H28:H31)</f>
        <v>0</v>
      </c>
      <c r="I32" s="44">
        <f>SUM(I28:I31)</f>
        <v>0</v>
      </c>
      <c r="J32" s="44">
        <f>SUM(J28:J31)</f>
        <v>0</v>
      </c>
      <c r="K32" s="45"/>
      <c r="L32" s="46"/>
      <c r="M32" s="47">
        <f>SUM(M28:M31)</f>
        <v>0</v>
      </c>
      <c r="N32" s="48"/>
      <c r="O32" s="43"/>
      <c r="P32" s="49">
        <f>ROUND(R32*100/107,2)</f>
        <v>0</v>
      </c>
      <c r="Q32" s="49">
        <f>P32*0.07</f>
        <v>0</v>
      </c>
      <c r="R32" s="50">
        <f>SUM(R28:R31)</f>
        <v>0</v>
      </c>
    </row>
    <row r="33" spans="1:18" ht="19.2" thickTop="1">
      <c r="A33" s="8"/>
      <c r="B33" s="51" t="s">
        <v>26</v>
      </c>
      <c r="C33" s="52"/>
      <c r="D33" s="11"/>
      <c r="E33" s="12"/>
      <c r="F33" s="12"/>
      <c r="G33" s="53"/>
      <c r="H33" s="14"/>
      <c r="I33" s="15"/>
      <c r="J33" s="11"/>
      <c r="K33" s="16"/>
      <c r="L33" s="17"/>
      <c r="M33" s="18"/>
      <c r="N33" s="19"/>
      <c r="O33" s="13"/>
      <c r="P33" s="13"/>
      <c r="Q33" s="13"/>
      <c r="R33" s="20"/>
    </row>
    <row r="34" spans="1:18" ht="18.600000000000001">
      <c r="A34" s="8">
        <v>1</v>
      </c>
      <c r="B34" s="33" t="s">
        <v>21</v>
      </c>
      <c r="C34" s="87"/>
      <c r="D34" s="23">
        <v>0</v>
      </c>
      <c r="E34" s="24"/>
      <c r="F34" s="24"/>
      <c r="G34" s="25"/>
      <c r="H34" s="27">
        <v>0</v>
      </c>
      <c r="I34" s="27">
        <f>H34*0.07</f>
        <v>0</v>
      </c>
      <c r="J34" s="36">
        <v>0</v>
      </c>
      <c r="K34" s="28"/>
      <c r="L34" s="29"/>
      <c r="M34" s="30">
        <v>0</v>
      </c>
      <c r="N34" s="31"/>
      <c r="O34" s="25"/>
      <c r="P34" s="27">
        <f>ROUND(R34*100/107,2)</f>
        <v>0</v>
      </c>
      <c r="Q34" s="27">
        <f>P34*0.07</f>
        <v>0</v>
      </c>
      <c r="R34" s="32">
        <f>D34+J34-M34</f>
        <v>0</v>
      </c>
    </row>
    <row r="35" spans="1:18" ht="18.600000000000001">
      <c r="A35" s="8">
        <v>2</v>
      </c>
      <c r="B35" s="33"/>
      <c r="C35" s="87"/>
      <c r="D35" s="23"/>
      <c r="E35" s="24"/>
      <c r="F35" s="38"/>
      <c r="G35" s="84"/>
      <c r="H35" s="34"/>
      <c r="I35" s="34"/>
      <c r="J35" s="86"/>
      <c r="K35" s="28"/>
      <c r="L35" s="29"/>
      <c r="M35" s="30"/>
      <c r="N35" s="31"/>
      <c r="O35" s="25"/>
      <c r="P35" s="27"/>
      <c r="Q35" s="27"/>
      <c r="R35" s="32"/>
    </row>
    <row r="36" spans="1:18" ht="18.600000000000001">
      <c r="A36" s="8">
        <v>3</v>
      </c>
      <c r="B36" s="37"/>
      <c r="C36" s="22"/>
      <c r="D36" s="23">
        <v>0</v>
      </c>
      <c r="E36" s="24"/>
      <c r="F36" s="38"/>
      <c r="G36" s="39"/>
      <c r="H36" s="40">
        <f>J36*100/107</f>
        <v>0</v>
      </c>
      <c r="I36" s="40">
        <f>H36*0.07</f>
        <v>0</v>
      </c>
      <c r="J36" s="41">
        <v>0</v>
      </c>
      <c r="K36" s="28"/>
      <c r="L36" s="29"/>
      <c r="M36" s="30">
        <v>0</v>
      </c>
      <c r="N36" s="31"/>
      <c r="O36" s="25"/>
      <c r="P36" s="27">
        <f>ROUND(R36*100/107,2)</f>
        <v>0</v>
      </c>
      <c r="Q36" s="27">
        <f>P36*0.07</f>
        <v>0</v>
      </c>
      <c r="R36" s="32">
        <f>D36+J36-M36</f>
        <v>0</v>
      </c>
    </row>
    <row r="37" spans="1:18" ht="19.2" thickBot="1">
      <c r="A37" s="42"/>
      <c r="B37" s="191" t="s">
        <v>19</v>
      </c>
      <c r="C37" s="192"/>
      <c r="D37" s="43">
        <f>SUM(D34:D36)</f>
        <v>0</v>
      </c>
      <c r="E37" s="43"/>
      <c r="F37" s="43"/>
      <c r="G37" s="44"/>
      <c r="H37" s="44">
        <f>SUM(H34:H36)</f>
        <v>0</v>
      </c>
      <c r="I37" s="44">
        <f>SUM(I34:I36)</f>
        <v>0</v>
      </c>
      <c r="J37" s="44">
        <f>SUM(J34:J36)</f>
        <v>0</v>
      </c>
      <c r="K37" s="45"/>
      <c r="L37" s="46"/>
      <c r="M37" s="47">
        <f>SUM(M34:M36)</f>
        <v>0</v>
      </c>
      <c r="N37" s="48"/>
      <c r="O37" s="43"/>
      <c r="P37" s="49">
        <f>ROUND(R37*100/107,2)</f>
        <v>0</v>
      </c>
      <c r="Q37" s="49">
        <f>P37*0.07</f>
        <v>0</v>
      </c>
      <c r="R37" s="50">
        <f>SUM(R34:R36)</f>
        <v>0</v>
      </c>
    </row>
    <row r="38" spans="1:18" ht="19.2" thickTop="1">
      <c r="A38" s="42"/>
      <c r="B38" s="88" t="s">
        <v>27</v>
      </c>
      <c r="C38" s="52"/>
      <c r="D38" s="11"/>
      <c r="E38" s="12"/>
      <c r="F38" s="12"/>
      <c r="G38" s="13"/>
      <c r="H38" s="13"/>
      <c r="I38" s="13"/>
      <c r="J38" s="11"/>
      <c r="K38" s="16"/>
      <c r="L38" s="17"/>
      <c r="M38" s="18"/>
      <c r="N38" s="19"/>
      <c r="O38" s="13"/>
      <c r="P38" s="13"/>
      <c r="Q38" s="13"/>
      <c r="R38" s="89"/>
    </row>
    <row r="39" spans="1:18" ht="30.75" customHeight="1">
      <c r="A39" s="42">
        <v>1</v>
      </c>
      <c r="B39" s="195"/>
      <c r="C39" s="196"/>
      <c r="D39" s="23">
        <v>0</v>
      </c>
      <c r="E39" s="31"/>
      <c r="F39" s="31"/>
      <c r="G39" s="25"/>
      <c r="H39" s="90">
        <v>0</v>
      </c>
      <c r="I39" s="27">
        <f>H39*0.07</f>
        <v>0</v>
      </c>
      <c r="J39" s="23">
        <f>SUM(H39:I39)</f>
        <v>0</v>
      </c>
      <c r="K39" s="56"/>
      <c r="L39" s="91"/>
      <c r="M39" s="55">
        <v>0</v>
      </c>
      <c r="N39" s="31"/>
      <c r="O39" s="25"/>
      <c r="P39" s="27">
        <f>ROUND(R39*100/107,2)</f>
        <v>0</v>
      </c>
      <c r="Q39" s="27">
        <f>P39*0.07</f>
        <v>0</v>
      </c>
      <c r="R39" s="92">
        <f>D39+J39-M39</f>
        <v>0</v>
      </c>
    </row>
    <row r="40" spans="1:18" ht="30" customHeight="1">
      <c r="A40" s="8">
        <v>2</v>
      </c>
      <c r="B40" s="197" t="s">
        <v>21</v>
      </c>
      <c r="C40" s="198"/>
      <c r="D40" s="23">
        <v>0</v>
      </c>
      <c r="E40" s="31"/>
      <c r="F40" s="31"/>
      <c r="G40" s="25"/>
      <c r="H40" s="34">
        <v>0</v>
      </c>
      <c r="I40" s="27">
        <f>H40*0.07</f>
        <v>0</v>
      </c>
      <c r="J40" s="23">
        <f>SUM(H40:I40)</f>
        <v>0</v>
      </c>
      <c r="K40" s="56"/>
      <c r="L40" s="56"/>
      <c r="M40" s="55">
        <v>0</v>
      </c>
      <c r="N40" s="31"/>
      <c r="O40" s="25"/>
      <c r="P40" s="27">
        <f>ROUND(R40*100/107,2)</f>
        <v>0</v>
      </c>
      <c r="Q40" s="27">
        <f>P40*0.07</f>
        <v>0</v>
      </c>
      <c r="R40" s="32">
        <f>D40+J40-M40</f>
        <v>0</v>
      </c>
    </row>
    <row r="41" spans="1:18" ht="27" customHeight="1">
      <c r="A41" s="42">
        <v>3</v>
      </c>
      <c r="B41" s="203"/>
      <c r="C41" s="204"/>
      <c r="D41" s="23">
        <v>0</v>
      </c>
      <c r="E41" s="31"/>
      <c r="F41" s="31"/>
      <c r="G41" s="25"/>
      <c r="H41" s="90">
        <v>0</v>
      </c>
      <c r="I41" s="27">
        <f>H41*0.07</f>
        <v>0</v>
      </c>
      <c r="J41" s="23">
        <f>SUM(H41:I41)</f>
        <v>0</v>
      </c>
      <c r="K41" s="56"/>
      <c r="L41" s="56"/>
      <c r="M41" s="55">
        <v>0</v>
      </c>
      <c r="N41" s="31"/>
      <c r="O41" s="25"/>
      <c r="P41" s="27">
        <f>ROUND(R41*100/107,2)</f>
        <v>0</v>
      </c>
      <c r="Q41" s="27">
        <f>P41*0.07</f>
        <v>0</v>
      </c>
      <c r="R41" s="92">
        <f>D41+J41-M41</f>
        <v>0</v>
      </c>
    </row>
    <row r="42" spans="1:18" ht="19.2" thickBot="1">
      <c r="A42" s="93"/>
      <c r="B42" s="191" t="s">
        <v>19</v>
      </c>
      <c r="C42" s="192"/>
      <c r="D42" s="43">
        <f>SUM(D39:D41)</f>
        <v>0</v>
      </c>
      <c r="E42" s="43"/>
      <c r="F42" s="43"/>
      <c r="G42" s="43"/>
      <c r="H42" s="43">
        <f>SUM(H39:H41)</f>
        <v>0</v>
      </c>
      <c r="I42" s="43">
        <f>SUM(I39:I41)</f>
        <v>0</v>
      </c>
      <c r="J42" s="43">
        <f>SUM(J39:J41)</f>
        <v>0</v>
      </c>
      <c r="K42" s="45"/>
      <c r="L42" s="46"/>
      <c r="M42" s="47">
        <f>SUM(M39:M41)</f>
        <v>0</v>
      </c>
      <c r="N42" s="48"/>
      <c r="O42" s="43"/>
      <c r="P42" s="43">
        <f>SUM(P39:P41)</f>
        <v>0</v>
      </c>
      <c r="Q42" s="43">
        <f>SUM(Q39:Q41)</f>
        <v>0</v>
      </c>
      <c r="R42" s="43">
        <f>SUM(R39:R41)</f>
        <v>0</v>
      </c>
    </row>
    <row r="43" spans="1:18" ht="19.2" thickTop="1">
      <c r="A43" s="8"/>
      <c r="B43" s="51" t="s">
        <v>28</v>
      </c>
      <c r="C43" s="94"/>
      <c r="D43" s="11"/>
      <c r="E43" s="12"/>
      <c r="F43" s="12"/>
      <c r="G43" s="53"/>
      <c r="H43" s="14"/>
      <c r="I43" s="15"/>
      <c r="J43" s="11"/>
      <c r="K43" s="16"/>
      <c r="L43" s="17"/>
      <c r="M43" s="18"/>
      <c r="N43" s="19"/>
      <c r="O43" s="13"/>
      <c r="P43" s="13"/>
      <c r="Q43" s="13"/>
      <c r="R43" s="20"/>
    </row>
    <row r="44" spans="1:18" ht="18.600000000000001">
      <c r="A44" s="8">
        <v>1</v>
      </c>
      <c r="B44" s="62"/>
      <c r="C44" s="63"/>
      <c r="D44" s="23">
        <v>0</v>
      </c>
      <c r="E44" s="24"/>
      <c r="F44" s="24"/>
      <c r="G44" s="25"/>
      <c r="H44" s="26">
        <v>0</v>
      </c>
      <c r="I44" s="27">
        <f>H44*0.07</f>
        <v>0</v>
      </c>
      <c r="J44" s="23">
        <v>0</v>
      </c>
      <c r="K44" s="28"/>
      <c r="L44" s="29"/>
      <c r="M44" s="30">
        <v>0</v>
      </c>
      <c r="N44" s="31"/>
      <c r="O44" s="25"/>
      <c r="P44" s="27">
        <f>ROUND(R44*100/107,2)</f>
        <v>0</v>
      </c>
      <c r="Q44" s="27">
        <f>P44*0.07</f>
        <v>0</v>
      </c>
      <c r="R44" s="32">
        <f>D44+J44-M44</f>
        <v>0</v>
      </c>
    </row>
    <row r="45" spans="1:18" ht="18.600000000000001">
      <c r="A45" s="8">
        <f>+A44+1</f>
        <v>2</v>
      </c>
      <c r="B45" s="64" t="s">
        <v>21</v>
      </c>
      <c r="C45" s="63"/>
      <c r="D45" s="23">
        <v>0</v>
      </c>
      <c r="E45" s="24"/>
      <c r="F45" s="24"/>
      <c r="G45" s="25"/>
      <c r="H45" s="27">
        <v>0</v>
      </c>
      <c r="I45" s="27">
        <f>H45*0.07</f>
        <v>0</v>
      </c>
      <c r="J45" s="36">
        <v>0</v>
      </c>
      <c r="K45" s="28"/>
      <c r="L45" s="29"/>
      <c r="M45" s="30">
        <v>0</v>
      </c>
      <c r="N45" s="31"/>
      <c r="O45" s="25"/>
      <c r="P45" s="27">
        <f>ROUND(R45*100/107,2)</f>
        <v>0</v>
      </c>
      <c r="Q45" s="27">
        <f>P45*0.07</f>
        <v>0</v>
      </c>
      <c r="R45" s="32">
        <f>D45+J45-M45</f>
        <v>0</v>
      </c>
    </row>
    <row r="46" spans="1:18" ht="18.600000000000001">
      <c r="A46" s="8">
        <f>+A45+1</f>
        <v>3</v>
      </c>
      <c r="B46" s="65"/>
      <c r="C46" s="63"/>
      <c r="D46" s="23">
        <v>0</v>
      </c>
      <c r="E46" s="24"/>
      <c r="F46" s="38"/>
      <c r="G46" s="39"/>
      <c r="H46" s="40">
        <f>J46*100/107</f>
        <v>0</v>
      </c>
      <c r="I46" s="40">
        <f>H46*0.07</f>
        <v>0</v>
      </c>
      <c r="J46" s="41">
        <v>0</v>
      </c>
      <c r="K46" s="28"/>
      <c r="L46" s="29"/>
      <c r="M46" s="30">
        <v>0</v>
      </c>
      <c r="N46" s="31"/>
      <c r="O46" s="25"/>
      <c r="P46" s="27">
        <f>ROUND(R46*100/107,2)</f>
        <v>0</v>
      </c>
      <c r="Q46" s="27">
        <f>P46*0.07</f>
        <v>0</v>
      </c>
      <c r="R46" s="32">
        <f>D46+J46-M46</f>
        <v>0</v>
      </c>
    </row>
    <row r="47" spans="1:18" ht="19.2" thickBot="1">
      <c r="A47" s="42"/>
      <c r="B47" s="191" t="s">
        <v>19</v>
      </c>
      <c r="C47" s="192"/>
      <c r="D47" s="43">
        <f>SUM(D44:D46)</f>
        <v>0</v>
      </c>
      <c r="E47" s="43"/>
      <c r="F47" s="43"/>
      <c r="G47" s="44"/>
      <c r="H47" s="44">
        <f>SUM(H44:H46)</f>
        <v>0</v>
      </c>
      <c r="I47" s="44">
        <f>SUM(I44:I46)</f>
        <v>0</v>
      </c>
      <c r="J47" s="44">
        <f>SUM(J44:J46)</f>
        <v>0</v>
      </c>
      <c r="K47" s="45"/>
      <c r="L47" s="46"/>
      <c r="M47" s="47">
        <f>SUM(M44:M46)</f>
        <v>0</v>
      </c>
      <c r="N47" s="48"/>
      <c r="O47" s="43"/>
      <c r="P47" s="49">
        <f>ROUND(R47*100/107,2)</f>
        <v>0</v>
      </c>
      <c r="Q47" s="49">
        <f>P47*0.07</f>
        <v>0</v>
      </c>
      <c r="R47" s="50">
        <f>SUM(R44:R46)</f>
        <v>0</v>
      </c>
    </row>
    <row r="48" spans="1:18" ht="19.2" thickTop="1">
      <c r="A48" s="8"/>
      <c r="B48" s="67" t="s">
        <v>29</v>
      </c>
      <c r="C48" s="68"/>
      <c r="D48" s="69"/>
      <c r="E48" s="70"/>
      <c r="F48" s="70"/>
      <c r="G48" s="71"/>
      <c r="H48" s="72"/>
      <c r="I48" s="73"/>
      <c r="J48" s="69"/>
      <c r="K48" s="74"/>
      <c r="L48" s="75"/>
      <c r="M48" s="76"/>
      <c r="N48" s="77"/>
      <c r="O48" s="78"/>
      <c r="P48" s="78"/>
      <c r="Q48" s="78"/>
      <c r="R48" s="79"/>
    </row>
    <row r="49" spans="1:18" ht="18.600000000000001">
      <c r="A49" s="8">
        <v>1</v>
      </c>
      <c r="B49" s="62"/>
      <c r="C49" s="63"/>
      <c r="D49" s="23">
        <v>0</v>
      </c>
      <c r="E49" s="24"/>
      <c r="F49" s="24"/>
      <c r="G49" s="25"/>
      <c r="H49" s="26">
        <v>0</v>
      </c>
      <c r="I49" s="27">
        <f>H49*0.07</f>
        <v>0</v>
      </c>
      <c r="J49" s="23">
        <v>0</v>
      </c>
      <c r="K49" s="28"/>
      <c r="L49" s="29"/>
      <c r="M49" s="30">
        <v>0</v>
      </c>
      <c r="N49" s="31"/>
      <c r="O49" s="25"/>
      <c r="P49" s="27">
        <f>ROUND(R49*100/107,2)</f>
        <v>0</v>
      </c>
      <c r="Q49" s="27">
        <f>P49*0.07</f>
        <v>0</v>
      </c>
      <c r="R49" s="32">
        <f>D49+J49-M49</f>
        <v>0</v>
      </c>
    </row>
    <row r="50" spans="1:18" ht="18.600000000000001">
      <c r="A50" s="8">
        <f>+A49+1</f>
        <v>2</v>
      </c>
      <c r="B50" s="64" t="s">
        <v>21</v>
      </c>
      <c r="C50" s="63"/>
      <c r="D50" s="23">
        <v>0</v>
      </c>
      <c r="E50" s="24"/>
      <c r="F50" s="24"/>
      <c r="G50" s="25"/>
      <c r="H50" s="27">
        <v>0</v>
      </c>
      <c r="I50" s="27">
        <f>H50*0.07</f>
        <v>0</v>
      </c>
      <c r="J50" s="36">
        <v>0</v>
      </c>
      <c r="K50" s="28"/>
      <c r="L50" s="29"/>
      <c r="M50" s="30">
        <v>0</v>
      </c>
      <c r="N50" s="31"/>
      <c r="O50" s="25"/>
      <c r="P50" s="27">
        <f>ROUND(R50*100/107,2)</f>
        <v>0</v>
      </c>
      <c r="Q50" s="27">
        <f>P50*0.07</f>
        <v>0</v>
      </c>
      <c r="R50" s="32">
        <f>D50+J50-M50</f>
        <v>0</v>
      </c>
    </row>
    <row r="51" spans="1:18" ht="18.600000000000001">
      <c r="A51" s="8">
        <f>+A50+1</f>
        <v>3</v>
      </c>
      <c r="B51" s="65"/>
      <c r="C51" s="63"/>
      <c r="D51" s="23">
        <v>0</v>
      </c>
      <c r="E51" s="24"/>
      <c r="F51" s="38"/>
      <c r="G51" s="39"/>
      <c r="H51" s="40">
        <f>J51*100/107</f>
        <v>0</v>
      </c>
      <c r="I51" s="40">
        <f>H51*0.07</f>
        <v>0</v>
      </c>
      <c r="J51" s="41">
        <v>0</v>
      </c>
      <c r="K51" s="28"/>
      <c r="L51" s="29"/>
      <c r="M51" s="30">
        <v>0</v>
      </c>
      <c r="N51" s="31"/>
      <c r="O51" s="25"/>
      <c r="P51" s="27">
        <f>ROUND(R51*100/107,2)</f>
        <v>0</v>
      </c>
      <c r="Q51" s="27">
        <f>P51*0.07</f>
        <v>0</v>
      </c>
      <c r="R51" s="32">
        <f>D51+J51-M51</f>
        <v>0</v>
      </c>
    </row>
    <row r="52" spans="1:18" ht="19.2" thickBot="1">
      <c r="A52" s="42"/>
      <c r="B52" s="191" t="s">
        <v>19</v>
      </c>
      <c r="C52" s="192"/>
      <c r="D52" s="43">
        <f>SUM(D49:D51)</f>
        <v>0</v>
      </c>
      <c r="E52" s="43"/>
      <c r="F52" s="43"/>
      <c r="G52" s="44"/>
      <c r="H52" s="44">
        <f>SUM(H49:H51)</f>
        <v>0</v>
      </c>
      <c r="I52" s="44">
        <f>SUM(I49:I51)</f>
        <v>0</v>
      </c>
      <c r="J52" s="44">
        <f>SUM(J49:J51)</f>
        <v>0</v>
      </c>
      <c r="K52" s="45"/>
      <c r="L52" s="46"/>
      <c r="M52" s="47">
        <f>SUM(M49:M51)</f>
        <v>0</v>
      </c>
      <c r="N52" s="48"/>
      <c r="O52" s="43"/>
      <c r="P52" s="49">
        <f>ROUND(R52*100/107,2)</f>
        <v>0</v>
      </c>
      <c r="Q52" s="49">
        <f>P52*0.07</f>
        <v>0</v>
      </c>
      <c r="R52" s="50">
        <f>SUM(R49:R51)</f>
        <v>0</v>
      </c>
    </row>
    <row r="53" spans="1:18" ht="19.2" thickTop="1">
      <c r="A53" s="8"/>
      <c r="B53" s="51" t="s">
        <v>30</v>
      </c>
      <c r="C53" s="52"/>
      <c r="D53" s="11"/>
      <c r="E53" s="12"/>
      <c r="F53" s="12"/>
      <c r="G53" s="53"/>
      <c r="H53" s="14"/>
      <c r="I53" s="15"/>
      <c r="J53" s="11"/>
      <c r="K53" s="16"/>
      <c r="L53" s="17"/>
      <c r="M53" s="18"/>
      <c r="N53" s="19"/>
      <c r="O53" s="13"/>
      <c r="P53" s="13"/>
      <c r="Q53" s="13"/>
      <c r="R53" s="20"/>
    </row>
    <row r="54" spans="1:18" ht="18.600000000000001">
      <c r="A54" s="8">
        <v>1</v>
      </c>
      <c r="B54" s="62"/>
      <c r="C54" s="63"/>
      <c r="D54" s="23">
        <v>0</v>
      </c>
      <c r="E54" s="24"/>
      <c r="F54" s="24"/>
      <c r="G54" s="25"/>
      <c r="H54" s="26">
        <v>0</v>
      </c>
      <c r="I54" s="27">
        <f>H54*0.07</f>
        <v>0</v>
      </c>
      <c r="J54" s="23">
        <v>0</v>
      </c>
      <c r="K54" s="28"/>
      <c r="L54" s="29"/>
      <c r="M54" s="30">
        <v>0</v>
      </c>
      <c r="N54" s="31"/>
      <c r="O54" s="25"/>
      <c r="P54" s="27">
        <f>ROUND(R54*100/107,2)</f>
        <v>0</v>
      </c>
      <c r="Q54" s="27">
        <f>P54*0.07</f>
        <v>0</v>
      </c>
      <c r="R54" s="32">
        <f>D54+J54-M54</f>
        <v>0</v>
      </c>
    </row>
    <row r="55" spans="1:18" ht="18.600000000000001">
      <c r="A55" s="8">
        <f>+A54+1</f>
        <v>2</v>
      </c>
      <c r="B55" s="64" t="s">
        <v>21</v>
      </c>
      <c r="C55" s="63"/>
      <c r="D55" s="23">
        <v>0</v>
      </c>
      <c r="E55" s="24"/>
      <c r="F55" s="24"/>
      <c r="G55" s="25"/>
      <c r="H55" s="27">
        <v>0</v>
      </c>
      <c r="I55" s="27">
        <f>H55*0.07</f>
        <v>0</v>
      </c>
      <c r="J55" s="36">
        <v>0</v>
      </c>
      <c r="K55" s="28"/>
      <c r="L55" s="29"/>
      <c r="M55" s="30">
        <v>0</v>
      </c>
      <c r="N55" s="31"/>
      <c r="O55" s="25"/>
      <c r="P55" s="27">
        <f>ROUND(R55*100/107,2)</f>
        <v>0</v>
      </c>
      <c r="Q55" s="27">
        <f>P55*0.07</f>
        <v>0</v>
      </c>
      <c r="R55" s="32">
        <f>D55+J55-M55</f>
        <v>0</v>
      </c>
    </row>
    <row r="56" spans="1:18" ht="18.600000000000001">
      <c r="A56" s="8">
        <f>+A55+1</f>
        <v>3</v>
      </c>
      <c r="B56" s="65"/>
      <c r="C56" s="63"/>
      <c r="D56" s="23">
        <v>0</v>
      </c>
      <c r="E56" s="24"/>
      <c r="F56" s="38"/>
      <c r="G56" s="39"/>
      <c r="H56" s="40">
        <f>J56*100/107</f>
        <v>0</v>
      </c>
      <c r="I56" s="40">
        <f>H56*0.07</f>
        <v>0</v>
      </c>
      <c r="J56" s="41">
        <v>0</v>
      </c>
      <c r="K56" s="28"/>
      <c r="L56" s="29"/>
      <c r="M56" s="30">
        <v>0</v>
      </c>
      <c r="N56" s="31"/>
      <c r="O56" s="25"/>
      <c r="P56" s="27">
        <f>ROUND(R56*100/107,2)</f>
        <v>0</v>
      </c>
      <c r="Q56" s="27">
        <f>P56*0.07</f>
        <v>0</v>
      </c>
      <c r="R56" s="32">
        <f>D56+J56-M56</f>
        <v>0</v>
      </c>
    </row>
    <row r="57" spans="1:18" ht="19.2" thickBot="1">
      <c r="A57" s="42"/>
      <c r="B57" s="191" t="s">
        <v>19</v>
      </c>
      <c r="C57" s="192"/>
      <c r="D57" s="43">
        <f>SUM(D54:D56)</f>
        <v>0</v>
      </c>
      <c r="E57" s="43"/>
      <c r="F57" s="43"/>
      <c r="G57" s="44"/>
      <c r="H57" s="44">
        <f>SUM(H54:H56)</f>
        <v>0</v>
      </c>
      <c r="I57" s="44">
        <f>SUM(I54:I56)</f>
        <v>0</v>
      </c>
      <c r="J57" s="44">
        <f>SUM(J54:J56)</f>
        <v>0</v>
      </c>
      <c r="K57" s="45"/>
      <c r="L57" s="46"/>
      <c r="M57" s="47">
        <f>SUM(M54:M56)</f>
        <v>0</v>
      </c>
      <c r="N57" s="48"/>
      <c r="O57" s="43"/>
      <c r="P57" s="49">
        <f>ROUND(R57*100/107,2)</f>
        <v>0</v>
      </c>
      <c r="Q57" s="49">
        <f>P57*0.07</f>
        <v>0</v>
      </c>
      <c r="R57" s="50">
        <f>SUM(R54:R56)</f>
        <v>0</v>
      </c>
    </row>
    <row r="58" spans="1:18" ht="19.2" thickTop="1">
      <c r="A58" s="8"/>
      <c r="B58" s="95" t="s">
        <v>31</v>
      </c>
      <c r="C58" s="68"/>
      <c r="D58" s="69"/>
      <c r="E58" s="70"/>
      <c r="F58" s="70"/>
      <c r="G58" s="78"/>
      <c r="H58" s="78"/>
      <c r="I58" s="78"/>
      <c r="J58" s="69"/>
      <c r="K58" s="74"/>
      <c r="L58" s="75"/>
      <c r="M58" s="76"/>
      <c r="N58" s="77"/>
      <c r="O58" s="78"/>
      <c r="P58" s="78"/>
      <c r="Q58" s="78"/>
      <c r="R58" s="96"/>
    </row>
    <row r="59" spans="1:18" ht="18.600000000000001">
      <c r="A59" s="42">
        <v>1</v>
      </c>
      <c r="B59" s="97" t="s">
        <v>32</v>
      </c>
      <c r="C59" s="98" t="s">
        <v>33</v>
      </c>
      <c r="D59" s="98">
        <v>0</v>
      </c>
      <c r="E59" s="24" t="s">
        <v>34</v>
      </c>
      <c r="F59" s="24"/>
      <c r="G59" s="25"/>
      <c r="H59" s="27">
        <v>322273.98</v>
      </c>
      <c r="I59" s="81">
        <v>0</v>
      </c>
      <c r="J59" s="23">
        <f>SUM(H59:I59)</f>
        <v>322273.98</v>
      </c>
      <c r="K59" s="28"/>
      <c r="L59" s="29"/>
      <c r="M59" s="55">
        <v>0</v>
      </c>
      <c r="N59" s="24" t="s">
        <v>34</v>
      </c>
      <c r="O59" s="25"/>
      <c r="P59" s="27">
        <f>+D59+H59-M59</f>
        <v>322273.98</v>
      </c>
      <c r="Q59" s="27">
        <v>0</v>
      </c>
      <c r="R59" s="99">
        <f>D59+J59-M59</f>
        <v>322273.98</v>
      </c>
    </row>
    <row r="60" spans="1:18" ht="18.600000000000001">
      <c r="A60" s="42"/>
      <c r="B60" s="100" t="s">
        <v>35</v>
      </c>
      <c r="C60" s="98" t="s">
        <v>36</v>
      </c>
      <c r="D60" s="98"/>
      <c r="E60" s="24"/>
      <c r="F60" s="24"/>
      <c r="G60" s="25"/>
      <c r="H60" s="25"/>
      <c r="I60" s="25"/>
      <c r="J60" s="23"/>
      <c r="K60" s="28"/>
      <c r="L60" s="29"/>
      <c r="M60" s="55"/>
      <c r="N60" s="31"/>
      <c r="O60" s="25"/>
      <c r="P60" s="27"/>
      <c r="Q60" s="27"/>
      <c r="R60" s="99"/>
    </row>
    <row r="61" spans="1:18" ht="18.600000000000001">
      <c r="A61" s="42"/>
      <c r="B61" s="100" t="s">
        <v>37</v>
      </c>
      <c r="C61" s="101"/>
      <c r="D61" s="23"/>
      <c r="E61" s="24"/>
      <c r="F61" s="24"/>
      <c r="G61" s="25"/>
      <c r="H61" s="25"/>
      <c r="I61" s="25"/>
      <c r="J61" s="23"/>
      <c r="K61" s="28"/>
      <c r="L61" s="29"/>
      <c r="M61" s="55"/>
      <c r="N61" s="31"/>
      <c r="O61" s="25"/>
      <c r="P61" s="27"/>
      <c r="Q61" s="27"/>
      <c r="R61" s="99"/>
    </row>
    <row r="62" spans="1:18" ht="18.600000000000001">
      <c r="A62" s="42"/>
      <c r="B62" s="100" t="s">
        <v>38</v>
      </c>
      <c r="C62" s="101"/>
      <c r="D62" s="23"/>
      <c r="E62" s="24"/>
      <c r="F62" s="24"/>
      <c r="G62" s="25"/>
      <c r="H62" s="25"/>
      <c r="I62" s="25"/>
      <c r="J62" s="23"/>
      <c r="K62" s="28"/>
      <c r="L62" s="29"/>
      <c r="M62" s="55"/>
      <c r="N62" s="31"/>
      <c r="O62" s="25"/>
      <c r="P62" s="27"/>
      <c r="Q62" s="27"/>
      <c r="R62" s="99"/>
    </row>
    <row r="63" spans="1:18" ht="18.600000000000001">
      <c r="A63" s="8">
        <f>+A59+1</f>
        <v>2</v>
      </c>
      <c r="B63" s="102" t="s">
        <v>32</v>
      </c>
      <c r="C63" s="98" t="s">
        <v>39</v>
      </c>
      <c r="D63" s="98">
        <v>0</v>
      </c>
      <c r="E63" s="62" t="s">
        <v>40</v>
      </c>
      <c r="F63" s="62">
        <v>16</v>
      </c>
      <c r="G63" s="25"/>
      <c r="H63" s="27">
        <v>5208581.93</v>
      </c>
      <c r="I63" s="26">
        <v>0</v>
      </c>
      <c r="J63" s="23">
        <f>SUM(H63:I63)</f>
        <v>5208581.93</v>
      </c>
      <c r="K63" s="28"/>
      <c r="L63" s="29"/>
      <c r="M63" s="55">
        <v>0</v>
      </c>
      <c r="N63" s="62" t="s">
        <v>40</v>
      </c>
      <c r="O63" s="25">
        <v>16</v>
      </c>
      <c r="P63" s="27">
        <f>+D63+H63-M63</f>
        <v>5208581.93</v>
      </c>
      <c r="Q63" s="27">
        <v>0</v>
      </c>
      <c r="R63" s="99">
        <f>D63+J63-M63</f>
        <v>5208581.93</v>
      </c>
    </row>
    <row r="64" spans="1:18" ht="18.600000000000001">
      <c r="A64" s="8"/>
      <c r="B64" s="100" t="s">
        <v>41</v>
      </c>
      <c r="C64" s="101"/>
      <c r="D64" s="23"/>
      <c r="E64" s="62" t="s">
        <v>42</v>
      </c>
      <c r="F64" s="62"/>
      <c r="G64" s="25"/>
      <c r="H64" s="25"/>
      <c r="I64" s="25"/>
      <c r="J64" s="23"/>
      <c r="K64" s="28"/>
      <c r="L64" s="29"/>
      <c r="M64" s="55"/>
      <c r="N64" s="62" t="s">
        <v>42</v>
      </c>
      <c r="O64" s="25"/>
      <c r="P64" s="27"/>
      <c r="Q64" s="25"/>
      <c r="R64" s="92"/>
    </row>
    <row r="65" spans="1:18" ht="18.600000000000001">
      <c r="A65" s="8"/>
      <c r="B65" s="103" t="s">
        <v>43</v>
      </c>
      <c r="C65" s="104"/>
      <c r="D65" s="23"/>
      <c r="E65" s="24"/>
      <c r="F65" s="24"/>
      <c r="G65" s="25"/>
      <c r="H65" s="25"/>
      <c r="I65" s="25"/>
      <c r="J65" s="23"/>
      <c r="K65" s="28"/>
      <c r="L65" s="29"/>
      <c r="M65" s="55"/>
      <c r="N65" s="31"/>
      <c r="O65" s="25"/>
      <c r="P65" s="27"/>
      <c r="Q65" s="25"/>
      <c r="R65" s="92"/>
    </row>
    <row r="66" spans="1:18" ht="18.600000000000001">
      <c r="A66" s="8"/>
      <c r="B66" s="103" t="s">
        <v>44</v>
      </c>
      <c r="C66" s="104"/>
      <c r="D66" s="23"/>
      <c r="E66" s="24"/>
      <c r="F66" s="24"/>
      <c r="G66" s="25"/>
      <c r="H66" s="25"/>
      <c r="I66" s="25"/>
      <c r="J66" s="23"/>
      <c r="K66" s="28"/>
      <c r="L66" s="29"/>
      <c r="M66" s="55"/>
      <c r="N66" s="31"/>
      <c r="O66" s="25"/>
      <c r="P66" s="27"/>
      <c r="Q66" s="25"/>
      <c r="R66" s="92"/>
    </row>
    <row r="67" spans="1:18" ht="18.600000000000001">
      <c r="A67" s="8"/>
      <c r="B67" s="199" t="s">
        <v>19</v>
      </c>
      <c r="C67" s="200"/>
      <c r="D67" s="23"/>
      <c r="E67" s="24"/>
      <c r="F67" s="24"/>
      <c r="G67" s="25"/>
      <c r="H67" s="25"/>
      <c r="I67" s="25"/>
      <c r="J67" s="23"/>
      <c r="K67" s="28"/>
      <c r="L67" s="29"/>
      <c r="M67" s="55"/>
      <c r="N67" s="31"/>
      <c r="O67" s="25"/>
      <c r="P67" s="27"/>
      <c r="Q67" s="25"/>
      <c r="R67" s="92"/>
    </row>
    <row r="68" spans="1:18" ht="21.6" thickBot="1">
      <c r="A68" s="105"/>
      <c r="B68" s="201"/>
      <c r="C68" s="202"/>
      <c r="D68" s="106">
        <f>SUM(D59:D67)</f>
        <v>0</v>
      </c>
      <c r="E68" s="106"/>
      <c r="F68" s="106"/>
      <c r="G68" s="106"/>
      <c r="H68" s="106">
        <f t="shared" ref="H68:M68" si="0">SUM(H59:H67)</f>
        <v>5530855.9100000001</v>
      </c>
      <c r="I68" s="106">
        <f t="shared" si="0"/>
        <v>0</v>
      </c>
      <c r="J68" s="106">
        <f t="shared" si="0"/>
        <v>5530855.9100000001</v>
      </c>
      <c r="K68" s="107"/>
      <c r="L68" s="107"/>
      <c r="M68" s="107">
        <f t="shared" si="0"/>
        <v>0</v>
      </c>
      <c r="N68" s="108"/>
      <c r="O68" s="106"/>
      <c r="P68" s="106">
        <f>SUM(P59:P67)</f>
        <v>5530855.9100000001</v>
      </c>
      <c r="Q68" s="106">
        <f>SUM(Q59:Q67)</f>
        <v>0</v>
      </c>
      <c r="R68" s="106">
        <f>SUM(R59:R67)</f>
        <v>5530855.9100000001</v>
      </c>
    </row>
    <row r="69" spans="1:18" ht="19.2" thickTop="1">
      <c r="A69" s="8"/>
      <c r="B69" s="51" t="s">
        <v>45</v>
      </c>
      <c r="C69" s="52"/>
      <c r="D69" s="11"/>
      <c r="E69" s="12"/>
      <c r="F69" s="12"/>
      <c r="G69" s="53"/>
      <c r="H69" s="14"/>
      <c r="I69" s="15"/>
      <c r="J69" s="11"/>
      <c r="K69" s="16"/>
      <c r="L69" s="17"/>
      <c r="M69" s="18"/>
      <c r="N69" s="19"/>
      <c r="O69" s="13"/>
      <c r="P69" s="13"/>
      <c r="Q69" s="13"/>
      <c r="R69" s="20"/>
    </row>
    <row r="70" spans="1:18" ht="18.600000000000001">
      <c r="A70" s="8">
        <v>1</v>
      </c>
      <c r="B70" s="62"/>
      <c r="C70" s="63"/>
      <c r="D70" s="23">
        <v>0</v>
      </c>
      <c r="E70" s="24"/>
      <c r="F70" s="24"/>
      <c r="G70" s="25"/>
      <c r="H70" s="26">
        <v>0</v>
      </c>
      <c r="I70" s="27">
        <f>H70*0.07</f>
        <v>0</v>
      </c>
      <c r="J70" s="23">
        <v>0</v>
      </c>
      <c r="K70" s="28"/>
      <c r="L70" s="29"/>
      <c r="M70" s="30">
        <v>0</v>
      </c>
      <c r="N70" s="31"/>
      <c r="O70" s="25"/>
      <c r="P70" s="27">
        <f>ROUND(R70*100/107,2)</f>
        <v>0</v>
      </c>
      <c r="Q70" s="27">
        <f>P70*0.07</f>
        <v>0</v>
      </c>
      <c r="R70" s="32">
        <f>D70+J70-M70</f>
        <v>0</v>
      </c>
    </row>
    <row r="71" spans="1:18" ht="18.600000000000001">
      <c r="A71" s="8">
        <f>+A70+1</f>
        <v>2</v>
      </c>
      <c r="B71" s="64" t="s">
        <v>21</v>
      </c>
      <c r="C71" s="63"/>
      <c r="D71" s="23">
        <v>0</v>
      </c>
      <c r="E71" s="24"/>
      <c r="F71" s="24"/>
      <c r="G71" s="25"/>
      <c r="H71" s="34">
        <v>0</v>
      </c>
      <c r="I71" s="35">
        <f>H71*0.07</f>
        <v>0</v>
      </c>
      <c r="J71" s="36">
        <v>0</v>
      </c>
      <c r="K71" s="28"/>
      <c r="L71" s="29"/>
      <c r="M71" s="30">
        <v>0</v>
      </c>
      <c r="N71" s="31"/>
      <c r="O71" s="25"/>
      <c r="P71" s="27">
        <f>ROUND(R71*100/107,2)</f>
        <v>0</v>
      </c>
      <c r="Q71" s="27">
        <f>P71*0.07</f>
        <v>0</v>
      </c>
      <c r="R71" s="32">
        <f>D71+J71-M71</f>
        <v>0</v>
      </c>
    </row>
    <row r="72" spans="1:18" ht="18.600000000000001">
      <c r="A72" s="8">
        <f>+A71+1</f>
        <v>3</v>
      </c>
      <c r="B72" s="65"/>
      <c r="C72" s="63"/>
      <c r="D72" s="23">
        <v>0</v>
      </c>
      <c r="E72" s="24"/>
      <c r="F72" s="38"/>
      <c r="G72" s="39"/>
      <c r="H72" s="40">
        <f>J72*100/107</f>
        <v>0</v>
      </c>
      <c r="I72" s="40">
        <f>H72*0.07</f>
        <v>0</v>
      </c>
      <c r="J72" s="41">
        <v>0</v>
      </c>
      <c r="K72" s="28"/>
      <c r="L72" s="29"/>
      <c r="M72" s="30">
        <v>0</v>
      </c>
      <c r="N72" s="31"/>
      <c r="O72" s="25"/>
      <c r="P72" s="27">
        <f>ROUND(R72*100/107,2)</f>
        <v>0</v>
      </c>
      <c r="Q72" s="27">
        <f>P72*0.07</f>
        <v>0</v>
      </c>
      <c r="R72" s="32">
        <f>D72+J72-M72</f>
        <v>0</v>
      </c>
    </row>
    <row r="73" spans="1:18" ht="19.2" thickBot="1">
      <c r="A73" s="42"/>
      <c r="B73" s="191" t="s">
        <v>19</v>
      </c>
      <c r="C73" s="192"/>
      <c r="D73" s="43">
        <f>SUM(D70:D72)</f>
        <v>0</v>
      </c>
      <c r="E73" s="43"/>
      <c r="F73" s="43"/>
      <c r="G73" s="44"/>
      <c r="H73" s="44">
        <f>SUM(H70:H72)</f>
        <v>0</v>
      </c>
      <c r="I73" s="44">
        <f>SUM(I70:I72)</f>
        <v>0</v>
      </c>
      <c r="J73" s="44">
        <f>SUM(J70:J72)</f>
        <v>0</v>
      </c>
      <c r="K73" s="45"/>
      <c r="L73" s="46"/>
      <c r="M73" s="47">
        <f>SUM(M70:M72)</f>
        <v>0</v>
      </c>
      <c r="N73" s="48"/>
      <c r="O73" s="43"/>
      <c r="P73" s="49">
        <f>ROUND(R73*100/107,2)</f>
        <v>0</v>
      </c>
      <c r="Q73" s="49">
        <f>P73*0.07</f>
        <v>0</v>
      </c>
      <c r="R73" s="50">
        <f>SUM(R70:R72)</f>
        <v>0</v>
      </c>
    </row>
    <row r="74" spans="1:18" ht="19.2" thickTop="1">
      <c r="A74" s="42"/>
      <c r="B74" s="109" t="s">
        <v>46</v>
      </c>
      <c r="C74" s="110"/>
      <c r="D74" s="69"/>
      <c r="E74" s="70"/>
      <c r="F74" s="70"/>
      <c r="G74" s="78"/>
      <c r="H74" s="85">
        <f>J74*100/107</f>
        <v>0</v>
      </c>
      <c r="I74" s="85">
        <f>H74*0.07</f>
        <v>0</v>
      </c>
      <c r="J74" s="111"/>
      <c r="K74" s="74"/>
      <c r="L74" s="75"/>
      <c r="M74" s="76"/>
      <c r="N74" s="77"/>
      <c r="O74" s="78"/>
      <c r="P74" s="78"/>
      <c r="Q74" s="78"/>
      <c r="R74" s="79"/>
    </row>
    <row r="75" spans="1:18" ht="18.600000000000001">
      <c r="A75" s="42">
        <v>1</v>
      </c>
      <c r="B75" s="97"/>
      <c r="C75" s="112"/>
      <c r="D75" s="23">
        <v>0</v>
      </c>
      <c r="E75" s="24"/>
      <c r="F75" s="24"/>
      <c r="G75" s="25"/>
      <c r="H75" s="26">
        <v>0</v>
      </c>
      <c r="I75" s="27">
        <f>H75*0.07</f>
        <v>0</v>
      </c>
      <c r="J75" s="23">
        <v>0</v>
      </c>
      <c r="K75" s="28"/>
      <c r="L75" s="29"/>
      <c r="M75" s="55">
        <v>0</v>
      </c>
      <c r="N75" s="54"/>
      <c r="O75" s="25"/>
      <c r="P75" s="27">
        <f>ROUND(R75*100/107,2)</f>
        <v>0</v>
      </c>
      <c r="Q75" s="27">
        <f>P75*0.07</f>
        <v>0</v>
      </c>
      <c r="R75" s="32">
        <f>D75+J75-M75</f>
        <v>0</v>
      </c>
    </row>
    <row r="76" spans="1:18" ht="18.600000000000001">
      <c r="A76" s="42">
        <f>+A75+1</f>
        <v>2</v>
      </c>
      <c r="B76" s="113" t="s">
        <v>21</v>
      </c>
      <c r="C76" s="112"/>
      <c r="D76" s="23">
        <v>0</v>
      </c>
      <c r="E76" s="24"/>
      <c r="F76" s="24"/>
      <c r="G76" s="25"/>
      <c r="H76" s="26">
        <v>0</v>
      </c>
      <c r="I76" s="27">
        <f>H76*0.07</f>
        <v>0</v>
      </c>
      <c r="J76" s="23">
        <v>0</v>
      </c>
      <c r="K76" s="28"/>
      <c r="L76" s="29"/>
      <c r="M76" s="55">
        <v>0</v>
      </c>
      <c r="N76" s="31"/>
      <c r="O76" s="25"/>
      <c r="P76" s="27">
        <v>0</v>
      </c>
      <c r="Q76" s="27">
        <f>P76*0.07</f>
        <v>0</v>
      </c>
      <c r="R76" s="32">
        <f>D76+J76-M76</f>
        <v>0</v>
      </c>
    </row>
    <row r="77" spans="1:18" ht="18.600000000000001">
      <c r="A77" s="42">
        <f>+A76+1</f>
        <v>3</v>
      </c>
      <c r="B77" s="62"/>
      <c r="C77" s="112"/>
      <c r="D77" s="23">
        <v>0</v>
      </c>
      <c r="E77" s="24"/>
      <c r="F77" s="24"/>
      <c r="G77" s="25"/>
      <c r="H77" s="26">
        <v>0</v>
      </c>
      <c r="I77" s="27">
        <f>H77*0.07</f>
        <v>0</v>
      </c>
      <c r="J77" s="23">
        <v>0</v>
      </c>
      <c r="K77" s="28"/>
      <c r="L77" s="29"/>
      <c r="M77" s="55">
        <v>0</v>
      </c>
      <c r="N77" s="31"/>
      <c r="O77" s="25"/>
      <c r="P77" s="27">
        <f>ROUND(R77*100/107,2)</f>
        <v>0</v>
      </c>
      <c r="Q77" s="27">
        <f>P77*0.07</f>
        <v>0</v>
      </c>
      <c r="R77" s="32">
        <f>D77+J77-M77</f>
        <v>0</v>
      </c>
    </row>
    <row r="78" spans="1:18" ht="19.2" thickBot="1">
      <c r="A78" s="42"/>
      <c r="B78" s="191" t="s">
        <v>19</v>
      </c>
      <c r="C78" s="192"/>
      <c r="D78" s="106">
        <f>SUM(D75:D77)</f>
        <v>0</v>
      </c>
      <c r="E78" s="106"/>
      <c r="F78" s="106"/>
      <c r="G78" s="106"/>
      <c r="H78" s="106">
        <f>SUM(H75:H77)</f>
        <v>0</v>
      </c>
      <c r="I78" s="106">
        <f>SUM(I75:I77)</f>
        <v>0</v>
      </c>
      <c r="J78" s="106">
        <f>SUM(J75:J77)</f>
        <v>0</v>
      </c>
      <c r="K78" s="114"/>
      <c r="L78" s="114"/>
      <c r="M78" s="107">
        <f>SUM(M75:M77)</f>
        <v>0</v>
      </c>
      <c r="N78" s="108"/>
      <c r="O78" s="106"/>
      <c r="P78" s="106">
        <f>SUM(P75:P77)</f>
        <v>0</v>
      </c>
      <c r="Q78" s="106">
        <f>SUM(Q75:Q77)</f>
        <v>0</v>
      </c>
      <c r="R78" s="106">
        <f>SUM(R75:R77)</f>
        <v>0</v>
      </c>
    </row>
    <row r="79" spans="1:18" ht="19.2" thickTop="1">
      <c r="A79" s="42"/>
      <c r="B79" s="115" t="s">
        <v>47</v>
      </c>
      <c r="C79" s="94"/>
      <c r="D79" s="111"/>
      <c r="E79" s="70"/>
      <c r="F79" s="70"/>
      <c r="G79" s="78"/>
      <c r="H79" s="116"/>
      <c r="I79" s="78"/>
      <c r="J79" s="69"/>
      <c r="K79" s="16"/>
      <c r="L79" s="17"/>
      <c r="M79" s="18"/>
      <c r="N79" s="77"/>
      <c r="O79" s="78"/>
      <c r="P79" s="78"/>
      <c r="Q79" s="78"/>
      <c r="R79" s="96"/>
    </row>
    <row r="80" spans="1:18" ht="18.600000000000001">
      <c r="A80" s="42">
        <v>1</v>
      </c>
      <c r="B80" s="195"/>
      <c r="C80" s="196"/>
      <c r="D80" s="23">
        <v>0</v>
      </c>
      <c r="E80" s="77"/>
      <c r="F80" s="77"/>
      <c r="G80" s="78"/>
      <c r="H80" s="34">
        <v>0</v>
      </c>
      <c r="I80" s="27">
        <f>H80*0.07</f>
        <v>0</v>
      </c>
      <c r="J80" s="23">
        <f>SUM(H80:I80)</f>
        <v>0</v>
      </c>
      <c r="K80" s="56"/>
      <c r="L80" s="56"/>
      <c r="M80" s="55">
        <v>0</v>
      </c>
      <c r="N80" s="77"/>
      <c r="O80" s="78"/>
      <c r="P80" s="27">
        <f>R80*100/107</f>
        <v>0</v>
      </c>
      <c r="Q80" s="27">
        <f>P80*0.07</f>
        <v>0</v>
      </c>
      <c r="R80" s="32">
        <f>D80+J80-M80</f>
        <v>0</v>
      </c>
    </row>
    <row r="81" spans="1:18" ht="18.600000000000001">
      <c r="A81" s="8">
        <v>2</v>
      </c>
      <c r="B81" s="197" t="s">
        <v>21</v>
      </c>
      <c r="C81" s="198"/>
      <c r="D81" s="23">
        <v>0</v>
      </c>
      <c r="E81" s="31"/>
      <c r="F81" s="31"/>
      <c r="G81" s="25"/>
      <c r="H81" s="34">
        <v>0</v>
      </c>
      <c r="I81" s="27">
        <f>H81*0.07</f>
        <v>0</v>
      </c>
      <c r="J81" s="23">
        <f>SUM(H81:I81)</f>
        <v>0</v>
      </c>
      <c r="K81" s="56"/>
      <c r="L81" s="117"/>
      <c r="M81" s="55">
        <v>0</v>
      </c>
      <c r="N81" s="31"/>
      <c r="O81" s="25"/>
      <c r="P81" s="27">
        <f>ROUND(R81*100/107,2)</f>
        <v>0</v>
      </c>
      <c r="Q81" s="27">
        <f>P81*0.07</f>
        <v>0</v>
      </c>
      <c r="R81" s="32">
        <f>D81+J81-M81</f>
        <v>0</v>
      </c>
    </row>
    <row r="82" spans="1:18" ht="18.600000000000001">
      <c r="A82" s="42">
        <v>3</v>
      </c>
      <c r="B82" s="195"/>
      <c r="C82" s="196"/>
      <c r="D82" s="118">
        <v>0</v>
      </c>
      <c r="E82" s="54"/>
      <c r="F82" s="54"/>
      <c r="G82" s="25"/>
      <c r="H82" s="81">
        <v>0</v>
      </c>
      <c r="I82" s="27">
        <f>H82*0.07</f>
        <v>0</v>
      </c>
      <c r="J82" s="23">
        <f>SUM(H82:I82)</f>
        <v>0</v>
      </c>
      <c r="K82" s="56"/>
      <c r="L82" s="91"/>
      <c r="M82" s="55">
        <v>0</v>
      </c>
      <c r="N82" s="54"/>
      <c r="O82" s="25"/>
      <c r="P82" s="27">
        <f>R82*100/107</f>
        <v>0</v>
      </c>
      <c r="Q82" s="27">
        <f>P82*0.07</f>
        <v>0</v>
      </c>
      <c r="R82" s="32">
        <f>D82+J82-M82</f>
        <v>0</v>
      </c>
    </row>
    <row r="83" spans="1:18" ht="19.2" thickBot="1">
      <c r="A83" s="42"/>
      <c r="B83" s="191" t="s">
        <v>19</v>
      </c>
      <c r="C83" s="192"/>
      <c r="D83" s="43">
        <f>SUM(D80:D82)</f>
        <v>0</v>
      </c>
      <c r="E83" s="43"/>
      <c r="F83" s="43"/>
      <c r="G83" s="43"/>
      <c r="H83" s="43">
        <f>SUM(H80:H82)</f>
        <v>0</v>
      </c>
      <c r="I83" s="43">
        <f>SUM(I80:I82)</f>
        <v>0</v>
      </c>
      <c r="J83" s="43">
        <f>SUM(J80:J82)</f>
        <v>0</v>
      </c>
      <c r="K83" s="119"/>
      <c r="L83" s="119"/>
      <c r="M83" s="47">
        <f>SUM(M80:M82)</f>
        <v>0</v>
      </c>
      <c r="N83" s="48"/>
      <c r="O83" s="43"/>
      <c r="P83" s="43">
        <f>SUM(P80:P82)</f>
        <v>0</v>
      </c>
      <c r="Q83" s="43">
        <f>SUM(Q80:Q82)</f>
        <v>0</v>
      </c>
      <c r="R83" s="43">
        <f>SUM(R80:R82)</f>
        <v>0</v>
      </c>
    </row>
    <row r="84" spans="1:18" ht="19.2" thickTop="1">
      <c r="A84" s="8"/>
      <c r="B84" s="51" t="s">
        <v>48</v>
      </c>
      <c r="C84" s="52"/>
      <c r="D84" s="11"/>
      <c r="E84" s="12"/>
      <c r="F84" s="12"/>
      <c r="G84" s="53"/>
      <c r="H84" s="14"/>
      <c r="I84" s="15"/>
      <c r="J84" s="11"/>
      <c r="K84" s="16"/>
      <c r="L84" s="17"/>
      <c r="M84" s="18"/>
      <c r="N84" s="19"/>
      <c r="O84" s="13"/>
      <c r="P84" s="13"/>
      <c r="Q84" s="13"/>
      <c r="R84" s="20"/>
    </row>
    <row r="85" spans="1:18" ht="18.600000000000001">
      <c r="A85" s="8">
        <v>1</v>
      </c>
      <c r="B85" s="62"/>
      <c r="C85" s="63"/>
      <c r="D85" s="23">
        <v>0</v>
      </c>
      <c r="E85" s="24"/>
      <c r="F85" s="24"/>
      <c r="G85" s="25"/>
      <c r="H85" s="26">
        <v>0</v>
      </c>
      <c r="I85" s="27">
        <f>H85*0.07</f>
        <v>0</v>
      </c>
      <c r="J85" s="23">
        <v>0</v>
      </c>
      <c r="K85" s="28"/>
      <c r="L85" s="29"/>
      <c r="M85" s="30">
        <v>0</v>
      </c>
      <c r="N85" s="31"/>
      <c r="O85" s="25"/>
      <c r="P85" s="27">
        <f>ROUND(R85*100/107,2)</f>
        <v>0</v>
      </c>
      <c r="Q85" s="27">
        <f>P85*0.07</f>
        <v>0</v>
      </c>
      <c r="R85" s="32">
        <f>D85+J85-M85</f>
        <v>0</v>
      </c>
    </row>
    <row r="86" spans="1:18" ht="18.600000000000001">
      <c r="A86" s="8">
        <f>+A85+1</f>
        <v>2</v>
      </c>
      <c r="B86" s="64" t="s">
        <v>21</v>
      </c>
      <c r="C86" s="63"/>
      <c r="D86" s="23">
        <v>0</v>
      </c>
      <c r="E86" s="24"/>
      <c r="F86" s="24"/>
      <c r="G86" s="25"/>
      <c r="H86" s="34">
        <v>0</v>
      </c>
      <c r="I86" s="35">
        <f>H86*0.07</f>
        <v>0</v>
      </c>
      <c r="J86" s="36">
        <v>0</v>
      </c>
      <c r="K86" s="28"/>
      <c r="L86" s="29"/>
      <c r="M86" s="30">
        <v>0</v>
      </c>
      <c r="N86" s="31"/>
      <c r="O86" s="25"/>
      <c r="P86" s="27">
        <f>ROUND(R86*100/107,2)</f>
        <v>0</v>
      </c>
      <c r="Q86" s="27">
        <f>P86*0.07</f>
        <v>0</v>
      </c>
      <c r="R86" s="32">
        <f>D86+J86-M86</f>
        <v>0</v>
      </c>
    </row>
    <row r="87" spans="1:18" ht="18.600000000000001">
      <c r="A87" s="8">
        <f>+A86+1</f>
        <v>3</v>
      </c>
      <c r="B87" s="65"/>
      <c r="C87" s="63"/>
      <c r="D87" s="23">
        <v>0</v>
      </c>
      <c r="E87" s="24"/>
      <c r="F87" s="38"/>
      <c r="G87" s="39"/>
      <c r="H87" s="40">
        <f>J87*100/107</f>
        <v>0</v>
      </c>
      <c r="I87" s="40">
        <f>H87*0.07</f>
        <v>0</v>
      </c>
      <c r="J87" s="41">
        <v>0</v>
      </c>
      <c r="K87" s="28"/>
      <c r="L87" s="29"/>
      <c r="M87" s="30">
        <v>0</v>
      </c>
      <c r="N87" s="31"/>
      <c r="O87" s="25"/>
      <c r="P87" s="27">
        <f>ROUND(R87*100/107,2)</f>
        <v>0</v>
      </c>
      <c r="Q87" s="27">
        <f>P87*0.07</f>
        <v>0</v>
      </c>
      <c r="R87" s="32">
        <f>D87+J87-M87</f>
        <v>0</v>
      </c>
    </row>
    <row r="88" spans="1:18" ht="19.2" thickBot="1">
      <c r="A88" s="42"/>
      <c r="B88" s="191" t="s">
        <v>19</v>
      </c>
      <c r="C88" s="192"/>
      <c r="D88" s="43">
        <f>SUM(D85:D87)</f>
        <v>0</v>
      </c>
      <c r="E88" s="43"/>
      <c r="F88" s="43"/>
      <c r="G88" s="44"/>
      <c r="H88" s="44">
        <f>SUM(H85:H87)</f>
        <v>0</v>
      </c>
      <c r="I88" s="44">
        <f>SUM(I85:I87)</f>
        <v>0</v>
      </c>
      <c r="J88" s="44">
        <f>SUM(J85:J87)</f>
        <v>0</v>
      </c>
      <c r="K88" s="45"/>
      <c r="L88" s="46"/>
      <c r="M88" s="47">
        <f>SUM(M85:M87)</f>
        <v>0</v>
      </c>
      <c r="N88" s="48"/>
      <c r="O88" s="43"/>
      <c r="P88" s="49">
        <f>ROUND(R88*100/107,2)</f>
        <v>0</v>
      </c>
      <c r="Q88" s="49">
        <f>P88*0.07</f>
        <v>0</v>
      </c>
      <c r="R88" s="50">
        <f>SUM(R85:R87)</f>
        <v>0</v>
      </c>
    </row>
    <row r="89" spans="1:18" ht="19.2" thickTop="1">
      <c r="A89" s="8"/>
      <c r="B89" s="67" t="s">
        <v>49</v>
      </c>
      <c r="C89" s="68"/>
      <c r="D89" s="69"/>
      <c r="E89" s="70"/>
      <c r="F89" s="70"/>
      <c r="G89" s="71"/>
      <c r="H89" s="72"/>
      <c r="I89" s="73"/>
      <c r="J89" s="69"/>
      <c r="K89" s="74"/>
      <c r="L89" s="75"/>
      <c r="M89" s="76"/>
      <c r="N89" s="77"/>
      <c r="O89" s="78"/>
      <c r="P89" s="78"/>
      <c r="Q89" s="78"/>
      <c r="R89" s="79"/>
    </row>
    <row r="90" spans="1:18" ht="18.600000000000001">
      <c r="A90" s="8">
        <v>1</v>
      </c>
      <c r="B90" s="62"/>
      <c r="C90" s="63"/>
      <c r="D90" s="23">
        <v>0</v>
      </c>
      <c r="E90" s="24"/>
      <c r="F90" s="24"/>
      <c r="G90" s="25"/>
      <c r="H90" s="81">
        <v>0</v>
      </c>
      <c r="I90" s="27">
        <f>H90*0.07</f>
        <v>0</v>
      </c>
      <c r="J90" s="23">
        <v>0</v>
      </c>
      <c r="K90" s="28"/>
      <c r="L90" s="29"/>
      <c r="M90" s="30">
        <v>0</v>
      </c>
      <c r="N90" s="31"/>
      <c r="O90" s="25"/>
      <c r="P90" s="27">
        <f>ROUND(R90*100/107,2)</f>
        <v>0</v>
      </c>
      <c r="Q90" s="27">
        <f>P90*0.07</f>
        <v>0</v>
      </c>
      <c r="R90" s="32">
        <f>D90+J90-M90</f>
        <v>0</v>
      </c>
    </row>
    <row r="91" spans="1:18" ht="18.600000000000001">
      <c r="A91" s="8">
        <f>+A90+1</f>
        <v>2</v>
      </c>
      <c r="B91" s="64" t="s">
        <v>21</v>
      </c>
      <c r="C91" s="63"/>
      <c r="D91" s="23">
        <v>0</v>
      </c>
      <c r="E91" s="24"/>
      <c r="F91" s="24"/>
      <c r="G91" s="25"/>
      <c r="H91" s="34">
        <v>0</v>
      </c>
      <c r="I91" s="35">
        <f>H91*0.07</f>
        <v>0</v>
      </c>
      <c r="J91" s="36">
        <v>0</v>
      </c>
      <c r="K91" s="28"/>
      <c r="L91" s="29"/>
      <c r="M91" s="30">
        <v>0</v>
      </c>
      <c r="N91" s="31"/>
      <c r="O91" s="25"/>
      <c r="P91" s="27">
        <f>ROUND(R91*100/107,2)</f>
        <v>0</v>
      </c>
      <c r="Q91" s="27">
        <f>P91*0.07</f>
        <v>0</v>
      </c>
      <c r="R91" s="32">
        <f>D91+J91-M91</f>
        <v>0</v>
      </c>
    </row>
    <row r="92" spans="1:18" ht="18.600000000000001">
      <c r="A92" s="8">
        <f>+A91+1</f>
        <v>3</v>
      </c>
      <c r="B92" s="65"/>
      <c r="C92" s="63"/>
      <c r="D92" s="23">
        <v>0</v>
      </c>
      <c r="E92" s="24"/>
      <c r="F92" s="38"/>
      <c r="G92" s="39"/>
      <c r="H92" s="40">
        <f>J92*100/107</f>
        <v>0</v>
      </c>
      <c r="I92" s="40">
        <f>H92*0.07</f>
        <v>0</v>
      </c>
      <c r="J92" s="41">
        <v>0</v>
      </c>
      <c r="K92" s="28"/>
      <c r="L92" s="29"/>
      <c r="M92" s="30">
        <v>0</v>
      </c>
      <c r="N92" s="31"/>
      <c r="O92" s="25"/>
      <c r="P92" s="27">
        <f>ROUND(R92*100/107,2)</f>
        <v>0</v>
      </c>
      <c r="Q92" s="27">
        <f>P92*0.07</f>
        <v>0</v>
      </c>
      <c r="R92" s="32">
        <f>D92+J92-M92</f>
        <v>0</v>
      </c>
    </row>
    <row r="93" spans="1:18" ht="19.2" thickBot="1">
      <c r="A93" s="42"/>
      <c r="B93" s="191" t="s">
        <v>19</v>
      </c>
      <c r="C93" s="192"/>
      <c r="D93" s="43">
        <f>SUM(D90:D92)</f>
        <v>0</v>
      </c>
      <c r="E93" s="43"/>
      <c r="F93" s="43"/>
      <c r="G93" s="44"/>
      <c r="H93" s="44">
        <f>SUM(H90:H92)</f>
        <v>0</v>
      </c>
      <c r="I93" s="44">
        <f>SUM(I90:I92)</f>
        <v>0</v>
      </c>
      <c r="J93" s="44">
        <f>SUM(J90:J92)</f>
        <v>0</v>
      </c>
      <c r="K93" s="45"/>
      <c r="L93" s="46"/>
      <c r="M93" s="47">
        <f>SUM(M90:M92)</f>
        <v>0</v>
      </c>
      <c r="N93" s="48"/>
      <c r="O93" s="43"/>
      <c r="P93" s="49">
        <f>ROUND(R93*100/107,2)</f>
        <v>0</v>
      </c>
      <c r="Q93" s="49">
        <f>P93*0.07</f>
        <v>0</v>
      </c>
      <c r="R93" s="50">
        <f>SUM(R90:R92)</f>
        <v>0</v>
      </c>
    </row>
    <row r="94" spans="1:18" ht="19.2" thickTop="1">
      <c r="A94" s="8"/>
      <c r="B94" s="67" t="s">
        <v>50</v>
      </c>
      <c r="C94" s="68"/>
      <c r="D94" s="69"/>
      <c r="E94" s="70"/>
      <c r="F94" s="70"/>
      <c r="G94" s="71"/>
      <c r="H94" s="72"/>
      <c r="I94" s="73"/>
      <c r="J94" s="69"/>
      <c r="K94" s="74"/>
      <c r="L94" s="75"/>
      <c r="M94" s="76"/>
      <c r="N94" s="77"/>
      <c r="O94" s="78"/>
      <c r="P94" s="78"/>
      <c r="Q94" s="78"/>
      <c r="R94" s="79"/>
    </row>
    <row r="95" spans="1:18" ht="18.600000000000001">
      <c r="A95" s="8">
        <v>1</v>
      </c>
      <c r="B95" s="62"/>
      <c r="C95" s="63"/>
      <c r="D95" s="23">
        <v>0</v>
      </c>
      <c r="E95" s="24"/>
      <c r="F95" s="24"/>
      <c r="G95" s="25"/>
      <c r="H95" s="81">
        <v>0</v>
      </c>
      <c r="I95" s="27">
        <f>H95*0.07</f>
        <v>0</v>
      </c>
      <c r="J95" s="23">
        <v>0</v>
      </c>
      <c r="K95" s="28"/>
      <c r="L95" s="29"/>
      <c r="M95" s="30">
        <v>0</v>
      </c>
      <c r="N95" s="31"/>
      <c r="O95" s="25"/>
      <c r="P95" s="27">
        <f>ROUND(R95*100/107,2)</f>
        <v>0</v>
      </c>
      <c r="Q95" s="27">
        <f>P95*0.07</f>
        <v>0</v>
      </c>
      <c r="R95" s="32">
        <f>D95+J95-M95</f>
        <v>0</v>
      </c>
    </row>
    <row r="96" spans="1:18" ht="18.600000000000001">
      <c r="A96" s="8">
        <f>+A95+1</f>
        <v>2</v>
      </c>
      <c r="B96" s="64" t="s">
        <v>21</v>
      </c>
      <c r="C96" s="63"/>
      <c r="D96" s="23">
        <v>0</v>
      </c>
      <c r="E96" s="24"/>
      <c r="F96" s="24"/>
      <c r="G96" s="25"/>
      <c r="H96" s="27">
        <v>0</v>
      </c>
      <c r="I96" s="27">
        <f>H96*0.07</f>
        <v>0</v>
      </c>
      <c r="J96" s="36">
        <v>0</v>
      </c>
      <c r="K96" s="28"/>
      <c r="L96" s="29"/>
      <c r="M96" s="30">
        <v>0</v>
      </c>
      <c r="N96" s="31"/>
      <c r="O96" s="25"/>
      <c r="P96" s="27">
        <f>ROUND(R96*100/107,2)</f>
        <v>0</v>
      </c>
      <c r="Q96" s="27">
        <f>P96*0.07</f>
        <v>0</v>
      </c>
      <c r="R96" s="32">
        <f>D96+J96-M96</f>
        <v>0</v>
      </c>
    </row>
    <row r="97" spans="1:18" ht="18.600000000000001">
      <c r="A97" s="8">
        <f>+A96+1</f>
        <v>3</v>
      </c>
      <c r="B97" s="65"/>
      <c r="C97" s="63"/>
      <c r="D97" s="23">
        <v>0</v>
      </c>
      <c r="E97" s="24"/>
      <c r="F97" s="38"/>
      <c r="G97" s="39"/>
      <c r="H97" s="40">
        <f>J97*100/107</f>
        <v>0</v>
      </c>
      <c r="I97" s="40">
        <f>H97*0.07</f>
        <v>0</v>
      </c>
      <c r="J97" s="41">
        <v>0</v>
      </c>
      <c r="K97" s="28"/>
      <c r="L97" s="29"/>
      <c r="M97" s="30">
        <v>0</v>
      </c>
      <c r="N97" s="31"/>
      <c r="O97" s="25"/>
      <c r="P97" s="27">
        <f>ROUND(R97*100/107,2)</f>
        <v>0</v>
      </c>
      <c r="Q97" s="27">
        <f>P97*0.07</f>
        <v>0</v>
      </c>
      <c r="R97" s="32">
        <f>D97+J97-M97</f>
        <v>0</v>
      </c>
    </row>
    <row r="98" spans="1:18" ht="19.2" thickBot="1">
      <c r="A98" s="42"/>
      <c r="B98" s="191" t="s">
        <v>19</v>
      </c>
      <c r="C98" s="192"/>
      <c r="D98" s="43">
        <f>SUM(D95:D97)</f>
        <v>0</v>
      </c>
      <c r="E98" s="43"/>
      <c r="F98" s="43"/>
      <c r="G98" s="44"/>
      <c r="H98" s="44">
        <f>SUM(H95:H97)</f>
        <v>0</v>
      </c>
      <c r="I98" s="44">
        <f>SUM(I95:I97)</f>
        <v>0</v>
      </c>
      <c r="J98" s="44">
        <f>SUM(J95:J97)</f>
        <v>0</v>
      </c>
      <c r="K98" s="45"/>
      <c r="L98" s="46"/>
      <c r="M98" s="47">
        <f>SUM(M95:M97)</f>
        <v>0</v>
      </c>
      <c r="N98" s="48"/>
      <c r="O98" s="43"/>
      <c r="P98" s="49">
        <f>ROUND(R98*100/107,2)</f>
        <v>0</v>
      </c>
      <c r="Q98" s="49">
        <f>P98*0.07</f>
        <v>0</v>
      </c>
      <c r="R98" s="50">
        <f>SUM(R95:R97)</f>
        <v>0</v>
      </c>
    </row>
    <row r="99" spans="1:18" ht="19.2" thickTop="1">
      <c r="A99" s="8"/>
      <c r="B99" s="67" t="s">
        <v>51</v>
      </c>
      <c r="C99" s="68"/>
      <c r="D99" s="69"/>
      <c r="E99" s="70"/>
      <c r="F99" s="70"/>
      <c r="G99" s="71"/>
      <c r="H99" s="72"/>
      <c r="I99" s="73"/>
      <c r="J99" s="69"/>
      <c r="K99" s="74"/>
      <c r="L99" s="75"/>
      <c r="M99" s="76"/>
      <c r="N99" s="77"/>
      <c r="O99" s="78"/>
      <c r="P99" s="78"/>
      <c r="Q99" s="78"/>
      <c r="R99" s="79"/>
    </row>
    <row r="100" spans="1:18" ht="18.600000000000001">
      <c r="A100" s="8">
        <v>1</v>
      </c>
      <c r="B100" s="62"/>
      <c r="C100" s="63"/>
      <c r="D100" s="23">
        <v>0</v>
      </c>
      <c r="E100" s="24"/>
      <c r="F100" s="24"/>
      <c r="G100" s="25"/>
      <c r="H100" s="26">
        <v>0</v>
      </c>
      <c r="I100" s="27">
        <f>H100*0.07</f>
        <v>0</v>
      </c>
      <c r="J100" s="23">
        <v>0</v>
      </c>
      <c r="K100" s="28"/>
      <c r="L100" s="29"/>
      <c r="M100" s="30">
        <v>0</v>
      </c>
      <c r="N100" s="31"/>
      <c r="O100" s="25"/>
      <c r="P100" s="27">
        <f>ROUND(R100*100/107,2)</f>
        <v>0</v>
      </c>
      <c r="Q100" s="27">
        <f>P100*0.07</f>
        <v>0</v>
      </c>
      <c r="R100" s="32">
        <f>D100+J100-M100</f>
        <v>0</v>
      </c>
    </row>
    <row r="101" spans="1:18" ht="18.600000000000001">
      <c r="A101" s="8">
        <f>+A100+1</f>
        <v>2</v>
      </c>
      <c r="B101" s="64" t="s">
        <v>21</v>
      </c>
      <c r="C101" s="63"/>
      <c r="D101" s="23">
        <v>0</v>
      </c>
      <c r="E101" s="24"/>
      <c r="F101" s="24"/>
      <c r="G101" s="25"/>
      <c r="H101" s="34">
        <v>0</v>
      </c>
      <c r="I101" s="35">
        <f>H101*0.07</f>
        <v>0</v>
      </c>
      <c r="J101" s="36">
        <v>0</v>
      </c>
      <c r="K101" s="28"/>
      <c r="L101" s="29"/>
      <c r="M101" s="30">
        <v>0</v>
      </c>
      <c r="N101" s="31"/>
      <c r="O101" s="25"/>
      <c r="P101" s="27">
        <f>ROUND(R101*100/107,2)</f>
        <v>0</v>
      </c>
      <c r="Q101" s="27">
        <f>P101*0.07</f>
        <v>0</v>
      </c>
      <c r="R101" s="32">
        <f>D101+J101-M101</f>
        <v>0</v>
      </c>
    </row>
    <row r="102" spans="1:18" ht="18.600000000000001">
      <c r="A102" s="8">
        <f>+A101+1</f>
        <v>3</v>
      </c>
      <c r="B102" s="65"/>
      <c r="C102" s="63"/>
      <c r="D102" s="23">
        <v>0</v>
      </c>
      <c r="E102" s="24"/>
      <c r="F102" s="38"/>
      <c r="G102" s="39"/>
      <c r="H102" s="40">
        <f>J102*100/107</f>
        <v>0</v>
      </c>
      <c r="I102" s="40">
        <f>H102*0.07</f>
        <v>0</v>
      </c>
      <c r="J102" s="41">
        <v>0</v>
      </c>
      <c r="K102" s="28"/>
      <c r="L102" s="29"/>
      <c r="M102" s="30">
        <v>0</v>
      </c>
      <c r="N102" s="31"/>
      <c r="O102" s="25"/>
      <c r="P102" s="27">
        <f>ROUND(R102*100/107,2)</f>
        <v>0</v>
      </c>
      <c r="Q102" s="27">
        <f>P102*0.07</f>
        <v>0</v>
      </c>
      <c r="R102" s="32">
        <f>D102+J102-M102</f>
        <v>0</v>
      </c>
    </row>
    <row r="103" spans="1:18" ht="19.2" thickBot="1">
      <c r="A103" s="42"/>
      <c r="B103" s="191" t="s">
        <v>19</v>
      </c>
      <c r="C103" s="192"/>
      <c r="D103" s="43">
        <f>SUM(D100:D102)</f>
        <v>0</v>
      </c>
      <c r="E103" s="43"/>
      <c r="F103" s="43"/>
      <c r="G103" s="44"/>
      <c r="H103" s="44">
        <f>SUM(H100:H102)</f>
        <v>0</v>
      </c>
      <c r="I103" s="44">
        <f>SUM(I100:I102)</f>
        <v>0</v>
      </c>
      <c r="J103" s="44">
        <f>SUM(J100:J102)</f>
        <v>0</v>
      </c>
      <c r="K103" s="45"/>
      <c r="L103" s="46"/>
      <c r="M103" s="47">
        <f>SUM(M100:M102)</f>
        <v>0</v>
      </c>
      <c r="N103" s="48"/>
      <c r="O103" s="43"/>
      <c r="P103" s="49">
        <f>ROUND(R103*100/107,2)</f>
        <v>0</v>
      </c>
      <c r="Q103" s="49">
        <f>P103*0.07</f>
        <v>0</v>
      </c>
      <c r="R103" s="50">
        <f>SUM(R100:R102)</f>
        <v>0</v>
      </c>
    </row>
    <row r="104" spans="1:18" ht="19.2" thickTop="1">
      <c r="A104" s="8"/>
      <c r="B104" s="67" t="s">
        <v>52</v>
      </c>
      <c r="C104" s="68"/>
      <c r="D104" s="69"/>
      <c r="E104" s="70"/>
      <c r="F104" s="70"/>
      <c r="G104" s="71"/>
      <c r="H104" s="72"/>
      <c r="I104" s="73"/>
      <c r="J104" s="69"/>
      <c r="K104" s="74"/>
      <c r="L104" s="75"/>
      <c r="M104" s="76"/>
      <c r="N104" s="77"/>
      <c r="O104" s="78"/>
      <c r="P104" s="78"/>
      <c r="Q104" s="78"/>
      <c r="R104" s="79"/>
    </row>
    <row r="105" spans="1:18" ht="18.600000000000001">
      <c r="A105" s="8">
        <v>1</v>
      </c>
      <c r="B105" s="62"/>
      <c r="C105" s="63"/>
      <c r="D105" s="23">
        <v>0</v>
      </c>
      <c r="E105" s="24"/>
      <c r="F105" s="24"/>
      <c r="G105" s="25"/>
      <c r="H105" s="26">
        <v>0</v>
      </c>
      <c r="I105" s="27">
        <f>H105*0.07</f>
        <v>0</v>
      </c>
      <c r="J105" s="23">
        <v>0</v>
      </c>
      <c r="K105" s="28"/>
      <c r="L105" s="29"/>
      <c r="M105" s="30">
        <v>0</v>
      </c>
      <c r="N105" s="31"/>
      <c r="O105" s="25"/>
      <c r="P105" s="27">
        <f>ROUND(R105*100/107,2)</f>
        <v>0</v>
      </c>
      <c r="Q105" s="27">
        <f>P105*0.07</f>
        <v>0</v>
      </c>
      <c r="R105" s="32">
        <f>D105+J105-M105</f>
        <v>0</v>
      </c>
    </row>
    <row r="106" spans="1:18" ht="18.600000000000001">
      <c r="A106" s="8">
        <f>+A105+1</f>
        <v>2</v>
      </c>
      <c r="B106" s="64" t="s">
        <v>21</v>
      </c>
      <c r="C106" s="63"/>
      <c r="D106" s="23">
        <v>0</v>
      </c>
      <c r="E106" s="24"/>
      <c r="F106" s="24"/>
      <c r="G106" s="25"/>
      <c r="H106" s="34">
        <v>0</v>
      </c>
      <c r="I106" s="35">
        <f>H106*0.07</f>
        <v>0</v>
      </c>
      <c r="J106" s="36">
        <v>0</v>
      </c>
      <c r="K106" s="28"/>
      <c r="L106" s="29"/>
      <c r="M106" s="30">
        <v>0</v>
      </c>
      <c r="N106" s="31"/>
      <c r="O106" s="25"/>
      <c r="P106" s="27">
        <f>ROUND(R106*100/107,2)</f>
        <v>0</v>
      </c>
      <c r="Q106" s="27">
        <f>P106*0.07</f>
        <v>0</v>
      </c>
      <c r="R106" s="32">
        <f>D106+J106-M106</f>
        <v>0</v>
      </c>
    </row>
    <row r="107" spans="1:18" ht="18.600000000000001">
      <c r="A107" s="8">
        <f>+A106+1</f>
        <v>3</v>
      </c>
      <c r="B107" s="65"/>
      <c r="C107" s="63"/>
      <c r="D107" s="23">
        <v>0</v>
      </c>
      <c r="E107" s="24"/>
      <c r="F107" s="38"/>
      <c r="G107" s="39"/>
      <c r="H107" s="40">
        <f>J107*100/107</f>
        <v>0</v>
      </c>
      <c r="I107" s="40">
        <f>H107*0.07</f>
        <v>0</v>
      </c>
      <c r="J107" s="41">
        <v>0</v>
      </c>
      <c r="K107" s="28"/>
      <c r="L107" s="29"/>
      <c r="M107" s="30">
        <v>0</v>
      </c>
      <c r="N107" s="31"/>
      <c r="O107" s="25"/>
      <c r="P107" s="27">
        <f>ROUND(R107*100/107,2)</f>
        <v>0</v>
      </c>
      <c r="Q107" s="27">
        <f>P107*0.07</f>
        <v>0</v>
      </c>
      <c r="R107" s="32">
        <f>D107+J107-M107</f>
        <v>0</v>
      </c>
    </row>
    <row r="108" spans="1:18" ht="19.2" thickBot="1">
      <c r="A108" s="42"/>
      <c r="B108" s="191" t="s">
        <v>19</v>
      </c>
      <c r="C108" s="192"/>
      <c r="D108" s="43">
        <f>SUM(D105:D107)</f>
        <v>0</v>
      </c>
      <c r="E108" s="43"/>
      <c r="F108" s="43"/>
      <c r="G108" s="44"/>
      <c r="H108" s="44">
        <f>SUM(H105:H107)</f>
        <v>0</v>
      </c>
      <c r="I108" s="44">
        <f>SUM(I105:I107)</f>
        <v>0</v>
      </c>
      <c r="J108" s="44">
        <f>SUM(J105:J107)</f>
        <v>0</v>
      </c>
      <c r="K108" s="45"/>
      <c r="L108" s="46"/>
      <c r="M108" s="47">
        <f>SUM(M105:M107)</f>
        <v>0</v>
      </c>
      <c r="N108" s="48"/>
      <c r="O108" s="43"/>
      <c r="P108" s="49">
        <f>ROUND(R108*100/107,2)</f>
        <v>0</v>
      </c>
      <c r="Q108" s="49">
        <f>P108*0.07</f>
        <v>0</v>
      </c>
      <c r="R108" s="50">
        <f>SUM(R105:R107)</f>
        <v>0</v>
      </c>
    </row>
    <row r="109" spans="1:18" ht="19.8" thickTop="1" thickBot="1">
      <c r="A109" s="120"/>
      <c r="B109" s="193" t="s">
        <v>53</v>
      </c>
      <c r="C109" s="194"/>
      <c r="D109" s="106">
        <f>+D11+D16+D21+D26+D32+D37+D42+D47+D52+D57+D68+D73+D78+D83+D88+D93+D98+D103+D108</f>
        <v>0</v>
      </c>
      <c r="E109" s="106"/>
      <c r="F109" s="106"/>
      <c r="G109" s="106"/>
      <c r="H109" s="106">
        <f>+H11+H16+H21+H26+H32+H37+H42+H47+H52+H57+H68+H73+H78+H83+H88+H93+H98+H103+H108</f>
        <v>5530855.9100000001</v>
      </c>
      <c r="I109" s="106">
        <f>+I11+I16+I21+I26+I32+I37+I42+I47+I52+I57+I68+I73+I78+I83+I88+I93+I98+I103+I108</f>
        <v>0</v>
      </c>
      <c r="J109" s="106">
        <f>+J11+J16+J21+J26+J32+J37+J42+J47+J52+J57+J68+J73+J78+J83+J88+J93+J98+J103+J108</f>
        <v>5530855.9100000001</v>
      </c>
      <c r="K109" s="114"/>
      <c r="L109" s="114"/>
      <c r="M109" s="107">
        <f>+M11+M16+M21+M26+M32+M37+M42+M47+M52+M57+M68+M73+M78+M83+M88+M93+M98+M103+M108</f>
        <v>0</v>
      </c>
      <c r="N109" s="108"/>
      <c r="O109" s="106"/>
      <c r="P109" s="106">
        <f>+P11+P16+P21+P26+P32+P37+P42+P47+P52+P57+P68+P73+P78+P83+P88+P93+P98+P103+P108</f>
        <v>5530855.9100000001</v>
      </c>
      <c r="Q109" s="106">
        <f>+Q11+Q16+Q21+Q26+Q32+Q37+Q42+Q47+Q52+Q57+Q68+Q73+Q78+Q83+Q88+Q93+Q98+Q103+Q108</f>
        <v>0</v>
      </c>
      <c r="R109" s="106">
        <f>+R11+R16+R21+R26+R32+R37+R42+R47+R52+R57+R68+R73+R78+R83+R88+R93+R98+R103+R108</f>
        <v>5530855.9100000001</v>
      </c>
    </row>
    <row r="110" spans="1:18" ht="19.2" thickTop="1">
      <c r="A110" s="120"/>
      <c r="B110" s="121"/>
      <c r="C110" s="121"/>
      <c r="D110" s="121"/>
      <c r="E110" s="121"/>
      <c r="F110" s="121"/>
      <c r="G110" s="121"/>
      <c r="H110" s="121"/>
      <c r="I110" s="121"/>
      <c r="J110" s="121"/>
      <c r="K110" s="122"/>
      <c r="L110" s="123"/>
      <c r="M110" s="124"/>
      <c r="N110" s="125"/>
      <c r="O110" s="121"/>
      <c r="P110" s="121"/>
      <c r="Q110" s="121"/>
      <c r="R110" s="126"/>
    </row>
    <row r="111" spans="1:18" ht="6.75" customHeight="1">
      <c r="A111" s="120"/>
      <c r="B111" s="121"/>
      <c r="C111" s="121"/>
      <c r="D111" s="121"/>
      <c r="E111" s="121"/>
      <c r="F111" s="121"/>
      <c r="G111" s="121"/>
      <c r="H111" s="121"/>
      <c r="I111" s="121"/>
      <c r="J111" s="121"/>
      <c r="K111" s="122"/>
      <c r="L111" s="123"/>
      <c r="M111" s="124"/>
      <c r="N111" s="125"/>
      <c r="O111" s="121"/>
      <c r="P111" s="121"/>
      <c r="Q111" s="121"/>
      <c r="R111" s="126"/>
    </row>
    <row r="112" spans="1:18" ht="18.600000000000001">
      <c r="A112" s="120"/>
      <c r="B112" s="121"/>
      <c r="C112" s="121"/>
      <c r="D112" s="121"/>
      <c r="E112" s="127"/>
      <c r="F112" s="127"/>
      <c r="G112" s="121"/>
      <c r="H112" s="121"/>
      <c r="I112" s="121"/>
      <c r="J112" s="121"/>
      <c r="K112" s="122"/>
      <c r="L112" s="123"/>
      <c r="M112" s="124"/>
      <c r="N112" s="189" t="s">
        <v>54</v>
      </c>
      <c r="O112" s="189"/>
      <c r="P112" s="189"/>
      <c r="Q112" s="121"/>
      <c r="R112" s="126"/>
    </row>
    <row r="113" spans="1:18" ht="18.600000000000001">
      <c r="B113" s="128"/>
      <c r="C113" s="121"/>
      <c r="D113" s="121"/>
      <c r="E113" s="121"/>
      <c r="F113" s="121"/>
      <c r="G113" s="121"/>
      <c r="H113" s="190"/>
      <c r="I113" s="190"/>
      <c r="J113" s="190"/>
      <c r="K113" s="122"/>
      <c r="L113" s="123"/>
      <c r="M113" s="124"/>
      <c r="N113" s="125"/>
      <c r="O113" s="121" t="s">
        <v>55</v>
      </c>
      <c r="P113" s="121"/>
      <c r="Q113" s="121"/>
      <c r="R113" s="126"/>
    </row>
    <row r="114" spans="1:18" ht="18.600000000000001">
      <c r="A114" s="129"/>
      <c r="B114" s="130"/>
      <c r="C114" s="129"/>
      <c r="D114" s="131"/>
      <c r="E114" s="129"/>
      <c r="F114" s="129"/>
      <c r="G114" s="132"/>
      <c r="H114" s="132"/>
      <c r="I114" s="132"/>
      <c r="J114" s="133"/>
      <c r="K114" s="134"/>
      <c r="L114" s="135"/>
      <c r="M114" s="136"/>
      <c r="N114" s="137"/>
      <c r="O114" s="132"/>
      <c r="P114" s="132"/>
      <c r="Q114" s="132"/>
      <c r="R114" s="138"/>
    </row>
  </sheetData>
  <mergeCells count="54">
    <mergeCell ref="A1:R1"/>
    <mergeCell ref="A2:R2"/>
    <mergeCell ref="A3:R3"/>
    <mergeCell ref="A4:A6"/>
    <mergeCell ref="B4:B6"/>
    <mergeCell ref="C4:C6"/>
    <mergeCell ref="D4:D6"/>
    <mergeCell ref="E4:J4"/>
    <mergeCell ref="K4:M4"/>
    <mergeCell ref="N4:R4"/>
    <mergeCell ref="M5:M6"/>
    <mergeCell ref="N5:N6"/>
    <mergeCell ref="O5:O6"/>
    <mergeCell ref="P5:R5"/>
    <mergeCell ref="K5:K6"/>
    <mergeCell ref="L5:L6"/>
    <mergeCell ref="B13:C13"/>
    <mergeCell ref="E5:E6"/>
    <mergeCell ref="F5:F6"/>
    <mergeCell ref="G5:G6"/>
    <mergeCell ref="H5:J5"/>
    <mergeCell ref="B11:C11"/>
    <mergeCell ref="B41:C41"/>
    <mergeCell ref="B14:C14"/>
    <mergeCell ref="B15:C15"/>
    <mergeCell ref="B16:C16"/>
    <mergeCell ref="B21:C21"/>
    <mergeCell ref="B26:C26"/>
    <mergeCell ref="B29:C29"/>
    <mergeCell ref="B31:C31"/>
    <mergeCell ref="B32:C32"/>
    <mergeCell ref="B37:C37"/>
    <mergeCell ref="B39:C39"/>
    <mergeCell ref="B40:C40"/>
    <mergeCell ref="B83:C83"/>
    <mergeCell ref="B42:C42"/>
    <mergeCell ref="B47:C47"/>
    <mergeCell ref="B52:C52"/>
    <mergeCell ref="B57:C57"/>
    <mergeCell ref="B67:C67"/>
    <mergeCell ref="B68:C68"/>
    <mergeCell ref="B73:C73"/>
    <mergeCell ref="B78:C78"/>
    <mergeCell ref="B80:C80"/>
    <mergeCell ref="B81:C81"/>
    <mergeCell ref="B82:C82"/>
    <mergeCell ref="N112:P112"/>
    <mergeCell ref="H113:J113"/>
    <mergeCell ref="B88:C88"/>
    <mergeCell ref="B93:C93"/>
    <mergeCell ref="B98:C98"/>
    <mergeCell ref="B103:C103"/>
    <mergeCell ref="B108:C108"/>
    <mergeCell ref="B109:C109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EF685-6B91-4304-A93E-311E27151C0B}">
  <sheetPr>
    <tabColor rgb="FF92D050"/>
  </sheetPr>
  <dimension ref="A1:F14"/>
  <sheetViews>
    <sheetView workbookViewId="0">
      <pane ySplit="6" topLeftCell="A7" activePane="bottomLeft" state="frozen"/>
      <selection pane="bottomLeft" activeCell="C31" sqref="C31"/>
    </sheetView>
  </sheetViews>
  <sheetFormatPr defaultColWidth="10.375" defaultRowHeight="14.4"/>
  <cols>
    <col min="1" max="1" width="10.375" style="1"/>
    <col min="2" max="2" width="33.25" style="1" customWidth="1"/>
    <col min="3" max="3" width="10.375" style="1"/>
    <col min="4" max="4" width="10.375" style="139"/>
    <col min="5" max="5" width="11.625" style="139" bestFit="1" customWidth="1"/>
    <col min="6" max="6" width="10.375" style="139"/>
    <col min="7" max="242" width="10.375" style="1"/>
    <col min="243" max="243" width="33.25" style="1" customWidth="1"/>
    <col min="244" max="248" width="10.375" style="1"/>
    <col min="249" max="249" width="13.625" style="1" customWidth="1"/>
    <col min="250" max="250" width="10.375" style="1"/>
    <col min="251" max="251" width="14.375" style="1" customWidth="1"/>
    <col min="252" max="252" width="10.375" style="1"/>
    <col min="253" max="253" width="11.625" style="1" bestFit="1" customWidth="1"/>
    <col min="254" max="256" width="10.375" style="1"/>
    <col min="257" max="257" width="12.875" style="1" customWidth="1"/>
    <col min="258" max="258" width="10.375" style="1"/>
    <col min="259" max="259" width="13" style="1" customWidth="1"/>
    <col min="260" max="498" width="10.375" style="1"/>
    <col min="499" max="499" width="33.25" style="1" customWidth="1"/>
    <col min="500" max="504" width="10.375" style="1"/>
    <col min="505" max="505" width="13.625" style="1" customWidth="1"/>
    <col min="506" max="506" width="10.375" style="1"/>
    <col min="507" max="507" width="14.375" style="1" customWidth="1"/>
    <col min="508" max="508" width="10.375" style="1"/>
    <col min="509" max="509" width="11.625" style="1" bestFit="1" customWidth="1"/>
    <col min="510" max="512" width="10.375" style="1"/>
    <col min="513" max="513" width="12.875" style="1" customWidth="1"/>
    <col min="514" max="514" width="10.375" style="1"/>
    <col min="515" max="515" width="13" style="1" customWidth="1"/>
    <col min="516" max="754" width="10.375" style="1"/>
    <col min="755" max="755" width="33.25" style="1" customWidth="1"/>
    <col min="756" max="760" width="10.375" style="1"/>
    <col min="761" max="761" width="13.625" style="1" customWidth="1"/>
    <col min="762" max="762" width="10.375" style="1"/>
    <col min="763" max="763" width="14.375" style="1" customWidth="1"/>
    <col min="764" max="764" width="10.375" style="1"/>
    <col min="765" max="765" width="11.625" style="1" bestFit="1" customWidth="1"/>
    <col min="766" max="768" width="10.375" style="1"/>
    <col min="769" max="769" width="12.875" style="1" customWidth="1"/>
    <col min="770" max="770" width="10.375" style="1"/>
    <col min="771" max="771" width="13" style="1" customWidth="1"/>
    <col min="772" max="1010" width="10.375" style="1"/>
    <col min="1011" max="1011" width="33.25" style="1" customWidth="1"/>
    <col min="1012" max="1016" width="10.375" style="1"/>
    <col min="1017" max="1017" width="13.625" style="1" customWidth="1"/>
    <col min="1018" max="1018" width="10.375" style="1"/>
    <col min="1019" max="1019" width="14.375" style="1" customWidth="1"/>
    <col min="1020" max="1020" width="10.375" style="1"/>
    <col min="1021" max="1021" width="11.625" style="1" bestFit="1" customWidth="1"/>
    <col min="1022" max="1024" width="10.375" style="1"/>
    <col min="1025" max="1025" width="12.875" style="1" customWidth="1"/>
    <col min="1026" max="1026" width="10.375" style="1"/>
    <col min="1027" max="1027" width="13" style="1" customWidth="1"/>
    <col min="1028" max="1266" width="10.375" style="1"/>
    <col min="1267" max="1267" width="33.25" style="1" customWidth="1"/>
    <col min="1268" max="1272" width="10.375" style="1"/>
    <col min="1273" max="1273" width="13.625" style="1" customWidth="1"/>
    <col min="1274" max="1274" width="10.375" style="1"/>
    <col min="1275" max="1275" width="14.375" style="1" customWidth="1"/>
    <col min="1276" max="1276" width="10.375" style="1"/>
    <col min="1277" max="1277" width="11.625" style="1" bestFit="1" customWidth="1"/>
    <col min="1278" max="1280" width="10.375" style="1"/>
    <col min="1281" max="1281" width="12.875" style="1" customWidth="1"/>
    <col min="1282" max="1282" width="10.375" style="1"/>
    <col min="1283" max="1283" width="13" style="1" customWidth="1"/>
    <col min="1284" max="1522" width="10.375" style="1"/>
    <col min="1523" max="1523" width="33.25" style="1" customWidth="1"/>
    <col min="1524" max="1528" width="10.375" style="1"/>
    <col min="1529" max="1529" width="13.625" style="1" customWidth="1"/>
    <col min="1530" max="1530" width="10.375" style="1"/>
    <col min="1531" max="1531" width="14.375" style="1" customWidth="1"/>
    <col min="1532" max="1532" width="10.375" style="1"/>
    <col min="1533" max="1533" width="11.625" style="1" bestFit="1" customWidth="1"/>
    <col min="1534" max="1536" width="10.375" style="1"/>
    <col min="1537" max="1537" width="12.875" style="1" customWidth="1"/>
    <col min="1538" max="1538" width="10.375" style="1"/>
    <col min="1539" max="1539" width="13" style="1" customWidth="1"/>
    <col min="1540" max="1778" width="10.375" style="1"/>
    <col min="1779" max="1779" width="33.25" style="1" customWidth="1"/>
    <col min="1780" max="1784" width="10.375" style="1"/>
    <col min="1785" max="1785" width="13.625" style="1" customWidth="1"/>
    <col min="1786" max="1786" width="10.375" style="1"/>
    <col min="1787" max="1787" width="14.375" style="1" customWidth="1"/>
    <col min="1788" max="1788" width="10.375" style="1"/>
    <col min="1789" max="1789" width="11.625" style="1" bestFit="1" customWidth="1"/>
    <col min="1790" max="1792" width="10.375" style="1"/>
    <col min="1793" max="1793" width="12.875" style="1" customWidth="1"/>
    <col min="1794" max="1794" width="10.375" style="1"/>
    <col min="1795" max="1795" width="13" style="1" customWidth="1"/>
    <col min="1796" max="2034" width="10.375" style="1"/>
    <col min="2035" max="2035" width="33.25" style="1" customWidth="1"/>
    <col min="2036" max="2040" width="10.375" style="1"/>
    <col min="2041" max="2041" width="13.625" style="1" customWidth="1"/>
    <col min="2042" max="2042" width="10.375" style="1"/>
    <col min="2043" max="2043" width="14.375" style="1" customWidth="1"/>
    <col min="2044" max="2044" width="10.375" style="1"/>
    <col min="2045" max="2045" width="11.625" style="1" bestFit="1" customWidth="1"/>
    <col min="2046" max="2048" width="10.375" style="1"/>
    <col min="2049" max="2049" width="12.875" style="1" customWidth="1"/>
    <col min="2050" max="2050" width="10.375" style="1"/>
    <col min="2051" max="2051" width="13" style="1" customWidth="1"/>
    <col min="2052" max="2290" width="10.375" style="1"/>
    <col min="2291" max="2291" width="33.25" style="1" customWidth="1"/>
    <col min="2292" max="2296" width="10.375" style="1"/>
    <col min="2297" max="2297" width="13.625" style="1" customWidth="1"/>
    <col min="2298" max="2298" width="10.375" style="1"/>
    <col min="2299" max="2299" width="14.375" style="1" customWidth="1"/>
    <col min="2300" max="2300" width="10.375" style="1"/>
    <col min="2301" max="2301" width="11.625" style="1" bestFit="1" customWidth="1"/>
    <col min="2302" max="2304" width="10.375" style="1"/>
    <col min="2305" max="2305" width="12.875" style="1" customWidth="1"/>
    <col min="2306" max="2306" width="10.375" style="1"/>
    <col min="2307" max="2307" width="13" style="1" customWidth="1"/>
    <col min="2308" max="2546" width="10.375" style="1"/>
    <col min="2547" max="2547" width="33.25" style="1" customWidth="1"/>
    <col min="2548" max="2552" width="10.375" style="1"/>
    <col min="2553" max="2553" width="13.625" style="1" customWidth="1"/>
    <col min="2554" max="2554" width="10.375" style="1"/>
    <col min="2555" max="2555" width="14.375" style="1" customWidth="1"/>
    <col min="2556" max="2556" width="10.375" style="1"/>
    <col min="2557" max="2557" width="11.625" style="1" bestFit="1" customWidth="1"/>
    <col min="2558" max="2560" width="10.375" style="1"/>
    <col min="2561" max="2561" width="12.875" style="1" customWidth="1"/>
    <col min="2562" max="2562" width="10.375" style="1"/>
    <col min="2563" max="2563" width="13" style="1" customWidth="1"/>
    <col min="2564" max="2802" width="10.375" style="1"/>
    <col min="2803" max="2803" width="33.25" style="1" customWidth="1"/>
    <col min="2804" max="2808" width="10.375" style="1"/>
    <col min="2809" max="2809" width="13.625" style="1" customWidth="1"/>
    <col min="2810" max="2810" width="10.375" style="1"/>
    <col min="2811" max="2811" width="14.375" style="1" customWidth="1"/>
    <col min="2812" max="2812" width="10.375" style="1"/>
    <col min="2813" max="2813" width="11.625" style="1" bestFit="1" customWidth="1"/>
    <col min="2814" max="2816" width="10.375" style="1"/>
    <col min="2817" max="2817" width="12.875" style="1" customWidth="1"/>
    <col min="2818" max="2818" width="10.375" style="1"/>
    <col min="2819" max="2819" width="13" style="1" customWidth="1"/>
    <col min="2820" max="3058" width="10.375" style="1"/>
    <col min="3059" max="3059" width="33.25" style="1" customWidth="1"/>
    <col min="3060" max="3064" width="10.375" style="1"/>
    <col min="3065" max="3065" width="13.625" style="1" customWidth="1"/>
    <col min="3066" max="3066" width="10.375" style="1"/>
    <col min="3067" max="3067" width="14.375" style="1" customWidth="1"/>
    <col min="3068" max="3068" width="10.375" style="1"/>
    <col min="3069" max="3069" width="11.625" style="1" bestFit="1" customWidth="1"/>
    <col min="3070" max="3072" width="10.375" style="1"/>
    <col min="3073" max="3073" width="12.875" style="1" customWidth="1"/>
    <col min="3074" max="3074" width="10.375" style="1"/>
    <col min="3075" max="3075" width="13" style="1" customWidth="1"/>
    <col min="3076" max="3314" width="10.375" style="1"/>
    <col min="3315" max="3315" width="33.25" style="1" customWidth="1"/>
    <col min="3316" max="3320" width="10.375" style="1"/>
    <col min="3321" max="3321" width="13.625" style="1" customWidth="1"/>
    <col min="3322" max="3322" width="10.375" style="1"/>
    <col min="3323" max="3323" width="14.375" style="1" customWidth="1"/>
    <col min="3324" max="3324" width="10.375" style="1"/>
    <col min="3325" max="3325" width="11.625" style="1" bestFit="1" customWidth="1"/>
    <col min="3326" max="3328" width="10.375" style="1"/>
    <col min="3329" max="3329" width="12.875" style="1" customWidth="1"/>
    <col min="3330" max="3330" width="10.375" style="1"/>
    <col min="3331" max="3331" width="13" style="1" customWidth="1"/>
    <col min="3332" max="3570" width="10.375" style="1"/>
    <col min="3571" max="3571" width="33.25" style="1" customWidth="1"/>
    <col min="3572" max="3576" width="10.375" style="1"/>
    <col min="3577" max="3577" width="13.625" style="1" customWidth="1"/>
    <col min="3578" max="3578" width="10.375" style="1"/>
    <col min="3579" max="3579" width="14.375" style="1" customWidth="1"/>
    <col min="3580" max="3580" width="10.375" style="1"/>
    <col min="3581" max="3581" width="11.625" style="1" bestFit="1" customWidth="1"/>
    <col min="3582" max="3584" width="10.375" style="1"/>
    <col min="3585" max="3585" width="12.875" style="1" customWidth="1"/>
    <col min="3586" max="3586" width="10.375" style="1"/>
    <col min="3587" max="3587" width="13" style="1" customWidth="1"/>
    <col min="3588" max="3826" width="10.375" style="1"/>
    <col min="3827" max="3827" width="33.25" style="1" customWidth="1"/>
    <col min="3828" max="3832" width="10.375" style="1"/>
    <col min="3833" max="3833" width="13.625" style="1" customWidth="1"/>
    <col min="3834" max="3834" width="10.375" style="1"/>
    <col min="3835" max="3835" width="14.375" style="1" customWidth="1"/>
    <col min="3836" max="3836" width="10.375" style="1"/>
    <col min="3837" max="3837" width="11.625" style="1" bestFit="1" customWidth="1"/>
    <col min="3838" max="3840" width="10.375" style="1"/>
    <col min="3841" max="3841" width="12.875" style="1" customWidth="1"/>
    <col min="3842" max="3842" width="10.375" style="1"/>
    <col min="3843" max="3843" width="13" style="1" customWidth="1"/>
    <col min="3844" max="4082" width="10.375" style="1"/>
    <col min="4083" max="4083" width="33.25" style="1" customWidth="1"/>
    <col min="4084" max="4088" width="10.375" style="1"/>
    <col min="4089" max="4089" width="13.625" style="1" customWidth="1"/>
    <col min="4090" max="4090" width="10.375" style="1"/>
    <col min="4091" max="4091" width="14.375" style="1" customWidth="1"/>
    <col min="4092" max="4092" width="10.375" style="1"/>
    <col min="4093" max="4093" width="11.625" style="1" bestFit="1" customWidth="1"/>
    <col min="4094" max="4096" width="10.375" style="1"/>
    <col min="4097" max="4097" width="12.875" style="1" customWidth="1"/>
    <col min="4098" max="4098" width="10.375" style="1"/>
    <col min="4099" max="4099" width="13" style="1" customWidth="1"/>
    <col min="4100" max="4338" width="10.375" style="1"/>
    <col min="4339" max="4339" width="33.25" style="1" customWidth="1"/>
    <col min="4340" max="4344" width="10.375" style="1"/>
    <col min="4345" max="4345" width="13.625" style="1" customWidth="1"/>
    <col min="4346" max="4346" width="10.375" style="1"/>
    <col min="4347" max="4347" width="14.375" style="1" customWidth="1"/>
    <col min="4348" max="4348" width="10.375" style="1"/>
    <col min="4349" max="4349" width="11.625" style="1" bestFit="1" customWidth="1"/>
    <col min="4350" max="4352" width="10.375" style="1"/>
    <col min="4353" max="4353" width="12.875" style="1" customWidth="1"/>
    <col min="4354" max="4354" width="10.375" style="1"/>
    <col min="4355" max="4355" width="13" style="1" customWidth="1"/>
    <col min="4356" max="4594" width="10.375" style="1"/>
    <col min="4595" max="4595" width="33.25" style="1" customWidth="1"/>
    <col min="4596" max="4600" width="10.375" style="1"/>
    <col min="4601" max="4601" width="13.625" style="1" customWidth="1"/>
    <col min="4602" max="4602" width="10.375" style="1"/>
    <col min="4603" max="4603" width="14.375" style="1" customWidth="1"/>
    <col min="4604" max="4604" width="10.375" style="1"/>
    <col min="4605" max="4605" width="11.625" style="1" bestFit="1" customWidth="1"/>
    <col min="4606" max="4608" width="10.375" style="1"/>
    <col min="4609" max="4609" width="12.875" style="1" customWidth="1"/>
    <col min="4610" max="4610" width="10.375" style="1"/>
    <col min="4611" max="4611" width="13" style="1" customWidth="1"/>
    <col min="4612" max="4850" width="10.375" style="1"/>
    <col min="4851" max="4851" width="33.25" style="1" customWidth="1"/>
    <col min="4852" max="4856" width="10.375" style="1"/>
    <col min="4857" max="4857" width="13.625" style="1" customWidth="1"/>
    <col min="4858" max="4858" width="10.375" style="1"/>
    <col min="4859" max="4859" width="14.375" style="1" customWidth="1"/>
    <col min="4860" max="4860" width="10.375" style="1"/>
    <col min="4861" max="4861" width="11.625" style="1" bestFit="1" customWidth="1"/>
    <col min="4862" max="4864" width="10.375" style="1"/>
    <col min="4865" max="4865" width="12.875" style="1" customWidth="1"/>
    <col min="4866" max="4866" width="10.375" style="1"/>
    <col min="4867" max="4867" width="13" style="1" customWidth="1"/>
    <col min="4868" max="5106" width="10.375" style="1"/>
    <col min="5107" max="5107" width="33.25" style="1" customWidth="1"/>
    <col min="5108" max="5112" width="10.375" style="1"/>
    <col min="5113" max="5113" width="13.625" style="1" customWidth="1"/>
    <col min="5114" max="5114" width="10.375" style="1"/>
    <col min="5115" max="5115" width="14.375" style="1" customWidth="1"/>
    <col min="5116" max="5116" width="10.375" style="1"/>
    <col min="5117" max="5117" width="11.625" style="1" bestFit="1" customWidth="1"/>
    <col min="5118" max="5120" width="10.375" style="1"/>
    <col min="5121" max="5121" width="12.875" style="1" customWidth="1"/>
    <col min="5122" max="5122" width="10.375" style="1"/>
    <col min="5123" max="5123" width="13" style="1" customWidth="1"/>
    <col min="5124" max="5362" width="10.375" style="1"/>
    <col min="5363" max="5363" width="33.25" style="1" customWidth="1"/>
    <col min="5364" max="5368" width="10.375" style="1"/>
    <col min="5369" max="5369" width="13.625" style="1" customWidth="1"/>
    <col min="5370" max="5370" width="10.375" style="1"/>
    <col min="5371" max="5371" width="14.375" style="1" customWidth="1"/>
    <col min="5372" max="5372" width="10.375" style="1"/>
    <col min="5373" max="5373" width="11.625" style="1" bestFit="1" customWidth="1"/>
    <col min="5374" max="5376" width="10.375" style="1"/>
    <col min="5377" max="5377" width="12.875" style="1" customWidth="1"/>
    <col min="5378" max="5378" width="10.375" style="1"/>
    <col min="5379" max="5379" width="13" style="1" customWidth="1"/>
    <col min="5380" max="5618" width="10.375" style="1"/>
    <col min="5619" max="5619" width="33.25" style="1" customWidth="1"/>
    <col min="5620" max="5624" width="10.375" style="1"/>
    <col min="5625" max="5625" width="13.625" style="1" customWidth="1"/>
    <col min="5626" max="5626" width="10.375" style="1"/>
    <col min="5627" max="5627" width="14.375" style="1" customWidth="1"/>
    <col min="5628" max="5628" width="10.375" style="1"/>
    <col min="5629" max="5629" width="11.625" style="1" bestFit="1" customWidth="1"/>
    <col min="5630" max="5632" width="10.375" style="1"/>
    <col min="5633" max="5633" width="12.875" style="1" customWidth="1"/>
    <col min="5634" max="5634" width="10.375" style="1"/>
    <col min="5635" max="5635" width="13" style="1" customWidth="1"/>
    <col min="5636" max="5874" width="10.375" style="1"/>
    <col min="5875" max="5875" width="33.25" style="1" customWidth="1"/>
    <col min="5876" max="5880" width="10.375" style="1"/>
    <col min="5881" max="5881" width="13.625" style="1" customWidth="1"/>
    <col min="5882" max="5882" width="10.375" style="1"/>
    <col min="5883" max="5883" width="14.375" style="1" customWidth="1"/>
    <col min="5884" max="5884" width="10.375" style="1"/>
    <col min="5885" max="5885" width="11.625" style="1" bestFit="1" customWidth="1"/>
    <col min="5886" max="5888" width="10.375" style="1"/>
    <col min="5889" max="5889" width="12.875" style="1" customWidth="1"/>
    <col min="5890" max="5890" width="10.375" style="1"/>
    <col min="5891" max="5891" width="13" style="1" customWidth="1"/>
    <col min="5892" max="6130" width="10.375" style="1"/>
    <col min="6131" max="6131" width="33.25" style="1" customWidth="1"/>
    <col min="6132" max="6136" width="10.375" style="1"/>
    <col min="6137" max="6137" width="13.625" style="1" customWidth="1"/>
    <col min="6138" max="6138" width="10.375" style="1"/>
    <col min="6139" max="6139" width="14.375" style="1" customWidth="1"/>
    <col min="6140" max="6140" width="10.375" style="1"/>
    <col min="6141" max="6141" width="11.625" style="1" bestFit="1" customWidth="1"/>
    <col min="6142" max="6144" width="10.375" style="1"/>
    <col min="6145" max="6145" width="12.875" style="1" customWidth="1"/>
    <col min="6146" max="6146" width="10.375" style="1"/>
    <col min="6147" max="6147" width="13" style="1" customWidth="1"/>
    <col min="6148" max="6386" width="10.375" style="1"/>
    <col min="6387" max="6387" width="33.25" style="1" customWidth="1"/>
    <col min="6388" max="6392" width="10.375" style="1"/>
    <col min="6393" max="6393" width="13.625" style="1" customWidth="1"/>
    <col min="6394" max="6394" width="10.375" style="1"/>
    <col min="6395" max="6395" width="14.375" style="1" customWidth="1"/>
    <col min="6396" max="6396" width="10.375" style="1"/>
    <col min="6397" max="6397" width="11.625" style="1" bestFit="1" customWidth="1"/>
    <col min="6398" max="6400" width="10.375" style="1"/>
    <col min="6401" max="6401" width="12.875" style="1" customWidth="1"/>
    <col min="6402" max="6402" width="10.375" style="1"/>
    <col min="6403" max="6403" width="13" style="1" customWidth="1"/>
    <col min="6404" max="6642" width="10.375" style="1"/>
    <col min="6643" max="6643" width="33.25" style="1" customWidth="1"/>
    <col min="6644" max="6648" width="10.375" style="1"/>
    <col min="6649" max="6649" width="13.625" style="1" customWidth="1"/>
    <col min="6650" max="6650" width="10.375" style="1"/>
    <col min="6651" max="6651" width="14.375" style="1" customWidth="1"/>
    <col min="6652" max="6652" width="10.375" style="1"/>
    <col min="6653" max="6653" width="11.625" style="1" bestFit="1" customWidth="1"/>
    <col min="6654" max="6656" width="10.375" style="1"/>
    <col min="6657" max="6657" width="12.875" style="1" customWidth="1"/>
    <col min="6658" max="6658" width="10.375" style="1"/>
    <col min="6659" max="6659" width="13" style="1" customWidth="1"/>
    <col min="6660" max="6898" width="10.375" style="1"/>
    <col min="6899" max="6899" width="33.25" style="1" customWidth="1"/>
    <col min="6900" max="6904" width="10.375" style="1"/>
    <col min="6905" max="6905" width="13.625" style="1" customWidth="1"/>
    <col min="6906" max="6906" width="10.375" style="1"/>
    <col min="6907" max="6907" width="14.375" style="1" customWidth="1"/>
    <col min="6908" max="6908" width="10.375" style="1"/>
    <col min="6909" max="6909" width="11.625" style="1" bestFit="1" customWidth="1"/>
    <col min="6910" max="6912" width="10.375" style="1"/>
    <col min="6913" max="6913" width="12.875" style="1" customWidth="1"/>
    <col min="6914" max="6914" width="10.375" style="1"/>
    <col min="6915" max="6915" width="13" style="1" customWidth="1"/>
    <col min="6916" max="7154" width="10.375" style="1"/>
    <col min="7155" max="7155" width="33.25" style="1" customWidth="1"/>
    <col min="7156" max="7160" width="10.375" style="1"/>
    <col min="7161" max="7161" width="13.625" style="1" customWidth="1"/>
    <col min="7162" max="7162" width="10.375" style="1"/>
    <col min="7163" max="7163" width="14.375" style="1" customWidth="1"/>
    <col min="7164" max="7164" width="10.375" style="1"/>
    <col min="7165" max="7165" width="11.625" style="1" bestFit="1" customWidth="1"/>
    <col min="7166" max="7168" width="10.375" style="1"/>
    <col min="7169" max="7169" width="12.875" style="1" customWidth="1"/>
    <col min="7170" max="7170" width="10.375" style="1"/>
    <col min="7171" max="7171" width="13" style="1" customWidth="1"/>
    <col min="7172" max="7410" width="10.375" style="1"/>
    <col min="7411" max="7411" width="33.25" style="1" customWidth="1"/>
    <col min="7412" max="7416" width="10.375" style="1"/>
    <col min="7417" max="7417" width="13.625" style="1" customWidth="1"/>
    <col min="7418" max="7418" width="10.375" style="1"/>
    <col min="7419" max="7419" width="14.375" style="1" customWidth="1"/>
    <col min="7420" max="7420" width="10.375" style="1"/>
    <col min="7421" max="7421" width="11.625" style="1" bestFit="1" customWidth="1"/>
    <col min="7422" max="7424" width="10.375" style="1"/>
    <col min="7425" max="7425" width="12.875" style="1" customWidth="1"/>
    <col min="7426" max="7426" width="10.375" style="1"/>
    <col min="7427" max="7427" width="13" style="1" customWidth="1"/>
    <col min="7428" max="7666" width="10.375" style="1"/>
    <col min="7667" max="7667" width="33.25" style="1" customWidth="1"/>
    <col min="7668" max="7672" width="10.375" style="1"/>
    <col min="7673" max="7673" width="13.625" style="1" customWidth="1"/>
    <col min="7674" max="7674" width="10.375" style="1"/>
    <col min="7675" max="7675" width="14.375" style="1" customWidth="1"/>
    <col min="7676" max="7676" width="10.375" style="1"/>
    <col min="7677" max="7677" width="11.625" style="1" bestFit="1" customWidth="1"/>
    <col min="7678" max="7680" width="10.375" style="1"/>
    <col min="7681" max="7681" width="12.875" style="1" customWidth="1"/>
    <col min="7682" max="7682" width="10.375" style="1"/>
    <col min="7683" max="7683" width="13" style="1" customWidth="1"/>
    <col min="7684" max="7922" width="10.375" style="1"/>
    <col min="7923" max="7923" width="33.25" style="1" customWidth="1"/>
    <col min="7924" max="7928" width="10.375" style="1"/>
    <col min="7929" max="7929" width="13.625" style="1" customWidth="1"/>
    <col min="7930" max="7930" width="10.375" style="1"/>
    <col min="7931" max="7931" width="14.375" style="1" customWidth="1"/>
    <col min="7932" max="7932" width="10.375" style="1"/>
    <col min="7933" max="7933" width="11.625" style="1" bestFit="1" customWidth="1"/>
    <col min="7934" max="7936" width="10.375" style="1"/>
    <col min="7937" max="7937" width="12.875" style="1" customWidth="1"/>
    <col min="7938" max="7938" width="10.375" style="1"/>
    <col min="7939" max="7939" width="13" style="1" customWidth="1"/>
    <col min="7940" max="8178" width="10.375" style="1"/>
    <col min="8179" max="8179" width="33.25" style="1" customWidth="1"/>
    <col min="8180" max="8184" width="10.375" style="1"/>
    <col min="8185" max="8185" width="13.625" style="1" customWidth="1"/>
    <col min="8186" max="8186" width="10.375" style="1"/>
    <col min="8187" max="8187" width="14.375" style="1" customWidth="1"/>
    <col min="8188" max="8188" width="10.375" style="1"/>
    <col min="8189" max="8189" width="11.625" style="1" bestFit="1" customWidth="1"/>
    <col min="8190" max="8192" width="10.375" style="1"/>
    <col min="8193" max="8193" width="12.875" style="1" customWidth="1"/>
    <col min="8194" max="8194" width="10.375" style="1"/>
    <col min="8195" max="8195" width="13" style="1" customWidth="1"/>
    <col min="8196" max="8434" width="10.375" style="1"/>
    <col min="8435" max="8435" width="33.25" style="1" customWidth="1"/>
    <col min="8436" max="8440" width="10.375" style="1"/>
    <col min="8441" max="8441" width="13.625" style="1" customWidth="1"/>
    <col min="8442" max="8442" width="10.375" style="1"/>
    <col min="8443" max="8443" width="14.375" style="1" customWidth="1"/>
    <col min="8444" max="8444" width="10.375" style="1"/>
    <col min="8445" max="8445" width="11.625" style="1" bestFit="1" customWidth="1"/>
    <col min="8446" max="8448" width="10.375" style="1"/>
    <col min="8449" max="8449" width="12.875" style="1" customWidth="1"/>
    <col min="8450" max="8450" width="10.375" style="1"/>
    <col min="8451" max="8451" width="13" style="1" customWidth="1"/>
    <col min="8452" max="8690" width="10.375" style="1"/>
    <col min="8691" max="8691" width="33.25" style="1" customWidth="1"/>
    <col min="8692" max="8696" width="10.375" style="1"/>
    <col min="8697" max="8697" width="13.625" style="1" customWidth="1"/>
    <col min="8698" max="8698" width="10.375" style="1"/>
    <col min="8699" max="8699" width="14.375" style="1" customWidth="1"/>
    <col min="8700" max="8700" width="10.375" style="1"/>
    <col min="8701" max="8701" width="11.625" style="1" bestFit="1" customWidth="1"/>
    <col min="8702" max="8704" width="10.375" style="1"/>
    <col min="8705" max="8705" width="12.875" style="1" customWidth="1"/>
    <col min="8706" max="8706" width="10.375" style="1"/>
    <col min="8707" max="8707" width="13" style="1" customWidth="1"/>
    <col min="8708" max="8946" width="10.375" style="1"/>
    <col min="8947" max="8947" width="33.25" style="1" customWidth="1"/>
    <col min="8948" max="8952" width="10.375" style="1"/>
    <col min="8953" max="8953" width="13.625" style="1" customWidth="1"/>
    <col min="8954" max="8954" width="10.375" style="1"/>
    <col min="8955" max="8955" width="14.375" style="1" customWidth="1"/>
    <col min="8956" max="8956" width="10.375" style="1"/>
    <col min="8957" max="8957" width="11.625" style="1" bestFit="1" customWidth="1"/>
    <col min="8958" max="8960" width="10.375" style="1"/>
    <col min="8961" max="8961" width="12.875" style="1" customWidth="1"/>
    <col min="8962" max="8962" width="10.375" style="1"/>
    <col min="8963" max="8963" width="13" style="1" customWidth="1"/>
    <col min="8964" max="9202" width="10.375" style="1"/>
    <col min="9203" max="9203" width="33.25" style="1" customWidth="1"/>
    <col min="9204" max="9208" width="10.375" style="1"/>
    <col min="9209" max="9209" width="13.625" style="1" customWidth="1"/>
    <col min="9210" max="9210" width="10.375" style="1"/>
    <col min="9211" max="9211" width="14.375" style="1" customWidth="1"/>
    <col min="9212" max="9212" width="10.375" style="1"/>
    <col min="9213" max="9213" width="11.625" style="1" bestFit="1" customWidth="1"/>
    <col min="9214" max="9216" width="10.375" style="1"/>
    <col min="9217" max="9217" width="12.875" style="1" customWidth="1"/>
    <col min="9218" max="9218" width="10.375" style="1"/>
    <col min="9219" max="9219" width="13" style="1" customWidth="1"/>
    <col min="9220" max="9458" width="10.375" style="1"/>
    <col min="9459" max="9459" width="33.25" style="1" customWidth="1"/>
    <col min="9460" max="9464" width="10.375" style="1"/>
    <col min="9465" max="9465" width="13.625" style="1" customWidth="1"/>
    <col min="9466" max="9466" width="10.375" style="1"/>
    <col min="9467" max="9467" width="14.375" style="1" customWidth="1"/>
    <col min="9468" max="9468" width="10.375" style="1"/>
    <col min="9469" max="9469" width="11.625" style="1" bestFit="1" customWidth="1"/>
    <col min="9470" max="9472" width="10.375" style="1"/>
    <col min="9473" max="9473" width="12.875" style="1" customWidth="1"/>
    <col min="9474" max="9474" width="10.375" style="1"/>
    <col min="9475" max="9475" width="13" style="1" customWidth="1"/>
    <col min="9476" max="9714" width="10.375" style="1"/>
    <col min="9715" max="9715" width="33.25" style="1" customWidth="1"/>
    <col min="9716" max="9720" width="10.375" style="1"/>
    <col min="9721" max="9721" width="13.625" style="1" customWidth="1"/>
    <col min="9722" max="9722" width="10.375" style="1"/>
    <col min="9723" max="9723" width="14.375" style="1" customWidth="1"/>
    <col min="9724" max="9724" width="10.375" style="1"/>
    <col min="9725" max="9725" width="11.625" style="1" bestFit="1" customWidth="1"/>
    <col min="9726" max="9728" width="10.375" style="1"/>
    <col min="9729" max="9729" width="12.875" style="1" customWidth="1"/>
    <col min="9730" max="9730" width="10.375" style="1"/>
    <col min="9731" max="9731" width="13" style="1" customWidth="1"/>
    <col min="9732" max="9970" width="10.375" style="1"/>
    <col min="9971" max="9971" width="33.25" style="1" customWidth="1"/>
    <col min="9972" max="9976" width="10.375" style="1"/>
    <col min="9977" max="9977" width="13.625" style="1" customWidth="1"/>
    <col min="9978" max="9978" width="10.375" style="1"/>
    <col min="9979" max="9979" width="14.375" style="1" customWidth="1"/>
    <col min="9980" max="9980" width="10.375" style="1"/>
    <col min="9981" max="9981" width="11.625" style="1" bestFit="1" customWidth="1"/>
    <col min="9982" max="9984" width="10.375" style="1"/>
    <col min="9985" max="9985" width="12.875" style="1" customWidth="1"/>
    <col min="9986" max="9986" width="10.375" style="1"/>
    <col min="9987" max="9987" width="13" style="1" customWidth="1"/>
    <col min="9988" max="10226" width="10.375" style="1"/>
    <col min="10227" max="10227" width="33.25" style="1" customWidth="1"/>
    <col min="10228" max="10232" width="10.375" style="1"/>
    <col min="10233" max="10233" width="13.625" style="1" customWidth="1"/>
    <col min="10234" max="10234" width="10.375" style="1"/>
    <col min="10235" max="10235" width="14.375" style="1" customWidth="1"/>
    <col min="10236" max="10236" width="10.375" style="1"/>
    <col min="10237" max="10237" width="11.625" style="1" bestFit="1" customWidth="1"/>
    <col min="10238" max="10240" width="10.375" style="1"/>
    <col min="10241" max="10241" width="12.875" style="1" customWidth="1"/>
    <col min="10242" max="10242" width="10.375" style="1"/>
    <col min="10243" max="10243" width="13" style="1" customWidth="1"/>
    <col min="10244" max="10482" width="10.375" style="1"/>
    <col min="10483" max="10483" width="33.25" style="1" customWidth="1"/>
    <col min="10484" max="10488" width="10.375" style="1"/>
    <col min="10489" max="10489" width="13.625" style="1" customWidth="1"/>
    <col min="10490" max="10490" width="10.375" style="1"/>
    <col min="10491" max="10491" width="14.375" style="1" customWidth="1"/>
    <col min="10492" max="10492" width="10.375" style="1"/>
    <col min="10493" max="10493" width="11.625" style="1" bestFit="1" customWidth="1"/>
    <col min="10494" max="10496" width="10.375" style="1"/>
    <col min="10497" max="10497" width="12.875" style="1" customWidth="1"/>
    <col min="10498" max="10498" width="10.375" style="1"/>
    <col min="10499" max="10499" width="13" style="1" customWidth="1"/>
    <col min="10500" max="10738" width="10.375" style="1"/>
    <col min="10739" max="10739" width="33.25" style="1" customWidth="1"/>
    <col min="10740" max="10744" width="10.375" style="1"/>
    <col min="10745" max="10745" width="13.625" style="1" customWidth="1"/>
    <col min="10746" max="10746" width="10.375" style="1"/>
    <col min="10747" max="10747" width="14.375" style="1" customWidth="1"/>
    <col min="10748" max="10748" width="10.375" style="1"/>
    <col min="10749" max="10749" width="11.625" style="1" bestFit="1" customWidth="1"/>
    <col min="10750" max="10752" width="10.375" style="1"/>
    <col min="10753" max="10753" width="12.875" style="1" customWidth="1"/>
    <col min="10754" max="10754" width="10.375" style="1"/>
    <col min="10755" max="10755" width="13" style="1" customWidth="1"/>
    <col min="10756" max="10994" width="10.375" style="1"/>
    <col min="10995" max="10995" width="33.25" style="1" customWidth="1"/>
    <col min="10996" max="11000" width="10.375" style="1"/>
    <col min="11001" max="11001" width="13.625" style="1" customWidth="1"/>
    <col min="11002" max="11002" width="10.375" style="1"/>
    <col min="11003" max="11003" width="14.375" style="1" customWidth="1"/>
    <col min="11004" max="11004" width="10.375" style="1"/>
    <col min="11005" max="11005" width="11.625" style="1" bestFit="1" customWidth="1"/>
    <col min="11006" max="11008" width="10.375" style="1"/>
    <col min="11009" max="11009" width="12.875" style="1" customWidth="1"/>
    <col min="11010" max="11010" width="10.375" style="1"/>
    <col min="11011" max="11011" width="13" style="1" customWidth="1"/>
    <col min="11012" max="11250" width="10.375" style="1"/>
    <col min="11251" max="11251" width="33.25" style="1" customWidth="1"/>
    <col min="11252" max="11256" width="10.375" style="1"/>
    <col min="11257" max="11257" width="13.625" style="1" customWidth="1"/>
    <col min="11258" max="11258" width="10.375" style="1"/>
    <col min="11259" max="11259" width="14.375" style="1" customWidth="1"/>
    <col min="11260" max="11260" width="10.375" style="1"/>
    <col min="11261" max="11261" width="11.625" style="1" bestFit="1" customWidth="1"/>
    <col min="11262" max="11264" width="10.375" style="1"/>
    <col min="11265" max="11265" width="12.875" style="1" customWidth="1"/>
    <col min="11266" max="11266" width="10.375" style="1"/>
    <col min="11267" max="11267" width="13" style="1" customWidth="1"/>
    <col min="11268" max="11506" width="10.375" style="1"/>
    <col min="11507" max="11507" width="33.25" style="1" customWidth="1"/>
    <col min="11508" max="11512" width="10.375" style="1"/>
    <col min="11513" max="11513" width="13.625" style="1" customWidth="1"/>
    <col min="11514" max="11514" width="10.375" style="1"/>
    <col min="11515" max="11515" width="14.375" style="1" customWidth="1"/>
    <col min="11516" max="11516" width="10.375" style="1"/>
    <col min="11517" max="11517" width="11.625" style="1" bestFit="1" customWidth="1"/>
    <col min="11518" max="11520" width="10.375" style="1"/>
    <col min="11521" max="11521" width="12.875" style="1" customWidth="1"/>
    <col min="11522" max="11522" width="10.375" style="1"/>
    <col min="11523" max="11523" width="13" style="1" customWidth="1"/>
    <col min="11524" max="11762" width="10.375" style="1"/>
    <col min="11763" max="11763" width="33.25" style="1" customWidth="1"/>
    <col min="11764" max="11768" width="10.375" style="1"/>
    <col min="11769" max="11769" width="13.625" style="1" customWidth="1"/>
    <col min="11770" max="11770" width="10.375" style="1"/>
    <col min="11771" max="11771" width="14.375" style="1" customWidth="1"/>
    <col min="11772" max="11772" width="10.375" style="1"/>
    <col min="11773" max="11773" width="11.625" style="1" bestFit="1" customWidth="1"/>
    <col min="11774" max="11776" width="10.375" style="1"/>
    <col min="11777" max="11777" width="12.875" style="1" customWidth="1"/>
    <col min="11778" max="11778" width="10.375" style="1"/>
    <col min="11779" max="11779" width="13" style="1" customWidth="1"/>
    <col min="11780" max="12018" width="10.375" style="1"/>
    <col min="12019" max="12019" width="33.25" style="1" customWidth="1"/>
    <col min="12020" max="12024" width="10.375" style="1"/>
    <col min="12025" max="12025" width="13.625" style="1" customWidth="1"/>
    <col min="12026" max="12026" width="10.375" style="1"/>
    <col min="12027" max="12027" width="14.375" style="1" customWidth="1"/>
    <col min="12028" max="12028" width="10.375" style="1"/>
    <col min="12029" max="12029" width="11.625" style="1" bestFit="1" customWidth="1"/>
    <col min="12030" max="12032" width="10.375" style="1"/>
    <col min="12033" max="12033" width="12.875" style="1" customWidth="1"/>
    <col min="12034" max="12034" width="10.375" style="1"/>
    <col min="12035" max="12035" width="13" style="1" customWidth="1"/>
    <col min="12036" max="12274" width="10.375" style="1"/>
    <col min="12275" max="12275" width="33.25" style="1" customWidth="1"/>
    <col min="12276" max="12280" width="10.375" style="1"/>
    <col min="12281" max="12281" width="13.625" style="1" customWidth="1"/>
    <col min="12282" max="12282" width="10.375" style="1"/>
    <col min="12283" max="12283" width="14.375" style="1" customWidth="1"/>
    <col min="12284" max="12284" width="10.375" style="1"/>
    <col min="12285" max="12285" width="11.625" style="1" bestFit="1" customWidth="1"/>
    <col min="12286" max="12288" width="10.375" style="1"/>
    <col min="12289" max="12289" width="12.875" style="1" customWidth="1"/>
    <col min="12290" max="12290" width="10.375" style="1"/>
    <col min="12291" max="12291" width="13" style="1" customWidth="1"/>
    <col min="12292" max="12530" width="10.375" style="1"/>
    <col min="12531" max="12531" width="33.25" style="1" customWidth="1"/>
    <col min="12532" max="12536" width="10.375" style="1"/>
    <col min="12537" max="12537" width="13.625" style="1" customWidth="1"/>
    <col min="12538" max="12538" width="10.375" style="1"/>
    <col min="12539" max="12539" width="14.375" style="1" customWidth="1"/>
    <col min="12540" max="12540" width="10.375" style="1"/>
    <col min="12541" max="12541" width="11.625" style="1" bestFit="1" customWidth="1"/>
    <col min="12542" max="12544" width="10.375" style="1"/>
    <col min="12545" max="12545" width="12.875" style="1" customWidth="1"/>
    <col min="12546" max="12546" width="10.375" style="1"/>
    <col min="12547" max="12547" width="13" style="1" customWidth="1"/>
    <col min="12548" max="12786" width="10.375" style="1"/>
    <col min="12787" max="12787" width="33.25" style="1" customWidth="1"/>
    <col min="12788" max="12792" width="10.375" style="1"/>
    <col min="12793" max="12793" width="13.625" style="1" customWidth="1"/>
    <col min="12794" max="12794" width="10.375" style="1"/>
    <col min="12795" max="12795" width="14.375" style="1" customWidth="1"/>
    <col min="12796" max="12796" width="10.375" style="1"/>
    <col min="12797" max="12797" width="11.625" style="1" bestFit="1" customWidth="1"/>
    <col min="12798" max="12800" width="10.375" style="1"/>
    <col min="12801" max="12801" width="12.875" style="1" customWidth="1"/>
    <col min="12802" max="12802" width="10.375" style="1"/>
    <col min="12803" max="12803" width="13" style="1" customWidth="1"/>
    <col min="12804" max="13042" width="10.375" style="1"/>
    <col min="13043" max="13043" width="33.25" style="1" customWidth="1"/>
    <col min="13044" max="13048" width="10.375" style="1"/>
    <col min="13049" max="13049" width="13.625" style="1" customWidth="1"/>
    <col min="13050" max="13050" width="10.375" style="1"/>
    <col min="13051" max="13051" width="14.375" style="1" customWidth="1"/>
    <col min="13052" max="13052" width="10.375" style="1"/>
    <col min="13053" max="13053" width="11.625" style="1" bestFit="1" customWidth="1"/>
    <col min="13054" max="13056" width="10.375" style="1"/>
    <col min="13057" max="13057" width="12.875" style="1" customWidth="1"/>
    <col min="13058" max="13058" width="10.375" style="1"/>
    <col min="13059" max="13059" width="13" style="1" customWidth="1"/>
    <col min="13060" max="13298" width="10.375" style="1"/>
    <col min="13299" max="13299" width="33.25" style="1" customWidth="1"/>
    <col min="13300" max="13304" width="10.375" style="1"/>
    <col min="13305" max="13305" width="13.625" style="1" customWidth="1"/>
    <col min="13306" max="13306" width="10.375" style="1"/>
    <col min="13307" max="13307" width="14.375" style="1" customWidth="1"/>
    <col min="13308" max="13308" width="10.375" style="1"/>
    <col min="13309" max="13309" width="11.625" style="1" bestFit="1" customWidth="1"/>
    <col min="13310" max="13312" width="10.375" style="1"/>
    <col min="13313" max="13313" width="12.875" style="1" customWidth="1"/>
    <col min="13314" max="13314" width="10.375" style="1"/>
    <col min="13315" max="13315" width="13" style="1" customWidth="1"/>
    <col min="13316" max="13554" width="10.375" style="1"/>
    <col min="13555" max="13555" width="33.25" style="1" customWidth="1"/>
    <col min="13556" max="13560" width="10.375" style="1"/>
    <col min="13561" max="13561" width="13.625" style="1" customWidth="1"/>
    <col min="13562" max="13562" width="10.375" style="1"/>
    <col min="13563" max="13563" width="14.375" style="1" customWidth="1"/>
    <col min="13564" max="13564" width="10.375" style="1"/>
    <col min="13565" max="13565" width="11.625" style="1" bestFit="1" customWidth="1"/>
    <col min="13566" max="13568" width="10.375" style="1"/>
    <col min="13569" max="13569" width="12.875" style="1" customWidth="1"/>
    <col min="13570" max="13570" width="10.375" style="1"/>
    <col min="13571" max="13571" width="13" style="1" customWidth="1"/>
    <col min="13572" max="13810" width="10.375" style="1"/>
    <col min="13811" max="13811" width="33.25" style="1" customWidth="1"/>
    <col min="13812" max="13816" width="10.375" style="1"/>
    <col min="13817" max="13817" width="13.625" style="1" customWidth="1"/>
    <col min="13818" max="13818" width="10.375" style="1"/>
    <col min="13819" max="13819" width="14.375" style="1" customWidth="1"/>
    <col min="13820" max="13820" width="10.375" style="1"/>
    <col min="13821" max="13821" width="11.625" style="1" bestFit="1" customWidth="1"/>
    <col min="13822" max="13824" width="10.375" style="1"/>
    <col min="13825" max="13825" width="12.875" style="1" customWidth="1"/>
    <col min="13826" max="13826" width="10.375" style="1"/>
    <col min="13827" max="13827" width="13" style="1" customWidth="1"/>
    <col min="13828" max="14066" width="10.375" style="1"/>
    <col min="14067" max="14067" width="33.25" style="1" customWidth="1"/>
    <col min="14068" max="14072" width="10.375" style="1"/>
    <col min="14073" max="14073" width="13.625" style="1" customWidth="1"/>
    <col min="14074" max="14074" width="10.375" style="1"/>
    <col min="14075" max="14075" width="14.375" style="1" customWidth="1"/>
    <col min="14076" max="14076" width="10.375" style="1"/>
    <col min="14077" max="14077" width="11.625" style="1" bestFit="1" customWidth="1"/>
    <col min="14078" max="14080" width="10.375" style="1"/>
    <col min="14081" max="14081" width="12.875" style="1" customWidth="1"/>
    <col min="14082" max="14082" width="10.375" style="1"/>
    <col min="14083" max="14083" width="13" style="1" customWidth="1"/>
    <col min="14084" max="14322" width="10.375" style="1"/>
    <col min="14323" max="14323" width="33.25" style="1" customWidth="1"/>
    <col min="14324" max="14328" width="10.375" style="1"/>
    <col min="14329" max="14329" width="13.625" style="1" customWidth="1"/>
    <col min="14330" max="14330" width="10.375" style="1"/>
    <col min="14331" max="14331" width="14.375" style="1" customWidth="1"/>
    <col min="14332" max="14332" width="10.375" style="1"/>
    <col min="14333" max="14333" width="11.625" style="1" bestFit="1" customWidth="1"/>
    <col min="14334" max="14336" width="10.375" style="1"/>
    <col min="14337" max="14337" width="12.875" style="1" customWidth="1"/>
    <col min="14338" max="14338" width="10.375" style="1"/>
    <col min="14339" max="14339" width="13" style="1" customWidth="1"/>
    <col min="14340" max="14578" width="10.375" style="1"/>
    <col min="14579" max="14579" width="33.25" style="1" customWidth="1"/>
    <col min="14580" max="14584" width="10.375" style="1"/>
    <col min="14585" max="14585" width="13.625" style="1" customWidth="1"/>
    <col min="14586" max="14586" width="10.375" style="1"/>
    <col min="14587" max="14587" width="14.375" style="1" customWidth="1"/>
    <col min="14588" max="14588" width="10.375" style="1"/>
    <col min="14589" max="14589" width="11.625" style="1" bestFit="1" customWidth="1"/>
    <col min="14590" max="14592" width="10.375" style="1"/>
    <col min="14593" max="14593" width="12.875" style="1" customWidth="1"/>
    <col min="14594" max="14594" width="10.375" style="1"/>
    <col min="14595" max="14595" width="13" style="1" customWidth="1"/>
    <col min="14596" max="14834" width="10.375" style="1"/>
    <col min="14835" max="14835" width="33.25" style="1" customWidth="1"/>
    <col min="14836" max="14840" width="10.375" style="1"/>
    <col min="14841" max="14841" width="13.625" style="1" customWidth="1"/>
    <col min="14842" max="14842" width="10.375" style="1"/>
    <col min="14843" max="14843" width="14.375" style="1" customWidth="1"/>
    <col min="14844" max="14844" width="10.375" style="1"/>
    <col min="14845" max="14845" width="11.625" style="1" bestFit="1" customWidth="1"/>
    <col min="14846" max="14848" width="10.375" style="1"/>
    <col min="14849" max="14849" width="12.875" style="1" customWidth="1"/>
    <col min="14850" max="14850" width="10.375" style="1"/>
    <col min="14851" max="14851" width="13" style="1" customWidth="1"/>
    <col min="14852" max="15090" width="10.375" style="1"/>
    <col min="15091" max="15091" width="33.25" style="1" customWidth="1"/>
    <col min="15092" max="15096" width="10.375" style="1"/>
    <col min="15097" max="15097" width="13.625" style="1" customWidth="1"/>
    <col min="15098" max="15098" width="10.375" style="1"/>
    <col min="15099" max="15099" width="14.375" style="1" customWidth="1"/>
    <col min="15100" max="15100" width="10.375" style="1"/>
    <col min="15101" max="15101" width="11.625" style="1" bestFit="1" customWidth="1"/>
    <col min="15102" max="15104" width="10.375" style="1"/>
    <col min="15105" max="15105" width="12.875" style="1" customWidth="1"/>
    <col min="15106" max="15106" width="10.375" style="1"/>
    <col min="15107" max="15107" width="13" style="1" customWidth="1"/>
    <col min="15108" max="15346" width="10.375" style="1"/>
    <col min="15347" max="15347" width="33.25" style="1" customWidth="1"/>
    <col min="15348" max="15352" width="10.375" style="1"/>
    <col min="15353" max="15353" width="13.625" style="1" customWidth="1"/>
    <col min="15354" max="15354" width="10.375" style="1"/>
    <col min="15355" max="15355" width="14.375" style="1" customWidth="1"/>
    <col min="15356" max="15356" width="10.375" style="1"/>
    <col min="15357" max="15357" width="11.625" style="1" bestFit="1" customWidth="1"/>
    <col min="15358" max="15360" width="10.375" style="1"/>
    <col min="15361" max="15361" width="12.875" style="1" customWidth="1"/>
    <col min="15362" max="15362" width="10.375" style="1"/>
    <col min="15363" max="15363" width="13" style="1" customWidth="1"/>
    <col min="15364" max="15602" width="10.375" style="1"/>
    <col min="15603" max="15603" width="33.25" style="1" customWidth="1"/>
    <col min="15604" max="15608" width="10.375" style="1"/>
    <col min="15609" max="15609" width="13.625" style="1" customWidth="1"/>
    <col min="15610" max="15610" width="10.375" style="1"/>
    <col min="15611" max="15611" width="14.375" style="1" customWidth="1"/>
    <col min="15612" max="15612" width="10.375" style="1"/>
    <col min="15613" max="15613" width="11.625" style="1" bestFit="1" customWidth="1"/>
    <col min="15614" max="15616" width="10.375" style="1"/>
    <col min="15617" max="15617" width="12.875" style="1" customWidth="1"/>
    <col min="15618" max="15618" width="10.375" style="1"/>
    <col min="15619" max="15619" width="13" style="1" customWidth="1"/>
    <col min="15620" max="15858" width="10.375" style="1"/>
    <col min="15859" max="15859" width="33.25" style="1" customWidth="1"/>
    <col min="15860" max="15864" width="10.375" style="1"/>
    <col min="15865" max="15865" width="13.625" style="1" customWidth="1"/>
    <col min="15866" max="15866" width="10.375" style="1"/>
    <col min="15867" max="15867" width="14.375" style="1" customWidth="1"/>
    <col min="15868" max="15868" width="10.375" style="1"/>
    <col min="15869" max="15869" width="11.625" style="1" bestFit="1" customWidth="1"/>
    <col min="15870" max="15872" width="10.375" style="1"/>
    <col min="15873" max="15873" width="12.875" style="1" customWidth="1"/>
    <col min="15874" max="15874" width="10.375" style="1"/>
    <col min="15875" max="15875" width="13" style="1" customWidth="1"/>
    <col min="15876" max="16114" width="10.375" style="1"/>
    <col min="16115" max="16115" width="33.25" style="1" customWidth="1"/>
    <col min="16116" max="16120" width="10.375" style="1"/>
    <col min="16121" max="16121" width="13.625" style="1" customWidth="1"/>
    <col min="16122" max="16122" width="10.375" style="1"/>
    <col min="16123" max="16123" width="14.375" style="1" customWidth="1"/>
    <col min="16124" max="16124" width="10.375" style="1"/>
    <col min="16125" max="16125" width="11.625" style="1" bestFit="1" customWidth="1"/>
    <col min="16126" max="16128" width="10.375" style="1"/>
    <col min="16129" max="16129" width="12.875" style="1" customWidth="1"/>
    <col min="16130" max="16130" width="10.375" style="1"/>
    <col min="16131" max="16131" width="13" style="1" customWidth="1"/>
    <col min="16132" max="16384" width="10.375" style="1"/>
  </cols>
  <sheetData>
    <row r="1" spans="1:6" ht="18.600000000000001">
      <c r="A1" s="175" t="s">
        <v>0</v>
      </c>
      <c r="B1" s="175"/>
      <c r="C1" s="175"/>
      <c r="D1" s="175"/>
      <c r="E1" s="175"/>
      <c r="F1" s="175"/>
    </row>
    <row r="2" spans="1:6" ht="18.600000000000001">
      <c r="A2" s="176" t="s">
        <v>1</v>
      </c>
      <c r="B2" s="176"/>
      <c r="C2" s="176"/>
      <c r="D2" s="176"/>
      <c r="E2" s="176"/>
      <c r="F2" s="176"/>
    </row>
    <row r="3" spans="1:6" ht="18.600000000000001">
      <c r="A3" s="177" t="s">
        <v>56</v>
      </c>
      <c r="B3" s="177"/>
      <c r="C3" s="177"/>
      <c r="D3" s="177"/>
      <c r="E3" s="177"/>
      <c r="F3" s="177"/>
    </row>
    <row r="4" spans="1:6" ht="18.600000000000001">
      <c r="A4" s="178" t="s">
        <v>3</v>
      </c>
      <c r="B4" s="173" t="s">
        <v>4</v>
      </c>
      <c r="C4" s="173" t="s">
        <v>5</v>
      </c>
      <c r="D4" s="214" t="s">
        <v>8</v>
      </c>
      <c r="E4" s="215"/>
      <c r="F4" s="216"/>
    </row>
    <row r="5" spans="1:6">
      <c r="A5" s="179"/>
      <c r="B5" s="181"/>
      <c r="C5" s="181"/>
      <c r="D5" s="207" t="s">
        <v>14</v>
      </c>
      <c r="E5" s="209" t="s">
        <v>15</v>
      </c>
      <c r="F5" s="205" t="s">
        <v>16</v>
      </c>
    </row>
    <row r="6" spans="1:6">
      <c r="A6" s="180"/>
      <c r="B6" s="174"/>
      <c r="C6" s="174"/>
      <c r="D6" s="208"/>
      <c r="E6" s="210"/>
      <c r="F6" s="206"/>
    </row>
    <row r="7" spans="1:6" ht="18.600000000000001">
      <c r="A7" s="217" t="s">
        <v>57</v>
      </c>
      <c r="B7" s="218"/>
      <c r="C7" s="219"/>
      <c r="D7" s="142"/>
      <c r="E7" s="143"/>
      <c r="F7" s="144"/>
    </row>
    <row r="8" spans="1:6" ht="18.600000000000001">
      <c r="A8" s="140"/>
      <c r="B8" s="141"/>
      <c r="C8" s="141"/>
      <c r="D8" s="142"/>
      <c r="E8" s="143"/>
      <c r="F8" s="144"/>
    </row>
    <row r="9" spans="1:6" ht="23.25" customHeight="1" thickBot="1">
      <c r="A9" s="220" t="s">
        <v>53</v>
      </c>
      <c r="B9" s="220"/>
      <c r="C9" s="221"/>
      <c r="D9" s="114"/>
      <c r="E9" s="114"/>
      <c r="F9" s="107">
        <v>0</v>
      </c>
    </row>
    <row r="10" spans="1:6" ht="19.2" thickTop="1">
      <c r="A10" s="120"/>
      <c r="B10" s="121"/>
      <c r="C10" s="121"/>
      <c r="D10" s="122"/>
      <c r="E10" s="123"/>
      <c r="F10" s="124"/>
    </row>
    <row r="11" spans="1:6" ht="6.75" customHeight="1">
      <c r="A11" s="120"/>
      <c r="B11" s="121"/>
      <c r="C11" s="121"/>
      <c r="D11" s="122"/>
      <c r="E11" s="123"/>
      <c r="F11" s="124"/>
    </row>
    <row r="12" spans="1:6" ht="18.600000000000001">
      <c r="A12" s="120"/>
      <c r="B12" s="121"/>
      <c r="C12" s="121"/>
      <c r="D12" s="122"/>
      <c r="E12" s="123"/>
      <c r="F12" s="124"/>
    </row>
    <row r="13" spans="1:6" ht="18.600000000000001">
      <c r="B13" s="128"/>
      <c r="C13" s="121"/>
      <c r="D13" s="122"/>
      <c r="E13" s="123"/>
      <c r="F13" s="124"/>
    </row>
    <row r="14" spans="1:6" ht="18.600000000000001">
      <c r="A14" s="129"/>
      <c r="B14" s="130"/>
      <c r="C14" s="129"/>
      <c r="D14" s="134"/>
      <c r="E14" s="135"/>
      <c r="F14" s="136"/>
    </row>
  </sheetData>
  <mergeCells count="12">
    <mergeCell ref="A1:F1"/>
    <mergeCell ref="A2:F2"/>
    <mergeCell ref="A3:F3"/>
    <mergeCell ref="A4:A6"/>
    <mergeCell ref="B4:B6"/>
    <mergeCell ref="C4:C6"/>
    <mergeCell ref="D4:F4"/>
    <mergeCell ref="A9:C9"/>
    <mergeCell ref="A7:C7"/>
    <mergeCell ref="F5:F6"/>
    <mergeCell ref="D5:D6"/>
    <mergeCell ref="E5:E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8DD0-DA89-486A-A91F-2162AB6329A0}">
  <sheetPr>
    <tabColor rgb="FF92D050"/>
  </sheetPr>
  <dimension ref="A1:F21"/>
  <sheetViews>
    <sheetView workbookViewId="0">
      <pane ySplit="6" topLeftCell="A7" activePane="bottomLeft" state="frozen"/>
      <selection pane="bottomLeft" activeCell="G32" sqref="G32:H32"/>
    </sheetView>
  </sheetViews>
  <sheetFormatPr defaultColWidth="10.375" defaultRowHeight="14.4"/>
  <cols>
    <col min="1" max="1" width="10.375" style="1"/>
    <col min="2" max="2" width="33.25" style="1" customWidth="1"/>
    <col min="3" max="5" width="10.375" style="1"/>
    <col min="6" max="6" width="13" style="1" customWidth="1"/>
    <col min="7" max="245" width="10.375" style="1"/>
    <col min="246" max="246" width="33.25" style="1" customWidth="1"/>
    <col min="247" max="251" width="10.375" style="1"/>
    <col min="252" max="252" width="13.625" style="1" customWidth="1"/>
    <col min="253" max="253" width="10.375" style="1"/>
    <col min="254" max="254" width="14.375" style="1" customWidth="1"/>
    <col min="255" max="255" width="10.375" style="1"/>
    <col min="256" max="256" width="11.625" style="1" bestFit="1" customWidth="1"/>
    <col min="257" max="259" width="10.375" style="1"/>
    <col min="260" max="260" width="12.875" style="1" customWidth="1"/>
    <col min="261" max="261" width="10.375" style="1"/>
    <col min="262" max="262" width="13" style="1" customWidth="1"/>
    <col min="263" max="501" width="10.375" style="1"/>
    <col min="502" max="502" width="33.25" style="1" customWidth="1"/>
    <col min="503" max="507" width="10.375" style="1"/>
    <col min="508" max="508" width="13.625" style="1" customWidth="1"/>
    <col min="509" max="509" width="10.375" style="1"/>
    <col min="510" max="510" width="14.375" style="1" customWidth="1"/>
    <col min="511" max="511" width="10.375" style="1"/>
    <col min="512" max="512" width="11.625" style="1" bestFit="1" customWidth="1"/>
    <col min="513" max="515" width="10.375" style="1"/>
    <col min="516" max="516" width="12.875" style="1" customWidth="1"/>
    <col min="517" max="517" width="10.375" style="1"/>
    <col min="518" max="518" width="13" style="1" customWidth="1"/>
    <col min="519" max="757" width="10.375" style="1"/>
    <col min="758" max="758" width="33.25" style="1" customWidth="1"/>
    <col min="759" max="763" width="10.375" style="1"/>
    <col min="764" max="764" width="13.625" style="1" customWidth="1"/>
    <col min="765" max="765" width="10.375" style="1"/>
    <col min="766" max="766" width="14.375" style="1" customWidth="1"/>
    <col min="767" max="767" width="10.375" style="1"/>
    <col min="768" max="768" width="11.625" style="1" bestFit="1" customWidth="1"/>
    <col min="769" max="771" width="10.375" style="1"/>
    <col min="772" max="772" width="12.875" style="1" customWidth="1"/>
    <col min="773" max="773" width="10.375" style="1"/>
    <col min="774" max="774" width="13" style="1" customWidth="1"/>
    <col min="775" max="1013" width="10.375" style="1"/>
    <col min="1014" max="1014" width="33.25" style="1" customWidth="1"/>
    <col min="1015" max="1019" width="10.375" style="1"/>
    <col min="1020" max="1020" width="13.625" style="1" customWidth="1"/>
    <col min="1021" max="1021" width="10.375" style="1"/>
    <col min="1022" max="1022" width="14.375" style="1" customWidth="1"/>
    <col min="1023" max="1023" width="10.375" style="1"/>
    <col min="1024" max="1024" width="11.625" style="1" bestFit="1" customWidth="1"/>
    <col min="1025" max="1027" width="10.375" style="1"/>
    <col min="1028" max="1028" width="12.875" style="1" customWidth="1"/>
    <col min="1029" max="1029" width="10.375" style="1"/>
    <col min="1030" max="1030" width="13" style="1" customWidth="1"/>
    <col min="1031" max="1269" width="10.375" style="1"/>
    <col min="1270" max="1270" width="33.25" style="1" customWidth="1"/>
    <col min="1271" max="1275" width="10.375" style="1"/>
    <col min="1276" max="1276" width="13.625" style="1" customWidth="1"/>
    <col min="1277" max="1277" width="10.375" style="1"/>
    <col min="1278" max="1278" width="14.375" style="1" customWidth="1"/>
    <col min="1279" max="1279" width="10.375" style="1"/>
    <col min="1280" max="1280" width="11.625" style="1" bestFit="1" customWidth="1"/>
    <col min="1281" max="1283" width="10.375" style="1"/>
    <col min="1284" max="1284" width="12.875" style="1" customWidth="1"/>
    <col min="1285" max="1285" width="10.375" style="1"/>
    <col min="1286" max="1286" width="13" style="1" customWidth="1"/>
    <col min="1287" max="1525" width="10.375" style="1"/>
    <col min="1526" max="1526" width="33.25" style="1" customWidth="1"/>
    <col min="1527" max="1531" width="10.375" style="1"/>
    <col min="1532" max="1532" width="13.625" style="1" customWidth="1"/>
    <col min="1533" max="1533" width="10.375" style="1"/>
    <col min="1534" max="1534" width="14.375" style="1" customWidth="1"/>
    <col min="1535" max="1535" width="10.375" style="1"/>
    <col min="1536" max="1536" width="11.625" style="1" bestFit="1" customWidth="1"/>
    <col min="1537" max="1539" width="10.375" style="1"/>
    <col min="1540" max="1540" width="12.875" style="1" customWidth="1"/>
    <col min="1541" max="1541" width="10.375" style="1"/>
    <col min="1542" max="1542" width="13" style="1" customWidth="1"/>
    <col min="1543" max="1781" width="10.375" style="1"/>
    <col min="1782" max="1782" width="33.25" style="1" customWidth="1"/>
    <col min="1783" max="1787" width="10.375" style="1"/>
    <col min="1788" max="1788" width="13.625" style="1" customWidth="1"/>
    <col min="1789" max="1789" width="10.375" style="1"/>
    <col min="1790" max="1790" width="14.375" style="1" customWidth="1"/>
    <col min="1791" max="1791" width="10.375" style="1"/>
    <col min="1792" max="1792" width="11.625" style="1" bestFit="1" customWidth="1"/>
    <col min="1793" max="1795" width="10.375" style="1"/>
    <col min="1796" max="1796" width="12.875" style="1" customWidth="1"/>
    <col min="1797" max="1797" width="10.375" style="1"/>
    <col min="1798" max="1798" width="13" style="1" customWidth="1"/>
    <col min="1799" max="2037" width="10.375" style="1"/>
    <col min="2038" max="2038" width="33.25" style="1" customWidth="1"/>
    <col min="2039" max="2043" width="10.375" style="1"/>
    <col min="2044" max="2044" width="13.625" style="1" customWidth="1"/>
    <col min="2045" max="2045" width="10.375" style="1"/>
    <col min="2046" max="2046" width="14.375" style="1" customWidth="1"/>
    <col min="2047" max="2047" width="10.375" style="1"/>
    <col min="2048" max="2048" width="11.625" style="1" bestFit="1" customWidth="1"/>
    <col min="2049" max="2051" width="10.375" style="1"/>
    <col min="2052" max="2052" width="12.875" style="1" customWidth="1"/>
    <col min="2053" max="2053" width="10.375" style="1"/>
    <col min="2054" max="2054" width="13" style="1" customWidth="1"/>
    <col min="2055" max="2293" width="10.375" style="1"/>
    <col min="2294" max="2294" width="33.25" style="1" customWidth="1"/>
    <col min="2295" max="2299" width="10.375" style="1"/>
    <col min="2300" max="2300" width="13.625" style="1" customWidth="1"/>
    <col min="2301" max="2301" width="10.375" style="1"/>
    <col min="2302" max="2302" width="14.375" style="1" customWidth="1"/>
    <col min="2303" max="2303" width="10.375" style="1"/>
    <col min="2304" max="2304" width="11.625" style="1" bestFit="1" customWidth="1"/>
    <col min="2305" max="2307" width="10.375" style="1"/>
    <col min="2308" max="2308" width="12.875" style="1" customWidth="1"/>
    <col min="2309" max="2309" width="10.375" style="1"/>
    <col min="2310" max="2310" width="13" style="1" customWidth="1"/>
    <col min="2311" max="2549" width="10.375" style="1"/>
    <col min="2550" max="2550" width="33.25" style="1" customWidth="1"/>
    <col min="2551" max="2555" width="10.375" style="1"/>
    <col min="2556" max="2556" width="13.625" style="1" customWidth="1"/>
    <col min="2557" max="2557" width="10.375" style="1"/>
    <col min="2558" max="2558" width="14.375" style="1" customWidth="1"/>
    <col min="2559" max="2559" width="10.375" style="1"/>
    <col min="2560" max="2560" width="11.625" style="1" bestFit="1" customWidth="1"/>
    <col min="2561" max="2563" width="10.375" style="1"/>
    <col min="2564" max="2564" width="12.875" style="1" customWidth="1"/>
    <col min="2565" max="2565" width="10.375" style="1"/>
    <col min="2566" max="2566" width="13" style="1" customWidth="1"/>
    <col min="2567" max="2805" width="10.375" style="1"/>
    <col min="2806" max="2806" width="33.25" style="1" customWidth="1"/>
    <col min="2807" max="2811" width="10.375" style="1"/>
    <col min="2812" max="2812" width="13.625" style="1" customWidth="1"/>
    <col min="2813" max="2813" width="10.375" style="1"/>
    <col min="2814" max="2814" width="14.375" style="1" customWidth="1"/>
    <col min="2815" max="2815" width="10.375" style="1"/>
    <col min="2816" max="2816" width="11.625" style="1" bestFit="1" customWidth="1"/>
    <col min="2817" max="2819" width="10.375" style="1"/>
    <col min="2820" max="2820" width="12.875" style="1" customWidth="1"/>
    <col min="2821" max="2821" width="10.375" style="1"/>
    <col min="2822" max="2822" width="13" style="1" customWidth="1"/>
    <col min="2823" max="3061" width="10.375" style="1"/>
    <col min="3062" max="3062" width="33.25" style="1" customWidth="1"/>
    <col min="3063" max="3067" width="10.375" style="1"/>
    <col min="3068" max="3068" width="13.625" style="1" customWidth="1"/>
    <col min="3069" max="3069" width="10.375" style="1"/>
    <col min="3070" max="3070" width="14.375" style="1" customWidth="1"/>
    <col min="3071" max="3071" width="10.375" style="1"/>
    <col min="3072" max="3072" width="11.625" style="1" bestFit="1" customWidth="1"/>
    <col min="3073" max="3075" width="10.375" style="1"/>
    <col min="3076" max="3076" width="12.875" style="1" customWidth="1"/>
    <col min="3077" max="3077" width="10.375" style="1"/>
    <col min="3078" max="3078" width="13" style="1" customWidth="1"/>
    <col min="3079" max="3317" width="10.375" style="1"/>
    <col min="3318" max="3318" width="33.25" style="1" customWidth="1"/>
    <col min="3319" max="3323" width="10.375" style="1"/>
    <col min="3324" max="3324" width="13.625" style="1" customWidth="1"/>
    <col min="3325" max="3325" width="10.375" style="1"/>
    <col min="3326" max="3326" width="14.375" style="1" customWidth="1"/>
    <col min="3327" max="3327" width="10.375" style="1"/>
    <col min="3328" max="3328" width="11.625" style="1" bestFit="1" customWidth="1"/>
    <col min="3329" max="3331" width="10.375" style="1"/>
    <col min="3332" max="3332" width="12.875" style="1" customWidth="1"/>
    <col min="3333" max="3333" width="10.375" style="1"/>
    <col min="3334" max="3334" width="13" style="1" customWidth="1"/>
    <col min="3335" max="3573" width="10.375" style="1"/>
    <col min="3574" max="3574" width="33.25" style="1" customWidth="1"/>
    <col min="3575" max="3579" width="10.375" style="1"/>
    <col min="3580" max="3580" width="13.625" style="1" customWidth="1"/>
    <col min="3581" max="3581" width="10.375" style="1"/>
    <col min="3582" max="3582" width="14.375" style="1" customWidth="1"/>
    <col min="3583" max="3583" width="10.375" style="1"/>
    <col min="3584" max="3584" width="11.625" style="1" bestFit="1" customWidth="1"/>
    <col min="3585" max="3587" width="10.375" style="1"/>
    <col min="3588" max="3588" width="12.875" style="1" customWidth="1"/>
    <col min="3589" max="3589" width="10.375" style="1"/>
    <col min="3590" max="3590" width="13" style="1" customWidth="1"/>
    <col min="3591" max="3829" width="10.375" style="1"/>
    <col min="3830" max="3830" width="33.25" style="1" customWidth="1"/>
    <col min="3831" max="3835" width="10.375" style="1"/>
    <col min="3836" max="3836" width="13.625" style="1" customWidth="1"/>
    <col min="3837" max="3837" width="10.375" style="1"/>
    <col min="3838" max="3838" width="14.375" style="1" customWidth="1"/>
    <col min="3839" max="3839" width="10.375" style="1"/>
    <col min="3840" max="3840" width="11.625" style="1" bestFit="1" customWidth="1"/>
    <col min="3841" max="3843" width="10.375" style="1"/>
    <col min="3844" max="3844" width="12.875" style="1" customWidth="1"/>
    <col min="3845" max="3845" width="10.375" style="1"/>
    <col min="3846" max="3846" width="13" style="1" customWidth="1"/>
    <col min="3847" max="4085" width="10.375" style="1"/>
    <col min="4086" max="4086" width="33.25" style="1" customWidth="1"/>
    <col min="4087" max="4091" width="10.375" style="1"/>
    <col min="4092" max="4092" width="13.625" style="1" customWidth="1"/>
    <col min="4093" max="4093" width="10.375" style="1"/>
    <col min="4094" max="4094" width="14.375" style="1" customWidth="1"/>
    <col min="4095" max="4095" width="10.375" style="1"/>
    <col min="4096" max="4096" width="11.625" style="1" bestFit="1" customWidth="1"/>
    <col min="4097" max="4099" width="10.375" style="1"/>
    <col min="4100" max="4100" width="12.875" style="1" customWidth="1"/>
    <col min="4101" max="4101" width="10.375" style="1"/>
    <col min="4102" max="4102" width="13" style="1" customWidth="1"/>
    <col min="4103" max="4341" width="10.375" style="1"/>
    <col min="4342" max="4342" width="33.25" style="1" customWidth="1"/>
    <col min="4343" max="4347" width="10.375" style="1"/>
    <col min="4348" max="4348" width="13.625" style="1" customWidth="1"/>
    <col min="4349" max="4349" width="10.375" style="1"/>
    <col min="4350" max="4350" width="14.375" style="1" customWidth="1"/>
    <col min="4351" max="4351" width="10.375" style="1"/>
    <col min="4352" max="4352" width="11.625" style="1" bestFit="1" customWidth="1"/>
    <col min="4353" max="4355" width="10.375" style="1"/>
    <col min="4356" max="4356" width="12.875" style="1" customWidth="1"/>
    <col min="4357" max="4357" width="10.375" style="1"/>
    <col min="4358" max="4358" width="13" style="1" customWidth="1"/>
    <col min="4359" max="4597" width="10.375" style="1"/>
    <col min="4598" max="4598" width="33.25" style="1" customWidth="1"/>
    <col min="4599" max="4603" width="10.375" style="1"/>
    <col min="4604" max="4604" width="13.625" style="1" customWidth="1"/>
    <col min="4605" max="4605" width="10.375" style="1"/>
    <col min="4606" max="4606" width="14.375" style="1" customWidth="1"/>
    <col min="4607" max="4607" width="10.375" style="1"/>
    <col min="4608" max="4608" width="11.625" style="1" bestFit="1" customWidth="1"/>
    <col min="4609" max="4611" width="10.375" style="1"/>
    <col min="4612" max="4612" width="12.875" style="1" customWidth="1"/>
    <col min="4613" max="4613" width="10.375" style="1"/>
    <col min="4614" max="4614" width="13" style="1" customWidth="1"/>
    <col min="4615" max="4853" width="10.375" style="1"/>
    <col min="4854" max="4854" width="33.25" style="1" customWidth="1"/>
    <col min="4855" max="4859" width="10.375" style="1"/>
    <col min="4860" max="4860" width="13.625" style="1" customWidth="1"/>
    <col min="4861" max="4861" width="10.375" style="1"/>
    <col min="4862" max="4862" width="14.375" style="1" customWidth="1"/>
    <col min="4863" max="4863" width="10.375" style="1"/>
    <col min="4864" max="4864" width="11.625" style="1" bestFit="1" customWidth="1"/>
    <col min="4865" max="4867" width="10.375" style="1"/>
    <col min="4868" max="4868" width="12.875" style="1" customWidth="1"/>
    <col min="4869" max="4869" width="10.375" style="1"/>
    <col min="4870" max="4870" width="13" style="1" customWidth="1"/>
    <col min="4871" max="5109" width="10.375" style="1"/>
    <col min="5110" max="5110" width="33.25" style="1" customWidth="1"/>
    <col min="5111" max="5115" width="10.375" style="1"/>
    <col min="5116" max="5116" width="13.625" style="1" customWidth="1"/>
    <col min="5117" max="5117" width="10.375" style="1"/>
    <col min="5118" max="5118" width="14.375" style="1" customWidth="1"/>
    <col min="5119" max="5119" width="10.375" style="1"/>
    <col min="5120" max="5120" width="11.625" style="1" bestFit="1" customWidth="1"/>
    <col min="5121" max="5123" width="10.375" style="1"/>
    <col min="5124" max="5124" width="12.875" style="1" customWidth="1"/>
    <col min="5125" max="5125" width="10.375" style="1"/>
    <col min="5126" max="5126" width="13" style="1" customWidth="1"/>
    <col min="5127" max="5365" width="10.375" style="1"/>
    <col min="5366" max="5366" width="33.25" style="1" customWidth="1"/>
    <col min="5367" max="5371" width="10.375" style="1"/>
    <col min="5372" max="5372" width="13.625" style="1" customWidth="1"/>
    <col min="5373" max="5373" width="10.375" style="1"/>
    <col min="5374" max="5374" width="14.375" style="1" customWidth="1"/>
    <col min="5375" max="5375" width="10.375" style="1"/>
    <col min="5376" max="5376" width="11.625" style="1" bestFit="1" customWidth="1"/>
    <col min="5377" max="5379" width="10.375" style="1"/>
    <col min="5380" max="5380" width="12.875" style="1" customWidth="1"/>
    <col min="5381" max="5381" width="10.375" style="1"/>
    <col min="5382" max="5382" width="13" style="1" customWidth="1"/>
    <col min="5383" max="5621" width="10.375" style="1"/>
    <col min="5622" max="5622" width="33.25" style="1" customWidth="1"/>
    <col min="5623" max="5627" width="10.375" style="1"/>
    <col min="5628" max="5628" width="13.625" style="1" customWidth="1"/>
    <col min="5629" max="5629" width="10.375" style="1"/>
    <col min="5630" max="5630" width="14.375" style="1" customWidth="1"/>
    <col min="5631" max="5631" width="10.375" style="1"/>
    <col min="5632" max="5632" width="11.625" style="1" bestFit="1" customWidth="1"/>
    <col min="5633" max="5635" width="10.375" style="1"/>
    <col min="5636" max="5636" width="12.875" style="1" customWidth="1"/>
    <col min="5637" max="5637" width="10.375" style="1"/>
    <col min="5638" max="5638" width="13" style="1" customWidth="1"/>
    <col min="5639" max="5877" width="10.375" style="1"/>
    <col min="5878" max="5878" width="33.25" style="1" customWidth="1"/>
    <col min="5879" max="5883" width="10.375" style="1"/>
    <col min="5884" max="5884" width="13.625" style="1" customWidth="1"/>
    <col min="5885" max="5885" width="10.375" style="1"/>
    <col min="5886" max="5886" width="14.375" style="1" customWidth="1"/>
    <col min="5887" max="5887" width="10.375" style="1"/>
    <col min="5888" max="5888" width="11.625" style="1" bestFit="1" customWidth="1"/>
    <col min="5889" max="5891" width="10.375" style="1"/>
    <col min="5892" max="5892" width="12.875" style="1" customWidth="1"/>
    <col min="5893" max="5893" width="10.375" style="1"/>
    <col min="5894" max="5894" width="13" style="1" customWidth="1"/>
    <col min="5895" max="6133" width="10.375" style="1"/>
    <col min="6134" max="6134" width="33.25" style="1" customWidth="1"/>
    <col min="6135" max="6139" width="10.375" style="1"/>
    <col min="6140" max="6140" width="13.625" style="1" customWidth="1"/>
    <col min="6141" max="6141" width="10.375" style="1"/>
    <col min="6142" max="6142" width="14.375" style="1" customWidth="1"/>
    <col min="6143" max="6143" width="10.375" style="1"/>
    <col min="6144" max="6144" width="11.625" style="1" bestFit="1" customWidth="1"/>
    <col min="6145" max="6147" width="10.375" style="1"/>
    <col min="6148" max="6148" width="12.875" style="1" customWidth="1"/>
    <col min="6149" max="6149" width="10.375" style="1"/>
    <col min="6150" max="6150" width="13" style="1" customWidth="1"/>
    <col min="6151" max="6389" width="10.375" style="1"/>
    <col min="6390" max="6390" width="33.25" style="1" customWidth="1"/>
    <col min="6391" max="6395" width="10.375" style="1"/>
    <col min="6396" max="6396" width="13.625" style="1" customWidth="1"/>
    <col min="6397" max="6397" width="10.375" style="1"/>
    <col min="6398" max="6398" width="14.375" style="1" customWidth="1"/>
    <col min="6399" max="6399" width="10.375" style="1"/>
    <col min="6400" max="6400" width="11.625" style="1" bestFit="1" customWidth="1"/>
    <col min="6401" max="6403" width="10.375" style="1"/>
    <col min="6404" max="6404" width="12.875" style="1" customWidth="1"/>
    <col min="6405" max="6405" width="10.375" style="1"/>
    <col min="6406" max="6406" width="13" style="1" customWidth="1"/>
    <col min="6407" max="6645" width="10.375" style="1"/>
    <col min="6646" max="6646" width="33.25" style="1" customWidth="1"/>
    <col min="6647" max="6651" width="10.375" style="1"/>
    <col min="6652" max="6652" width="13.625" style="1" customWidth="1"/>
    <col min="6653" max="6653" width="10.375" style="1"/>
    <col min="6654" max="6654" width="14.375" style="1" customWidth="1"/>
    <col min="6655" max="6655" width="10.375" style="1"/>
    <col min="6656" max="6656" width="11.625" style="1" bestFit="1" customWidth="1"/>
    <col min="6657" max="6659" width="10.375" style="1"/>
    <col min="6660" max="6660" width="12.875" style="1" customWidth="1"/>
    <col min="6661" max="6661" width="10.375" style="1"/>
    <col min="6662" max="6662" width="13" style="1" customWidth="1"/>
    <col min="6663" max="6901" width="10.375" style="1"/>
    <col min="6902" max="6902" width="33.25" style="1" customWidth="1"/>
    <col min="6903" max="6907" width="10.375" style="1"/>
    <col min="6908" max="6908" width="13.625" style="1" customWidth="1"/>
    <col min="6909" max="6909" width="10.375" style="1"/>
    <col min="6910" max="6910" width="14.375" style="1" customWidth="1"/>
    <col min="6911" max="6911" width="10.375" style="1"/>
    <col min="6912" max="6912" width="11.625" style="1" bestFit="1" customWidth="1"/>
    <col min="6913" max="6915" width="10.375" style="1"/>
    <col min="6916" max="6916" width="12.875" style="1" customWidth="1"/>
    <col min="6917" max="6917" width="10.375" style="1"/>
    <col min="6918" max="6918" width="13" style="1" customWidth="1"/>
    <col min="6919" max="7157" width="10.375" style="1"/>
    <col min="7158" max="7158" width="33.25" style="1" customWidth="1"/>
    <col min="7159" max="7163" width="10.375" style="1"/>
    <col min="7164" max="7164" width="13.625" style="1" customWidth="1"/>
    <col min="7165" max="7165" width="10.375" style="1"/>
    <col min="7166" max="7166" width="14.375" style="1" customWidth="1"/>
    <col min="7167" max="7167" width="10.375" style="1"/>
    <col min="7168" max="7168" width="11.625" style="1" bestFit="1" customWidth="1"/>
    <col min="7169" max="7171" width="10.375" style="1"/>
    <col min="7172" max="7172" width="12.875" style="1" customWidth="1"/>
    <col min="7173" max="7173" width="10.375" style="1"/>
    <col min="7174" max="7174" width="13" style="1" customWidth="1"/>
    <col min="7175" max="7413" width="10.375" style="1"/>
    <col min="7414" max="7414" width="33.25" style="1" customWidth="1"/>
    <col min="7415" max="7419" width="10.375" style="1"/>
    <col min="7420" max="7420" width="13.625" style="1" customWidth="1"/>
    <col min="7421" max="7421" width="10.375" style="1"/>
    <col min="7422" max="7422" width="14.375" style="1" customWidth="1"/>
    <col min="7423" max="7423" width="10.375" style="1"/>
    <col min="7424" max="7424" width="11.625" style="1" bestFit="1" customWidth="1"/>
    <col min="7425" max="7427" width="10.375" style="1"/>
    <col min="7428" max="7428" width="12.875" style="1" customWidth="1"/>
    <col min="7429" max="7429" width="10.375" style="1"/>
    <col min="7430" max="7430" width="13" style="1" customWidth="1"/>
    <col min="7431" max="7669" width="10.375" style="1"/>
    <col min="7670" max="7670" width="33.25" style="1" customWidth="1"/>
    <col min="7671" max="7675" width="10.375" style="1"/>
    <col min="7676" max="7676" width="13.625" style="1" customWidth="1"/>
    <col min="7677" max="7677" width="10.375" style="1"/>
    <col min="7678" max="7678" width="14.375" style="1" customWidth="1"/>
    <col min="7679" max="7679" width="10.375" style="1"/>
    <col min="7680" max="7680" width="11.625" style="1" bestFit="1" customWidth="1"/>
    <col min="7681" max="7683" width="10.375" style="1"/>
    <col min="7684" max="7684" width="12.875" style="1" customWidth="1"/>
    <col min="7685" max="7685" width="10.375" style="1"/>
    <col min="7686" max="7686" width="13" style="1" customWidth="1"/>
    <col min="7687" max="7925" width="10.375" style="1"/>
    <col min="7926" max="7926" width="33.25" style="1" customWidth="1"/>
    <col min="7927" max="7931" width="10.375" style="1"/>
    <col min="7932" max="7932" width="13.625" style="1" customWidth="1"/>
    <col min="7933" max="7933" width="10.375" style="1"/>
    <col min="7934" max="7934" width="14.375" style="1" customWidth="1"/>
    <col min="7935" max="7935" width="10.375" style="1"/>
    <col min="7936" max="7936" width="11.625" style="1" bestFit="1" customWidth="1"/>
    <col min="7937" max="7939" width="10.375" style="1"/>
    <col min="7940" max="7940" width="12.875" style="1" customWidth="1"/>
    <col min="7941" max="7941" width="10.375" style="1"/>
    <col min="7942" max="7942" width="13" style="1" customWidth="1"/>
    <col min="7943" max="8181" width="10.375" style="1"/>
    <col min="8182" max="8182" width="33.25" style="1" customWidth="1"/>
    <col min="8183" max="8187" width="10.375" style="1"/>
    <col min="8188" max="8188" width="13.625" style="1" customWidth="1"/>
    <col min="8189" max="8189" width="10.375" style="1"/>
    <col min="8190" max="8190" width="14.375" style="1" customWidth="1"/>
    <col min="8191" max="8191" width="10.375" style="1"/>
    <col min="8192" max="8192" width="11.625" style="1" bestFit="1" customWidth="1"/>
    <col min="8193" max="8195" width="10.375" style="1"/>
    <col min="8196" max="8196" width="12.875" style="1" customWidth="1"/>
    <col min="8197" max="8197" width="10.375" style="1"/>
    <col min="8198" max="8198" width="13" style="1" customWidth="1"/>
    <col min="8199" max="8437" width="10.375" style="1"/>
    <col min="8438" max="8438" width="33.25" style="1" customWidth="1"/>
    <col min="8439" max="8443" width="10.375" style="1"/>
    <col min="8444" max="8444" width="13.625" style="1" customWidth="1"/>
    <col min="8445" max="8445" width="10.375" style="1"/>
    <col min="8446" max="8446" width="14.375" style="1" customWidth="1"/>
    <col min="8447" max="8447" width="10.375" style="1"/>
    <col min="8448" max="8448" width="11.625" style="1" bestFit="1" customWidth="1"/>
    <col min="8449" max="8451" width="10.375" style="1"/>
    <col min="8452" max="8452" width="12.875" style="1" customWidth="1"/>
    <col min="8453" max="8453" width="10.375" style="1"/>
    <col min="8454" max="8454" width="13" style="1" customWidth="1"/>
    <col min="8455" max="8693" width="10.375" style="1"/>
    <col min="8694" max="8694" width="33.25" style="1" customWidth="1"/>
    <col min="8695" max="8699" width="10.375" style="1"/>
    <col min="8700" max="8700" width="13.625" style="1" customWidth="1"/>
    <col min="8701" max="8701" width="10.375" style="1"/>
    <col min="8702" max="8702" width="14.375" style="1" customWidth="1"/>
    <col min="8703" max="8703" width="10.375" style="1"/>
    <col min="8704" max="8704" width="11.625" style="1" bestFit="1" customWidth="1"/>
    <col min="8705" max="8707" width="10.375" style="1"/>
    <col min="8708" max="8708" width="12.875" style="1" customWidth="1"/>
    <col min="8709" max="8709" width="10.375" style="1"/>
    <col min="8710" max="8710" width="13" style="1" customWidth="1"/>
    <col min="8711" max="8949" width="10.375" style="1"/>
    <col min="8950" max="8950" width="33.25" style="1" customWidth="1"/>
    <col min="8951" max="8955" width="10.375" style="1"/>
    <col min="8956" max="8956" width="13.625" style="1" customWidth="1"/>
    <col min="8957" max="8957" width="10.375" style="1"/>
    <col min="8958" max="8958" width="14.375" style="1" customWidth="1"/>
    <col min="8959" max="8959" width="10.375" style="1"/>
    <col min="8960" max="8960" width="11.625" style="1" bestFit="1" customWidth="1"/>
    <col min="8961" max="8963" width="10.375" style="1"/>
    <col min="8964" max="8964" width="12.875" style="1" customWidth="1"/>
    <col min="8965" max="8965" width="10.375" style="1"/>
    <col min="8966" max="8966" width="13" style="1" customWidth="1"/>
    <col min="8967" max="9205" width="10.375" style="1"/>
    <col min="9206" max="9206" width="33.25" style="1" customWidth="1"/>
    <col min="9207" max="9211" width="10.375" style="1"/>
    <col min="9212" max="9212" width="13.625" style="1" customWidth="1"/>
    <col min="9213" max="9213" width="10.375" style="1"/>
    <col min="9214" max="9214" width="14.375" style="1" customWidth="1"/>
    <col min="9215" max="9215" width="10.375" style="1"/>
    <col min="9216" max="9216" width="11.625" style="1" bestFit="1" customWidth="1"/>
    <col min="9217" max="9219" width="10.375" style="1"/>
    <col min="9220" max="9220" width="12.875" style="1" customWidth="1"/>
    <col min="9221" max="9221" width="10.375" style="1"/>
    <col min="9222" max="9222" width="13" style="1" customWidth="1"/>
    <col min="9223" max="9461" width="10.375" style="1"/>
    <col min="9462" max="9462" width="33.25" style="1" customWidth="1"/>
    <col min="9463" max="9467" width="10.375" style="1"/>
    <col min="9468" max="9468" width="13.625" style="1" customWidth="1"/>
    <col min="9469" max="9469" width="10.375" style="1"/>
    <col min="9470" max="9470" width="14.375" style="1" customWidth="1"/>
    <col min="9471" max="9471" width="10.375" style="1"/>
    <col min="9472" max="9472" width="11.625" style="1" bestFit="1" customWidth="1"/>
    <col min="9473" max="9475" width="10.375" style="1"/>
    <col min="9476" max="9476" width="12.875" style="1" customWidth="1"/>
    <col min="9477" max="9477" width="10.375" style="1"/>
    <col min="9478" max="9478" width="13" style="1" customWidth="1"/>
    <col min="9479" max="9717" width="10.375" style="1"/>
    <col min="9718" max="9718" width="33.25" style="1" customWidth="1"/>
    <col min="9719" max="9723" width="10.375" style="1"/>
    <col min="9724" max="9724" width="13.625" style="1" customWidth="1"/>
    <col min="9725" max="9725" width="10.375" style="1"/>
    <col min="9726" max="9726" width="14.375" style="1" customWidth="1"/>
    <col min="9727" max="9727" width="10.375" style="1"/>
    <col min="9728" max="9728" width="11.625" style="1" bestFit="1" customWidth="1"/>
    <col min="9729" max="9731" width="10.375" style="1"/>
    <col min="9732" max="9732" width="12.875" style="1" customWidth="1"/>
    <col min="9733" max="9733" width="10.375" style="1"/>
    <col min="9734" max="9734" width="13" style="1" customWidth="1"/>
    <col min="9735" max="9973" width="10.375" style="1"/>
    <col min="9974" max="9974" width="33.25" style="1" customWidth="1"/>
    <col min="9975" max="9979" width="10.375" style="1"/>
    <col min="9980" max="9980" width="13.625" style="1" customWidth="1"/>
    <col min="9981" max="9981" width="10.375" style="1"/>
    <col min="9982" max="9982" width="14.375" style="1" customWidth="1"/>
    <col min="9983" max="9983" width="10.375" style="1"/>
    <col min="9984" max="9984" width="11.625" style="1" bestFit="1" customWidth="1"/>
    <col min="9985" max="9987" width="10.375" style="1"/>
    <col min="9988" max="9988" width="12.875" style="1" customWidth="1"/>
    <col min="9989" max="9989" width="10.375" style="1"/>
    <col min="9990" max="9990" width="13" style="1" customWidth="1"/>
    <col min="9991" max="10229" width="10.375" style="1"/>
    <col min="10230" max="10230" width="33.25" style="1" customWidth="1"/>
    <col min="10231" max="10235" width="10.375" style="1"/>
    <col min="10236" max="10236" width="13.625" style="1" customWidth="1"/>
    <col min="10237" max="10237" width="10.375" style="1"/>
    <col min="10238" max="10238" width="14.375" style="1" customWidth="1"/>
    <col min="10239" max="10239" width="10.375" style="1"/>
    <col min="10240" max="10240" width="11.625" style="1" bestFit="1" customWidth="1"/>
    <col min="10241" max="10243" width="10.375" style="1"/>
    <col min="10244" max="10244" width="12.875" style="1" customWidth="1"/>
    <col min="10245" max="10245" width="10.375" style="1"/>
    <col min="10246" max="10246" width="13" style="1" customWidth="1"/>
    <col min="10247" max="10485" width="10.375" style="1"/>
    <col min="10486" max="10486" width="33.25" style="1" customWidth="1"/>
    <col min="10487" max="10491" width="10.375" style="1"/>
    <col min="10492" max="10492" width="13.625" style="1" customWidth="1"/>
    <col min="10493" max="10493" width="10.375" style="1"/>
    <col min="10494" max="10494" width="14.375" style="1" customWidth="1"/>
    <col min="10495" max="10495" width="10.375" style="1"/>
    <col min="10496" max="10496" width="11.625" style="1" bestFit="1" customWidth="1"/>
    <col min="10497" max="10499" width="10.375" style="1"/>
    <col min="10500" max="10500" width="12.875" style="1" customWidth="1"/>
    <col min="10501" max="10501" width="10.375" style="1"/>
    <col min="10502" max="10502" width="13" style="1" customWidth="1"/>
    <col min="10503" max="10741" width="10.375" style="1"/>
    <col min="10742" max="10742" width="33.25" style="1" customWidth="1"/>
    <col min="10743" max="10747" width="10.375" style="1"/>
    <col min="10748" max="10748" width="13.625" style="1" customWidth="1"/>
    <col min="10749" max="10749" width="10.375" style="1"/>
    <col min="10750" max="10750" width="14.375" style="1" customWidth="1"/>
    <col min="10751" max="10751" width="10.375" style="1"/>
    <col min="10752" max="10752" width="11.625" style="1" bestFit="1" customWidth="1"/>
    <col min="10753" max="10755" width="10.375" style="1"/>
    <col min="10756" max="10756" width="12.875" style="1" customWidth="1"/>
    <col min="10757" max="10757" width="10.375" style="1"/>
    <col min="10758" max="10758" width="13" style="1" customWidth="1"/>
    <col min="10759" max="10997" width="10.375" style="1"/>
    <col min="10998" max="10998" width="33.25" style="1" customWidth="1"/>
    <col min="10999" max="11003" width="10.375" style="1"/>
    <col min="11004" max="11004" width="13.625" style="1" customWidth="1"/>
    <col min="11005" max="11005" width="10.375" style="1"/>
    <col min="11006" max="11006" width="14.375" style="1" customWidth="1"/>
    <col min="11007" max="11007" width="10.375" style="1"/>
    <col min="11008" max="11008" width="11.625" style="1" bestFit="1" customWidth="1"/>
    <col min="11009" max="11011" width="10.375" style="1"/>
    <col min="11012" max="11012" width="12.875" style="1" customWidth="1"/>
    <col min="11013" max="11013" width="10.375" style="1"/>
    <col min="11014" max="11014" width="13" style="1" customWidth="1"/>
    <col min="11015" max="11253" width="10.375" style="1"/>
    <col min="11254" max="11254" width="33.25" style="1" customWidth="1"/>
    <col min="11255" max="11259" width="10.375" style="1"/>
    <col min="11260" max="11260" width="13.625" style="1" customWidth="1"/>
    <col min="11261" max="11261" width="10.375" style="1"/>
    <col min="11262" max="11262" width="14.375" style="1" customWidth="1"/>
    <col min="11263" max="11263" width="10.375" style="1"/>
    <col min="11264" max="11264" width="11.625" style="1" bestFit="1" customWidth="1"/>
    <col min="11265" max="11267" width="10.375" style="1"/>
    <col min="11268" max="11268" width="12.875" style="1" customWidth="1"/>
    <col min="11269" max="11269" width="10.375" style="1"/>
    <col min="11270" max="11270" width="13" style="1" customWidth="1"/>
    <col min="11271" max="11509" width="10.375" style="1"/>
    <col min="11510" max="11510" width="33.25" style="1" customWidth="1"/>
    <col min="11511" max="11515" width="10.375" style="1"/>
    <col min="11516" max="11516" width="13.625" style="1" customWidth="1"/>
    <col min="11517" max="11517" width="10.375" style="1"/>
    <col min="11518" max="11518" width="14.375" style="1" customWidth="1"/>
    <col min="11519" max="11519" width="10.375" style="1"/>
    <col min="11520" max="11520" width="11.625" style="1" bestFit="1" customWidth="1"/>
    <col min="11521" max="11523" width="10.375" style="1"/>
    <col min="11524" max="11524" width="12.875" style="1" customWidth="1"/>
    <col min="11525" max="11525" width="10.375" style="1"/>
    <col min="11526" max="11526" width="13" style="1" customWidth="1"/>
    <col min="11527" max="11765" width="10.375" style="1"/>
    <col min="11766" max="11766" width="33.25" style="1" customWidth="1"/>
    <col min="11767" max="11771" width="10.375" style="1"/>
    <col min="11772" max="11772" width="13.625" style="1" customWidth="1"/>
    <col min="11773" max="11773" width="10.375" style="1"/>
    <col min="11774" max="11774" width="14.375" style="1" customWidth="1"/>
    <col min="11775" max="11775" width="10.375" style="1"/>
    <col min="11776" max="11776" width="11.625" style="1" bestFit="1" customWidth="1"/>
    <col min="11777" max="11779" width="10.375" style="1"/>
    <col min="11780" max="11780" width="12.875" style="1" customWidth="1"/>
    <col min="11781" max="11781" width="10.375" style="1"/>
    <col min="11782" max="11782" width="13" style="1" customWidth="1"/>
    <col min="11783" max="12021" width="10.375" style="1"/>
    <col min="12022" max="12022" width="33.25" style="1" customWidth="1"/>
    <col min="12023" max="12027" width="10.375" style="1"/>
    <col min="12028" max="12028" width="13.625" style="1" customWidth="1"/>
    <col min="12029" max="12029" width="10.375" style="1"/>
    <col min="12030" max="12030" width="14.375" style="1" customWidth="1"/>
    <col min="12031" max="12031" width="10.375" style="1"/>
    <col min="12032" max="12032" width="11.625" style="1" bestFit="1" customWidth="1"/>
    <col min="12033" max="12035" width="10.375" style="1"/>
    <col min="12036" max="12036" width="12.875" style="1" customWidth="1"/>
    <col min="12037" max="12037" width="10.375" style="1"/>
    <col min="12038" max="12038" width="13" style="1" customWidth="1"/>
    <col min="12039" max="12277" width="10.375" style="1"/>
    <col min="12278" max="12278" width="33.25" style="1" customWidth="1"/>
    <col min="12279" max="12283" width="10.375" style="1"/>
    <col min="12284" max="12284" width="13.625" style="1" customWidth="1"/>
    <col min="12285" max="12285" width="10.375" style="1"/>
    <col min="12286" max="12286" width="14.375" style="1" customWidth="1"/>
    <col min="12287" max="12287" width="10.375" style="1"/>
    <col min="12288" max="12288" width="11.625" style="1" bestFit="1" customWidth="1"/>
    <col min="12289" max="12291" width="10.375" style="1"/>
    <col min="12292" max="12292" width="12.875" style="1" customWidth="1"/>
    <col min="12293" max="12293" width="10.375" style="1"/>
    <col min="12294" max="12294" width="13" style="1" customWidth="1"/>
    <col min="12295" max="12533" width="10.375" style="1"/>
    <col min="12534" max="12534" width="33.25" style="1" customWidth="1"/>
    <col min="12535" max="12539" width="10.375" style="1"/>
    <col min="12540" max="12540" width="13.625" style="1" customWidth="1"/>
    <col min="12541" max="12541" width="10.375" style="1"/>
    <col min="12542" max="12542" width="14.375" style="1" customWidth="1"/>
    <col min="12543" max="12543" width="10.375" style="1"/>
    <col min="12544" max="12544" width="11.625" style="1" bestFit="1" customWidth="1"/>
    <col min="12545" max="12547" width="10.375" style="1"/>
    <col min="12548" max="12548" width="12.875" style="1" customWidth="1"/>
    <col min="12549" max="12549" width="10.375" style="1"/>
    <col min="12550" max="12550" width="13" style="1" customWidth="1"/>
    <col min="12551" max="12789" width="10.375" style="1"/>
    <col min="12790" max="12790" width="33.25" style="1" customWidth="1"/>
    <col min="12791" max="12795" width="10.375" style="1"/>
    <col min="12796" max="12796" width="13.625" style="1" customWidth="1"/>
    <col min="12797" max="12797" width="10.375" style="1"/>
    <col min="12798" max="12798" width="14.375" style="1" customWidth="1"/>
    <col min="12799" max="12799" width="10.375" style="1"/>
    <col min="12800" max="12800" width="11.625" style="1" bestFit="1" customWidth="1"/>
    <col min="12801" max="12803" width="10.375" style="1"/>
    <col min="12804" max="12804" width="12.875" style="1" customWidth="1"/>
    <col min="12805" max="12805" width="10.375" style="1"/>
    <col min="12806" max="12806" width="13" style="1" customWidth="1"/>
    <col min="12807" max="13045" width="10.375" style="1"/>
    <col min="13046" max="13046" width="33.25" style="1" customWidth="1"/>
    <col min="13047" max="13051" width="10.375" style="1"/>
    <col min="13052" max="13052" width="13.625" style="1" customWidth="1"/>
    <col min="13053" max="13053" width="10.375" style="1"/>
    <col min="13054" max="13054" width="14.375" style="1" customWidth="1"/>
    <col min="13055" max="13055" width="10.375" style="1"/>
    <col min="13056" max="13056" width="11.625" style="1" bestFit="1" customWidth="1"/>
    <col min="13057" max="13059" width="10.375" style="1"/>
    <col min="13060" max="13060" width="12.875" style="1" customWidth="1"/>
    <col min="13061" max="13061" width="10.375" style="1"/>
    <col min="13062" max="13062" width="13" style="1" customWidth="1"/>
    <col min="13063" max="13301" width="10.375" style="1"/>
    <col min="13302" max="13302" width="33.25" style="1" customWidth="1"/>
    <col min="13303" max="13307" width="10.375" style="1"/>
    <col min="13308" max="13308" width="13.625" style="1" customWidth="1"/>
    <col min="13309" max="13309" width="10.375" style="1"/>
    <col min="13310" max="13310" width="14.375" style="1" customWidth="1"/>
    <col min="13311" max="13311" width="10.375" style="1"/>
    <col min="13312" max="13312" width="11.625" style="1" bestFit="1" customWidth="1"/>
    <col min="13313" max="13315" width="10.375" style="1"/>
    <col min="13316" max="13316" width="12.875" style="1" customWidth="1"/>
    <col min="13317" max="13317" width="10.375" style="1"/>
    <col min="13318" max="13318" width="13" style="1" customWidth="1"/>
    <col min="13319" max="13557" width="10.375" style="1"/>
    <col min="13558" max="13558" width="33.25" style="1" customWidth="1"/>
    <col min="13559" max="13563" width="10.375" style="1"/>
    <col min="13564" max="13564" width="13.625" style="1" customWidth="1"/>
    <col min="13565" max="13565" width="10.375" style="1"/>
    <col min="13566" max="13566" width="14.375" style="1" customWidth="1"/>
    <col min="13567" max="13567" width="10.375" style="1"/>
    <col min="13568" max="13568" width="11.625" style="1" bestFit="1" customWidth="1"/>
    <col min="13569" max="13571" width="10.375" style="1"/>
    <col min="13572" max="13572" width="12.875" style="1" customWidth="1"/>
    <col min="13573" max="13573" width="10.375" style="1"/>
    <col min="13574" max="13574" width="13" style="1" customWidth="1"/>
    <col min="13575" max="13813" width="10.375" style="1"/>
    <col min="13814" max="13814" width="33.25" style="1" customWidth="1"/>
    <col min="13815" max="13819" width="10.375" style="1"/>
    <col min="13820" max="13820" width="13.625" style="1" customWidth="1"/>
    <col min="13821" max="13821" width="10.375" style="1"/>
    <col min="13822" max="13822" width="14.375" style="1" customWidth="1"/>
    <col min="13823" max="13823" width="10.375" style="1"/>
    <col min="13824" max="13824" width="11.625" style="1" bestFit="1" customWidth="1"/>
    <col min="13825" max="13827" width="10.375" style="1"/>
    <col min="13828" max="13828" width="12.875" style="1" customWidth="1"/>
    <col min="13829" max="13829" width="10.375" style="1"/>
    <col min="13830" max="13830" width="13" style="1" customWidth="1"/>
    <col min="13831" max="14069" width="10.375" style="1"/>
    <col min="14070" max="14070" width="33.25" style="1" customWidth="1"/>
    <col min="14071" max="14075" width="10.375" style="1"/>
    <col min="14076" max="14076" width="13.625" style="1" customWidth="1"/>
    <col min="14077" max="14077" width="10.375" style="1"/>
    <col min="14078" max="14078" width="14.375" style="1" customWidth="1"/>
    <col min="14079" max="14079" width="10.375" style="1"/>
    <col min="14080" max="14080" width="11.625" style="1" bestFit="1" customWidth="1"/>
    <col min="14081" max="14083" width="10.375" style="1"/>
    <col min="14084" max="14084" width="12.875" style="1" customWidth="1"/>
    <col min="14085" max="14085" width="10.375" style="1"/>
    <col min="14086" max="14086" width="13" style="1" customWidth="1"/>
    <col min="14087" max="14325" width="10.375" style="1"/>
    <col min="14326" max="14326" width="33.25" style="1" customWidth="1"/>
    <col min="14327" max="14331" width="10.375" style="1"/>
    <col min="14332" max="14332" width="13.625" style="1" customWidth="1"/>
    <col min="14333" max="14333" width="10.375" style="1"/>
    <col min="14334" max="14334" width="14.375" style="1" customWidth="1"/>
    <col min="14335" max="14335" width="10.375" style="1"/>
    <col min="14336" max="14336" width="11.625" style="1" bestFit="1" customWidth="1"/>
    <col min="14337" max="14339" width="10.375" style="1"/>
    <col min="14340" max="14340" width="12.875" style="1" customWidth="1"/>
    <col min="14341" max="14341" width="10.375" style="1"/>
    <col min="14342" max="14342" width="13" style="1" customWidth="1"/>
    <col min="14343" max="14581" width="10.375" style="1"/>
    <col min="14582" max="14582" width="33.25" style="1" customWidth="1"/>
    <col min="14583" max="14587" width="10.375" style="1"/>
    <col min="14588" max="14588" width="13.625" style="1" customWidth="1"/>
    <col min="14589" max="14589" width="10.375" style="1"/>
    <col min="14590" max="14590" width="14.375" style="1" customWidth="1"/>
    <col min="14591" max="14591" width="10.375" style="1"/>
    <col min="14592" max="14592" width="11.625" style="1" bestFit="1" customWidth="1"/>
    <col min="14593" max="14595" width="10.375" style="1"/>
    <col min="14596" max="14596" width="12.875" style="1" customWidth="1"/>
    <col min="14597" max="14597" width="10.375" style="1"/>
    <col min="14598" max="14598" width="13" style="1" customWidth="1"/>
    <col min="14599" max="14837" width="10.375" style="1"/>
    <col min="14838" max="14838" width="33.25" style="1" customWidth="1"/>
    <col min="14839" max="14843" width="10.375" style="1"/>
    <col min="14844" max="14844" width="13.625" style="1" customWidth="1"/>
    <col min="14845" max="14845" width="10.375" style="1"/>
    <col min="14846" max="14846" width="14.375" style="1" customWidth="1"/>
    <col min="14847" max="14847" width="10.375" style="1"/>
    <col min="14848" max="14848" width="11.625" style="1" bestFit="1" customWidth="1"/>
    <col min="14849" max="14851" width="10.375" style="1"/>
    <col min="14852" max="14852" width="12.875" style="1" customWidth="1"/>
    <col min="14853" max="14853" width="10.375" style="1"/>
    <col min="14854" max="14854" width="13" style="1" customWidth="1"/>
    <col min="14855" max="15093" width="10.375" style="1"/>
    <col min="15094" max="15094" width="33.25" style="1" customWidth="1"/>
    <col min="15095" max="15099" width="10.375" style="1"/>
    <col min="15100" max="15100" width="13.625" style="1" customWidth="1"/>
    <col min="15101" max="15101" width="10.375" style="1"/>
    <col min="15102" max="15102" width="14.375" style="1" customWidth="1"/>
    <col min="15103" max="15103" width="10.375" style="1"/>
    <col min="15104" max="15104" width="11.625" style="1" bestFit="1" customWidth="1"/>
    <col min="15105" max="15107" width="10.375" style="1"/>
    <col min="15108" max="15108" width="12.875" style="1" customWidth="1"/>
    <col min="15109" max="15109" width="10.375" style="1"/>
    <col min="15110" max="15110" width="13" style="1" customWidth="1"/>
    <col min="15111" max="15349" width="10.375" style="1"/>
    <col min="15350" max="15350" width="33.25" style="1" customWidth="1"/>
    <col min="15351" max="15355" width="10.375" style="1"/>
    <col min="15356" max="15356" width="13.625" style="1" customWidth="1"/>
    <col min="15357" max="15357" width="10.375" style="1"/>
    <col min="15358" max="15358" width="14.375" style="1" customWidth="1"/>
    <col min="15359" max="15359" width="10.375" style="1"/>
    <col min="15360" max="15360" width="11.625" style="1" bestFit="1" customWidth="1"/>
    <col min="15361" max="15363" width="10.375" style="1"/>
    <col min="15364" max="15364" width="12.875" style="1" customWidth="1"/>
    <col min="15365" max="15365" width="10.375" style="1"/>
    <col min="15366" max="15366" width="13" style="1" customWidth="1"/>
    <col min="15367" max="15605" width="10.375" style="1"/>
    <col min="15606" max="15606" width="33.25" style="1" customWidth="1"/>
    <col min="15607" max="15611" width="10.375" style="1"/>
    <col min="15612" max="15612" width="13.625" style="1" customWidth="1"/>
    <col min="15613" max="15613" width="10.375" style="1"/>
    <col min="15614" max="15614" width="14.375" style="1" customWidth="1"/>
    <col min="15615" max="15615" width="10.375" style="1"/>
    <col min="15616" max="15616" width="11.625" style="1" bestFit="1" customWidth="1"/>
    <col min="15617" max="15619" width="10.375" style="1"/>
    <col min="15620" max="15620" width="12.875" style="1" customWidth="1"/>
    <col min="15621" max="15621" width="10.375" style="1"/>
    <col min="15622" max="15622" width="13" style="1" customWidth="1"/>
    <col min="15623" max="15861" width="10.375" style="1"/>
    <col min="15862" max="15862" width="33.25" style="1" customWidth="1"/>
    <col min="15863" max="15867" width="10.375" style="1"/>
    <col min="15868" max="15868" width="13.625" style="1" customWidth="1"/>
    <col min="15869" max="15869" width="10.375" style="1"/>
    <col min="15870" max="15870" width="14.375" style="1" customWidth="1"/>
    <col min="15871" max="15871" width="10.375" style="1"/>
    <col min="15872" max="15872" width="11.625" style="1" bestFit="1" customWidth="1"/>
    <col min="15873" max="15875" width="10.375" style="1"/>
    <col min="15876" max="15876" width="12.875" style="1" customWidth="1"/>
    <col min="15877" max="15877" width="10.375" style="1"/>
    <col min="15878" max="15878" width="13" style="1" customWidth="1"/>
    <col min="15879" max="16117" width="10.375" style="1"/>
    <col min="16118" max="16118" width="33.25" style="1" customWidth="1"/>
    <col min="16119" max="16123" width="10.375" style="1"/>
    <col min="16124" max="16124" width="13.625" style="1" customWidth="1"/>
    <col min="16125" max="16125" width="10.375" style="1"/>
    <col min="16126" max="16126" width="14.375" style="1" customWidth="1"/>
    <col min="16127" max="16127" width="10.375" style="1"/>
    <col min="16128" max="16128" width="11.625" style="1" bestFit="1" customWidth="1"/>
    <col min="16129" max="16131" width="10.375" style="1"/>
    <col min="16132" max="16132" width="12.875" style="1" customWidth="1"/>
    <col min="16133" max="16133" width="10.375" style="1"/>
    <col min="16134" max="16134" width="13" style="1" customWidth="1"/>
    <col min="16135" max="16384" width="10.375" style="1"/>
  </cols>
  <sheetData>
    <row r="1" spans="1:6" ht="18.600000000000001">
      <c r="A1" s="175" t="s">
        <v>0</v>
      </c>
      <c r="B1" s="175"/>
      <c r="C1" s="175"/>
      <c r="D1" s="175"/>
      <c r="E1" s="175"/>
      <c r="F1" s="175"/>
    </row>
    <row r="2" spans="1:6" ht="18.600000000000001">
      <c r="A2" s="176" t="s">
        <v>1</v>
      </c>
      <c r="B2" s="176"/>
      <c r="C2" s="176"/>
      <c r="D2" s="176"/>
      <c r="E2" s="176"/>
      <c r="F2" s="176"/>
    </row>
    <row r="3" spans="1:6" ht="18.600000000000001">
      <c r="A3" s="177" t="s">
        <v>56</v>
      </c>
      <c r="B3" s="177"/>
      <c r="C3" s="177"/>
      <c r="D3" s="177"/>
      <c r="E3" s="177"/>
      <c r="F3" s="177"/>
    </row>
    <row r="4" spans="1:6" ht="18.600000000000001">
      <c r="A4" s="178" t="s">
        <v>3</v>
      </c>
      <c r="B4" s="173" t="s">
        <v>4</v>
      </c>
      <c r="C4" s="146"/>
      <c r="D4" s="182" t="s">
        <v>9</v>
      </c>
      <c r="E4" s="183"/>
      <c r="F4" s="184"/>
    </row>
    <row r="5" spans="1:6" ht="18.600000000000001">
      <c r="A5" s="179"/>
      <c r="B5" s="181"/>
      <c r="C5" s="3" t="s">
        <v>58</v>
      </c>
      <c r="D5" s="185" t="s">
        <v>10</v>
      </c>
      <c r="E5" s="187" t="s">
        <v>12</v>
      </c>
      <c r="F5" s="2"/>
    </row>
    <row r="6" spans="1:6" ht="18.600000000000001">
      <c r="A6" s="180"/>
      <c r="B6" s="174"/>
      <c r="C6" s="4"/>
      <c r="D6" s="186"/>
      <c r="E6" s="188"/>
      <c r="F6" s="7" t="s">
        <v>19</v>
      </c>
    </row>
    <row r="7" spans="1:6" ht="18.600000000000001">
      <c r="A7" s="156"/>
      <c r="B7" s="173" t="s">
        <v>59</v>
      </c>
      <c r="C7" s="157"/>
      <c r="D7" s="158"/>
      <c r="E7" s="159"/>
      <c r="F7" s="160"/>
    </row>
    <row r="8" spans="1:6" ht="21.75" customHeight="1">
      <c r="A8" s="164"/>
      <c r="B8" s="174"/>
      <c r="C8" s="165"/>
      <c r="D8" s="150"/>
      <c r="E8" s="84"/>
      <c r="F8" s="166"/>
    </row>
    <row r="9" spans="1:6" ht="19.2" thickBot="1">
      <c r="A9" s="167"/>
      <c r="B9" s="168"/>
      <c r="C9" s="168"/>
      <c r="D9" s="169"/>
      <c r="E9" s="170"/>
      <c r="F9" s="171"/>
    </row>
    <row r="10" spans="1:6" ht="19.2" thickTop="1">
      <c r="A10" s="161"/>
      <c r="B10" s="162"/>
      <c r="C10" s="162"/>
      <c r="D10" s="77"/>
      <c r="E10" s="78"/>
      <c r="F10" s="163"/>
    </row>
    <row r="11" spans="1:6" ht="18.600000000000001">
      <c r="A11" s="151"/>
      <c r="B11" s="155" t="s">
        <v>31</v>
      </c>
      <c r="C11" s="147"/>
      <c r="D11" s="77"/>
      <c r="E11" s="78"/>
      <c r="F11" s="96"/>
    </row>
    <row r="12" spans="1:6" ht="18.600000000000001">
      <c r="A12" s="42">
        <v>1</v>
      </c>
      <c r="B12" s="97" t="s">
        <v>32</v>
      </c>
      <c r="C12" s="98"/>
      <c r="D12" s="24" t="s">
        <v>34</v>
      </c>
      <c r="E12" s="25"/>
      <c r="F12" s="99">
        <v>322273.98</v>
      </c>
    </row>
    <row r="13" spans="1:6" ht="18.600000000000001">
      <c r="A13" s="42"/>
      <c r="B13" s="100" t="s">
        <v>35</v>
      </c>
      <c r="C13" s="98"/>
      <c r="D13" s="31"/>
      <c r="E13" s="25"/>
      <c r="F13" s="99"/>
    </row>
    <row r="14" spans="1:6" ht="18.600000000000001">
      <c r="A14" s="42"/>
      <c r="B14" s="100" t="s">
        <v>37</v>
      </c>
      <c r="C14" s="101"/>
      <c r="D14" s="31"/>
      <c r="E14" s="25"/>
      <c r="F14" s="99"/>
    </row>
    <row r="15" spans="1:6" ht="18.600000000000001">
      <c r="A15" s="42"/>
      <c r="B15" s="100" t="s">
        <v>38</v>
      </c>
      <c r="C15" s="101"/>
      <c r="D15" s="31"/>
      <c r="E15" s="25"/>
      <c r="F15" s="99"/>
    </row>
    <row r="16" spans="1:6" ht="18.600000000000001">
      <c r="A16" s="8">
        <v>2</v>
      </c>
      <c r="B16" s="102" t="s">
        <v>32</v>
      </c>
      <c r="C16" s="98"/>
      <c r="D16" s="62" t="s">
        <v>40</v>
      </c>
      <c r="E16" s="25">
        <v>16</v>
      </c>
      <c r="F16" s="99">
        <v>5208581.93</v>
      </c>
    </row>
    <row r="17" spans="1:6" ht="18.600000000000001">
      <c r="A17" s="8"/>
      <c r="B17" s="153" t="s">
        <v>41</v>
      </c>
      <c r="C17" s="101"/>
      <c r="D17" s="62" t="s">
        <v>42</v>
      </c>
      <c r="E17" s="25"/>
      <c r="F17" s="92"/>
    </row>
    <row r="18" spans="1:6" ht="18.600000000000001">
      <c r="A18" s="8"/>
      <c r="B18" s="103" t="s">
        <v>43</v>
      </c>
      <c r="C18" s="101"/>
      <c r="D18" s="31"/>
      <c r="E18" s="25"/>
      <c r="F18" s="92"/>
    </row>
    <row r="19" spans="1:6" ht="18.600000000000001">
      <c r="A19" s="148"/>
      <c r="B19" s="149" t="s">
        <v>44</v>
      </c>
      <c r="C19" s="154"/>
      <c r="D19" s="150"/>
      <c r="E19" s="25"/>
      <c r="F19" s="92"/>
    </row>
    <row r="20" spans="1:6" ht="19.2" thickBot="1">
      <c r="A20" s="152"/>
      <c r="B20" s="172" t="s">
        <v>53</v>
      </c>
      <c r="C20" s="145"/>
      <c r="D20" s="108"/>
      <c r="E20" s="106"/>
      <c r="F20" s="106">
        <f>SUM(F12:F18)</f>
        <v>5530855.9100000001</v>
      </c>
    </row>
    <row r="21" spans="1:6" ht="19.2" thickTop="1">
      <c r="A21" s="120"/>
      <c r="B21" s="121"/>
      <c r="C21" s="121"/>
      <c r="D21" s="125"/>
      <c r="E21" s="121"/>
      <c r="F21" s="126"/>
    </row>
  </sheetData>
  <mergeCells count="9">
    <mergeCell ref="B7:B8"/>
    <mergeCell ref="D5:D6"/>
    <mergeCell ref="E5:E6"/>
    <mergeCell ref="A1:F1"/>
    <mergeCell ref="A2:F2"/>
    <mergeCell ref="A3:F3"/>
    <mergeCell ref="A4:A6"/>
    <mergeCell ref="B4:B6"/>
    <mergeCell ref="D4:F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54110-D0AE-48D2-B1F4-2169076C9680}">
  <sheetPr>
    <tabColor rgb="FF92D050"/>
  </sheetPr>
  <dimension ref="A1:E21"/>
  <sheetViews>
    <sheetView workbookViewId="0">
      <pane ySplit="6" topLeftCell="A7" activePane="bottomLeft" state="frozen"/>
      <selection pane="bottomLeft" activeCell="D33" sqref="D33"/>
    </sheetView>
  </sheetViews>
  <sheetFormatPr defaultColWidth="10.375" defaultRowHeight="14.4"/>
  <cols>
    <col min="1" max="1" width="10.375" style="1"/>
    <col min="2" max="2" width="33.25" style="1" customWidth="1"/>
    <col min="3" max="4" width="10.375" style="1"/>
    <col min="5" max="5" width="13" style="1" customWidth="1"/>
    <col min="6" max="244" width="10.375" style="1"/>
    <col min="245" max="245" width="33.25" style="1" customWidth="1"/>
    <col min="246" max="250" width="10.375" style="1"/>
    <col min="251" max="251" width="13.625" style="1" customWidth="1"/>
    <col min="252" max="252" width="10.375" style="1"/>
    <col min="253" max="253" width="14.375" style="1" customWidth="1"/>
    <col min="254" max="254" width="10.375" style="1"/>
    <col min="255" max="255" width="11.625" style="1" bestFit="1" customWidth="1"/>
    <col min="256" max="258" width="10.375" style="1"/>
    <col min="259" max="259" width="12.875" style="1" customWidth="1"/>
    <col min="260" max="260" width="10.375" style="1"/>
    <col min="261" max="261" width="13" style="1" customWidth="1"/>
    <col min="262" max="500" width="10.375" style="1"/>
    <col min="501" max="501" width="33.25" style="1" customWidth="1"/>
    <col min="502" max="506" width="10.375" style="1"/>
    <col min="507" max="507" width="13.625" style="1" customWidth="1"/>
    <col min="508" max="508" width="10.375" style="1"/>
    <col min="509" max="509" width="14.375" style="1" customWidth="1"/>
    <col min="510" max="510" width="10.375" style="1"/>
    <col min="511" max="511" width="11.625" style="1" bestFit="1" customWidth="1"/>
    <col min="512" max="514" width="10.375" style="1"/>
    <col min="515" max="515" width="12.875" style="1" customWidth="1"/>
    <col min="516" max="516" width="10.375" style="1"/>
    <col min="517" max="517" width="13" style="1" customWidth="1"/>
    <col min="518" max="756" width="10.375" style="1"/>
    <col min="757" max="757" width="33.25" style="1" customWidth="1"/>
    <col min="758" max="762" width="10.375" style="1"/>
    <col min="763" max="763" width="13.625" style="1" customWidth="1"/>
    <col min="764" max="764" width="10.375" style="1"/>
    <col min="765" max="765" width="14.375" style="1" customWidth="1"/>
    <col min="766" max="766" width="10.375" style="1"/>
    <col min="767" max="767" width="11.625" style="1" bestFit="1" customWidth="1"/>
    <col min="768" max="770" width="10.375" style="1"/>
    <col min="771" max="771" width="12.875" style="1" customWidth="1"/>
    <col min="772" max="772" width="10.375" style="1"/>
    <col min="773" max="773" width="13" style="1" customWidth="1"/>
    <col min="774" max="1012" width="10.375" style="1"/>
    <col min="1013" max="1013" width="33.25" style="1" customWidth="1"/>
    <col min="1014" max="1018" width="10.375" style="1"/>
    <col min="1019" max="1019" width="13.625" style="1" customWidth="1"/>
    <col min="1020" max="1020" width="10.375" style="1"/>
    <col min="1021" max="1021" width="14.375" style="1" customWidth="1"/>
    <col min="1022" max="1022" width="10.375" style="1"/>
    <col min="1023" max="1023" width="11.625" style="1" bestFit="1" customWidth="1"/>
    <col min="1024" max="1026" width="10.375" style="1"/>
    <col min="1027" max="1027" width="12.875" style="1" customWidth="1"/>
    <col min="1028" max="1028" width="10.375" style="1"/>
    <col min="1029" max="1029" width="13" style="1" customWidth="1"/>
    <col min="1030" max="1268" width="10.375" style="1"/>
    <col min="1269" max="1269" width="33.25" style="1" customWidth="1"/>
    <col min="1270" max="1274" width="10.375" style="1"/>
    <col min="1275" max="1275" width="13.625" style="1" customWidth="1"/>
    <col min="1276" max="1276" width="10.375" style="1"/>
    <col min="1277" max="1277" width="14.375" style="1" customWidth="1"/>
    <col min="1278" max="1278" width="10.375" style="1"/>
    <col min="1279" max="1279" width="11.625" style="1" bestFit="1" customWidth="1"/>
    <col min="1280" max="1282" width="10.375" style="1"/>
    <col min="1283" max="1283" width="12.875" style="1" customWidth="1"/>
    <col min="1284" max="1284" width="10.375" style="1"/>
    <col min="1285" max="1285" width="13" style="1" customWidth="1"/>
    <col min="1286" max="1524" width="10.375" style="1"/>
    <col min="1525" max="1525" width="33.25" style="1" customWidth="1"/>
    <col min="1526" max="1530" width="10.375" style="1"/>
    <col min="1531" max="1531" width="13.625" style="1" customWidth="1"/>
    <col min="1532" max="1532" width="10.375" style="1"/>
    <col min="1533" max="1533" width="14.375" style="1" customWidth="1"/>
    <col min="1534" max="1534" width="10.375" style="1"/>
    <col min="1535" max="1535" width="11.625" style="1" bestFit="1" customWidth="1"/>
    <col min="1536" max="1538" width="10.375" style="1"/>
    <col min="1539" max="1539" width="12.875" style="1" customWidth="1"/>
    <col min="1540" max="1540" width="10.375" style="1"/>
    <col min="1541" max="1541" width="13" style="1" customWidth="1"/>
    <col min="1542" max="1780" width="10.375" style="1"/>
    <col min="1781" max="1781" width="33.25" style="1" customWidth="1"/>
    <col min="1782" max="1786" width="10.375" style="1"/>
    <col min="1787" max="1787" width="13.625" style="1" customWidth="1"/>
    <col min="1788" max="1788" width="10.375" style="1"/>
    <col min="1789" max="1789" width="14.375" style="1" customWidth="1"/>
    <col min="1790" max="1790" width="10.375" style="1"/>
    <col min="1791" max="1791" width="11.625" style="1" bestFit="1" customWidth="1"/>
    <col min="1792" max="1794" width="10.375" style="1"/>
    <col min="1795" max="1795" width="12.875" style="1" customWidth="1"/>
    <col min="1796" max="1796" width="10.375" style="1"/>
    <col min="1797" max="1797" width="13" style="1" customWidth="1"/>
    <col min="1798" max="2036" width="10.375" style="1"/>
    <col min="2037" max="2037" width="33.25" style="1" customWidth="1"/>
    <col min="2038" max="2042" width="10.375" style="1"/>
    <col min="2043" max="2043" width="13.625" style="1" customWidth="1"/>
    <col min="2044" max="2044" width="10.375" style="1"/>
    <col min="2045" max="2045" width="14.375" style="1" customWidth="1"/>
    <col min="2046" max="2046" width="10.375" style="1"/>
    <col min="2047" max="2047" width="11.625" style="1" bestFit="1" customWidth="1"/>
    <col min="2048" max="2050" width="10.375" style="1"/>
    <col min="2051" max="2051" width="12.875" style="1" customWidth="1"/>
    <col min="2052" max="2052" width="10.375" style="1"/>
    <col min="2053" max="2053" width="13" style="1" customWidth="1"/>
    <col min="2054" max="2292" width="10.375" style="1"/>
    <col min="2293" max="2293" width="33.25" style="1" customWidth="1"/>
    <col min="2294" max="2298" width="10.375" style="1"/>
    <col min="2299" max="2299" width="13.625" style="1" customWidth="1"/>
    <col min="2300" max="2300" width="10.375" style="1"/>
    <col min="2301" max="2301" width="14.375" style="1" customWidth="1"/>
    <col min="2302" max="2302" width="10.375" style="1"/>
    <col min="2303" max="2303" width="11.625" style="1" bestFit="1" customWidth="1"/>
    <col min="2304" max="2306" width="10.375" style="1"/>
    <col min="2307" max="2307" width="12.875" style="1" customWidth="1"/>
    <col min="2308" max="2308" width="10.375" style="1"/>
    <col min="2309" max="2309" width="13" style="1" customWidth="1"/>
    <col min="2310" max="2548" width="10.375" style="1"/>
    <col min="2549" max="2549" width="33.25" style="1" customWidth="1"/>
    <col min="2550" max="2554" width="10.375" style="1"/>
    <col min="2555" max="2555" width="13.625" style="1" customWidth="1"/>
    <col min="2556" max="2556" width="10.375" style="1"/>
    <col min="2557" max="2557" width="14.375" style="1" customWidth="1"/>
    <col min="2558" max="2558" width="10.375" style="1"/>
    <col min="2559" max="2559" width="11.625" style="1" bestFit="1" customWidth="1"/>
    <col min="2560" max="2562" width="10.375" style="1"/>
    <col min="2563" max="2563" width="12.875" style="1" customWidth="1"/>
    <col min="2564" max="2564" width="10.375" style="1"/>
    <col min="2565" max="2565" width="13" style="1" customWidth="1"/>
    <col min="2566" max="2804" width="10.375" style="1"/>
    <col min="2805" max="2805" width="33.25" style="1" customWidth="1"/>
    <col min="2806" max="2810" width="10.375" style="1"/>
    <col min="2811" max="2811" width="13.625" style="1" customWidth="1"/>
    <col min="2812" max="2812" width="10.375" style="1"/>
    <col min="2813" max="2813" width="14.375" style="1" customWidth="1"/>
    <col min="2814" max="2814" width="10.375" style="1"/>
    <col min="2815" max="2815" width="11.625" style="1" bestFit="1" customWidth="1"/>
    <col min="2816" max="2818" width="10.375" style="1"/>
    <col min="2819" max="2819" width="12.875" style="1" customWidth="1"/>
    <col min="2820" max="2820" width="10.375" style="1"/>
    <col min="2821" max="2821" width="13" style="1" customWidth="1"/>
    <col min="2822" max="3060" width="10.375" style="1"/>
    <col min="3061" max="3061" width="33.25" style="1" customWidth="1"/>
    <col min="3062" max="3066" width="10.375" style="1"/>
    <col min="3067" max="3067" width="13.625" style="1" customWidth="1"/>
    <col min="3068" max="3068" width="10.375" style="1"/>
    <col min="3069" max="3069" width="14.375" style="1" customWidth="1"/>
    <col min="3070" max="3070" width="10.375" style="1"/>
    <col min="3071" max="3071" width="11.625" style="1" bestFit="1" customWidth="1"/>
    <col min="3072" max="3074" width="10.375" style="1"/>
    <col min="3075" max="3075" width="12.875" style="1" customWidth="1"/>
    <col min="3076" max="3076" width="10.375" style="1"/>
    <col min="3077" max="3077" width="13" style="1" customWidth="1"/>
    <col min="3078" max="3316" width="10.375" style="1"/>
    <col min="3317" max="3317" width="33.25" style="1" customWidth="1"/>
    <col min="3318" max="3322" width="10.375" style="1"/>
    <col min="3323" max="3323" width="13.625" style="1" customWidth="1"/>
    <col min="3324" max="3324" width="10.375" style="1"/>
    <col min="3325" max="3325" width="14.375" style="1" customWidth="1"/>
    <col min="3326" max="3326" width="10.375" style="1"/>
    <col min="3327" max="3327" width="11.625" style="1" bestFit="1" customWidth="1"/>
    <col min="3328" max="3330" width="10.375" style="1"/>
    <col min="3331" max="3331" width="12.875" style="1" customWidth="1"/>
    <col min="3332" max="3332" width="10.375" style="1"/>
    <col min="3333" max="3333" width="13" style="1" customWidth="1"/>
    <col min="3334" max="3572" width="10.375" style="1"/>
    <col min="3573" max="3573" width="33.25" style="1" customWidth="1"/>
    <col min="3574" max="3578" width="10.375" style="1"/>
    <col min="3579" max="3579" width="13.625" style="1" customWidth="1"/>
    <col min="3580" max="3580" width="10.375" style="1"/>
    <col min="3581" max="3581" width="14.375" style="1" customWidth="1"/>
    <col min="3582" max="3582" width="10.375" style="1"/>
    <col min="3583" max="3583" width="11.625" style="1" bestFit="1" customWidth="1"/>
    <col min="3584" max="3586" width="10.375" style="1"/>
    <col min="3587" max="3587" width="12.875" style="1" customWidth="1"/>
    <col min="3588" max="3588" width="10.375" style="1"/>
    <col min="3589" max="3589" width="13" style="1" customWidth="1"/>
    <col min="3590" max="3828" width="10.375" style="1"/>
    <col min="3829" max="3829" width="33.25" style="1" customWidth="1"/>
    <col min="3830" max="3834" width="10.375" style="1"/>
    <col min="3835" max="3835" width="13.625" style="1" customWidth="1"/>
    <col min="3836" max="3836" width="10.375" style="1"/>
    <col min="3837" max="3837" width="14.375" style="1" customWidth="1"/>
    <col min="3838" max="3838" width="10.375" style="1"/>
    <col min="3839" max="3839" width="11.625" style="1" bestFit="1" customWidth="1"/>
    <col min="3840" max="3842" width="10.375" style="1"/>
    <col min="3843" max="3843" width="12.875" style="1" customWidth="1"/>
    <col min="3844" max="3844" width="10.375" style="1"/>
    <col min="3845" max="3845" width="13" style="1" customWidth="1"/>
    <col min="3846" max="4084" width="10.375" style="1"/>
    <col min="4085" max="4085" width="33.25" style="1" customWidth="1"/>
    <col min="4086" max="4090" width="10.375" style="1"/>
    <col min="4091" max="4091" width="13.625" style="1" customWidth="1"/>
    <col min="4092" max="4092" width="10.375" style="1"/>
    <col min="4093" max="4093" width="14.375" style="1" customWidth="1"/>
    <col min="4094" max="4094" width="10.375" style="1"/>
    <col min="4095" max="4095" width="11.625" style="1" bestFit="1" customWidth="1"/>
    <col min="4096" max="4098" width="10.375" style="1"/>
    <col min="4099" max="4099" width="12.875" style="1" customWidth="1"/>
    <col min="4100" max="4100" width="10.375" style="1"/>
    <col min="4101" max="4101" width="13" style="1" customWidth="1"/>
    <col min="4102" max="4340" width="10.375" style="1"/>
    <col min="4341" max="4341" width="33.25" style="1" customWidth="1"/>
    <col min="4342" max="4346" width="10.375" style="1"/>
    <col min="4347" max="4347" width="13.625" style="1" customWidth="1"/>
    <col min="4348" max="4348" width="10.375" style="1"/>
    <col min="4349" max="4349" width="14.375" style="1" customWidth="1"/>
    <col min="4350" max="4350" width="10.375" style="1"/>
    <col min="4351" max="4351" width="11.625" style="1" bestFit="1" customWidth="1"/>
    <col min="4352" max="4354" width="10.375" style="1"/>
    <col min="4355" max="4355" width="12.875" style="1" customWidth="1"/>
    <col min="4356" max="4356" width="10.375" style="1"/>
    <col min="4357" max="4357" width="13" style="1" customWidth="1"/>
    <col min="4358" max="4596" width="10.375" style="1"/>
    <col min="4597" max="4597" width="33.25" style="1" customWidth="1"/>
    <col min="4598" max="4602" width="10.375" style="1"/>
    <col min="4603" max="4603" width="13.625" style="1" customWidth="1"/>
    <col min="4604" max="4604" width="10.375" style="1"/>
    <col min="4605" max="4605" width="14.375" style="1" customWidth="1"/>
    <col min="4606" max="4606" width="10.375" style="1"/>
    <col min="4607" max="4607" width="11.625" style="1" bestFit="1" customWidth="1"/>
    <col min="4608" max="4610" width="10.375" style="1"/>
    <col min="4611" max="4611" width="12.875" style="1" customWidth="1"/>
    <col min="4612" max="4612" width="10.375" style="1"/>
    <col min="4613" max="4613" width="13" style="1" customWidth="1"/>
    <col min="4614" max="4852" width="10.375" style="1"/>
    <col min="4853" max="4853" width="33.25" style="1" customWidth="1"/>
    <col min="4854" max="4858" width="10.375" style="1"/>
    <col min="4859" max="4859" width="13.625" style="1" customWidth="1"/>
    <col min="4860" max="4860" width="10.375" style="1"/>
    <col min="4861" max="4861" width="14.375" style="1" customWidth="1"/>
    <col min="4862" max="4862" width="10.375" style="1"/>
    <col min="4863" max="4863" width="11.625" style="1" bestFit="1" customWidth="1"/>
    <col min="4864" max="4866" width="10.375" style="1"/>
    <col min="4867" max="4867" width="12.875" style="1" customWidth="1"/>
    <col min="4868" max="4868" width="10.375" style="1"/>
    <col min="4869" max="4869" width="13" style="1" customWidth="1"/>
    <col min="4870" max="5108" width="10.375" style="1"/>
    <col min="5109" max="5109" width="33.25" style="1" customWidth="1"/>
    <col min="5110" max="5114" width="10.375" style="1"/>
    <col min="5115" max="5115" width="13.625" style="1" customWidth="1"/>
    <col min="5116" max="5116" width="10.375" style="1"/>
    <col min="5117" max="5117" width="14.375" style="1" customWidth="1"/>
    <col min="5118" max="5118" width="10.375" style="1"/>
    <col min="5119" max="5119" width="11.625" style="1" bestFit="1" customWidth="1"/>
    <col min="5120" max="5122" width="10.375" style="1"/>
    <col min="5123" max="5123" width="12.875" style="1" customWidth="1"/>
    <col min="5124" max="5124" width="10.375" style="1"/>
    <col min="5125" max="5125" width="13" style="1" customWidth="1"/>
    <col min="5126" max="5364" width="10.375" style="1"/>
    <col min="5365" max="5365" width="33.25" style="1" customWidth="1"/>
    <col min="5366" max="5370" width="10.375" style="1"/>
    <col min="5371" max="5371" width="13.625" style="1" customWidth="1"/>
    <col min="5372" max="5372" width="10.375" style="1"/>
    <col min="5373" max="5373" width="14.375" style="1" customWidth="1"/>
    <col min="5374" max="5374" width="10.375" style="1"/>
    <col min="5375" max="5375" width="11.625" style="1" bestFit="1" customWidth="1"/>
    <col min="5376" max="5378" width="10.375" style="1"/>
    <col min="5379" max="5379" width="12.875" style="1" customWidth="1"/>
    <col min="5380" max="5380" width="10.375" style="1"/>
    <col min="5381" max="5381" width="13" style="1" customWidth="1"/>
    <col min="5382" max="5620" width="10.375" style="1"/>
    <col min="5621" max="5621" width="33.25" style="1" customWidth="1"/>
    <col min="5622" max="5626" width="10.375" style="1"/>
    <col min="5627" max="5627" width="13.625" style="1" customWidth="1"/>
    <col min="5628" max="5628" width="10.375" style="1"/>
    <col min="5629" max="5629" width="14.375" style="1" customWidth="1"/>
    <col min="5630" max="5630" width="10.375" style="1"/>
    <col min="5631" max="5631" width="11.625" style="1" bestFit="1" customWidth="1"/>
    <col min="5632" max="5634" width="10.375" style="1"/>
    <col min="5635" max="5635" width="12.875" style="1" customWidth="1"/>
    <col min="5636" max="5636" width="10.375" style="1"/>
    <col min="5637" max="5637" width="13" style="1" customWidth="1"/>
    <col min="5638" max="5876" width="10.375" style="1"/>
    <col min="5877" max="5877" width="33.25" style="1" customWidth="1"/>
    <col min="5878" max="5882" width="10.375" style="1"/>
    <col min="5883" max="5883" width="13.625" style="1" customWidth="1"/>
    <col min="5884" max="5884" width="10.375" style="1"/>
    <col min="5885" max="5885" width="14.375" style="1" customWidth="1"/>
    <col min="5886" max="5886" width="10.375" style="1"/>
    <col min="5887" max="5887" width="11.625" style="1" bestFit="1" customWidth="1"/>
    <col min="5888" max="5890" width="10.375" style="1"/>
    <col min="5891" max="5891" width="12.875" style="1" customWidth="1"/>
    <col min="5892" max="5892" width="10.375" style="1"/>
    <col min="5893" max="5893" width="13" style="1" customWidth="1"/>
    <col min="5894" max="6132" width="10.375" style="1"/>
    <col min="6133" max="6133" width="33.25" style="1" customWidth="1"/>
    <col min="6134" max="6138" width="10.375" style="1"/>
    <col min="6139" max="6139" width="13.625" style="1" customWidth="1"/>
    <col min="6140" max="6140" width="10.375" style="1"/>
    <col min="6141" max="6141" width="14.375" style="1" customWidth="1"/>
    <col min="6142" max="6142" width="10.375" style="1"/>
    <col min="6143" max="6143" width="11.625" style="1" bestFit="1" customWidth="1"/>
    <col min="6144" max="6146" width="10.375" style="1"/>
    <col min="6147" max="6147" width="12.875" style="1" customWidth="1"/>
    <col min="6148" max="6148" width="10.375" style="1"/>
    <col min="6149" max="6149" width="13" style="1" customWidth="1"/>
    <col min="6150" max="6388" width="10.375" style="1"/>
    <col min="6389" max="6389" width="33.25" style="1" customWidth="1"/>
    <col min="6390" max="6394" width="10.375" style="1"/>
    <col min="6395" max="6395" width="13.625" style="1" customWidth="1"/>
    <col min="6396" max="6396" width="10.375" style="1"/>
    <col min="6397" max="6397" width="14.375" style="1" customWidth="1"/>
    <col min="6398" max="6398" width="10.375" style="1"/>
    <col min="6399" max="6399" width="11.625" style="1" bestFit="1" customWidth="1"/>
    <col min="6400" max="6402" width="10.375" style="1"/>
    <col min="6403" max="6403" width="12.875" style="1" customWidth="1"/>
    <col min="6404" max="6404" width="10.375" style="1"/>
    <col min="6405" max="6405" width="13" style="1" customWidth="1"/>
    <col min="6406" max="6644" width="10.375" style="1"/>
    <col min="6645" max="6645" width="33.25" style="1" customWidth="1"/>
    <col min="6646" max="6650" width="10.375" style="1"/>
    <col min="6651" max="6651" width="13.625" style="1" customWidth="1"/>
    <col min="6652" max="6652" width="10.375" style="1"/>
    <col min="6653" max="6653" width="14.375" style="1" customWidth="1"/>
    <col min="6654" max="6654" width="10.375" style="1"/>
    <col min="6655" max="6655" width="11.625" style="1" bestFit="1" customWidth="1"/>
    <col min="6656" max="6658" width="10.375" style="1"/>
    <col min="6659" max="6659" width="12.875" style="1" customWidth="1"/>
    <col min="6660" max="6660" width="10.375" style="1"/>
    <col min="6661" max="6661" width="13" style="1" customWidth="1"/>
    <col min="6662" max="6900" width="10.375" style="1"/>
    <col min="6901" max="6901" width="33.25" style="1" customWidth="1"/>
    <col min="6902" max="6906" width="10.375" style="1"/>
    <col min="6907" max="6907" width="13.625" style="1" customWidth="1"/>
    <col min="6908" max="6908" width="10.375" style="1"/>
    <col min="6909" max="6909" width="14.375" style="1" customWidth="1"/>
    <col min="6910" max="6910" width="10.375" style="1"/>
    <col min="6911" max="6911" width="11.625" style="1" bestFit="1" customWidth="1"/>
    <col min="6912" max="6914" width="10.375" style="1"/>
    <col min="6915" max="6915" width="12.875" style="1" customWidth="1"/>
    <col min="6916" max="6916" width="10.375" style="1"/>
    <col min="6917" max="6917" width="13" style="1" customWidth="1"/>
    <col min="6918" max="7156" width="10.375" style="1"/>
    <col min="7157" max="7157" width="33.25" style="1" customWidth="1"/>
    <col min="7158" max="7162" width="10.375" style="1"/>
    <col min="7163" max="7163" width="13.625" style="1" customWidth="1"/>
    <col min="7164" max="7164" width="10.375" style="1"/>
    <col min="7165" max="7165" width="14.375" style="1" customWidth="1"/>
    <col min="7166" max="7166" width="10.375" style="1"/>
    <col min="7167" max="7167" width="11.625" style="1" bestFit="1" customWidth="1"/>
    <col min="7168" max="7170" width="10.375" style="1"/>
    <col min="7171" max="7171" width="12.875" style="1" customWidth="1"/>
    <col min="7172" max="7172" width="10.375" style="1"/>
    <col min="7173" max="7173" width="13" style="1" customWidth="1"/>
    <col min="7174" max="7412" width="10.375" style="1"/>
    <col min="7413" max="7413" width="33.25" style="1" customWidth="1"/>
    <col min="7414" max="7418" width="10.375" style="1"/>
    <col min="7419" max="7419" width="13.625" style="1" customWidth="1"/>
    <col min="7420" max="7420" width="10.375" style="1"/>
    <col min="7421" max="7421" width="14.375" style="1" customWidth="1"/>
    <col min="7422" max="7422" width="10.375" style="1"/>
    <col min="7423" max="7423" width="11.625" style="1" bestFit="1" customWidth="1"/>
    <col min="7424" max="7426" width="10.375" style="1"/>
    <col min="7427" max="7427" width="12.875" style="1" customWidth="1"/>
    <col min="7428" max="7428" width="10.375" style="1"/>
    <col min="7429" max="7429" width="13" style="1" customWidth="1"/>
    <col min="7430" max="7668" width="10.375" style="1"/>
    <col min="7669" max="7669" width="33.25" style="1" customWidth="1"/>
    <col min="7670" max="7674" width="10.375" style="1"/>
    <col min="7675" max="7675" width="13.625" style="1" customWidth="1"/>
    <col min="7676" max="7676" width="10.375" style="1"/>
    <col min="7677" max="7677" width="14.375" style="1" customWidth="1"/>
    <col min="7678" max="7678" width="10.375" style="1"/>
    <col min="7679" max="7679" width="11.625" style="1" bestFit="1" customWidth="1"/>
    <col min="7680" max="7682" width="10.375" style="1"/>
    <col min="7683" max="7683" width="12.875" style="1" customWidth="1"/>
    <col min="7684" max="7684" width="10.375" style="1"/>
    <col min="7685" max="7685" width="13" style="1" customWidth="1"/>
    <col min="7686" max="7924" width="10.375" style="1"/>
    <col min="7925" max="7925" width="33.25" style="1" customWidth="1"/>
    <col min="7926" max="7930" width="10.375" style="1"/>
    <col min="7931" max="7931" width="13.625" style="1" customWidth="1"/>
    <col min="7932" max="7932" width="10.375" style="1"/>
    <col min="7933" max="7933" width="14.375" style="1" customWidth="1"/>
    <col min="7934" max="7934" width="10.375" style="1"/>
    <col min="7935" max="7935" width="11.625" style="1" bestFit="1" customWidth="1"/>
    <col min="7936" max="7938" width="10.375" style="1"/>
    <col min="7939" max="7939" width="12.875" style="1" customWidth="1"/>
    <col min="7940" max="7940" width="10.375" style="1"/>
    <col min="7941" max="7941" width="13" style="1" customWidth="1"/>
    <col min="7942" max="8180" width="10.375" style="1"/>
    <col min="8181" max="8181" width="33.25" style="1" customWidth="1"/>
    <col min="8182" max="8186" width="10.375" style="1"/>
    <col min="8187" max="8187" width="13.625" style="1" customWidth="1"/>
    <col min="8188" max="8188" width="10.375" style="1"/>
    <col min="8189" max="8189" width="14.375" style="1" customWidth="1"/>
    <col min="8190" max="8190" width="10.375" style="1"/>
    <col min="8191" max="8191" width="11.625" style="1" bestFit="1" customWidth="1"/>
    <col min="8192" max="8194" width="10.375" style="1"/>
    <col min="8195" max="8195" width="12.875" style="1" customWidth="1"/>
    <col min="8196" max="8196" width="10.375" style="1"/>
    <col min="8197" max="8197" width="13" style="1" customWidth="1"/>
    <col min="8198" max="8436" width="10.375" style="1"/>
    <col min="8437" max="8437" width="33.25" style="1" customWidth="1"/>
    <col min="8438" max="8442" width="10.375" style="1"/>
    <col min="8443" max="8443" width="13.625" style="1" customWidth="1"/>
    <col min="8444" max="8444" width="10.375" style="1"/>
    <col min="8445" max="8445" width="14.375" style="1" customWidth="1"/>
    <col min="8446" max="8446" width="10.375" style="1"/>
    <col min="8447" max="8447" width="11.625" style="1" bestFit="1" customWidth="1"/>
    <col min="8448" max="8450" width="10.375" style="1"/>
    <col min="8451" max="8451" width="12.875" style="1" customWidth="1"/>
    <col min="8452" max="8452" width="10.375" style="1"/>
    <col min="8453" max="8453" width="13" style="1" customWidth="1"/>
    <col min="8454" max="8692" width="10.375" style="1"/>
    <col min="8693" max="8693" width="33.25" style="1" customWidth="1"/>
    <col min="8694" max="8698" width="10.375" style="1"/>
    <col min="8699" max="8699" width="13.625" style="1" customWidth="1"/>
    <col min="8700" max="8700" width="10.375" style="1"/>
    <col min="8701" max="8701" width="14.375" style="1" customWidth="1"/>
    <col min="8702" max="8702" width="10.375" style="1"/>
    <col min="8703" max="8703" width="11.625" style="1" bestFit="1" customWidth="1"/>
    <col min="8704" max="8706" width="10.375" style="1"/>
    <col min="8707" max="8707" width="12.875" style="1" customWidth="1"/>
    <col min="8708" max="8708" width="10.375" style="1"/>
    <col min="8709" max="8709" width="13" style="1" customWidth="1"/>
    <col min="8710" max="8948" width="10.375" style="1"/>
    <col min="8949" max="8949" width="33.25" style="1" customWidth="1"/>
    <col min="8950" max="8954" width="10.375" style="1"/>
    <col min="8955" max="8955" width="13.625" style="1" customWidth="1"/>
    <col min="8956" max="8956" width="10.375" style="1"/>
    <col min="8957" max="8957" width="14.375" style="1" customWidth="1"/>
    <col min="8958" max="8958" width="10.375" style="1"/>
    <col min="8959" max="8959" width="11.625" style="1" bestFit="1" customWidth="1"/>
    <col min="8960" max="8962" width="10.375" style="1"/>
    <col min="8963" max="8963" width="12.875" style="1" customWidth="1"/>
    <col min="8964" max="8964" width="10.375" style="1"/>
    <col min="8965" max="8965" width="13" style="1" customWidth="1"/>
    <col min="8966" max="9204" width="10.375" style="1"/>
    <col min="9205" max="9205" width="33.25" style="1" customWidth="1"/>
    <col min="9206" max="9210" width="10.375" style="1"/>
    <col min="9211" max="9211" width="13.625" style="1" customWidth="1"/>
    <col min="9212" max="9212" width="10.375" style="1"/>
    <col min="9213" max="9213" width="14.375" style="1" customWidth="1"/>
    <col min="9214" max="9214" width="10.375" style="1"/>
    <col min="9215" max="9215" width="11.625" style="1" bestFit="1" customWidth="1"/>
    <col min="9216" max="9218" width="10.375" style="1"/>
    <col min="9219" max="9219" width="12.875" style="1" customWidth="1"/>
    <col min="9220" max="9220" width="10.375" style="1"/>
    <col min="9221" max="9221" width="13" style="1" customWidth="1"/>
    <col min="9222" max="9460" width="10.375" style="1"/>
    <col min="9461" max="9461" width="33.25" style="1" customWidth="1"/>
    <col min="9462" max="9466" width="10.375" style="1"/>
    <col min="9467" max="9467" width="13.625" style="1" customWidth="1"/>
    <col min="9468" max="9468" width="10.375" style="1"/>
    <col min="9469" max="9469" width="14.375" style="1" customWidth="1"/>
    <col min="9470" max="9470" width="10.375" style="1"/>
    <col min="9471" max="9471" width="11.625" style="1" bestFit="1" customWidth="1"/>
    <col min="9472" max="9474" width="10.375" style="1"/>
    <col min="9475" max="9475" width="12.875" style="1" customWidth="1"/>
    <col min="9476" max="9476" width="10.375" style="1"/>
    <col min="9477" max="9477" width="13" style="1" customWidth="1"/>
    <col min="9478" max="9716" width="10.375" style="1"/>
    <col min="9717" max="9717" width="33.25" style="1" customWidth="1"/>
    <col min="9718" max="9722" width="10.375" style="1"/>
    <col min="9723" max="9723" width="13.625" style="1" customWidth="1"/>
    <col min="9724" max="9724" width="10.375" style="1"/>
    <col min="9725" max="9725" width="14.375" style="1" customWidth="1"/>
    <col min="9726" max="9726" width="10.375" style="1"/>
    <col min="9727" max="9727" width="11.625" style="1" bestFit="1" customWidth="1"/>
    <col min="9728" max="9730" width="10.375" style="1"/>
    <col min="9731" max="9731" width="12.875" style="1" customWidth="1"/>
    <col min="9732" max="9732" width="10.375" style="1"/>
    <col min="9733" max="9733" width="13" style="1" customWidth="1"/>
    <col min="9734" max="9972" width="10.375" style="1"/>
    <col min="9973" max="9973" width="33.25" style="1" customWidth="1"/>
    <col min="9974" max="9978" width="10.375" style="1"/>
    <col min="9979" max="9979" width="13.625" style="1" customWidth="1"/>
    <col min="9980" max="9980" width="10.375" style="1"/>
    <col min="9981" max="9981" width="14.375" style="1" customWidth="1"/>
    <col min="9982" max="9982" width="10.375" style="1"/>
    <col min="9983" max="9983" width="11.625" style="1" bestFit="1" customWidth="1"/>
    <col min="9984" max="9986" width="10.375" style="1"/>
    <col min="9987" max="9987" width="12.875" style="1" customWidth="1"/>
    <col min="9988" max="9988" width="10.375" style="1"/>
    <col min="9989" max="9989" width="13" style="1" customWidth="1"/>
    <col min="9990" max="10228" width="10.375" style="1"/>
    <col min="10229" max="10229" width="33.25" style="1" customWidth="1"/>
    <col min="10230" max="10234" width="10.375" style="1"/>
    <col min="10235" max="10235" width="13.625" style="1" customWidth="1"/>
    <col min="10236" max="10236" width="10.375" style="1"/>
    <col min="10237" max="10237" width="14.375" style="1" customWidth="1"/>
    <col min="10238" max="10238" width="10.375" style="1"/>
    <col min="10239" max="10239" width="11.625" style="1" bestFit="1" customWidth="1"/>
    <col min="10240" max="10242" width="10.375" style="1"/>
    <col min="10243" max="10243" width="12.875" style="1" customWidth="1"/>
    <col min="10244" max="10244" width="10.375" style="1"/>
    <col min="10245" max="10245" width="13" style="1" customWidth="1"/>
    <col min="10246" max="10484" width="10.375" style="1"/>
    <col min="10485" max="10485" width="33.25" style="1" customWidth="1"/>
    <col min="10486" max="10490" width="10.375" style="1"/>
    <col min="10491" max="10491" width="13.625" style="1" customWidth="1"/>
    <col min="10492" max="10492" width="10.375" style="1"/>
    <col min="10493" max="10493" width="14.375" style="1" customWidth="1"/>
    <col min="10494" max="10494" width="10.375" style="1"/>
    <col min="10495" max="10495" width="11.625" style="1" bestFit="1" customWidth="1"/>
    <col min="10496" max="10498" width="10.375" style="1"/>
    <col min="10499" max="10499" width="12.875" style="1" customWidth="1"/>
    <col min="10500" max="10500" width="10.375" style="1"/>
    <col min="10501" max="10501" width="13" style="1" customWidth="1"/>
    <col min="10502" max="10740" width="10.375" style="1"/>
    <col min="10741" max="10741" width="33.25" style="1" customWidth="1"/>
    <col min="10742" max="10746" width="10.375" style="1"/>
    <col min="10747" max="10747" width="13.625" style="1" customWidth="1"/>
    <col min="10748" max="10748" width="10.375" style="1"/>
    <col min="10749" max="10749" width="14.375" style="1" customWidth="1"/>
    <col min="10750" max="10750" width="10.375" style="1"/>
    <col min="10751" max="10751" width="11.625" style="1" bestFit="1" customWidth="1"/>
    <col min="10752" max="10754" width="10.375" style="1"/>
    <col min="10755" max="10755" width="12.875" style="1" customWidth="1"/>
    <col min="10756" max="10756" width="10.375" style="1"/>
    <col min="10757" max="10757" width="13" style="1" customWidth="1"/>
    <col min="10758" max="10996" width="10.375" style="1"/>
    <col min="10997" max="10997" width="33.25" style="1" customWidth="1"/>
    <col min="10998" max="11002" width="10.375" style="1"/>
    <col min="11003" max="11003" width="13.625" style="1" customWidth="1"/>
    <col min="11004" max="11004" width="10.375" style="1"/>
    <col min="11005" max="11005" width="14.375" style="1" customWidth="1"/>
    <col min="11006" max="11006" width="10.375" style="1"/>
    <col min="11007" max="11007" width="11.625" style="1" bestFit="1" customWidth="1"/>
    <col min="11008" max="11010" width="10.375" style="1"/>
    <col min="11011" max="11011" width="12.875" style="1" customWidth="1"/>
    <col min="11012" max="11012" width="10.375" style="1"/>
    <col min="11013" max="11013" width="13" style="1" customWidth="1"/>
    <col min="11014" max="11252" width="10.375" style="1"/>
    <col min="11253" max="11253" width="33.25" style="1" customWidth="1"/>
    <col min="11254" max="11258" width="10.375" style="1"/>
    <col min="11259" max="11259" width="13.625" style="1" customWidth="1"/>
    <col min="11260" max="11260" width="10.375" style="1"/>
    <col min="11261" max="11261" width="14.375" style="1" customWidth="1"/>
    <col min="11262" max="11262" width="10.375" style="1"/>
    <col min="11263" max="11263" width="11.625" style="1" bestFit="1" customWidth="1"/>
    <col min="11264" max="11266" width="10.375" style="1"/>
    <col min="11267" max="11267" width="12.875" style="1" customWidth="1"/>
    <col min="11268" max="11268" width="10.375" style="1"/>
    <col min="11269" max="11269" width="13" style="1" customWidth="1"/>
    <col min="11270" max="11508" width="10.375" style="1"/>
    <col min="11509" max="11509" width="33.25" style="1" customWidth="1"/>
    <col min="11510" max="11514" width="10.375" style="1"/>
    <col min="11515" max="11515" width="13.625" style="1" customWidth="1"/>
    <col min="11516" max="11516" width="10.375" style="1"/>
    <col min="11517" max="11517" width="14.375" style="1" customWidth="1"/>
    <col min="11518" max="11518" width="10.375" style="1"/>
    <col min="11519" max="11519" width="11.625" style="1" bestFit="1" customWidth="1"/>
    <col min="11520" max="11522" width="10.375" style="1"/>
    <col min="11523" max="11523" width="12.875" style="1" customWidth="1"/>
    <col min="11524" max="11524" width="10.375" style="1"/>
    <col min="11525" max="11525" width="13" style="1" customWidth="1"/>
    <col min="11526" max="11764" width="10.375" style="1"/>
    <col min="11765" max="11765" width="33.25" style="1" customWidth="1"/>
    <col min="11766" max="11770" width="10.375" style="1"/>
    <col min="11771" max="11771" width="13.625" style="1" customWidth="1"/>
    <col min="11772" max="11772" width="10.375" style="1"/>
    <col min="11773" max="11773" width="14.375" style="1" customWidth="1"/>
    <col min="11774" max="11774" width="10.375" style="1"/>
    <col min="11775" max="11775" width="11.625" style="1" bestFit="1" customWidth="1"/>
    <col min="11776" max="11778" width="10.375" style="1"/>
    <col min="11779" max="11779" width="12.875" style="1" customWidth="1"/>
    <col min="11780" max="11780" width="10.375" style="1"/>
    <col min="11781" max="11781" width="13" style="1" customWidth="1"/>
    <col min="11782" max="12020" width="10.375" style="1"/>
    <col min="12021" max="12021" width="33.25" style="1" customWidth="1"/>
    <col min="12022" max="12026" width="10.375" style="1"/>
    <col min="12027" max="12027" width="13.625" style="1" customWidth="1"/>
    <col min="12028" max="12028" width="10.375" style="1"/>
    <col min="12029" max="12029" width="14.375" style="1" customWidth="1"/>
    <col min="12030" max="12030" width="10.375" style="1"/>
    <col min="12031" max="12031" width="11.625" style="1" bestFit="1" customWidth="1"/>
    <col min="12032" max="12034" width="10.375" style="1"/>
    <col min="12035" max="12035" width="12.875" style="1" customWidth="1"/>
    <col min="12036" max="12036" width="10.375" style="1"/>
    <col min="12037" max="12037" width="13" style="1" customWidth="1"/>
    <col min="12038" max="12276" width="10.375" style="1"/>
    <col min="12277" max="12277" width="33.25" style="1" customWidth="1"/>
    <col min="12278" max="12282" width="10.375" style="1"/>
    <col min="12283" max="12283" width="13.625" style="1" customWidth="1"/>
    <col min="12284" max="12284" width="10.375" style="1"/>
    <col min="12285" max="12285" width="14.375" style="1" customWidth="1"/>
    <col min="12286" max="12286" width="10.375" style="1"/>
    <col min="12287" max="12287" width="11.625" style="1" bestFit="1" customWidth="1"/>
    <col min="12288" max="12290" width="10.375" style="1"/>
    <col min="12291" max="12291" width="12.875" style="1" customWidth="1"/>
    <col min="12292" max="12292" width="10.375" style="1"/>
    <col min="12293" max="12293" width="13" style="1" customWidth="1"/>
    <col min="12294" max="12532" width="10.375" style="1"/>
    <col min="12533" max="12533" width="33.25" style="1" customWidth="1"/>
    <col min="12534" max="12538" width="10.375" style="1"/>
    <col min="12539" max="12539" width="13.625" style="1" customWidth="1"/>
    <col min="12540" max="12540" width="10.375" style="1"/>
    <col min="12541" max="12541" width="14.375" style="1" customWidth="1"/>
    <col min="12542" max="12542" width="10.375" style="1"/>
    <col min="12543" max="12543" width="11.625" style="1" bestFit="1" customWidth="1"/>
    <col min="12544" max="12546" width="10.375" style="1"/>
    <col min="12547" max="12547" width="12.875" style="1" customWidth="1"/>
    <col min="12548" max="12548" width="10.375" style="1"/>
    <col min="12549" max="12549" width="13" style="1" customWidth="1"/>
    <col min="12550" max="12788" width="10.375" style="1"/>
    <col min="12789" max="12789" width="33.25" style="1" customWidth="1"/>
    <col min="12790" max="12794" width="10.375" style="1"/>
    <col min="12795" max="12795" width="13.625" style="1" customWidth="1"/>
    <col min="12796" max="12796" width="10.375" style="1"/>
    <col min="12797" max="12797" width="14.375" style="1" customWidth="1"/>
    <col min="12798" max="12798" width="10.375" style="1"/>
    <col min="12799" max="12799" width="11.625" style="1" bestFit="1" customWidth="1"/>
    <col min="12800" max="12802" width="10.375" style="1"/>
    <col min="12803" max="12803" width="12.875" style="1" customWidth="1"/>
    <col min="12804" max="12804" width="10.375" style="1"/>
    <col min="12805" max="12805" width="13" style="1" customWidth="1"/>
    <col min="12806" max="13044" width="10.375" style="1"/>
    <col min="13045" max="13045" width="33.25" style="1" customWidth="1"/>
    <col min="13046" max="13050" width="10.375" style="1"/>
    <col min="13051" max="13051" width="13.625" style="1" customWidth="1"/>
    <col min="13052" max="13052" width="10.375" style="1"/>
    <col min="13053" max="13053" width="14.375" style="1" customWidth="1"/>
    <col min="13054" max="13054" width="10.375" style="1"/>
    <col min="13055" max="13055" width="11.625" style="1" bestFit="1" customWidth="1"/>
    <col min="13056" max="13058" width="10.375" style="1"/>
    <col min="13059" max="13059" width="12.875" style="1" customWidth="1"/>
    <col min="13060" max="13060" width="10.375" style="1"/>
    <col min="13061" max="13061" width="13" style="1" customWidth="1"/>
    <col min="13062" max="13300" width="10.375" style="1"/>
    <col min="13301" max="13301" width="33.25" style="1" customWidth="1"/>
    <col min="13302" max="13306" width="10.375" style="1"/>
    <col min="13307" max="13307" width="13.625" style="1" customWidth="1"/>
    <col min="13308" max="13308" width="10.375" style="1"/>
    <col min="13309" max="13309" width="14.375" style="1" customWidth="1"/>
    <col min="13310" max="13310" width="10.375" style="1"/>
    <col min="13311" max="13311" width="11.625" style="1" bestFit="1" customWidth="1"/>
    <col min="13312" max="13314" width="10.375" style="1"/>
    <col min="13315" max="13315" width="12.875" style="1" customWidth="1"/>
    <col min="13316" max="13316" width="10.375" style="1"/>
    <col min="13317" max="13317" width="13" style="1" customWidth="1"/>
    <col min="13318" max="13556" width="10.375" style="1"/>
    <col min="13557" max="13557" width="33.25" style="1" customWidth="1"/>
    <col min="13558" max="13562" width="10.375" style="1"/>
    <col min="13563" max="13563" width="13.625" style="1" customWidth="1"/>
    <col min="13564" max="13564" width="10.375" style="1"/>
    <col min="13565" max="13565" width="14.375" style="1" customWidth="1"/>
    <col min="13566" max="13566" width="10.375" style="1"/>
    <col min="13567" max="13567" width="11.625" style="1" bestFit="1" customWidth="1"/>
    <col min="13568" max="13570" width="10.375" style="1"/>
    <col min="13571" max="13571" width="12.875" style="1" customWidth="1"/>
    <col min="13572" max="13572" width="10.375" style="1"/>
    <col min="13573" max="13573" width="13" style="1" customWidth="1"/>
    <col min="13574" max="13812" width="10.375" style="1"/>
    <col min="13813" max="13813" width="33.25" style="1" customWidth="1"/>
    <col min="13814" max="13818" width="10.375" style="1"/>
    <col min="13819" max="13819" width="13.625" style="1" customWidth="1"/>
    <col min="13820" max="13820" width="10.375" style="1"/>
    <col min="13821" max="13821" width="14.375" style="1" customWidth="1"/>
    <col min="13822" max="13822" width="10.375" style="1"/>
    <col min="13823" max="13823" width="11.625" style="1" bestFit="1" customWidth="1"/>
    <col min="13824" max="13826" width="10.375" style="1"/>
    <col min="13827" max="13827" width="12.875" style="1" customWidth="1"/>
    <col min="13828" max="13828" width="10.375" style="1"/>
    <col min="13829" max="13829" width="13" style="1" customWidth="1"/>
    <col min="13830" max="14068" width="10.375" style="1"/>
    <col min="14069" max="14069" width="33.25" style="1" customWidth="1"/>
    <col min="14070" max="14074" width="10.375" style="1"/>
    <col min="14075" max="14075" width="13.625" style="1" customWidth="1"/>
    <col min="14076" max="14076" width="10.375" style="1"/>
    <col min="14077" max="14077" width="14.375" style="1" customWidth="1"/>
    <col min="14078" max="14078" width="10.375" style="1"/>
    <col min="14079" max="14079" width="11.625" style="1" bestFit="1" customWidth="1"/>
    <col min="14080" max="14082" width="10.375" style="1"/>
    <col min="14083" max="14083" width="12.875" style="1" customWidth="1"/>
    <col min="14084" max="14084" width="10.375" style="1"/>
    <col min="14085" max="14085" width="13" style="1" customWidth="1"/>
    <col min="14086" max="14324" width="10.375" style="1"/>
    <col min="14325" max="14325" width="33.25" style="1" customWidth="1"/>
    <col min="14326" max="14330" width="10.375" style="1"/>
    <col min="14331" max="14331" width="13.625" style="1" customWidth="1"/>
    <col min="14332" max="14332" width="10.375" style="1"/>
    <col min="14333" max="14333" width="14.375" style="1" customWidth="1"/>
    <col min="14334" max="14334" width="10.375" style="1"/>
    <col min="14335" max="14335" width="11.625" style="1" bestFit="1" customWidth="1"/>
    <col min="14336" max="14338" width="10.375" style="1"/>
    <col min="14339" max="14339" width="12.875" style="1" customWidth="1"/>
    <col min="14340" max="14340" width="10.375" style="1"/>
    <col min="14341" max="14341" width="13" style="1" customWidth="1"/>
    <col min="14342" max="14580" width="10.375" style="1"/>
    <col min="14581" max="14581" width="33.25" style="1" customWidth="1"/>
    <col min="14582" max="14586" width="10.375" style="1"/>
    <col min="14587" max="14587" width="13.625" style="1" customWidth="1"/>
    <col min="14588" max="14588" width="10.375" style="1"/>
    <col min="14589" max="14589" width="14.375" style="1" customWidth="1"/>
    <col min="14590" max="14590" width="10.375" style="1"/>
    <col min="14591" max="14591" width="11.625" style="1" bestFit="1" customWidth="1"/>
    <col min="14592" max="14594" width="10.375" style="1"/>
    <col min="14595" max="14595" width="12.875" style="1" customWidth="1"/>
    <col min="14596" max="14596" width="10.375" style="1"/>
    <col min="14597" max="14597" width="13" style="1" customWidth="1"/>
    <col min="14598" max="14836" width="10.375" style="1"/>
    <col min="14837" max="14837" width="33.25" style="1" customWidth="1"/>
    <col min="14838" max="14842" width="10.375" style="1"/>
    <col min="14843" max="14843" width="13.625" style="1" customWidth="1"/>
    <col min="14844" max="14844" width="10.375" style="1"/>
    <col min="14845" max="14845" width="14.375" style="1" customWidth="1"/>
    <col min="14846" max="14846" width="10.375" style="1"/>
    <col min="14847" max="14847" width="11.625" style="1" bestFit="1" customWidth="1"/>
    <col min="14848" max="14850" width="10.375" style="1"/>
    <col min="14851" max="14851" width="12.875" style="1" customWidth="1"/>
    <col min="14852" max="14852" width="10.375" style="1"/>
    <col min="14853" max="14853" width="13" style="1" customWidth="1"/>
    <col min="14854" max="15092" width="10.375" style="1"/>
    <col min="15093" max="15093" width="33.25" style="1" customWidth="1"/>
    <col min="15094" max="15098" width="10.375" style="1"/>
    <col min="15099" max="15099" width="13.625" style="1" customWidth="1"/>
    <col min="15100" max="15100" width="10.375" style="1"/>
    <col min="15101" max="15101" width="14.375" style="1" customWidth="1"/>
    <col min="15102" max="15102" width="10.375" style="1"/>
    <col min="15103" max="15103" width="11.625" style="1" bestFit="1" customWidth="1"/>
    <col min="15104" max="15106" width="10.375" style="1"/>
    <col min="15107" max="15107" width="12.875" style="1" customWidth="1"/>
    <col min="15108" max="15108" width="10.375" style="1"/>
    <col min="15109" max="15109" width="13" style="1" customWidth="1"/>
    <col min="15110" max="15348" width="10.375" style="1"/>
    <col min="15349" max="15349" width="33.25" style="1" customWidth="1"/>
    <col min="15350" max="15354" width="10.375" style="1"/>
    <col min="15355" max="15355" width="13.625" style="1" customWidth="1"/>
    <col min="15356" max="15356" width="10.375" style="1"/>
    <col min="15357" max="15357" width="14.375" style="1" customWidth="1"/>
    <col min="15358" max="15358" width="10.375" style="1"/>
    <col min="15359" max="15359" width="11.625" style="1" bestFit="1" customWidth="1"/>
    <col min="15360" max="15362" width="10.375" style="1"/>
    <col min="15363" max="15363" width="12.875" style="1" customWidth="1"/>
    <col min="15364" max="15364" width="10.375" style="1"/>
    <col min="15365" max="15365" width="13" style="1" customWidth="1"/>
    <col min="15366" max="15604" width="10.375" style="1"/>
    <col min="15605" max="15605" width="33.25" style="1" customWidth="1"/>
    <col min="15606" max="15610" width="10.375" style="1"/>
    <col min="15611" max="15611" width="13.625" style="1" customWidth="1"/>
    <col min="15612" max="15612" width="10.375" style="1"/>
    <col min="15613" max="15613" width="14.375" style="1" customWidth="1"/>
    <col min="15614" max="15614" width="10.375" style="1"/>
    <col min="15615" max="15615" width="11.625" style="1" bestFit="1" customWidth="1"/>
    <col min="15616" max="15618" width="10.375" style="1"/>
    <col min="15619" max="15619" width="12.875" style="1" customWidth="1"/>
    <col min="15620" max="15620" width="10.375" style="1"/>
    <col min="15621" max="15621" width="13" style="1" customWidth="1"/>
    <col min="15622" max="15860" width="10.375" style="1"/>
    <col min="15861" max="15861" width="33.25" style="1" customWidth="1"/>
    <col min="15862" max="15866" width="10.375" style="1"/>
    <col min="15867" max="15867" width="13.625" style="1" customWidth="1"/>
    <col min="15868" max="15868" width="10.375" style="1"/>
    <col min="15869" max="15869" width="14.375" style="1" customWidth="1"/>
    <col min="15870" max="15870" width="10.375" style="1"/>
    <col min="15871" max="15871" width="11.625" style="1" bestFit="1" customWidth="1"/>
    <col min="15872" max="15874" width="10.375" style="1"/>
    <col min="15875" max="15875" width="12.875" style="1" customWidth="1"/>
    <col min="15876" max="15876" width="10.375" style="1"/>
    <col min="15877" max="15877" width="13" style="1" customWidth="1"/>
    <col min="15878" max="16116" width="10.375" style="1"/>
    <col min="16117" max="16117" width="33.25" style="1" customWidth="1"/>
    <col min="16118" max="16122" width="10.375" style="1"/>
    <col min="16123" max="16123" width="13.625" style="1" customWidth="1"/>
    <col min="16124" max="16124" width="10.375" style="1"/>
    <col min="16125" max="16125" width="14.375" style="1" customWidth="1"/>
    <col min="16126" max="16126" width="10.375" style="1"/>
    <col min="16127" max="16127" width="11.625" style="1" bestFit="1" customWidth="1"/>
    <col min="16128" max="16130" width="10.375" style="1"/>
    <col min="16131" max="16131" width="12.875" style="1" customWidth="1"/>
    <col min="16132" max="16132" width="10.375" style="1"/>
    <col min="16133" max="16133" width="13" style="1" customWidth="1"/>
    <col min="16134" max="16384" width="10.375" style="1"/>
  </cols>
  <sheetData>
    <row r="1" spans="1:5" ht="18.600000000000001">
      <c r="A1" s="175" t="s">
        <v>0</v>
      </c>
      <c r="B1" s="175"/>
      <c r="C1" s="175"/>
      <c r="D1" s="175"/>
      <c r="E1" s="175"/>
    </row>
    <row r="2" spans="1:5" ht="18.600000000000001">
      <c r="A2" s="176" t="s">
        <v>1</v>
      </c>
      <c r="B2" s="176"/>
      <c r="C2" s="176"/>
      <c r="D2" s="176"/>
      <c r="E2" s="176"/>
    </row>
    <row r="3" spans="1:5" ht="18.600000000000001">
      <c r="A3" s="177" t="s">
        <v>56</v>
      </c>
      <c r="B3" s="177"/>
      <c r="C3" s="177"/>
      <c r="D3" s="177"/>
      <c r="E3" s="177"/>
    </row>
    <row r="4" spans="1:5" ht="18.600000000000001">
      <c r="A4" s="178" t="s">
        <v>3</v>
      </c>
      <c r="B4" s="173" t="s">
        <v>4</v>
      </c>
      <c r="C4" s="182" t="s">
        <v>9</v>
      </c>
      <c r="D4" s="183"/>
      <c r="E4" s="184"/>
    </row>
    <row r="5" spans="1:5" ht="18.600000000000001">
      <c r="A5" s="179"/>
      <c r="B5" s="181"/>
      <c r="C5" s="185" t="s">
        <v>10</v>
      </c>
      <c r="D5" s="187" t="s">
        <v>12</v>
      </c>
      <c r="E5" s="2"/>
    </row>
    <row r="6" spans="1:5" ht="16.8">
      <c r="A6" s="180"/>
      <c r="B6" s="174"/>
      <c r="C6" s="186"/>
      <c r="D6" s="188"/>
      <c r="E6" s="7" t="s">
        <v>19</v>
      </c>
    </row>
    <row r="7" spans="1:5" ht="18.600000000000001">
      <c r="A7" s="156"/>
      <c r="B7" s="173" t="s">
        <v>59</v>
      </c>
      <c r="C7" s="158"/>
      <c r="D7" s="159"/>
      <c r="E7" s="160"/>
    </row>
    <row r="8" spans="1:5" ht="21.75" customHeight="1">
      <c r="A8" s="164"/>
      <c r="B8" s="174"/>
      <c r="C8" s="150"/>
      <c r="D8" s="84"/>
      <c r="E8" s="166"/>
    </row>
    <row r="9" spans="1:5" ht="19.2" thickBot="1">
      <c r="A9" s="167"/>
      <c r="B9" s="168"/>
      <c r="C9" s="169"/>
      <c r="D9" s="170"/>
      <c r="E9" s="171"/>
    </row>
    <row r="10" spans="1:5" ht="19.2" thickTop="1">
      <c r="A10" s="161"/>
      <c r="B10" s="162"/>
      <c r="C10" s="77"/>
      <c r="D10" s="78"/>
      <c r="E10" s="163"/>
    </row>
    <row r="11" spans="1:5" ht="18.600000000000001">
      <c r="A11" s="151"/>
      <c r="B11" s="155" t="s">
        <v>31</v>
      </c>
      <c r="C11" s="77"/>
      <c r="D11" s="78"/>
      <c r="E11" s="96"/>
    </row>
    <row r="12" spans="1:5" ht="18.600000000000001">
      <c r="A12" s="42">
        <v>1</v>
      </c>
      <c r="B12" s="97" t="s">
        <v>32</v>
      </c>
      <c r="C12" s="24" t="s">
        <v>34</v>
      </c>
      <c r="D12" s="25"/>
      <c r="E12" s="99">
        <v>322273.98</v>
      </c>
    </row>
    <row r="13" spans="1:5" ht="18.600000000000001">
      <c r="A13" s="42"/>
      <c r="B13" s="100" t="s">
        <v>35</v>
      </c>
      <c r="C13" s="31"/>
      <c r="D13" s="25"/>
      <c r="E13" s="99"/>
    </row>
    <row r="14" spans="1:5" ht="18.600000000000001">
      <c r="A14" s="42"/>
      <c r="B14" s="100" t="s">
        <v>37</v>
      </c>
      <c r="C14" s="31"/>
      <c r="D14" s="25"/>
      <c r="E14" s="99"/>
    </row>
    <row r="15" spans="1:5" ht="18.600000000000001">
      <c r="A15" s="42"/>
      <c r="B15" s="100" t="s">
        <v>38</v>
      </c>
      <c r="C15" s="31"/>
      <c r="D15" s="25"/>
      <c r="E15" s="99"/>
    </row>
    <row r="16" spans="1:5" ht="18.600000000000001">
      <c r="A16" s="8">
        <v>2</v>
      </c>
      <c r="B16" s="102" t="s">
        <v>32</v>
      </c>
      <c r="C16" s="62" t="s">
        <v>40</v>
      </c>
      <c r="D16" s="25">
        <v>16</v>
      </c>
      <c r="E16" s="99">
        <v>5208581.93</v>
      </c>
    </row>
    <row r="17" spans="1:5" ht="18.600000000000001">
      <c r="A17" s="8"/>
      <c r="B17" s="153" t="s">
        <v>41</v>
      </c>
      <c r="C17" s="62" t="s">
        <v>42</v>
      </c>
      <c r="D17" s="25"/>
      <c r="E17" s="92"/>
    </row>
    <row r="18" spans="1:5" ht="18.600000000000001">
      <c r="A18" s="8"/>
      <c r="B18" s="103" t="s">
        <v>43</v>
      </c>
      <c r="C18" s="31"/>
      <c r="D18" s="25"/>
      <c r="E18" s="92"/>
    </row>
    <row r="19" spans="1:5" ht="18.600000000000001">
      <c r="A19" s="148"/>
      <c r="B19" s="149" t="s">
        <v>44</v>
      </c>
      <c r="C19" s="150"/>
      <c r="D19" s="25"/>
      <c r="E19" s="92"/>
    </row>
    <row r="20" spans="1:5" ht="19.2" thickBot="1">
      <c r="A20" s="152"/>
      <c r="B20" s="172" t="s">
        <v>53</v>
      </c>
      <c r="C20" s="108"/>
      <c r="D20" s="106"/>
      <c r="E20" s="106">
        <f>SUM(E12:E18)</f>
        <v>5530855.9100000001</v>
      </c>
    </row>
    <row r="21" spans="1:5" ht="19.2" thickTop="1">
      <c r="A21" s="120"/>
      <c r="B21" s="121"/>
      <c r="C21" s="125"/>
      <c r="D21" s="121"/>
      <c r="E21" s="126"/>
    </row>
  </sheetData>
  <mergeCells count="9">
    <mergeCell ref="B7:B8"/>
    <mergeCell ref="A1:E1"/>
    <mergeCell ref="A2:E2"/>
    <mergeCell ref="A3:E3"/>
    <mergeCell ref="A4:A6"/>
    <mergeCell ref="B4:B6"/>
    <mergeCell ref="C4:E4"/>
    <mergeCell ref="C5:C6"/>
    <mergeCell ref="D5:D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85499-5E22-42AB-9FF1-D85588DE7124}">
  <dimension ref="A1:R114"/>
  <sheetViews>
    <sheetView workbookViewId="0">
      <pane ySplit="6" topLeftCell="A7" activePane="bottomLeft" state="frozen"/>
      <selection pane="bottomLeft" activeCell="C25" sqref="C25"/>
    </sheetView>
  </sheetViews>
  <sheetFormatPr defaultColWidth="10.375" defaultRowHeight="14.4"/>
  <cols>
    <col min="1" max="1" width="10.375" style="1"/>
    <col min="2" max="2" width="33.25" style="1" customWidth="1"/>
    <col min="3" max="7" width="10.375" style="1"/>
    <col min="8" max="8" width="13.625" style="1" customWidth="1"/>
    <col min="9" max="9" width="10.375" style="1"/>
    <col min="10" max="10" width="14.375" style="1" customWidth="1"/>
    <col min="11" max="11" width="10.375" style="139"/>
    <col min="12" max="12" width="11.625" style="139" bestFit="1" customWidth="1"/>
    <col min="13" max="13" width="10.375" style="139"/>
    <col min="14" max="15" width="10.375" style="1"/>
    <col min="16" max="16" width="12.875" style="1" customWidth="1"/>
    <col min="17" max="17" width="10.375" style="1"/>
    <col min="18" max="18" width="13" style="1" customWidth="1"/>
    <col min="19" max="257" width="10.375" style="1"/>
    <col min="258" max="258" width="33.25" style="1" customWidth="1"/>
    <col min="259" max="263" width="10.375" style="1"/>
    <col min="264" max="264" width="13.625" style="1" customWidth="1"/>
    <col min="265" max="265" width="10.375" style="1"/>
    <col min="266" max="266" width="14.375" style="1" customWidth="1"/>
    <col min="267" max="267" width="10.375" style="1"/>
    <col min="268" max="268" width="11.625" style="1" bestFit="1" customWidth="1"/>
    <col min="269" max="271" width="10.375" style="1"/>
    <col min="272" max="272" width="12.875" style="1" customWidth="1"/>
    <col min="273" max="273" width="10.375" style="1"/>
    <col min="274" max="274" width="13" style="1" customWidth="1"/>
    <col min="275" max="513" width="10.375" style="1"/>
    <col min="514" max="514" width="33.25" style="1" customWidth="1"/>
    <col min="515" max="519" width="10.375" style="1"/>
    <col min="520" max="520" width="13.625" style="1" customWidth="1"/>
    <col min="521" max="521" width="10.375" style="1"/>
    <col min="522" max="522" width="14.375" style="1" customWidth="1"/>
    <col min="523" max="523" width="10.375" style="1"/>
    <col min="524" max="524" width="11.625" style="1" bestFit="1" customWidth="1"/>
    <col min="525" max="527" width="10.375" style="1"/>
    <col min="528" max="528" width="12.875" style="1" customWidth="1"/>
    <col min="529" max="529" width="10.375" style="1"/>
    <col min="530" max="530" width="13" style="1" customWidth="1"/>
    <col min="531" max="769" width="10.375" style="1"/>
    <col min="770" max="770" width="33.25" style="1" customWidth="1"/>
    <col min="771" max="775" width="10.375" style="1"/>
    <col min="776" max="776" width="13.625" style="1" customWidth="1"/>
    <col min="777" max="777" width="10.375" style="1"/>
    <col min="778" max="778" width="14.375" style="1" customWidth="1"/>
    <col min="779" max="779" width="10.375" style="1"/>
    <col min="780" max="780" width="11.625" style="1" bestFit="1" customWidth="1"/>
    <col min="781" max="783" width="10.375" style="1"/>
    <col min="784" max="784" width="12.875" style="1" customWidth="1"/>
    <col min="785" max="785" width="10.375" style="1"/>
    <col min="786" max="786" width="13" style="1" customWidth="1"/>
    <col min="787" max="1025" width="10.375" style="1"/>
    <col min="1026" max="1026" width="33.25" style="1" customWidth="1"/>
    <col min="1027" max="1031" width="10.375" style="1"/>
    <col min="1032" max="1032" width="13.625" style="1" customWidth="1"/>
    <col min="1033" max="1033" width="10.375" style="1"/>
    <col min="1034" max="1034" width="14.375" style="1" customWidth="1"/>
    <col min="1035" max="1035" width="10.375" style="1"/>
    <col min="1036" max="1036" width="11.625" style="1" bestFit="1" customWidth="1"/>
    <col min="1037" max="1039" width="10.375" style="1"/>
    <col min="1040" max="1040" width="12.875" style="1" customWidth="1"/>
    <col min="1041" max="1041" width="10.375" style="1"/>
    <col min="1042" max="1042" width="13" style="1" customWidth="1"/>
    <col min="1043" max="1281" width="10.375" style="1"/>
    <col min="1282" max="1282" width="33.25" style="1" customWidth="1"/>
    <col min="1283" max="1287" width="10.375" style="1"/>
    <col min="1288" max="1288" width="13.625" style="1" customWidth="1"/>
    <col min="1289" max="1289" width="10.375" style="1"/>
    <col min="1290" max="1290" width="14.375" style="1" customWidth="1"/>
    <col min="1291" max="1291" width="10.375" style="1"/>
    <col min="1292" max="1292" width="11.625" style="1" bestFit="1" customWidth="1"/>
    <col min="1293" max="1295" width="10.375" style="1"/>
    <col min="1296" max="1296" width="12.875" style="1" customWidth="1"/>
    <col min="1297" max="1297" width="10.375" style="1"/>
    <col min="1298" max="1298" width="13" style="1" customWidth="1"/>
    <col min="1299" max="1537" width="10.375" style="1"/>
    <col min="1538" max="1538" width="33.25" style="1" customWidth="1"/>
    <col min="1539" max="1543" width="10.375" style="1"/>
    <col min="1544" max="1544" width="13.625" style="1" customWidth="1"/>
    <col min="1545" max="1545" width="10.375" style="1"/>
    <col min="1546" max="1546" width="14.375" style="1" customWidth="1"/>
    <col min="1547" max="1547" width="10.375" style="1"/>
    <col min="1548" max="1548" width="11.625" style="1" bestFit="1" customWidth="1"/>
    <col min="1549" max="1551" width="10.375" style="1"/>
    <col min="1552" max="1552" width="12.875" style="1" customWidth="1"/>
    <col min="1553" max="1553" width="10.375" style="1"/>
    <col min="1554" max="1554" width="13" style="1" customWidth="1"/>
    <col min="1555" max="1793" width="10.375" style="1"/>
    <col min="1794" max="1794" width="33.25" style="1" customWidth="1"/>
    <col min="1795" max="1799" width="10.375" style="1"/>
    <col min="1800" max="1800" width="13.625" style="1" customWidth="1"/>
    <col min="1801" max="1801" width="10.375" style="1"/>
    <col min="1802" max="1802" width="14.375" style="1" customWidth="1"/>
    <col min="1803" max="1803" width="10.375" style="1"/>
    <col min="1804" max="1804" width="11.625" style="1" bestFit="1" customWidth="1"/>
    <col min="1805" max="1807" width="10.375" style="1"/>
    <col min="1808" max="1808" width="12.875" style="1" customWidth="1"/>
    <col min="1809" max="1809" width="10.375" style="1"/>
    <col min="1810" max="1810" width="13" style="1" customWidth="1"/>
    <col min="1811" max="2049" width="10.375" style="1"/>
    <col min="2050" max="2050" width="33.25" style="1" customWidth="1"/>
    <col min="2051" max="2055" width="10.375" style="1"/>
    <col min="2056" max="2056" width="13.625" style="1" customWidth="1"/>
    <col min="2057" max="2057" width="10.375" style="1"/>
    <col min="2058" max="2058" width="14.375" style="1" customWidth="1"/>
    <col min="2059" max="2059" width="10.375" style="1"/>
    <col min="2060" max="2060" width="11.625" style="1" bestFit="1" customWidth="1"/>
    <col min="2061" max="2063" width="10.375" style="1"/>
    <col min="2064" max="2064" width="12.875" style="1" customWidth="1"/>
    <col min="2065" max="2065" width="10.375" style="1"/>
    <col min="2066" max="2066" width="13" style="1" customWidth="1"/>
    <col min="2067" max="2305" width="10.375" style="1"/>
    <col min="2306" max="2306" width="33.25" style="1" customWidth="1"/>
    <col min="2307" max="2311" width="10.375" style="1"/>
    <col min="2312" max="2312" width="13.625" style="1" customWidth="1"/>
    <col min="2313" max="2313" width="10.375" style="1"/>
    <col min="2314" max="2314" width="14.375" style="1" customWidth="1"/>
    <col min="2315" max="2315" width="10.375" style="1"/>
    <col min="2316" max="2316" width="11.625" style="1" bestFit="1" customWidth="1"/>
    <col min="2317" max="2319" width="10.375" style="1"/>
    <col min="2320" max="2320" width="12.875" style="1" customWidth="1"/>
    <col min="2321" max="2321" width="10.375" style="1"/>
    <col min="2322" max="2322" width="13" style="1" customWidth="1"/>
    <col min="2323" max="2561" width="10.375" style="1"/>
    <col min="2562" max="2562" width="33.25" style="1" customWidth="1"/>
    <col min="2563" max="2567" width="10.375" style="1"/>
    <col min="2568" max="2568" width="13.625" style="1" customWidth="1"/>
    <col min="2569" max="2569" width="10.375" style="1"/>
    <col min="2570" max="2570" width="14.375" style="1" customWidth="1"/>
    <col min="2571" max="2571" width="10.375" style="1"/>
    <col min="2572" max="2572" width="11.625" style="1" bestFit="1" customWidth="1"/>
    <col min="2573" max="2575" width="10.375" style="1"/>
    <col min="2576" max="2576" width="12.875" style="1" customWidth="1"/>
    <col min="2577" max="2577" width="10.375" style="1"/>
    <col min="2578" max="2578" width="13" style="1" customWidth="1"/>
    <col min="2579" max="2817" width="10.375" style="1"/>
    <col min="2818" max="2818" width="33.25" style="1" customWidth="1"/>
    <col min="2819" max="2823" width="10.375" style="1"/>
    <col min="2824" max="2824" width="13.625" style="1" customWidth="1"/>
    <col min="2825" max="2825" width="10.375" style="1"/>
    <col min="2826" max="2826" width="14.375" style="1" customWidth="1"/>
    <col min="2827" max="2827" width="10.375" style="1"/>
    <col min="2828" max="2828" width="11.625" style="1" bestFit="1" customWidth="1"/>
    <col min="2829" max="2831" width="10.375" style="1"/>
    <col min="2832" max="2832" width="12.875" style="1" customWidth="1"/>
    <col min="2833" max="2833" width="10.375" style="1"/>
    <col min="2834" max="2834" width="13" style="1" customWidth="1"/>
    <col min="2835" max="3073" width="10.375" style="1"/>
    <col min="3074" max="3074" width="33.25" style="1" customWidth="1"/>
    <col min="3075" max="3079" width="10.375" style="1"/>
    <col min="3080" max="3080" width="13.625" style="1" customWidth="1"/>
    <col min="3081" max="3081" width="10.375" style="1"/>
    <col min="3082" max="3082" width="14.375" style="1" customWidth="1"/>
    <col min="3083" max="3083" width="10.375" style="1"/>
    <col min="3084" max="3084" width="11.625" style="1" bestFit="1" customWidth="1"/>
    <col min="3085" max="3087" width="10.375" style="1"/>
    <col min="3088" max="3088" width="12.875" style="1" customWidth="1"/>
    <col min="3089" max="3089" width="10.375" style="1"/>
    <col min="3090" max="3090" width="13" style="1" customWidth="1"/>
    <col min="3091" max="3329" width="10.375" style="1"/>
    <col min="3330" max="3330" width="33.25" style="1" customWidth="1"/>
    <col min="3331" max="3335" width="10.375" style="1"/>
    <col min="3336" max="3336" width="13.625" style="1" customWidth="1"/>
    <col min="3337" max="3337" width="10.375" style="1"/>
    <col min="3338" max="3338" width="14.375" style="1" customWidth="1"/>
    <col min="3339" max="3339" width="10.375" style="1"/>
    <col min="3340" max="3340" width="11.625" style="1" bestFit="1" customWidth="1"/>
    <col min="3341" max="3343" width="10.375" style="1"/>
    <col min="3344" max="3344" width="12.875" style="1" customWidth="1"/>
    <col min="3345" max="3345" width="10.375" style="1"/>
    <col min="3346" max="3346" width="13" style="1" customWidth="1"/>
    <col min="3347" max="3585" width="10.375" style="1"/>
    <col min="3586" max="3586" width="33.25" style="1" customWidth="1"/>
    <col min="3587" max="3591" width="10.375" style="1"/>
    <col min="3592" max="3592" width="13.625" style="1" customWidth="1"/>
    <col min="3593" max="3593" width="10.375" style="1"/>
    <col min="3594" max="3594" width="14.375" style="1" customWidth="1"/>
    <col min="3595" max="3595" width="10.375" style="1"/>
    <col min="3596" max="3596" width="11.625" style="1" bestFit="1" customWidth="1"/>
    <col min="3597" max="3599" width="10.375" style="1"/>
    <col min="3600" max="3600" width="12.875" style="1" customWidth="1"/>
    <col min="3601" max="3601" width="10.375" style="1"/>
    <col min="3602" max="3602" width="13" style="1" customWidth="1"/>
    <col min="3603" max="3841" width="10.375" style="1"/>
    <col min="3842" max="3842" width="33.25" style="1" customWidth="1"/>
    <col min="3843" max="3847" width="10.375" style="1"/>
    <col min="3848" max="3848" width="13.625" style="1" customWidth="1"/>
    <col min="3849" max="3849" width="10.375" style="1"/>
    <col min="3850" max="3850" width="14.375" style="1" customWidth="1"/>
    <col min="3851" max="3851" width="10.375" style="1"/>
    <col min="3852" max="3852" width="11.625" style="1" bestFit="1" customWidth="1"/>
    <col min="3853" max="3855" width="10.375" style="1"/>
    <col min="3856" max="3856" width="12.875" style="1" customWidth="1"/>
    <col min="3857" max="3857" width="10.375" style="1"/>
    <col min="3858" max="3858" width="13" style="1" customWidth="1"/>
    <col min="3859" max="4097" width="10.375" style="1"/>
    <col min="4098" max="4098" width="33.25" style="1" customWidth="1"/>
    <col min="4099" max="4103" width="10.375" style="1"/>
    <col min="4104" max="4104" width="13.625" style="1" customWidth="1"/>
    <col min="4105" max="4105" width="10.375" style="1"/>
    <col min="4106" max="4106" width="14.375" style="1" customWidth="1"/>
    <col min="4107" max="4107" width="10.375" style="1"/>
    <col min="4108" max="4108" width="11.625" style="1" bestFit="1" customWidth="1"/>
    <col min="4109" max="4111" width="10.375" style="1"/>
    <col min="4112" max="4112" width="12.875" style="1" customWidth="1"/>
    <col min="4113" max="4113" width="10.375" style="1"/>
    <col min="4114" max="4114" width="13" style="1" customWidth="1"/>
    <col min="4115" max="4353" width="10.375" style="1"/>
    <col min="4354" max="4354" width="33.25" style="1" customWidth="1"/>
    <col min="4355" max="4359" width="10.375" style="1"/>
    <col min="4360" max="4360" width="13.625" style="1" customWidth="1"/>
    <col min="4361" max="4361" width="10.375" style="1"/>
    <col min="4362" max="4362" width="14.375" style="1" customWidth="1"/>
    <col min="4363" max="4363" width="10.375" style="1"/>
    <col min="4364" max="4364" width="11.625" style="1" bestFit="1" customWidth="1"/>
    <col min="4365" max="4367" width="10.375" style="1"/>
    <col min="4368" max="4368" width="12.875" style="1" customWidth="1"/>
    <col min="4369" max="4369" width="10.375" style="1"/>
    <col min="4370" max="4370" width="13" style="1" customWidth="1"/>
    <col min="4371" max="4609" width="10.375" style="1"/>
    <col min="4610" max="4610" width="33.25" style="1" customWidth="1"/>
    <col min="4611" max="4615" width="10.375" style="1"/>
    <col min="4616" max="4616" width="13.625" style="1" customWidth="1"/>
    <col min="4617" max="4617" width="10.375" style="1"/>
    <col min="4618" max="4618" width="14.375" style="1" customWidth="1"/>
    <col min="4619" max="4619" width="10.375" style="1"/>
    <col min="4620" max="4620" width="11.625" style="1" bestFit="1" customWidth="1"/>
    <col min="4621" max="4623" width="10.375" style="1"/>
    <col min="4624" max="4624" width="12.875" style="1" customWidth="1"/>
    <col min="4625" max="4625" width="10.375" style="1"/>
    <col min="4626" max="4626" width="13" style="1" customWidth="1"/>
    <col min="4627" max="4865" width="10.375" style="1"/>
    <col min="4866" max="4866" width="33.25" style="1" customWidth="1"/>
    <col min="4867" max="4871" width="10.375" style="1"/>
    <col min="4872" max="4872" width="13.625" style="1" customWidth="1"/>
    <col min="4873" max="4873" width="10.375" style="1"/>
    <col min="4874" max="4874" width="14.375" style="1" customWidth="1"/>
    <col min="4875" max="4875" width="10.375" style="1"/>
    <col min="4876" max="4876" width="11.625" style="1" bestFit="1" customWidth="1"/>
    <col min="4877" max="4879" width="10.375" style="1"/>
    <col min="4880" max="4880" width="12.875" style="1" customWidth="1"/>
    <col min="4881" max="4881" width="10.375" style="1"/>
    <col min="4882" max="4882" width="13" style="1" customWidth="1"/>
    <col min="4883" max="5121" width="10.375" style="1"/>
    <col min="5122" max="5122" width="33.25" style="1" customWidth="1"/>
    <col min="5123" max="5127" width="10.375" style="1"/>
    <col min="5128" max="5128" width="13.625" style="1" customWidth="1"/>
    <col min="5129" max="5129" width="10.375" style="1"/>
    <col min="5130" max="5130" width="14.375" style="1" customWidth="1"/>
    <col min="5131" max="5131" width="10.375" style="1"/>
    <col min="5132" max="5132" width="11.625" style="1" bestFit="1" customWidth="1"/>
    <col min="5133" max="5135" width="10.375" style="1"/>
    <col min="5136" max="5136" width="12.875" style="1" customWidth="1"/>
    <col min="5137" max="5137" width="10.375" style="1"/>
    <col min="5138" max="5138" width="13" style="1" customWidth="1"/>
    <col min="5139" max="5377" width="10.375" style="1"/>
    <col min="5378" max="5378" width="33.25" style="1" customWidth="1"/>
    <col min="5379" max="5383" width="10.375" style="1"/>
    <col min="5384" max="5384" width="13.625" style="1" customWidth="1"/>
    <col min="5385" max="5385" width="10.375" style="1"/>
    <col min="5386" max="5386" width="14.375" style="1" customWidth="1"/>
    <col min="5387" max="5387" width="10.375" style="1"/>
    <col min="5388" max="5388" width="11.625" style="1" bestFit="1" customWidth="1"/>
    <col min="5389" max="5391" width="10.375" style="1"/>
    <col min="5392" max="5392" width="12.875" style="1" customWidth="1"/>
    <col min="5393" max="5393" width="10.375" style="1"/>
    <col min="5394" max="5394" width="13" style="1" customWidth="1"/>
    <col min="5395" max="5633" width="10.375" style="1"/>
    <col min="5634" max="5634" width="33.25" style="1" customWidth="1"/>
    <col min="5635" max="5639" width="10.375" style="1"/>
    <col min="5640" max="5640" width="13.625" style="1" customWidth="1"/>
    <col min="5641" max="5641" width="10.375" style="1"/>
    <col min="5642" max="5642" width="14.375" style="1" customWidth="1"/>
    <col min="5643" max="5643" width="10.375" style="1"/>
    <col min="5644" max="5644" width="11.625" style="1" bestFit="1" customWidth="1"/>
    <col min="5645" max="5647" width="10.375" style="1"/>
    <col min="5648" max="5648" width="12.875" style="1" customWidth="1"/>
    <col min="5649" max="5649" width="10.375" style="1"/>
    <col min="5650" max="5650" width="13" style="1" customWidth="1"/>
    <col min="5651" max="5889" width="10.375" style="1"/>
    <col min="5890" max="5890" width="33.25" style="1" customWidth="1"/>
    <col min="5891" max="5895" width="10.375" style="1"/>
    <col min="5896" max="5896" width="13.625" style="1" customWidth="1"/>
    <col min="5897" max="5897" width="10.375" style="1"/>
    <col min="5898" max="5898" width="14.375" style="1" customWidth="1"/>
    <col min="5899" max="5899" width="10.375" style="1"/>
    <col min="5900" max="5900" width="11.625" style="1" bestFit="1" customWidth="1"/>
    <col min="5901" max="5903" width="10.375" style="1"/>
    <col min="5904" max="5904" width="12.875" style="1" customWidth="1"/>
    <col min="5905" max="5905" width="10.375" style="1"/>
    <col min="5906" max="5906" width="13" style="1" customWidth="1"/>
    <col min="5907" max="6145" width="10.375" style="1"/>
    <col min="6146" max="6146" width="33.25" style="1" customWidth="1"/>
    <col min="6147" max="6151" width="10.375" style="1"/>
    <col min="6152" max="6152" width="13.625" style="1" customWidth="1"/>
    <col min="6153" max="6153" width="10.375" style="1"/>
    <col min="6154" max="6154" width="14.375" style="1" customWidth="1"/>
    <col min="6155" max="6155" width="10.375" style="1"/>
    <col min="6156" max="6156" width="11.625" style="1" bestFit="1" customWidth="1"/>
    <col min="6157" max="6159" width="10.375" style="1"/>
    <col min="6160" max="6160" width="12.875" style="1" customWidth="1"/>
    <col min="6161" max="6161" width="10.375" style="1"/>
    <col min="6162" max="6162" width="13" style="1" customWidth="1"/>
    <col min="6163" max="6401" width="10.375" style="1"/>
    <col min="6402" max="6402" width="33.25" style="1" customWidth="1"/>
    <col min="6403" max="6407" width="10.375" style="1"/>
    <col min="6408" max="6408" width="13.625" style="1" customWidth="1"/>
    <col min="6409" max="6409" width="10.375" style="1"/>
    <col min="6410" max="6410" width="14.375" style="1" customWidth="1"/>
    <col min="6411" max="6411" width="10.375" style="1"/>
    <col min="6412" max="6412" width="11.625" style="1" bestFit="1" customWidth="1"/>
    <col min="6413" max="6415" width="10.375" style="1"/>
    <col min="6416" max="6416" width="12.875" style="1" customWidth="1"/>
    <col min="6417" max="6417" width="10.375" style="1"/>
    <col min="6418" max="6418" width="13" style="1" customWidth="1"/>
    <col min="6419" max="6657" width="10.375" style="1"/>
    <col min="6658" max="6658" width="33.25" style="1" customWidth="1"/>
    <col min="6659" max="6663" width="10.375" style="1"/>
    <col min="6664" max="6664" width="13.625" style="1" customWidth="1"/>
    <col min="6665" max="6665" width="10.375" style="1"/>
    <col min="6666" max="6666" width="14.375" style="1" customWidth="1"/>
    <col min="6667" max="6667" width="10.375" style="1"/>
    <col min="6668" max="6668" width="11.625" style="1" bestFit="1" customWidth="1"/>
    <col min="6669" max="6671" width="10.375" style="1"/>
    <col min="6672" max="6672" width="12.875" style="1" customWidth="1"/>
    <col min="6673" max="6673" width="10.375" style="1"/>
    <col min="6674" max="6674" width="13" style="1" customWidth="1"/>
    <col min="6675" max="6913" width="10.375" style="1"/>
    <col min="6914" max="6914" width="33.25" style="1" customWidth="1"/>
    <col min="6915" max="6919" width="10.375" style="1"/>
    <col min="6920" max="6920" width="13.625" style="1" customWidth="1"/>
    <col min="6921" max="6921" width="10.375" style="1"/>
    <col min="6922" max="6922" width="14.375" style="1" customWidth="1"/>
    <col min="6923" max="6923" width="10.375" style="1"/>
    <col min="6924" max="6924" width="11.625" style="1" bestFit="1" customWidth="1"/>
    <col min="6925" max="6927" width="10.375" style="1"/>
    <col min="6928" max="6928" width="12.875" style="1" customWidth="1"/>
    <col min="6929" max="6929" width="10.375" style="1"/>
    <col min="6930" max="6930" width="13" style="1" customWidth="1"/>
    <col min="6931" max="7169" width="10.375" style="1"/>
    <col min="7170" max="7170" width="33.25" style="1" customWidth="1"/>
    <col min="7171" max="7175" width="10.375" style="1"/>
    <col min="7176" max="7176" width="13.625" style="1" customWidth="1"/>
    <col min="7177" max="7177" width="10.375" style="1"/>
    <col min="7178" max="7178" width="14.375" style="1" customWidth="1"/>
    <col min="7179" max="7179" width="10.375" style="1"/>
    <col min="7180" max="7180" width="11.625" style="1" bestFit="1" customWidth="1"/>
    <col min="7181" max="7183" width="10.375" style="1"/>
    <col min="7184" max="7184" width="12.875" style="1" customWidth="1"/>
    <col min="7185" max="7185" width="10.375" style="1"/>
    <col min="7186" max="7186" width="13" style="1" customWidth="1"/>
    <col min="7187" max="7425" width="10.375" style="1"/>
    <col min="7426" max="7426" width="33.25" style="1" customWidth="1"/>
    <col min="7427" max="7431" width="10.375" style="1"/>
    <col min="7432" max="7432" width="13.625" style="1" customWidth="1"/>
    <col min="7433" max="7433" width="10.375" style="1"/>
    <col min="7434" max="7434" width="14.375" style="1" customWidth="1"/>
    <col min="7435" max="7435" width="10.375" style="1"/>
    <col min="7436" max="7436" width="11.625" style="1" bestFit="1" customWidth="1"/>
    <col min="7437" max="7439" width="10.375" style="1"/>
    <col min="7440" max="7440" width="12.875" style="1" customWidth="1"/>
    <col min="7441" max="7441" width="10.375" style="1"/>
    <col min="7442" max="7442" width="13" style="1" customWidth="1"/>
    <col min="7443" max="7681" width="10.375" style="1"/>
    <col min="7682" max="7682" width="33.25" style="1" customWidth="1"/>
    <col min="7683" max="7687" width="10.375" style="1"/>
    <col min="7688" max="7688" width="13.625" style="1" customWidth="1"/>
    <col min="7689" max="7689" width="10.375" style="1"/>
    <col min="7690" max="7690" width="14.375" style="1" customWidth="1"/>
    <col min="7691" max="7691" width="10.375" style="1"/>
    <col min="7692" max="7692" width="11.625" style="1" bestFit="1" customWidth="1"/>
    <col min="7693" max="7695" width="10.375" style="1"/>
    <col min="7696" max="7696" width="12.875" style="1" customWidth="1"/>
    <col min="7697" max="7697" width="10.375" style="1"/>
    <col min="7698" max="7698" width="13" style="1" customWidth="1"/>
    <col min="7699" max="7937" width="10.375" style="1"/>
    <col min="7938" max="7938" width="33.25" style="1" customWidth="1"/>
    <col min="7939" max="7943" width="10.375" style="1"/>
    <col min="7944" max="7944" width="13.625" style="1" customWidth="1"/>
    <col min="7945" max="7945" width="10.375" style="1"/>
    <col min="7946" max="7946" width="14.375" style="1" customWidth="1"/>
    <col min="7947" max="7947" width="10.375" style="1"/>
    <col min="7948" max="7948" width="11.625" style="1" bestFit="1" customWidth="1"/>
    <col min="7949" max="7951" width="10.375" style="1"/>
    <col min="7952" max="7952" width="12.875" style="1" customWidth="1"/>
    <col min="7953" max="7953" width="10.375" style="1"/>
    <col min="7954" max="7954" width="13" style="1" customWidth="1"/>
    <col min="7955" max="8193" width="10.375" style="1"/>
    <col min="8194" max="8194" width="33.25" style="1" customWidth="1"/>
    <col min="8195" max="8199" width="10.375" style="1"/>
    <col min="8200" max="8200" width="13.625" style="1" customWidth="1"/>
    <col min="8201" max="8201" width="10.375" style="1"/>
    <col min="8202" max="8202" width="14.375" style="1" customWidth="1"/>
    <col min="8203" max="8203" width="10.375" style="1"/>
    <col min="8204" max="8204" width="11.625" style="1" bestFit="1" customWidth="1"/>
    <col min="8205" max="8207" width="10.375" style="1"/>
    <col min="8208" max="8208" width="12.875" style="1" customWidth="1"/>
    <col min="8209" max="8209" width="10.375" style="1"/>
    <col min="8210" max="8210" width="13" style="1" customWidth="1"/>
    <col min="8211" max="8449" width="10.375" style="1"/>
    <col min="8450" max="8450" width="33.25" style="1" customWidth="1"/>
    <col min="8451" max="8455" width="10.375" style="1"/>
    <col min="8456" max="8456" width="13.625" style="1" customWidth="1"/>
    <col min="8457" max="8457" width="10.375" style="1"/>
    <col min="8458" max="8458" width="14.375" style="1" customWidth="1"/>
    <col min="8459" max="8459" width="10.375" style="1"/>
    <col min="8460" max="8460" width="11.625" style="1" bestFit="1" customWidth="1"/>
    <col min="8461" max="8463" width="10.375" style="1"/>
    <col min="8464" max="8464" width="12.875" style="1" customWidth="1"/>
    <col min="8465" max="8465" width="10.375" style="1"/>
    <col min="8466" max="8466" width="13" style="1" customWidth="1"/>
    <col min="8467" max="8705" width="10.375" style="1"/>
    <col min="8706" max="8706" width="33.25" style="1" customWidth="1"/>
    <col min="8707" max="8711" width="10.375" style="1"/>
    <col min="8712" max="8712" width="13.625" style="1" customWidth="1"/>
    <col min="8713" max="8713" width="10.375" style="1"/>
    <col min="8714" max="8714" width="14.375" style="1" customWidth="1"/>
    <col min="8715" max="8715" width="10.375" style="1"/>
    <col min="8716" max="8716" width="11.625" style="1" bestFit="1" customWidth="1"/>
    <col min="8717" max="8719" width="10.375" style="1"/>
    <col min="8720" max="8720" width="12.875" style="1" customWidth="1"/>
    <col min="8721" max="8721" width="10.375" style="1"/>
    <col min="8722" max="8722" width="13" style="1" customWidth="1"/>
    <col min="8723" max="8961" width="10.375" style="1"/>
    <col min="8962" max="8962" width="33.25" style="1" customWidth="1"/>
    <col min="8963" max="8967" width="10.375" style="1"/>
    <col min="8968" max="8968" width="13.625" style="1" customWidth="1"/>
    <col min="8969" max="8969" width="10.375" style="1"/>
    <col min="8970" max="8970" width="14.375" style="1" customWidth="1"/>
    <col min="8971" max="8971" width="10.375" style="1"/>
    <col min="8972" max="8972" width="11.625" style="1" bestFit="1" customWidth="1"/>
    <col min="8973" max="8975" width="10.375" style="1"/>
    <col min="8976" max="8976" width="12.875" style="1" customWidth="1"/>
    <col min="8977" max="8977" width="10.375" style="1"/>
    <col min="8978" max="8978" width="13" style="1" customWidth="1"/>
    <col min="8979" max="9217" width="10.375" style="1"/>
    <col min="9218" max="9218" width="33.25" style="1" customWidth="1"/>
    <col min="9219" max="9223" width="10.375" style="1"/>
    <col min="9224" max="9224" width="13.625" style="1" customWidth="1"/>
    <col min="9225" max="9225" width="10.375" style="1"/>
    <col min="9226" max="9226" width="14.375" style="1" customWidth="1"/>
    <col min="9227" max="9227" width="10.375" style="1"/>
    <col min="9228" max="9228" width="11.625" style="1" bestFit="1" customWidth="1"/>
    <col min="9229" max="9231" width="10.375" style="1"/>
    <col min="9232" max="9232" width="12.875" style="1" customWidth="1"/>
    <col min="9233" max="9233" width="10.375" style="1"/>
    <col min="9234" max="9234" width="13" style="1" customWidth="1"/>
    <col min="9235" max="9473" width="10.375" style="1"/>
    <col min="9474" max="9474" width="33.25" style="1" customWidth="1"/>
    <col min="9475" max="9479" width="10.375" style="1"/>
    <col min="9480" max="9480" width="13.625" style="1" customWidth="1"/>
    <col min="9481" max="9481" width="10.375" style="1"/>
    <col min="9482" max="9482" width="14.375" style="1" customWidth="1"/>
    <col min="9483" max="9483" width="10.375" style="1"/>
    <col min="9484" max="9484" width="11.625" style="1" bestFit="1" customWidth="1"/>
    <col min="9485" max="9487" width="10.375" style="1"/>
    <col min="9488" max="9488" width="12.875" style="1" customWidth="1"/>
    <col min="9489" max="9489" width="10.375" style="1"/>
    <col min="9490" max="9490" width="13" style="1" customWidth="1"/>
    <col min="9491" max="9729" width="10.375" style="1"/>
    <col min="9730" max="9730" width="33.25" style="1" customWidth="1"/>
    <col min="9731" max="9735" width="10.375" style="1"/>
    <col min="9736" max="9736" width="13.625" style="1" customWidth="1"/>
    <col min="9737" max="9737" width="10.375" style="1"/>
    <col min="9738" max="9738" width="14.375" style="1" customWidth="1"/>
    <col min="9739" max="9739" width="10.375" style="1"/>
    <col min="9740" max="9740" width="11.625" style="1" bestFit="1" customWidth="1"/>
    <col min="9741" max="9743" width="10.375" style="1"/>
    <col min="9744" max="9744" width="12.875" style="1" customWidth="1"/>
    <col min="9745" max="9745" width="10.375" style="1"/>
    <col min="9746" max="9746" width="13" style="1" customWidth="1"/>
    <col min="9747" max="9985" width="10.375" style="1"/>
    <col min="9986" max="9986" width="33.25" style="1" customWidth="1"/>
    <col min="9987" max="9991" width="10.375" style="1"/>
    <col min="9992" max="9992" width="13.625" style="1" customWidth="1"/>
    <col min="9993" max="9993" width="10.375" style="1"/>
    <col min="9994" max="9994" width="14.375" style="1" customWidth="1"/>
    <col min="9995" max="9995" width="10.375" style="1"/>
    <col min="9996" max="9996" width="11.625" style="1" bestFit="1" customWidth="1"/>
    <col min="9997" max="9999" width="10.375" style="1"/>
    <col min="10000" max="10000" width="12.875" style="1" customWidth="1"/>
    <col min="10001" max="10001" width="10.375" style="1"/>
    <col min="10002" max="10002" width="13" style="1" customWidth="1"/>
    <col min="10003" max="10241" width="10.375" style="1"/>
    <col min="10242" max="10242" width="33.25" style="1" customWidth="1"/>
    <col min="10243" max="10247" width="10.375" style="1"/>
    <col min="10248" max="10248" width="13.625" style="1" customWidth="1"/>
    <col min="10249" max="10249" width="10.375" style="1"/>
    <col min="10250" max="10250" width="14.375" style="1" customWidth="1"/>
    <col min="10251" max="10251" width="10.375" style="1"/>
    <col min="10252" max="10252" width="11.625" style="1" bestFit="1" customWidth="1"/>
    <col min="10253" max="10255" width="10.375" style="1"/>
    <col min="10256" max="10256" width="12.875" style="1" customWidth="1"/>
    <col min="10257" max="10257" width="10.375" style="1"/>
    <col min="10258" max="10258" width="13" style="1" customWidth="1"/>
    <col min="10259" max="10497" width="10.375" style="1"/>
    <col min="10498" max="10498" width="33.25" style="1" customWidth="1"/>
    <col min="10499" max="10503" width="10.375" style="1"/>
    <col min="10504" max="10504" width="13.625" style="1" customWidth="1"/>
    <col min="10505" max="10505" width="10.375" style="1"/>
    <col min="10506" max="10506" width="14.375" style="1" customWidth="1"/>
    <col min="10507" max="10507" width="10.375" style="1"/>
    <col min="10508" max="10508" width="11.625" style="1" bestFit="1" customWidth="1"/>
    <col min="10509" max="10511" width="10.375" style="1"/>
    <col min="10512" max="10512" width="12.875" style="1" customWidth="1"/>
    <col min="10513" max="10513" width="10.375" style="1"/>
    <col min="10514" max="10514" width="13" style="1" customWidth="1"/>
    <col min="10515" max="10753" width="10.375" style="1"/>
    <col min="10754" max="10754" width="33.25" style="1" customWidth="1"/>
    <col min="10755" max="10759" width="10.375" style="1"/>
    <col min="10760" max="10760" width="13.625" style="1" customWidth="1"/>
    <col min="10761" max="10761" width="10.375" style="1"/>
    <col min="10762" max="10762" width="14.375" style="1" customWidth="1"/>
    <col min="10763" max="10763" width="10.375" style="1"/>
    <col min="10764" max="10764" width="11.625" style="1" bestFit="1" customWidth="1"/>
    <col min="10765" max="10767" width="10.375" style="1"/>
    <col min="10768" max="10768" width="12.875" style="1" customWidth="1"/>
    <col min="10769" max="10769" width="10.375" style="1"/>
    <col min="10770" max="10770" width="13" style="1" customWidth="1"/>
    <col min="10771" max="11009" width="10.375" style="1"/>
    <col min="11010" max="11010" width="33.25" style="1" customWidth="1"/>
    <col min="11011" max="11015" width="10.375" style="1"/>
    <col min="11016" max="11016" width="13.625" style="1" customWidth="1"/>
    <col min="11017" max="11017" width="10.375" style="1"/>
    <col min="11018" max="11018" width="14.375" style="1" customWidth="1"/>
    <col min="11019" max="11019" width="10.375" style="1"/>
    <col min="11020" max="11020" width="11.625" style="1" bestFit="1" customWidth="1"/>
    <col min="11021" max="11023" width="10.375" style="1"/>
    <col min="11024" max="11024" width="12.875" style="1" customWidth="1"/>
    <col min="11025" max="11025" width="10.375" style="1"/>
    <col min="11026" max="11026" width="13" style="1" customWidth="1"/>
    <col min="11027" max="11265" width="10.375" style="1"/>
    <col min="11266" max="11266" width="33.25" style="1" customWidth="1"/>
    <col min="11267" max="11271" width="10.375" style="1"/>
    <col min="11272" max="11272" width="13.625" style="1" customWidth="1"/>
    <col min="11273" max="11273" width="10.375" style="1"/>
    <col min="11274" max="11274" width="14.375" style="1" customWidth="1"/>
    <col min="11275" max="11275" width="10.375" style="1"/>
    <col min="11276" max="11276" width="11.625" style="1" bestFit="1" customWidth="1"/>
    <col min="11277" max="11279" width="10.375" style="1"/>
    <col min="11280" max="11280" width="12.875" style="1" customWidth="1"/>
    <col min="11281" max="11281" width="10.375" style="1"/>
    <col min="11282" max="11282" width="13" style="1" customWidth="1"/>
    <col min="11283" max="11521" width="10.375" style="1"/>
    <col min="11522" max="11522" width="33.25" style="1" customWidth="1"/>
    <col min="11523" max="11527" width="10.375" style="1"/>
    <col min="11528" max="11528" width="13.625" style="1" customWidth="1"/>
    <col min="11529" max="11529" width="10.375" style="1"/>
    <col min="11530" max="11530" width="14.375" style="1" customWidth="1"/>
    <col min="11531" max="11531" width="10.375" style="1"/>
    <col min="11532" max="11532" width="11.625" style="1" bestFit="1" customWidth="1"/>
    <col min="11533" max="11535" width="10.375" style="1"/>
    <col min="11536" max="11536" width="12.875" style="1" customWidth="1"/>
    <col min="11537" max="11537" width="10.375" style="1"/>
    <col min="11538" max="11538" width="13" style="1" customWidth="1"/>
    <col min="11539" max="11777" width="10.375" style="1"/>
    <col min="11778" max="11778" width="33.25" style="1" customWidth="1"/>
    <col min="11779" max="11783" width="10.375" style="1"/>
    <col min="11784" max="11784" width="13.625" style="1" customWidth="1"/>
    <col min="11785" max="11785" width="10.375" style="1"/>
    <col min="11786" max="11786" width="14.375" style="1" customWidth="1"/>
    <col min="11787" max="11787" width="10.375" style="1"/>
    <col min="11788" max="11788" width="11.625" style="1" bestFit="1" customWidth="1"/>
    <col min="11789" max="11791" width="10.375" style="1"/>
    <col min="11792" max="11792" width="12.875" style="1" customWidth="1"/>
    <col min="11793" max="11793" width="10.375" style="1"/>
    <col min="11794" max="11794" width="13" style="1" customWidth="1"/>
    <col min="11795" max="12033" width="10.375" style="1"/>
    <col min="12034" max="12034" width="33.25" style="1" customWidth="1"/>
    <col min="12035" max="12039" width="10.375" style="1"/>
    <col min="12040" max="12040" width="13.625" style="1" customWidth="1"/>
    <col min="12041" max="12041" width="10.375" style="1"/>
    <col min="12042" max="12042" width="14.375" style="1" customWidth="1"/>
    <col min="12043" max="12043" width="10.375" style="1"/>
    <col min="12044" max="12044" width="11.625" style="1" bestFit="1" customWidth="1"/>
    <col min="12045" max="12047" width="10.375" style="1"/>
    <col min="12048" max="12048" width="12.875" style="1" customWidth="1"/>
    <col min="12049" max="12049" width="10.375" style="1"/>
    <col min="12050" max="12050" width="13" style="1" customWidth="1"/>
    <col min="12051" max="12289" width="10.375" style="1"/>
    <col min="12290" max="12290" width="33.25" style="1" customWidth="1"/>
    <col min="12291" max="12295" width="10.375" style="1"/>
    <col min="12296" max="12296" width="13.625" style="1" customWidth="1"/>
    <col min="12297" max="12297" width="10.375" style="1"/>
    <col min="12298" max="12298" width="14.375" style="1" customWidth="1"/>
    <col min="12299" max="12299" width="10.375" style="1"/>
    <col min="12300" max="12300" width="11.625" style="1" bestFit="1" customWidth="1"/>
    <col min="12301" max="12303" width="10.375" style="1"/>
    <col min="12304" max="12304" width="12.875" style="1" customWidth="1"/>
    <col min="12305" max="12305" width="10.375" style="1"/>
    <col min="12306" max="12306" width="13" style="1" customWidth="1"/>
    <col min="12307" max="12545" width="10.375" style="1"/>
    <col min="12546" max="12546" width="33.25" style="1" customWidth="1"/>
    <col min="12547" max="12551" width="10.375" style="1"/>
    <col min="12552" max="12552" width="13.625" style="1" customWidth="1"/>
    <col min="12553" max="12553" width="10.375" style="1"/>
    <col min="12554" max="12554" width="14.375" style="1" customWidth="1"/>
    <col min="12555" max="12555" width="10.375" style="1"/>
    <col min="12556" max="12556" width="11.625" style="1" bestFit="1" customWidth="1"/>
    <col min="12557" max="12559" width="10.375" style="1"/>
    <col min="12560" max="12560" width="12.875" style="1" customWidth="1"/>
    <col min="12561" max="12561" width="10.375" style="1"/>
    <col min="12562" max="12562" width="13" style="1" customWidth="1"/>
    <col min="12563" max="12801" width="10.375" style="1"/>
    <col min="12802" max="12802" width="33.25" style="1" customWidth="1"/>
    <col min="12803" max="12807" width="10.375" style="1"/>
    <col min="12808" max="12808" width="13.625" style="1" customWidth="1"/>
    <col min="12809" max="12809" width="10.375" style="1"/>
    <col min="12810" max="12810" width="14.375" style="1" customWidth="1"/>
    <col min="12811" max="12811" width="10.375" style="1"/>
    <col min="12812" max="12812" width="11.625" style="1" bestFit="1" customWidth="1"/>
    <col min="12813" max="12815" width="10.375" style="1"/>
    <col min="12816" max="12816" width="12.875" style="1" customWidth="1"/>
    <col min="12817" max="12817" width="10.375" style="1"/>
    <col min="12818" max="12818" width="13" style="1" customWidth="1"/>
    <col min="12819" max="13057" width="10.375" style="1"/>
    <col min="13058" max="13058" width="33.25" style="1" customWidth="1"/>
    <col min="13059" max="13063" width="10.375" style="1"/>
    <col min="13064" max="13064" width="13.625" style="1" customWidth="1"/>
    <col min="13065" max="13065" width="10.375" style="1"/>
    <col min="13066" max="13066" width="14.375" style="1" customWidth="1"/>
    <col min="13067" max="13067" width="10.375" style="1"/>
    <col min="13068" max="13068" width="11.625" style="1" bestFit="1" customWidth="1"/>
    <col min="13069" max="13071" width="10.375" style="1"/>
    <col min="13072" max="13072" width="12.875" style="1" customWidth="1"/>
    <col min="13073" max="13073" width="10.375" style="1"/>
    <col min="13074" max="13074" width="13" style="1" customWidth="1"/>
    <col min="13075" max="13313" width="10.375" style="1"/>
    <col min="13314" max="13314" width="33.25" style="1" customWidth="1"/>
    <col min="13315" max="13319" width="10.375" style="1"/>
    <col min="13320" max="13320" width="13.625" style="1" customWidth="1"/>
    <col min="13321" max="13321" width="10.375" style="1"/>
    <col min="13322" max="13322" width="14.375" style="1" customWidth="1"/>
    <col min="13323" max="13323" width="10.375" style="1"/>
    <col min="13324" max="13324" width="11.625" style="1" bestFit="1" customWidth="1"/>
    <col min="13325" max="13327" width="10.375" style="1"/>
    <col min="13328" max="13328" width="12.875" style="1" customWidth="1"/>
    <col min="13329" max="13329" width="10.375" style="1"/>
    <col min="13330" max="13330" width="13" style="1" customWidth="1"/>
    <col min="13331" max="13569" width="10.375" style="1"/>
    <col min="13570" max="13570" width="33.25" style="1" customWidth="1"/>
    <col min="13571" max="13575" width="10.375" style="1"/>
    <col min="13576" max="13576" width="13.625" style="1" customWidth="1"/>
    <col min="13577" max="13577" width="10.375" style="1"/>
    <col min="13578" max="13578" width="14.375" style="1" customWidth="1"/>
    <col min="13579" max="13579" width="10.375" style="1"/>
    <col min="13580" max="13580" width="11.625" style="1" bestFit="1" customWidth="1"/>
    <col min="13581" max="13583" width="10.375" style="1"/>
    <col min="13584" max="13584" width="12.875" style="1" customWidth="1"/>
    <col min="13585" max="13585" width="10.375" style="1"/>
    <col min="13586" max="13586" width="13" style="1" customWidth="1"/>
    <col min="13587" max="13825" width="10.375" style="1"/>
    <col min="13826" max="13826" width="33.25" style="1" customWidth="1"/>
    <col min="13827" max="13831" width="10.375" style="1"/>
    <col min="13832" max="13832" width="13.625" style="1" customWidth="1"/>
    <col min="13833" max="13833" width="10.375" style="1"/>
    <col min="13834" max="13834" width="14.375" style="1" customWidth="1"/>
    <col min="13835" max="13835" width="10.375" style="1"/>
    <col min="13836" max="13836" width="11.625" style="1" bestFit="1" customWidth="1"/>
    <col min="13837" max="13839" width="10.375" style="1"/>
    <col min="13840" max="13840" width="12.875" style="1" customWidth="1"/>
    <col min="13841" max="13841" width="10.375" style="1"/>
    <col min="13842" max="13842" width="13" style="1" customWidth="1"/>
    <col min="13843" max="14081" width="10.375" style="1"/>
    <col min="14082" max="14082" width="33.25" style="1" customWidth="1"/>
    <col min="14083" max="14087" width="10.375" style="1"/>
    <col min="14088" max="14088" width="13.625" style="1" customWidth="1"/>
    <col min="14089" max="14089" width="10.375" style="1"/>
    <col min="14090" max="14090" width="14.375" style="1" customWidth="1"/>
    <col min="14091" max="14091" width="10.375" style="1"/>
    <col min="14092" max="14092" width="11.625" style="1" bestFit="1" customWidth="1"/>
    <col min="14093" max="14095" width="10.375" style="1"/>
    <col min="14096" max="14096" width="12.875" style="1" customWidth="1"/>
    <col min="14097" max="14097" width="10.375" style="1"/>
    <col min="14098" max="14098" width="13" style="1" customWidth="1"/>
    <col min="14099" max="14337" width="10.375" style="1"/>
    <col min="14338" max="14338" width="33.25" style="1" customWidth="1"/>
    <col min="14339" max="14343" width="10.375" style="1"/>
    <col min="14344" max="14344" width="13.625" style="1" customWidth="1"/>
    <col min="14345" max="14345" width="10.375" style="1"/>
    <col min="14346" max="14346" width="14.375" style="1" customWidth="1"/>
    <col min="14347" max="14347" width="10.375" style="1"/>
    <col min="14348" max="14348" width="11.625" style="1" bestFit="1" customWidth="1"/>
    <col min="14349" max="14351" width="10.375" style="1"/>
    <col min="14352" max="14352" width="12.875" style="1" customWidth="1"/>
    <col min="14353" max="14353" width="10.375" style="1"/>
    <col min="14354" max="14354" width="13" style="1" customWidth="1"/>
    <col min="14355" max="14593" width="10.375" style="1"/>
    <col min="14594" max="14594" width="33.25" style="1" customWidth="1"/>
    <col min="14595" max="14599" width="10.375" style="1"/>
    <col min="14600" max="14600" width="13.625" style="1" customWidth="1"/>
    <col min="14601" max="14601" width="10.375" style="1"/>
    <col min="14602" max="14602" width="14.375" style="1" customWidth="1"/>
    <col min="14603" max="14603" width="10.375" style="1"/>
    <col min="14604" max="14604" width="11.625" style="1" bestFit="1" customWidth="1"/>
    <col min="14605" max="14607" width="10.375" style="1"/>
    <col min="14608" max="14608" width="12.875" style="1" customWidth="1"/>
    <col min="14609" max="14609" width="10.375" style="1"/>
    <col min="14610" max="14610" width="13" style="1" customWidth="1"/>
    <col min="14611" max="14849" width="10.375" style="1"/>
    <col min="14850" max="14850" width="33.25" style="1" customWidth="1"/>
    <col min="14851" max="14855" width="10.375" style="1"/>
    <col min="14856" max="14856" width="13.625" style="1" customWidth="1"/>
    <col min="14857" max="14857" width="10.375" style="1"/>
    <col min="14858" max="14858" width="14.375" style="1" customWidth="1"/>
    <col min="14859" max="14859" width="10.375" style="1"/>
    <col min="14860" max="14860" width="11.625" style="1" bestFit="1" customWidth="1"/>
    <col min="14861" max="14863" width="10.375" style="1"/>
    <col min="14864" max="14864" width="12.875" style="1" customWidth="1"/>
    <col min="14865" max="14865" width="10.375" style="1"/>
    <col min="14866" max="14866" width="13" style="1" customWidth="1"/>
    <col min="14867" max="15105" width="10.375" style="1"/>
    <col min="15106" max="15106" width="33.25" style="1" customWidth="1"/>
    <col min="15107" max="15111" width="10.375" style="1"/>
    <col min="15112" max="15112" width="13.625" style="1" customWidth="1"/>
    <col min="15113" max="15113" width="10.375" style="1"/>
    <col min="15114" max="15114" width="14.375" style="1" customWidth="1"/>
    <col min="15115" max="15115" width="10.375" style="1"/>
    <col min="15116" max="15116" width="11.625" style="1" bestFit="1" customWidth="1"/>
    <col min="15117" max="15119" width="10.375" style="1"/>
    <col min="15120" max="15120" width="12.875" style="1" customWidth="1"/>
    <col min="15121" max="15121" width="10.375" style="1"/>
    <col min="15122" max="15122" width="13" style="1" customWidth="1"/>
    <col min="15123" max="15361" width="10.375" style="1"/>
    <col min="15362" max="15362" width="33.25" style="1" customWidth="1"/>
    <col min="15363" max="15367" width="10.375" style="1"/>
    <col min="15368" max="15368" width="13.625" style="1" customWidth="1"/>
    <col min="15369" max="15369" width="10.375" style="1"/>
    <col min="15370" max="15370" width="14.375" style="1" customWidth="1"/>
    <col min="15371" max="15371" width="10.375" style="1"/>
    <col min="15372" max="15372" width="11.625" style="1" bestFit="1" customWidth="1"/>
    <col min="15373" max="15375" width="10.375" style="1"/>
    <col min="15376" max="15376" width="12.875" style="1" customWidth="1"/>
    <col min="15377" max="15377" width="10.375" style="1"/>
    <col min="15378" max="15378" width="13" style="1" customWidth="1"/>
    <col min="15379" max="15617" width="10.375" style="1"/>
    <col min="15618" max="15618" width="33.25" style="1" customWidth="1"/>
    <col min="15619" max="15623" width="10.375" style="1"/>
    <col min="15624" max="15624" width="13.625" style="1" customWidth="1"/>
    <col min="15625" max="15625" width="10.375" style="1"/>
    <col min="15626" max="15626" width="14.375" style="1" customWidth="1"/>
    <col min="15627" max="15627" width="10.375" style="1"/>
    <col min="15628" max="15628" width="11.625" style="1" bestFit="1" customWidth="1"/>
    <col min="15629" max="15631" width="10.375" style="1"/>
    <col min="15632" max="15632" width="12.875" style="1" customWidth="1"/>
    <col min="15633" max="15633" width="10.375" style="1"/>
    <col min="15634" max="15634" width="13" style="1" customWidth="1"/>
    <col min="15635" max="15873" width="10.375" style="1"/>
    <col min="15874" max="15874" width="33.25" style="1" customWidth="1"/>
    <col min="15875" max="15879" width="10.375" style="1"/>
    <col min="15880" max="15880" width="13.625" style="1" customWidth="1"/>
    <col min="15881" max="15881" width="10.375" style="1"/>
    <col min="15882" max="15882" width="14.375" style="1" customWidth="1"/>
    <col min="15883" max="15883" width="10.375" style="1"/>
    <col min="15884" max="15884" width="11.625" style="1" bestFit="1" customWidth="1"/>
    <col min="15885" max="15887" width="10.375" style="1"/>
    <col min="15888" max="15888" width="12.875" style="1" customWidth="1"/>
    <col min="15889" max="15889" width="10.375" style="1"/>
    <col min="15890" max="15890" width="13" style="1" customWidth="1"/>
    <col min="15891" max="16129" width="10.375" style="1"/>
    <col min="16130" max="16130" width="33.25" style="1" customWidth="1"/>
    <col min="16131" max="16135" width="10.375" style="1"/>
    <col min="16136" max="16136" width="13.625" style="1" customWidth="1"/>
    <col min="16137" max="16137" width="10.375" style="1"/>
    <col min="16138" max="16138" width="14.375" style="1" customWidth="1"/>
    <col min="16139" max="16139" width="10.375" style="1"/>
    <col min="16140" max="16140" width="11.625" style="1" bestFit="1" customWidth="1"/>
    <col min="16141" max="16143" width="10.375" style="1"/>
    <col min="16144" max="16144" width="12.875" style="1" customWidth="1"/>
    <col min="16145" max="16145" width="10.375" style="1"/>
    <col min="16146" max="16146" width="13" style="1" customWidth="1"/>
    <col min="16147" max="16384" width="10.375" style="1"/>
  </cols>
  <sheetData>
    <row r="1" spans="1:18" ht="18.600000000000001">
      <c r="A1" s="175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</row>
    <row r="2" spans="1:18" ht="18.600000000000001">
      <c r="A2" s="176" t="s">
        <v>1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</row>
    <row r="3" spans="1:18" ht="18.600000000000001">
      <c r="A3" s="177" t="s">
        <v>2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</row>
    <row r="4" spans="1:18" ht="18.600000000000001">
      <c r="A4" s="178" t="s">
        <v>3</v>
      </c>
      <c r="B4" s="173" t="s">
        <v>4</v>
      </c>
      <c r="C4" s="173" t="s">
        <v>5</v>
      </c>
      <c r="D4" s="211" t="s">
        <v>6</v>
      </c>
      <c r="E4" s="182" t="s">
        <v>7</v>
      </c>
      <c r="F4" s="183"/>
      <c r="G4" s="183"/>
      <c r="H4" s="183"/>
      <c r="I4" s="183"/>
      <c r="J4" s="184"/>
      <c r="K4" s="214" t="s">
        <v>8</v>
      </c>
      <c r="L4" s="215"/>
      <c r="M4" s="216"/>
      <c r="N4" s="182" t="s">
        <v>9</v>
      </c>
      <c r="O4" s="183"/>
      <c r="P4" s="183"/>
      <c r="Q4" s="183"/>
      <c r="R4" s="184"/>
    </row>
    <row r="5" spans="1:18" ht="18.600000000000001">
      <c r="A5" s="179"/>
      <c r="B5" s="181"/>
      <c r="C5" s="181"/>
      <c r="D5" s="212"/>
      <c r="E5" s="178" t="s">
        <v>10</v>
      </c>
      <c r="F5" s="187" t="s">
        <v>11</v>
      </c>
      <c r="G5" s="187" t="s">
        <v>12</v>
      </c>
      <c r="H5" s="182" t="s">
        <v>13</v>
      </c>
      <c r="I5" s="183"/>
      <c r="J5" s="184"/>
      <c r="K5" s="207" t="s">
        <v>14</v>
      </c>
      <c r="L5" s="209" t="s">
        <v>15</v>
      </c>
      <c r="M5" s="205" t="s">
        <v>16</v>
      </c>
      <c r="N5" s="185" t="s">
        <v>10</v>
      </c>
      <c r="O5" s="187" t="s">
        <v>12</v>
      </c>
      <c r="P5" s="182" t="s">
        <v>13</v>
      </c>
      <c r="Q5" s="183"/>
      <c r="R5" s="184"/>
    </row>
    <row r="6" spans="1:18" ht="16.8">
      <c r="A6" s="180"/>
      <c r="B6" s="174"/>
      <c r="C6" s="174"/>
      <c r="D6" s="213"/>
      <c r="E6" s="180"/>
      <c r="F6" s="188"/>
      <c r="G6" s="188"/>
      <c r="H6" s="5" t="s">
        <v>17</v>
      </c>
      <c r="I6" s="6" t="s">
        <v>18</v>
      </c>
      <c r="J6" s="7" t="s">
        <v>19</v>
      </c>
      <c r="K6" s="208"/>
      <c r="L6" s="210"/>
      <c r="M6" s="206"/>
      <c r="N6" s="186"/>
      <c r="O6" s="188"/>
      <c r="P6" s="5" t="s">
        <v>17</v>
      </c>
      <c r="Q6" s="6" t="s">
        <v>18</v>
      </c>
      <c r="R6" s="7" t="s">
        <v>19</v>
      </c>
    </row>
    <row r="7" spans="1:18" ht="18.600000000000001">
      <c r="A7" s="8"/>
      <c r="B7" s="9" t="s">
        <v>20</v>
      </c>
      <c r="C7" s="10"/>
      <c r="D7" s="11"/>
      <c r="E7" s="12"/>
      <c r="F7" s="12"/>
      <c r="G7" s="13"/>
      <c r="H7" s="14"/>
      <c r="I7" s="15"/>
      <c r="J7" s="11"/>
      <c r="K7" s="16"/>
      <c r="L7" s="17"/>
      <c r="M7" s="18"/>
      <c r="N7" s="19"/>
      <c r="O7" s="13"/>
      <c r="P7" s="13"/>
      <c r="Q7" s="13"/>
      <c r="R7" s="20"/>
    </row>
    <row r="8" spans="1:18" ht="18.600000000000001">
      <c r="A8" s="8">
        <v>1</v>
      </c>
      <c r="B8" s="21"/>
      <c r="C8" s="22"/>
      <c r="D8" s="23">
        <v>0</v>
      </c>
      <c r="E8" s="24"/>
      <c r="F8" s="24"/>
      <c r="G8" s="25"/>
      <c r="H8" s="26">
        <v>0</v>
      </c>
      <c r="I8" s="27">
        <f>H8*0.07</f>
        <v>0</v>
      </c>
      <c r="J8" s="23">
        <v>0</v>
      </c>
      <c r="K8" s="28"/>
      <c r="L8" s="29"/>
      <c r="M8" s="30">
        <v>0</v>
      </c>
      <c r="N8" s="31"/>
      <c r="O8" s="25"/>
      <c r="P8" s="27">
        <f>ROUND(R8*100/107,2)</f>
        <v>0</v>
      </c>
      <c r="Q8" s="27">
        <f>P8*0.07</f>
        <v>0</v>
      </c>
      <c r="R8" s="32">
        <f>D8+J8-M8</f>
        <v>0</v>
      </c>
    </row>
    <row r="9" spans="1:18" ht="18.600000000000001">
      <c r="A9" s="8">
        <f>+A8+1</f>
        <v>2</v>
      </c>
      <c r="B9" s="33" t="s">
        <v>21</v>
      </c>
      <c r="C9" s="22"/>
      <c r="D9" s="23">
        <v>0</v>
      </c>
      <c r="E9" s="24"/>
      <c r="F9" s="24"/>
      <c r="G9" s="25"/>
      <c r="H9" s="34">
        <v>0</v>
      </c>
      <c r="I9" s="35">
        <f>H9*0.07</f>
        <v>0</v>
      </c>
      <c r="J9" s="36">
        <v>0</v>
      </c>
      <c r="K9" s="28"/>
      <c r="L9" s="29"/>
      <c r="M9" s="30">
        <v>0</v>
      </c>
      <c r="N9" s="31"/>
      <c r="O9" s="25"/>
      <c r="P9" s="27">
        <f>ROUND(R9*100/107,2)</f>
        <v>0</v>
      </c>
      <c r="Q9" s="27">
        <f>P9*0.07</f>
        <v>0</v>
      </c>
      <c r="R9" s="32">
        <f>D9+J9-M9</f>
        <v>0</v>
      </c>
    </row>
    <row r="10" spans="1:18" ht="18.600000000000001">
      <c r="A10" s="8">
        <f>+A9+1</f>
        <v>3</v>
      </c>
      <c r="B10" s="37"/>
      <c r="C10" s="22"/>
      <c r="D10" s="23">
        <v>0</v>
      </c>
      <c r="E10" s="24"/>
      <c r="F10" s="38"/>
      <c r="G10" s="39"/>
      <c r="H10" s="40">
        <f>J10*100/107</f>
        <v>0</v>
      </c>
      <c r="I10" s="40">
        <f>H10*0.07</f>
        <v>0</v>
      </c>
      <c r="J10" s="41">
        <v>0</v>
      </c>
      <c r="K10" s="28"/>
      <c r="L10" s="29"/>
      <c r="M10" s="30">
        <v>0</v>
      </c>
      <c r="N10" s="31"/>
      <c r="O10" s="25"/>
      <c r="P10" s="27">
        <f>ROUND(R10*100/107,2)</f>
        <v>0</v>
      </c>
      <c r="Q10" s="27">
        <f>P10*0.07</f>
        <v>0</v>
      </c>
      <c r="R10" s="32">
        <f>D10+J10-M10</f>
        <v>0</v>
      </c>
    </row>
    <row r="11" spans="1:18" ht="19.2" thickBot="1">
      <c r="A11" s="42"/>
      <c r="B11" s="191" t="s">
        <v>19</v>
      </c>
      <c r="C11" s="192"/>
      <c r="D11" s="43">
        <f>SUM(D8:D10)</f>
        <v>0</v>
      </c>
      <c r="E11" s="43"/>
      <c r="F11" s="43"/>
      <c r="G11" s="44"/>
      <c r="H11" s="44">
        <f>SUM(H8:H10)</f>
        <v>0</v>
      </c>
      <c r="I11" s="44">
        <f>SUM(I8:I10)</f>
        <v>0</v>
      </c>
      <c r="J11" s="44">
        <f>SUM(J8:J10)</f>
        <v>0</v>
      </c>
      <c r="K11" s="45"/>
      <c r="L11" s="46"/>
      <c r="M11" s="47">
        <f>SUM(M8:M10)</f>
        <v>0</v>
      </c>
      <c r="N11" s="48"/>
      <c r="O11" s="43"/>
      <c r="P11" s="49">
        <f>ROUND(R11*100/107,2)</f>
        <v>0</v>
      </c>
      <c r="Q11" s="49">
        <f>P11*0.07</f>
        <v>0</v>
      </c>
      <c r="R11" s="50">
        <f>SUM(R8:R10)</f>
        <v>0</v>
      </c>
    </row>
    <row r="12" spans="1:18" ht="19.2" thickTop="1">
      <c r="A12" s="8"/>
      <c r="B12" s="51" t="s">
        <v>22</v>
      </c>
      <c r="C12" s="52"/>
      <c r="D12" s="11"/>
      <c r="E12" s="12"/>
      <c r="F12" s="12"/>
      <c r="G12" s="53"/>
      <c r="H12" s="14"/>
      <c r="I12" s="15"/>
      <c r="J12" s="11"/>
      <c r="K12" s="16"/>
      <c r="L12" s="17"/>
      <c r="M12" s="18"/>
      <c r="N12" s="19"/>
      <c r="O12" s="13"/>
      <c r="P12" s="13"/>
      <c r="Q12" s="13"/>
      <c r="R12" s="20"/>
    </row>
    <row r="13" spans="1:18" ht="34.5" customHeight="1">
      <c r="A13" s="8">
        <v>1</v>
      </c>
      <c r="B13" s="203"/>
      <c r="C13" s="204"/>
      <c r="D13" s="23">
        <v>0</v>
      </c>
      <c r="E13" s="54"/>
      <c r="F13" s="54"/>
      <c r="G13" s="25"/>
      <c r="H13" s="26">
        <v>0</v>
      </c>
      <c r="I13" s="27">
        <f>H13*0.07</f>
        <v>0</v>
      </c>
      <c r="J13" s="23">
        <f>SUM(H13:I13)</f>
        <v>0</v>
      </c>
      <c r="K13" s="55">
        <v>0</v>
      </c>
      <c r="L13" s="56"/>
      <c r="M13" s="55">
        <v>0</v>
      </c>
      <c r="N13" s="31"/>
      <c r="O13" s="25"/>
      <c r="P13" s="27">
        <f>ROUND(R13*100/107,2)</f>
        <v>0</v>
      </c>
      <c r="Q13" s="27">
        <f>P13*0.07</f>
        <v>0</v>
      </c>
      <c r="R13" s="32">
        <f>D13+J13-M13</f>
        <v>0</v>
      </c>
    </row>
    <row r="14" spans="1:18" ht="29.25" customHeight="1">
      <c r="A14" s="8">
        <v>2</v>
      </c>
      <c r="B14" s="197" t="s">
        <v>21</v>
      </c>
      <c r="C14" s="198"/>
      <c r="D14" s="23">
        <v>0</v>
      </c>
      <c r="E14" s="31"/>
      <c r="F14" s="31"/>
      <c r="G14" s="25"/>
      <c r="H14" s="34">
        <v>0</v>
      </c>
      <c r="I14" s="27">
        <f>H14*0.07</f>
        <v>0</v>
      </c>
      <c r="J14" s="23">
        <f>SUM(H14:I14)</f>
        <v>0</v>
      </c>
      <c r="K14" s="58">
        <v>0</v>
      </c>
      <c r="L14" s="56"/>
      <c r="M14" s="55">
        <v>0</v>
      </c>
      <c r="N14" s="31"/>
      <c r="O14" s="25"/>
      <c r="P14" s="27">
        <f>ROUND(R14*100/107,2)</f>
        <v>0</v>
      </c>
      <c r="Q14" s="27">
        <f>P14*0.07</f>
        <v>0</v>
      </c>
      <c r="R14" s="32">
        <f>D14+J14-M14</f>
        <v>0</v>
      </c>
    </row>
    <row r="15" spans="1:18" ht="28.5" customHeight="1">
      <c r="A15" s="8">
        <f>+A14+1</f>
        <v>3</v>
      </c>
      <c r="B15" s="195"/>
      <c r="C15" s="196"/>
      <c r="D15" s="23">
        <v>0</v>
      </c>
      <c r="E15" s="24"/>
      <c r="F15" s="24"/>
      <c r="G15" s="25"/>
      <c r="H15" s="34">
        <v>0</v>
      </c>
      <c r="I15" s="27">
        <f>H15*0.07</f>
        <v>0</v>
      </c>
      <c r="J15" s="23">
        <f>SUM(H15:I15)</f>
        <v>0</v>
      </c>
      <c r="K15" s="55">
        <v>0</v>
      </c>
      <c r="L15" s="60"/>
      <c r="M15" s="55">
        <v>0</v>
      </c>
      <c r="N15" s="31"/>
      <c r="O15" s="25"/>
      <c r="P15" s="27">
        <f>ROUND(R15*100/107,2)</f>
        <v>0</v>
      </c>
      <c r="Q15" s="27">
        <f>P15*0.07</f>
        <v>0</v>
      </c>
      <c r="R15" s="32">
        <f>D15+J15-M15</f>
        <v>0</v>
      </c>
    </row>
    <row r="16" spans="1:18" ht="19.2" thickBot="1">
      <c r="A16" s="42"/>
      <c r="B16" s="191" t="s">
        <v>19</v>
      </c>
      <c r="C16" s="192"/>
      <c r="D16" s="43">
        <f>SUM(D13:D15)</f>
        <v>0</v>
      </c>
      <c r="E16" s="43"/>
      <c r="F16" s="43"/>
      <c r="G16" s="43"/>
      <c r="H16" s="43">
        <f>SUM(H13:H15)</f>
        <v>0</v>
      </c>
      <c r="I16" s="43">
        <f>SUM(I13:I15)</f>
        <v>0</v>
      </c>
      <c r="J16" s="43">
        <f>SUM(J13:J15)</f>
        <v>0</v>
      </c>
      <c r="K16" s="45"/>
      <c r="L16" s="46"/>
      <c r="M16" s="47">
        <f>SUM(M13:M15)</f>
        <v>0</v>
      </c>
      <c r="N16" s="48"/>
      <c r="O16" s="43"/>
      <c r="P16" s="49">
        <f>ROUND(R16*100/107,2)</f>
        <v>0</v>
      </c>
      <c r="Q16" s="49">
        <f>P16*0.07</f>
        <v>0</v>
      </c>
      <c r="R16" s="50">
        <f>SUM(R13:R15)</f>
        <v>0</v>
      </c>
    </row>
    <row r="17" spans="1:18" ht="19.2" thickTop="1">
      <c r="A17" s="8"/>
      <c r="B17" s="51" t="s">
        <v>23</v>
      </c>
      <c r="C17" s="52"/>
      <c r="D17" s="11"/>
      <c r="E17" s="12"/>
      <c r="F17" s="12"/>
      <c r="G17" s="13"/>
      <c r="H17" s="61"/>
      <c r="I17" s="35"/>
      <c r="J17" s="11"/>
      <c r="K17" s="16"/>
      <c r="L17" s="17"/>
      <c r="M17" s="18"/>
      <c r="N17" s="19"/>
      <c r="O17" s="13"/>
      <c r="P17" s="13"/>
      <c r="Q17" s="13"/>
      <c r="R17" s="20"/>
    </row>
    <row r="18" spans="1:18" ht="18.600000000000001">
      <c r="A18" s="8">
        <v>1</v>
      </c>
      <c r="B18" s="62"/>
      <c r="C18" s="63"/>
      <c r="D18" s="23">
        <v>0</v>
      </c>
      <c r="E18" s="24"/>
      <c r="F18" s="24"/>
      <c r="G18" s="25"/>
      <c r="H18" s="26">
        <v>0</v>
      </c>
      <c r="I18" s="27">
        <f>H18*0.07</f>
        <v>0</v>
      </c>
      <c r="J18" s="23">
        <v>0</v>
      </c>
      <c r="K18" s="28"/>
      <c r="L18" s="29"/>
      <c r="M18" s="30">
        <v>0</v>
      </c>
      <c r="N18" s="31"/>
      <c r="O18" s="25"/>
      <c r="P18" s="27">
        <f>ROUND(R18*100/107,2)</f>
        <v>0</v>
      </c>
      <c r="Q18" s="27">
        <f>P18*0.07</f>
        <v>0</v>
      </c>
      <c r="R18" s="32">
        <f>D18+J18-M18</f>
        <v>0</v>
      </c>
    </row>
    <row r="19" spans="1:18" ht="18.600000000000001">
      <c r="A19" s="8">
        <f>+A18+1</f>
        <v>2</v>
      </c>
      <c r="B19" s="64" t="s">
        <v>21</v>
      </c>
      <c r="C19" s="63"/>
      <c r="D19" s="23">
        <v>0</v>
      </c>
      <c r="E19" s="24"/>
      <c r="F19" s="24"/>
      <c r="G19" s="25"/>
      <c r="H19" s="34">
        <v>0</v>
      </c>
      <c r="I19" s="35">
        <f>H19*0.07</f>
        <v>0</v>
      </c>
      <c r="J19" s="36">
        <v>0</v>
      </c>
      <c r="K19" s="28"/>
      <c r="L19" s="29"/>
      <c r="M19" s="30">
        <v>0</v>
      </c>
      <c r="N19" s="31"/>
      <c r="O19" s="25"/>
      <c r="P19" s="27">
        <f>ROUND(R19*100/107,2)</f>
        <v>0</v>
      </c>
      <c r="Q19" s="27">
        <f>P19*0.07</f>
        <v>0</v>
      </c>
      <c r="R19" s="32">
        <f>D19+J19-M19</f>
        <v>0</v>
      </c>
    </row>
    <row r="20" spans="1:18" ht="18.600000000000001">
      <c r="A20" s="8">
        <f>+A19+1</f>
        <v>3</v>
      </c>
      <c r="B20" s="65"/>
      <c r="C20" s="63"/>
      <c r="D20" s="23">
        <v>0</v>
      </c>
      <c r="E20" s="24"/>
      <c r="F20" s="38"/>
      <c r="G20" s="39"/>
      <c r="H20" s="40">
        <f>J20*100/107</f>
        <v>0</v>
      </c>
      <c r="I20" s="40">
        <f>H20*0.07</f>
        <v>0</v>
      </c>
      <c r="J20" s="41">
        <v>0</v>
      </c>
      <c r="K20" s="28"/>
      <c r="L20" s="29"/>
      <c r="M20" s="30">
        <v>0</v>
      </c>
      <c r="N20" s="31"/>
      <c r="O20" s="25"/>
      <c r="P20" s="27">
        <f>ROUND(R20*100/107,2)</f>
        <v>0</v>
      </c>
      <c r="Q20" s="27">
        <f>P20*0.07</f>
        <v>0</v>
      </c>
      <c r="R20" s="32">
        <f>D20+J20-M20</f>
        <v>0</v>
      </c>
    </row>
    <row r="21" spans="1:18" ht="19.2" thickBot="1">
      <c r="A21" s="42"/>
      <c r="B21" s="191" t="s">
        <v>19</v>
      </c>
      <c r="C21" s="192"/>
      <c r="D21" s="43">
        <f>SUM(D18:D20)</f>
        <v>0</v>
      </c>
      <c r="E21" s="43"/>
      <c r="F21" s="43"/>
      <c r="G21" s="44"/>
      <c r="H21" s="44">
        <f>SUM(H18:H20)</f>
        <v>0</v>
      </c>
      <c r="I21" s="44">
        <f>SUM(I18:I20)</f>
        <v>0</v>
      </c>
      <c r="J21" s="44">
        <f>SUM(J18:J20)</f>
        <v>0</v>
      </c>
      <c r="K21" s="45"/>
      <c r="L21" s="46"/>
      <c r="M21" s="47">
        <f>SUM(M18:M20)</f>
        <v>0</v>
      </c>
      <c r="N21" s="48"/>
      <c r="O21" s="43"/>
      <c r="P21" s="49">
        <f>ROUND(R21*100/107,2)</f>
        <v>0</v>
      </c>
      <c r="Q21" s="49">
        <f>P21*0.07</f>
        <v>0</v>
      </c>
      <c r="R21" s="50">
        <f>SUM(R18:R20)</f>
        <v>0</v>
      </c>
    </row>
    <row r="22" spans="1:18" ht="19.2" thickTop="1">
      <c r="A22" s="8"/>
      <c r="B22" s="51" t="s">
        <v>24</v>
      </c>
      <c r="C22" s="52"/>
      <c r="D22" s="11"/>
      <c r="E22" s="12"/>
      <c r="F22" s="12"/>
      <c r="G22" s="53"/>
      <c r="H22" s="14"/>
      <c r="I22" s="15"/>
      <c r="J22" s="11"/>
      <c r="K22" s="16"/>
      <c r="L22" s="17"/>
      <c r="M22" s="18"/>
      <c r="N22" s="19"/>
      <c r="O22" s="13"/>
      <c r="P22" s="13"/>
      <c r="Q22" s="13"/>
      <c r="R22" s="20"/>
    </row>
    <row r="23" spans="1:18" ht="18.600000000000001">
      <c r="A23" s="8">
        <v>1</v>
      </c>
      <c r="B23" s="62"/>
      <c r="C23" s="63"/>
      <c r="D23" s="23"/>
      <c r="E23" s="24"/>
      <c r="F23" s="24"/>
      <c r="G23" s="25"/>
      <c r="H23" s="26">
        <v>0</v>
      </c>
      <c r="I23" s="27">
        <f>H23*0.07</f>
        <v>0</v>
      </c>
      <c r="J23" s="23">
        <v>0</v>
      </c>
      <c r="K23" s="28"/>
      <c r="L23" s="29"/>
      <c r="M23" s="30">
        <v>0</v>
      </c>
      <c r="N23" s="31"/>
      <c r="O23" s="25"/>
      <c r="P23" s="27">
        <f>ROUND(R23*100/107,2)</f>
        <v>0</v>
      </c>
      <c r="Q23" s="27">
        <f>P23*0.07</f>
        <v>0</v>
      </c>
      <c r="R23" s="32">
        <f>D23+J23-M23</f>
        <v>0</v>
      </c>
    </row>
    <row r="24" spans="1:18" ht="18.600000000000001">
      <c r="A24" s="8">
        <f>+A23+1</f>
        <v>2</v>
      </c>
      <c r="B24" s="64" t="s">
        <v>21</v>
      </c>
      <c r="C24" s="63"/>
      <c r="D24" s="23"/>
      <c r="E24" s="24"/>
      <c r="F24" s="24"/>
      <c r="G24" s="25"/>
      <c r="H24" s="26">
        <v>0</v>
      </c>
      <c r="I24" s="27">
        <f>H24*0.07</f>
        <v>0</v>
      </c>
      <c r="J24" s="23">
        <v>0</v>
      </c>
      <c r="K24" s="28"/>
      <c r="L24" s="29"/>
      <c r="M24" s="55">
        <v>0</v>
      </c>
      <c r="N24" s="31"/>
      <c r="O24" s="25"/>
      <c r="P24" s="27">
        <f>ROUND(R24*100/107,2)</f>
        <v>0</v>
      </c>
      <c r="Q24" s="27">
        <f>P24*0.07</f>
        <v>0</v>
      </c>
      <c r="R24" s="32">
        <f>D24+J24-M24</f>
        <v>0</v>
      </c>
    </row>
    <row r="25" spans="1:18" ht="18.600000000000001">
      <c r="A25" s="8">
        <f>+A24+1</f>
        <v>3</v>
      </c>
      <c r="B25" s="65"/>
      <c r="C25" s="63"/>
      <c r="D25" s="23"/>
      <c r="E25" s="24"/>
      <c r="F25" s="38"/>
      <c r="G25" s="39"/>
      <c r="H25" s="40">
        <v>0</v>
      </c>
      <c r="I25" s="40">
        <f>H25*0.07</f>
        <v>0</v>
      </c>
      <c r="J25" s="66">
        <v>0</v>
      </c>
      <c r="K25" s="28"/>
      <c r="L25" s="29"/>
      <c r="M25" s="55">
        <v>0</v>
      </c>
      <c r="N25" s="31"/>
      <c r="O25" s="25"/>
      <c r="P25" s="27">
        <f>ROUND(R25*100/107,2)</f>
        <v>0</v>
      </c>
      <c r="Q25" s="27">
        <f>P25*0.07</f>
        <v>0</v>
      </c>
      <c r="R25" s="32">
        <f>D25+J25-M25</f>
        <v>0</v>
      </c>
    </row>
    <row r="26" spans="1:18" ht="19.2" thickBot="1">
      <c r="A26" s="42"/>
      <c r="B26" s="191" t="s">
        <v>19</v>
      </c>
      <c r="C26" s="192"/>
      <c r="D26" s="43">
        <f>SUM(D23:D25)</f>
        <v>0</v>
      </c>
      <c r="E26" s="43"/>
      <c r="F26" s="43"/>
      <c r="G26" s="44"/>
      <c r="H26" s="44">
        <f>SUM(H23:H25)</f>
        <v>0</v>
      </c>
      <c r="I26" s="44">
        <f>SUM(I23:I25)</f>
        <v>0</v>
      </c>
      <c r="J26" s="44">
        <f>SUM(J23:J25)</f>
        <v>0</v>
      </c>
      <c r="K26" s="45"/>
      <c r="L26" s="46"/>
      <c r="M26" s="47">
        <f>SUM(M23:M25)</f>
        <v>0</v>
      </c>
      <c r="N26" s="48"/>
      <c r="O26" s="43"/>
      <c r="P26" s="49">
        <f>ROUND(R26*100/107,2)</f>
        <v>0</v>
      </c>
      <c r="Q26" s="49">
        <f>P26*0.07</f>
        <v>0</v>
      </c>
      <c r="R26" s="50">
        <f>SUM(R23:R25)</f>
        <v>0</v>
      </c>
    </row>
    <row r="27" spans="1:18" ht="19.2" thickTop="1">
      <c r="A27" s="8"/>
      <c r="B27" s="67"/>
      <c r="C27" s="68"/>
      <c r="D27" s="69"/>
      <c r="E27" s="70"/>
      <c r="F27" s="70"/>
      <c r="G27" s="71"/>
      <c r="H27" s="72"/>
      <c r="I27" s="73"/>
      <c r="J27" s="69"/>
      <c r="K27" s="74"/>
      <c r="L27" s="75"/>
      <c r="M27" s="76"/>
      <c r="N27" s="77"/>
      <c r="O27" s="78"/>
      <c r="P27" s="78"/>
      <c r="Q27" s="78"/>
      <c r="R27" s="79"/>
    </row>
    <row r="28" spans="1:18" ht="18.600000000000001">
      <c r="A28" s="8"/>
      <c r="B28" s="80" t="s">
        <v>25</v>
      </c>
      <c r="C28" s="68"/>
      <c r="D28" s="23"/>
      <c r="E28" s="24"/>
      <c r="F28" s="24"/>
      <c r="G28" s="25"/>
      <c r="H28" s="81"/>
      <c r="I28" s="27"/>
      <c r="J28" s="23"/>
      <c r="K28" s="28"/>
      <c r="L28" s="29"/>
      <c r="M28" s="55"/>
      <c r="N28" s="31"/>
      <c r="O28" s="25"/>
      <c r="P28" s="25"/>
      <c r="Q28" s="25"/>
      <c r="R28" s="32"/>
    </row>
    <row r="29" spans="1:18" ht="18.600000000000001">
      <c r="A29" s="8">
        <f>+A28+1</f>
        <v>1</v>
      </c>
      <c r="B29" s="195"/>
      <c r="C29" s="196"/>
      <c r="D29" s="23">
        <v>0</v>
      </c>
      <c r="E29" s="24"/>
      <c r="F29" s="24"/>
      <c r="G29" s="25"/>
      <c r="H29" s="34">
        <v>0</v>
      </c>
      <c r="I29" s="27">
        <f>H29*0.07</f>
        <v>0</v>
      </c>
      <c r="J29" s="36">
        <v>0</v>
      </c>
      <c r="K29" s="82"/>
      <c r="L29" s="83"/>
      <c r="M29" s="30">
        <v>0</v>
      </c>
      <c r="N29" s="31"/>
      <c r="O29" s="25"/>
      <c r="P29" s="27">
        <f>ROUND(R29*100/107,2)</f>
        <v>0</v>
      </c>
      <c r="Q29" s="27">
        <f>P29*0.07</f>
        <v>0</v>
      </c>
      <c r="R29" s="32">
        <f>D29+J29-M29</f>
        <v>0</v>
      </c>
    </row>
    <row r="30" spans="1:18" ht="18.600000000000001">
      <c r="A30" s="8">
        <v>2</v>
      </c>
      <c r="B30" s="57" t="s">
        <v>21</v>
      </c>
      <c r="C30" s="59"/>
      <c r="D30" s="23">
        <v>0</v>
      </c>
      <c r="E30" s="24"/>
      <c r="F30" s="38"/>
      <c r="G30" s="84"/>
      <c r="H30" s="34">
        <v>0</v>
      </c>
      <c r="I30" s="85">
        <v>0</v>
      </c>
      <c r="J30" s="86">
        <v>0</v>
      </c>
      <c r="K30" s="82"/>
      <c r="L30" s="83"/>
      <c r="M30" s="30"/>
      <c r="N30" s="31"/>
      <c r="O30" s="25"/>
      <c r="P30" s="27">
        <f>ROUND(R30*100/107,2)</f>
        <v>0</v>
      </c>
      <c r="Q30" s="27">
        <f>P30*0.07</f>
        <v>0</v>
      </c>
      <c r="R30" s="32">
        <f>D30+J30-M30</f>
        <v>0</v>
      </c>
    </row>
    <row r="31" spans="1:18" ht="18.600000000000001">
      <c r="A31" s="8">
        <v>3</v>
      </c>
      <c r="B31" s="195"/>
      <c r="C31" s="196"/>
      <c r="D31" s="23">
        <v>0</v>
      </c>
      <c r="E31" s="24"/>
      <c r="F31" s="38"/>
      <c r="G31" s="39"/>
      <c r="H31" s="40">
        <f>J31*100/107</f>
        <v>0</v>
      </c>
      <c r="I31" s="40">
        <f>H31*0.07</f>
        <v>0</v>
      </c>
      <c r="J31" s="41">
        <v>0</v>
      </c>
      <c r="K31" s="82"/>
      <c r="L31" s="83"/>
      <c r="M31" s="30">
        <v>0</v>
      </c>
      <c r="N31" s="31"/>
      <c r="O31" s="25"/>
      <c r="P31" s="27">
        <f>ROUND(R31*100/107,2)</f>
        <v>0</v>
      </c>
      <c r="Q31" s="27">
        <f>P31*0.07</f>
        <v>0</v>
      </c>
      <c r="R31" s="32">
        <f>D31+J31-M31</f>
        <v>0</v>
      </c>
    </row>
    <row r="32" spans="1:18" ht="19.2" thickBot="1">
      <c r="A32" s="42"/>
      <c r="B32" s="191" t="s">
        <v>19</v>
      </c>
      <c r="C32" s="192"/>
      <c r="D32" s="43">
        <f>SUM(D28:D31)</f>
        <v>0</v>
      </c>
      <c r="E32" s="43"/>
      <c r="F32" s="43"/>
      <c r="G32" s="44"/>
      <c r="H32" s="44">
        <f>SUM(H28:H31)</f>
        <v>0</v>
      </c>
      <c r="I32" s="44">
        <f>SUM(I28:I31)</f>
        <v>0</v>
      </c>
      <c r="J32" s="44">
        <f>SUM(J28:J31)</f>
        <v>0</v>
      </c>
      <c r="K32" s="45"/>
      <c r="L32" s="46"/>
      <c r="M32" s="47">
        <f>SUM(M28:M31)</f>
        <v>0</v>
      </c>
      <c r="N32" s="48"/>
      <c r="O32" s="43"/>
      <c r="P32" s="49">
        <f>ROUND(R32*100/107,2)</f>
        <v>0</v>
      </c>
      <c r="Q32" s="49">
        <f>P32*0.07</f>
        <v>0</v>
      </c>
      <c r="R32" s="50">
        <f>SUM(R28:R31)</f>
        <v>0</v>
      </c>
    </row>
    <row r="33" spans="1:18" ht="19.2" thickTop="1">
      <c r="A33" s="8"/>
      <c r="B33" s="51" t="s">
        <v>26</v>
      </c>
      <c r="C33" s="52"/>
      <c r="D33" s="11"/>
      <c r="E33" s="12"/>
      <c r="F33" s="12"/>
      <c r="G33" s="53"/>
      <c r="H33" s="14"/>
      <c r="I33" s="15"/>
      <c r="J33" s="11"/>
      <c r="K33" s="16"/>
      <c r="L33" s="17"/>
      <c r="M33" s="18"/>
      <c r="N33" s="19"/>
      <c r="O33" s="13"/>
      <c r="P33" s="13"/>
      <c r="Q33" s="13"/>
      <c r="R33" s="20"/>
    </row>
    <row r="34" spans="1:18" ht="18.600000000000001">
      <c r="A34" s="8">
        <v>1</v>
      </c>
      <c r="B34" s="33" t="s">
        <v>21</v>
      </c>
      <c r="C34" s="87"/>
      <c r="D34" s="23">
        <v>0</v>
      </c>
      <c r="E34" s="24"/>
      <c r="F34" s="24"/>
      <c r="G34" s="25"/>
      <c r="H34" s="27">
        <v>0</v>
      </c>
      <c r="I34" s="27">
        <f>H34*0.07</f>
        <v>0</v>
      </c>
      <c r="J34" s="36">
        <v>0</v>
      </c>
      <c r="K34" s="28"/>
      <c r="L34" s="29"/>
      <c r="M34" s="30">
        <v>0</v>
      </c>
      <c r="N34" s="31"/>
      <c r="O34" s="25"/>
      <c r="P34" s="27">
        <f>ROUND(R34*100/107,2)</f>
        <v>0</v>
      </c>
      <c r="Q34" s="27">
        <f>P34*0.07</f>
        <v>0</v>
      </c>
      <c r="R34" s="32">
        <f>D34+J34-M34</f>
        <v>0</v>
      </c>
    </row>
    <row r="35" spans="1:18" ht="18.600000000000001">
      <c r="A35" s="8">
        <v>2</v>
      </c>
      <c r="B35" s="33"/>
      <c r="C35" s="87"/>
      <c r="D35" s="23"/>
      <c r="E35" s="24"/>
      <c r="F35" s="38"/>
      <c r="G35" s="84"/>
      <c r="H35" s="34"/>
      <c r="I35" s="34"/>
      <c r="J35" s="86"/>
      <c r="K35" s="28"/>
      <c r="L35" s="29"/>
      <c r="M35" s="30"/>
      <c r="N35" s="31"/>
      <c r="O35" s="25"/>
      <c r="P35" s="27"/>
      <c r="Q35" s="27"/>
      <c r="R35" s="32"/>
    </row>
    <row r="36" spans="1:18" ht="18.600000000000001">
      <c r="A36" s="8">
        <v>3</v>
      </c>
      <c r="B36" s="37"/>
      <c r="C36" s="22"/>
      <c r="D36" s="23">
        <v>0</v>
      </c>
      <c r="E36" s="24"/>
      <c r="F36" s="38"/>
      <c r="G36" s="39"/>
      <c r="H36" s="40">
        <f>J36*100/107</f>
        <v>0</v>
      </c>
      <c r="I36" s="40">
        <f>H36*0.07</f>
        <v>0</v>
      </c>
      <c r="J36" s="41">
        <v>0</v>
      </c>
      <c r="K36" s="28"/>
      <c r="L36" s="29"/>
      <c r="M36" s="30">
        <v>0</v>
      </c>
      <c r="N36" s="31"/>
      <c r="O36" s="25"/>
      <c r="P36" s="27">
        <f>ROUND(R36*100/107,2)</f>
        <v>0</v>
      </c>
      <c r="Q36" s="27">
        <f>P36*0.07</f>
        <v>0</v>
      </c>
      <c r="R36" s="32">
        <f>D36+J36-M36</f>
        <v>0</v>
      </c>
    </row>
    <row r="37" spans="1:18" ht="19.2" thickBot="1">
      <c r="A37" s="42"/>
      <c r="B37" s="191" t="s">
        <v>19</v>
      </c>
      <c r="C37" s="192"/>
      <c r="D37" s="43">
        <f>SUM(D34:D36)</f>
        <v>0</v>
      </c>
      <c r="E37" s="43"/>
      <c r="F37" s="43"/>
      <c r="G37" s="44"/>
      <c r="H37" s="44">
        <f>SUM(H34:H36)</f>
        <v>0</v>
      </c>
      <c r="I37" s="44">
        <f>SUM(I34:I36)</f>
        <v>0</v>
      </c>
      <c r="J37" s="44">
        <f>SUM(J34:J36)</f>
        <v>0</v>
      </c>
      <c r="K37" s="45"/>
      <c r="L37" s="46"/>
      <c r="M37" s="47">
        <f>SUM(M34:M36)</f>
        <v>0</v>
      </c>
      <c r="N37" s="48"/>
      <c r="O37" s="43"/>
      <c r="P37" s="49">
        <f>ROUND(R37*100/107,2)</f>
        <v>0</v>
      </c>
      <c r="Q37" s="49">
        <f>P37*0.07</f>
        <v>0</v>
      </c>
      <c r="R37" s="50">
        <f>SUM(R34:R36)</f>
        <v>0</v>
      </c>
    </row>
    <row r="38" spans="1:18" ht="19.2" thickTop="1">
      <c r="A38" s="42"/>
      <c r="B38" s="88" t="s">
        <v>27</v>
      </c>
      <c r="C38" s="52"/>
      <c r="D38" s="11"/>
      <c r="E38" s="12"/>
      <c r="F38" s="12"/>
      <c r="G38" s="13"/>
      <c r="H38" s="13"/>
      <c r="I38" s="13"/>
      <c r="J38" s="11"/>
      <c r="K38" s="16"/>
      <c r="L38" s="17"/>
      <c r="M38" s="18"/>
      <c r="N38" s="19"/>
      <c r="O38" s="13"/>
      <c r="P38" s="13"/>
      <c r="Q38" s="13"/>
      <c r="R38" s="89"/>
    </row>
    <row r="39" spans="1:18" ht="30.75" customHeight="1">
      <c r="A39" s="42">
        <v>1</v>
      </c>
      <c r="B39" s="195"/>
      <c r="C39" s="196"/>
      <c r="D39" s="23">
        <v>0</v>
      </c>
      <c r="E39" s="31"/>
      <c r="F39" s="31"/>
      <c r="G39" s="25"/>
      <c r="H39" s="90">
        <v>0</v>
      </c>
      <c r="I39" s="27">
        <f>H39*0.07</f>
        <v>0</v>
      </c>
      <c r="J39" s="23">
        <f>SUM(H39:I39)</f>
        <v>0</v>
      </c>
      <c r="K39" s="56"/>
      <c r="L39" s="91"/>
      <c r="M39" s="55">
        <v>0</v>
      </c>
      <c r="N39" s="31"/>
      <c r="O39" s="25"/>
      <c r="P39" s="27">
        <f>ROUND(R39*100/107,2)</f>
        <v>0</v>
      </c>
      <c r="Q39" s="27">
        <f>P39*0.07</f>
        <v>0</v>
      </c>
      <c r="R39" s="92">
        <f>D39+J39-M39</f>
        <v>0</v>
      </c>
    </row>
    <row r="40" spans="1:18" ht="30" customHeight="1">
      <c r="A40" s="8">
        <v>2</v>
      </c>
      <c r="B40" s="197" t="s">
        <v>21</v>
      </c>
      <c r="C40" s="198"/>
      <c r="D40" s="23">
        <v>0</v>
      </c>
      <c r="E40" s="31"/>
      <c r="F40" s="31"/>
      <c r="G40" s="25"/>
      <c r="H40" s="34">
        <v>0</v>
      </c>
      <c r="I40" s="27">
        <f>H40*0.07</f>
        <v>0</v>
      </c>
      <c r="J40" s="23">
        <f>SUM(H40:I40)</f>
        <v>0</v>
      </c>
      <c r="K40" s="56"/>
      <c r="L40" s="56"/>
      <c r="M40" s="55">
        <v>0</v>
      </c>
      <c r="N40" s="31"/>
      <c r="O40" s="25"/>
      <c r="P40" s="27">
        <f>ROUND(R40*100/107,2)</f>
        <v>0</v>
      </c>
      <c r="Q40" s="27">
        <f>P40*0.07</f>
        <v>0</v>
      </c>
      <c r="R40" s="32">
        <f>D40+J40-M40</f>
        <v>0</v>
      </c>
    </row>
    <row r="41" spans="1:18" ht="27" customHeight="1">
      <c r="A41" s="42">
        <v>3</v>
      </c>
      <c r="B41" s="203"/>
      <c r="C41" s="204"/>
      <c r="D41" s="23">
        <v>0</v>
      </c>
      <c r="E41" s="31"/>
      <c r="F41" s="31"/>
      <c r="G41" s="25"/>
      <c r="H41" s="90">
        <v>0</v>
      </c>
      <c r="I41" s="27">
        <f>H41*0.07</f>
        <v>0</v>
      </c>
      <c r="J41" s="23">
        <f>SUM(H41:I41)</f>
        <v>0</v>
      </c>
      <c r="K41" s="56"/>
      <c r="L41" s="56"/>
      <c r="M41" s="55">
        <v>0</v>
      </c>
      <c r="N41" s="31"/>
      <c r="O41" s="25"/>
      <c r="P41" s="27">
        <f>ROUND(R41*100/107,2)</f>
        <v>0</v>
      </c>
      <c r="Q41" s="27">
        <f>P41*0.07</f>
        <v>0</v>
      </c>
      <c r="R41" s="92">
        <f>D41+J41-M41</f>
        <v>0</v>
      </c>
    </row>
    <row r="42" spans="1:18" ht="19.2" thickBot="1">
      <c r="A42" s="93"/>
      <c r="B42" s="191" t="s">
        <v>19</v>
      </c>
      <c r="C42" s="192"/>
      <c r="D42" s="43">
        <f>SUM(D39:D41)</f>
        <v>0</v>
      </c>
      <c r="E42" s="43"/>
      <c r="F42" s="43"/>
      <c r="G42" s="43"/>
      <c r="H42" s="43">
        <f>SUM(H39:H41)</f>
        <v>0</v>
      </c>
      <c r="I42" s="43">
        <f>SUM(I39:I41)</f>
        <v>0</v>
      </c>
      <c r="J42" s="43">
        <f>SUM(J39:J41)</f>
        <v>0</v>
      </c>
      <c r="K42" s="45"/>
      <c r="L42" s="46"/>
      <c r="M42" s="47">
        <f>SUM(M39:M41)</f>
        <v>0</v>
      </c>
      <c r="N42" s="48"/>
      <c r="O42" s="43"/>
      <c r="P42" s="43">
        <f>SUM(P39:P41)</f>
        <v>0</v>
      </c>
      <c r="Q42" s="43">
        <f>SUM(Q39:Q41)</f>
        <v>0</v>
      </c>
      <c r="R42" s="43">
        <f>SUM(R39:R41)</f>
        <v>0</v>
      </c>
    </row>
    <row r="43" spans="1:18" ht="19.2" thickTop="1">
      <c r="A43" s="8"/>
      <c r="B43" s="51" t="s">
        <v>28</v>
      </c>
      <c r="C43" s="94"/>
      <c r="D43" s="11"/>
      <c r="E43" s="12"/>
      <c r="F43" s="12"/>
      <c r="G43" s="53"/>
      <c r="H43" s="14"/>
      <c r="I43" s="15"/>
      <c r="J43" s="11"/>
      <c r="K43" s="16"/>
      <c r="L43" s="17"/>
      <c r="M43" s="18"/>
      <c r="N43" s="19"/>
      <c r="O43" s="13"/>
      <c r="P43" s="13"/>
      <c r="Q43" s="13"/>
      <c r="R43" s="20"/>
    </row>
    <row r="44" spans="1:18" ht="18.600000000000001">
      <c r="A44" s="8">
        <v>1</v>
      </c>
      <c r="B44" s="62"/>
      <c r="C44" s="63"/>
      <c r="D44" s="23">
        <v>0</v>
      </c>
      <c r="E44" s="24"/>
      <c r="F44" s="24"/>
      <c r="G44" s="25"/>
      <c r="H44" s="26">
        <v>0</v>
      </c>
      <c r="I44" s="27">
        <f>H44*0.07</f>
        <v>0</v>
      </c>
      <c r="J44" s="23">
        <v>0</v>
      </c>
      <c r="K44" s="28"/>
      <c r="L44" s="29"/>
      <c r="M44" s="30">
        <v>0</v>
      </c>
      <c r="N44" s="31"/>
      <c r="O44" s="25"/>
      <c r="P44" s="27">
        <f>ROUND(R44*100/107,2)</f>
        <v>0</v>
      </c>
      <c r="Q44" s="27">
        <f>P44*0.07</f>
        <v>0</v>
      </c>
      <c r="R44" s="32">
        <f>D44+J44-M44</f>
        <v>0</v>
      </c>
    </row>
    <row r="45" spans="1:18" ht="18.600000000000001">
      <c r="A45" s="8">
        <f>+A44+1</f>
        <v>2</v>
      </c>
      <c r="B45" s="64" t="s">
        <v>21</v>
      </c>
      <c r="C45" s="63"/>
      <c r="D45" s="23">
        <v>0</v>
      </c>
      <c r="E45" s="24"/>
      <c r="F45" s="24"/>
      <c r="G45" s="25"/>
      <c r="H45" s="27">
        <v>0</v>
      </c>
      <c r="I45" s="27">
        <f>H45*0.07</f>
        <v>0</v>
      </c>
      <c r="J45" s="36">
        <v>0</v>
      </c>
      <c r="K45" s="28"/>
      <c r="L45" s="29"/>
      <c r="M45" s="30">
        <v>0</v>
      </c>
      <c r="N45" s="31"/>
      <c r="O45" s="25"/>
      <c r="P45" s="27">
        <f>ROUND(R45*100/107,2)</f>
        <v>0</v>
      </c>
      <c r="Q45" s="27">
        <f>P45*0.07</f>
        <v>0</v>
      </c>
      <c r="R45" s="32">
        <f>D45+J45-M45</f>
        <v>0</v>
      </c>
    </row>
    <row r="46" spans="1:18" ht="18.600000000000001">
      <c r="A46" s="8">
        <f>+A45+1</f>
        <v>3</v>
      </c>
      <c r="B46" s="65"/>
      <c r="C46" s="63"/>
      <c r="D46" s="23">
        <v>0</v>
      </c>
      <c r="E46" s="24"/>
      <c r="F46" s="38"/>
      <c r="G46" s="39"/>
      <c r="H46" s="40">
        <f>J46*100/107</f>
        <v>0</v>
      </c>
      <c r="I46" s="40">
        <f>H46*0.07</f>
        <v>0</v>
      </c>
      <c r="J46" s="41">
        <v>0</v>
      </c>
      <c r="K46" s="28"/>
      <c r="L46" s="29"/>
      <c r="M46" s="30">
        <v>0</v>
      </c>
      <c r="N46" s="31"/>
      <c r="O46" s="25"/>
      <c r="P46" s="27">
        <f>ROUND(R46*100/107,2)</f>
        <v>0</v>
      </c>
      <c r="Q46" s="27">
        <f>P46*0.07</f>
        <v>0</v>
      </c>
      <c r="R46" s="32">
        <f>D46+J46-M46</f>
        <v>0</v>
      </c>
    </row>
    <row r="47" spans="1:18" ht="19.2" thickBot="1">
      <c r="A47" s="42"/>
      <c r="B47" s="191" t="s">
        <v>19</v>
      </c>
      <c r="C47" s="192"/>
      <c r="D47" s="43">
        <f>SUM(D44:D46)</f>
        <v>0</v>
      </c>
      <c r="E47" s="43"/>
      <c r="F47" s="43"/>
      <c r="G47" s="44"/>
      <c r="H47" s="44">
        <f>SUM(H44:H46)</f>
        <v>0</v>
      </c>
      <c r="I47" s="44">
        <f>SUM(I44:I46)</f>
        <v>0</v>
      </c>
      <c r="J47" s="44">
        <f>SUM(J44:J46)</f>
        <v>0</v>
      </c>
      <c r="K47" s="45"/>
      <c r="L47" s="46"/>
      <c r="M47" s="47">
        <f>SUM(M44:M46)</f>
        <v>0</v>
      </c>
      <c r="N47" s="48"/>
      <c r="O47" s="43"/>
      <c r="P47" s="49">
        <f>ROUND(R47*100/107,2)</f>
        <v>0</v>
      </c>
      <c r="Q47" s="49">
        <f>P47*0.07</f>
        <v>0</v>
      </c>
      <c r="R47" s="50">
        <f>SUM(R44:R46)</f>
        <v>0</v>
      </c>
    </row>
    <row r="48" spans="1:18" ht="19.2" thickTop="1">
      <c r="A48" s="8"/>
      <c r="B48" s="67" t="s">
        <v>29</v>
      </c>
      <c r="C48" s="68"/>
      <c r="D48" s="69"/>
      <c r="E48" s="70"/>
      <c r="F48" s="70"/>
      <c r="G48" s="71"/>
      <c r="H48" s="72"/>
      <c r="I48" s="73"/>
      <c r="J48" s="69"/>
      <c r="K48" s="74"/>
      <c r="L48" s="75"/>
      <c r="M48" s="76"/>
      <c r="N48" s="77"/>
      <c r="O48" s="78"/>
      <c r="P48" s="78"/>
      <c r="Q48" s="78"/>
      <c r="R48" s="79"/>
    </row>
    <row r="49" spans="1:18" ht="18.600000000000001">
      <c r="A49" s="8">
        <v>1</v>
      </c>
      <c r="B49" s="62"/>
      <c r="C49" s="63"/>
      <c r="D49" s="23">
        <v>0</v>
      </c>
      <c r="E49" s="24"/>
      <c r="F49" s="24"/>
      <c r="G49" s="25"/>
      <c r="H49" s="26">
        <v>0</v>
      </c>
      <c r="I49" s="27">
        <f>H49*0.07</f>
        <v>0</v>
      </c>
      <c r="J49" s="23">
        <v>0</v>
      </c>
      <c r="K49" s="28"/>
      <c r="L49" s="29"/>
      <c r="M49" s="30">
        <v>0</v>
      </c>
      <c r="N49" s="31"/>
      <c r="O49" s="25"/>
      <c r="P49" s="27">
        <f>ROUND(R49*100/107,2)</f>
        <v>0</v>
      </c>
      <c r="Q49" s="27">
        <f>P49*0.07</f>
        <v>0</v>
      </c>
      <c r="R49" s="32">
        <f>D49+J49-M49</f>
        <v>0</v>
      </c>
    </row>
    <row r="50" spans="1:18" ht="18.600000000000001">
      <c r="A50" s="8">
        <f>+A49+1</f>
        <v>2</v>
      </c>
      <c r="B50" s="64" t="s">
        <v>21</v>
      </c>
      <c r="C50" s="63"/>
      <c r="D50" s="23">
        <v>0</v>
      </c>
      <c r="E50" s="24"/>
      <c r="F50" s="24"/>
      <c r="G50" s="25"/>
      <c r="H50" s="27">
        <v>0</v>
      </c>
      <c r="I50" s="27">
        <f>H50*0.07</f>
        <v>0</v>
      </c>
      <c r="J50" s="36">
        <v>0</v>
      </c>
      <c r="K50" s="28"/>
      <c r="L50" s="29"/>
      <c r="M50" s="30">
        <v>0</v>
      </c>
      <c r="N50" s="31"/>
      <c r="O50" s="25"/>
      <c r="P50" s="27">
        <f>ROUND(R50*100/107,2)</f>
        <v>0</v>
      </c>
      <c r="Q50" s="27">
        <f>P50*0.07</f>
        <v>0</v>
      </c>
      <c r="R50" s="32">
        <f>D50+J50-M50</f>
        <v>0</v>
      </c>
    </row>
    <row r="51" spans="1:18" ht="18.600000000000001">
      <c r="A51" s="8">
        <f>+A50+1</f>
        <v>3</v>
      </c>
      <c r="B51" s="65"/>
      <c r="C51" s="63"/>
      <c r="D51" s="23">
        <v>0</v>
      </c>
      <c r="E51" s="24"/>
      <c r="F51" s="38"/>
      <c r="G51" s="39"/>
      <c r="H51" s="40">
        <f>J51*100/107</f>
        <v>0</v>
      </c>
      <c r="I51" s="40">
        <f>H51*0.07</f>
        <v>0</v>
      </c>
      <c r="J51" s="41">
        <v>0</v>
      </c>
      <c r="K51" s="28"/>
      <c r="L51" s="29"/>
      <c r="M51" s="30">
        <v>0</v>
      </c>
      <c r="N51" s="31"/>
      <c r="O51" s="25"/>
      <c r="P51" s="27">
        <f>ROUND(R51*100/107,2)</f>
        <v>0</v>
      </c>
      <c r="Q51" s="27">
        <f>P51*0.07</f>
        <v>0</v>
      </c>
      <c r="R51" s="32">
        <f>D51+J51-M51</f>
        <v>0</v>
      </c>
    </row>
    <row r="52" spans="1:18" ht="19.2" thickBot="1">
      <c r="A52" s="42"/>
      <c r="B52" s="191" t="s">
        <v>19</v>
      </c>
      <c r="C52" s="192"/>
      <c r="D52" s="43">
        <f>SUM(D49:D51)</f>
        <v>0</v>
      </c>
      <c r="E52" s="43"/>
      <c r="F52" s="43"/>
      <c r="G52" s="44"/>
      <c r="H52" s="44">
        <f>SUM(H49:H51)</f>
        <v>0</v>
      </c>
      <c r="I52" s="44">
        <f>SUM(I49:I51)</f>
        <v>0</v>
      </c>
      <c r="J52" s="44">
        <f>SUM(J49:J51)</f>
        <v>0</v>
      </c>
      <c r="K52" s="45"/>
      <c r="L52" s="46"/>
      <c r="M52" s="47">
        <f>SUM(M49:M51)</f>
        <v>0</v>
      </c>
      <c r="N52" s="48"/>
      <c r="O52" s="43"/>
      <c r="P52" s="49">
        <f>ROUND(R52*100/107,2)</f>
        <v>0</v>
      </c>
      <c r="Q52" s="49">
        <f>P52*0.07</f>
        <v>0</v>
      </c>
      <c r="R52" s="50">
        <f>SUM(R49:R51)</f>
        <v>0</v>
      </c>
    </row>
    <row r="53" spans="1:18" ht="19.2" thickTop="1">
      <c r="A53" s="8"/>
      <c r="B53" s="51" t="s">
        <v>30</v>
      </c>
      <c r="C53" s="52"/>
      <c r="D53" s="11"/>
      <c r="E53" s="12"/>
      <c r="F53" s="12"/>
      <c r="G53" s="53"/>
      <c r="H53" s="14"/>
      <c r="I53" s="15"/>
      <c r="J53" s="11"/>
      <c r="K53" s="16"/>
      <c r="L53" s="17"/>
      <c r="M53" s="18"/>
      <c r="N53" s="19"/>
      <c r="O53" s="13"/>
      <c r="P53" s="13"/>
      <c r="Q53" s="13"/>
      <c r="R53" s="20"/>
    </row>
    <row r="54" spans="1:18" ht="18.600000000000001">
      <c r="A54" s="8">
        <v>1</v>
      </c>
      <c r="B54" s="62"/>
      <c r="C54" s="63"/>
      <c r="D54" s="23">
        <v>0</v>
      </c>
      <c r="E54" s="24"/>
      <c r="F54" s="24"/>
      <c r="G54" s="25"/>
      <c r="H54" s="26">
        <v>0</v>
      </c>
      <c r="I54" s="27">
        <f>H54*0.07</f>
        <v>0</v>
      </c>
      <c r="J54" s="23">
        <v>0</v>
      </c>
      <c r="K54" s="28"/>
      <c r="L54" s="29"/>
      <c r="M54" s="30">
        <v>0</v>
      </c>
      <c r="N54" s="31"/>
      <c r="O54" s="25"/>
      <c r="P54" s="27">
        <f>ROUND(R54*100/107,2)</f>
        <v>0</v>
      </c>
      <c r="Q54" s="27">
        <f>P54*0.07</f>
        <v>0</v>
      </c>
      <c r="R54" s="32">
        <f>D54+J54-M54</f>
        <v>0</v>
      </c>
    </row>
    <row r="55" spans="1:18" ht="18.600000000000001">
      <c r="A55" s="8">
        <f>+A54+1</f>
        <v>2</v>
      </c>
      <c r="B55" s="64" t="s">
        <v>21</v>
      </c>
      <c r="C55" s="63"/>
      <c r="D55" s="23">
        <v>0</v>
      </c>
      <c r="E55" s="24"/>
      <c r="F55" s="24"/>
      <c r="G55" s="25"/>
      <c r="H55" s="27">
        <v>0</v>
      </c>
      <c r="I55" s="27">
        <f>H55*0.07</f>
        <v>0</v>
      </c>
      <c r="J55" s="36">
        <v>0</v>
      </c>
      <c r="K55" s="28"/>
      <c r="L55" s="29"/>
      <c r="M55" s="30">
        <v>0</v>
      </c>
      <c r="N55" s="31"/>
      <c r="O55" s="25"/>
      <c r="P55" s="27">
        <f>ROUND(R55*100/107,2)</f>
        <v>0</v>
      </c>
      <c r="Q55" s="27">
        <f>P55*0.07</f>
        <v>0</v>
      </c>
      <c r="R55" s="32">
        <f>D55+J55-M55</f>
        <v>0</v>
      </c>
    </row>
    <row r="56" spans="1:18" ht="18.600000000000001">
      <c r="A56" s="8">
        <f>+A55+1</f>
        <v>3</v>
      </c>
      <c r="B56" s="65"/>
      <c r="C56" s="63"/>
      <c r="D56" s="23">
        <v>0</v>
      </c>
      <c r="E56" s="24"/>
      <c r="F56" s="38"/>
      <c r="G56" s="39"/>
      <c r="H56" s="40">
        <f>J56*100/107</f>
        <v>0</v>
      </c>
      <c r="I56" s="40">
        <f>H56*0.07</f>
        <v>0</v>
      </c>
      <c r="J56" s="41">
        <v>0</v>
      </c>
      <c r="K56" s="28"/>
      <c r="L56" s="29"/>
      <c r="M56" s="30">
        <v>0</v>
      </c>
      <c r="N56" s="31"/>
      <c r="O56" s="25"/>
      <c r="P56" s="27">
        <f>ROUND(R56*100/107,2)</f>
        <v>0</v>
      </c>
      <c r="Q56" s="27">
        <f>P56*0.07</f>
        <v>0</v>
      </c>
      <c r="R56" s="32">
        <f>D56+J56-M56</f>
        <v>0</v>
      </c>
    </row>
    <row r="57" spans="1:18" ht="19.2" thickBot="1">
      <c r="A57" s="42"/>
      <c r="B57" s="191" t="s">
        <v>19</v>
      </c>
      <c r="C57" s="192"/>
      <c r="D57" s="43">
        <f>SUM(D54:D56)</f>
        <v>0</v>
      </c>
      <c r="E57" s="43"/>
      <c r="F57" s="43"/>
      <c r="G57" s="44"/>
      <c r="H57" s="44">
        <f>SUM(H54:H56)</f>
        <v>0</v>
      </c>
      <c r="I57" s="44">
        <f>SUM(I54:I56)</f>
        <v>0</v>
      </c>
      <c r="J57" s="44">
        <f>SUM(J54:J56)</f>
        <v>0</v>
      </c>
      <c r="K57" s="45"/>
      <c r="L57" s="46"/>
      <c r="M57" s="47">
        <f>SUM(M54:M56)</f>
        <v>0</v>
      </c>
      <c r="N57" s="48"/>
      <c r="O57" s="43"/>
      <c r="P57" s="49">
        <f>ROUND(R57*100/107,2)</f>
        <v>0</v>
      </c>
      <c r="Q57" s="49">
        <f>P57*0.07</f>
        <v>0</v>
      </c>
      <c r="R57" s="50">
        <f>SUM(R54:R56)</f>
        <v>0</v>
      </c>
    </row>
    <row r="58" spans="1:18" ht="19.2" thickTop="1">
      <c r="A58" s="8"/>
      <c r="B58" s="95" t="s">
        <v>31</v>
      </c>
      <c r="C58" s="68"/>
      <c r="D58" s="69"/>
      <c r="E58" s="70"/>
      <c r="F58" s="70"/>
      <c r="G58" s="78"/>
      <c r="H58" s="78"/>
      <c r="I58" s="78"/>
      <c r="J58" s="69"/>
      <c r="K58" s="74"/>
      <c r="L58" s="75"/>
      <c r="M58" s="76"/>
      <c r="N58" s="77"/>
      <c r="O58" s="78"/>
      <c r="P58" s="78"/>
      <c r="Q58" s="78"/>
      <c r="R58" s="96"/>
    </row>
    <row r="59" spans="1:18" ht="18.600000000000001">
      <c r="A59" s="42">
        <v>1</v>
      </c>
      <c r="B59" s="97" t="s">
        <v>32</v>
      </c>
      <c r="C59" s="98" t="s">
        <v>33</v>
      </c>
      <c r="D59" s="98">
        <v>0</v>
      </c>
      <c r="E59" s="24" t="s">
        <v>34</v>
      </c>
      <c r="F59" s="24"/>
      <c r="G59" s="25"/>
      <c r="H59" s="27">
        <v>322273.98</v>
      </c>
      <c r="I59" s="81">
        <v>0</v>
      </c>
      <c r="J59" s="23">
        <f>SUM(H59:I59)</f>
        <v>322273.98</v>
      </c>
      <c r="K59" s="28"/>
      <c r="L59" s="29"/>
      <c r="M59" s="55">
        <v>0</v>
      </c>
      <c r="N59" s="24" t="s">
        <v>34</v>
      </c>
      <c r="O59" s="25"/>
      <c r="P59" s="27">
        <f>+D59+H59-M59</f>
        <v>322273.98</v>
      </c>
      <c r="Q59" s="27">
        <v>0</v>
      </c>
      <c r="R59" s="99">
        <f>D59+J59-M59</f>
        <v>322273.98</v>
      </c>
    </row>
    <row r="60" spans="1:18" ht="18.600000000000001">
      <c r="A60" s="42"/>
      <c r="B60" s="100" t="s">
        <v>35</v>
      </c>
      <c r="C60" s="98" t="s">
        <v>36</v>
      </c>
      <c r="D60" s="98"/>
      <c r="E60" s="24"/>
      <c r="F60" s="24"/>
      <c r="G60" s="25"/>
      <c r="H60" s="25"/>
      <c r="I60" s="25"/>
      <c r="J60" s="23"/>
      <c r="K60" s="28"/>
      <c r="L60" s="29"/>
      <c r="M60" s="55"/>
      <c r="N60" s="31"/>
      <c r="O60" s="25"/>
      <c r="P60" s="27"/>
      <c r="Q60" s="27"/>
      <c r="R60" s="99"/>
    </row>
    <row r="61" spans="1:18" ht="18.600000000000001">
      <c r="A61" s="42"/>
      <c r="B61" s="100" t="s">
        <v>37</v>
      </c>
      <c r="C61" s="101"/>
      <c r="D61" s="23"/>
      <c r="E61" s="24"/>
      <c r="F61" s="24"/>
      <c r="G61" s="25"/>
      <c r="H61" s="25"/>
      <c r="I61" s="25"/>
      <c r="J61" s="23"/>
      <c r="K61" s="28"/>
      <c r="L61" s="29"/>
      <c r="M61" s="55"/>
      <c r="N61" s="31"/>
      <c r="O61" s="25"/>
      <c r="P61" s="27"/>
      <c r="Q61" s="27"/>
      <c r="R61" s="99"/>
    </row>
    <row r="62" spans="1:18" ht="18.600000000000001">
      <c r="A62" s="42"/>
      <c r="B62" s="100" t="s">
        <v>38</v>
      </c>
      <c r="C62" s="101"/>
      <c r="D62" s="23"/>
      <c r="E62" s="24"/>
      <c r="F62" s="24"/>
      <c r="G62" s="25"/>
      <c r="H62" s="25"/>
      <c r="I62" s="25"/>
      <c r="J62" s="23"/>
      <c r="K62" s="28"/>
      <c r="L62" s="29"/>
      <c r="M62" s="55"/>
      <c r="N62" s="31"/>
      <c r="O62" s="25"/>
      <c r="P62" s="27"/>
      <c r="Q62" s="27"/>
      <c r="R62" s="99"/>
    </row>
    <row r="63" spans="1:18" ht="18.600000000000001">
      <c r="A63" s="8">
        <f>+A59+1</f>
        <v>2</v>
      </c>
      <c r="B63" s="102" t="s">
        <v>32</v>
      </c>
      <c r="C63" s="98" t="s">
        <v>39</v>
      </c>
      <c r="D63" s="98">
        <v>0</v>
      </c>
      <c r="E63" s="62" t="s">
        <v>40</v>
      </c>
      <c r="F63" s="62">
        <v>16</v>
      </c>
      <c r="G63" s="25"/>
      <c r="H63" s="27">
        <v>5208581.93</v>
      </c>
      <c r="I63" s="26">
        <v>0</v>
      </c>
      <c r="J63" s="23">
        <f>SUM(H63:I63)</f>
        <v>5208581.93</v>
      </c>
      <c r="K63" s="28"/>
      <c r="L63" s="29"/>
      <c r="M63" s="55">
        <v>0</v>
      </c>
      <c r="N63" s="62" t="s">
        <v>40</v>
      </c>
      <c r="O63" s="25">
        <v>16</v>
      </c>
      <c r="P63" s="27">
        <f>+D63+H63-M63</f>
        <v>5208581.93</v>
      </c>
      <c r="Q63" s="27">
        <v>0</v>
      </c>
      <c r="R63" s="99">
        <f>D63+J63-M63</f>
        <v>5208581.93</v>
      </c>
    </row>
    <row r="64" spans="1:18" ht="18.600000000000001">
      <c r="A64" s="8"/>
      <c r="B64" s="100" t="s">
        <v>41</v>
      </c>
      <c r="C64" s="101"/>
      <c r="D64" s="23"/>
      <c r="E64" s="62" t="s">
        <v>42</v>
      </c>
      <c r="F64" s="62"/>
      <c r="G64" s="25"/>
      <c r="H64" s="25"/>
      <c r="I64" s="25"/>
      <c r="J64" s="23"/>
      <c r="K64" s="28"/>
      <c r="L64" s="29"/>
      <c r="M64" s="55"/>
      <c r="N64" s="62" t="s">
        <v>42</v>
      </c>
      <c r="O64" s="25"/>
      <c r="P64" s="27"/>
      <c r="Q64" s="25"/>
      <c r="R64" s="92"/>
    </row>
    <row r="65" spans="1:18" ht="18.600000000000001">
      <c r="A65" s="8"/>
      <c r="B65" s="103" t="s">
        <v>43</v>
      </c>
      <c r="C65" s="104"/>
      <c r="D65" s="23"/>
      <c r="E65" s="24"/>
      <c r="F65" s="24"/>
      <c r="G65" s="25"/>
      <c r="H65" s="25"/>
      <c r="I65" s="25"/>
      <c r="J65" s="23"/>
      <c r="K65" s="28"/>
      <c r="L65" s="29"/>
      <c r="M65" s="55"/>
      <c r="N65" s="31"/>
      <c r="O65" s="25"/>
      <c r="P65" s="27"/>
      <c r="Q65" s="25"/>
      <c r="R65" s="92"/>
    </row>
    <row r="66" spans="1:18" ht="18.600000000000001">
      <c r="A66" s="8"/>
      <c r="B66" s="103" t="s">
        <v>44</v>
      </c>
      <c r="C66" s="104"/>
      <c r="D66" s="23"/>
      <c r="E66" s="24"/>
      <c r="F66" s="24"/>
      <c r="G66" s="25"/>
      <c r="H66" s="25"/>
      <c r="I66" s="25"/>
      <c r="J66" s="23"/>
      <c r="K66" s="28"/>
      <c r="L66" s="29"/>
      <c r="M66" s="55"/>
      <c r="N66" s="31"/>
      <c r="O66" s="25"/>
      <c r="P66" s="27"/>
      <c r="Q66" s="25"/>
      <c r="R66" s="92"/>
    </row>
    <row r="67" spans="1:18" ht="18.600000000000001">
      <c r="A67" s="8"/>
      <c r="B67" s="199" t="s">
        <v>19</v>
      </c>
      <c r="C67" s="200"/>
      <c r="D67" s="23"/>
      <c r="E67" s="24"/>
      <c r="F67" s="24"/>
      <c r="G67" s="25"/>
      <c r="H67" s="25"/>
      <c r="I67" s="25"/>
      <c r="J67" s="23"/>
      <c r="K67" s="28"/>
      <c r="L67" s="29"/>
      <c r="M67" s="55"/>
      <c r="N67" s="31"/>
      <c r="O67" s="25"/>
      <c r="P67" s="27"/>
      <c r="Q67" s="25"/>
      <c r="R67" s="92"/>
    </row>
    <row r="68" spans="1:18" ht="21.6" thickBot="1">
      <c r="A68" s="105"/>
      <c r="B68" s="201"/>
      <c r="C68" s="202"/>
      <c r="D68" s="106">
        <f>SUM(D59:D67)</f>
        <v>0</v>
      </c>
      <c r="E68" s="106"/>
      <c r="F68" s="106"/>
      <c r="G68" s="106"/>
      <c r="H68" s="106">
        <f t="shared" ref="H68:M68" si="0">SUM(H59:H67)</f>
        <v>5530855.9100000001</v>
      </c>
      <c r="I68" s="106">
        <f t="shared" si="0"/>
        <v>0</v>
      </c>
      <c r="J68" s="106">
        <f t="shared" si="0"/>
        <v>5530855.9100000001</v>
      </c>
      <c r="K68" s="107"/>
      <c r="L68" s="107"/>
      <c r="M68" s="107">
        <f t="shared" si="0"/>
        <v>0</v>
      </c>
      <c r="N68" s="108"/>
      <c r="O68" s="106"/>
      <c r="P68" s="106">
        <f>SUM(P59:P67)</f>
        <v>5530855.9100000001</v>
      </c>
      <c r="Q68" s="106">
        <f>SUM(Q59:Q67)</f>
        <v>0</v>
      </c>
      <c r="R68" s="106">
        <f>SUM(R59:R67)</f>
        <v>5530855.9100000001</v>
      </c>
    </row>
    <row r="69" spans="1:18" ht="19.2" thickTop="1">
      <c r="A69" s="8"/>
      <c r="B69" s="51" t="s">
        <v>45</v>
      </c>
      <c r="C69" s="52"/>
      <c r="D69" s="11"/>
      <c r="E69" s="12"/>
      <c r="F69" s="12"/>
      <c r="G69" s="53"/>
      <c r="H69" s="14"/>
      <c r="I69" s="15"/>
      <c r="J69" s="11"/>
      <c r="K69" s="16"/>
      <c r="L69" s="17"/>
      <c r="M69" s="18"/>
      <c r="N69" s="19"/>
      <c r="O69" s="13"/>
      <c r="P69" s="13"/>
      <c r="Q69" s="13"/>
      <c r="R69" s="20"/>
    </row>
    <row r="70" spans="1:18" ht="18.600000000000001">
      <c r="A70" s="8">
        <v>1</v>
      </c>
      <c r="B70" s="62"/>
      <c r="C70" s="63"/>
      <c r="D70" s="23">
        <v>0</v>
      </c>
      <c r="E70" s="24"/>
      <c r="F70" s="24"/>
      <c r="G70" s="25"/>
      <c r="H70" s="26">
        <v>0</v>
      </c>
      <c r="I70" s="27">
        <f>H70*0.07</f>
        <v>0</v>
      </c>
      <c r="J70" s="23">
        <v>0</v>
      </c>
      <c r="K70" s="28"/>
      <c r="L70" s="29"/>
      <c r="M70" s="30">
        <v>0</v>
      </c>
      <c r="N70" s="31"/>
      <c r="O70" s="25"/>
      <c r="P70" s="27">
        <f>ROUND(R70*100/107,2)</f>
        <v>0</v>
      </c>
      <c r="Q70" s="27">
        <f>P70*0.07</f>
        <v>0</v>
      </c>
      <c r="R70" s="32">
        <f>D70+J70-M70</f>
        <v>0</v>
      </c>
    </row>
    <row r="71" spans="1:18" ht="18.600000000000001">
      <c r="A71" s="8">
        <f>+A70+1</f>
        <v>2</v>
      </c>
      <c r="B71" s="64" t="s">
        <v>21</v>
      </c>
      <c r="C71" s="63"/>
      <c r="D71" s="23">
        <v>0</v>
      </c>
      <c r="E71" s="24"/>
      <c r="F71" s="24"/>
      <c r="G71" s="25"/>
      <c r="H71" s="34">
        <v>0</v>
      </c>
      <c r="I71" s="35">
        <f>H71*0.07</f>
        <v>0</v>
      </c>
      <c r="J71" s="36">
        <v>0</v>
      </c>
      <c r="K71" s="28"/>
      <c r="L71" s="29"/>
      <c r="M71" s="30">
        <v>0</v>
      </c>
      <c r="N71" s="31"/>
      <c r="O71" s="25"/>
      <c r="P71" s="27">
        <f>ROUND(R71*100/107,2)</f>
        <v>0</v>
      </c>
      <c r="Q71" s="27">
        <f>P71*0.07</f>
        <v>0</v>
      </c>
      <c r="R71" s="32">
        <f>D71+J71-M71</f>
        <v>0</v>
      </c>
    </row>
    <row r="72" spans="1:18" ht="18.600000000000001">
      <c r="A72" s="8">
        <f>+A71+1</f>
        <v>3</v>
      </c>
      <c r="B72" s="65"/>
      <c r="C72" s="63"/>
      <c r="D72" s="23">
        <v>0</v>
      </c>
      <c r="E72" s="24"/>
      <c r="F72" s="38"/>
      <c r="G72" s="39"/>
      <c r="H72" s="40">
        <f>J72*100/107</f>
        <v>0</v>
      </c>
      <c r="I72" s="40">
        <f>H72*0.07</f>
        <v>0</v>
      </c>
      <c r="J72" s="41">
        <v>0</v>
      </c>
      <c r="K72" s="28"/>
      <c r="L72" s="29"/>
      <c r="M72" s="30">
        <v>0</v>
      </c>
      <c r="N72" s="31"/>
      <c r="O72" s="25"/>
      <c r="P72" s="27">
        <f>ROUND(R72*100/107,2)</f>
        <v>0</v>
      </c>
      <c r="Q72" s="27">
        <f>P72*0.07</f>
        <v>0</v>
      </c>
      <c r="R72" s="32">
        <f>D72+J72-M72</f>
        <v>0</v>
      </c>
    </row>
    <row r="73" spans="1:18" ht="19.2" thickBot="1">
      <c r="A73" s="42"/>
      <c r="B73" s="191" t="s">
        <v>19</v>
      </c>
      <c r="C73" s="192"/>
      <c r="D73" s="43">
        <f>SUM(D70:D72)</f>
        <v>0</v>
      </c>
      <c r="E73" s="43"/>
      <c r="F73" s="43"/>
      <c r="G73" s="44"/>
      <c r="H73" s="44">
        <f>SUM(H70:H72)</f>
        <v>0</v>
      </c>
      <c r="I73" s="44">
        <f>SUM(I70:I72)</f>
        <v>0</v>
      </c>
      <c r="J73" s="44">
        <f>SUM(J70:J72)</f>
        <v>0</v>
      </c>
      <c r="K73" s="45"/>
      <c r="L73" s="46"/>
      <c r="M73" s="47">
        <f>SUM(M70:M72)</f>
        <v>0</v>
      </c>
      <c r="N73" s="48"/>
      <c r="O73" s="43"/>
      <c r="P73" s="49">
        <f>ROUND(R73*100/107,2)</f>
        <v>0</v>
      </c>
      <c r="Q73" s="49">
        <f>P73*0.07</f>
        <v>0</v>
      </c>
      <c r="R73" s="50">
        <f>SUM(R70:R72)</f>
        <v>0</v>
      </c>
    </row>
    <row r="74" spans="1:18" ht="19.2" thickTop="1">
      <c r="A74" s="42"/>
      <c r="B74" s="109" t="s">
        <v>46</v>
      </c>
      <c r="C74" s="110"/>
      <c r="D74" s="69"/>
      <c r="E74" s="70"/>
      <c r="F74" s="70"/>
      <c r="G74" s="78"/>
      <c r="H74" s="85">
        <f>J74*100/107</f>
        <v>0</v>
      </c>
      <c r="I74" s="85">
        <f>H74*0.07</f>
        <v>0</v>
      </c>
      <c r="J74" s="111"/>
      <c r="K74" s="74"/>
      <c r="L74" s="75"/>
      <c r="M74" s="76"/>
      <c r="N74" s="77"/>
      <c r="O74" s="78"/>
      <c r="P74" s="78"/>
      <c r="Q74" s="78"/>
      <c r="R74" s="79"/>
    </row>
    <row r="75" spans="1:18" ht="18.600000000000001">
      <c r="A75" s="42">
        <v>1</v>
      </c>
      <c r="B75" s="97"/>
      <c r="C75" s="112"/>
      <c r="D75" s="23">
        <v>0</v>
      </c>
      <c r="E75" s="24"/>
      <c r="F75" s="24"/>
      <c r="G75" s="25"/>
      <c r="H75" s="26">
        <v>0</v>
      </c>
      <c r="I75" s="27">
        <f>H75*0.07</f>
        <v>0</v>
      </c>
      <c r="J75" s="23">
        <v>0</v>
      </c>
      <c r="K75" s="28"/>
      <c r="L75" s="29"/>
      <c r="M75" s="55">
        <v>0</v>
      </c>
      <c r="N75" s="54"/>
      <c r="O75" s="25"/>
      <c r="P75" s="27">
        <f>ROUND(R75*100/107,2)</f>
        <v>0</v>
      </c>
      <c r="Q75" s="27">
        <f>P75*0.07</f>
        <v>0</v>
      </c>
      <c r="R75" s="32">
        <f>D75+J75-M75</f>
        <v>0</v>
      </c>
    </row>
    <row r="76" spans="1:18" ht="18.600000000000001">
      <c r="A76" s="42">
        <f>+A75+1</f>
        <v>2</v>
      </c>
      <c r="B76" s="113" t="s">
        <v>21</v>
      </c>
      <c r="C76" s="112"/>
      <c r="D76" s="23">
        <v>0</v>
      </c>
      <c r="E76" s="24"/>
      <c r="F76" s="24"/>
      <c r="G76" s="25"/>
      <c r="H76" s="26">
        <v>0</v>
      </c>
      <c r="I76" s="27">
        <f>H76*0.07</f>
        <v>0</v>
      </c>
      <c r="J76" s="23">
        <v>0</v>
      </c>
      <c r="K76" s="28"/>
      <c r="L76" s="29"/>
      <c r="M76" s="55">
        <v>0</v>
      </c>
      <c r="N76" s="31"/>
      <c r="O76" s="25"/>
      <c r="P76" s="27">
        <v>0</v>
      </c>
      <c r="Q76" s="27">
        <f>P76*0.07</f>
        <v>0</v>
      </c>
      <c r="R76" s="32">
        <f>D76+J76-M76</f>
        <v>0</v>
      </c>
    </row>
    <row r="77" spans="1:18" ht="18.600000000000001">
      <c r="A77" s="42">
        <f>+A76+1</f>
        <v>3</v>
      </c>
      <c r="B77" s="62"/>
      <c r="C77" s="112"/>
      <c r="D77" s="23">
        <v>0</v>
      </c>
      <c r="E77" s="24"/>
      <c r="F77" s="24"/>
      <c r="G77" s="25"/>
      <c r="H77" s="26">
        <v>0</v>
      </c>
      <c r="I77" s="27">
        <f>H77*0.07</f>
        <v>0</v>
      </c>
      <c r="J77" s="23">
        <v>0</v>
      </c>
      <c r="K77" s="28"/>
      <c r="L77" s="29"/>
      <c r="M77" s="55">
        <v>0</v>
      </c>
      <c r="N77" s="31"/>
      <c r="O77" s="25"/>
      <c r="P77" s="27">
        <f>ROUND(R77*100/107,2)</f>
        <v>0</v>
      </c>
      <c r="Q77" s="27">
        <f>P77*0.07</f>
        <v>0</v>
      </c>
      <c r="R77" s="32">
        <f>D77+J77-M77</f>
        <v>0</v>
      </c>
    </row>
    <row r="78" spans="1:18" ht="19.2" thickBot="1">
      <c r="A78" s="42"/>
      <c r="B78" s="191" t="s">
        <v>19</v>
      </c>
      <c r="C78" s="192"/>
      <c r="D78" s="106">
        <f>SUM(D75:D77)</f>
        <v>0</v>
      </c>
      <c r="E78" s="106"/>
      <c r="F78" s="106"/>
      <c r="G78" s="106"/>
      <c r="H78" s="106">
        <f>SUM(H75:H77)</f>
        <v>0</v>
      </c>
      <c r="I78" s="106">
        <f>SUM(I75:I77)</f>
        <v>0</v>
      </c>
      <c r="J78" s="106">
        <f>SUM(J75:J77)</f>
        <v>0</v>
      </c>
      <c r="K78" s="114"/>
      <c r="L78" s="114"/>
      <c r="M78" s="107">
        <f>SUM(M75:M77)</f>
        <v>0</v>
      </c>
      <c r="N78" s="108"/>
      <c r="O78" s="106"/>
      <c r="P78" s="106">
        <f>SUM(P75:P77)</f>
        <v>0</v>
      </c>
      <c r="Q78" s="106">
        <f>SUM(Q75:Q77)</f>
        <v>0</v>
      </c>
      <c r="R78" s="106">
        <f>SUM(R75:R77)</f>
        <v>0</v>
      </c>
    </row>
    <row r="79" spans="1:18" ht="19.2" thickTop="1">
      <c r="A79" s="42"/>
      <c r="B79" s="115" t="s">
        <v>47</v>
      </c>
      <c r="C79" s="94"/>
      <c r="D79" s="111"/>
      <c r="E79" s="70"/>
      <c r="F79" s="70"/>
      <c r="G79" s="78"/>
      <c r="H79" s="116"/>
      <c r="I79" s="78"/>
      <c r="J79" s="69"/>
      <c r="K79" s="16"/>
      <c r="L79" s="17"/>
      <c r="M79" s="18"/>
      <c r="N79" s="77"/>
      <c r="O79" s="78"/>
      <c r="P79" s="78"/>
      <c r="Q79" s="78"/>
      <c r="R79" s="96"/>
    </row>
    <row r="80" spans="1:18" ht="18.600000000000001">
      <c r="A80" s="42">
        <v>1</v>
      </c>
      <c r="B80" s="195"/>
      <c r="C80" s="196"/>
      <c r="D80" s="23">
        <v>0</v>
      </c>
      <c r="E80" s="77"/>
      <c r="F80" s="77"/>
      <c r="G80" s="78"/>
      <c r="H80" s="34">
        <v>0</v>
      </c>
      <c r="I80" s="27">
        <f>H80*0.07</f>
        <v>0</v>
      </c>
      <c r="J80" s="23">
        <f>SUM(H80:I80)</f>
        <v>0</v>
      </c>
      <c r="K80" s="56"/>
      <c r="L80" s="56"/>
      <c r="M80" s="55">
        <v>0</v>
      </c>
      <c r="N80" s="77"/>
      <c r="O80" s="78"/>
      <c r="P80" s="27">
        <f>R80*100/107</f>
        <v>0</v>
      </c>
      <c r="Q80" s="27">
        <f>P80*0.07</f>
        <v>0</v>
      </c>
      <c r="R80" s="32">
        <f>D80+J80-M80</f>
        <v>0</v>
      </c>
    </row>
    <row r="81" spans="1:18" ht="18.600000000000001">
      <c r="A81" s="8">
        <v>2</v>
      </c>
      <c r="B81" s="197" t="s">
        <v>21</v>
      </c>
      <c r="C81" s="198"/>
      <c r="D81" s="23">
        <v>0</v>
      </c>
      <c r="E81" s="31"/>
      <c r="F81" s="31"/>
      <c r="G81" s="25"/>
      <c r="H81" s="34">
        <v>0</v>
      </c>
      <c r="I81" s="27">
        <f>H81*0.07</f>
        <v>0</v>
      </c>
      <c r="J81" s="23">
        <f>SUM(H81:I81)</f>
        <v>0</v>
      </c>
      <c r="K81" s="56"/>
      <c r="L81" s="117"/>
      <c r="M81" s="55">
        <v>0</v>
      </c>
      <c r="N81" s="31"/>
      <c r="O81" s="25"/>
      <c r="P81" s="27">
        <f>ROUND(R81*100/107,2)</f>
        <v>0</v>
      </c>
      <c r="Q81" s="27">
        <f>P81*0.07</f>
        <v>0</v>
      </c>
      <c r="R81" s="32">
        <f>D81+J81-M81</f>
        <v>0</v>
      </c>
    </row>
    <row r="82" spans="1:18" ht="18.600000000000001">
      <c r="A82" s="42">
        <v>3</v>
      </c>
      <c r="B82" s="195"/>
      <c r="C82" s="196"/>
      <c r="D82" s="118">
        <v>0</v>
      </c>
      <c r="E82" s="54"/>
      <c r="F82" s="54"/>
      <c r="G82" s="25"/>
      <c r="H82" s="81">
        <v>0</v>
      </c>
      <c r="I82" s="27">
        <f>H82*0.07</f>
        <v>0</v>
      </c>
      <c r="J82" s="23">
        <f>SUM(H82:I82)</f>
        <v>0</v>
      </c>
      <c r="K82" s="56"/>
      <c r="L82" s="91"/>
      <c r="M82" s="55">
        <v>0</v>
      </c>
      <c r="N82" s="54"/>
      <c r="O82" s="25"/>
      <c r="P82" s="27">
        <f>R82*100/107</f>
        <v>0</v>
      </c>
      <c r="Q82" s="27">
        <f>P82*0.07</f>
        <v>0</v>
      </c>
      <c r="R82" s="32">
        <f>D82+J82-M82</f>
        <v>0</v>
      </c>
    </row>
    <row r="83" spans="1:18" ht="19.2" thickBot="1">
      <c r="A83" s="42"/>
      <c r="B83" s="191" t="s">
        <v>19</v>
      </c>
      <c r="C83" s="192"/>
      <c r="D83" s="43">
        <f>SUM(D80:D82)</f>
        <v>0</v>
      </c>
      <c r="E83" s="43"/>
      <c r="F83" s="43"/>
      <c r="G83" s="43"/>
      <c r="H83" s="43">
        <f>SUM(H80:H82)</f>
        <v>0</v>
      </c>
      <c r="I83" s="43">
        <f>SUM(I80:I82)</f>
        <v>0</v>
      </c>
      <c r="J83" s="43">
        <f>SUM(J80:J82)</f>
        <v>0</v>
      </c>
      <c r="K83" s="119"/>
      <c r="L83" s="119"/>
      <c r="M83" s="47">
        <f>SUM(M80:M82)</f>
        <v>0</v>
      </c>
      <c r="N83" s="48"/>
      <c r="O83" s="43"/>
      <c r="P83" s="43">
        <f>SUM(P80:P82)</f>
        <v>0</v>
      </c>
      <c r="Q83" s="43">
        <f>SUM(Q80:Q82)</f>
        <v>0</v>
      </c>
      <c r="R83" s="43">
        <f>SUM(R80:R82)</f>
        <v>0</v>
      </c>
    </row>
    <row r="84" spans="1:18" ht="19.2" thickTop="1">
      <c r="A84" s="8"/>
      <c r="B84" s="51" t="s">
        <v>48</v>
      </c>
      <c r="C84" s="52"/>
      <c r="D84" s="11"/>
      <c r="E84" s="12"/>
      <c r="F84" s="12"/>
      <c r="G84" s="53"/>
      <c r="H84" s="14"/>
      <c r="I84" s="15"/>
      <c r="J84" s="11"/>
      <c r="K84" s="16"/>
      <c r="L84" s="17"/>
      <c r="M84" s="18"/>
      <c r="N84" s="19"/>
      <c r="O84" s="13"/>
      <c r="P84" s="13"/>
      <c r="Q84" s="13"/>
      <c r="R84" s="20"/>
    </row>
    <row r="85" spans="1:18" ht="18.600000000000001">
      <c r="A85" s="8">
        <v>1</v>
      </c>
      <c r="B85" s="62"/>
      <c r="C85" s="63"/>
      <c r="D85" s="23">
        <v>0</v>
      </c>
      <c r="E85" s="24"/>
      <c r="F85" s="24"/>
      <c r="G85" s="25"/>
      <c r="H85" s="26">
        <v>0</v>
      </c>
      <c r="I85" s="27">
        <f>H85*0.07</f>
        <v>0</v>
      </c>
      <c r="J85" s="23">
        <v>0</v>
      </c>
      <c r="K85" s="28"/>
      <c r="L85" s="29"/>
      <c r="M85" s="30">
        <v>0</v>
      </c>
      <c r="N85" s="31"/>
      <c r="O85" s="25"/>
      <c r="P85" s="27">
        <f>ROUND(R85*100/107,2)</f>
        <v>0</v>
      </c>
      <c r="Q85" s="27">
        <f>P85*0.07</f>
        <v>0</v>
      </c>
      <c r="R85" s="32">
        <f>D85+J85-M85</f>
        <v>0</v>
      </c>
    </row>
    <row r="86" spans="1:18" ht="18.600000000000001">
      <c r="A86" s="8">
        <f>+A85+1</f>
        <v>2</v>
      </c>
      <c r="B86" s="64" t="s">
        <v>21</v>
      </c>
      <c r="C86" s="63"/>
      <c r="D86" s="23">
        <v>0</v>
      </c>
      <c r="E86" s="24"/>
      <c r="F86" s="24"/>
      <c r="G86" s="25"/>
      <c r="H86" s="34">
        <v>0</v>
      </c>
      <c r="I86" s="35">
        <f>H86*0.07</f>
        <v>0</v>
      </c>
      <c r="J86" s="36">
        <v>0</v>
      </c>
      <c r="K86" s="28"/>
      <c r="L86" s="29"/>
      <c r="M86" s="30">
        <v>0</v>
      </c>
      <c r="N86" s="31"/>
      <c r="O86" s="25"/>
      <c r="P86" s="27">
        <f>ROUND(R86*100/107,2)</f>
        <v>0</v>
      </c>
      <c r="Q86" s="27">
        <f>P86*0.07</f>
        <v>0</v>
      </c>
      <c r="R86" s="32">
        <f>D86+J86-M86</f>
        <v>0</v>
      </c>
    </row>
    <row r="87" spans="1:18" ht="18.600000000000001">
      <c r="A87" s="8">
        <f>+A86+1</f>
        <v>3</v>
      </c>
      <c r="B87" s="65"/>
      <c r="C87" s="63"/>
      <c r="D87" s="23">
        <v>0</v>
      </c>
      <c r="E87" s="24"/>
      <c r="F87" s="38"/>
      <c r="G87" s="39"/>
      <c r="H87" s="40">
        <f>J87*100/107</f>
        <v>0</v>
      </c>
      <c r="I87" s="40">
        <f>H87*0.07</f>
        <v>0</v>
      </c>
      <c r="J87" s="41">
        <v>0</v>
      </c>
      <c r="K87" s="28"/>
      <c r="L87" s="29"/>
      <c r="M87" s="30">
        <v>0</v>
      </c>
      <c r="N87" s="31"/>
      <c r="O87" s="25"/>
      <c r="P87" s="27">
        <f>ROUND(R87*100/107,2)</f>
        <v>0</v>
      </c>
      <c r="Q87" s="27">
        <f>P87*0.07</f>
        <v>0</v>
      </c>
      <c r="R87" s="32">
        <f>D87+J87-M87</f>
        <v>0</v>
      </c>
    </row>
    <row r="88" spans="1:18" ht="19.2" thickBot="1">
      <c r="A88" s="42"/>
      <c r="B88" s="191" t="s">
        <v>19</v>
      </c>
      <c r="C88" s="192"/>
      <c r="D88" s="43">
        <f>SUM(D85:D87)</f>
        <v>0</v>
      </c>
      <c r="E88" s="43"/>
      <c r="F88" s="43"/>
      <c r="G88" s="44"/>
      <c r="H88" s="44">
        <f>SUM(H85:H87)</f>
        <v>0</v>
      </c>
      <c r="I88" s="44">
        <f>SUM(I85:I87)</f>
        <v>0</v>
      </c>
      <c r="J88" s="44">
        <f>SUM(J85:J87)</f>
        <v>0</v>
      </c>
      <c r="K88" s="45"/>
      <c r="L88" s="46"/>
      <c r="M88" s="47">
        <f>SUM(M85:M87)</f>
        <v>0</v>
      </c>
      <c r="N88" s="48"/>
      <c r="O88" s="43"/>
      <c r="P88" s="49">
        <f>ROUND(R88*100/107,2)</f>
        <v>0</v>
      </c>
      <c r="Q88" s="49">
        <f>P88*0.07</f>
        <v>0</v>
      </c>
      <c r="R88" s="50">
        <f>SUM(R85:R87)</f>
        <v>0</v>
      </c>
    </row>
    <row r="89" spans="1:18" ht="19.2" thickTop="1">
      <c r="A89" s="8"/>
      <c r="B89" s="67" t="s">
        <v>49</v>
      </c>
      <c r="C89" s="68"/>
      <c r="D89" s="69"/>
      <c r="E89" s="70"/>
      <c r="F89" s="70"/>
      <c r="G89" s="71"/>
      <c r="H89" s="72"/>
      <c r="I89" s="73"/>
      <c r="J89" s="69"/>
      <c r="K89" s="74"/>
      <c r="L89" s="75"/>
      <c r="M89" s="76"/>
      <c r="N89" s="77"/>
      <c r="O89" s="78"/>
      <c r="P89" s="78"/>
      <c r="Q89" s="78"/>
      <c r="R89" s="79"/>
    </row>
    <row r="90" spans="1:18" ht="18.600000000000001">
      <c r="A90" s="8">
        <v>1</v>
      </c>
      <c r="B90" s="62"/>
      <c r="C90" s="63"/>
      <c r="D90" s="23">
        <v>0</v>
      </c>
      <c r="E90" s="24"/>
      <c r="F90" s="24"/>
      <c r="G90" s="25"/>
      <c r="H90" s="81">
        <v>0</v>
      </c>
      <c r="I90" s="27">
        <f>H90*0.07</f>
        <v>0</v>
      </c>
      <c r="J90" s="23">
        <v>0</v>
      </c>
      <c r="K90" s="28"/>
      <c r="L90" s="29"/>
      <c r="M90" s="30">
        <v>0</v>
      </c>
      <c r="N90" s="31"/>
      <c r="O90" s="25"/>
      <c r="P90" s="27">
        <f>ROUND(R90*100/107,2)</f>
        <v>0</v>
      </c>
      <c r="Q90" s="27">
        <f>P90*0.07</f>
        <v>0</v>
      </c>
      <c r="R90" s="32">
        <f>D90+J90-M90</f>
        <v>0</v>
      </c>
    </row>
    <row r="91" spans="1:18" ht="18.600000000000001">
      <c r="A91" s="8">
        <f>+A90+1</f>
        <v>2</v>
      </c>
      <c r="B91" s="64" t="s">
        <v>21</v>
      </c>
      <c r="C91" s="63"/>
      <c r="D91" s="23">
        <v>0</v>
      </c>
      <c r="E91" s="24"/>
      <c r="F91" s="24"/>
      <c r="G91" s="25"/>
      <c r="H91" s="34">
        <v>0</v>
      </c>
      <c r="I91" s="35">
        <f>H91*0.07</f>
        <v>0</v>
      </c>
      <c r="J91" s="36">
        <v>0</v>
      </c>
      <c r="K91" s="28"/>
      <c r="L91" s="29"/>
      <c r="M91" s="30">
        <v>0</v>
      </c>
      <c r="N91" s="31"/>
      <c r="O91" s="25"/>
      <c r="P91" s="27">
        <f>ROUND(R91*100/107,2)</f>
        <v>0</v>
      </c>
      <c r="Q91" s="27">
        <f>P91*0.07</f>
        <v>0</v>
      </c>
      <c r="R91" s="32">
        <f>D91+J91-M91</f>
        <v>0</v>
      </c>
    </row>
    <row r="92" spans="1:18" ht="18.600000000000001">
      <c r="A92" s="8">
        <f>+A91+1</f>
        <v>3</v>
      </c>
      <c r="B92" s="65"/>
      <c r="C92" s="63"/>
      <c r="D92" s="23">
        <v>0</v>
      </c>
      <c r="E92" s="24"/>
      <c r="F92" s="38"/>
      <c r="G92" s="39"/>
      <c r="H92" s="40">
        <f>J92*100/107</f>
        <v>0</v>
      </c>
      <c r="I92" s="40">
        <f>H92*0.07</f>
        <v>0</v>
      </c>
      <c r="J92" s="41">
        <v>0</v>
      </c>
      <c r="K92" s="28"/>
      <c r="L92" s="29"/>
      <c r="M92" s="30">
        <v>0</v>
      </c>
      <c r="N92" s="31"/>
      <c r="O92" s="25"/>
      <c r="P92" s="27">
        <f>ROUND(R92*100/107,2)</f>
        <v>0</v>
      </c>
      <c r="Q92" s="27">
        <f>P92*0.07</f>
        <v>0</v>
      </c>
      <c r="R92" s="32">
        <f>D92+J92-M92</f>
        <v>0</v>
      </c>
    </row>
    <row r="93" spans="1:18" ht="19.2" thickBot="1">
      <c r="A93" s="42"/>
      <c r="B93" s="191" t="s">
        <v>19</v>
      </c>
      <c r="C93" s="192"/>
      <c r="D93" s="43">
        <f>SUM(D90:D92)</f>
        <v>0</v>
      </c>
      <c r="E93" s="43"/>
      <c r="F93" s="43"/>
      <c r="G93" s="44"/>
      <c r="H93" s="44">
        <f>SUM(H90:H92)</f>
        <v>0</v>
      </c>
      <c r="I93" s="44">
        <f>SUM(I90:I92)</f>
        <v>0</v>
      </c>
      <c r="J93" s="44">
        <f>SUM(J90:J92)</f>
        <v>0</v>
      </c>
      <c r="K93" s="45"/>
      <c r="L93" s="46"/>
      <c r="M93" s="47">
        <f>SUM(M90:M92)</f>
        <v>0</v>
      </c>
      <c r="N93" s="48"/>
      <c r="O93" s="43"/>
      <c r="P93" s="49">
        <f>ROUND(R93*100/107,2)</f>
        <v>0</v>
      </c>
      <c r="Q93" s="49">
        <f>P93*0.07</f>
        <v>0</v>
      </c>
      <c r="R93" s="50">
        <f>SUM(R90:R92)</f>
        <v>0</v>
      </c>
    </row>
    <row r="94" spans="1:18" ht="19.2" thickTop="1">
      <c r="A94" s="8"/>
      <c r="B94" s="67" t="s">
        <v>50</v>
      </c>
      <c r="C94" s="68"/>
      <c r="D94" s="69"/>
      <c r="E94" s="70"/>
      <c r="F94" s="70"/>
      <c r="G94" s="71"/>
      <c r="H94" s="72"/>
      <c r="I94" s="73"/>
      <c r="J94" s="69"/>
      <c r="K94" s="74"/>
      <c r="L94" s="75"/>
      <c r="M94" s="76"/>
      <c r="N94" s="77"/>
      <c r="O94" s="78"/>
      <c r="P94" s="78"/>
      <c r="Q94" s="78"/>
      <c r="R94" s="79"/>
    </row>
    <row r="95" spans="1:18" ht="18.600000000000001">
      <c r="A95" s="8">
        <v>1</v>
      </c>
      <c r="B95" s="62"/>
      <c r="C95" s="63"/>
      <c r="D95" s="23">
        <v>0</v>
      </c>
      <c r="E95" s="24"/>
      <c r="F95" s="24"/>
      <c r="G95" s="25"/>
      <c r="H95" s="81">
        <v>0</v>
      </c>
      <c r="I95" s="27">
        <f>H95*0.07</f>
        <v>0</v>
      </c>
      <c r="J95" s="23">
        <v>0</v>
      </c>
      <c r="K95" s="28"/>
      <c r="L95" s="29"/>
      <c r="M95" s="30">
        <v>0</v>
      </c>
      <c r="N95" s="31"/>
      <c r="O95" s="25"/>
      <c r="P95" s="27">
        <f>ROUND(R95*100/107,2)</f>
        <v>0</v>
      </c>
      <c r="Q95" s="27">
        <f>P95*0.07</f>
        <v>0</v>
      </c>
      <c r="R95" s="32">
        <f>D95+J95-M95</f>
        <v>0</v>
      </c>
    </row>
    <row r="96" spans="1:18" ht="18.600000000000001">
      <c r="A96" s="8">
        <f>+A95+1</f>
        <v>2</v>
      </c>
      <c r="B96" s="64" t="s">
        <v>21</v>
      </c>
      <c r="C96" s="63"/>
      <c r="D96" s="23">
        <v>0</v>
      </c>
      <c r="E96" s="24"/>
      <c r="F96" s="24"/>
      <c r="G96" s="25"/>
      <c r="H96" s="27">
        <v>0</v>
      </c>
      <c r="I96" s="27">
        <f>H96*0.07</f>
        <v>0</v>
      </c>
      <c r="J96" s="36">
        <v>0</v>
      </c>
      <c r="K96" s="28"/>
      <c r="L96" s="29"/>
      <c r="M96" s="30">
        <v>0</v>
      </c>
      <c r="N96" s="31"/>
      <c r="O96" s="25"/>
      <c r="P96" s="27">
        <f>ROUND(R96*100/107,2)</f>
        <v>0</v>
      </c>
      <c r="Q96" s="27">
        <f>P96*0.07</f>
        <v>0</v>
      </c>
      <c r="R96" s="32">
        <f>D96+J96-M96</f>
        <v>0</v>
      </c>
    </row>
    <row r="97" spans="1:18" ht="18.600000000000001">
      <c r="A97" s="8">
        <f>+A96+1</f>
        <v>3</v>
      </c>
      <c r="B97" s="65"/>
      <c r="C97" s="63"/>
      <c r="D97" s="23">
        <v>0</v>
      </c>
      <c r="E97" s="24"/>
      <c r="F97" s="38"/>
      <c r="G97" s="39"/>
      <c r="H97" s="40">
        <f>J97*100/107</f>
        <v>0</v>
      </c>
      <c r="I97" s="40">
        <f>H97*0.07</f>
        <v>0</v>
      </c>
      <c r="J97" s="41">
        <v>0</v>
      </c>
      <c r="K97" s="28"/>
      <c r="L97" s="29"/>
      <c r="M97" s="30">
        <v>0</v>
      </c>
      <c r="N97" s="31"/>
      <c r="O97" s="25"/>
      <c r="P97" s="27">
        <f>ROUND(R97*100/107,2)</f>
        <v>0</v>
      </c>
      <c r="Q97" s="27">
        <f>P97*0.07</f>
        <v>0</v>
      </c>
      <c r="R97" s="32">
        <f>D97+J97-M97</f>
        <v>0</v>
      </c>
    </row>
    <row r="98" spans="1:18" ht="19.2" thickBot="1">
      <c r="A98" s="42"/>
      <c r="B98" s="191" t="s">
        <v>19</v>
      </c>
      <c r="C98" s="192"/>
      <c r="D98" s="43">
        <f>SUM(D95:D97)</f>
        <v>0</v>
      </c>
      <c r="E98" s="43"/>
      <c r="F98" s="43"/>
      <c r="G98" s="44"/>
      <c r="H98" s="44">
        <f>SUM(H95:H97)</f>
        <v>0</v>
      </c>
      <c r="I98" s="44">
        <f>SUM(I95:I97)</f>
        <v>0</v>
      </c>
      <c r="J98" s="44">
        <f>SUM(J95:J97)</f>
        <v>0</v>
      </c>
      <c r="K98" s="45"/>
      <c r="L98" s="46"/>
      <c r="M98" s="47">
        <f>SUM(M95:M97)</f>
        <v>0</v>
      </c>
      <c r="N98" s="48"/>
      <c r="O98" s="43"/>
      <c r="P98" s="49">
        <f>ROUND(R98*100/107,2)</f>
        <v>0</v>
      </c>
      <c r="Q98" s="49">
        <f>P98*0.07</f>
        <v>0</v>
      </c>
      <c r="R98" s="50">
        <f>SUM(R95:R97)</f>
        <v>0</v>
      </c>
    </row>
    <row r="99" spans="1:18" ht="19.2" thickTop="1">
      <c r="A99" s="8"/>
      <c r="B99" s="67" t="s">
        <v>51</v>
      </c>
      <c r="C99" s="68"/>
      <c r="D99" s="69"/>
      <c r="E99" s="70"/>
      <c r="F99" s="70"/>
      <c r="G99" s="71"/>
      <c r="H99" s="72"/>
      <c r="I99" s="73"/>
      <c r="J99" s="69"/>
      <c r="K99" s="74"/>
      <c r="L99" s="75"/>
      <c r="M99" s="76"/>
      <c r="N99" s="77"/>
      <c r="O99" s="78"/>
      <c r="P99" s="78"/>
      <c r="Q99" s="78"/>
      <c r="R99" s="79"/>
    </row>
    <row r="100" spans="1:18" ht="18.600000000000001">
      <c r="A100" s="8">
        <v>1</v>
      </c>
      <c r="B100" s="62"/>
      <c r="C100" s="63"/>
      <c r="D100" s="23">
        <v>0</v>
      </c>
      <c r="E100" s="24"/>
      <c r="F100" s="24"/>
      <c r="G100" s="25"/>
      <c r="H100" s="26">
        <v>0</v>
      </c>
      <c r="I100" s="27">
        <f>H100*0.07</f>
        <v>0</v>
      </c>
      <c r="J100" s="23">
        <v>0</v>
      </c>
      <c r="K100" s="28"/>
      <c r="L100" s="29"/>
      <c r="M100" s="30">
        <v>0</v>
      </c>
      <c r="N100" s="31"/>
      <c r="O100" s="25"/>
      <c r="P100" s="27">
        <f>ROUND(R100*100/107,2)</f>
        <v>0</v>
      </c>
      <c r="Q100" s="27">
        <f>P100*0.07</f>
        <v>0</v>
      </c>
      <c r="R100" s="32">
        <f>D100+J100-M100</f>
        <v>0</v>
      </c>
    </row>
    <row r="101" spans="1:18" ht="18.600000000000001">
      <c r="A101" s="8">
        <f>+A100+1</f>
        <v>2</v>
      </c>
      <c r="B101" s="64" t="s">
        <v>21</v>
      </c>
      <c r="C101" s="63"/>
      <c r="D101" s="23">
        <v>0</v>
      </c>
      <c r="E101" s="24"/>
      <c r="F101" s="24"/>
      <c r="G101" s="25"/>
      <c r="H101" s="34">
        <v>0</v>
      </c>
      <c r="I101" s="35">
        <f>H101*0.07</f>
        <v>0</v>
      </c>
      <c r="J101" s="36">
        <v>0</v>
      </c>
      <c r="K101" s="28"/>
      <c r="L101" s="29"/>
      <c r="M101" s="30">
        <v>0</v>
      </c>
      <c r="N101" s="31"/>
      <c r="O101" s="25"/>
      <c r="P101" s="27">
        <f>ROUND(R101*100/107,2)</f>
        <v>0</v>
      </c>
      <c r="Q101" s="27">
        <f>P101*0.07</f>
        <v>0</v>
      </c>
      <c r="R101" s="32">
        <f>D101+J101-M101</f>
        <v>0</v>
      </c>
    </row>
    <row r="102" spans="1:18" ht="18.600000000000001">
      <c r="A102" s="8">
        <f>+A101+1</f>
        <v>3</v>
      </c>
      <c r="B102" s="65"/>
      <c r="C102" s="63"/>
      <c r="D102" s="23">
        <v>0</v>
      </c>
      <c r="E102" s="24"/>
      <c r="F102" s="38"/>
      <c r="G102" s="39"/>
      <c r="H102" s="40">
        <f>J102*100/107</f>
        <v>0</v>
      </c>
      <c r="I102" s="40">
        <f>H102*0.07</f>
        <v>0</v>
      </c>
      <c r="J102" s="41">
        <v>0</v>
      </c>
      <c r="K102" s="28"/>
      <c r="L102" s="29"/>
      <c r="M102" s="30">
        <v>0</v>
      </c>
      <c r="N102" s="31"/>
      <c r="O102" s="25"/>
      <c r="P102" s="27">
        <f>ROUND(R102*100/107,2)</f>
        <v>0</v>
      </c>
      <c r="Q102" s="27">
        <f>P102*0.07</f>
        <v>0</v>
      </c>
      <c r="R102" s="32">
        <f>D102+J102-M102</f>
        <v>0</v>
      </c>
    </row>
    <row r="103" spans="1:18" ht="19.2" thickBot="1">
      <c r="A103" s="42"/>
      <c r="B103" s="191" t="s">
        <v>19</v>
      </c>
      <c r="C103" s="192"/>
      <c r="D103" s="43">
        <f>SUM(D100:D102)</f>
        <v>0</v>
      </c>
      <c r="E103" s="43"/>
      <c r="F103" s="43"/>
      <c r="G103" s="44"/>
      <c r="H103" s="44">
        <f>SUM(H100:H102)</f>
        <v>0</v>
      </c>
      <c r="I103" s="44">
        <f>SUM(I100:I102)</f>
        <v>0</v>
      </c>
      <c r="J103" s="44">
        <f>SUM(J100:J102)</f>
        <v>0</v>
      </c>
      <c r="K103" s="45"/>
      <c r="L103" s="46"/>
      <c r="M103" s="47">
        <f>SUM(M100:M102)</f>
        <v>0</v>
      </c>
      <c r="N103" s="48"/>
      <c r="O103" s="43"/>
      <c r="P103" s="49">
        <f>ROUND(R103*100/107,2)</f>
        <v>0</v>
      </c>
      <c r="Q103" s="49">
        <f>P103*0.07</f>
        <v>0</v>
      </c>
      <c r="R103" s="50">
        <f>SUM(R100:R102)</f>
        <v>0</v>
      </c>
    </row>
    <row r="104" spans="1:18" ht="19.2" thickTop="1">
      <c r="A104" s="8"/>
      <c r="B104" s="67" t="s">
        <v>52</v>
      </c>
      <c r="C104" s="68"/>
      <c r="D104" s="69"/>
      <c r="E104" s="70"/>
      <c r="F104" s="70"/>
      <c r="G104" s="71"/>
      <c r="H104" s="72"/>
      <c r="I104" s="73"/>
      <c r="J104" s="69"/>
      <c r="K104" s="74"/>
      <c r="L104" s="75"/>
      <c r="M104" s="76"/>
      <c r="N104" s="77"/>
      <c r="O104" s="78"/>
      <c r="P104" s="78"/>
      <c r="Q104" s="78"/>
      <c r="R104" s="79"/>
    </row>
    <row r="105" spans="1:18" ht="18.600000000000001">
      <c r="A105" s="8">
        <v>1</v>
      </c>
      <c r="B105" s="62"/>
      <c r="C105" s="63"/>
      <c r="D105" s="23">
        <v>0</v>
      </c>
      <c r="E105" s="24"/>
      <c r="F105" s="24"/>
      <c r="G105" s="25"/>
      <c r="H105" s="26">
        <v>0</v>
      </c>
      <c r="I105" s="27">
        <f>H105*0.07</f>
        <v>0</v>
      </c>
      <c r="J105" s="23">
        <v>0</v>
      </c>
      <c r="K105" s="28"/>
      <c r="L105" s="29"/>
      <c r="M105" s="30">
        <v>0</v>
      </c>
      <c r="N105" s="31"/>
      <c r="O105" s="25"/>
      <c r="P105" s="27">
        <f>ROUND(R105*100/107,2)</f>
        <v>0</v>
      </c>
      <c r="Q105" s="27">
        <f>P105*0.07</f>
        <v>0</v>
      </c>
      <c r="R105" s="32">
        <f>D105+J105-M105</f>
        <v>0</v>
      </c>
    </row>
    <row r="106" spans="1:18" ht="18.600000000000001">
      <c r="A106" s="8">
        <f>+A105+1</f>
        <v>2</v>
      </c>
      <c r="B106" s="64" t="s">
        <v>21</v>
      </c>
      <c r="C106" s="63"/>
      <c r="D106" s="23">
        <v>0</v>
      </c>
      <c r="E106" s="24"/>
      <c r="F106" s="24"/>
      <c r="G106" s="25"/>
      <c r="H106" s="34">
        <v>0</v>
      </c>
      <c r="I106" s="35">
        <f>H106*0.07</f>
        <v>0</v>
      </c>
      <c r="J106" s="36">
        <v>0</v>
      </c>
      <c r="K106" s="28"/>
      <c r="L106" s="29"/>
      <c r="M106" s="30">
        <v>0</v>
      </c>
      <c r="N106" s="31"/>
      <c r="O106" s="25"/>
      <c r="P106" s="27">
        <f>ROUND(R106*100/107,2)</f>
        <v>0</v>
      </c>
      <c r="Q106" s="27">
        <f>P106*0.07</f>
        <v>0</v>
      </c>
      <c r="R106" s="32">
        <f>D106+J106-M106</f>
        <v>0</v>
      </c>
    </row>
    <row r="107" spans="1:18" ht="18.600000000000001">
      <c r="A107" s="8">
        <f>+A106+1</f>
        <v>3</v>
      </c>
      <c r="B107" s="65"/>
      <c r="C107" s="63"/>
      <c r="D107" s="23">
        <v>0</v>
      </c>
      <c r="E107" s="24"/>
      <c r="F107" s="38"/>
      <c r="G107" s="39"/>
      <c r="H107" s="40">
        <f>J107*100/107</f>
        <v>0</v>
      </c>
      <c r="I107" s="40">
        <f>H107*0.07</f>
        <v>0</v>
      </c>
      <c r="J107" s="41">
        <v>0</v>
      </c>
      <c r="K107" s="28"/>
      <c r="L107" s="29"/>
      <c r="M107" s="30">
        <v>0</v>
      </c>
      <c r="N107" s="31"/>
      <c r="O107" s="25"/>
      <c r="P107" s="27">
        <f>ROUND(R107*100/107,2)</f>
        <v>0</v>
      </c>
      <c r="Q107" s="27">
        <f>P107*0.07</f>
        <v>0</v>
      </c>
      <c r="R107" s="32">
        <f>D107+J107-M107</f>
        <v>0</v>
      </c>
    </row>
    <row r="108" spans="1:18" ht="19.2" thickBot="1">
      <c r="A108" s="42"/>
      <c r="B108" s="191" t="s">
        <v>19</v>
      </c>
      <c r="C108" s="192"/>
      <c r="D108" s="43">
        <f>SUM(D105:D107)</f>
        <v>0</v>
      </c>
      <c r="E108" s="43"/>
      <c r="F108" s="43"/>
      <c r="G108" s="44"/>
      <c r="H108" s="44">
        <f>SUM(H105:H107)</f>
        <v>0</v>
      </c>
      <c r="I108" s="44">
        <f>SUM(I105:I107)</f>
        <v>0</v>
      </c>
      <c r="J108" s="44">
        <f>SUM(J105:J107)</f>
        <v>0</v>
      </c>
      <c r="K108" s="45"/>
      <c r="L108" s="46"/>
      <c r="M108" s="47">
        <f>SUM(M105:M107)</f>
        <v>0</v>
      </c>
      <c r="N108" s="48"/>
      <c r="O108" s="43"/>
      <c r="P108" s="49">
        <f>ROUND(R108*100/107,2)</f>
        <v>0</v>
      </c>
      <c r="Q108" s="49">
        <f>P108*0.07</f>
        <v>0</v>
      </c>
      <c r="R108" s="50">
        <f>SUM(R105:R107)</f>
        <v>0</v>
      </c>
    </row>
    <row r="109" spans="1:18" ht="19.8" thickTop="1" thickBot="1">
      <c r="A109" s="120"/>
      <c r="B109" s="193" t="s">
        <v>53</v>
      </c>
      <c r="C109" s="194"/>
      <c r="D109" s="106">
        <f>+D11+D16+D21+D26+D32+D37+D42+D47+D52+D57+D68+D73+D78+D83+D88+D93+D98+D103+D108</f>
        <v>0</v>
      </c>
      <c r="E109" s="106"/>
      <c r="F109" s="106"/>
      <c r="G109" s="106"/>
      <c r="H109" s="106">
        <f>+H11+H16+H21+H26+H32+H37+H42+H47+H52+H57+H68+H73+H78+H83+H88+H93+H98+H103+H108</f>
        <v>5530855.9100000001</v>
      </c>
      <c r="I109" s="106">
        <f>+I11+I16+I21+I26+I32+I37+I42+I47+I52+I57+I68+I73+I78+I83+I88+I93+I98+I103+I108</f>
        <v>0</v>
      </c>
      <c r="J109" s="106">
        <f>+J11+J16+J21+J26+J32+J37+J42+J47+J52+J57+J68+J73+J78+J83+J88+J93+J98+J103+J108</f>
        <v>5530855.9100000001</v>
      </c>
      <c r="K109" s="114"/>
      <c r="L109" s="114"/>
      <c r="M109" s="107">
        <f>+M11+M16+M21+M26+M32+M37+M42+M47+M52+M57+M68+M73+M78+M83+M88+M93+M98+M103+M108</f>
        <v>0</v>
      </c>
      <c r="N109" s="108"/>
      <c r="O109" s="106"/>
      <c r="P109" s="106">
        <f>+P11+P16+P21+P26+P32+P37+P42+P47+P52+P57+P68+P73+P78+P83+P88+P93+P98+P103+P108</f>
        <v>5530855.9100000001</v>
      </c>
      <c r="Q109" s="106">
        <f>+Q11+Q16+Q21+Q26+Q32+Q37+Q42+Q47+Q52+Q57+Q68+Q73+Q78+Q83+Q88+Q93+Q98+Q103+Q108</f>
        <v>0</v>
      </c>
      <c r="R109" s="106">
        <f>+R11+R16+R21+R26+R32+R37+R42+R47+R52+R57+R68+R73+R78+R83+R88+R93+R98+R103+R108</f>
        <v>5530855.9100000001</v>
      </c>
    </row>
    <row r="110" spans="1:18" ht="19.2" thickTop="1">
      <c r="A110" s="120"/>
      <c r="B110" s="121"/>
      <c r="C110" s="121"/>
      <c r="D110" s="121"/>
      <c r="E110" s="121"/>
      <c r="F110" s="121"/>
      <c r="G110" s="121"/>
      <c r="H110" s="121"/>
      <c r="I110" s="121"/>
      <c r="J110" s="121"/>
      <c r="K110" s="122"/>
      <c r="L110" s="123"/>
      <c r="M110" s="124"/>
      <c r="N110" s="125"/>
      <c r="O110" s="121"/>
      <c r="P110" s="121"/>
      <c r="Q110" s="121"/>
      <c r="R110" s="126"/>
    </row>
    <row r="111" spans="1:18" ht="6.75" customHeight="1">
      <c r="A111" s="120"/>
      <c r="B111" s="121"/>
      <c r="C111" s="121"/>
      <c r="D111" s="121"/>
      <c r="E111" s="121"/>
      <c r="F111" s="121"/>
      <c r="G111" s="121"/>
      <c r="H111" s="121"/>
      <c r="I111" s="121"/>
      <c r="J111" s="121"/>
      <c r="K111" s="122"/>
      <c r="L111" s="123"/>
      <c r="M111" s="124"/>
      <c r="N111" s="125"/>
      <c r="O111" s="121"/>
      <c r="P111" s="121"/>
      <c r="Q111" s="121"/>
      <c r="R111" s="126"/>
    </row>
    <row r="112" spans="1:18" ht="18.600000000000001">
      <c r="A112" s="120"/>
      <c r="B112" s="121"/>
      <c r="C112" s="121"/>
      <c r="D112" s="121"/>
      <c r="E112" s="127"/>
      <c r="F112" s="127"/>
      <c r="G112" s="121"/>
      <c r="H112" s="121"/>
      <c r="I112" s="121"/>
      <c r="J112" s="121"/>
      <c r="K112" s="122"/>
      <c r="L112" s="123"/>
      <c r="M112" s="124"/>
      <c r="N112" s="189" t="s">
        <v>54</v>
      </c>
      <c r="O112" s="189"/>
      <c r="P112" s="189"/>
      <c r="Q112" s="121"/>
      <c r="R112" s="126"/>
    </row>
    <row r="113" spans="1:18" ht="18.600000000000001">
      <c r="B113" s="128"/>
      <c r="C113" s="121"/>
      <c r="D113" s="121"/>
      <c r="E113" s="121"/>
      <c r="F113" s="121"/>
      <c r="G113" s="121"/>
      <c r="H113" s="190"/>
      <c r="I113" s="190"/>
      <c r="J113" s="190"/>
      <c r="K113" s="122"/>
      <c r="L113" s="123"/>
      <c r="M113" s="124"/>
      <c r="N113" s="125"/>
      <c r="O113" s="121" t="s">
        <v>55</v>
      </c>
      <c r="P113" s="121"/>
      <c r="Q113" s="121"/>
      <c r="R113" s="126"/>
    </row>
    <row r="114" spans="1:18" ht="18.600000000000001">
      <c r="A114" s="129"/>
      <c r="B114" s="130"/>
      <c r="C114" s="129"/>
      <c r="D114" s="131"/>
      <c r="E114" s="129"/>
      <c r="F114" s="129"/>
      <c r="G114" s="132"/>
      <c r="H114" s="132"/>
      <c r="I114" s="132"/>
      <c r="J114" s="133"/>
      <c r="K114" s="134"/>
      <c r="L114" s="135"/>
      <c r="M114" s="136"/>
      <c r="N114" s="137"/>
      <c r="O114" s="132"/>
      <c r="P114" s="132"/>
      <c r="Q114" s="132"/>
      <c r="R114" s="138"/>
    </row>
  </sheetData>
  <mergeCells count="54">
    <mergeCell ref="N112:P112"/>
    <mergeCell ref="H113:J113"/>
    <mergeCell ref="B88:C88"/>
    <mergeCell ref="B93:C93"/>
    <mergeCell ref="B98:C98"/>
    <mergeCell ref="B103:C103"/>
    <mergeCell ref="B108:C108"/>
    <mergeCell ref="B109:C109"/>
    <mergeCell ref="B83:C83"/>
    <mergeCell ref="B42:C42"/>
    <mergeCell ref="B47:C47"/>
    <mergeCell ref="B52:C52"/>
    <mergeCell ref="B57:C57"/>
    <mergeCell ref="B67:C67"/>
    <mergeCell ref="B68:C68"/>
    <mergeCell ref="B73:C73"/>
    <mergeCell ref="B78:C78"/>
    <mergeCell ref="B80:C80"/>
    <mergeCell ref="B81:C81"/>
    <mergeCell ref="B82:C82"/>
    <mergeCell ref="B41:C41"/>
    <mergeCell ref="B14:C14"/>
    <mergeCell ref="B15:C15"/>
    <mergeCell ref="B16:C16"/>
    <mergeCell ref="B21:C21"/>
    <mergeCell ref="B26:C26"/>
    <mergeCell ref="B29:C29"/>
    <mergeCell ref="B31:C31"/>
    <mergeCell ref="B32:C32"/>
    <mergeCell ref="B37:C37"/>
    <mergeCell ref="B39:C39"/>
    <mergeCell ref="B40:C40"/>
    <mergeCell ref="B13:C13"/>
    <mergeCell ref="E5:E6"/>
    <mergeCell ref="F5:F6"/>
    <mergeCell ref="G5:G6"/>
    <mergeCell ref="H5:J5"/>
    <mergeCell ref="B11:C11"/>
    <mergeCell ref="A1:R1"/>
    <mergeCell ref="A2:R2"/>
    <mergeCell ref="A3:R3"/>
    <mergeCell ref="A4:A6"/>
    <mergeCell ref="B4:B6"/>
    <mergeCell ref="C4:C6"/>
    <mergeCell ref="D4:D6"/>
    <mergeCell ref="E4:J4"/>
    <mergeCell ref="K4:M4"/>
    <mergeCell ref="N4:R4"/>
    <mergeCell ref="M5:M6"/>
    <mergeCell ref="N5:N6"/>
    <mergeCell ref="O5:O6"/>
    <mergeCell ref="P5:R5"/>
    <mergeCell ref="K5:K6"/>
    <mergeCell ref="L5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มิย.69</vt:lpstr>
      <vt:lpstr>รับชำระ มิย.69</vt:lpstr>
      <vt:lpstr>แนบ มิย.69</vt:lpstr>
      <vt:lpstr>เรียง มิย.69</vt:lpstr>
      <vt:lpstr>พค.69</vt:lpstr>
      <vt:lpstr>รับชำระ พค.69</vt:lpstr>
      <vt:lpstr>แนบ พค.69</vt:lpstr>
      <vt:lpstr>เรียง พค.69</vt:lpstr>
      <vt:lpstr>เมย.69</vt:lpstr>
      <vt:lpstr>รับชำระ เมย.69</vt:lpstr>
      <vt:lpstr>แนบ เมย.69</vt:lpstr>
      <vt:lpstr>เรียง เมย.69</vt:lpstr>
      <vt:lpstr>มีค.69</vt:lpstr>
      <vt:lpstr>รับชำระ มีค.69</vt:lpstr>
      <vt:lpstr>แนบ มีค.69</vt:lpstr>
      <vt:lpstr>เรียง มีค.69</vt:lpstr>
      <vt:lpstr>กพ.69</vt:lpstr>
      <vt:lpstr>รับชำระกพ.69</vt:lpstr>
      <vt:lpstr>แนบ กพ.69</vt:lpstr>
      <vt:lpstr>เรียง กพ.69</vt:lpstr>
      <vt:lpstr>มค.69</vt:lpstr>
      <vt:lpstr>รับชำระ มค.69</vt:lpstr>
      <vt:lpstr>แนบ มค.69</vt:lpstr>
      <vt:lpstr>เรียง มค.69</vt:lpstr>
      <vt:lpstr>ธค.68</vt:lpstr>
      <vt:lpstr>รับชำระ ธค.68</vt:lpstr>
      <vt:lpstr>แนบ ธค.68</vt:lpstr>
      <vt:lpstr>เรียง ธค.68</vt:lpstr>
      <vt:lpstr>พย.68</vt:lpstr>
      <vt:lpstr>รับชำระ พย.68</vt:lpstr>
      <vt:lpstr>แนบ พย.68</vt:lpstr>
      <vt:lpstr>เรียง พย.68</vt:lpstr>
      <vt:lpstr>ตค.68</vt:lpstr>
      <vt:lpstr>รับชำระ ตค.68</vt:lpstr>
      <vt:lpstr>แนบ ตค.68</vt:lpstr>
      <vt:lpstr>เรียง ตค.68</vt:lpstr>
      <vt:lpstr>กย.68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สนง.บริหารหนี้</dc:creator>
  <cp:lastModifiedBy>สนง.บริหารหนี้</cp:lastModifiedBy>
  <dcterms:created xsi:type="dcterms:W3CDTF">2025-10-06T08:32:57Z</dcterms:created>
  <dcterms:modified xsi:type="dcterms:W3CDTF">2026-08-14T07:03:47Z</dcterms:modified>
</cp:coreProperties>
</file>