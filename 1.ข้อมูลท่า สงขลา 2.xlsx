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44B18CB-391B-405C-8B57-FC80A334E99D}" xr6:coauthVersionLast="47" xr6:coauthVersionMax="47" xr10:uidLastSave="{00000000-0000-0000-0000-000000000000}"/>
  <bookViews>
    <workbookView xWindow="-108" yWindow="-108" windowWidth="23256" windowHeight="12456" xr2:uid="{714DC95D-74C8-4220-B77F-C9A7AC52C996}"/>
  </bookViews>
  <sheets>
    <sheet name="กค.69" sheetId="1" r:id="rId1"/>
  </sheets>
  <definedNames>
    <definedName name="_xlnm.Print_Titles" localSheetId="0">กค.69!$1:$6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89" i="1" l="1"/>
  <c r="M489" i="1"/>
  <c r="L489" i="1"/>
  <c r="K489" i="1"/>
  <c r="J489" i="1"/>
  <c r="I489" i="1"/>
  <c r="H489" i="1"/>
  <c r="D489" i="1"/>
  <c r="S488" i="1"/>
  <c r="Q488" i="1"/>
  <c r="R488" i="1" s="1"/>
  <c r="S487" i="1"/>
  <c r="Q487" i="1"/>
  <c r="R487" i="1" s="1"/>
  <c r="R489" i="1" s="1"/>
  <c r="S486" i="1"/>
  <c r="S489" i="1" s="1"/>
  <c r="J480" i="1"/>
  <c r="I480" i="1"/>
  <c r="H480" i="1"/>
  <c r="S477" i="1"/>
  <c r="Q477" i="1"/>
  <c r="S476" i="1"/>
  <c r="S475" i="1"/>
  <c r="Q475" i="1"/>
  <c r="R475" i="1" s="1"/>
  <c r="A475" i="1"/>
  <c r="A476" i="1" s="1"/>
  <c r="A477" i="1" s="1"/>
  <c r="S474" i="1"/>
  <c r="S480" i="1" s="1"/>
  <c r="S471" i="1"/>
  <c r="Q471" i="1"/>
  <c r="R471" i="1" s="1"/>
  <c r="A471" i="1"/>
  <c r="A470" i="1"/>
  <c r="S469" i="1"/>
  <c r="Q469" i="1" s="1"/>
  <c r="Q480" i="1" s="1"/>
  <c r="R466" i="1"/>
  <c r="Q466" i="1"/>
  <c r="N466" i="1"/>
  <c r="M466" i="1"/>
  <c r="L466" i="1"/>
  <c r="K466" i="1"/>
  <c r="S464" i="1"/>
  <c r="S466" i="1" s="1"/>
  <c r="Q464" i="1"/>
  <c r="N461" i="1"/>
  <c r="M461" i="1"/>
  <c r="L461" i="1"/>
  <c r="K461" i="1"/>
  <c r="J461" i="1"/>
  <c r="I461" i="1"/>
  <c r="H461" i="1"/>
  <c r="S459" i="1"/>
  <c r="R459" i="1"/>
  <c r="Q459" i="1"/>
  <c r="S458" i="1"/>
  <c r="Q458" i="1"/>
  <c r="R458" i="1" s="1"/>
  <c r="S457" i="1"/>
  <c r="Q457" i="1"/>
  <c r="R457" i="1" s="1"/>
  <c r="S456" i="1"/>
  <c r="Q456" i="1" s="1"/>
  <c r="S455" i="1"/>
  <c r="M452" i="1"/>
  <c r="J452" i="1"/>
  <c r="I452" i="1"/>
  <c r="H452" i="1"/>
  <c r="H482" i="1" s="1"/>
  <c r="S451" i="1"/>
  <c r="Q451" i="1"/>
  <c r="Q452" i="1" s="1"/>
  <c r="S450" i="1"/>
  <c r="S452" i="1" s="1"/>
  <c r="Q450" i="1"/>
  <c r="R445" i="1"/>
  <c r="N445" i="1"/>
  <c r="M445" i="1"/>
  <c r="L445" i="1"/>
  <c r="J445" i="1"/>
  <c r="J447" i="1" s="1"/>
  <c r="I445" i="1"/>
  <c r="I447" i="1" s="1"/>
  <c r="H445" i="1"/>
  <c r="G445" i="1"/>
  <c r="F445" i="1"/>
  <c r="E445" i="1"/>
  <c r="D445" i="1"/>
  <c r="S444" i="1"/>
  <c r="S445" i="1" s="1"/>
  <c r="Q444" i="1"/>
  <c r="Q445" i="1" s="1"/>
  <c r="S443" i="1"/>
  <c r="Q443" i="1"/>
  <c r="R438" i="1"/>
  <c r="Q438" i="1"/>
  <c r="M438" i="1"/>
  <c r="D438" i="1"/>
  <c r="S437" i="1"/>
  <c r="S438" i="1" s="1"/>
  <c r="Q437" i="1"/>
  <c r="M435" i="1"/>
  <c r="J435" i="1"/>
  <c r="I435" i="1"/>
  <c r="H435" i="1"/>
  <c r="H447" i="1" s="1"/>
  <c r="D435" i="1"/>
  <c r="S433" i="1"/>
  <c r="Q433" i="1"/>
  <c r="R433" i="1" s="1"/>
  <c r="S432" i="1"/>
  <c r="Q432" i="1"/>
  <c r="R432" i="1" s="1"/>
  <c r="S431" i="1"/>
  <c r="Q431" i="1" s="1"/>
  <c r="R431" i="1" s="1"/>
  <c r="S430" i="1"/>
  <c r="Q430" i="1"/>
  <c r="R430" i="1" s="1"/>
  <c r="S429" i="1"/>
  <c r="Q429" i="1"/>
  <c r="R429" i="1" s="1"/>
  <c r="S428" i="1"/>
  <c r="Q428" i="1"/>
  <c r="R428" i="1" s="1"/>
  <c r="S427" i="1"/>
  <c r="Q427" i="1" s="1"/>
  <c r="R427" i="1" s="1"/>
  <c r="S426" i="1"/>
  <c r="Q426" i="1"/>
  <c r="R426" i="1" s="1"/>
  <c r="S425" i="1"/>
  <c r="Q425" i="1"/>
  <c r="R425" i="1" s="1"/>
  <c r="S424" i="1"/>
  <c r="Q424" i="1"/>
  <c r="R424" i="1" s="1"/>
  <c r="S423" i="1"/>
  <c r="Q423" i="1" s="1"/>
  <c r="R423" i="1" s="1"/>
  <c r="S422" i="1"/>
  <c r="Q422" i="1"/>
  <c r="R422" i="1" s="1"/>
  <c r="S421" i="1"/>
  <c r="Q421" i="1"/>
  <c r="R421" i="1" s="1"/>
  <c r="S420" i="1"/>
  <c r="Q420" i="1"/>
  <c r="R420" i="1" s="1"/>
  <c r="S419" i="1"/>
  <c r="Q419" i="1" s="1"/>
  <c r="R419" i="1" s="1"/>
  <c r="S418" i="1"/>
  <c r="Q418" i="1"/>
  <c r="R418" i="1" s="1"/>
  <c r="S417" i="1"/>
  <c r="Q417" i="1"/>
  <c r="R417" i="1" s="1"/>
  <c r="S416" i="1"/>
  <c r="Q416" i="1"/>
  <c r="R416" i="1" s="1"/>
  <c r="S415" i="1"/>
  <c r="Q415" i="1" s="1"/>
  <c r="R415" i="1" s="1"/>
  <c r="S414" i="1"/>
  <c r="Q414" i="1"/>
  <c r="R414" i="1" s="1"/>
  <c r="S413" i="1"/>
  <c r="Q413" i="1"/>
  <c r="R413" i="1" s="1"/>
  <c r="S412" i="1"/>
  <c r="Q412" i="1"/>
  <c r="R412" i="1" s="1"/>
  <c r="S411" i="1"/>
  <c r="Q411" i="1" s="1"/>
  <c r="R411" i="1" s="1"/>
  <c r="S410" i="1"/>
  <c r="Q410" i="1"/>
  <c r="R410" i="1" s="1"/>
  <c r="S409" i="1"/>
  <c r="Q409" i="1"/>
  <c r="R409" i="1" s="1"/>
  <c r="S408" i="1"/>
  <c r="Q408" i="1"/>
  <c r="R408" i="1" s="1"/>
  <c r="S407" i="1"/>
  <c r="Q407" i="1" s="1"/>
  <c r="R407" i="1" s="1"/>
  <c r="S406" i="1"/>
  <c r="Q406" i="1"/>
  <c r="R406" i="1" s="1"/>
  <c r="S405" i="1"/>
  <c r="Q405" i="1"/>
  <c r="R405" i="1" s="1"/>
  <c r="S404" i="1"/>
  <c r="Q404" i="1"/>
  <c r="R404" i="1" s="1"/>
  <c r="S403" i="1"/>
  <c r="Q403" i="1" s="1"/>
  <c r="R403" i="1" s="1"/>
  <c r="S402" i="1"/>
  <c r="Q402" i="1"/>
  <c r="R402" i="1" s="1"/>
  <c r="S400" i="1"/>
  <c r="Q400" i="1"/>
  <c r="R400" i="1" s="1"/>
  <c r="S399" i="1"/>
  <c r="Q399" i="1"/>
  <c r="R399" i="1" s="1"/>
  <c r="S398" i="1"/>
  <c r="Q398" i="1" s="1"/>
  <c r="R398" i="1" s="1"/>
  <c r="S397" i="1"/>
  <c r="Q397" i="1"/>
  <c r="R397" i="1" s="1"/>
  <c r="S396" i="1"/>
  <c r="Q396" i="1"/>
  <c r="R396" i="1" s="1"/>
  <c r="S395" i="1"/>
  <c r="Q395" i="1"/>
  <c r="R395" i="1" s="1"/>
  <c r="S394" i="1"/>
  <c r="Q394" i="1" s="1"/>
  <c r="R394" i="1" s="1"/>
  <c r="S393" i="1"/>
  <c r="Q393" i="1"/>
  <c r="R393" i="1" s="1"/>
  <c r="S392" i="1"/>
  <c r="Q392" i="1"/>
  <c r="R392" i="1" s="1"/>
  <c r="S391" i="1"/>
  <c r="Q391" i="1"/>
  <c r="R391" i="1" s="1"/>
  <c r="S390" i="1"/>
  <c r="Q390" i="1" s="1"/>
  <c r="R390" i="1" s="1"/>
  <c r="S388" i="1"/>
  <c r="Q388" i="1"/>
  <c r="R388" i="1" s="1"/>
  <c r="S386" i="1"/>
  <c r="Q386" i="1"/>
  <c r="R386" i="1" s="1"/>
  <c r="S385" i="1"/>
  <c r="Q385" i="1"/>
  <c r="R385" i="1" s="1"/>
  <c r="S384" i="1"/>
  <c r="Q384" i="1" s="1"/>
  <c r="R384" i="1" s="1"/>
  <c r="S383" i="1"/>
  <c r="Q383" i="1"/>
  <c r="R383" i="1" s="1"/>
  <c r="S382" i="1"/>
  <c r="Q382" i="1"/>
  <c r="R382" i="1" s="1"/>
  <c r="S381" i="1"/>
  <c r="Q381" i="1"/>
  <c r="R381" i="1" s="1"/>
  <c r="S380" i="1"/>
  <c r="Q380" i="1" s="1"/>
  <c r="R380" i="1" s="1"/>
  <c r="S378" i="1"/>
  <c r="Q378" i="1"/>
  <c r="R378" i="1" s="1"/>
  <c r="S377" i="1"/>
  <c r="Q377" i="1"/>
  <c r="R377" i="1" s="1"/>
  <c r="S376" i="1"/>
  <c r="Q376" i="1"/>
  <c r="R376" i="1" s="1"/>
  <c r="S375" i="1"/>
  <c r="Q375" i="1" s="1"/>
  <c r="R375" i="1" s="1"/>
  <c r="S374" i="1"/>
  <c r="Q374" i="1"/>
  <c r="R374" i="1" s="1"/>
  <c r="S373" i="1"/>
  <c r="Q373" i="1"/>
  <c r="R373" i="1" s="1"/>
  <c r="S372" i="1"/>
  <c r="Q372" i="1"/>
  <c r="R372" i="1" s="1"/>
  <c r="S371" i="1"/>
  <c r="Q371" i="1" s="1"/>
  <c r="R371" i="1" s="1"/>
  <c r="S370" i="1"/>
  <c r="Q370" i="1"/>
  <c r="R370" i="1" s="1"/>
  <c r="S369" i="1"/>
  <c r="Q369" i="1"/>
  <c r="R369" i="1" s="1"/>
  <c r="S368" i="1"/>
  <c r="Q368" i="1"/>
  <c r="R368" i="1" s="1"/>
  <c r="S367" i="1"/>
  <c r="Q367" i="1" s="1"/>
  <c r="R367" i="1" s="1"/>
  <c r="S366" i="1"/>
  <c r="Q366" i="1"/>
  <c r="R366" i="1" s="1"/>
  <c r="S365" i="1"/>
  <c r="Q365" i="1"/>
  <c r="R365" i="1" s="1"/>
  <c r="S364" i="1"/>
  <c r="Q364" i="1"/>
  <c r="R364" i="1" s="1"/>
  <c r="S363" i="1"/>
  <c r="Q363" i="1" s="1"/>
  <c r="R363" i="1" s="1"/>
  <c r="S362" i="1"/>
  <c r="Q362" i="1"/>
  <c r="R362" i="1" s="1"/>
  <c r="S361" i="1"/>
  <c r="Q361" i="1"/>
  <c r="R361" i="1" s="1"/>
  <c r="S360" i="1"/>
  <c r="Q360" i="1"/>
  <c r="R360" i="1" s="1"/>
  <c r="S359" i="1"/>
  <c r="Q359" i="1" s="1"/>
  <c r="R359" i="1" s="1"/>
  <c r="S358" i="1"/>
  <c r="Q358" i="1"/>
  <c r="R358" i="1" s="1"/>
  <c r="S357" i="1"/>
  <c r="Q357" i="1"/>
  <c r="R357" i="1" s="1"/>
  <c r="S356" i="1"/>
  <c r="Q356" i="1"/>
  <c r="R356" i="1" s="1"/>
  <c r="S355" i="1"/>
  <c r="Q355" i="1" s="1"/>
  <c r="R355" i="1" s="1"/>
  <c r="S354" i="1"/>
  <c r="Q354" i="1"/>
  <c r="R354" i="1" s="1"/>
  <c r="S353" i="1"/>
  <c r="Q353" i="1"/>
  <c r="R353" i="1" s="1"/>
  <c r="S352" i="1"/>
  <c r="Q352" i="1"/>
  <c r="R352" i="1" s="1"/>
  <c r="S351" i="1"/>
  <c r="Q351" i="1" s="1"/>
  <c r="R351" i="1" s="1"/>
  <c r="S350" i="1"/>
  <c r="Q350" i="1"/>
  <c r="R350" i="1" s="1"/>
  <c r="S349" i="1"/>
  <c r="Q349" i="1"/>
  <c r="R349" i="1" s="1"/>
  <c r="S348" i="1"/>
  <c r="Q348" i="1"/>
  <c r="R348" i="1" s="1"/>
  <c r="S347" i="1"/>
  <c r="Q347" i="1" s="1"/>
  <c r="R347" i="1" s="1"/>
  <c r="S346" i="1"/>
  <c r="Q346" i="1"/>
  <c r="R346" i="1" s="1"/>
  <c r="S345" i="1"/>
  <c r="Q345" i="1"/>
  <c r="R345" i="1" s="1"/>
  <c r="S344" i="1"/>
  <c r="Q344" i="1"/>
  <c r="R344" i="1" s="1"/>
  <c r="S343" i="1"/>
  <c r="Q343" i="1" s="1"/>
  <c r="R343" i="1" s="1"/>
  <c r="S342" i="1"/>
  <c r="Q342" i="1"/>
  <c r="R342" i="1" s="1"/>
  <c r="S341" i="1"/>
  <c r="Q341" i="1"/>
  <c r="R341" i="1" s="1"/>
  <c r="S340" i="1"/>
  <c r="Q340" i="1"/>
  <c r="R340" i="1" s="1"/>
  <c r="S339" i="1"/>
  <c r="Q339" i="1" s="1"/>
  <c r="R339" i="1" s="1"/>
  <c r="S338" i="1"/>
  <c r="Q338" i="1"/>
  <c r="R338" i="1" s="1"/>
  <c r="S337" i="1"/>
  <c r="Q337" i="1"/>
  <c r="R337" i="1" s="1"/>
  <c r="S336" i="1"/>
  <c r="Q336" i="1"/>
  <c r="R336" i="1" s="1"/>
  <c r="S335" i="1"/>
  <c r="Q335" i="1" s="1"/>
  <c r="R335" i="1" s="1"/>
  <c r="S334" i="1"/>
  <c r="Q334" i="1"/>
  <c r="R334" i="1" s="1"/>
  <c r="S333" i="1"/>
  <c r="Q333" i="1"/>
  <c r="R333" i="1" s="1"/>
  <c r="S332" i="1"/>
  <c r="Q332" i="1"/>
  <c r="R332" i="1" s="1"/>
  <c r="S331" i="1"/>
  <c r="Q331" i="1" s="1"/>
  <c r="R331" i="1" s="1"/>
  <c r="S330" i="1"/>
  <c r="Q330" i="1"/>
  <c r="R330" i="1" s="1"/>
  <c r="S329" i="1"/>
  <c r="Q329" i="1"/>
  <c r="R329" i="1" s="1"/>
  <c r="S328" i="1"/>
  <c r="Q328" i="1"/>
  <c r="R328" i="1" s="1"/>
  <c r="S327" i="1"/>
  <c r="Q327" i="1" s="1"/>
  <c r="R327" i="1" s="1"/>
  <c r="S325" i="1"/>
  <c r="Q325" i="1"/>
  <c r="R325" i="1" s="1"/>
  <c r="S324" i="1"/>
  <c r="Q324" i="1"/>
  <c r="R324" i="1" s="1"/>
  <c r="S323" i="1"/>
  <c r="Q323" i="1"/>
  <c r="R323" i="1" s="1"/>
  <c r="S322" i="1"/>
  <c r="Q322" i="1" s="1"/>
  <c r="R322" i="1" s="1"/>
  <c r="S321" i="1"/>
  <c r="Q321" i="1"/>
  <c r="R321" i="1" s="1"/>
  <c r="S320" i="1"/>
  <c r="Q320" i="1"/>
  <c r="R320" i="1" s="1"/>
  <c r="S319" i="1"/>
  <c r="Q319" i="1"/>
  <c r="R319" i="1" s="1"/>
  <c r="S318" i="1"/>
  <c r="Q318" i="1" s="1"/>
  <c r="R318" i="1" s="1"/>
  <c r="S317" i="1"/>
  <c r="Q317" i="1"/>
  <c r="R317" i="1" s="1"/>
  <c r="S316" i="1"/>
  <c r="Q316" i="1"/>
  <c r="R316" i="1" s="1"/>
  <c r="S315" i="1"/>
  <c r="Q315" i="1"/>
  <c r="R315" i="1" s="1"/>
  <c r="S314" i="1"/>
  <c r="Q314" i="1" s="1"/>
  <c r="R314" i="1" s="1"/>
  <c r="S313" i="1"/>
  <c r="Q313" i="1"/>
  <c r="R313" i="1" s="1"/>
  <c r="S312" i="1"/>
  <c r="Q312" i="1"/>
  <c r="R312" i="1" s="1"/>
  <c r="S311" i="1"/>
  <c r="Q311" i="1"/>
  <c r="R311" i="1" s="1"/>
  <c r="S310" i="1"/>
  <c r="Q310" i="1" s="1"/>
  <c r="R310" i="1" s="1"/>
  <c r="S309" i="1"/>
  <c r="Q309" i="1"/>
  <c r="R309" i="1" s="1"/>
  <c r="S308" i="1"/>
  <c r="Q308" i="1"/>
  <c r="R308" i="1" s="1"/>
  <c r="S307" i="1"/>
  <c r="Q307" i="1"/>
  <c r="R307" i="1" s="1"/>
  <c r="S306" i="1"/>
  <c r="Q306" i="1" s="1"/>
  <c r="R306" i="1" s="1"/>
  <c r="S305" i="1"/>
  <c r="Q305" i="1"/>
  <c r="R305" i="1" s="1"/>
  <c r="S304" i="1"/>
  <c r="Q304" i="1"/>
  <c r="R304" i="1" s="1"/>
  <c r="S303" i="1"/>
  <c r="Q303" i="1"/>
  <c r="R303" i="1" s="1"/>
  <c r="S302" i="1"/>
  <c r="Q302" i="1" s="1"/>
  <c r="R302" i="1" s="1"/>
  <c r="S301" i="1"/>
  <c r="Q301" i="1"/>
  <c r="R301" i="1" s="1"/>
  <c r="S300" i="1"/>
  <c r="Q300" i="1"/>
  <c r="R300" i="1" s="1"/>
  <c r="S299" i="1"/>
  <c r="Q299" i="1"/>
  <c r="R299" i="1" s="1"/>
  <c r="S298" i="1"/>
  <c r="Q298" i="1" s="1"/>
  <c r="R298" i="1" s="1"/>
  <c r="S297" i="1"/>
  <c r="Q297" i="1"/>
  <c r="R297" i="1" s="1"/>
  <c r="S296" i="1"/>
  <c r="Q296" i="1"/>
  <c r="R296" i="1" s="1"/>
  <c r="S295" i="1"/>
  <c r="Q295" i="1"/>
  <c r="R295" i="1" s="1"/>
  <c r="S294" i="1"/>
  <c r="Q294" i="1" s="1"/>
  <c r="R294" i="1" s="1"/>
  <c r="S293" i="1"/>
  <c r="Q293" i="1"/>
  <c r="R293" i="1" s="1"/>
  <c r="S292" i="1"/>
  <c r="Q292" i="1"/>
  <c r="R292" i="1" s="1"/>
  <c r="S291" i="1"/>
  <c r="Q291" i="1"/>
  <c r="R291" i="1" s="1"/>
  <c r="S290" i="1"/>
  <c r="Q290" i="1" s="1"/>
  <c r="R290" i="1" s="1"/>
  <c r="S289" i="1"/>
  <c r="Q289" i="1"/>
  <c r="R289" i="1" s="1"/>
  <c r="S288" i="1"/>
  <c r="Q288" i="1"/>
  <c r="R288" i="1" s="1"/>
  <c r="S287" i="1"/>
  <c r="Q287" i="1"/>
  <c r="R287" i="1" s="1"/>
  <c r="S286" i="1"/>
  <c r="Q286" i="1" s="1"/>
  <c r="R286" i="1" s="1"/>
  <c r="S285" i="1"/>
  <c r="Q285" i="1"/>
  <c r="R285" i="1" s="1"/>
  <c r="S284" i="1"/>
  <c r="Q284" i="1"/>
  <c r="R284" i="1" s="1"/>
  <c r="Q283" i="1"/>
  <c r="R283" i="1" s="1"/>
  <c r="S282" i="1"/>
  <c r="Q282" i="1" s="1"/>
  <c r="R282" i="1" s="1"/>
  <c r="S281" i="1"/>
  <c r="Q281" i="1"/>
  <c r="R281" i="1" s="1"/>
  <c r="S280" i="1"/>
  <c r="Q280" i="1" s="1"/>
  <c r="R280" i="1" s="1"/>
  <c r="S279" i="1"/>
  <c r="Q279" i="1"/>
  <c r="R279" i="1" s="1"/>
  <c r="S278" i="1"/>
  <c r="Q278" i="1" s="1"/>
  <c r="R278" i="1" s="1"/>
  <c r="S277" i="1"/>
  <c r="Q277" i="1"/>
  <c r="R277" i="1" s="1"/>
  <c r="S276" i="1"/>
  <c r="Q276" i="1" s="1"/>
  <c r="R276" i="1" s="1"/>
  <c r="S275" i="1"/>
  <c r="Q275" i="1"/>
  <c r="R275" i="1" s="1"/>
  <c r="S274" i="1"/>
  <c r="Q274" i="1" s="1"/>
  <c r="R274" i="1" s="1"/>
  <c r="S273" i="1"/>
  <c r="Q273" i="1"/>
  <c r="R273" i="1" s="1"/>
  <c r="S272" i="1"/>
  <c r="Q272" i="1" s="1"/>
  <c r="R272" i="1" s="1"/>
  <c r="S271" i="1"/>
  <c r="Q271" i="1"/>
  <c r="R271" i="1" s="1"/>
  <c r="S270" i="1"/>
  <c r="S435" i="1" s="1"/>
  <c r="S269" i="1"/>
  <c r="Q269" i="1"/>
  <c r="M267" i="1"/>
  <c r="J267" i="1"/>
  <c r="I267" i="1"/>
  <c r="H267" i="1"/>
  <c r="D267" i="1"/>
  <c r="S265" i="1"/>
  <c r="Q265" i="1"/>
  <c r="R265" i="1" s="1"/>
  <c r="S264" i="1"/>
  <c r="Q264" i="1" s="1"/>
  <c r="R264" i="1" s="1"/>
  <c r="S263" i="1"/>
  <c r="Q263" i="1"/>
  <c r="R263" i="1" s="1"/>
  <c r="S262" i="1"/>
  <c r="R262" i="1"/>
  <c r="Q262" i="1"/>
  <c r="S261" i="1"/>
  <c r="Q261" i="1"/>
  <c r="R261" i="1" s="1"/>
  <c r="S260" i="1"/>
  <c r="Q260" i="1" s="1"/>
  <c r="R260" i="1" s="1"/>
  <c r="S259" i="1"/>
  <c r="Q259" i="1"/>
  <c r="R259" i="1" s="1"/>
  <c r="S258" i="1"/>
  <c r="R258" i="1"/>
  <c r="Q258" i="1"/>
  <c r="S257" i="1"/>
  <c r="Q257" i="1"/>
  <c r="R257" i="1" s="1"/>
  <c r="S256" i="1"/>
  <c r="Q256" i="1" s="1"/>
  <c r="R256" i="1" s="1"/>
  <c r="S255" i="1"/>
  <c r="Q255" i="1"/>
  <c r="R255" i="1" s="1"/>
  <c r="S254" i="1"/>
  <c r="R254" i="1"/>
  <c r="Q254" i="1"/>
  <c r="S253" i="1"/>
  <c r="Q253" i="1"/>
  <c r="R253" i="1" s="1"/>
  <c r="S252" i="1"/>
  <c r="Q252" i="1" s="1"/>
  <c r="R252" i="1" s="1"/>
  <c r="S251" i="1"/>
  <c r="Q251" i="1"/>
  <c r="R251" i="1" s="1"/>
  <c r="S250" i="1"/>
  <c r="R250" i="1"/>
  <c r="Q250" i="1"/>
  <c r="S249" i="1"/>
  <c r="Q249" i="1"/>
  <c r="R249" i="1" s="1"/>
  <c r="S248" i="1"/>
  <c r="Q248" i="1" s="1"/>
  <c r="R248" i="1" s="1"/>
  <c r="S247" i="1"/>
  <c r="Q247" i="1"/>
  <c r="R247" i="1" s="1"/>
  <c r="S246" i="1"/>
  <c r="R246" i="1"/>
  <c r="Q246" i="1"/>
  <c r="S245" i="1"/>
  <c r="Q245" i="1"/>
  <c r="R245" i="1" s="1"/>
  <c r="S244" i="1"/>
  <c r="Q244" i="1" s="1"/>
  <c r="R244" i="1" s="1"/>
  <c r="S243" i="1"/>
  <c r="Q243" i="1"/>
  <c r="R243" i="1" s="1"/>
  <c r="S242" i="1"/>
  <c r="R242" i="1"/>
  <c r="Q242" i="1"/>
  <c r="S241" i="1"/>
  <c r="Q241" i="1"/>
  <c r="R241" i="1" s="1"/>
  <c r="S240" i="1"/>
  <c r="Q240" i="1" s="1"/>
  <c r="R240" i="1" s="1"/>
  <c r="S239" i="1"/>
  <c r="Q239" i="1"/>
  <c r="R239" i="1" s="1"/>
  <c r="S238" i="1"/>
  <c r="R238" i="1"/>
  <c r="Q238" i="1"/>
  <c r="S237" i="1"/>
  <c r="Q237" i="1"/>
  <c r="R237" i="1" s="1"/>
  <c r="S236" i="1"/>
  <c r="Q236" i="1" s="1"/>
  <c r="R236" i="1" s="1"/>
  <c r="Q235" i="1"/>
  <c r="R235" i="1" s="1"/>
  <c r="S234" i="1"/>
  <c r="Q234" i="1"/>
  <c r="R234" i="1" s="1"/>
  <c r="S233" i="1"/>
  <c r="Q233" i="1" s="1"/>
  <c r="R233" i="1" s="1"/>
  <c r="S232" i="1"/>
  <c r="R232" i="1"/>
  <c r="Q232" i="1"/>
  <c r="S231" i="1"/>
  <c r="Q231" i="1"/>
  <c r="R231" i="1" s="1"/>
  <c r="S230" i="1"/>
  <c r="Q230" i="1"/>
  <c r="R230" i="1" s="1"/>
  <c r="S229" i="1"/>
  <c r="Q229" i="1" s="1"/>
  <c r="R229" i="1" s="1"/>
  <c r="S227" i="1"/>
  <c r="R227" i="1"/>
  <c r="Q227" i="1"/>
  <c r="S226" i="1"/>
  <c r="Q226" i="1"/>
  <c r="R226" i="1" s="1"/>
  <c r="S225" i="1"/>
  <c r="Q225" i="1"/>
  <c r="R225" i="1" s="1"/>
  <c r="S224" i="1"/>
  <c r="Q224" i="1" s="1"/>
  <c r="R224" i="1" s="1"/>
  <c r="S223" i="1"/>
  <c r="R223" i="1"/>
  <c r="Q223" i="1"/>
  <c r="S222" i="1"/>
  <c r="Q222" i="1"/>
  <c r="R222" i="1" s="1"/>
  <c r="S221" i="1"/>
  <c r="Q221" i="1"/>
  <c r="R221" i="1" s="1"/>
  <c r="S220" i="1"/>
  <c r="Q220" i="1" s="1"/>
  <c r="R220" i="1" s="1"/>
  <c r="S219" i="1"/>
  <c r="R219" i="1"/>
  <c r="Q219" i="1"/>
  <c r="S218" i="1"/>
  <c r="Q218" i="1"/>
  <c r="R218" i="1" s="1"/>
  <c r="S217" i="1"/>
  <c r="Q217" i="1"/>
  <c r="R217" i="1" s="1"/>
  <c r="S216" i="1"/>
  <c r="Q216" i="1" s="1"/>
  <c r="R216" i="1" s="1"/>
  <c r="S215" i="1"/>
  <c r="R215" i="1"/>
  <c r="Q215" i="1"/>
  <c r="S213" i="1"/>
  <c r="Q213" i="1"/>
  <c r="R213" i="1" s="1"/>
  <c r="S212" i="1"/>
  <c r="Q212" i="1"/>
  <c r="R212" i="1" s="1"/>
  <c r="S211" i="1"/>
  <c r="Q211" i="1" s="1"/>
  <c r="R211" i="1" s="1"/>
  <c r="S210" i="1"/>
  <c r="R210" i="1"/>
  <c r="Q210" i="1"/>
  <c r="S209" i="1"/>
  <c r="Q209" i="1"/>
  <c r="R209" i="1" s="1"/>
  <c r="S208" i="1"/>
  <c r="Q208" i="1"/>
  <c r="R208" i="1" s="1"/>
  <c r="S207" i="1"/>
  <c r="Q207" i="1" s="1"/>
  <c r="R207" i="1" s="1"/>
  <c r="S206" i="1"/>
  <c r="R206" i="1"/>
  <c r="Q206" i="1"/>
  <c r="S205" i="1"/>
  <c r="Q205" i="1"/>
  <c r="R205" i="1" s="1"/>
  <c r="S204" i="1"/>
  <c r="Q204" i="1"/>
  <c r="R204" i="1" s="1"/>
  <c r="S203" i="1"/>
  <c r="Q203" i="1" s="1"/>
  <c r="R203" i="1" s="1"/>
  <c r="S201" i="1"/>
  <c r="R201" i="1"/>
  <c r="Q201" i="1"/>
  <c r="S200" i="1"/>
  <c r="Q200" i="1"/>
  <c r="R200" i="1" s="1"/>
  <c r="S199" i="1"/>
  <c r="Q199" i="1"/>
  <c r="R199" i="1" s="1"/>
  <c r="S198" i="1"/>
  <c r="Q198" i="1" s="1"/>
  <c r="R198" i="1" s="1"/>
  <c r="S197" i="1"/>
  <c r="R197" i="1"/>
  <c r="Q197" i="1"/>
  <c r="S196" i="1"/>
  <c r="Q196" i="1"/>
  <c r="R196" i="1" s="1"/>
  <c r="S195" i="1"/>
  <c r="Q195" i="1"/>
  <c r="R195" i="1" s="1"/>
  <c r="S194" i="1"/>
  <c r="Q194" i="1" s="1"/>
  <c r="R194" i="1" s="1"/>
  <c r="S193" i="1"/>
  <c r="R193" i="1"/>
  <c r="Q193" i="1"/>
  <c r="S192" i="1"/>
  <c r="Q192" i="1"/>
  <c r="R192" i="1" s="1"/>
  <c r="S191" i="1"/>
  <c r="Q191" i="1"/>
  <c r="R191" i="1" s="1"/>
  <c r="S190" i="1"/>
  <c r="Q190" i="1" s="1"/>
  <c r="R190" i="1" s="1"/>
  <c r="S189" i="1"/>
  <c r="R189" i="1"/>
  <c r="Q189" i="1"/>
  <c r="S188" i="1"/>
  <c r="Q188" i="1"/>
  <c r="R188" i="1" s="1"/>
  <c r="S187" i="1"/>
  <c r="Q187" i="1"/>
  <c r="R187" i="1" s="1"/>
  <c r="S186" i="1"/>
  <c r="Q186" i="1" s="1"/>
  <c r="R186" i="1" s="1"/>
  <c r="S185" i="1"/>
  <c r="R185" i="1"/>
  <c r="Q185" i="1"/>
  <c r="S184" i="1"/>
  <c r="Q184" i="1"/>
  <c r="R184" i="1" s="1"/>
  <c r="S183" i="1"/>
  <c r="Q183" i="1"/>
  <c r="R183" i="1" s="1"/>
  <c r="S182" i="1"/>
  <c r="Q182" i="1" s="1"/>
  <c r="R182" i="1" s="1"/>
  <c r="S181" i="1"/>
  <c r="R181" i="1"/>
  <c r="Q181" i="1"/>
  <c r="S180" i="1"/>
  <c r="Q180" i="1"/>
  <c r="R180" i="1" s="1"/>
  <c r="S179" i="1"/>
  <c r="Q179" i="1"/>
  <c r="R179" i="1" s="1"/>
  <c r="S178" i="1"/>
  <c r="Q178" i="1" s="1"/>
  <c r="R178" i="1" s="1"/>
  <c r="S177" i="1"/>
  <c r="R177" i="1"/>
  <c r="Q177" i="1"/>
  <c r="S176" i="1"/>
  <c r="Q176" i="1"/>
  <c r="R176" i="1" s="1"/>
  <c r="S175" i="1"/>
  <c r="Q175" i="1"/>
  <c r="R175" i="1" s="1"/>
  <c r="S174" i="1"/>
  <c r="Q174" i="1" s="1"/>
  <c r="R174" i="1" s="1"/>
  <c r="S173" i="1"/>
  <c r="R173" i="1"/>
  <c r="Q173" i="1"/>
  <c r="S172" i="1"/>
  <c r="Q172" i="1"/>
  <c r="R172" i="1" s="1"/>
  <c r="S171" i="1"/>
  <c r="Q171" i="1"/>
  <c r="R171" i="1" s="1"/>
  <c r="S170" i="1"/>
  <c r="Q170" i="1" s="1"/>
  <c r="R170" i="1" s="1"/>
  <c r="S169" i="1"/>
  <c r="R169" i="1"/>
  <c r="Q169" i="1"/>
  <c r="S168" i="1"/>
  <c r="Q168" i="1"/>
  <c r="R168" i="1" s="1"/>
  <c r="S167" i="1"/>
  <c r="Q167" i="1"/>
  <c r="R167" i="1" s="1"/>
  <c r="S166" i="1"/>
  <c r="Q166" i="1" s="1"/>
  <c r="R166" i="1" s="1"/>
  <c r="S165" i="1"/>
  <c r="R165" i="1"/>
  <c r="Q165" i="1"/>
  <c r="S164" i="1"/>
  <c r="Q164" i="1"/>
  <c r="R164" i="1" s="1"/>
  <c r="S163" i="1"/>
  <c r="Q163" i="1"/>
  <c r="R163" i="1" s="1"/>
  <c r="S162" i="1"/>
  <c r="Q162" i="1" s="1"/>
  <c r="R162" i="1" s="1"/>
  <c r="S161" i="1"/>
  <c r="R161" i="1"/>
  <c r="Q161" i="1"/>
  <c r="S160" i="1"/>
  <c r="Q160" i="1"/>
  <c r="R160" i="1" s="1"/>
  <c r="S159" i="1"/>
  <c r="Q159" i="1"/>
  <c r="R159" i="1" s="1"/>
  <c r="S158" i="1"/>
  <c r="Q158" i="1" s="1"/>
  <c r="R158" i="1" s="1"/>
  <c r="S157" i="1"/>
  <c r="R157" i="1"/>
  <c r="Q157" i="1"/>
  <c r="S156" i="1"/>
  <c r="Q156" i="1"/>
  <c r="R156" i="1" s="1"/>
  <c r="S155" i="1"/>
  <c r="Q155" i="1"/>
  <c r="R155" i="1" s="1"/>
  <c r="S154" i="1"/>
  <c r="Q154" i="1" s="1"/>
  <c r="R154" i="1" s="1"/>
  <c r="S153" i="1"/>
  <c r="R153" i="1"/>
  <c r="Q153" i="1"/>
  <c r="S152" i="1"/>
  <c r="Q152" i="1"/>
  <c r="R152" i="1" s="1"/>
  <c r="S151" i="1"/>
  <c r="Q151" i="1"/>
  <c r="R151" i="1" s="1"/>
  <c r="S150" i="1"/>
  <c r="Q150" i="1" s="1"/>
  <c r="R150" i="1" s="1"/>
  <c r="S149" i="1"/>
  <c r="R149" i="1"/>
  <c r="Q149" i="1"/>
  <c r="S148" i="1"/>
  <c r="Q148" i="1"/>
  <c r="R148" i="1" s="1"/>
  <c r="S147" i="1"/>
  <c r="Q147" i="1"/>
  <c r="R147" i="1" s="1"/>
  <c r="S146" i="1"/>
  <c r="Q146" i="1" s="1"/>
  <c r="R146" i="1" s="1"/>
  <c r="S145" i="1"/>
  <c r="R145" i="1"/>
  <c r="Q145" i="1"/>
  <c r="S144" i="1"/>
  <c r="Q144" i="1"/>
  <c r="R144" i="1" s="1"/>
  <c r="S143" i="1"/>
  <c r="Q143" i="1"/>
  <c r="R143" i="1" s="1"/>
  <c r="S142" i="1"/>
  <c r="Q142" i="1" s="1"/>
  <c r="R142" i="1" s="1"/>
  <c r="M140" i="1"/>
  <c r="J140" i="1"/>
  <c r="I140" i="1"/>
  <c r="H140" i="1"/>
  <c r="D140" i="1"/>
  <c r="S139" i="1"/>
  <c r="Q139" i="1" s="1"/>
  <c r="R139" i="1" s="1"/>
  <c r="S138" i="1"/>
  <c r="Q138" i="1"/>
  <c r="R138" i="1" s="1"/>
  <c r="S137" i="1"/>
  <c r="Q137" i="1" s="1"/>
  <c r="R137" i="1" s="1"/>
  <c r="S136" i="1"/>
  <c r="Q136" i="1"/>
  <c r="R136" i="1" s="1"/>
  <c r="S135" i="1"/>
  <c r="Q135" i="1" s="1"/>
  <c r="R135" i="1" s="1"/>
  <c r="S134" i="1"/>
  <c r="Q134" i="1"/>
  <c r="R134" i="1" s="1"/>
  <c r="S133" i="1"/>
  <c r="Q133" i="1" s="1"/>
  <c r="R133" i="1" s="1"/>
  <c r="S132" i="1"/>
  <c r="Q132" i="1"/>
  <c r="R132" i="1" s="1"/>
  <c r="S131" i="1"/>
  <c r="Q131" i="1" s="1"/>
  <c r="R131" i="1" s="1"/>
  <c r="S130" i="1"/>
  <c r="Q130" i="1"/>
  <c r="R130" i="1" s="1"/>
  <c r="S129" i="1"/>
  <c r="Q129" i="1" s="1"/>
  <c r="R129" i="1" s="1"/>
  <c r="S128" i="1"/>
  <c r="Q128" i="1"/>
  <c r="R128" i="1" s="1"/>
  <c r="S127" i="1"/>
  <c r="Q127" i="1" s="1"/>
  <c r="R127" i="1" s="1"/>
  <c r="S126" i="1"/>
  <c r="Q126" i="1"/>
  <c r="R126" i="1" s="1"/>
  <c r="S125" i="1"/>
  <c r="Q125" i="1" s="1"/>
  <c r="R125" i="1" s="1"/>
  <c r="S124" i="1"/>
  <c r="Q124" i="1"/>
  <c r="R124" i="1" s="1"/>
  <c r="S123" i="1"/>
  <c r="Q123" i="1" s="1"/>
  <c r="R123" i="1" s="1"/>
  <c r="S122" i="1"/>
  <c r="Q122" i="1"/>
  <c r="R122" i="1" s="1"/>
  <c r="S121" i="1"/>
  <c r="Q121" i="1" s="1"/>
  <c r="R121" i="1" s="1"/>
  <c r="S120" i="1"/>
  <c r="Q120" i="1"/>
  <c r="R120" i="1" s="1"/>
  <c r="S119" i="1"/>
  <c r="Q119" i="1" s="1"/>
  <c r="R119" i="1" s="1"/>
  <c r="S118" i="1"/>
  <c r="Q118" i="1"/>
  <c r="R118" i="1" s="1"/>
  <c r="S117" i="1"/>
  <c r="Q117" i="1" s="1"/>
  <c r="R117" i="1" s="1"/>
  <c r="S116" i="1"/>
  <c r="Q116" i="1"/>
  <c r="R116" i="1" s="1"/>
  <c r="S115" i="1"/>
  <c r="Q115" i="1" s="1"/>
  <c r="R115" i="1" s="1"/>
  <c r="S114" i="1"/>
  <c r="R114" i="1"/>
  <c r="Q114" i="1"/>
  <c r="S113" i="1"/>
  <c r="Q113" i="1" s="1"/>
  <c r="R113" i="1" s="1"/>
  <c r="S112" i="1"/>
  <c r="Q112" i="1"/>
  <c r="R112" i="1" s="1"/>
  <c r="S111" i="1"/>
  <c r="Q111" i="1" s="1"/>
  <c r="R111" i="1"/>
  <c r="S109" i="1"/>
  <c r="R109" i="1"/>
  <c r="Q109" i="1"/>
  <c r="M109" i="1"/>
  <c r="M447" i="1" s="1"/>
  <c r="D109" i="1"/>
  <c r="R104" i="1"/>
  <c r="M104" i="1"/>
  <c r="J104" i="1"/>
  <c r="I104" i="1"/>
  <c r="H104" i="1"/>
  <c r="D104" i="1"/>
  <c r="S103" i="1"/>
  <c r="Q103" i="1"/>
  <c r="S102" i="1"/>
  <c r="Q102" i="1" s="1"/>
  <c r="S101" i="1"/>
  <c r="Q101" i="1"/>
  <c r="S100" i="1"/>
  <c r="Q100" i="1"/>
  <c r="S99" i="1"/>
  <c r="Q99" i="1"/>
  <c r="S98" i="1"/>
  <c r="Q98" i="1"/>
  <c r="S97" i="1"/>
  <c r="Q97" i="1"/>
  <c r="S96" i="1"/>
  <c r="Q96" i="1" s="1"/>
  <c r="S95" i="1"/>
  <c r="Q95" i="1"/>
  <c r="S94" i="1"/>
  <c r="Q94" i="1"/>
  <c r="S93" i="1"/>
  <c r="Q93" i="1"/>
  <c r="S92" i="1"/>
  <c r="Q92" i="1"/>
  <c r="S91" i="1"/>
  <c r="Q91" i="1"/>
  <c r="S90" i="1"/>
  <c r="Q90" i="1" s="1"/>
  <c r="S89" i="1"/>
  <c r="Q89" i="1"/>
  <c r="S88" i="1"/>
  <c r="Q88" i="1"/>
  <c r="S87" i="1"/>
  <c r="Q87" i="1"/>
  <c r="S86" i="1"/>
  <c r="Q86" i="1"/>
  <c r="S85" i="1"/>
  <c r="Q85" i="1"/>
  <c r="S84" i="1"/>
  <c r="Q84" i="1" s="1"/>
  <c r="S83" i="1"/>
  <c r="Q83" i="1"/>
  <c r="S82" i="1"/>
  <c r="Q82" i="1"/>
  <c r="S81" i="1"/>
  <c r="S104" i="1" s="1"/>
  <c r="Q81" i="1"/>
  <c r="S80" i="1"/>
  <c r="Q80" i="1"/>
  <c r="S79" i="1"/>
  <c r="Q79" i="1"/>
  <c r="S78" i="1"/>
  <c r="Q78" i="1" s="1"/>
  <c r="S77" i="1"/>
  <c r="Q77" i="1"/>
  <c r="S76" i="1"/>
  <c r="Q76" i="1"/>
  <c r="S75" i="1"/>
  <c r="Q75" i="1"/>
  <c r="M64" i="1"/>
  <c r="J64" i="1"/>
  <c r="I64" i="1"/>
  <c r="H64" i="1"/>
  <c r="D64" i="1"/>
  <c r="S63" i="1"/>
  <c r="Q63" i="1"/>
  <c r="R63" i="1" s="1"/>
  <c r="S62" i="1"/>
  <c r="Q62" i="1" s="1"/>
  <c r="R62" i="1" s="1"/>
  <c r="S61" i="1"/>
  <c r="S60" i="1"/>
  <c r="Q60" i="1"/>
  <c r="R60" i="1" s="1"/>
  <c r="S59" i="1"/>
  <c r="Q59" i="1"/>
  <c r="R59" i="1" s="1"/>
  <c r="S58" i="1"/>
  <c r="Q58" i="1" s="1"/>
  <c r="R58" i="1" s="1"/>
  <c r="S57" i="1"/>
  <c r="R57" i="1"/>
  <c r="Q57" i="1"/>
  <c r="S56" i="1"/>
  <c r="Q56" i="1"/>
  <c r="R56" i="1" s="1"/>
  <c r="M54" i="1"/>
  <c r="J54" i="1"/>
  <c r="I54" i="1"/>
  <c r="H54" i="1"/>
  <c r="D54" i="1"/>
  <c r="S53" i="1"/>
  <c r="Q53" i="1" s="1"/>
  <c r="S52" i="1"/>
  <c r="Q52" i="1"/>
  <c r="R52" i="1" s="1"/>
  <c r="S47" i="1"/>
  <c r="M47" i="1"/>
  <c r="J47" i="1"/>
  <c r="I47" i="1"/>
  <c r="H47" i="1"/>
  <c r="D47" i="1"/>
  <c r="S46" i="1"/>
  <c r="Q46" i="1"/>
  <c r="R46" i="1" s="1"/>
  <c r="S45" i="1"/>
  <c r="Q45" i="1"/>
  <c r="R45" i="1" s="1"/>
  <c r="S44" i="1"/>
  <c r="Q44" i="1"/>
  <c r="R44" i="1" s="1"/>
  <c r="S43" i="1"/>
  <c r="Q43" i="1" s="1"/>
  <c r="R43" i="1" s="1"/>
  <c r="S42" i="1"/>
  <c r="Q42" i="1"/>
  <c r="R42" i="1" s="1"/>
  <c r="S41" i="1"/>
  <c r="Q41" i="1"/>
  <c r="R41" i="1" s="1"/>
  <c r="S40" i="1"/>
  <c r="Q40" i="1"/>
  <c r="R40" i="1" s="1"/>
  <c r="S39" i="1"/>
  <c r="Q39" i="1" s="1"/>
  <c r="R39" i="1" s="1"/>
  <c r="S38" i="1"/>
  <c r="Q38" i="1"/>
  <c r="R38" i="1" s="1"/>
  <c r="S37" i="1"/>
  <c r="Q37" i="1"/>
  <c r="R37" i="1" s="1"/>
  <c r="S36" i="1"/>
  <c r="Q36" i="1"/>
  <c r="R36" i="1" s="1"/>
  <c r="S35" i="1"/>
  <c r="Q35" i="1" s="1"/>
  <c r="R35" i="1" s="1"/>
  <c r="S34" i="1"/>
  <c r="Q34" i="1"/>
  <c r="R34" i="1" s="1"/>
  <c r="M32" i="1"/>
  <c r="J32" i="1"/>
  <c r="I32" i="1"/>
  <c r="H32" i="1"/>
  <c r="D32" i="1"/>
  <c r="S30" i="1"/>
  <c r="Q30" i="1"/>
  <c r="R30" i="1" s="1"/>
  <c r="S29" i="1"/>
  <c r="Q29" i="1"/>
  <c r="R29" i="1" s="1"/>
  <c r="S28" i="1"/>
  <c r="Q28" i="1" s="1"/>
  <c r="R28" i="1" s="1"/>
  <c r="S27" i="1"/>
  <c r="R27" i="1"/>
  <c r="Q27" i="1"/>
  <c r="S26" i="1"/>
  <c r="Q26" i="1"/>
  <c r="R26" i="1" s="1"/>
  <c r="S25" i="1"/>
  <c r="Q25" i="1"/>
  <c r="R25" i="1" s="1"/>
  <c r="S24" i="1"/>
  <c r="Q24" i="1" s="1"/>
  <c r="R24" i="1" s="1"/>
  <c r="S23" i="1"/>
  <c r="R23" i="1"/>
  <c r="Q23" i="1"/>
  <c r="S22" i="1"/>
  <c r="R22" i="1"/>
  <c r="Q22" i="1"/>
  <c r="S21" i="1"/>
  <c r="Q21" i="1"/>
  <c r="R21" i="1" s="1"/>
  <c r="S20" i="1"/>
  <c r="S32" i="1" s="1"/>
  <c r="S19" i="1"/>
  <c r="R19" i="1"/>
  <c r="Q19" i="1"/>
  <c r="S18" i="1"/>
  <c r="Q18" i="1"/>
  <c r="R18" i="1" s="1"/>
  <c r="S17" i="1"/>
  <c r="Q17" i="1"/>
  <c r="R17" i="1" s="1"/>
  <c r="S16" i="1"/>
  <c r="Q16" i="1" s="1"/>
  <c r="R16" i="1" s="1"/>
  <c r="M14" i="1"/>
  <c r="J14" i="1"/>
  <c r="I14" i="1"/>
  <c r="H14" i="1"/>
  <c r="D14" i="1"/>
  <c r="D447" i="1" s="1"/>
  <c r="S12" i="1"/>
  <c r="Q12" i="1" s="1"/>
  <c r="R12" i="1" s="1"/>
  <c r="S11" i="1"/>
  <c r="Q11" i="1"/>
  <c r="R11" i="1" s="1"/>
  <c r="S64" i="1" l="1"/>
  <c r="Q61" i="1"/>
  <c r="R267" i="1"/>
  <c r="R47" i="1"/>
  <c r="Q140" i="1"/>
  <c r="R14" i="1"/>
  <c r="Q461" i="1"/>
  <c r="R456" i="1"/>
  <c r="R461" i="1" s="1"/>
  <c r="I482" i="1"/>
  <c r="R140" i="1"/>
  <c r="M482" i="1"/>
  <c r="M492" i="1" s="1"/>
  <c r="Q435" i="1"/>
  <c r="J482" i="1"/>
  <c r="R53" i="1"/>
  <c r="R54" i="1" s="1"/>
  <c r="Q54" i="1"/>
  <c r="Q104" i="1"/>
  <c r="R480" i="1"/>
  <c r="Q14" i="1"/>
  <c r="S267" i="1"/>
  <c r="Q267" i="1" s="1"/>
  <c r="S461" i="1"/>
  <c r="S14" i="1"/>
  <c r="R269" i="1"/>
  <c r="R435" i="1" s="1"/>
  <c r="Q20" i="1"/>
  <c r="S140" i="1"/>
  <c r="S447" i="1" s="1"/>
  <c r="S482" i="1" s="1"/>
  <c r="Q47" i="1"/>
  <c r="Q270" i="1"/>
  <c r="R270" i="1" s="1"/>
  <c r="Q486" i="1"/>
  <c r="Q489" i="1" s="1"/>
  <c r="S54" i="1"/>
  <c r="R20" i="1" l="1"/>
  <c r="R32" i="1" s="1"/>
  <c r="Q32" i="1"/>
  <c r="Q64" i="1"/>
  <c r="Q447" i="1" s="1"/>
  <c r="Q482" i="1" s="1"/>
  <c r="R61" i="1"/>
  <c r="R64" i="1" s="1"/>
  <c r="R447" i="1" s="1"/>
  <c r="R482" i="1" s="1"/>
</calcChain>
</file>

<file path=xl/sharedStrings.xml><?xml version="1.0" encoding="utf-8"?>
<sst xmlns="http://schemas.openxmlformats.org/spreadsheetml/2006/main" count="1422" uniqueCount="994">
  <si>
    <t>สำนักงานท่าเทียบเรือประมงสงขลา 2(สะอ้าน)</t>
  </si>
  <si>
    <t>รายละเอียดหนี้ค้างชำระค่าเช่าอาคารและที่ดิน</t>
  </si>
  <si>
    <t>ประจำเดือน กรกฎาคม 2569</t>
  </si>
  <si>
    <t>ลำดับ</t>
  </si>
  <si>
    <t>รายชื่อ</t>
  </si>
  <si>
    <t>สถานที่ตั้ง</t>
  </si>
  <si>
    <t>อัตราค่าเช่า / ค่าธรรมเนียม</t>
  </si>
  <si>
    <t>ค้างชำระยกมา</t>
  </si>
  <si>
    <t>รับชำระ</t>
  </si>
  <si>
    <t>ค้างชำระยกไป</t>
  </si>
  <si>
    <t>ค้างตั้งแต่</t>
  </si>
  <si>
    <t>งวด</t>
  </si>
  <si>
    <t>อายุ</t>
  </si>
  <si>
    <t>ยอดหนี้</t>
  </si>
  <si>
    <t>วดป.</t>
  </si>
  <si>
    <t>เลขที่ใบเสร็จ</t>
  </si>
  <si>
    <t>จำนวนเงิน</t>
  </si>
  <si>
    <t>หนี้</t>
  </si>
  <si>
    <t>ภาษี</t>
  </si>
  <si>
    <t>รวม</t>
  </si>
  <si>
    <t>ค่าบริการสัตว์น้ำ 4600100</t>
  </si>
  <si>
    <t>ค่าธรรมเนียมสัตว์น้ำผ่านท่า 4600200</t>
  </si>
  <si>
    <t>บ.สมิหลาปลาป่น จก</t>
  </si>
  <si>
    <t>ค่าธรรมเนียมสัตว์น้ำผ่านท่า</t>
  </si>
  <si>
    <t>21-30มิย.69</t>
  </si>
  <si>
    <t>7,24/7/2026</t>
  </si>
  <si>
    <t>022/1086,023/1114</t>
  </si>
  <si>
    <t>21-31กค.69</t>
  </si>
  <si>
    <t>บ.สงขลามารีนโปรดักส์ จก</t>
  </si>
  <si>
    <t>ค่าธรรมเนียมรถผ่านท่า 4600300</t>
  </si>
  <si>
    <t>นายไสว จันทร์มา</t>
  </si>
  <si>
    <t>รถผ่านท่า กขว-885</t>
  </si>
  <si>
    <t>022/1081</t>
  </si>
  <si>
    <t>นายพล สังข์แก้วป่า</t>
  </si>
  <si>
    <t>รถผ่านท่า ขพษ-712</t>
  </si>
  <si>
    <t>022/1088</t>
  </si>
  <si>
    <t>นายสีก้อง แซ่ซั่ง</t>
  </si>
  <si>
    <t>รถผ่านท่า ฆ-7286</t>
  </si>
  <si>
    <t>022/1097</t>
  </si>
  <si>
    <t>นายมูฮำหมัด เบ็ญโส๊ะ</t>
  </si>
  <si>
    <t>รถผ่านท่า งขบ-726</t>
  </si>
  <si>
    <t>กค.69</t>
  </si>
  <si>
    <t>นางกนกวรรณ สำราญเจริญสุข</t>
  </si>
  <si>
    <t>รถผ่านท่า ครค-521</t>
  </si>
  <si>
    <t>022/1092</t>
  </si>
  <si>
    <t>นางฝัดติม๊ะ สะระวุด</t>
  </si>
  <si>
    <t>รถผ่านท่า คขท-160</t>
  </si>
  <si>
    <t>022/1098</t>
  </si>
  <si>
    <t>นส.วันดี หวังโล๊ะ</t>
  </si>
  <si>
    <t>รถผ่านท่า ผธ2416</t>
  </si>
  <si>
    <t>นายสุนันท์ ช่วยแก้ว</t>
  </si>
  <si>
    <t>รถผ่านท่า งงต-282</t>
  </si>
  <si>
    <t>022/1094</t>
  </si>
  <si>
    <t>นางอัญชลี วัฒนา</t>
  </si>
  <si>
    <t>รถผ่านท่า 1กฉ-9595</t>
  </si>
  <si>
    <t>022/1095</t>
  </si>
  <si>
    <t>นายดนมาหนับ หีมเห็ม</t>
  </si>
  <si>
    <t>รถผ่านท่า ขยง-47</t>
  </si>
  <si>
    <t>022/1078</t>
  </si>
  <si>
    <t>นางจุรีพร บุญโลม</t>
  </si>
  <si>
    <t>รถผ่านท่า 3ล้อพ่วง</t>
  </si>
  <si>
    <t>023/1111</t>
  </si>
  <si>
    <t>ว่าที่ ร.ต.ธีรวัฒน์ พุทธาโร</t>
  </si>
  <si>
    <t>รถผ่านท่า โฟล์คคลิฟ</t>
  </si>
  <si>
    <t>022/1099</t>
  </si>
  <si>
    <t>นางอามีน๊ะ สุขสุวรรณ์</t>
  </si>
  <si>
    <t>รถผ่านท่า บษ-8411</t>
  </si>
  <si>
    <t>มิย.69</t>
  </si>
  <si>
    <t>2,27/7/2026</t>
  </si>
  <si>
    <t>022/1082,023/1129</t>
  </si>
  <si>
    <t>บ.ศรีพัฒนสิน จำกัด</t>
  </si>
  <si>
    <t>023/1131</t>
  </si>
  <si>
    <t>บ.แมนเอโพรสเซนฟู้ดส์ จำกัด</t>
  </si>
  <si>
    <t>รถผ่านท่า กย.67.66</t>
  </si>
  <si>
    <t>1-30มิย.69</t>
  </si>
  <si>
    <t>023/1120</t>
  </si>
  <si>
    <t>1-31กค.69</t>
  </si>
  <si>
    <t>หมายเหตุ : ปรับปรุงยอดยกมา</t>
  </si>
  <si>
    <t>ค่าธรรมเนียมน้ำแข็งผ่านท่า 4600400</t>
  </si>
  <si>
    <t>หจก.ศรีธนาสินธุ์</t>
  </si>
  <si>
    <t>ค่าธรรมเนียมน้ำแข็งผ่านท่า</t>
  </si>
  <si>
    <t>6,22/7/2026</t>
  </si>
  <si>
    <t>022/1083</t>
  </si>
  <si>
    <t>ปรับปรุง-หจก.ศรีธนาสินธุ์ ยอดยกมา 7439.18 เป็น 14661.68 บาท เนื่องจากมีการปรับปรุงยอดน้ำแข็ง</t>
  </si>
  <si>
    <t>บ.แข็งประมงไทยสงขลา จก.</t>
  </si>
  <si>
    <t>21,31/7/2026</t>
  </si>
  <si>
    <t>023/1104,023/1139</t>
  </si>
  <si>
    <t>บ.แปะแชสงขลา จก.</t>
  </si>
  <si>
    <t>8,24/7/2026</t>
  </si>
  <si>
    <t>022/1090,023/1116</t>
  </si>
  <si>
    <t>นางหงสนาถ ประชากิตติกุล</t>
  </si>
  <si>
    <t>023/1109</t>
  </si>
  <si>
    <t>นางช่อผกา แซ่เห้ง</t>
  </si>
  <si>
    <t>หจก.หนูเหิมซีฟู้ดโปรดักส์</t>
  </si>
  <si>
    <t>023/1130</t>
  </si>
  <si>
    <t>นางสนต้อหนะ หวันหละเบ๊ะ</t>
  </si>
  <si>
    <t>022/1091</t>
  </si>
  <si>
    <t>นางจิตต์ณิช  ธชกฤศ</t>
  </si>
  <si>
    <t>023/1123</t>
  </si>
  <si>
    <t>บจก.อุบล ซีฟู้ด</t>
  </si>
  <si>
    <t>022/1093</t>
  </si>
  <si>
    <t>น.ส.หวันยาเร๊าะ หีบเห็ม</t>
  </si>
  <si>
    <t>022/1089</t>
  </si>
  <si>
    <t>บ.เพียววอเตอร์แอนด์ไอซ์ จก.</t>
  </si>
  <si>
    <t>022/1096</t>
  </si>
  <si>
    <t>ปรับปรุง-บ.เพียวฯ ยอดยกมา 9524.07 เป็น 9543.33 บาท เนื่องจากมีการปรับปรุงยอดน้ำแข็ง</t>
  </si>
  <si>
    <t>น.ส.วันดี หวันโส๊ะ</t>
  </si>
  <si>
    <t>นายอัมรินทร์ ตุนภรณ์</t>
  </si>
  <si>
    <t>ค่าธรรมเนียมน้ำมันผ่านท่า 4600500</t>
  </si>
  <si>
    <t>-</t>
  </si>
  <si>
    <t>ค่าธรรมเนียมใช้เครื่องชั่ง 4600600</t>
  </si>
  <si>
    <t>ค่าใช้เครื่องชั่ง</t>
  </si>
  <si>
    <t>022/1087,023/1115</t>
  </si>
  <si>
    <t>ปรับปรุง-บ.สมิหลาฯ3407.00 เป็น 3407.52 บาทเนื่องจากเดือนที่แล้วตกจำนวนเศษสตางค์</t>
  </si>
  <si>
    <t>ค่าธรรมเนียมใช้สถานที่ 4600700</t>
  </si>
  <si>
    <t>นางสงบ ดำมี</t>
  </si>
  <si>
    <t>ใช้สถานที่ซื้อ-ขายม้าน้ำ</t>
  </si>
  <si>
    <t>381/19040</t>
  </si>
  <si>
    <t>นางลำดวน ปานเส้ง</t>
  </si>
  <si>
    <t>379/18943</t>
  </si>
  <si>
    <t>นส.ภิรมพร ปานเส้ง</t>
  </si>
  <si>
    <t>379/18938</t>
  </si>
  <si>
    <t>ใช้สถานที่ตั้งเครื่องโม่</t>
  </si>
  <si>
    <t>022/1084</t>
  </si>
  <si>
    <t>ใช้สถานที่ลงน้ำแข็ง</t>
  </si>
  <si>
    <t>022/1085</t>
  </si>
  <si>
    <t>นส.ช่อผกา แซ่แห้ง</t>
  </si>
  <si>
    <t>023/1103</t>
  </si>
  <si>
    <t>ใช้สถานที่ต้งเครื่องโม่น้ำแข็ง</t>
  </si>
  <si>
    <t>023/1102</t>
  </si>
  <si>
    <t>ใช้สถานที่รถดองสัตว์น้ำ</t>
  </si>
  <si>
    <t>023/1110</t>
  </si>
  <si>
    <t>ค่าธรรมเนียมอื่นๆ 4600800</t>
  </si>
  <si>
    <t>ค่าเช่าที่จำหน่ายน้ำแข็งและเครื่องโม่ 4601100</t>
  </si>
  <si>
    <t>ไม่มี</t>
  </si>
  <si>
    <t>ค่าธรรมเนียมใช้เครน 4601300</t>
  </si>
  <si>
    <t>ค่าเช่าอาคารและที่ดิน 4700400</t>
  </si>
  <si>
    <t>นางสุรภา  มุสิกภาชน์</t>
  </si>
  <si>
    <t>ค่าเช่าอาคาร1/1-2</t>
  </si>
  <si>
    <t>6,27/7/2026</t>
  </si>
  <si>
    <t>692211070023,692211070141</t>
  </si>
  <si>
    <t>นางรอฉ๊ะ  เล๊าะเล</t>
  </si>
  <si>
    <t>ค่าเช่าอาคาร 1/3</t>
  </si>
  <si>
    <t>692211070143</t>
  </si>
  <si>
    <t>นายสิทธิพร  ชีววัฒนาพงศ์(กี้)</t>
  </si>
  <si>
    <t>ค่าเช่าอาคาร1/4</t>
  </si>
  <si>
    <t>692211070164</t>
  </si>
  <si>
    <t>นางพรทิพย์  อารีรักษ์</t>
  </si>
  <si>
    <t>ค่าเช่าอาคาร1/5</t>
  </si>
  <si>
    <t>692211070165</t>
  </si>
  <si>
    <t>นางหนูเหิม  ปานเส้ง</t>
  </si>
  <si>
    <t>ค่าเช่าอาคาร1/6</t>
  </si>
  <si>
    <t>1,27/7/2026</t>
  </si>
  <si>
    <t>692211070001,692211070140</t>
  </si>
  <si>
    <t>นางธาริกา มงคลสุข</t>
  </si>
  <si>
    <t>ค่าเช่าอาคาร1/7</t>
  </si>
  <si>
    <t>บริษัท แมนเอโพรสเซนฟู้ดส์ จำกัด</t>
  </si>
  <si>
    <t>ค่าเช่าอาคาร1/8</t>
  </si>
  <si>
    <t>692211070127</t>
  </si>
  <si>
    <t>ค่าเช่าอาคาร1/9</t>
  </si>
  <si>
    <t>692211070128</t>
  </si>
  <si>
    <t>นางสุมล  ศักดิ์พรม</t>
  </si>
  <si>
    <t>ค่าเช่าอาคาร1/10</t>
  </si>
  <si>
    <t>692211070163</t>
  </si>
  <si>
    <t>นายถนอมศักดิ์  แป๊ะเส้ง</t>
  </si>
  <si>
    <t>ค่าเช่าอาคาร1/11</t>
  </si>
  <si>
    <t>692211070107</t>
  </si>
  <si>
    <t>นางมุกดา  บัวงาม</t>
  </si>
  <si>
    <t>ค่าเช่าอาคาร1/12,13</t>
  </si>
  <si>
    <t>นายวิชัย รุจิระวิไล</t>
  </si>
  <si>
    <t>ค่าเช่าอาคาร1/14</t>
  </si>
  <si>
    <t>692211070146</t>
  </si>
  <si>
    <t>นางจำเนียร  รอดคลองตัน</t>
  </si>
  <si>
    <t>ค่าเช่าอาคาร1/15</t>
  </si>
  <si>
    <t>692211070160</t>
  </si>
  <si>
    <t>นางวรรณี  ไชยแก้ว</t>
  </si>
  <si>
    <t>ค่าเช่าอาคาร1/16</t>
  </si>
  <si>
    <t>692211070089</t>
  </si>
  <si>
    <t>น.ส.ขนิษฐา  โอลำผล</t>
  </si>
  <si>
    <t>ค่าเช่าอาคาร1/17</t>
  </si>
  <si>
    <t>692211070090</t>
  </si>
  <si>
    <t>นายอัมรินทร์  สุขสิทธิ์ และนางทัศนีย์  เศษขุนทด</t>
  </si>
  <si>
    <t>ค่าเช่าอาคาร1/18</t>
  </si>
  <si>
    <t>1,27,31/7/2026</t>
  </si>
  <si>
    <t>692211070002,144,157</t>
  </si>
  <si>
    <t>น.ส.กิ่งกนก รักษาพล</t>
  </si>
  <si>
    <t>ค่าเช่าอาคาร1/19-20</t>
  </si>
  <si>
    <t>692211070126</t>
  </si>
  <si>
    <t>นายฉอเคง เชวงกิจวรกุล</t>
  </si>
  <si>
    <t>ค่าเช่าอาคาร1/21</t>
  </si>
  <si>
    <t>692211070161</t>
  </si>
  <si>
    <t>นายสุวิทธ์  แซ่ก้วย</t>
  </si>
  <si>
    <t>ค่าเช่าอาคาร1/22</t>
  </si>
  <si>
    <t>692211070088</t>
  </si>
  <si>
    <t>นางพวงเพ็ญ  อิทธิมัยกุล</t>
  </si>
  <si>
    <t>ค่าเช่าอาคาร1/23</t>
  </si>
  <si>
    <t>692211070159</t>
  </si>
  <si>
    <t>นางสุดารัตน์ ชลเจริญ</t>
  </si>
  <si>
    <t>ค่าเช่าอาคาร1/24</t>
  </si>
  <si>
    <t>692211070145</t>
  </si>
  <si>
    <t>บ.ห้องเย็นเอเซี่ยนซีฟู้ด จำกัด(มหาชน) โดยนางสุดาวรรณ์ แซ่ชื้อ ผู้รับมอบอำนาจ</t>
  </si>
  <si>
    <t>ค่าเช่าอาคาร1/25</t>
  </si>
  <si>
    <t>692211070129</t>
  </si>
  <si>
    <t>นางสมบูรณ์  จรัสภิญโญวงศ์</t>
  </si>
  <si>
    <t>ค่าเช่าอาคาร1/26</t>
  </si>
  <si>
    <t>692211070162</t>
  </si>
  <si>
    <t>นางสุภลักษณ์  เปรมสุขใจ</t>
  </si>
  <si>
    <t>ค่าเช่าอาคาร1/27</t>
  </si>
  <si>
    <t>692211070158</t>
  </si>
  <si>
    <t>น.ส.หรรษา  มงคลสุข</t>
  </si>
  <si>
    <t>ค่าเช่าอาคาร1/28</t>
  </si>
  <si>
    <t>692211070108</t>
  </si>
  <si>
    <t>นางข้อดีเย๊าะ  ละลิหมุด</t>
  </si>
  <si>
    <t>ค่าเช่าอาคาร1/29</t>
  </si>
  <si>
    <t>692211070142</t>
  </si>
  <si>
    <t>นายมฆะพันธ์  พัฒนกิจการสาร</t>
  </si>
  <si>
    <t>ค่าเช่าอาคาร1/30</t>
  </si>
  <si>
    <t>น.ส.อนาธี มะนอ</t>
  </si>
  <si>
    <t>ค่าเช่าอาคาร1/31</t>
  </si>
  <si>
    <t>692211070043</t>
  </si>
  <si>
    <t>นายณัฏฐพล  อุดมดิเรกลาภ</t>
  </si>
  <si>
    <t>ค่าเช่าอาคาร1/32-34</t>
  </si>
  <si>
    <t>692211070125</t>
  </si>
  <si>
    <t>ค่าเช่าที่อื่นๆ 4700700</t>
  </si>
  <si>
    <t>นางวศิณี มดทอง</t>
  </si>
  <si>
    <t>เช่าอาคารใต้ สนง.</t>
  </si>
  <si>
    <t>692211070124</t>
  </si>
  <si>
    <t>น.ส.หฤทัย ไขระวิ</t>
  </si>
  <si>
    <t>692211070166</t>
  </si>
  <si>
    <t>ค่าเช่าสถานที่ประกอบกิจการจำหน่ายน้ำประปา</t>
  </si>
  <si>
    <t>692211070022</t>
  </si>
  <si>
    <t>ค่าสุขาภิบาล 4701420</t>
  </si>
  <si>
    <t>นางสุรภา มุสิภาชน์</t>
  </si>
  <si>
    <t>สุขาภิบาล1/1-2</t>
  </si>
  <si>
    <t>379/18920</t>
  </si>
  <si>
    <t>นางรอฉ๊ะ เล๊าะเล</t>
  </si>
  <si>
    <t>สุขาภิบาล1/3</t>
  </si>
  <si>
    <t>379/18917</t>
  </si>
  <si>
    <t>นายสิทธิพร สีววัฒนาพงศ์</t>
  </si>
  <si>
    <t>สุขาภิบาล1/4</t>
  </si>
  <si>
    <t>381/19017</t>
  </si>
  <si>
    <t>นางพรทิพย์  อารีรักษ์ (ติ๋ม)</t>
  </si>
  <si>
    <t>สุขาภิบาล1/5</t>
  </si>
  <si>
    <t>381/19020</t>
  </si>
  <si>
    <t>นางหนูเหิม ปานเส้ง</t>
  </si>
  <si>
    <t>สุขาภิบาล1/6</t>
  </si>
  <si>
    <t>364/181.73,379/18946</t>
  </si>
  <si>
    <t>สุขาภิบาล1/7</t>
  </si>
  <si>
    <t>นายดนัย ศรีพิทักษ์</t>
  </si>
  <si>
    <t>สุขาภิบาล1/8</t>
  </si>
  <si>
    <t>023/1124</t>
  </si>
  <si>
    <t>บ.แมนเอโพรสดตอร์ฟูดส์</t>
  </si>
  <si>
    <t>สุขาภิบาล1/9</t>
  </si>
  <si>
    <t>023/1125</t>
  </si>
  <si>
    <t>สุขาภิบาล1/10</t>
  </si>
  <si>
    <t>380/19000</t>
  </si>
  <si>
    <t>สุขาภิบาล1/11</t>
  </si>
  <si>
    <t>370/18495</t>
  </si>
  <si>
    <t>นางมุกดา บัวงาม</t>
  </si>
  <si>
    <t>สุขาภิบาล1/12,13</t>
  </si>
  <si>
    <t>สุขาภิบาล1/14</t>
  </si>
  <si>
    <t>380/18954</t>
  </si>
  <si>
    <t>นางจำเนียร รองคลองตัน</t>
  </si>
  <si>
    <t>สุขาภิบาล1/15</t>
  </si>
  <si>
    <t>380/18972</t>
  </si>
  <si>
    <t>นางวรรณี ไชยแก้ว</t>
  </si>
  <si>
    <t>สุขาภิบาล1/16</t>
  </si>
  <si>
    <t>370/18472</t>
  </si>
  <si>
    <t>น.ส.ขนิษฐา โอลำผล</t>
  </si>
  <si>
    <t>สุขาภิบาล1/17</t>
  </si>
  <si>
    <t>370/18475</t>
  </si>
  <si>
    <t>นายอัมรินทร์ สุขสิทธิ์ และนางทัศนีย์ เศษขุนทด</t>
  </si>
  <si>
    <t>สุขาภิบาล1/18</t>
  </si>
  <si>
    <t>1,27,28/7/2026</t>
  </si>
  <si>
    <t>364/18175,379/18923,380/18959</t>
  </si>
  <si>
    <t>สุขาภิบาล1/19-20</t>
  </si>
  <si>
    <t>379/18908</t>
  </si>
  <si>
    <t>นายฉอเค่ง เสวงกิจวรกุล</t>
  </si>
  <si>
    <t>สุขาภิบาล1/21</t>
  </si>
  <si>
    <t>380/18978</t>
  </si>
  <si>
    <t>นายสุวิทย์ แซ่ก้วย</t>
  </si>
  <si>
    <t>สุขาภิบาล1/22</t>
  </si>
  <si>
    <t>370/18469</t>
  </si>
  <si>
    <t>นางพวงเพ็ญ อิทธิมัยกุล</t>
  </si>
  <si>
    <t>สุขาภิบาล1/23</t>
  </si>
  <si>
    <t>381/19037</t>
  </si>
  <si>
    <t>สุขาภิบาล1/24</t>
  </si>
  <si>
    <t>380/18951</t>
  </si>
  <si>
    <t>บ.ห้องเย็นเอเซี่ยนซีฟู้ด จำกัด (มหาชน)</t>
  </si>
  <si>
    <t>สุขาภิบาล1/25</t>
  </si>
  <si>
    <t>023/1126</t>
  </si>
  <si>
    <t>นางสมบูรณ์ จรัสภิญโญวงศ์</t>
  </si>
  <si>
    <t>สุขาภิบาล1/26</t>
  </si>
  <si>
    <t>380/18995</t>
  </si>
  <si>
    <t>นางสุภลักษณ์ เปรมสุขใจ</t>
  </si>
  <si>
    <t>สุขาภิบาล1/27</t>
  </si>
  <si>
    <t>380/18969</t>
  </si>
  <si>
    <t>น.ส.หรรษา มงคลสุข</t>
  </si>
  <si>
    <t>สุขาภิบาล1/28</t>
  </si>
  <si>
    <t>378/18855</t>
  </si>
  <si>
    <t>นางข้อดีเยาะ ล๊ะลิหมุด</t>
  </si>
  <si>
    <t>สุขาภิบาล1/29</t>
  </si>
  <si>
    <t>379/18914</t>
  </si>
  <si>
    <t>นายมฆะพงษ์ พัฒนาหิจหารสาร</t>
  </si>
  <si>
    <t>สุขาภิบาลสุขาภิบาล1/30</t>
  </si>
  <si>
    <t>สุขาภิบาล1/31</t>
  </si>
  <si>
    <t>364/18199</t>
  </si>
  <si>
    <t>นายณัฐพล อุดมดิเรกลาภ</t>
  </si>
  <si>
    <t>สุขาภิบาล1/32-34</t>
  </si>
  <si>
    <t>379/18903</t>
  </si>
  <si>
    <t>ค่าจำหน่ายน้ำประปา 4700200</t>
  </si>
  <si>
    <t>นางสุรภา มุสิกภาชน์</t>
  </si>
  <si>
    <t>น้ำประปา1/1-2</t>
  </si>
  <si>
    <t>379/18921</t>
  </si>
  <si>
    <t>น้ำประปา1/3</t>
  </si>
  <si>
    <t>379/18918</t>
  </si>
  <si>
    <t>น้ำประปา1/4</t>
  </si>
  <si>
    <t>381/19018</t>
  </si>
  <si>
    <t>นางพรทิพย์  อารีรักษ์ (กี้)</t>
  </si>
  <si>
    <t>น้ำประปา1/5</t>
  </si>
  <si>
    <t>381/19021</t>
  </si>
  <si>
    <t>น้ำประปา1/6</t>
  </si>
  <si>
    <t>364/18172,379/18947</t>
  </si>
  <si>
    <t>น้ำประปา1/7</t>
  </si>
  <si>
    <t>น้ำประปา1/8</t>
  </si>
  <si>
    <t>น้ำประปา1/9</t>
  </si>
  <si>
    <t>023/1117</t>
  </si>
  <si>
    <t>น้ำประปา1/10</t>
  </si>
  <si>
    <t>381/19001</t>
  </si>
  <si>
    <t>นายถนอมศักดิ์ แปะเส้ง</t>
  </si>
  <si>
    <t>น้ำประปา1/11</t>
  </si>
  <si>
    <t>370/18496</t>
  </si>
  <si>
    <t>น้ำประปา1/12,13</t>
  </si>
  <si>
    <t>น้ำประปา1/14</t>
  </si>
  <si>
    <t>380/18955</t>
  </si>
  <si>
    <t>น้ำประปา1/15</t>
  </si>
  <si>
    <t>380/18973</t>
  </si>
  <si>
    <t>น้ำประปา1/16</t>
  </si>
  <si>
    <t>370/18473</t>
  </si>
  <si>
    <t>นส.ขนิษฐา โอลำผล</t>
  </si>
  <si>
    <t>น้ำประปา1/17</t>
  </si>
  <si>
    <t>370/18476</t>
  </si>
  <si>
    <t>นายอัมรินทร์ สุขสิทธิ์ และนางทัศนีย์ เศษขุดทด</t>
  </si>
  <si>
    <t>น้ำประปา1/18</t>
  </si>
  <si>
    <t>1,28/7/2026</t>
  </si>
  <si>
    <t>364/18176,380/18960</t>
  </si>
  <si>
    <t>379/18924</t>
  </si>
  <si>
    <t>น.ส.กิ่งกนก รักษาผล</t>
  </si>
  <si>
    <t>น้ำประปา1/19-20</t>
  </si>
  <si>
    <t>379/18909</t>
  </si>
  <si>
    <t>น้ำประปา1/21</t>
  </si>
  <si>
    <t>380/18979</t>
  </si>
  <si>
    <t>น้ำประปา1/22</t>
  </si>
  <si>
    <t>370/18470</t>
  </si>
  <si>
    <t>น้ำประปา1/23</t>
  </si>
  <si>
    <t>381/19038</t>
  </si>
  <si>
    <t>น้ำประปา1/24</t>
  </si>
  <si>
    <t>379/18952</t>
  </si>
  <si>
    <t xml:space="preserve">บ.ห้องเย็นเอเซี่ยนซีฟู้ด(สุราษฏร์ธานี) จำกัด </t>
  </si>
  <si>
    <t>น้ำประปา1/25</t>
  </si>
  <si>
    <t>023/1121</t>
  </si>
  <si>
    <t>น้ำประปา1/26</t>
  </si>
  <si>
    <t>380/18996</t>
  </si>
  <si>
    <t>น้ำประปา1/27</t>
  </si>
  <si>
    <t>380/18970</t>
  </si>
  <si>
    <t>นส.หรรษา มงคลสุข</t>
  </si>
  <si>
    <t>น้ำประปา1/28</t>
  </si>
  <si>
    <t>378/18856</t>
  </si>
  <si>
    <t>น้ำประปา1/29</t>
  </si>
  <si>
    <t>379/18915</t>
  </si>
  <si>
    <t>น้ำประปา1/30</t>
  </si>
  <si>
    <t>น้ำประปา 1/31</t>
  </si>
  <si>
    <t>364/18200</t>
  </si>
  <si>
    <t>น้ำประปา1/32-34</t>
  </si>
  <si>
    <t>379/18904</t>
  </si>
  <si>
    <t>นางณัชชา ณ สงขลา</t>
  </si>
  <si>
    <t>น้ำประปา2/1</t>
  </si>
  <si>
    <t>364/18194</t>
  </si>
  <si>
    <t>นางลักษมีกานต์ พวงสุวรรณ</t>
  </si>
  <si>
    <t>น้ำประปา2/2-3</t>
  </si>
  <si>
    <t>378/18876</t>
  </si>
  <si>
    <t>นางจรัสศรี สวัสดิรักษา</t>
  </si>
  <si>
    <t>น้ำประปา2/4</t>
  </si>
  <si>
    <t>364/18196</t>
  </si>
  <si>
    <t>นางแจ่มศิริ พรหมจิตต์</t>
  </si>
  <si>
    <t>น้ำประปา2/7</t>
  </si>
  <si>
    <t>นางสุจิตรา จรัสภิญโญวงศ์</t>
  </si>
  <si>
    <t>น้ำประปา2/8</t>
  </si>
  <si>
    <t>378/18874</t>
  </si>
  <si>
    <t>นางฐิติกาญจน์นภัส จิรัฐติศักดิ์</t>
  </si>
  <si>
    <t>น้ำประปา2/10</t>
  </si>
  <si>
    <t>381/19029</t>
  </si>
  <si>
    <t>นส.ภัทร์รวี สุวรรณเดชาพงค์</t>
  </si>
  <si>
    <t>น้ำประปา2/12</t>
  </si>
  <si>
    <t>นางเฉลิม อินทรัตน์</t>
  </si>
  <si>
    <t>น้ำประปา2/14</t>
  </si>
  <si>
    <t>39/18928</t>
  </si>
  <si>
    <t>นส.วรรณี มะสัน</t>
  </si>
  <si>
    <t>น้ำประปา2/15</t>
  </si>
  <si>
    <t>378/18868</t>
  </si>
  <si>
    <t>นางมณี หนูสิน</t>
  </si>
  <si>
    <t>น้ำประปา2/16</t>
  </si>
  <si>
    <t>นางอารีรัตน์ วงศ์โชติ</t>
  </si>
  <si>
    <t>น้ำประปา2/17</t>
  </si>
  <si>
    <t>นางสถาพร เอกจิตร</t>
  </si>
  <si>
    <t>น้ำประปา2/21</t>
  </si>
  <si>
    <t>378/18866</t>
  </si>
  <si>
    <t>นางประนอม เมียนแก้ว</t>
  </si>
  <si>
    <t>น้ำประปา2/22</t>
  </si>
  <si>
    <t>379/18949</t>
  </si>
  <si>
    <t>นางเพ็ญจันทร์ ฤทธิภักดี</t>
  </si>
  <si>
    <t>น้ำประปา2/23</t>
  </si>
  <si>
    <t>นายสมพร ยิ้มหิ้ม</t>
  </si>
  <si>
    <t>น้ำประปา2/37</t>
  </si>
  <si>
    <t>379/18949,381/19008</t>
  </si>
  <si>
    <t>นส.ประภา สิ่วหงวน</t>
  </si>
  <si>
    <t>น้ำประปา2/38</t>
  </si>
  <si>
    <t>381/19010</t>
  </si>
  <si>
    <t>นางวศินี มดทอง</t>
  </si>
  <si>
    <t>น้ำประปาใต้สนง.</t>
  </si>
  <si>
    <t>379/18901</t>
  </si>
  <si>
    <t>น้ำประปา3/1-2</t>
  </si>
  <si>
    <t>370/18492</t>
  </si>
  <si>
    <t>น้ำประปาหน้า อ.7</t>
  </si>
  <si>
    <t>370/18489</t>
  </si>
  <si>
    <t>นายทวีพงศ์ พงศ์นฤเดช</t>
  </si>
  <si>
    <t>น้ำประปา3/3</t>
  </si>
  <si>
    <t>380/18965</t>
  </si>
  <si>
    <t>นส.อังคณา สุขสิทธิ์</t>
  </si>
  <si>
    <t>น้ำประปา3/4</t>
  </si>
  <si>
    <t>364/18178,379/18926</t>
  </si>
  <si>
    <t>นายไพฑูรย์ วัฒนาไพศาล</t>
  </si>
  <si>
    <t>น้ำประปา3/5</t>
  </si>
  <si>
    <t>380/18967</t>
  </si>
  <si>
    <t>นางสะฝิย๊ะ เพ็ญโส๊ะ</t>
  </si>
  <si>
    <t>น้ำประปา3/6</t>
  </si>
  <si>
    <t>นายอโณทัย บุญโลม</t>
  </si>
  <si>
    <t>น้ำประปา3/9</t>
  </si>
  <si>
    <t>378/18852</t>
  </si>
  <si>
    <t>นางวันเพ็ญ พันธมิตร</t>
  </si>
  <si>
    <t>น้ำประปา4/3</t>
  </si>
  <si>
    <t>378/18872</t>
  </si>
  <si>
    <t>นางสนต้อหนะ หวันละเบ๊ะ</t>
  </si>
  <si>
    <t>น้ำประปา4/6-7 ,26-27</t>
  </si>
  <si>
    <t>381/19031</t>
  </si>
  <si>
    <t>น้ำประปา4/6-7,26-27</t>
  </si>
  <si>
    <t>หจก.หนูเหิม ซีฟูดส์ โปรดักส์</t>
  </si>
  <si>
    <t>น้ำประปา4/9-10,24</t>
  </si>
  <si>
    <t>1,23/7/2026</t>
  </si>
  <si>
    <t>022/1079,023/1107</t>
  </si>
  <si>
    <t>บริษัทฮะหลีขนส่ง</t>
  </si>
  <si>
    <t>น้ำประปา4/11</t>
  </si>
  <si>
    <t>022/1100</t>
  </si>
  <si>
    <t>บ.ซีเวลท์โฟรเซ่นฟูดส์ จำกัด</t>
  </si>
  <si>
    <t>น้ำประปา 4/13-15</t>
  </si>
  <si>
    <t>023/1134</t>
  </si>
  <si>
    <t>นางอรไท วรรณพิมพ์</t>
  </si>
  <si>
    <t>น้ำประปา4/16</t>
  </si>
  <si>
    <t>370/18462</t>
  </si>
  <si>
    <t>นายสมศักดิ์ แซ่โค้ว</t>
  </si>
  <si>
    <t>น้ำประปา4/25</t>
  </si>
  <si>
    <t>379/18930</t>
  </si>
  <si>
    <t>น้ำประปา5/1</t>
  </si>
  <si>
    <t>381/19023</t>
  </si>
  <si>
    <t>นายจีรัชญ์  ธชกฤศ</t>
  </si>
  <si>
    <t>น้ำประปา5/2</t>
  </si>
  <si>
    <t>นางอรไท วรรณทิมพ์</t>
  </si>
  <si>
    <t>น้ำประปา5/3</t>
  </si>
  <si>
    <t>370/18467</t>
  </si>
  <si>
    <t>นายประทีป จรัญภิญโญวงศ์</t>
  </si>
  <si>
    <t>น้ำประปา6/1</t>
  </si>
  <si>
    <t>381/19035</t>
  </si>
  <si>
    <t>นายอร่าม จางอิสระกุล</t>
  </si>
  <si>
    <t>น้ำประปา6/5</t>
  </si>
  <si>
    <t>น.ส.วรรณี มะสัน</t>
  </si>
  <si>
    <t>น้ำประปา6/7</t>
  </si>
  <si>
    <t>378/18870</t>
  </si>
  <si>
    <t>นายธงชัย จีบเจือ</t>
  </si>
  <si>
    <t>น้ำประปา6/9,10</t>
  </si>
  <si>
    <t>380/18985</t>
  </si>
  <si>
    <t>นส.หวันยาเร๊าะ หีบเห็ม</t>
  </si>
  <si>
    <t>น้ำประปา7/1</t>
  </si>
  <si>
    <t>นางร่อมิอ๊ะ การะวรรณ</t>
  </si>
  <si>
    <t>น้ำประปา7/2-3</t>
  </si>
  <si>
    <t>นางผัดติม๊ะ สะระวุด</t>
  </si>
  <si>
    <t>น้ำประปา7/4-6</t>
  </si>
  <si>
    <t>370/18454</t>
  </si>
  <si>
    <t>นางวันเพ็ญ การะเกตุ</t>
  </si>
  <si>
    <t>น้ำประปาA/1-2</t>
  </si>
  <si>
    <t>381/19027</t>
  </si>
  <si>
    <t>นายสมหมาย รามสมภพ</t>
  </si>
  <si>
    <t>น้ำประปาA/3-4-5</t>
  </si>
  <si>
    <t>380/18989</t>
  </si>
  <si>
    <t>นายเฉลียว ไหมศิริ</t>
  </si>
  <si>
    <t>น้ำประปาA/6</t>
  </si>
  <si>
    <t>370/18486</t>
  </si>
  <si>
    <t>นางวันดี อาชารัตนกุล</t>
  </si>
  <si>
    <t>น้ำประปาA/7</t>
  </si>
  <si>
    <t>378/18895</t>
  </si>
  <si>
    <t>นายมฆะพงษ์ พัฒนากิจการสาร</t>
  </si>
  <si>
    <t>น้ำประปาA/8</t>
  </si>
  <si>
    <t>นายสิทธิพงษ์ นิดหน่อย</t>
  </si>
  <si>
    <t>น้ำประปาA/10</t>
  </si>
  <si>
    <t>381/19014</t>
  </si>
  <si>
    <t>นางศิริมา วงศ์เทศ</t>
  </si>
  <si>
    <t>น้ำประปาA/11</t>
  </si>
  <si>
    <t>นายพิพัฒน์ บูรณะวัฒน์</t>
  </si>
  <si>
    <t>น้ำประปาB1-5</t>
  </si>
  <si>
    <t>370/18458</t>
  </si>
  <si>
    <t>นางสมจิตร พิทักษ์คุมพล</t>
  </si>
  <si>
    <t>น้ำประปาB/6-7</t>
  </si>
  <si>
    <t>370/18482</t>
  </si>
  <si>
    <t>นางปกรณ์เกียรติ เวชพิทักษ์</t>
  </si>
  <si>
    <t>น้ำประปาB/8-9</t>
  </si>
  <si>
    <t>370/18493</t>
  </si>
  <si>
    <t>นางชะเอม สุวรรณประไพ</t>
  </si>
  <si>
    <t>น้ำประปาB/10-12</t>
  </si>
  <si>
    <t>379/18935</t>
  </si>
  <si>
    <t>บ. อุบล ซีฟู้ด จก.</t>
  </si>
  <si>
    <t>น้ำประปาB/13-16,21-22</t>
  </si>
  <si>
    <t>023/1137</t>
  </si>
  <si>
    <t>นางอรสา จินะดิษฐ์</t>
  </si>
  <si>
    <t>น้ำประปาB/23,24,25</t>
  </si>
  <si>
    <t>370/18480</t>
  </si>
  <si>
    <t>น้ำประปาB/26-27</t>
  </si>
  <si>
    <t>023/1135</t>
  </si>
  <si>
    <t>นางสมบูรณ์ ทิมมณ๊(ห้อง4)</t>
  </si>
  <si>
    <t>น้ำประปาสนง.(ชั่วคราว) ห้องชั่ง</t>
  </si>
  <si>
    <t>379/18932</t>
  </si>
  <si>
    <t>นางลำดวน จิตรบุญ</t>
  </si>
  <si>
    <t>น้ำประปาอาหาร  1</t>
  </si>
  <si>
    <t>379/18939</t>
  </si>
  <si>
    <t>น้ำประปาอาหาร  2-3</t>
  </si>
  <si>
    <t>379/18941</t>
  </si>
  <si>
    <t>นางตุ๊กตา สุขจันทร์</t>
  </si>
  <si>
    <t>น้ำประปาอาหาร  4</t>
  </si>
  <si>
    <t>364/18192</t>
  </si>
  <si>
    <t>นายประภาส เสาวคนธ์</t>
  </si>
  <si>
    <t>น้ำประปาอาหาร  5</t>
  </si>
  <si>
    <t>378/18892</t>
  </si>
  <si>
    <t>น้ำประปาอาหาร  7</t>
  </si>
  <si>
    <t>380/18987</t>
  </si>
  <si>
    <t>นส.ศศิมา เจริญสุข</t>
  </si>
  <si>
    <t>น้ำประปาอาหาร  8</t>
  </si>
  <si>
    <t>370/18460</t>
  </si>
  <si>
    <t>นายนิติพงศ์กร ทองเกิด</t>
  </si>
  <si>
    <t>น้ำประปาอาหาร  10</t>
  </si>
  <si>
    <t>378/18864</t>
  </si>
  <si>
    <t>น้ำประปาโม่ 1(บริเวณด้านข้าง อ.2)</t>
  </si>
  <si>
    <t>1,31/7/2026</t>
  </si>
  <si>
    <t>364/18180,381/19004</t>
  </si>
  <si>
    <t>น้ำประปาโม่ 2(ฝั่งจัดเรือ)</t>
  </si>
  <si>
    <t>378/18878</t>
  </si>
  <si>
    <t>น้ำประปาจำหน่ายน้ำประปา</t>
  </si>
  <si>
    <t>364/18184,381/19003</t>
  </si>
  <si>
    <t xml:space="preserve">นายสมศักดิ์ หวันหล๊ะเบ๊ะ </t>
  </si>
  <si>
    <t>น้ำประปาใชสถานที่</t>
  </si>
  <si>
    <t>381/19033</t>
  </si>
  <si>
    <t>นายยืนหยัด ปินตุรัต</t>
  </si>
  <si>
    <t>น้ำประปาไฟเรือ</t>
  </si>
  <si>
    <t>2,31/7/2026</t>
  </si>
  <si>
    <t>364/18188,380/18983</t>
  </si>
  <si>
    <t>นายสนิท ไขระวิ</t>
  </si>
  <si>
    <t>น้ำประปาสนง.ชั่วคราวเรือเล็ก</t>
  </si>
  <si>
    <t>380/18991</t>
  </si>
  <si>
    <t>น้ำประปาซื้อ- ขายม้าน้ำ</t>
  </si>
  <si>
    <t>379/18944</t>
  </si>
  <si>
    <t>นส.สำรวย เกษตรกาลาม์</t>
  </si>
  <si>
    <t>น้ำประปาร้านขายไก่ทอด</t>
  </si>
  <si>
    <t>นางฉายเลี่ยน สุขใส</t>
  </si>
  <si>
    <t>น้ำประปาอาคาร 2 ใช้ดองปลา</t>
  </si>
  <si>
    <t>378/18899</t>
  </si>
  <si>
    <t>นายหงสนาถ ประชากิตติกุล</t>
  </si>
  <si>
    <t>น้ำประปาเช่าพื้นที่ชั่วคราว</t>
  </si>
  <si>
    <t>378/18862</t>
  </si>
  <si>
    <t>นส.ละออ จอมสุริยะ</t>
  </si>
  <si>
    <t>น้ำประปาดองปลา อ.2</t>
  </si>
  <si>
    <t>364/18185</t>
  </si>
  <si>
    <t>380/18981</t>
  </si>
  <si>
    <t>นส.จูถิ้น คงมาก</t>
  </si>
  <si>
    <t>น้ำประปาใช้สถานที่ดองปลา</t>
  </si>
  <si>
    <t>381/19012</t>
  </si>
  <si>
    <t>น.ส.ภิรมพร  ปานเส้ง</t>
  </si>
  <si>
    <t>น้ำประปาห้องน้ำจัดเรือ</t>
  </si>
  <si>
    <t>380/18998</t>
  </si>
  <si>
    <t>น.ส.กนกพร คำสูงเนิน</t>
  </si>
  <si>
    <t>น้ำประปามิเตอร์ (อ.5)</t>
  </si>
  <si>
    <t>378/18880</t>
  </si>
  <si>
    <t>นายบังคับ ผุดผ่อง</t>
  </si>
  <si>
    <t>น้ำประปามิเตอร์2(คูหา 2)</t>
  </si>
  <si>
    <t>378/18882</t>
  </si>
  <si>
    <t>น้ำประปามิเตอร์2(คูหา 3)</t>
  </si>
  <si>
    <t>378/18884</t>
  </si>
  <si>
    <t>น้ำประปามิเตอร์3(คูหา 4)</t>
  </si>
  <si>
    <t>378/18886</t>
  </si>
  <si>
    <t>นายทศวรรษ จันทรมาศ</t>
  </si>
  <si>
    <t>น้ำประปามิเตอร์4(คูหา 5)</t>
  </si>
  <si>
    <t>370/18464</t>
  </si>
  <si>
    <t>น้ำประปามิเตอร์4(คูหา 6)</t>
  </si>
  <si>
    <t>378/18888</t>
  </si>
  <si>
    <t>น้ำประปามิเตอร์5(คูหา 7)</t>
  </si>
  <si>
    <t>378/18890</t>
  </si>
  <si>
    <t>นายชั้น กระชังนาค</t>
  </si>
  <si>
    <t>น้ำประปา ห้องชั่ง</t>
  </si>
  <si>
    <t>380/18962</t>
  </si>
  <si>
    <t>น.ส.พัชรินทร์ เรืองเพชร(กวาง)</t>
  </si>
  <si>
    <t>น้าประปาท่าเรือเล็ก</t>
  </si>
  <si>
    <t>นางไพจิตร จันทร์โต</t>
  </si>
  <si>
    <t>น้ำประปาห้องเครื่องชั่ง</t>
  </si>
  <si>
    <t>380/18957</t>
  </si>
  <si>
    <t>น.ส.กัลยา เส้งเนตร</t>
  </si>
  <si>
    <t>น้ำประปา ห้องชั่ง (B)</t>
  </si>
  <si>
    <t>370/18478</t>
  </si>
  <si>
    <t>นายเจริญภร สุขศรีนวล</t>
  </si>
  <si>
    <t>น้ำประปา</t>
  </si>
  <si>
    <t>370/18498</t>
  </si>
  <si>
    <t>380/18993</t>
  </si>
  <si>
    <t>ค่าจำหน่ายไฟฟ้า 4700300</t>
  </si>
  <si>
    <t>ไฟฟ้า1/1-2</t>
  </si>
  <si>
    <t>379/18922</t>
  </si>
  <si>
    <t>ไฟฟ้า1/3</t>
  </si>
  <si>
    <t>379/18919</t>
  </si>
  <si>
    <t>นายสิทธิพร ชีววัฒนาพงศ์</t>
  </si>
  <si>
    <t>ไฟฟ้า1/4</t>
  </si>
  <si>
    <t>381/19019</t>
  </si>
  <si>
    <t xml:space="preserve">นางพรทิพย์  อารีรักษ์ </t>
  </si>
  <si>
    <t>ไฟฟ้า1/5</t>
  </si>
  <si>
    <t>381/19022</t>
  </si>
  <si>
    <t>ไฟฟ้า1/6</t>
  </si>
  <si>
    <t>364/18174,379/18948</t>
  </si>
  <si>
    <t>หมายเหตุ : ยอดหนี้ค้าง 883.82 บาท เนื่องจากโอนวันที่ 30/6/69 หลังเวลา 23.00 น. ธนาคารตัดยอดเป็นวันที่ 1/7/69</t>
  </si>
  <si>
    <t>ไฟฟ้า1/7</t>
  </si>
  <si>
    <t>บ.แมนเอโฟรสเซนฟูดส์</t>
  </si>
  <si>
    <t>ไฟฟ้า1/8</t>
  </si>
  <si>
    <t>ไฟฟ้า1/9</t>
  </si>
  <si>
    <t>023/1119</t>
  </si>
  <si>
    <t>ไฟฟ้า1/10</t>
  </si>
  <si>
    <t>381/19002</t>
  </si>
  <si>
    <t>ไฟฟ้า1/11</t>
  </si>
  <si>
    <t>370/18497</t>
  </si>
  <si>
    <t>ไฟฟ้า1/12,13</t>
  </si>
  <si>
    <t>ไฟฟ้า1/14</t>
  </si>
  <si>
    <t>380/18956</t>
  </si>
  <si>
    <t>ไฟฟ้า1/15</t>
  </si>
  <si>
    <t>380/18974</t>
  </si>
  <si>
    <t>ไฟฟ้า1/16</t>
  </si>
  <si>
    <t>370/18474</t>
  </si>
  <si>
    <t>ไฟฟ้า1/17</t>
  </si>
  <si>
    <t>370/18477</t>
  </si>
  <si>
    <t>นายอัมรินทร์ สุขสิทธิ์ และนางทัศนีย์ เศษขุดทด(เหน่ง)</t>
  </si>
  <si>
    <t>ไฟฟ้า1/18</t>
  </si>
  <si>
    <t>364/18177,379/18925</t>
  </si>
  <si>
    <t>นายอัมรินทร์ สุขสิทธิ์ และนางทัศนีย์ เศษขุดทด (แหม่ม)</t>
  </si>
  <si>
    <t>380/18961</t>
  </si>
  <si>
    <t>ไฟฟ้า1/19-20</t>
  </si>
  <si>
    <t>379/18910</t>
  </si>
  <si>
    <t>ไฟฟ้า1/21</t>
  </si>
  <si>
    <t>380/18980</t>
  </si>
  <si>
    <t>ไฟฟ้า1/22</t>
  </si>
  <si>
    <t>370/18471</t>
  </si>
  <si>
    <t>ไฟฟ้า1/23</t>
  </si>
  <si>
    <t>381/19039</t>
  </si>
  <si>
    <t>ไฟฟ้า1/24</t>
  </si>
  <si>
    <t>380/18953</t>
  </si>
  <si>
    <t>ไฟฟ้า1/25</t>
  </si>
  <si>
    <t>023/1122</t>
  </si>
  <si>
    <t>ไฟฟ้า1/26</t>
  </si>
  <si>
    <t>380/18997</t>
  </si>
  <si>
    <t>ไฟฟ้าปั๊มน้ำเค็ม</t>
  </si>
  <si>
    <t>2,22/7/2026</t>
  </si>
  <si>
    <t>364/18190,370/18500</t>
  </si>
  <si>
    <t>ไฟฟ้า1/27</t>
  </si>
  <si>
    <t>380/18971</t>
  </si>
  <si>
    <t>ไฟฟ้า1/28</t>
  </si>
  <si>
    <t>378/18857</t>
  </si>
  <si>
    <t>ไฟฟ้า1/29</t>
  </si>
  <si>
    <t>379/18916</t>
  </si>
  <si>
    <t>นายมฆะพันธ์ พัฒนากิจการสาร</t>
  </si>
  <si>
    <t>ไฟฟ้า1/30</t>
  </si>
  <si>
    <t>ไฟฟ้า 1/31</t>
  </si>
  <si>
    <t>370/18451</t>
  </si>
  <si>
    <t>ไฟฟ้า1/32-34</t>
  </si>
  <si>
    <t>379/18905</t>
  </si>
  <si>
    <t>ไฟฟ้า2/1</t>
  </si>
  <si>
    <t>ไฟฟ้า2/2-3</t>
  </si>
  <si>
    <t>378/18877</t>
  </si>
  <si>
    <t>ไฟฟ้า2/4</t>
  </si>
  <si>
    <t>364/18197</t>
  </si>
  <si>
    <t>ไฟฟ้า2/6</t>
  </si>
  <si>
    <t>ไฟฟ้า2/7</t>
  </si>
  <si>
    <t>ไฟฟ้า2/8</t>
  </si>
  <si>
    <t>378/18875</t>
  </si>
  <si>
    <t>ไฟฟ้า2/10</t>
  </si>
  <si>
    <t>381/19030</t>
  </si>
  <si>
    <t>ไฟฟ้า2/12</t>
  </si>
  <si>
    <t>ไฟฟ้า2/14</t>
  </si>
  <si>
    <t>ไฟฟ้า2/15</t>
  </si>
  <si>
    <t>378/18869</t>
  </si>
  <si>
    <t>ไฟฟ้า2/16</t>
  </si>
  <si>
    <t>378/18898</t>
  </si>
  <si>
    <t>ไฟฟ้า2/17</t>
  </si>
  <si>
    <t>ไฟฟ้า2/21</t>
  </si>
  <si>
    <t>378/18867</t>
  </si>
  <si>
    <t>ไฟฟ้า2/22</t>
  </si>
  <si>
    <t>379/18950</t>
  </si>
  <si>
    <t>ไฟฟ้า2/23</t>
  </si>
  <si>
    <t>ไฟฟ้า2/37</t>
  </si>
  <si>
    <t>381/19009</t>
  </si>
  <si>
    <t>ไฟฟ้า2/38</t>
  </si>
  <si>
    <t>381/19011</t>
  </si>
  <si>
    <t>ไฟฟ้าใต้สนง.</t>
  </si>
  <si>
    <t>379/18902</t>
  </si>
  <si>
    <t>ไฟฟ้า3/1-2</t>
  </si>
  <si>
    <t>370/18491</t>
  </si>
  <si>
    <t>ไฟฟ้า3/3</t>
  </si>
  <si>
    <t>380/18966</t>
  </si>
  <si>
    <t>ไฟฟ้า3/4</t>
  </si>
  <si>
    <t>364/18179,379/18927</t>
  </si>
  <si>
    <t>ไฟฟ้า3/5</t>
  </si>
  <si>
    <t>380/18968</t>
  </si>
  <si>
    <t>นางสะฝีย๊ะ เบ็ญโส๊ะ</t>
  </si>
  <si>
    <t>ไฟฟ้า3/6</t>
  </si>
  <si>
    <t>ไฟฟ้า3/9</t>
  </si>
  <si>
    <t>378/18853</t>
  </si>
  <si>
    <t>ติดตั้งมิเตอร์ไฟฟ้า(ปั๊มน้ำเค็ม)</t>
  </si>
  <si>
    <t>378/18854</t>
  </si>
  <si>
    <t>ไฟฟ้า4/3</t>
  </si>
  <si>
    <t>378/18873</t>
  </si>
  <si>
    <t>ไฟฟ้า4/6-7 ,26-27</t>
  </si>
  <si>
    <t>381/19032</t>
  </si>
  <si>
    <t>ห้างหุ้นส่วนจำกัด หนูเหิม ซีฟูดส์ โปรดักส์</t>
  </si>
  <si>
    <t>ไฟฟ้า4/9,10,24</t>
  </si>
  <si>
    <t>022/1080,023/1108</t>
  </si>
  <si>
    <t>หมายเหตุ : ยอดหนี้ค้าง 7,931.91 บาท เนื่องจากโอนวันที่ 30/6/69 หลังเวลา 23.00 น. ธนาคารตัดยอดเป็นวันที่ 1/7/69</t>
  </si>
  <si>
    <t>หมายเหตุ : ยอดหนี้ค้าง 1,033.62 บาท เนื่องจากโอนวันที่ 30/6/69 หลังเวลา 23.00 น. ธนาคารตัดยอดเป็นวันที่ 1/7/69</t>
  </si>
  <si>
    <t>หมายเหตุ : ยอดหนี้ค้าง 1,071.07 บาท เนื่องจากโอนวันที่ 30/6/69 หลังเวลา 23.00 น. ธนาคารตัดยอดเป็นวันที่ 1/7/69</t>
  </si>
  <si>
    <t>บ.ฮะหลีขนส่ง จำกัด</t>
  </si>
  <si>
    <t>ไฟฟ้า4/11</t>
  </si>
  <si>
    <t>023/1101</t>
  </si>
  <si>
    <t>ไฟฟ้า4/13,14,15</t>
  </si>
  <si>
    <t>023/1113</t>
  </si>
  <si>
    <t>ไฟฟ้า4/16</t>
  </si>
  <si>
    <t>370/18463</t>
  </si>
  <si>
    <t>ไฟฟ้า4/25</t>
  </si>
  <si>
    <t>379/18931</t>
  </si>
  <si>
    <t>ไฟฟ้า5/1</t>
  </si>
  <si>
    <t>381/19024</t>
  </si>
  <si>
    <t>นายจีรัชญ์  ธชกฤศ(โรงคลุมเล็ก)</t>
  </si>
  <si>
    <t>ไฟฟ้า5/2</t>
  </si>
  <si>
    <t>381/19025</t>
  </si>
  <si>
    <t>ไฟฟ้า5/3</t>
  </si>
  <si>
    <t>370/18468</t>
  </si>
  <si>
    <t>ไฟฟ้า6/1</t>
  </si>
  <si>
    <t>381/19036</t>
  </si>
  <si>
    <t>ไฟฟ้า6/5</t>
  </si>
  <si>
    <t>น.ส.วรรณี  มะสัน</t>
  </si>
  <si>
    <t>ไฟฟ้า6/7</t>
  </si>
  <si>
    <t>378/18871</t>
  </si>
  <si>
    <t>ไฟฟ้า6/9-10</t>
  </si>
  <si>
    <t>380/18986</t>
  </si>
  <si>
    <t>ไฟฟ้า7/1</t>
  </si>
  <si>
    <t>370/18453</t>
  </si>
  <si>
    <t>นางรอมิอ๊ะ การะวรรณ</t>
  </si>
  <si>
    <t>ไฟฟ้า7/2-3</t>
  </si>
  <si>
    <t>ไฟฟ้า7/4-6</t>
  </si>
  <si>
    <t>370/18455</t>
  </si>
  <si>
    <t>ไฟฟ้าA/1-2</t>
  </si>
  <si>
    <t>381/19028</t>
  </si>
  <si>
    <t>ไฟฟ้าA/3-4-5</t>
  </si>
  <si>
    <t>380/18990</t>
  </si>
  <si>
    <t>ไฟเรือ</t>
  </si>
  <si>
    <t>ไฟฟ้าA/6</t>
  </si>
  <si>
    <t>370/18487</t>
  </si>
  <si>
    <t>ไฟฟ้าA/7</t>
  </si>
  <si>
    <t>378/18896</t>
  </si>
  <si>
    <t>นายมฆะพันธ์ พัฒนาหิจหารสาร</t>
  </si>
  <si>
    <t>ไฟฟ้าA/8</t>
  </si>
  <si>
    <t>381/19015</t>
  </si>
  <si>
    <t>ไฟฟ้าA/10</t>
  </si>
  <si>
    <t>ไฟฟ้าA/11</t>
  </si>
  <si>
    <t>370/18466</t>
  </si>
  <si>
    <t>หน้าท่า</t>
  </si>
  <si>
    <t>ไฟฟ้าB/1-5</t>
  </si>
  <si>
    <t>370/18459</t>
  </si>
  <si>
    <t>นางสมจิตร  พิทักษ์คุมพล</t>
  </si>
  <si>
    <t>ไฟฟ้าB/6-7</t>
  </si>
  <si>
    <t>370/18483</t>
  </si>
  <si>
    <t>นายปกรณ์เกียรติ เวชพิทักษ์</t>
  </si>
  <si>
    <t>ไฟฟ้าB/8-9</t>
  </si>
  <si>
    <t>370/18494</t>
  </si>
  <si>
    <t>ไฟฟ้าB/10-12</t>
  </si>
  <si>
    <t>379/18936</t>
  </si>
  <si>
    <t>ไฟฟ้าB/13-16,21-22</t>
  </si>
  <si>
    <t>023/1138</t>
  </si>
  <si>
    <t>ไฟฟ้าB/23,24,25</t>
  </si>
  <si>
    <t>370/18481</t>
  </si>
  <si>
    <t>ไฟฟ้าB/26-27</t>
  </si>
  <si>
    <t>023/1136</t>
  </si>
  <si>
    <t>นางสมบูรณ์ ทิมมณี(ห้อง4)</t>
  </si>
  <si>
    <t>ห้องชั่ง(ห้อง4)</t>
  </si>
  <si>
    <t>379/18933</t>
  </si>
  <si>
    <t>380/18964</t>
  </si>
  <si>
    <t>ไฟฟ้าอาหาร  1</t>
  </si>
  <si>
    <t>379/18940</t>
  </si>
  <si>
    <t>ไฟฟ้าอาหาร  2-3</t>
  </si>
  <si>
    <t>379/18942</t>
  </si>
  <si>
    <t>ไฟฟ้าอาหาร  4</t>
  </si>
  <si>
    <t>364/18193,381/19016</t>
  </si>
  <si>
    <t>ไฟฟ้าอาหาร  5</t>
  </si>
  <si>
    <t>378/18893</t>
  </si>
  <si>
    <t>ไฟฟ้าอาหาร 7</t>
  </si>
  <si>
    <t>380/18988</t>
  </si>
  <si>
    <t>ไฟฟ้าอาหาร  8</t>
  </si>
  <si>
    <t>370/18461</t>
  </si>
  <si>
    <t>นายนิติพงศกร ทองเกิด</t>
  </si>
  <si>
    <t>ไฟฟ้าอาหาร  10</t>
  </si>
  <si>
    <t>378/18865</t>
  </si>
  <si>
    <t>ไฟฟ้าโม่ 1(บริเวณด้านข้าง อ.2)</t>
  </si>
  <si>
    <t>364/18181,381/19005</t>
  </si>
  <si>
    <t>หมายเหตุ : ยอดหนี้ค้าง 7,201.10 บาท เนื่องจากนำเช็คเข้าวันที่ 30/6/69 ธนาคารตัดยอดเช็ดเป็นวันที่ 1/7/69</t>
  </si>
  <si>
    <t>ไฟฟ้าโม่ 2(บริเวณหน้าอ.4)</t>
  </si>
  <si>
    <t>378/18879</t>
  </si>
  <si>
    <t>ตั้งเครื่องโม่</t>
  </si>
  <si>
    <t>364/18182,381/19006</t>
  </si>
  <si>
    <t>หมายเหตุ : ยอดหนี้ค้าง 12,957.70 บาท เนื่องจากนำเช็คเข้าวันที่ 30/6/69 ธนาคารตัดยอดเช็ดเป็นวันที่ 1/7/69</t>
  </si>
  <si>
    <t>ไฟฟ้าโม่ 3(โรงคลุมเล็ก)</t>
  </si>
  <si>
    <t>364/18183,381/19007</t>
  </si>
  <si>
    <t>หมายเหตุ : ยอดหนี้ค้าง 7,243.90 บาท เนื่องจากนำเช็คเข้าวันที่ 30/6/69 ธนาคารตัดยอดเช็ดเป็นวันที่ 1/7/69</t>
  </si>
  <si>
    <t>ไฟฟ้าตั้งเครื่องโม่</t>
  </si>
  <si>
    <t>370/18479</t>
  </si>
  <si>
    <t>นายยืนหยัด ปินตุรัต(โชคนิรันดร์)</t>
  </si>
  <si>
    <t>ไฟฟ้าโรงคลุมเล็ก</t>
  </si>
  <si>
    <t>364/18189,380/18984</t>
  </si>
  <si>
    <t>นางไรตูล  ขุนชำนิ</t>
  </si>
  <si>
    <t>ไฟฟ้าลงเรือโรงคลุม</t>
  </si>
  <si>
    <t>370/18488</t>
  </si>
  <si>
    <t>นายสมศักดิ์  หวันหล๊ะเบ๊ะ</t>
  </si>
  <si>
    <t>ไฟฟ้าเรือ ส.มังกรทอง</t>
  </si>
  <si>
    <t>381/19034</t>
  </si>
  <si>
    <t>นายเสรี นอกเมือง</t>
  </si>
  <si>
    <t>ไฟฟ้าโรงคลุมใหญ่</t>
  </si>
  <si>
    <t>366/18256</t>
  </si>
  <si>
    <t>นายดอเหล๊าะ กาลมิกาล</t>
  </si>
  <si>
    <t>378/18858</t>
  </si>
  <si>
    <t>น.ส.หัสยา กาลมิกาล</t>
  </si>
  <si>
    <t>378/18859</t>
  </si>
  <si>
    <t>นายกิตติพงษ์ บูรณะพันธ์</t>
  </si>
  <si>
    <t>นางสนิท ไขระวิ</t>
  </si>
  <si>
    <t>ไฟฟ้าเช่าที่ อ.7</t>
  </si>
  <si>
    <t>380/18992</t>
  </si>
  <si>
    <t>ไฟฟ้าหน้าอ.7</t>
  </si>
  <si>
    <t>370/18490</t>
  </si>
  <si>
    <t>นางจินตนา หนูทิม</t>
  </si>
  <si>
    <t>ใช้สถานที่อาคาร 2 ใช้ดองปลา</t>
  </si>
  <si>
    <t>378/18894</t>
  </si>
  <si>
    <t>ไฟฟ้าอาคาร 2 ใช้ดองปลา</t>
  </si>
  <si>
    <t>364/18186</t>
  </si>
  <si>
    <t>ไฟฟ้าร้านขายไก่ทอด</t>
  </si>
  <si>
    <t>ไฟฟ้าจัดเรือ</t>
  </si>
  <si>
    <t>3,10,31กค.69</t>
  </si>
  <si>
    <t>364/18198,370/18452,381/19026</t>
  </si>
  <si>
    <t>นายมูฮัมหมัด เบ็ญโส๊ะ</t>
  </si>
  <si>
    <t>ไฟฟ้าปั้มน้ำเค็ม</t>
  </si>
  <si>
    <t>379/18907,379/18929</t>
  </si>
  <si>
    <t>น.ส.อลิสา  มากเอียด</t>
  </si>
  <si>
    <t>ไฟฟ้า จัดเรือ</t>
  </si>
  <si>
    <t>ยกเลิกมิเตอร์ไฟฟ้า  ตั้งแต่วันที่ 1 พ.ค.69</t>
  </si>
  <si>
    <t>นายสมชาย หมุดโต๊ะหมัด</t>
  </si>
  <si>
    <t>ไฟฟ้า ปั๊มน้ำเค็ม</t>
  </si>
  <si>
    <t>379/18907</t>
  </si>
  <si>
    <t>นางจิราภรณ์ มาลิคอาลี</t>
  </si>
  <si>
    <t>ไฟฟ้า โรงคลุมเล็ก</t>
  </si>
  <si>
    <t>ไฟฟ้าใช้สถานที่ดองปลา</t>
  </si>
  <si>
    <t>378/18900</t>
  </si>
  <si>
    <t>ไฟฟ้า (คูหา1)</t>
  </si>
  <si>
    <t>378/18881</t>
  </si>
  <si>
    <t>ไฟฟ้า (คูหา2)</t>
  </si>
  <si>
    <t>378/18883</t>
  </si>
  <si>
    <t>ไฟฟ้า (คูหา3)</t>
  </si>
  <si>
    <t>378/18885</t>
  </si>
  <si>
    <t>ไฟฟ้า (คูหา4)</t>
  </si>
  <si>
    <t>378/18887</t>
  </si>
  <si>
    <t>ไฟฟ้า (คูหา5)</t>
  </si>
  <si>
    <t>370/18465</t>
  </si>
  <si>
    <t>ไฟฟ้า (คูหา6)</t>
  </si>
  <si>
    <t>378/18889</t>
  </si>
  <si>
    <t>ไฟฟ้า (คูหา7)</t>
  </si>
  <si>
    <t>378/18891</t>
  </si>
  <si>
    <t>364/18191,379/18945</t>
  </si>
  <si>
    <t>ศูนย์สวัสดิภาพและธรรมาภิบาลแรงงานสงขลา</t>
  </si>
  <si>
    <t>ไฟฟ้าเหมาจ่าย</t>
  </si>
  <si>
    <t>023/1133</t>
  </si>
  <si>
    <t>นายเดชาธร เดชสุข</t>
  </si>
  <si>
    <t>ไฟฟ้าท่าเรือเล็ก</t>
  </si>
  <si>
    <t>379/18934</t>
  </si>
  <si>
    <t>โรงคลุมใหญ่</t>
  </si>
  <si>
    <t>ว่าที ร.ต.ธีรวัฒน์ พุทธาโร</t>
  </si>
  <si>
    <t>อยู่ในอ.7เช่าพื้นที่ชั่วคราว</t>
  </si>
  <si>
    <t>380/18999</t>
  </si>
  <si>
    <t>ไฟฟ้าค่าใช้สถานที่อื่นๆดองปลา</t>
  </si>
  <si>
    <t>381/19013</t>
  </si>
  <si>
    <t>นายจรัส บูรณวัฒน์</t>
  </si>
  <si>
    <t>ไฟฟ้าเรือ ท่าเรือเล็ก</t>
  </si>
  <si>
    <t>370/18457</t>
  </si>
  <si>
    <t>นางอำพร  อินทรพงษา</t>
  </si>
  <si>
    <t>ไฟฟ้าเรือ โชคอำนาจ</t>
  </si>
  <si>
    <t>หจก.แฮปปี้คอยน์ เซอร์วิส</t>
  </si>
  <si>
    <t>ไฟฟ้าเหมาจ่ายค่าวางตู้เติมเงิน</t>
  </si>
  <si>
    <t>023/1127</t>
  </si>
  <si>
    <t>นางไรดน วงศ์เทศ</t>
  </si>
  <si>
    <t>ไฟฟ้า โรงคลุมใหญ่</t>
  </si>
  <si>
    <t>378/18897</t>
  </si>
  <si>
    <t>ไฟฟ้าห้องชั่งเก่า</t>
  </si>
  <si>
    <t>380/18963</t>
  </si>
  <si>
    <t>นายอร่าม นอกเมือง</t>
  </si>
  <si>
    <t>378/18863</t>
  </si>
  <si>
    <t>นางสธนธร โชติวรธนิน</t>
  </si>
  <si>
    <t>ห้องน้ำสาธารณะ</t>
  </si>
  <si>
    <t>370/18499</t>
  </si>
  <si>
    <t>370/18456</t>
  </si>
  <si>
    <t>นายสมมาต ภูริศิริไพบุรณ์</t>
  </si>
  <si>
    <t>น.ส.กชกร ฉวีอินทร์</t>
  </si>
  <si>
    <t>370/18485</t>
  </si>
  <si>
    <t>นายจุฑา คงทอง</t>
  </si>
  <si>
    <t>ท่าเรือเล็ก</t>
  </si>
  <si>
    <t>378/18851</t>
  </si>
  <si>
    <t>นายเทพฤทธิ์ อุดมรัตน์</t>
  </si>
  <si>
    <t>378/18861</t>
  </si>
  <si>
    <t>โรงคลุมเล็ก</t>
  </si>
  <si>
    <t>370/18484</t>
  </si>
  <si>
    <t>นายบัณฑิต โตเลิศมงคล</t>
  </si>
  <si>
    <t>379/18906</t>
  </si>
  <si>
    <t>ไฟฟ้าห้องเครื่องชั่ง</t>
  </si>
  <si>
    <t>380/18958</t>
  </si>
  <si>
    <t>นางสุภัสสร เสนเนียม</t>
  </si>
  <si>
    <t>เรืออมร8</t>
  </si>
  <si>
    <t>378/18860</t>
  </si>
  <si>
    <t>นางนุสรา พรมใบ(เรือรุ่งโรจน์วัฒนา)</t>
  </si>
  <si>
    <t>379/18937</t>
  </si>
  <si>
    <t>นายประเสริฐ ภักดี</t>
  </si>
  <si>
    <t>นางสาวหฤทัย ไขระวิ</t>
  </si>
  <si>
    <t>ข้างสำนักงาน</t>
  </si>
  <si>
    <t>380/18994</t>
  </si>
  <si>
    <t>ค่าต่ออายุสัญญา/สิทธิการเช่าโอนเป็นรายได้ 4700900</t>
  </si>
  <si>
    <t>รายได้เบ็ดเตล็ด 4701600</t>
  </si>
  <si>
    <t xml:space="preserve">ค่าภาษีโรงเรือนที่ดินและสิ่งปลูกสร้าง </t>
  </si>
  <si>
    <t>อาคาร1/31</t>
  </si>
  <si>
    <t>รวมหนี้ค้างชำระเป็นเงินทั้งสิ้น</t>
  </si>
  <si>
    <t>หนี้ปรับโครงสร้าง</t>
  </si>
  <si>
    <t>นางกานดา สังข์ทอง (นวย)</t>
  </si>
  <si>
    <t>ภาษีโรงเรือน อ.2/46</t>
  </si>
  <si>
    <t>692211070147</t>
  </si>
  <si>
    <t>นายทรงพล  เตชะอนันต์ตระกูล</t>
  </si>
  <si>
    <t>ค่าเช่าอาคาร4/8</t>
  </si>
  <si>
    <t>หนี้อยู่ระหว่างดำเนินคดี</t>
  </si>
  <si>
    <t>นายเอกพล ฤทธิ์โต</t>
  </si>
  <si>
    <t>เช่าอาหาร 9</t>
  </si>
  <si>
    <t>มิย.-กย.61</t>
  </si>
  <si>
    <t>สุขาภิบาลอาหาร 9</t>
  </si>
  <si>
    <t>มีค.-มิย.61</t>
  </si>
  <si>
    <t>น้ำประปาอาหาร9</t>
  </si>
  <si>
    <t>พค.-กย.61</t>
  </si>
  <si>
    <t>ไฟฟ้าอาหาร9</t>
  </si>
  <si>
    <t>พค.-ตค.61</t>
  </si>
  <si>
    <t>ไฟฟ้าสะพานไม้</t>
  </si>
  <si>
    <t>หมายเหตุ: นายเอกพลฯ ทร.สงขลาได้ส่ง สกม.เพื่อส่งฟ้อง</t>
  </si>
  <si>
    <t>หนี้บอกเลิกสัญญา</t>
  </si>
  <si>
    <t>หนี้ดำเนินคดีไม่เคลื่อนไหว</t>
  </si>
  <si>
    <t>นายพีระพงษ์ จันทรโชติ</t>
  </si>
  <si>
    <t>เช่าอ.แถวยาว</t>
  </si>
  <si>
    <t>กพ.-พย.58</t>
  </si>
  <si>
    <t>ศาล</t>
  </si>
  <si>
    <t>น้ำแถวยาว</t>
  </si>
  <si>
    <t>มีค.-พย.58</t>
  </si>
  <si>
    <t>ไฟแถวยาว</t>
  </si>
  <si>
    <t>หมายเหตุ:นายพีระพงษ์ จันทรโชติสอบถาม สบน.สกม. 26 มิย.2566 : ตอนนี้อยู่ในกระบวนการสืบหาหลักทรัพย์</t>
  </si>
  <si>
    <t>นางพิสมัย เตละวานิช</t>
  </si>
  <si>
    <t>เช่าอาคาร 2/24</t>
  </si>
  <si>
    <t>มิย.-ธค.61,มค.62</t>
  </si>
  <si>
    <t>น้ำประปา อ.2/24</t>
  </si>
  <si>
    <t>พค.-พย.61</t>
  </si>
  <si>
    <t>ไฟฟ้า อ.2/24</t>
  </si>
  <si>
    <t>ภาษีโรงเรือน อ.2/24</t>
  </si>
  <si>
    <t>ปี 2558-2562</t>
  </si>
  <si>
    <t>อัคคีภัยอ.2/24</t>
  </si>
  <si>
    <t>งวด 28 กค.58-28 กค.59</t>
  </si>
  <si>
    <t>ค่าต่อสัญญาเช่า</t>
  </si>
  <si>
    <t>หมายเหตุ: นางพิศมัยฯ ได้ส่งฟ้องศาลนัดไกล่เกลี่ยที่ศาลเมื่อวันที่ 26 มิถุนายน 2566 รอฟังคำพิพากษาศาล</t>
  </si>
  <si>
    <t>รวมหนี้ทั้งหมดนายพีพระพงษ์ฯ และนางพิศมัยฯ</t>
  </si>
  <si>
    <t>รวม หนี้ค้างชำระทั้งสิ้น</t>
  </si>
  <si>
    <t>ค่าเสียหายจากการใช้ประโยชน์ในพื้นที่</t>
  </si>
  <si>
    <t>นส.หฤทัย ไขระวิ</t>
  </si>
  <si>
    <t>ปรับปรุงรายการไปอยู่ช่อง ปกติแล้วคะ</t>
  </si>
  <si>
    <t>น้ำประปาใช้สถานที่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</si>
</sst>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#,##0.00_ ;[Red]\-#,##0.00\ "/>
    <numFmt numFmtId="165" formatCode="[$-107041E]d\ mmm\ yy;@"/>
    <numFmt numFmtId="166" formatCode="_-* #,##0.00_-;\-* #,##0.00_-;_-* &quot;-&quot;??_-;_-@_-"/>
    <numFmt numFmtId="167" formatCode="0_);\(0\)"/>
    <numFmt numFmtId="168" formatCode="_-* #,##0.00_-;\-* #,##0.00_-;_-* &quot;-&quot;??_-;_-@"/>
    <numFmt numFmtId="169" formatCode="[$-107041E]d\ mmm\ yy"/>
    <numFmt numFmtId="170" formatCode="#,##0.00_ ;\-#,##0.00\ "/>
    <numFmt numFmtId="171" formatCode="_(* #,##0_);_(* \(#,##0\);_(* &quot;-&quot;??_);_(@_)"/>
    <numFmt numFmtId="172" formatCode="_-* #,##0_-;\-* #,##0_-;_-* &quot;-&quot;??_-;_-@_-"/>
  </numFmts>
  <fonts count="2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22"/>
      <name val="TH SarabunPSK"/>
      <family val="2"/>
    </font>
    <font>
      <b/>
      <u/>
      <sz val="22"/>
      <name val="TH SarabunPSK"/>
      <family val="2"/>
    </font>
    <font>
      <b/>
      <sz val="22"/>
      <color rgb="FFFF0000"/>
      <name val="TH SarabunPSK"/>
      <family val="2"/>
    </font>
    <font>
      <b/>
      <sz val="20"/>
      <name val="TH SarabunPSK"/>
      <family val="2"/>
    </font>
    <font>
      <b/>
      <sz val="22"/>
      <color theme="1"/>
      <name val="TH SarabunPSK"/>
      <family val="2"/>
    </font>
    <font>
      <b/>
      <sz val="22"/>
      <color rgb="FFFF5050"/>
      <name val="TH SarabunPSK"/>
      <family val="2"/>
    </font>
    <font>
      <b/>
      <sz val="20"/>
      <color theme="1"/>
      <name val="TH SarabunPSK"/>
      <family val="2"/>
    </font>
    <font>
      <sz val="20"/>
      <name val="TH SarabunPSK"/>
      <family val="2"/>
    </font>
    <font>
      <sz val="22"/>
      <color rgb="FFFF0000"/>
      <name val="TH SarabunPSK"/>
      <family val="2"/>
    </font>
    <font>
      <sz val="22"/>
      <name val="TH SarabunPSK"/>
      <family val="2"/>
    </font>
    <font>
      <b/>
      <sz val="22"/>
      <color rgb="FF7030A0"/>
      <name val="TH SarabunPSK"/>
      <family val="2"/>
    </font>
    <font>
      <b/>
      <sz val="16"/>
      <color theme="1"/>
      <name val="TH SarabunPSK"/>
      <family val="2"/>
    </font>
    <font>
      <sz val="22"/>
      <color theme="1"/>
      <name val="TH SarabunPSK"/>
      <family val="2"/>
    </font>
    <font>
      <sz val="12"/>
      <color theme="1"/>
      <name val="TH SarabunPSK"/>
      <family val="2"/>
    </font>
    <font>
      <b/>
      <sz val="24"/>
      <name val="TH SarabunPSK"/>
      <family val="2"/>
    </font>
    <font>
      <b/>
      <u/>
      <sz val="24"/>
      <name val="TH SarabunPSK"/>
      <family val="2"/>
    </font>
    <font>
      <b/>
      <sz val="24"/>
      <color rgb="FFFF0000"/>
      <name val="TH SarabunPSK"/>
      <family val="2"/>
    </font>
    <font>
      <sz val="18"/>
      <color theme="1"/>
      <name val="TH SarabunPSK"/>
      <family val="2"/>
    </font>
    <font>
      <b/>
      <sz val="18"/>
      <color theme="1"/>
      <name val="TH SarabunPSK"/>
      <family val="2"/>
    </font>
    <font>
      <sz val="18"/>
      <color rgb="FFFF0000"/>
      <name val="TH SarabunPSK"/>
      <family val="2"/>
    </font>
    <font>
      <b/>
      <u/>
      <sz val="22"/>
      <color rgb="FFFF0000"/>
      <name val="TH SarabunPSK"/>
      <family val="2"/>
    </font>
    <font>
      <b/>
      <sz val="36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</borders>
  <cellStyleXfs count="7">
    <xf numFmtId="0" fontId="0" fillId="0" borderId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2" fillId="0" borderId="0"/>
    <xf numFmtId="166" fontId="2" fillId="0" borderId="0" applyFont="0" applyFill="0" applyBorder="0" applyAlignment="0" applyProtection="0"/>
    <xf numFmtId="0" fontId="1" fillId="0" borderId="0"/>
  </cellStyleXfs>
  <cellXfs count="568">
    <xf numFmtId="0" fontId="0" fillId="0" borderId="0" xfId="0"/>
    <xf numFmtId="3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4" fontId="3" fillId="0" borderId="1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43" fontId="3" fillId="2" borderId="3" xfId="0" applyNumberFormat="1" applyFont="1" applyFill="1" applyBorder="1" applyAlignment="1">
      <alignment horizontal="center" vertical="center"/>
    </xf>
    <xf numFmtId="43" fontId="3" fillId="2" borderId="4" xfId="0" applyNumberFormat="1" applyFont="1" applyFill="1" applyBorder="1" applyAlignment="1">
      <alignment horizontal="center" vertical="center"/>
    </xf>
    <xf numFmtId="43" fontId="3" fillId="2" borderId="5" xfId="0" applyNumberFormat="1" applyFont="1" applyFill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/>
    </xf>
    <xf numFmtId="4" fontId="3" fillId="0" borderId="6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3" fontId="3" fillId="2" borderId="2" xfId="0" applyNumberFormat="1" applyFont="1" applyFill="1" applyBorder="1" applyAlignment="1">
      <alignment horizontal="center" vertical="center"/>
    </xf>
    <xf numFmtId="164" fontId="3" fillId="0" borderId="3" xfId="1" applyNumberFormat="1" applyFont="1" applyFill="1" applyBorder="1" applyAlignment="1">
      <alignment horizontal="center" vertical="center"/>
    </xf>
    <xf numFmtId="164" fontId="3" fillId="0" borderId="4" xfId="1" applyNumberFormat="1" applyFont="1" applyFill="1" applyBorder="1" applyAlignment="1">
      <alignment horizontal="center" vertical="center"/>
    </xf>
    <xf numFmtId="164" fontId="3" fillId="0" borderId="5" xfId="1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43" fontId="3" fillId="2" borderId="6" xfId="0" applyNumberFormat="1" applyFont="1" applyFill="1" applyBorder="1" applyAlignment="1">
      <alignment horizontal="center" vertical="center"/>
    </xf>
    <xf numFmtId="164" fontId="3" fillId="0" borderId="2" xfId="1" applyNumberFormat="1" applyFont="1" applyFill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166" fontId="3" fillId="0" borderId="9" xfId="1" applyFont="1" applyFill="1" applyBorder="1" applyAlignment="1">
      <alignment horizontal="right" vertical="center"/>
    </xf>
    <xf numFmtId="0" fontId="3" fillId="0" borderId="9" xfId="0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5" fontId="3" fillId="2" borderId="11" xfId="0" applyNumberFormat="1" applyFont="1" applyFill="1" applyBorder="1" applyAlignment="1">
      <alignment horizontal="center" vertical="center"/>
    </xf>
    <xf numFmtId="166" fontId="3" fillId="2" borderId="11" xfId="0" applyNumberFormat="1" applyFont="1" applyFill="1" applyBorder="1" applyAlignment="1">
      <alignment horizontal="center" vertical="center" shrinkToFit="1"/>
    </xf>
    <xf numFmtId="166" fontId="3" fillId="2" borderId="12" xfId="0" applyNumberFormat="1" applyFont="1" applyFill="1" applyBorder="1" applyAlignment="1">
      <alignment horizontal="right" vertical="center"/>
    </xf>
    <xf numFmtId="164" fontId="3" fillId="0" borderId="10" xfId="1" applyNumberFormat="1" applyFont="1" applyFill="1" applyBorder="1" applyAlignment="1">
      <alignment horizontal="center" vertical="center"/>
    </xf>
    <xf numFmtId="164" fontId="3" fillId="0" borderId="13" xfId="1" applyNumberFormat="1" applyFont="1" applyFill="1" applyBorder="1" applyAlignment="1">
      <alignment horizontal="right" vertical="center"/>
    </xf>
    <xf numFmtId="167" fontId="3" fillId="0" borderId="9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166" fontId="3" fillId="0" borderId="6" xfId="1" applyFont="1" applyFill="1" applyBorder="1" applyAlignment="1">
      <alignment horizontal="right" vertical="center"/>
    </xf>
    <xf numFmtId="166" fontId="3" fillId="0" borderId="6" xfId="1" applyFont="1" applyFill="1" applyBorder="1" applyAlignment="1">
      <alignment horizontal="center" vertical="center"/>
    </xf>
    <xf numFmtId="164" fontId="3" fillId="0" borderId="6" xfId="1" applyNumberFormat="1" applyFont="1" applyFill="1" applyBorder="1" applyAlignment="1">
      <alignment horizontal="right" vertical="center"/>
    </xf>
    <xf numFmtId="165" fontId="3" fillId="2" borderId="14" xfId="0" applyNumberFormat="1" applyFont="1" applyFill="1" applyBorder="1" applyAlignment="1">
      <alignment horizontal="center" vertical="center"/>
    </xf>
    <xf numFmtId="166" fontId="3" fillId="2" borderId="14" xfId="0" applyNumberFormat="1" applyFont="1" applyFill="1" applyBorder="1" applyAlignment="1">
      <alignment horizontal="center" vertical="center" shrinkToFit="1"/>
    </xf>
    <xf numFmtId="166" fontId="3" fillId="2" borderId="15" xfId="0" applyNumberFormat="1" applyFont="1" applyFill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64" fontId="3" fillId="0" borderId="16" xfId="1" applyNumberFormat="1" applyFont="1" applyFill="1" applyBorder="1" applyAlignment="1">
      <alignment horizontal="center" vertical="center"/>
    </xf>
    <xf numFmtId="164" fontId="3" fillId="0" borderId="0" xfId="1" applyNumberFormat="1" applyFont="1" applyFill="1" applyBorder="1" applyAlignment="1">
      <alignment horizontal="right" vertical="center"/>
    </xf>
    <xf numFmtId="0" fontId="3" fillId="0" borderId="17" xfId="0" applyFont="1" applyBorder="1" applyAlignment="1">
      <alignment vertical="center"/>
    </xf>
    <xf numFmtId="0" fontId="5" fillId="0" borderId="17" xfId="0" applyFont="1" applyBorder="1" applyAlignment="1">
      <alignment horizontal="left" vertical="center"/>
    </xf>
    <xf numFmtId="166" fontId="3" fillId="0" borderId="17" xfId="1" applyFont="1" applyFill="1" applyBorder="1" applyAlignment="1">
      <alignment horizontal="right" vertical="center"/>
    </xf>
    <xf numFmtId="166" fontId="3" fillId="0" borderId="17" xfId="1" applyFont="1" applyFill="1" applyBorder="1" applyAlignment="1">
      <alignment horizontal="center" vertical="center"/>
    </xf>
    <xf numFmtId="164" fontId="3" fillId="0" borderId="17" xfId="1" applyNumberFormat="1" applyFont="1" applyFill="1" applyBorder="1" applyAlignment="1">
      <alignment horizontal="right" vertical="center"/>
    </xf>
    <xf numFmtId="165" fontId="3" fillId="2" borderId="17" xfId="1" applyNumberFormat="1" applyFont="1" applyFill="1" applyBorder="1" applyAlignment="1">
      <alignment horizontal="center" vertical="center"/>
    </xf>
    <xf numFmtId="166" fontId="3" fillId="2" borderId="17" xfId="1" applyFont="1" applyFill="1" applyBorder="1" applyAlignment="1">
      <alignment horizontal="center" vertical="center"/>
    </xf>
    <xf numFmtId="166" fontId="3" fillId="2" borderId="17" xfId="1" applyFont="1" applyFill="1" applyBorder="1" applyAlignment="1">
      <alignment horizontal="right" vertical="center"/>
    </xf>
    <xf numFmtId="0" fontId="3" fillId="0" borderId="17" xfId="1" applyNumberFormat="1" applyFont="1" applyFill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right" vertical="center"/>
    </xf>
    <xf numFmtId="0" fontId="4" fillId="0" borderId="18" xfId="0" applyFont="1" applyBorder="1" applyAlignment="1">
      <alignment vertical="center"/>
    </xf>
    <xf numFmtId="0" fontId="5" fillId="0" borderId="18" xfId="0" applyFont="1" applyBorder="1" applyAlignment="1">
      <alignment horizontal="left" vertical="center"/>
    </xf>
    <xf numFmtId="166" fontId="3" fillId="0" borderId="18" xfId="1" applyFont="1" applyFill="1" applyBorder="1" applyAlignment="1">
      <alignment horizontal="right" vertical="center"/>
    </xf>
    <xf numFmtId="166" fontId="3" fillId="0" borderId="18" xfId="1" applyFont="1" applyFill="1" applyBorder="1" applyAlignment="1">
      <alignment horizontal="center" vertical="center"/>
    </xf>
    <xf numFmtId="166" fontId="3" fillId="0" borderId="19" xfId="1" applyFont="1" applyFill="1" applyBorder="1" applyAlignment="1">
      <alignment horizontal="right" vertical="center"/>
    </xf>
    <xf numFmtId="164" fontId="3" fillId="0" borderId="19" xfId="1" applyNumberFormat="1" applyFont="1" applyFill="1" applyBorder="1" applyAlignment="1">
      <alignment horizontal="right" vertical="center"/>
    </xf>
    <xf numFmtId="165" fontId="3" fillId="2" borderId="19" xfId="0" applyNumberFormat="1" applyFont="1" applyFill="1" applyBorder="1" applyAlignment="1">
      <alignment horizontal="center" vertical="center"/>
    </xf>
    <xf numFmtId="166" fontId="3" fillId="2" borderId="19" xfId="0" applyNumberFormat="1" applyFont="1" applyFill="1" applyBorder="1" applyAlignment="1">
      <alignment horizontal="center" vertical="center" shrinkToFit="1"/>
    </xf>
    <xf numFmtId="166" fontId="3" fillId="2" borderId="18" xfId="0" applyNumberFormat="1" applyFont="1" applyFill="1" applyBorder="1" applyAlignment="1">
      <alignment horizontal="right" vertical="center"/>
    </xf>
    <xf numFmtId="0" fontId="3" fillId="0" borderId="18" xfId="0" applyFont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164" fontId="3" fillId="0" borderId="19" xfId="1" applyNumberFormat="1" applyFont="1" applyFill="1" applyBorder="1" applyAlignment="1">
      <alignment horizontal="center" vertical="center"/>
    </xf>
    <xf numFmtId="164" fontId="3" fillId="0" borderId="20" xfId="1" applyNumberFormat="1" applyFont="1" applyFill="1" applyBorder="1" applyAlignment="1">
      <alignment horizontal="center" vertical="center"/>
    </xf>
    <xf numFmtId="164" fontId="3" fillId="0" borderId="21" xfId="1" applyNumberFormat="1" applyFont="1" applyFill="1" applyBorder="1" applyAlignment="1">
      <alignment horizontal="right" vertical="center"/>
    </xf>
    <xf numFmtId="1" fontId="3" fillId="0" borderId="1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49" fontId="3" fillId="0" borderId="12" xfId="0" applyNumberFormat="1" applyFont="1" applyBorder="1" applyAlignment="1">
      <alignment horizontal="left" vertical="center"/>
    </xf>
    <xf numFmtId="166" fontId="3" fillId="0" borderId="12" xfId="2" applyFont="1" applyFill="1" applyBorder="1" applyAlignment="1">
      <alignment horizontal="center" vertical="center" shrinkToFit="1"/>
    </xf>
    <xf numFmtId="39" fontId="3" fillId="0" borderId="12" xfId="0" applyNumberFormat="1" applyFont="1" applyBorder="1" applyAlignment="1">
      <alignment horizontal="center" vertical="center"/>
    </xf>
    <xf numFmtId="164" fontId="3" fillId="0" borderId="15" xfId="1" applyNumberFormat="1" applyFont="1" applyFill="1" applyBorder="1" applyAlignment="1">
      <alignment horizontal="right" vertical="center"/>
    </xf>
    <xf numFmtId="164" fontId="3" fillId="0" borderId="12" xfId="1" applyNumberFormat="1" applyFont="1" applyFill="1" applyBorder="1" applyAlignment="1">
      <alignment horizontal="center" vertical="center"/>
    </xf>
    <xf numFmtId="164" fontId="3" fillId="0" borderId="12" xfId="0" applyNumberFormat="1" applyFont="1" applyBorder="1" applyAlignment="1">
      <alignment horizontal="right" vertical="center"/>
    </xf>
    <xf numFmtId="165" fontId="3" fillId="2" borderId="12" xfId="3" applyNumberFormat="1" applyFont="1" applyFill="1" applyBorder="1" applyAlignment="1">
      <alignment horizontal="center" vertical="center" shrinkToFit="1"/>
    </xf>
    <xf numFmtId="0" fontId="3" fillId="2" borderId="12" xfId="3" quotePrefix="1" applyFont="1" applyFill="1" applyBorder="1" applyAlignment="1">
      <alignment horizontal="center" vertical="center" shrinkToFit="1"/>
    </xf>
    <xf numFmtId="166" fontId="3" fillId="2" borderId="12" xfId="2" applyFont="1" applyFill="1" applyBorder="1" applyAlignment="1">
      <alignment shrinkToFit="1"/>
    </xf>
    <xf numFmtId="16" fontId="6" fillId="0" borderId="12" xfId="3" applyNumberFormat="1" applyFont="1" applyBorder="1" applyAlignment="1">
      <alignment horizontal="center" vertical="center" shrinkToFit="1"/>
    </xf>
    <xf numFmtId="1" fontId="7" fillId="0" borderId="12" xfId="3" applyNumberFormat="1" applyFont="1" applyBorder="1" applyAlignment="1">
      <alignment horizontal="center" vertical="center" shrinkToFit="1"/>
    </xf>
    <xf numFmtId="164" fontId="3" fillId="0" borderId="22" xfId="1" applyNumberFormat="1" applyFont="1" applyFill="1" applyBorder="1" applyAlignment="1">
      <alignment horizontal="center" vertical="center"/>
    </xf>
    <xf numFmtId="4" fontId="3" fillId="0" borderId="12" xfId="0" applyNumberFormat="1" applyFont="1" applyBorder="1" applyAlignment="1">
      <alignment vertical="center"/>
    </xf>
    <xf numFmtId="16" fontId="3" fillId="0" borderId="12" xfId="3" applyNumberFormat="1" applyFont="1" applyBorder="1" applyAlignment="1">
      <alignment horizontal="center" vertical="center" shrinkToFit="1"/>
    </xf>
    <xf numFmtId="1" fontId="3" fillId="0" borderId="12" xfId="3" applyNumberFormat="1" applyFont="1" applyBorder="1" applyAlignment="1">
      <alignment horizontal="center" vertical="center" shrinkToFit="1"/>
    </xf>
    <xf numFmtId="4" fontId="8" fillId="0" borderId="6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horizontal="left" vertical="center"/>
    </xf>
    <xf numFmtId="166" fontId="3" fillId="0" borderId="6" xfId="2" applyFont="1" applyFill="1" applyBorder="1" applyAlignment="1">
      <alignment horizontal="center" vertical="center" shrinkToFit="1"/>
    </xf>
    <xf numFmtId="39" fontId="3" fillId="0" borderId="6" xfId="0" applyNumberFormat="1" applyFont="1" applyBorder="1" applyAlignment="1">
      <alignment horizontal="center" vertical="center"/>
    </xf>
    <xf numFmtId="164" fontId="3" fillId="0" borderId="6" xfId="1" applyNumberFormat="1" applyFont="1" applyFill="1" applyBorder="1" applyAlignment="1">
      <alignment horizontal="center" vertical="center"/>
    </xf>
    <xf numFmtId="164" fontId="3" fillId="0" borderId="6" xfId="0" applyNumberFormat="1" applyFont="1" applyBorder="1" applyAlignment="1">
      <alignment horizontal="right" vertical="center"/>
    </xf>
    <xf numFmtId="165" fontId="3" fillId="2" borderId="6" xfId="3" applyNumberFormat="1" applyFont="1" applyFill="1" applyBorder="1" applyAlignment="1">
      <alignment horizontal="center" vertical="center" shrinkToFit="1"/>
    </xf>
    <xf numFmtId="0" fontId="3" fillId="2" borderId="6" xfId="3" quotePrefix="1" applyFont="1" applyFill="1" applyBorder="1" applyAlignment="1">
      <alignment horizontal="center" vertical="center" shrinkToFit="1"/>
    </xf>
    <xf numFmtId="166" fontId="3" fillId="2" borderId="6" xfId="2" applyFont="1" applyFill="1" applyBorder="1" applyAlignment="1">
      <alignment shrinkToFit="1"/>
    </xf>
    <xf numFmtId="16" fontId="3" fillId="0" borderId="6" xfId="3" applyNumberFormat="1" applyFont="1" applyBorder="1" applyAlignment="1">
      <alignment horizontal="center" vertical="center" shrinkToFit="1"/>
    </xf>
    <xf numFmtId="1" fontId="3" fillId="0" borderId="6" xfId="3" applyNumberFormat="1" applyFont="1" applyBorder="1" applyAlignment="1">
      <alignment horizontal="center" vertical="center" shrinkToFit="1"/>
    </xf>
    <xf numFmtId="164" fontId="3" fillId="0" borderId="23" xfId="1" applyNumberFormat="1" applyFont="1" applyFill="1" applyBorder="1" applyAlignment="1">
      <alignment horizontal="center" vertical="center"/>
    </xf>
    <xf numFmtId="167" fontId="3" fillId="3" borderId="9" xfId="0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3" borderId="17" xfId="0" applyFont="1" applyFill="1" applyBorder="1" applyAlignment="1">
      <alignment horizontal="left" vertical="center"/>
    </xf>
    <xf numFmtId="166" fontId="3" fillId="3" borderId="17" xfId="1" applyFont="1" applyFill="1" applyBorder="1" applyAlignment="1">
      <alignment horizontal="right" vertical="center"/>
    </xf>
    <xf numFmtId="166" fontId="3" fillId="3" borderId="17" xfId="1" applyFont="1" applyFill="1" applyBorder="1" applyAlignment="1">
      <alignment horizontal="center" vertical="center"/>
    </xf>
    <xf numFmtId="164" fontId="3" fillId="3" borderId="17" xfId="1" applyNumberFormat="1" applyFont="1" applyFill="1" applyBorder="1" applyAlignment="1">
      <alignment horizontal="right" vertical="center"/>
    </xf>
    <xf numFmtId="164" fontId="3" fillId="3" borderId="17" xfId="1" applyNumberFormat="1" applyFont="1" applyFill="1" applyBorder="1" applyAlignment="1">
      <alignment horizontal="center" vertical="center"/>
    </xf>
    <xf numFmtId="0" fontId="7" fillId="0" borderId="24" xfId="0" applyFont="1" applyBorder="1" applyAlignment="1">
      <alignment horizontal="left" vertical="center" shrinkToFit="1"/>
    </xf>
    <xf numFmtId="168" fontId="9" fillId="0" borderId="24" xfId="0" applyNumberFormat="1" applyFont="1" applyBorder="1" applyAlignment="1">
      <alignment vertical="center" shrinkToFit="1"/>
    </xf>
    <xf numFmtId="0" fontId="7" fillId="0" borderId="24" xfId="0" applyFont="1" applyBorder="1" applyAlignment="1">
      <alignment horizontal="center" vertical="center" shrinkToFit="1"/>
    </xf>
    <xf numFmtId="1" fontId="7" fillId="0" borderId="24" xfId="0" applyNumberFormat="1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right" vertical="center" shrinkToFit="1"/>
    </xf>
    <xf numFmtId="169" fontId="7" fillId="2" borderId="24" xfId="0" applyNumberFormat="1" applyFont="1" applyFill="1" applyBorder="1" applyAlignment="1">
      <alignment horizontal="center" vertical="center" shrinkToFit="1"/>
    </xf>
    <xf numFmtId="0" fontId="7" fillId="2" borderId="24" xfId="0" quotePrefix="1" applyFont="1" applyFill="1" applyBorder="1" applyAlignment="1">
      <alignment horizontal="center" vertical="center" shrinkToFit="1"/>
    </xf>
    <xf numFmtId="168" fontId="7" fillId="2" borderId="24" xfId="0" applyNumberFormat="1" applyFont="1" applyFill="1" applyBorder="1" applyAlignment="1">
      <alignment horizontal="center" shrinkToFit="1"/>
    </xf>
    <xf numFmtId="0" fontId="3" fillId="0" borderId="24" xfId="0" applyFont="1" applyBorder="1" applyAlignment="1">
      <alignment horizontal="left" vertical="center" shrinkToFit="1"/>
    </xf>
    <xf numFmtId="168" fontId="6" fillId="0" borderId="24" xfId="0" applyNumberFormat="1" applyFont="1" applyBorder="1" applyAlignment="1">
      <alignment vertical="center" shrinkToFit="1"/>
    </xf>
    <xf numFmtId="0" fontId="3" fillId="0" borderId="24" xfId="0" applyFont="1" applyBorder="1" applyAlignment="1">
      <alignment horizontal="center" vertical="center" shrinkToFit="1"/>
    </xf>
    <xf numFmtId="1" fontId="3" fillId="0" borderId="24" xfId="0" applyNumberFormat="1" applyFont="1" applyBorder="1" applyAlignment="1">
      <alignment horizontal="center" vertical="center" shrinkToFit="1"/>
    </xf>
    <xf numFmtId="168" fontId="3" fillId="2" borderId="24" xfId="0" applyNumberFormat="1" applyFont="1" applyFill="1" applyBorder="1" applyAlignment="1">
      <alignment horizontal="center" shrinkToFit="1"/>
    </xf>
    <xf numFmtId="17" fontId="3" fillId="0" borderId="9" xfId="0" applyNumberFormat="1" applyFont="1" applyBorder="1" applyAlignment="1">
      <alignment horizontal="center" vertical="center"/>
    </xf>
    <xf numFmtId="3" fontId="7" fillId="0" borderId="24" xfId="0" applyNumberFormat="1" applyFont="1" applyBorder="1" applyAlignment="1">
      <alignment horizontal="left" vertical="center" shrinkToFit="1"/>
    </xf>
    <xf numFmtId="169" fontId="3" fillId="2" borderId="24" xfId="0" applyNumberFormat="1" applyFont="1" applyFill="1" applyBorder="1" applyAlignment="1">
      <alignment horizontal="center" vertical="center" shrinkToFit="1"/>
    </xf>
    <xf numFmtId="0" fontId="3" fillId="2" borderId="24" xfId="0" quotePrefix="1" applyFont="1" applyFill="1" applyBorder="1" applyAlignment="1">
      <alignment horizontal="center" vertical="center" shrinkToFit="1"/>
    </xf>
    <xf numFmtId="0" fontId="7" fillId="0" borderId="25" xfId="0" applyFont="1" applyBorder="1" applyAlignment="1">
      <alignment horizontal="left" vertical="center" shrinkToFit="1"/>
    </xf>
    <xf numFmtId="168" fontId="6" fillId="0" borderId="25" xfId="0" applyNumberFormat="1" applyFont="1" applyBorder="1" applyAlignment="1">
      <alignment vertical="center" shrinkToFit="1"/>
    </xf>
    <xf numFmtId="1" fontId="3" fillId="0" borderId="15" xfId="0" applyNumberFormat="1" applyFont="1" applyBorder="1" applyAlignment="1">
      <alignment horizontal="center" vertical="center"/>
    </xf>
    <xf numFmtId="168" fontId="9" fillId="0" borderId="25" xfId="0" applyNumberFormat="1" applyFont="1" applyBorder="1" applyAlignment="1">
      <alignment vertical="center" shrinkToFit="1"/>
    </xf>
    <xf numFmtId="0" fontId="3" fillId="0" borderId="1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 shrinkToFit="1"/>
    </xf>
    <xf numFmtId="1" fontId="6" fillId="0" borderId="12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shrinkToFit="1"/>
    </xf>
    <xf numFmtId="0" fontId="7" fillId="0" borderId="0" xfId="0" applyFont="1" applyAlignment="1">
      <alignment horizontal="left" vertical="center" shrinkToFit="1"/>
    </xf>
    <xf numFmtId="168" fontId="7" fillId="0" borderId="0" xfId="0" applyNumberFormat="1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1" fontId="7" fillId="0" borderId="0" xfId="0" applyNumberFormat="1" applyFont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0" xfId="0" applyNumberFormat="1" applyFont="1" applyAlignment="1">
      <alignment horizontal="right" vertical="center" shrinkToFit="1"/>
    </xf>
    <xf numFmtId="169" fontId="7" fillId="2" borderId="0" xfId="0" applyNumberFormat="1" applyFont="1" applyFill="1" applyAlignment="1">
      <alignment horizontal="center" vertical="center" shrinkToFit="1"/>
    </xf>
    <xf numFmtId="0" fontId="7" fillId="2" borderId="0" xfId="0" quotePrefix="1" applyFont="1" applyFill="1" applyAlignment="1">
      <alignment horizontal="center" vertical="center" shrinkToFit="1"/>
    </xf>
    <xf numFmtId="168" fontId="7" fillId="2" borderId="0" xfId="0" applyNumberFormat="1" applyFont="1" applyFill="1" applyAlignment="1">
      <alignment horizontal="center" shrinkToFit="1"/>
    </xf>
    <xf numFmtId="17" fontId="3" fillId="0" borderId="6" xfId="0" applyNumberFormat="1" applyFont="1" applyBorder="1" applyAlignment="1">
      <alignment horizontal="center" vertical="center"/>
    </xf>
    <xf numFmtId="164" fontId="3" fillId="0" borderId="2" xfId="1" applyNumberFormat="1" applyFont="1" applyFill="1" applyBorder="1" applyAlignment="1">
      <alignment horizontal="right" vertical="center"/>
    </xf>
    <xf numFmtId="0" fontId="3" fillId="3" borderId="17" xfId="1" applyNumberFormat="1" applyFont="1" applyFill="1" applyBorder="1" applyAlignment="1">
      <alignment horizontal="center" vertical="center"/>
    </xf>
    <xf numFmtId="1" fontId="3" fillId="0" borderId="12" xfId="3" applyNumberFormat="1" applyFont="1" applyBorder="1" applyAlignment="1">
      <alignment horizontal="center" vertical="center"/>
    </xf>
    <xf numFmtId="0" fontId="10" fillId="0" borderId="12" xfId="4" applyFont="1" applyBorder="1" applyAlignment="1">
      <alignment vertical="center" shrinkToFit="1"/>
    </xf>
    <xf numFmtId="49" fontId="10" fillId="0" borderId="12" xfId="4" applyNumberFormat="1" applyFont="1" applyBorder="1" applyAlignment="1">
      <alignment horizontal="left" vertical="center" shrinkToFit="1"/>
    </xf>
    <xf numFmtId="166" fontId="10" fillId="0" borderId="12" xfId="5" applyFont="1" applyFill="1" applyBorder="1" applyAlignment="1">
      <alignment horizontal="center" shrinkToFit="1"/>
    </xf>
    <xf numFmtId="16" fontId="7" fillId="0" borderId="12" xfId="3" applyNumberFormat="1" applyFont="1" applyBorder="1" applyAlignment="1">
      <alignment horizontal="center" vertical="center" shrinkToFit="1"/>
    </xf>
    <xf numFmtId="170" fontId="3" fillId="2" borderId="24" xfId="0" applyNumberFormat="1" applyFont="1" applyFill="1" applyBorder="1" applyAlignment="1">
      <alignment shrinkToFit="1"/>
    </xf>
    <xf numFmtId="0" fontId="6" fillId="0" borderId="24" xfId="0" applyFont="1" applyBorder="1" applyAlignment="1">
      <alignment horizontal="center" vertical="center" shrinkToFit="1"/>
    </xf>
    <xf numFmtId="1" fontId="6" fillId="0" borderId="12" xfId="3" applyNumberFormat="1" applyFont="1" applyBorder="1" applyAlignment="1">
      <alignment horizontal="center" vertical="center" shrinkToFit="1"/>
    </xf>
    <xf numFmtId="1" fontId="11" fillId="0" borderId="22" xfId="4" applyNumberFormat="1" applyFont="1" applyBorder="1" applyAlignment="1">
      <alignment vertical="center"/>
    </xf>
    <xf numFmtId="1" fontId="11" fillId="0" borderId="26" xfId="4" applyNumberFormat="1" applyFont="1" applyBorder="1" applyAlignment="1">
      <alignment vertical="center"/>
    </xf>
    <xf numFmtId="1" fontId="11" fillId="0" borderId="11" xfId="4" applyNumberFormat="1" applyFont="1" applyBorder="1" applyAlignment="1">
      <alignment vertical="center"/>
    </xf>
    <xf numFmtId="0" fontId="10" fillId="0" borderId="15" xfId="4" applyFont="1" applyBorder="1" applyAlignment="1">
      <alignment vertical="center" shrinkToFit="1"/>
    </xf>
    <xf numFmtId="49" fontId="10" fillId="0" borderId="15" xfId="4" applyNumberFormat="1" applyFont="1" applyBorder="1" applyAlignment="1">
      <alignment horizontal="left" vertical="center" shrinkToFit="1"/>
    </xf>
    <xf numFmtId="164" fontId="3" fillId="0" borderId="12" xfId="1" applyNumberFormat="1" applyFont="1" applyFill="1" applyBorder="1" applyAlignment="1">
      <alignment horizontal="right" vertical="center"/>
    </xf>
    <xf numFmtId="16" fontId="7" fillId="0" borderId="6" xfId="3" applyNumberFormat="1" applyFont="1" applyBorder="1" applyAlignment="1">
      <alignment horizontal="center" vertical="center" shrinkToFit="1"/>
    </xf>
    <xf numFmtId="1" fontId="7" fillId="0" borderId="6" xfId="3" applyNumberFormat="1" applyFont="1" applyBorder="1" applyAlignment="1">
      <alignment horizontal="center" vertical="center" shrinkToFit="1"/>
    </xf>
    <xf numFmtId="0" fontId="10" fillId="0" borderId="27" xfId="4" applyFont="1" applyBorder="1" applyAlignment="1">
      <alignment vertical="center" shrinkToFit="1"/>
    </xf>
    <xf numFmtId="0" fontId="10" fillId="0" borderId="6" xfId="4" applyFont="1" applyBorder="1" applyAlignment="1">
      <alignment vertical="center" shrinkToFit="1"/>
    </xf>
    <xf numFmtId="49" fontId="10" fillId="0" borderId="6" xfId="4" applyNumberFormat="1" applyFont="1" applyBorder="1" applyAlignment="1">
      <alignment horizontal="left" vertical="center" shrinkToFit="1"/>
    </xf>
    <xf numFmtId="166" fontId="10" fillId="0" borderId="6" xfId="5" applyFont="1" applyFill="1" applyBorder="1" applyAlignment="1">
      <alignment horizontal="center" shrinkToFit="1"/>
    </xf>
    <xf numFmtId="170" fontId="7" fillId="2" borderId="24" xfId="0" applyNumberFormat="1" applyFont="1" applyFill="1" applyBorder="1" applyAlignment="1">
      <alignment shrinkToFit="1"/>
    </xf>
    <xf numFmtId="4" fontId="3" fillId="3" borderId="17" xfId="1" applyNumberFormat="1" applyFont="1" applyFill="1" applyBorder="1" applyAlignment="1">
      <alignment horizontal="right" vertical="center"/>
    </xf>
    <xf numFmtId="165" fontId="3" fillId="2" borderId="16" xfId="0" applyNumberFormat="1" applyFont="1" applyFill="1" applyBorder="1" applyAlignment="1">
      <alignment horizontal="center" vertical="center"/>
    </xf>
    <xf numFmtId="166" fontId="3" fillId="2" borderId="16" xfId="0" applyNumberFormat="1" applyFont="1" applyFill="1" applyBorder="1" applyAlignment="1">
      <alignment horizontal="center" vertical="center" shrinkToFit="1"/>
    </xf>
    <xf numFmtId="166" fontId="3" fillId="2" borderId="6" xfId="0" applyNumberFormat="1" applyFont="1" applyFill="1" applyBorder="1" applyAlignment="1">
      <alignment horizontal="right" vertical="center"/>
    </xf>
    <xf numFmtId="164" fontId="3" fillId="0" borderId="0" xfId="1" applyNumberFormat="1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left" vertical="center"/>
    </xf>
    <xf numFmtId="165" fontId="3" fillId="3" borderId="17" xfId="1" applyNumberFormat="1" applyFont="1" applyFill="1" applyBorder="1" applyAlignment="1">
      <alignment horizontal="center" vertical="center"/>
    </xf>
    <xf numFmtId="164" fontId="3" fillId="3" borderId="28" xfId="1" applyNumberFormat="1" applyFont="1" applyFill="1" applyBorder="1" applyAlignment="1">
      <alignment horizontal="right" vertical="center"/>
    </xf>
    <xf numFmtId="164" fontId="3" fillId="3" borderId="21" xfId="1" applyNumberFormat="1" applyFont="1" applyFill="1" applyBorder="1" applyAlignment="1">
      <alignment horizontal="right" vertical="center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168" fontId="9" fillId="0" borderId="24" xfId="0" applyNumberFormat="1" applyFont="1" applyBorder="1" applyAlignment="1">
      <alignment horizontal="right" vertical="center" shrinkToFit="1"/>
    </xf>
    <xf numFmtId="166" fontId="3" fillId="0" borderId="9" xfId="1" applyFont="1" applyFill="1" applyBorder="1" applyAlignment="1">
      <alignment horizontal="center" vertical="center"/>
    </xf>
    <xf numFmtId="171" fontId="3" fillId="0" borderId="10" xfId="1" applyNumberFormat="1" applyFont="1" applyFill="1" applyBorder="1" applyAlignment="1">
      <alignment horizontal="center" vertical="center"/>
    </xf>
    <xf numFmtId="164" fontId="3" fillId="0" borderId="10" xfId="1" applyNumberFormat="1" applyFont="1" applyFill="1" applyBorder="1" applyAlignment="1">
      <alignment horizontal="right" vertical="center"/>
    </xf>
    <xf numFmtId="168" fontId="7" fillId="2" borderId="24" xfId="0" applyNumberFormat="1" applyFont="1" applyFill="1" applyBorder="1" applyAlignment="1">
      <alignment shrinkToFit="1"/>
    </xf>
    <xf numFmtId="0" fontId="7" fillId="0" borderId="12" xfId="3" applyFont="1" applyBorder="1" applyAlignment="1">
      <alignment horizontal="center" vertical="center" shrinkToFit="1"/>
    </xf>
    <xf numFmtId="164" fontId="3" fillId="0" borderId="15" xfId="1" applyNumberFormat="1" applyFont="1" applyFill="1" applyBorder="1" applyAlignment="1">
      <alignment horizontal="center" vertical="center"/>
    </xf>
    <xf numFmtId="164" fontId="3" fillId="0" borderId="29" xfId="1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0" borderId="12" xfId="0" applyFont="1" applyBorder="1" applyAlignment="1">
      <alignment horizontal="left" vertical="center"/>
    </xf>
    <xf numFmtId="168" fontId="7" fillId="0" borderId="24" xfId="0" applyNumberFormat="1" applyFont="1" applyBorder="1" applyAlignment="1">
      <alignment horizontal="right" vertical="center" shrinkToFit="1"/>
    </xf>
    <xf numFmtId="166" fontId="3" fillId="0" borderId="12" xfId="1" applyFont="1" applyFill="1" applyBorder="1" applyAlignment="1">
      <alignment horizontal="center" vertical="center"/>
    </xf>
    <xf numFmtId="171" fontId="3" fillId="0" borderId="11" xfId="1" applyNumberFormat="1" applyFont="1" applyFill="1" applyBorder="1" applyAlignment="1">
      <alignment horizontal="center" vertical="center"/>
    </xf>
    <xf numFmtId="164" fontId="3" fillId="0" borderId="11" xfId="1" applyNumberFormat="1" applyFont="1" applyFill="1" applyBorder="1" applyAlignment="1">
      <alignment horizontal="right" vertical="center"/>
    </xf>
    <xf numFmtId="1" fontId="3" fillId="0" borderId="11" xfId="0" applyNumberFormat="1" applyFont="1" applyBorder="1" applyAlignment="1">
      <alignment horizontal="center" vertical="center"/>
    </xf>
    <xf numFmtId="166" fontId="6" fillId="0" borderId="12" xfId="0" applyNumberFormat="1" applyFont="1" applyBorder="1" applyAlignment="1">
      <alignment horizontal="right" vertical="center"/>
    </xf>
    <xf numFmtId="165" fontId="7" fillId="2" borderId="12" xfId="3" applyNumberFormat="1" applyFont="1" applyFill="1" applyBorder="1" applyAlignment="1">
      <alignment horizontal="center" vertical="center" shrinkToFit="1"/>
    </xf>
    <xf numFmtId="0" fontId="7" fillId="2" borderId="12" xfId="3" quotePrefix="1" applyFont="1" applyFill="1" applyBorder="1" applyAlignment="1">
      <alignment horizontal="center" vertical="center" wrapText="1" shrinkToFit="1"/>
    </xf>
    <xf numFmtId="168" fontId="7" fillId="2" borderId="24" xfId="0" applyNumberFormat="1" applyFont="1" applyFill="1" applyBorder="1" applyAlignment="1">
      <alignment horizontal="right" vertical="center" shrinkToFit="1"/>
    </xf>
    <xf numFmtId="0" fontId="3" fillId="0" borderId="26" xfId="0" applyFont="1" applyBorder="1" applyAlignment="1">
      <alignment vertical="center"/>
    </xf>
    <xf numFmtId="0" fontId="3" fillId="2" borderId="12" xfId="3" quotePrefix="1" applyFont="1" applyFill="1" applyBorder="1" applyAlignment="1">
      <alignment horizontal="center" vertical="center" wrapText="1" shrinkToFit="1"/>
    </xf>
    <xf numFmtId="168" fontId="3" fillId="2" borderId="24" xfId="0" applyNumberFormat="1" applyFont="1" applyFill="1" applyBorder="1" applyAlignment="1">
      <alignment horizontal="right" vertical="center" shrinkToFit="1"/>
    </xf>
    <xf numFmtId="0" fontId="5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6" fontId="6" fillId="0" borderId="6" xfId="0" applyNumberFormat="1" applyFont="1" applyBorder="1" applyAlignment="1">
      <alignment horizontal="right" vertical="center"/>
    </xf>
    <xf numFmtId="0" fontId="7" fillId="0" borderId="6" xfId="3" applyFont="1" applyBorder="1" applyAlignment="1">
      <alignment horizontal="center" vertical="center" shrinkToFit="1"/>
    </xf>
    <xf numFmtId="164" fontId="3" fillId="0" borderId="21" xfId="1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166" fontId="3" fillId="0" borderId="16" xfId="1" applyFont="1" applyFill="1" applyBorder="1" applyAlignment="1">
      <alignment horizontal="right" vertical="center"/>
    </xf>
    <xf numFmtId="164" fontId="3" fillId="0" borderId="16" xfId="1" applyNumberFormat="1" applyFont="1" applyFill="1" applyBorder="1" applyAlignment="1">
      <alignment horizontal="right" vertical="center"/>
    </xf>
    <xf numFmtId="0" fontId="4" fillId="0" borderId="12" xfId="0" applyFont="1" applyBorder="1" applyAlignment="1">
      <alignment vertical="center"/>
    </xf>
    <xf numFmtId="0" fontId="5" fillId="0" borderId="12" xfId="0" applyFont="1" applyBorder="1" applyAlignment="1">
      <alignment horizontal="left" vertical="center"/>
    </xf>
    <xf numFmtId="166" fontId="3" fillId="0" borderId="12" xfId="1" applyFont="1" applyFill="1" applyBorder="1" applyAlignment="1">
      <alignment horizontal="right" vertical="center"/>
    </xf>
    <xf numFmtId="166" fontId="3" fillId="0" borderId="11" xfId="1" applyFont="1" applyFill="1" applyBorder="1" applyAlignment="1">
      <alignment horizontal="right" vertical="center"/>
    </xf>
    <xf numFmtId="0" fontId="3" fillId="0" borderId="15" xfId="0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64" fontId="3" fillId="0" borderId="14" xfId="1" applyNumberFormat="1" applyFont="1" applyFill="1" applyBorder="1" applyAlignment="1">
      <alignment horizontal="center" vertical="center"/>
    </xf>
    <xf numFmtId="164" fontId="3" fillId="0" borderId="30" xfId="1" applyNumberFormat="1" applyFont="1" applyFill="1" applyBorder="1" applyAlignment="1">
      <alignment horizontal="center" vertical="center"/>
    </xf>
    <xf numFmtId="166" fontId="3" fillId="0" borderId="12" xfId="1" applyFont="1" applyFill="1" applyBorder="1" applyAlignment="1">
      <alignment vertical="center"/>
    </xf>
    <xf numFmtId="0" fontId="7" fillId="2" borderId="12" xfId="3" quotePrefix="1" applyFont="1" applyFill="1" applyBorder="1" applyAlignment="1">
      <alignment horizontal="center" vertical="center" shrinkToFit="1"/>
    </xf>
    <xf numFmtId="166" fontId="7" fillId="2" borderId="12" xfId="2" applyFont="1" applyFill="1" applyBorder="1" applyAlignment="1">
      <alignment shrinkToFit="1"/>
    </xf>
    <xf numFmtId="164" fontId="3" fillId="0" borderId="21" xfId="1" applyNumberFormat="1" applyFont="1" applyFill="1" applyBorder="1" applyAlignment="1">
      <alignment vertical="center"/>
    </xf>
    <xf numFmtId="164" fontId="5" fillId="0" borderId="12" xfId="1" applyNumberFormat="1" applyFont="1" applyFill="1" applyBorder="1" applyAlignment="1">
      <alignment horizontal="center" vertical="center"/>
    </xf>
    <xf numFmtId="164" fontId="5" fillId="0" borderId="22" xfId="1" applyNumberFormat="1" applyFont="1" applyFill="1" applyBorder="1" applyAlignment="1">
      <alignment horizontal="center" vertical="center"/>
    </xf>
    <xf numFmtId="164" fontId="5" fillId="0" borderId="21" xfId="1" applyNumberFormat="1" applyFont="1" applyFill="1" applyBorder="1" applyAlignment="1">
      <alignment vertical="center"/>
    </xf>
    <xf numFmtId="0" fontId="7" fillId="0" borderId="12" xfId="6" applyFont="1" applyBorder="1" applyAlignment="1">
      <alignment vertical="center" shrinkToFit="1"/>
    </xf>
    <xf numFmtId="1" fontId="7" fillId="0" borderId="12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49" fontId="7" fillId="0" borderId="12" xfId="0" applyNumberFormat="1" applyFont="1" applyBorder="1" applyAlignment="1">
      <alignment horizontal="left" vertical="center"/>
    </xf>
    <xf numFmtId="166" fontId="7" fillId="0" borderId="12" xfId="1" applyFont="1" applyFill="1" applyBorder="1" applyAlignment="1">
      <alignment vertical="center"/>
    </xf>
    <xf numFmtId="39" fontId="13" fillId="0" borderId="12" xfId="0" applyNumberFormat="1" applyFont="1" applyBorder="1" applyAlignment="1">
      <alignment horizontal="center" vertical="center"/>
    </xf>
    <xf numFmtId="1" fontId="13" fillId="0" borderId="12" xfId="0" applyNumberFormat="1" applyFont="1" applyBorder="1" applyAlignment="1">
      <alignment horizontal="center" vertical="center"/>
    </xf>
    <xf numFmtId="164" fontId="13" fillId="0" borderId="12" xfId="1" applyNumberFormat="1" applyFont="1" applyFill="1" applyBorder="1" applyAlignment="1">
      <alignment horizontal="center" vertical="center"/>
    </xf>
    <xf numFmtId="164" fontId="13" fillId="0" borderId="12" xfId="1" applyNumberFormat="1" applyFont="1" applyFill="1" applyBorder="1" applyAlignment="1">
      <alignment horizontal="right" vertical="center"/>
    </xf>
    <xf numFmtId="0" fontId="13" fillId="0" borderId="12" xfId="0" applyFont="1" applyBorder="1" applyAlignment="1">
      <alignment horizontal="center" vertical="center"/>
    </xf>
    <xf numFmtId="164" fontId="13" fillId="0" borderId="22" xfId="1" applyNumberFormat="1" applyFont="1" applyFill="1" applyBorder="1" applyAlignment="1">
      <alignment horizontal="center" vertical="center"/>
    </xf>
    <xf numFmtId="164" fontId="13" fillId="0" borderId="21" xfId="1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3" fillId="0" borderId="15" xfId="0" applyFont="1" applyBorder="1" applyAlignment="1">
      <alignment vertical="center"/>
    </xf>
    <xf numFmtId="49" fontId="3" fillId="0" borderId="15" xfId="0" applyNumberFormat="1" applyFont="1" applyBorder="1" applyAlignment="1">
      <alignment horizontal="left" vertical="center"/>
    </xf>
    <xf numFmtId="166" fontId="3" fillId="0" borderId="15" xfId="1" applyFont="1" applyFill="1" applyBorder="1" applyAlignment="1">
      <alignment vertical="center"/>
    </xf>
    <xf numFmtId="1" fontId="3" fillId="3" borderId="21" xfId="0" applyNumberFormat="1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43" fontId="3" fillId="3" borderId="21" xfId="0" applyNumberFormat="1" applyFont="1" applyFill="1" applyBorder="1" applyAlignment="1">
      <alignment vertical="center"/>
    </xf>
    <xf numFmtId="39" fontId="3" fillId="3" borderId="21" xfId="0" applyNumberFormat="1" applyFont="1" applyFill="1" applyBorder="1" applyAlignment="1">
      <alignment horizontal="center" vertical="center"/>
    </xf>
    <xf numFmtId="164" fontId="3" fillId="3" borderId="21" xfId="1" applyNumberFormat="1" applyFont="1" applyFill="1" applyBorder="1" applyAlignment="1">
      <alignment horizontal="center" vertical="center"/>
    </xf>
    <xf numFmtId="165" fontId="7" fillId="3" borderId="21" xfId="3" applyNumberFormat="1" applyFont="1" applyFill="1" applyBorder="1" applyAlignment="1">
      <alignment horizontal="center" vertical="center" wrapText="1" shrinkToFit="1"/>
    </xf>
    <xf numFmtId="0" fontId="7" fillId="3" borderId="21" xfId="3" quotePrefix="1" applyFont="1" applyFill="1" applyBorder="1" applyAlignment="1">
      <alignment horizontal="center" vertical="center" wrapText="1" shrinkToFit="1"/>
    </xf>
    <xf numFmtId="166" fontId="7" fillId="3" borderId="21" xfId="2" applyFont="1" applyFill="1" applyBorder="1" applyAlignment="1">
      <alignment vertical="center" shrinkToFit="1"/>
    </xf>
    <xf numFmtId="0" fontId="3" fillId="3" borderId="21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166" fontId="3" fillId="0" borderId="10" xfId="1" applyFont="1" applyFill="1" applyBorder="1" applyAlignment="1">
      <alignment horizontal="right" vertical="center"/>
    </xf>
    <xf numFmtId="165" fontId="3" fillId="2" borderId="10" xfId="0" applyNumberFormat="1" applyFont="1" applyFill="1" applyBorder="1" applyAlignment="1">
      <alignment horizontal="center" vertical="center"/>
    </xf>
    <xf numFmtId="166" fontId="3" fillId="2" borderId="10" xfId="0" applyNumberFormat="1" applyFont="1" applyFill="1" applyBorder="1" applyAlignment="1">
      <alignment horizontal="center" vertical="center" shrinkToFit="1"/>
    </xf>
    <xf numFmtId="166" fontId="3" fillId="2" borderId="31" xfId="0" applyNumberFormat="1" applyFont="1" applyFill="1" applyBorder="1" applyAlignment="1">
      <alignment horizontal="right" vertical="center"/>
    </xf>
    <xf numFmtId="0" fontId="3" fillId="0" borderId="32" xfId="0" applyFont="1" applyBorder="1" applyAlignment="1">
      <alignment horizontal="center" vertical="center"/>
    </xf>
    <xf numFmtId="1" fontId="3" fillId="0" borderId="32" xfId="0" applyNumberFormat="1" applyFont="1" applyBorder="1" applyAlignment="1">
      <alignment horizontal="center" vertical="center"/>
    </xf>
    <xf numFmtId="164" fontId="3" fillId="0" borderId="32" xfId="1" applyNumberFormat="1" applyFont="1" applyFill="1" applyBorder="1" applyAlignment="1">
      <alignment horizontal="center" vertical="center"/>
    </xf>
    <xf numFmtId="164" fontId="3" fillId="0" borderId="33" xfId="1" applyNumberFormat="1" applyFont="1" applyFill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1" fontId="3" fillId="0" borderId="21" xfId="0" applyNumberFormat="1" applyFont="1" applyBorder="1" applyAlignment="1">
      <alignment horizontal="center" vertical="center"/>
    </xf>
    <xf numFmtId="164" fontId="3" fillId="0" borderId="3" xfId="1" applyNumberFormat="1" applyFont="1" applyFill="1" applyBorder="1" applyAlignment="1">
      <alignment horizontal="center" vertical="center"/>
    </xf>
    <xf numFmtId="0" fontId="3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3" fillId="0" borderId="9" xfId="3" applyNumberFormat="1" applyFont="1" applyBorder="1" applyAlignment="1">
      <alignment vertical="center" shrinkToFit="1"/>
    </xf>
    <xf numFmtId="49" fontId="3" fillId="0" borderId="31" xfId="0" applyNumberFormat="1" applyFont="1" applyBorder="1" applyAlignment="1">
      <alignment horizontal="left" vertical="center" shrinkToFit="1"/>
    </xf>
    <xf numFmtId="0" fontId="3" fillId="0" borderId="21" xfId="0" applyFont="1" applyBorder="1" applyAlignment="1">
      <alignment horizontal="center" vertical="center"/>
    </xf>
    <xf numFmtId="166" fontId="3" fillId="3" borderId="28" xfId="1" applyFont="1" applyFill="1" applyBorder="1" applyAlignment="1">
      <alignment horizontal="right" vertical="center"/>
    </xf>
    <xf numFmtId="166" fontId="3" fillId="2" borderId="35" xfId="0" applyNumberFormat="1" applyFont="1" applyFill="1" applyBorder="1" applyAlignment="1">
      <alignment horizontal="right" vertical="center"/>
    </xf>
    <xf numFmtId="164" fontId="3" fillId="0" borderId="0" xfId="1" applyNumberFormat="1" applyFont="1" applyFill="1" applyAlignment="1">
      <alignment vertical="center"/>
    </xf>
    <xf numFmtId="17" fontId="3" fillId="0" borderId="21" xfId="0" applyNumberFormat="1" applyFont="1" applyBorder="1" applyAlignment="1">
      <alignment horizontal="center" vertical="center"/>
    </xf>
    <xf numFmtId="165" fontId="7" fillId="3" borderId="17" xfId="3" applyNumberFormat="1" applyFont="1" applyFill="1" applyBorder="1" applyAlignment="1">
      <alignment horizontal="center" vertical="center" shrinkToFit="1"/>
    </xf>
    <xf numFmtId="0" fontId="7" fillId="3" borderId="17" xfId="3" quotePrefix="1" applyFont="1" applyFill="1" applyBorder="1" applyAlignment="1">
      <alignment horizontal="center" vertical="center" shrinkToFit="1"/>
    </xf>
    <xf numFmtId="166" fontId="7" fillId="3" borderId="17" xfId="2" applyFont="1" applyFill="1" applyBorder="1" applyAlignment="1">
      <alignment shrinkToFit="1"/>
    </xf>
    <xf numFmtId="0" fontId="3" fillId="3" borderId="17" xfId="0" applyFont="1" applyFill="1" applyBorder="1" applyAlignment="1">
      <alignment horizontal="center" vertical="center"/>
    </xf>
    <xf numFmtId="1" fontId="3" fillId="3" borderId="17" xfId="0" applyNumberFormat="1" applyFont="1" applyFill="1" applyBorder="1" applyAlignment="1">
      <alignment horizontal="center" vertical="center"/>
    </xf>
    <xf numFmtId="164" fontId="3" fillId="3" borderId="28" xfId="1" applyNumberFormat="1" applyFont="1" applyFill="1" applyBorder="1" applyAlignment="1">
      <alignment horizontal="center" vertical="center"/>
    </xf>
    <xf numFmtId="49" fontId="7" fillId="0" borderId="24" xfId="0" applyNumberFormat="1" applyFont="1" applyBorder="1" applyAlignment="1">
      <alignment horizontal="left" vertical="center" shrinkToFit="1"/>
    </xf>
    <xf numFmtId="168" fontId="9" fillId="0" borderId="24" xfId="0" applyNumberFormat="1" applyFont="1" applyBorder="1" applyAlignment="1">
      <alignment horizontal="center" shrinkToFit="1"/>
    </xf>
    <xf numFmtId="0" fontId="7" fillId="0" borderId="24" xfId="0" applyFont="1" applyBorder="1" applyAlignment="1">
      <alignment vertical="center" shrinkToFit="1"/>
    </xf>
    <xf numFmtId="0" fontId="3" fillId="0" borderId="21" xfId="0" applyFont="1" applyBorder="1" applyAlignment="1">
      <alignment vertical="center"/>
    </xf>
    <xf numFmtId="49" fontId="7" fillId="0" borderId="24" xfId="0" applyNumberFormat="1" applyFont="1" applyBorder="1" applyAlignment="1">
      <alignment vertical="center" shrinkToFit="1"/>
    </xf>
    <xf numFmtId="168" fontId="9" fillId="5" borderId="24" xfId="0" applyNumberFormat="1" applyFont="1" applyFill="1" applyBorder="1" applyAlignment="1">
      <alignment horizontal="center" shrinkToFit="1"/>
    </xf>
    <xf numFmtId="14" fontId="7" fillId="0" borderId="24" xfId="0" applyNumberFormat="1" applyFont="1" applyBorder="1" applyAlignment="1">
      <alignment horizontal="left" vertical="center" shrinkToFit="1"/>
    </xf>
    <xf numFmtId="1" fontId="3" fillId="5" borderId="12" xfId="0" applyNumberFormat="1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vertical="center" shrinkToFit="1"/>
    </xf>
    <xf numFmtId="49" fontId="7" fillId="5" borderId="24" xfId="0" applyNumberFormat="1" applyFont="1" applyFill="1" applyBorder="1" applyAlignment="1">
      <alignment horizontal="left" vertical="center" shrinkToFit="1"/>
    </xf>
    <xf numFmtId="0" fontId="3" fillId="5" borderId="12" xfId="0" applyFont="1" applyFill="1" applyBorder="1" applyAlignment="1">
      <alignment horizontal="center" vertical="center"/>
    </xf>
    <xf numFmtId="164" fontId="3" fillId="5" borderId="12" xfId="1" applyNumberFormat="1" applyFont="1" applyFill="1" applyBorder="1" applyAlignment="1">
      <alignment horizontal="center" vertical="center"/>
    </xf>
    <xf numFmtId="164" fontId="3" fillId="5" borderId="12" xfId="1" applyNumberFormat="1" applyFont="1" applyFill="1" applyBorder="1" applyAlignment="1">
      <alignment horizontal="right" vertical="center"/>
    </xf>
    <xf numFmtId="165" fontId="7" fillId="5" borderId="12" xfId="3" applyNumberFormat="1" applyFont="1" applyFill="1" applyBorder="1" applyAlignment="1">
      <alignment horizontal="center" vertical="center" shrinkToFit="1"/>
    </xf>
    <xf numFmtId="0" fontId="7" fillId="5" borderId="12" xfId="3" quotePrefix="1" applyFont="1" applyFill="1" applyBorder="1" applyAlignment="1">
      <alignment horizontal="center" vertical="center" shrinkToFit="1"/>
    </xf>
    <xf numFmtId="166" fontId="7" fillId="5" borderId="12" xfId="2" applyFont="1" applyFill="1" applyBorder="1" applyAlignment="1">
      <alignment shrinkToFit="1"/>
    </xf>
    <xf numFmtId="17" fontId="3" fillId="5" borderId="21" xfId="0" applyNumberFormat="1" applyFont="1" applyFill="1" applyBorder="1" applyAlignment="1">
      <alignment horizontal="center" vertical="center"/>
    </xf>
    <xf numFmtId="1" fontId="3" fillId="5" borderId="21" xfId="0" applyNumberFormat="1" applyFont="1" applyFill="1" applyBorder="1" applyAlignment="1">
      <alignment horizontal="center" vertical="center"/>
    </xf>
    <xf numFmtId="164" fontId="3" fillId="5" borderId="21" xfId="1" applyNumberFormat="1" applyFont="1" applyFill="1" applyBorder="1" applyAlignment="1">
      <alignment horizontal="center" vertical="center"/>
    </xf>
    <xf numFmtId="164" fontId="3" fillId="5" borderId="3" xfId="1" applyNumberFormat="1" applyFont="1" applyFill="1" applyBorder="1" applyAlignment="1">
      <alignment horizontal="center" vertical="center"/>
    </xf>
    <xf numFmtId="164" fontId="3" fillId="5" borderId="21" xfId="1" applyNumberFormat="1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39" fontId="3" fillId="5" borderId="12" xfId="0" applyNumberFormat="1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166" fontId="3" fillId="0" borderId="12" xfId="1" applyFont="1" applyFill="1" applyBorder="1" applyAlignment="1">
      <alignment horizontal="center" vertical="center" shrinkToFit="1"/>
    </xf>
    <xf numFmtId="17" fontId="3" fillId="0" borderId="0" xfId="0" applyNumberFormat="1" applyFont="1" applyAlignment="1">
      <alignment vertical="center"/>
    </xf>
    <xf numFmtId="49" fontId="7" fillId="0" borderId="25" xfId="0" applyNumberFormat="1" applyFont="1" applyBorder="1" applyAlignment="1">
      <alignment horizontal="left" vertical="center" shrinkToFit="1"/>
    </xf>
    <xf numFmtId="0" fontId="7" fillId="0" borderId="24" xfId="0" applyFont="1" applyBorder="1" applyAlignment="1">
      <alignment horizontal="left" shrinkToFit="1"/>
    </xf>
    <xf numFmtId="0" fontId="7" fillId="0" borderId="36" xfId="0" applyFont="1" applyBorder="1" applyAlignment="1">
      <alignment horizontal="left" vertical="center" shrinkToFit="1"/>
    </xf>
    <xf numFmtId="0" fontId="7" fillId="0" borderId="37" xfId="0" applyFont="1" applyBorder="1" applyAlignment="1">
      <alignment horizontal="left" shrinkToFit="1"/>
    </xf>
    <xf numFmtId="172" fontId="3" fillId="0" borderId="12" xfId="1" applyNumberFormat="1" applyFont="1" applyFill="1" applyBorder="1" applyAlignment="1">
      <alignment horizontal="center" vertical="center" shrinkToFit="1"/>
    </xf>
    <xf numFmtId="0" fontId="7" fillId="0" borderId="0" xfId="0" applyFont="1" applyAlignment="1">
      <alignment horizontal="left" shrinkToFit="1"/>
    </xf>
    <xf numFmtId="166" fontId="7" fillId="0" borderId="6" xfId="2" applyFont="1" applyFill="1" applyBorder="1" applyAlignment="1">
      <alignment vertical="center" shrinkToFit="1"/>
    </xf>
    <xf numFmtId="166" fontId="3" fillId="0" borderId="6" xfId="1" applyFont="1" applyFill="1" applyBorder="1" applyAlignment="1">
      <alignment horizontal="center" vertical="center" shrinkToFit="1"/>
    </xf>
    <xf numFmtId="172" fontId="3" fillId="0" borderId="6" xfId="1" applyNumberFormat="1" applyFont="1" applyFill="1" applyBorder="1" applyAlignment="1">
      <alignment horizontal="center" vertical="center" shrinkToFit="1"/>
    </xf>
    <xf numFmtId="165" fontId="7" fillId="2" borderId="6" xfId="3" applyNumberFormat="1" applyFont="1" applyFill="1" applyBorder="1" applyAlignment="1">
      <alignment horizontal="center" vertical="center" shrinkToFit="1"/>
    </xf>
    <xf numFmtId="0" fontId="7" fillId="2" borderId="6" xfId="3" quotePrefix="1" applyFont="1" applyFill="1" applyBorder="1" applyAlignment="1">
      <alignment horizontal="center" vertical="center" shrinkToFit="1"/>
    </xf>
    <xf numFmtId="166" fontId="7" fillId="2" borderId="6" xfId="2" applyFont="1" applyFill="1" applyBorder="1" applyAlignment="1">
      <alignment shrinkToFit="1"/>
    </xf>
    <xf numFmtId="0" fontId="3" fillId="0" borderId="2" xfId="0" applyFont="1" applyBorder="1" applyAlignment="1">
      <alignment horizontal="center" vertical="center"/>
    </xf>
    <xf numFmtId="167" fontId="3" fillId="3" borderId="17" xfId="0" applyNumberFormat="1" applyFont="1" applyFill="1" applyBorder="1" applyAlignment="1">
      <alignment horizontal="center" vertical="center"/>
    </xf>
    <xf numFmtId="40" fontId="3" fillId="3" borderId="17" xfId="1" applyNumberFormat="1" applyFont="1" applyFill="1" applyBorder="1" applyAlignment="1">
      <alignment horizontal="center" vertical="center"/>
    </xf>
    <xf numFmtId="40" fontId="3" fillId="3" borderId="17" xfId="1" applyNumberFormat="1" applyFont="1" applyFill="1" applyBorder="1" applyAlignment="1">
      <alignment horizontal="right" vertical="center"/>
    </xf>
    <xf numFmtId="166" fontId="3" fillId="3" borderId="17" xfId="0" applyNumberFormat="1" applyFont="1" applyFill="1" applyBorder="1" applyAlignment="1">
      <alignment vertical="center"/>
    </xf>
    <xf numFmtId="0" fontId="3" fillId="0" borderId="38" xfId="0" applyFont="1" applyBorder="1" applyAlignment="1">
      <alignment vertical="center"/>
    </xf>
    <xf numFmtId="166" fontId="3" fillId="2" borderId="23" xfId="0" applyNumberFormat="1" applyFont="1" applyFill="1" applyBorder="1" applyAlignment="1">
      <alignment horizontal="right" vertical="center"/>
    </xf>
    <xf numFmtId="168" fontId="9" fillId="0" borderId="24" xfId="0" applyNumberFormat="1" applyFont="1" applyBorder="1" applyAlignment="1">
      <alignment shrinkToFit="1"/>
    </xf>
    <xf numFmtId="165" fontId="9" fillId="2" borderId="12" xfId="3" applyNumberFormat="1" applyFont="1" applyFill="1" applyBorder="1" applyAlignment="1">
      <alignment horizontal="center" vertical="center" shrinkToFit="1"/>
    </xf>
    <xf numFmtId="0" fontId="9" fillId="2" borderId="12" xfId="3" quotePrefix="1" applyFont="1" applyFill="1" applyBorder="1" applyAlignment="1">
      <alignment horizontal="center" vertical="center" shrinkToFit="1"/>
    </xf>
    <xf numFmtId="166" fontId="9" fillId="2" borderId="12" xfId="2" applyFont="1" applyFill="1" applyBorder="1" applyAlignment="1">
      <alignment shrinkToFit="1"/>
    </xf>
    <xf numFmtId="166" fontId="3" fillId="0" borderId="21" xfId="1" applyFont="1" applyFill="1" applyBorder="1" applyAlignment="1">
      <alignment horizontal="center" vertical="center"/>
    </xf>
    <xf numFmtId="166" fontId="3" fillId="0" borderId="3" xfId="1" applyFont="1" applyFill="1" applyBorder="1" applyAlignment="1">
      <alignment horizontal="center" vertical="center"/>
    </xf>
    <xf numFmtId="166" fontId="3" fillId="0" borderId="21" xfId="1" applyFont="1" applyFill="1" applyBorder="1" applyAlignment="1">
      <alignment vertical="center"/>
    </xf>
    <xf numFmtId="168" fontId="7" fillId="5" borderId="24" xfId="0" applyNumberFormat="1" applyFont="1" applyFill="1" applyBorder="1" applyAlignment="1">
      <alignment shrinkToFit="1"/>
    </xf>
    <xf numFmtId="165" fontId="7" fillId="2" borderId="21" xfId="3" applyNumberFormat="1" applyFont="1" applyFill="1" applyBorder="1" applyAlignment="1">
      <alignment horizontal="center" vertical="center" shrinkToFit="1"/>
    </xf>
    <xf numFmtId="0" fontId="7" fillId="2" borderId="21" xfId="3" quotePrefix="1" applyFont="1" applyFill="1" applyBorder="1" applyAlignment="1">
      <alignment horizontal="center" vertical="center" shrinkToFit="1"/>
    </xf>
    <xf numFmtId="166" fontId="7" fillId="2" borderId="21" xfId="2" applyFont="1" applyFill="1" applyBorder="1" applyAlignment="1">
      <alignment shrinkToFit="1"/>
    </xf>
    <xf numFmtId="0" fontId="7" fillId="0" borderId="2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8" fontId="6" fillId="0" borderId="24" xfId="0" applyNumberFormat="1" applyFont="1" applyBorder="1" applyAlignment="1">
      <alignment shrinkToFit="1"/>
    </xf>
    <xf numFmtId="165" fontId="6" fillId="2" borderId="12" xfId="3" applyNumberFormat="1" applyFont="1" applyFill="1" applyBorder="1" applyAlignment="1">
      <alignment horizontal="center" vertical="center" shrinkToFit="1"/>
    </xf>
    <xf numFmtId="0" fontId="6" fillId="2" borderId="12" xfId="3" quotePrefix="1" applyFont="1" applyFill="1" applyBorder="1" applyAlignment="1">
      <alignment horizontal="center" vertical="center" shrinkToFit="1"/>
    </xf>
    <xf numFmtId="166" fontId="6" fillId="2" borderId="12" xfId="2" applyFont="1" applyFill="1" applyBorder="1" applyAlignment="1">
      <alignment shrinkToFit="1"/>
    </xf>
    <xf numFmtId="165" fontId="14" fillId="2" borderId="12" xfId="3" applyNumberFormat="1" applyFont="1" applyFill="1" applyBorder="1" applyAlignment="1">
      <alignment horizontal="center" vertical="center" shrinkToFit="1"/>
    </xf>
    <xf numFmtId="0" fontId="14" fillId="2" borderId="12" xfId="3" quotePrefix="1" applyFont="1" applyFill="1" applyBorder="1" applyAlignment="1">
      <alignment horizontal="center" vertical="center" shrinkToFit="1"/>
    </xf>
    <xf numFmtId="166" fontId="14" fillId="2" borderId="12" xfId="2" applyFont="1" applyFill="1" applyBorder="1" applyAlignment="1">
      <alignment shrinkToFit="1"/>
    </xf>
    <xf numFmtId="168" fontId="9" fillId="2" borderId="24" xfId="0" applyNumberFormat="1" applyFont="1" applyFill="1" applyBorder="1" applyAlignment="1">
      <alignment shrinkToFit="1"/>
    </xf>
    <xf numFmtId="168" fontId="7" fillId="0" borderId="24" xfId="0" applyNumberFormat="1" applyFont="1" applyBorder="1" applyAlignment="1">
      <alignment shrinkToFit="1"/>
    </xf>
    <xf numFmtId="168" fontId="9" fillId="5" borderId="24" xfId="0" applyNumberFormat="1" applyFont="1" applyFill="1" applyBorder="1" applyAlignment="1">
      <alignment shrinkToFit="1"/>
    </xf>
    <xf numFmtId="0" fontId="3" fillId="0" borderId="24" xfId="0" applyFont="1" applyBorder="1" applyAlignment="1">
      <alignment vertical="center" shrinkToFit="1"/>
    </xf>
    <xf numFmtId="49" fontId="3" fillId="0" borderId="24" xfId="0" applyNumberFormat="1" applyFont="1" applyBorder="1" applyAlignment="1">
      <alignment horizontal="left" vertical="center" shrinkToFit="1"/>
    </xf>
    <xf numFmtId="165" fontId="9" fillId="5" borderId="12" xfId="3" applyNumberFormat="1" applyFont="1" applyFill="1" applyBorder="1" applyAlignment="1">
      <alignment horizontal="center" vertical="center" shrinkToFit="1"/>
    </xf>
    <xf numFmtId="0" fontId="9" fillId="5" borderId="12" xfId="3" quotePrefix="1" applyFont="1" applyFill="1" applyBorder="1" applyAlignment="1">
      <alignment horizontal="center" vertical="center" shrinkToFit="1"/>
    </xf>
    <xf numFmtId="166" fontId="9" fillId="5" borderId="12" xfId="2" applyFont="1" applyFill="1" applyBorder="1" applyAlignment="1">
      <alignment shrinkToFit="1"/>
    </xf>
    <xf numFmtId="166" fontId="3" fillId="5" borderId="21" xfId="1" applyFont="1" applyFill="1" applyBorder="1" applyAlignment="1">
      <alignment horizontal="center" vertical="center"/>
    </xf>
    <xf numFmtId="166" fontId="3" fillId="5" borderId="3" xfId="1" applyFont="1" applyFill="1" applyBorder="1" applyAlignment="1">
      <alignment horizontal="center" vertical="center"/>
    </xf>
    <xf numFmtId="166" fontId="3" fillId="5" borderId="21" xfId="1" applyFont="1" applyFill="1" applyBorder="1" applyAlignment="1">
      <alignment vertical="center"/>
    </xf>
    <xf numFmtId="49" fontId="7" fillId="0" borderId="36" xfId="0" applyNumberFormat="1" applyFont="1" applyBorder="1" applyAlignment="1">
      <alignment vertical="center" shrinkToFit="1"/>
    </xf>
    <xf numFmtId="49" fontId="7" fillId="0" borderId="39" xfId="0" applyNumberFormat="1" applyFont="1" applyBorder="1" applyAlignment="1">
      <alignment horizontal="left" vertical="center" shrinkToFit="1"/>
    </xf>
    <xf numFmtId="49" fontId="7" fillId="0" borderId="40" xfId="0" applyNumberFormat="1" applyFont="1" applyBorder="1" applyAlignment="1">
      <alignment horizontal="left" vertical="center" shrinkToFit="1"/>
    </xf>
    <xf numFmtId="167" fontId="3" fillId="3" borderId="8" xfId="0" applyNumberFormat="1" applyFont="1" applyFill="1" applyBorder="1" applyAlignment="1">
      <alignment horizontal="center" vertical="center"/>
    </xf>
    <xf numFmtId="164" fontId="3" fillId="0" borderId="32" xfId="1" applyNumberFormat="1" applyFont="1" applyFill="1" applyBorder="1" applyAlignment="1">
      <alignment horizontal="right" vertical="center"/>
    </xf>
    <xf numFmtId="49" fontId="7" fillId="0" borderId="12" xfId="3" applyNumberFormat="1" applyFont="1" applyBorder="1" applyAlignment="1">
      <alignment horizontal="left" vertical="center" shrinkToFit="1"/>
    </xf>
    <xf numFmtId="0" fontId="7" fillId="0" borderId="12" xfId="3" applyFont="1" applyBorder="1" applyAlignment="1">
      <alignment horizontal="left" vertical="center" shrinkToFit="1"/>
    </xf>
    <xf numFmtId="166" fontId="7" fillId="0" borderId="12" xfId="2" applyFont="1" applyFill="1" applyBorder="1" applyAlignment="1">
      <alignment horizontal="right" vertical="center" shrinkToFit="1"/>
    </xf>
    <xf numFmtId="1" fontId="3" fillId="0" borderId="12" xfId="1" applyNumberFormat="1" applyFont="1" applyFill="1" applyBorder="1" applyAlignment="1">
      <alignment vertical="center"/>
    </xf>
    <xf numFmtId="169" fontId="7" fillId="2" borderId="36" xfId="0" applyNumberFormat="1" applyFont="1" applyFill="1" applyBorder="1" applyAlignment="1">
      <alignment horizontal="center" vertical="center" shrinkToFit="1"/>
    </xf>
    <xf numFmtId="0" fontId="7" fillId="2" borderId="36" xfId="0" quotePrefix="1" applyFont="1" applyFill="1" applyBorder="1" applyAlignment="1">
      <alignment horizontal="center" vertical="center" shrinkToFit="1"/>
    </xf>
    <xf numFmtId="168" fontId="7" fillId="2" borderId="41" xfId="0" applyNumberFormat="1" applyFont="1" applyFill="1" applyBorder="1" applyAlignment="1">
      <alignment horizontal="right" vertical="center" shrinkToFit="1"/>
    </xf>
    <xf numFmtId="166" fontId="15" fillId="0" borderId="12" xfId="5" applyFont="1" applyFill="1" applyBorder="1" applyAlignment="1">
      <alignment horizontal="center" vertical="center" shrinkToFit="1"/>
    </xf>
    <xf numFmtId="1" fontId="16" fillId="0" borderId="12" xfId="5" applyNumberFormat="1" applyFont="1" applyFill="1" applyBorder="1" applyAlignment="1">
      <alignment horizontal="center" vertical="center" shrinkToFit="1"/>
    </xf>
    <xf numFmtId="0" fontId="3" fillId="3" borderId="21" xfId="1" applyNumberFormat="1" applyFont="1" applyFill="1" applyBorder="1" applyAlignment="1">
      <alignment horizontal="center" vertical="center"/>
    </xf>
    <xf numFmtId="166" fontId="3" fillId="3" borderId="21" xfId="1" applyFont="1" applyFill="1" applyBorder="1" applyAlignment="1">
      <alignment horizontal="right" vertical="center"/>
    </xf>
    <xf numFmtId="164" fontId="3" fillId="3" borderId="3" xfId="1" applyNumberFormat="1" applyFont="1" applyFill="1" applyBorder="1" applyAlignment="1">
      <alignment horizontal="right" vertical="center"/>
    </xf>
    <xf numFmtId="167" fontId="17" fillId="4" borderId="9" xfId="0" applyNumberFormat="1" applyFont="1" applyFill="1" applyBorder="1" applyAlignment="1">
      <alignment horizontal="center" vertical="center"/>
    </xf>
    <xf numFmtId="0" fontId="18" fillId="4" borderId="18" xfId="0" applyFont="1" applyFill="1" applyBorder="1" applyAlignment="1">
      <alignment vertical="center"/>
    </xf>
    <xf numFmtId="0" fontId="19" fillId="4" borderId="18" xfId="0" applyFont="1" applyFill="1" applyBorder="1" applyAlignment="1">
      <alignment horizontal="left" vertical="center"/>
    </xf>
    <xf numFmtId="166" fontId="17" fillId="4" borderId="18" xfId="1" applyFont="1" applyFill="1" applyBorder="1" applyAlignment="1">
      <alignment horizontal="right" vertical="center"/>
    </xf>
    <xf numFmtId="166" fontId="17" fillId="4" borderId="18" xfId="1" applyFont="1" applyFill="1" applyBorder="1" applyAlignment="1">
      <alignment horizontal="center" vertical="center"/>
    </xf>
    <xf numFmtId="166" fontId="17" fillId="4" borderId="19" xfId="1" applyFont="1" applyFill="1" applyBorder="1" applyAlignment="1">
      <alignment horizontal="right" vertical="center"/>
    </xf>
    <xf numFmtId="164" fontId="17" fillId="4" borderId="19" xfId="1" applyNumberFormat="1" applyFont="1" applyFill="1" applyBorder="1" applyAlignment="1">
      <alignment horizontal="right" vertical="center"/>
    </xf>
    <xf numFmtId="165" fontId="3" fillId="4" borderId="19" xfId="0" applyNumberFormat="1" applyFont="1" applyFill="1" applyBorder="1" applyAlignment="1">
      <alignment horizontal="center" vertical="center"/>
    </xf>
    <xf numFmtId="166" fontId="3" fillId="4" borderId="19" xfId="0" applyNumberFormat="1" applyFont="1" applyFill="1" applyBorder="1" applyAlignment="1">
      <alignment horizontal="center" vertical="center" shrinkToFit="1"/>
    </xf>
    <xf numFmtId="166" fontId="3" fillId="4" borderId="35" xfId="0" applyNumberFormat="1" applyFont="1" applyFill="1" applyBorder="1" applyAlignment="1">
      <alignment horizontal="right" vertical="center"/>
    </xf>
    <xf numFmtId="0" fontId="17" fillId="4" borderId="6" xfId="0" applyFont="1" applyFill="1" applyBorder="1" applyAlignment="1">
      <alignment horizontal="center" vertical="center"/>
    </xf>
    <xf numFmtId="1" fontId="17" fillId="4" borderId="6" xfId="0" applyNumberFormat="1" applyFont="1" applyFill="1" applyBorder="1" applyAlignment="1">
      <alignment horizontal="center" vertical="center"/>
    </xf>
    <xf numFmtId="164" fontId="17" fillId="4" borderId="6" xfId="1" applyNumberFormat="1" applyFont="1" applyFill="1" applyBorder="1" applyAlignment="1">
      <alignment horizontal="center" vertical="center"/>
    </xf>
    <xf numFmtId="164" fontId="17" fillId="4" borderId="23" xfId="1" applyNumberFormat="1" applyFont="1" applyFill="1" applyBorder="1" applyAlignment="1">
      <alignment horizontal="center" vertical="center"/>
    </xf>
    <xf numFmtId="164" fontId="17" fillId="4" borderId="2" xfId="1" applyNumberFormat="1" applyFont="1" applyFill="1" applyBorder="1" applyAlignment="1">
      <alignment horizontal="right" vertical="center"/>
    </xf>
    <xf numFmtId="0" fontId="17" fillId="4" borderId="0" xfId="0" applyFont="1" applyFill="1" applyAlignment="1">
      <alignment vertical="center"/>
    </xf>
    <xf numFmtId="0" fontId="17" fillId="4" borderId="9" xfId="0" applyFont="1" applyFill="1" applyBorder="1" applyAlignment="1">
      <alignment vertical="center"/>
    </xf>
    <xf numFmtId="0" fontId="19" fillId="4" borderId="9" xfId="0" applyFont="1" applyFill="1" applyBorder="1" applyAlignment="1">
      <alignment horizontal="left" vertical="center"/>
    </xf>
    <xf numFmtId="166" fontId="17" fillId="4" borderId="9" xfId="1" applyFont="1" applyFill="1" applyBorder="1" applyAlignment="1">
      <alignment horizontal="right" vertical="center"/>
    </xf>
    <xf numFmtId="166" fontId="17" fillId="4" borderId="9" xfId="1" applyFont="1" applyFill="1" applyBorder="1" applyAlignment="1">
      <alignment horizontal="center" vertical="center"/>
    </xf>
    <xf numFmtId="166" fontId="17" fillId="4" borderId="10" xfId="1" applyFont="1" applyFill="1" applyBorder="1" applyAlignment="1">
      <alignment horizontal="right" vertical="center"/>
    </xf>
    <xf numFmtId="164" fontId="17" fillId="4" borderId="10" xfId="1" applyNumberFormat="1" applyFont="1" applyFill="1" applyBorder="1" applyAlignment="1">
      <alignment horizontal="right" vertical="center"/>
    </xf>
    <xf numFmtId="165" fontId="3" fillId="4" borderId="10" xfId="0" applyNumberFormat="1" applyFont="1" applyFill="1" applyBorder="1" applyAlignment="1">
      <alignment horizontal="center" vertical="center"/>
    </xf>
    <xf numFmtId="166" fontId="3" fillId="4" borderId="10" xfId="0" applyNumberFormat="1" applyFont="1" applyFill="1" applyBorder="1" applyAlignment="1">
      <alignment horizontal="center" vertical="center" shrinkToFit="1"/>
    </xf>
    <xf numFmtId="166" fontId="3" fillId="4" borderId="31" xfId="0" applyNumberFormat="1" applyFont="1" applyFill="1" applyBorder="1" applyAlignment="1">
      <alignment horizontal="right" vertical="center"/>
    </xf>
    <xf numFmtId="0" fontId="17" fillId="4" borderId="12" xfId="0" applyFont="1" applyFill="1" applyBorder="1" applyAlignment="1">
      <alignment horizontal="center" vertical="center"/>
    </xf>
    <xf numFmtId="1" fontId="17" fillId="4" borderId="12" xfId="0" applyNumberFormat="1" applyFont="1" applyFill="1" applyBorder="1" applyAlignment="1">
      <alignment horizontal="center" vertical="center"/>
    </xf>
    <xf numFmtId="164" fontId="17" fillId="4" borderId="11" xfId="1" applyNumberFormat="1" applyFont="1" applyFill="1" applyBorder="1" applyAlignment="1">
      <alignment horizontal="center" vertical="center"/>
    </xf>
    <xf numFmtId="164" fontId="17" fillId="4" borderId="12" xfId="1" applyNumberFormat="1" applyFont="1" applyFill="1" applyBorder="1" applyAlignment="1">
      <alignment horizontal="center" vertical="center"/>
    </xf>
    <xf numFmtId="164" fontId="17" fillId="4" borderId="11" xfId="1" applyNumberFormat="1" applyFont="1" applyFill="1" applyBorder="1" applyAlignment="1">
      <alignment horizontal="right" vertical="center"/>
    </xf>
    <xf numFmtId="167" fontId="15" fillId="3" borderId="42" xfId="4" applyNumberFormat="1" applyFont="1" applyFill="1" applyBorder="1" applyAlignment="1">
      <alignment horizontal="center" vertical="center"/>
    </xf>
    <xf numFmtId="0" fontId="7" fillId="3" borderId="42" xfId="4" applyFont="1" applyFill="1" applyBorder="1" applyAlignment="1">
      <alignment vertical="center" shrinkToFit="1"/>
    </xf>
    <xf numFmtId="166" fontId="7" fillId="3" borderId="42" xfId="5" applyFont="1" applyFill="1" applyBorder="1" applyAlignment="1">
      <alignment horizontal="right" vertical="center" shrinkToFit="1"/>
    </xf>
    <xf numFmtId="166" fontId="11" fillId="4" borderId="0" xfId="1" applyFont="1" applyFill="1"/>
    <xf numFmtId="167" fontId="20" fillId="0" borderId="0" xfId="4" applyNumberFormat="1" applyFont="1" applyAlignment="1">
      <alignment horizontal="center" vertical="center"/>
    </xf>
    <xf numFmtId="0" fontId="21" fillId="0" borderId="0" xfId="4" applyFont="1" applyAlignment="1">
      <alignment vertical="center" shrinkToFit="1"/>
    </xf>
    <xf numFmtId="166" fontId="21" fillId="0" borderId="0" xfId="5" applyFont="1" applyFill="1" applyBorder="1" applyAlignment="1">
      <alignment horizontal="right" vertical="center" shrinkToFit="1"/>
    </xf>
    <xf numFmtId="166" fontId="7" fillId="0" borderId="0" xfId="5" applyFont="1" applyFill="1" applyBorder="1" applyAlignment="1">
      <alignment horizontal="center" vertical="center" shrinkToFit="1"/>
    </xf>
    <xf numFmtId="166" fontId="7" fillId="0" borderId="0" xfId="5" applyFont="1" applyFill="1" applyBorder="1" applyAlignment="1">
      <alignment horizontal="right" vertical="center" shrinkToFit="1"/>
    </xf>
    <xf numFmtId="166" fontId="21" fillId="0" borderId="0" xfId="5" applyFont="1" applyFill="1" applyBorder="1" applyAlignment="1">
      <alignment horizontal="center" vertical="center" shrinkToFit="1"/>
    </xf>
    <xf numFmtId="166" fontId="22" fillId="0" borderId="0" xfId="1" applyFont="1" applyFill="1" applyBorder="1"/>
    <xf numFmtId="167" fontId="3" fillId="6" borderId="17" xfId="0" applyNumberFormat="1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vertical="center"/>
    </xf>
    <xf numFmtId="0" fontId="3" fillId="6" borderId="17" xfId="0" applyFont="1" applyFill="1" applyBorder="1" applyAlignment="1">
      <alignment horizontal="left" vertical="center"/>
    </xf>
    <xf numFmtId="166" fontId="3" fillId="6" borderId="17" xfId="1" applyFont="1" applyFill="1" applyBorder="1" applyAlignment="1">
      <alignment horizontal="right" vertical="center"/>
    </xf>
    <xf numFmtId="166" fontId="3" fillId="6" borderId="17" xfId="1" applyFont="1" applyFill="1" applyBorder="1" applyAlignment="1">
      <alignment horizontal="center" vertical="center"/>
    </xf>
    <xf numFmtId="164" fontId="3" fillId="6" borderId="17" xfId="1" applyNumberFormat="1" applyFont="1" applyFill="1" applyBorder="1" applyAlignment="1">
      <alignment horizontal="right" vertical="center"/>
    </xf>
    <xf numFmtId="164" fontId="3" fillId="6" borderId="17" xfId="1" applyNumberFormat="1" applyFont="1" applyFill="1" applyBorder="1" applyAlignment="1">
      <alignment horizontal="center" vertical="center"/>
    </xf>
    <xf numFmtId="0" fontId="3" fillId="6" borderId="17" xfId="1" applyNumberFormat="1" applyFont="1" applyFill="1" applyBorder="1" applyAlignment="1">
      <alignment horizontal="center" vertical="center"/>
    </xf>
    <xf numFmtId="167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166" fontId="3" fillId="4" borderId="0" xfId="1" applyFont="1" applyFill="1" applyBorder="1" applyAlignment="1">
      <alignment horizontal="right" vertical="center"/>
    </xf>
    <xf numFmtId="166" fontId="3" fillId="4" borderId="0" xfId="1" applyFont="1" applyFill="1" applyBorder="1" applyAlignment="1">
      <alignment horizontal="center" vertical="center"/>
    </xf>
    <xf numFmtId="164" fontId="3" fillId="4" borderId="0" xfId="1" applyNumberFormat="1" applyFont="1" applyFill="1" applyBorder="1" applyAlignment="1">
      <alignment horizontal="right" vertical="center"/>
    </xf>
    <xf numFmtId="164" fontId="3" fillId="4" borderId="0" xfId="1" applyNumberFormat="1" applyFont="1" applyFill="1" applyBorder="1" applyAlignment="1">
      <alignment horizontal="center" vertical="center"/>
    </xf>
    <xf numFmtId="0" fontId="3" fillId="4" borderId="0" xfId="1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49" fontId="3" fillId="0" borderId="21" xfId="0" applyNumberFormat="1" applyFont="1" applyBorder="1" applyAlignment="1">
      <alignment vertical="center"/>
    </xf>
    <xf numFmtId="0" fontId="3" fillId="0" borderId="21" xfId="0" applyFont="1" applyBorder="1" applyAlignment="1">
      <alignment horizontal="left" vertical="center"/>
    </xf>
    <xf numFmtId="166" fontId="3" fillId="0" borderId="21" xfId="1" applyFont="1" applyFill="1" applyBorder="1" applyAlignment="1">
      <alignment horizontal="right" vertical="center"/>
    </xf>
    <xf numFmtId="165" fontId="9" fillId="2" borderId="21" xfId="2" applyNumberFormat="1" applyFont="1" applyFill="1" applyBorder="1" applyAlignment="1">
      <alignment horizontal="center" vertical="center" shrinkToFit="1"/>
    </xf>
    <xf numFmtId="0" fontId="9" fillId="2" borderId="21" xfId="2" quotePrefix="1" applyNumberFormat="1" applyFont="1" applyFill="1" applyBorder="1" applyAlignment="1">
      <alignment horizontal="center" vertical="center" shrinkToFit="1"/>
    </xf>
    <xf numFmtId="166" fontId="9" fillId="2" borderId="21" xfId="2" applyFont="1" applyFill="1" applyBorder="1" applyAlignment="1">
      <alignment horizontal="right" vertical="center" shrinkToFit="1"/>
    </xf>
    <xf numFmtId="39" fontId="3" fillId="0" borderId="21" xfId="0" applyNumberFormat="1" applyFont="1" applyBorder="1" applyAlignment="1">
      <alignment horizontal="center" vertical="center"/>
    </xf>
    <xf numFmtId="166" fontId="7" fillId="2" borderId="21" xfId="2" applyFont="1" applyFill="1" applyBorder="1" applyAlignment="1">
      <alignment horizontal="center" shrinkToFit="1"/>
    </xf>
    <xf numFmtId="0" fontId="7" fillId="0" borderId="21" xfId="3" applyFont="1" applyBorder="1" applyAlignment="1">
      <alignment horizontal="center" vertical="center" shrinkToFit="1"/>
    </xf>
    <xf numFmtId="1" fontId="7" fillId="0" borderId="21" xfId="3" applyNumberFormat="1" applyFont="1" applyBorder="1" applyAlignment="1">
      <alignment horizontal="center" vertical="center" shrinkToFit="1"/>
    </xf>
    <xf numFmtId="166" fontId="5" fillId="4" borderId="0" xfId="1" applyFont="1" applyFill="1" applyBorder="1"/>
    <xf numFmtId="1" fontId="7" fillId="0" borderId="21" xfId="3" applyNumberFormat="1" applyFont="1" applyBorder="1" applyAlignment="1">
      <alignment horizontal="center" vertical="center"/>
    </xf>
    <xf numFmtId="0" fontId="7" fillId="0" borderId="21" xfId="3" applyFont="1" applyBorder="1" applyAlignment="1">
      <alignment horizontal="left" vertical="center"/>
    </xf>
    <xf numFmtId="0" fontId="7" fillId="0" borderId="21" xfId="3" applyFont="1" applyBorder="1" applyAlignment="1">
      <alignment horizontal="left" vertical="center" shrinkToFit="1"/>
    </xf>
    <xf numFmtId="166" fontId="7" fillId="0" borderId="21" xfId="2" applyFont="1" applyFill="1" applyBorder="1" applyAlignment="1">
      <alignment horizontal="right" vertical="center" shrinkToFit="1"/>
    </xf>
    <xf numFmtId="166" fontId="7" fillId="0" borderId="21" xfId="2" applyFont="1" applyFill="1" applyBorder="1" applyAlignment="1">
      <alignment horizontal="center" vertical="center" shrinkToFit="1"/>
    </xf>
    <xf numFmtId="0" fontId="7" fillId="0" borderId="21" xfId="2" applyNumberFormat="1" applyFont="1" applyFill="1" applyBorder="1" applyAlignment="1">
      <alignment horizontal="center" vertical="center" shrinkToFit="1"/>
    </xf>
    <xf numFmtId="43" fontId="7" fillId="0" borderId="21" xfId="3" applyNumberFormat="1" applyFont="1" applyBorder="1" applyAlignment="1">
      <alignment horizontal="right" vertical="center" shrinkToFit="1"/>
    </xf>
    <xf numFmtId="166" fontId="7" fillId="2" borderId="21" xfId="2" applyFont="1" applyFill="1" applyBorder="1" applyAlignment="1">
      <alignment horizontal="center" vertical="center" shrinkToFit="1"/>
    </xf>
    <xf numFmtId="166" fontId="7" fillId="2" borderId="21" xfId="2" applyFont="1" applyFill="1" applyBorder="1" applyAlignment="1">
      <alignment horizontal="right" vertical="center" shrinkToFit="1"/>
    </xf>
    <xf numFmtId="172" fontId="7" fillId="0" borderId="21" xfId="2" applyNumberFormat="1" applyFont="1" applyFill="1" applyBorder="1" applyAlignment="1">
      <alignment horizontal="right" vertical="center" shrinkToFit="1"/>
    </xf>
    <xf numFmtId="166" fontId="5" fillId="0" borderId="0" xfId="1" applyFont="1" applyFill="1"/>
    <xf numFmtId="166" fontId="7" fillId="0" borderId="3" xfId="2" applyFont="1" applyFill="1" applyBorder="1" applyAlignment="1">
      <alignment horizontal="right" vertical="center" shrinkToFit="1"/>
    </xf>
    <xf numFmtId="166" fontId="3" fillId="0" borderId="0" xfId="1" applyFont="1" applyFill="1"/>
    <xf numFmtId="0" fontId="5" fillId="0" borderId="23" xfId="3" applyFont="1" applyBorder="1" applyAlignment="1">
      <alignment horizontal="left" vertical="center"/>
    </xf>
    <xf numFmtId="0" fontId="5" fillId="0" borderId="0" xfId="3" applyFont="1" applyAlignment="1">
      <alignment horizontal="left" vertical="center"/>
    </xf>
    <xf numFmtId="166" fontId="7" fillId="0" borderId="0" xfId="2" applyFont="1" applyFill="1" applyBorder="1" applyAlignment="1">
      <alignment horizontal="center" vertical="center" shrinkToFit="1"/>
    </xf>
    <xf numFmtId="0" fontId="7" fillId="0" borderId="0" xfId="2" applyNumberFormat="1" applyFont="1" applyFill="1" applyBorder="1" applyAlignment="1">
      <alignment horizontal="center" vertical="center" shrinkToFit="1"/>
    </xf>
    <xf numFmtId="166" fontId="7" fillId="0" borderId="0" xfId="2" applyFont="1" applyFill="1" applyBorder="1" applyAlignment="1">
      <alignment horizontal="right" vertical="center" shrinkToFit="1"/>
    </xf>
    <xf numFmtId="43" fontId="7" fillId="0" borderId="0" xfId="3" applyNumberFormat="1" applyFont="1" applyAlignment="1">
      <alignment horizontal="right" vertical="center" shrinkToFit="1"/>
    </xf>
    <xf numFmtId="166" fontId="7" fillId="2" borderId="0" xfId="2" applyFont="1" applyFill="1" applyBorder="1" applyAlignment="1">
      <alignment horizontal="center" vertical="center" shrinkToFit="1"/>
    </xf>
    <xf numFmtId="166" fontId="7" fillId="2" borderId="0" xfId="2" applyFont="1" applyFill="1" applyBorder="1" applyAlignment="1">
      <alignment horizontal="right" vertical="center" shrinkToFit="1"/>
    </xf>
    <xf numFmtId="172" fontId="7" fillId="0" borderId="0" xfId="2" applyNumberFormat="1" applyFont="1" applyFill="1" applyBorder="1" applyAlignment="1">
      <alignment horizontal="right" vertical="center" shrinkToFit="1"/>
    </xf>
    <xf numFmtId="43" fontId="7" fillId="0" borderId="16" xfId="3" applyNumberFormat="1" applyFont="1" applyBorder="1" applyAlignment="1">
      <alignment horizontal="right" vertical="center" shrinkToFit="1"/>
    </xf>
    <xf numFmtId="166" fontId="3" fillId="0" borderId="0" xfId="1" applyFont="1" applyFill="1" applyBorder="1"/>
    <xf numFmtId="167" fontId="7" fillId="3" borderId="43" xfId="3" applyNumberFormat="1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vertical="center"/>
    </xf>
    <xf numFmtId="166" fontId="7" fillId="3" borderId="43" xfId="2" applyFont="1" applyFill="1" applyBorder="1" applyAlignment="1">
      <alignment horizontal="right" vertical="center" shrinkToFit="1"/>
    </xf>
    <xf numFmtId="166" fontId="7" fillId="3" borderId="43" xfId="2" applyFont="1" applyFill="1" applyBorder="1" applyAlignment="1">
      <alignment horizontal="center" vertical="center" shrinkToFit="1"/>
    </xf>
    <xf numFmtId="166" fontId="7" fillId="3" borderId="17" xfId="2" applyFont="1" applyFill="1" applyBorder="1" applyAlignment="1">
      <alignment horizontal="right" vertical="center" shrinkToFit="1"/>
    </xf>
    <xf numFmtId="166" fontId="7" fillId="3" borderId="38" xfId="2" applyFont="1" applyFill="1" applyBorder="1" applyAlignment="1">
      <alignment horizontal="right" vertical="center" shrinkToFit="1"/>
    </xf>
    <xf numFmtId="166" fontId="7" fillId="3" borderId="28" xfId="2" applyFont="1" applyFill="1" applyBorder="1" applyAlignment="1">
      <alignment horizontal="right" vertical="center" shrinkToFit="1"/>
    </xf>
    <xf numFmtId="167" fontId="7" fillId="0" borderId="0" xfId="3" applyNumberFormat="1" applyFont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23" xfId="0" applyFont="1" applyBorder="1" applyAlignment="1">
      <alignment horizontal="left" vertical="center"/>
    </xf>
    <xf numFmtId="39" fontId="3" fillId="0" borderId="15" xfId="0" applyNumberFormat="1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right" vertical="center"/>
    </xf>
    <xf numFmtId="165" fontId="7" fillId="2" borderId="15" xfId="3" applyNumberFormat="1" applyFont="1" applyFill="1" applyBorder="1" applyAlignment="1">
      <alignment horizontal="center" vertical="center" shrinkToFit="1"/>
    </xf>
    <xf numFmtId="0" fontId="7" fillId="2" borderId="15" xfId="3" quotePrefix="1" applyFont="1" applyFill="1" applyBorder="1" applyAlignment="1">
      <alignment horizontal="center" vertical="center" shrinkToFit="1"/>
    </xf>
    <xf numFmtId="166" fontId="7" fillId="2" borderId="15" xfId="2" applyFont="1" applyFill="1" applyBorder="1" applyAlignment="1">
      <alignment shrinkToFit="1"/>
    </xf>
    <xf numFmtId="1" fontId="5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65" fontId="7" fillId="2" borderId="0" xfId="3" applyNumberFormat="1" applyFont="1" applyFill="1" applyAlignment="1">
      <alignment horizontal="center" vertical="center" shrinkToFit="1"/>
    </xf>
    <xf numFmtId="0" fontId="7" fillId="2" borderId="0" xfId="3" quotePrefix="1" applyFont="1" applyFill="1" applyAlignment="1">
      <alignment horizontal="center" vertical="center" shrinkToFit="1"/>
    </xf>
    <xf numFmtId="166" fontId="7" fillId="2" borderId="0" xfId="2" applyFont="1" applyFill="1" applyBorder="1" applyAlignment="1">
      <alignment shrinkToFit="1"/>
    </xf>
    <xf numFmtId="39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7" fontId="7" fillId="3" borderId="44" xfId="3" applyNumberFormat="1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vertical="center"/>
    </xf>
    <xf numFmtId="166" fontId="7" fillId="3" borderId="44" xfId="2" applyFont="1" applyFill="1" applyBorder="1" applyAlignment="1">
      <alignment horizontal="right" vertical="center" shrinkToFit="1"/>
    </xf>
    <xf numFmtId="166" fontId="7" fillId="3" borderId="44" xfId="2" applyFont="1" applyFill="1" applyBorder="1" applyAlignment="1">
      <alignment horizontal="center" vertical="center" shrinkToFit="1"/>
    </xf>
    <xf numFmtId="166" fontId="7" fillId="3" borderId="45" xfId="2" applyFont="1" applyFill="1" applyBorder="1" applyAlignment="1">
      <alignment horizontal="right" vertical="center" shrinkToFit="1"/>
    </xf>
    <xf numFmtId="166" fontId="7" fillId="3" borderId="46" xfId="2" applyFont="1" applyFill="1" applyBorder="1" applyAlignment="1">
      <alignment horizontal="center" vertical="center" shrinkToFit="1"/>
    </xf>
    <xf numFmtId="166" fontId="7" fillId="3" borderId="46" xfId="2" applyFont="1" applyFill="1" applyBorder="1" applyAlignment="1">
      <alignment horizontal="right" vertical="center" shrinkToFit="1"/>
    </xf>
    <xf numFmtId="49" fontId="7" fillId="0" borderId="21" xfId="3" applyNumberFormat="1" applyFont="1" applyBorder="1" applyAlignment="1">
      <alignment horizontal="left" vertical="center" shrinkToFit="1"/>
    </xf>
    <xf numFmtId="166" fontId="7" fillId="0" borderId="21" xfId="2" applyFont="1" applyFill="1" applyBorder="1" applyAlignment="1">
      <alignment vertical="center" shrinkToFit="1"/>
    </xf>
    <xf numFmtId="39" fontId="7" fillId="0" borderId="21" xfId="3" applyNumberFormat="1" applyFont="1" applyBorder="1" applyAlignment="1">
      <alignment horizontal="center" vertical="center" shrinkToFit="1"/>
    </xf>
    <xf numFmtId="166" fontId="7" fillId="0" borderId="21" xfId="3" applyNumberFormat="1" applyFont="1" applyBorder="1" applyAlignment="1">
      <alignment horizontal="right" vertical="center" shrinkToFit="1"/>
    </xf>
    <xf numFmtId="0" fontId="7" fillId="2" borderId="21" xfId="3" applyFont="1" applyFill="1" applyBorder="1" applyAlignment="1">
      <alignment horizontal="center" vertical="center" shrinkToFit="1"/>
    </xf>
    <xf numFmtId="166" fontId="7" fillId="2" borderId="21" xfId="2" applyFont="1" applyFill="1" applyBorder="1" applyAlignment="1">
      <alignment vertical="center" shrinkToFit="1"/>
    </xf>
    <xf numFmtId="1" fontId="7" fillId="0" borderId="3" xfId="3" applyNumberFormat="1" applyFont="1" applyBorder="1" applyAlignment="1">
      <alignment horizontal="center" vertical="center" shrinkToFit="1"/>
    </xf>
    <xf numFmtId="166" fontId="7" fillId="0" borderId="21" xfId="2" applyFont="1" applyFill="1" applyBorder="1" applyAlignment="1">
      <alignment shrinkToFit="1"/>
    </xf>
    <xf numFmtId="166" fontId="7" fillId="0" borderId="3" xfId="2" applyFont="1" applyFill="1" applyBorder="1" applyAlignment="1">
      <alignment horizontal="center" vertical="center" shrinkToFit="1"/>
    </xf>
    <xf numFmtId="0" fontId="5" fillId="0" borderId="21" xfId="3" applyFont="1" applyBorder="1" applyAlignment="1">
      <alignment horizontal="left" vertical="center"/>
    </xf>
    <xf numFmtId="166" fontId="24" fillId="0" borderId="21" xfId="2" applyFont="1" applyFill="1" applyBorder="1" applyAlignment="1">
      <alignment horizontal="center" vertical="center" shrinkToFit="1"/>
    </xf>
    <xf numFmtId="1" fontId="7" fillId="0" borderId="2" xfId="3" applyNumberFormat="1" applyFont="1" applyBorder="1" applyAlignment="1">
      <alignment horizontal="center" vertical="center"/>
    </xf>
    <xf numFmtId="0" fontId="7" fillId="0" borderId="2" xfId="3" applyFont="1" applyBorder="1" applyAlignment="1">
      <alignment horizontal="left" vertical="center" shrinkToFit="1"/>
    </xf>
    <xf numFmtId="166" fontId="7" fillId="0" borderId="2" xfId="2" applyFont="1" applyFill="1" applyBorder="1" applyAlignment="1">
      <alignment horizontal="right" vertical="center" shrinkToFit="1"/>
    </xf>
    <xf numFmtId="166" fontId="7" fillId="0" borderId="2" xfId="2" applyFont="1" applyFill="1" applyBorder="1" applyAlignment="1">
      <alignment horizontal="center" vertical="center" shrinkToFit="1"/>
    </xf>
    <xf numFmtId="43" fontId="7" fillId="0" borderId="2" xfId="3" applyNumberFormat="1" applyFont="1" applyBorder="1" applyAlignment="1">
      <alignment horizontal="right" vertical="center" shrinkToFit="1"/>
    </xf>
    <xf numFmtId="166" fontId="7" fillId="2" borderId="2" xfId="2" applyFont="1" applyFill="1" applyBorder="1" applyAlignment="1">
      <alignment horizontal="center" vertical="center" shrinkToFit="1"/>
    </xf>
    <xf numFmtId="166" fontId="7" fillId="2" borderId="2" xfId="2" applyFont="1" applyFill="1" applyBorder="1" applyAlignment="1">
      <alignment horizontal="right" vertical="center" shrinkToFit="1"/>
    </xf>
    <xf numFmtId="166" fontId="24" fillId="0" borderId="2" xfId="2" applyFont="1" applyFill="1" applyBorder="1" applyAlignment="1">
      <alignment horizontal="center" vertical="center" shrinkToFit="1"/>
    </xf>
    <xf numFmtId="166" fontId="7" fillId="0" borderId="7" xfId="2" applyFont="1" applyFill="1" applyBorder="1" applyAlignment="1">
      <alignment horizontal="right" vertical="center" shrinkToFit="1"/>
    </xf>
    <xf numFmtId="0" fontId="5" fillId="0" borderId="2" xfId="3" applyFont="1" applyBorder="1" applyAlignment="1">
      <alignment horizontal="left" vertical="center"/>
    </xf>
    <xf numFmtId="1" fontId="7" fillId="3" borderId="43" xfId="3" applyNumberFormat="1" applyFont="1" applyFill="1" applyBorder="1" applyAlignment="1">
      <alignment horizontal="center" vertical="center"/>
    </xf>
    <xf numFmtId="0" fontId="7" fillId="3" borderId="43" xfId="3" applyFont="1" applyFill="1" applyBorder="1" applyAlignment="1">
      <alignment horizontal="left" vertical="center" shrinkToFit="1"/>
    </xf>
    <xf numFmtId="166" fontId="7" fillId="3" borderId="28" xfId="2" applyFont="1" applyFill="1" applyBorder="1" applyAlignment="1">
      <alignment horizontal="center" vertical="center" shrinkToFit="1"/>
    </xf>
    <xf numFmtId="166" fontId="7" fillId="3" borderId="17" xfId="2" applyFont="1" applyFill="1" applyBorder="1" applyAlignment="1">
      <alignment horizontal="center" vertical="center" shrinkToFit="1"/>
    </xf>
    <xf numFmtId="43" fontId="7" fillId="3" borderId="17" xfId="3" applyNumberFormat="1" applyFont="1" applyFill="1" applyBorder="1" applyAlignment="1">
      <alignment horizontal="right" vertical="center" shrinkToFit="1"/>
    </xf>
    <xf numFmtId="166" fontId="5" fillId="0" borderId="0" xfId="1" applyFont="1" applyFill="1" applyBorder="1"/>
    <xf numFmtId="1" fontId="7" fillId="4" borderId="0" xfId="3" applyNumberFormat="1" applyFont="1" applyFill="1" applyAlignment="1">
      <alignment horizontal="center" vertical="center"/>
    </xf>
    <xf numFmtId="0" fontId="5" fillId="4" borderId="0" xfId="3" applyFont="1" applyFill="1" applyAlignment="1">
      <alignment horizontal="left" vertical="center"/>
    </xf>
    <xf numFmtId="0" fontId="7" fillId="4" borderId="0" xfId="3" applyFont="1" applyFill="1" applyAlignment="1">
      <alignment horizontal="left" vertical="center" shrinkToFit="1"/>
    </xf>
    <xf numFmtId="166" fontId="7" fillId="4" borderId="0" xfId="2" applyFont="1" applyFill="1" applyBorder="1" applyAlignment="1">
      <alignment horizontal="right" vertical="center" shrinkToFit="1"/>
    </xf>
    <xf numFmtId="166" fontId="7" fillId="4" borderId="0" xfId="2" applyFont="1" applyFill="1" applyBorder="1" applyAlignment="1">
      <alignment horizontal="center" vertical="center" shrinkToFit="1"/>
    </xf>
    <xf numFmtId="43" fontId="7" fillId="4" borderId="0" xfId="3" applyNumberFormat="1" applyFont="1" applyFill="1" applyAlignment="1">
      <alignment horizontal="right" vertical="center" shrinkToFit="1"/>
    </xf>
    <xf numFmtId="1" fontId="3" fillId="6" borderId="43" xfId="0" applyNumberFormat="1" applyFont="1" applyFill="1" applyBorder="1" applyAlignment="1">
      <alignment horizontal="center" vertical="center"/>
    </xf>
    <xf numFmtId="49" fontId="3" fillId="6" borderId="43" xfId="0" applyNumberFormat="1" applyFont="1" applyFill="1" applyBorder="1" applyAlignment="1">
      <alignment horizontal="left" vertical="center"/>
    </xf>
    <xf numFmtId="0" fontId="3" fillId="6" borderId="43" xfId="0" applyFont="1" applyFill="1" applyBorder="1" applyAlignment="1">
      <alignment horizontal="center" vertical="center"/>
    </xf>
    <xf numFmtId="39" fontId="3" fillId="6" borderId="43" xfId="0" applyNumberFormat="1" applyFont="1" applyFill="1" applyBorder="1" applyAlignment="1">
      <alignment horizontal="center" vertical="center"/>
    </xf>
    <xf numFmtId="164" fontId="3" fillId="6" borderId="17" xfId="0" applyNumberFormat="1" applyFont="1" applyFill="1" applyBorder="1" applyAlignment="1">
      <alignment horizontal="right" vertical="center"/>
    </xf>
    <xf numFmtId="165" fontId="3" fillId="6" borderId="43" xfId="0" applyNumberFormat="1" applyFont="1" applyFill="1" applyBorder="1" applyAlignment="1">
      <alignment horizontal="center" vertical="center"/>
    </xf>
    <xf numFmtId="43" fontId="3" fillId="6" borderId="17" xfId="0" applyNumberFormat="1" applyFont="1" applyFill="1" applyBorder="1" applyAlignment="1">
      <alignment vertical="center"/>
    </xf>
    <xf numFmtId="164" fontId="3" fillId="6" borderId="43" xfId="1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vertical="center"/>
    </xf>
    <xf numFmtId="164" fontId="3" fillId="0" borderId="0" xfId="1" applyNumberFormat="1" applyFont="1" applyFill="1" applyBorder="1" applyAlignment="1">
      <alignment vertical="center"/>
    </xf>
    <xf numFmtId="164" fontId="3" fillId="0" borderId="21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right" vertical="center"/>
    </xf>
    <xf numFmtId="49" fontId="7" fillId="0" borderId="21" xfId="0" applyNumberFormat="1" applyFont="1" applyBorder="1" applyAlignment="1">
      <alignment horizontal="left" vertical="center" shrinkToFit="1"/>
    </xf>
    <xf numFmtId="0" fontId="7" fillId="0" borderId="21" xfId="0" applyFont="1" applyBorder="1" applyAlignment="1">
      <alignment horizontal="left" vertical="center" shrinkToFit="1"/>
    </xf>
    <xf numFmtId="168" fontId="7" fillId="0" borderId="21" xfId="0" applyNumberFormat="1" applyFont="1" applyBorder="1" applyAlignment="1">
      <alignment shrinkToFit="1"/>
    </xf>
    <xf numFmtId="16" fontId="7" fillId="0" borderId="21" xfId="3" applyNumberFormat="1" applyFont="1" applyBorder="1" applyAlignment="1">
      <alignment horizontal="center" vertical="center" shrinkToFit="1"/>
    </xf>
    <xf numFmtId="164" fontId="3" fillId="0" borderId="0" xfId="1" applyNumberFormat="1" applyFont="1" applyFill="1" applyAlignment="1">
      <alignment horizontal="center" vertical="center"/>
    </xf>
  </cellXfs>
  <cellStyles count="7">
    <cellStyle name="Comma" xfId="1" builtinId="3"/>
    <cellStyle name="Comma 4" xfId="2" xr:uid="{CFC5DF42-A968-47C9-8AD5-6C9874EBAC52}"/>
    <cellStyle name="Comma 4 2" xfId="5" xr:uid="{687A51D2-F103-458C-8D31-A95E938FB084}"/>
    <cellStyle name="Normal" xfId="0" builtinId="0"/>
    <cellStyle name="Normal 5" xfId="3" xr:uid="{D4B31D15-E981-4435-B2F0-F65A9A1EAC1C}"/>
    <cellStyle name="Normal 5 2" xfId="4" xr:uid="{F044D574-E8E9-4960-B034-64D49C759EE1}"/>
    <cellStyle name="Normal 5 4" xfId="6" xr:uid="{05DDF5BB-837C-49CE-A4DA-E4A4656593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BFCF-50D9-498E-80A0-3726C2ADCF03}">
  <sheetPr>
    <tabColor rgb="FF92D050"/>
  </sheetPr>
  <dimension ref="A1:AA492"/>
  <sheetViews>
    <sheetView tabSelected="1" zoomScale="50" zoomScaleNormal="50" workbookViewId="0">
      <pane ySplit="9" topLeftCell="A469" activePane="bottomLeft" state="frozen"/>
      <selection pane="bottomLeft" activeCell="A3" sqref="A3:S3"/>
    </sheetView>
  </sheetViews>
  <sheetFormatPr defaultColWidth="27.6640625" defaultRowHeight="33.6"/>
  <cols>
    <col min="1" max="1" width="8.109375" style="504" customWidth="1"/>
    <col min="2" max="2" width="40.33203125" style="554" customWidth="1"/>
    <col min="3" max="3" width="27.6640625" style="555"/>
    <col min="4" max="4" width="27.6640625" style="556"/>
    <col min="5" max="5" width="28" style="503" customWidth="1"/>
    <col min="6" max="6" width="11.33203125" style="504" customWidth="1"/>
    <col min="7" max="7" width="12" style="504" customWidth="1"/>
    <col min="8" max="8" width="27.6640625" style="499"/>
    <col min="9" max="9" width="27.6640625" style="498"/>
    <col min="10" max="10" width="27.6640625" style="557"/>
    <col min="11" max="11" width="21.33203125" style="558" customWidth="1"/>
    <col min="12" max="12" width="27.6640625" style="353"/>
    <col min="13" max="13" width="27.6640625" style="559"/>
    <col min="14" max="14" width="24" style="353" customWidth="1"/>
    <col min="15" max="15" width="9.5546875" style="504" customWidth="1"/>
    <col min="16" max="16" width="8.6640625" style="504" customWidth="1"/>
    <col min="17" max="17" width="27.6640625" style="567"/>
    <col min="18" max="18" width="23.6640625" style="567" customWidth="1"/>
    <col min="19" max="19" width="27.6640625" style="288"/>
    <col min="20" max="16384" width="27.6640625" style="2"/>
  </cols>
  <sheetData>
    <row r="1" spans="1:19" ht="34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4.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34.5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34.5" customHeight="1">
      <c r="A4" s="4" t="s">
        <v>3</v>
      </c>
      <c r="B4" s="5" t="s">
        <v>4</v>
      </c>
      <c r="C4" s="6" t="s">
        <v>5</v>
      </c>
      <c r="D4" s="7" t="s">
        <v>6</v>
      </c>
      <c r="E4" s="8" t="s">
        <v>7</v>
      </c>
      <c r="F4" s="9"/>
      <c r="G4" s="9"/>
      <c r="H4" s="9"/>
      <c r="I4" s="9"/>
      <c r="J4" s="10"/>
      <c r="K4" s="11" t="s">
        <v>8</v>
      </c>
      <c r="L4" s="12"/>
      <c r="M4" s="13"/>
      <c r="N4" s="8" t="s">
        <v>9</v>
      </c>
      <c r="O4" s="9"/>
      <c r="P4" s="9"/>
      <c r="Q4" s="9"/>
      <c r="R4" s="9"/>
      <c r="S4" s="10"/>
    </row>
    <row r="5" spans="1:19" ht="34.5" customHeight="1">
      <c r="A5" s="14"/>
      <c r="B5" s="15"/>
      <c r="C5" s="16"/>
      <c r="D5" s="17"/>
      <c r="E5" s="18" t="s">
        <v>10</v>
      </c>
      <c r="F5" s="4" t="s">
        <v>11</v>
      </c>
      <c r="G5" s="19" t="s">
        <v>12</v>
      </c>
      <c r="H5" s="20" t="s">
        <v>13</v>
      </c>
      <c r="I5" s="21"/>
      <c r="J5" s="22"/>
      <c r="K5" s="23" t="s">
        <v>14</v>
      </c>
      <c r="L5" s="24" t="s">
        <v>15</v>
      </c>
      <c r="M5" s="25" t="s">
        <v>16</v>
      </c>
      <c r="N5" s="18" t="s">
        <v>10</v>
      </c>
      <c r="O5" s="4" t="s">
        <v>11</v>
      </c>
      <c r="P5" s="19" t="s">
        <v>12</v>
      </c>
      <c r="Q5" s="26" t="s">
        <v>13</v>
      </c>
      <c r="R5" s="27"/>
      <c r="S5" s="28"/>
    </row>
    <row r="6" spans="1:19" ht="34.200000000000003" customHeight="1">
      <c r="A6" s="14"/>
      <c r="B6" s="15"/>
      <c r="C6" s="16"/>
      <c r="D6" s="17"/>
      <c r="E6" s="29"/>
      <c r="F6" s="14"/>
      <c r="G6" s="30" t="s">
        <v>17</v>
      </c>
      <c r="H6" s="31" t="s">
        <v>16</v>
      </c>
      <c r="I6" s="32" t="s">
        <v>18</v>
      </c>
      <c r="J6" s="32" t="s">
        <v>19</v>
      </c>
      <c r="K6" s="33"/>
      <c r="L6" s="34"/>
      <c r="M6" s="35"/>
      <c r="N6" s="29"/>
      <c r="O6" s="14"/>
      <c r="P6" s="30" t="s">
        <v>17</v>
      </c>
      <c r="Q6" s="36" t="s">
        <v>16</v>
      </c>
      <c r="R6" s="36" t="s">
        <v>18</v>
      </c>
      <c r="S6" s="37" t="s">
        <v>19</v>
      </c>
    </row>
    <row r="7" spans="1:19" ht="46.95" hidden="1" customHeight="1">
      <c r="A7" s="38"/>
      <c r="B7" s="39" t="s">
        <v>20</v>
      </c>
      <c r="C7" s="40"/>
      <c r="D7" s="41"/>
      <c r="E7" s="42"/>
      <c r="F7" s="43"/>
      <c r="G7" s="44"/>
      <c r="H7" s="45"/>
      <c r="I7" s="46"/>
      <c r="J7" s="47"/>
      <c r="K7" s="48"/>
      <c r="L7" s="49"/>
      <c r="M7" s="50"/>
      <c r="N7" s="42"/>
      <c r="O7" s="43"/>
      <c r="P7" s="44"/>
      <c r="Q7" s="51"/>
      <c r="R7" s="51"/>
      <c r="S7" s="52"/>
    </row>
    <row r="8" spans="1:19" ht="52.95" hidden="1" customHeight="1">
      <c r="A8" s="53">
        <v>1</v>
      </c>
      <c r="B8" s="54"/>
      <c r="C8" s="55"/>
      <c r="D8" s="56"/>
      <c r="E8" s="57"/>
      <c r="F8" s="56"/>
      <c r="G8" s="56"/>
      <c r="H8" s="58"/>
      <c r="I8" s="58"/>
      <c r="J8" s="58"/>
      <c r="K8" s="59"/>
      <c r="L8" s="60"/>
      <c r="M8" s="61"/>
      <c r="N8" s="62"/>
      <c r="O8" s="30"/>
      <c r="P8" s="63"/>
      <c r="Q8" s="64"/>
      <c r="R8" s="64"/>
      <c r="S8" s="65"/>
    </row>
    <row r="9" spans="1:19" ht="1.2" customHeight="1" thickBot="1">
      <c r="A9" s="53"/>
      <c r="B9" s="66" t="s">
        <v>19</v>
      </c>
      <c r="C9" s="67"/>
      <c r="D9" s="68">
        <v>0</v>
      </c>
      <c r="E9" s="69"/>
      <c r="F9" s="68"/>
      <c r="G9" s="68"/>
      <c r="H9" s="70">
        <v>0</v>
      </c>
      <c r="I9" s="70">
        <v>0</v>
      </c>
      <c r="J9" s="70">
        <v>0</v>
      </c>
      <c r="K9" s="71"/>
      <c r="L9" s="72"/>
      <c r="M9" s="73">
        <v>0</v>
      </c>
      <c r="N9" s="74"/>
      <c r="O9" s="68"/>
      <c r="P9" s="68"/>
      <c r="Q9" s="70">
        <v>0</v>
      </c>
      <c r="R9" s="70">
        <v>0</v>
      </c>
      <c r="S9" s="75">
        <v>0</v>
      </c>
    </row>
    <row r="10" spans="1:19" ht="34.5" customHeight="1" thickTop="1">
      <c r="A10" s="53"/>
      <c r="B10" s="76" t="s">
        <v>21</v>
      </c>
      <c r="C10" s="77"/>
      <c r="D10" s="78"/>
      <c r="E10" s="79"/>
      <c r="F10" s="78"/>
      <c r="G10" s="80"/>
      <c r="H10" s="81"/>
      <c r="I10" s="81"/>
      <c r="J10" s="81"/>
      <c r="K10" s="82"/>
      <c r="L10" s="83"/>
      <c r="M10" s="84"/>
      <c r="N10" s="85"/>
      <c r="O10" s="86"/>
      <c r="P10" s="87"/>
      <c r="Q10" s="88"/>
      <c r="R10" s="89"/>
      <c r="S10" s="90"/>
    </row>
    <row r="11" spans="1:19" ht="34.5" customHeight="1">
      <c r="A11" s="91">
        <v>1</v>
      </c>
      <c r="B11" s="92" t="s">
        <v>22</v>
      </c>
      <c r="C11" s="93" t="s">
        <v>23</v>
      </c>
      <c r="D11" s="94">
        <v>44562.29</v>
      </c>
      <c r="E11" s="95" t="s">
        <v>24</v>
      </c>
      <c r="F11" s="91">
        <v>1</v>
      </c>
      <c r="G11" s="91">
        <v>1</v>
      </c>
      <c r="H11" s="96">
        <v>15923</v>
      </c>
      <c r="I11" s="97">
        <v>1114.6099999999999</v>
      </c>
      <c r="J11" s="98">
        <v>17037.610000000008</v>
      </c>
      <c r="K11" s="99" t="s">
        <v>25</v>
      </c>
      <c r="L11" s="100" t="s">
        <v>26</v>
      </c>
      <c r="M11" s="101">
        <v>45113.34</v>
      </c>
      <c r="N11" s="102" t="s">
        <v>27</v>
      </c>
      <c r="O11" s="103">
        <v>1</v>
      </c>
      <c r="P11" s="103">
        <v>1</v>
      </c>
      <c r="Q11" s="97">
        <f t="shared" ref="Q11:Q12" si="0">ROUND(S11*100/107,2)</f>
        <v>15408</v>
      </c>
      <c r="R11" s="104">
        <f t="shared" ref="R11:R12" si="1">ROUND((Q11*0.07),2)</f>
        <v>1078.56</v>
      </c>
      <c r="S11" s="90">
        <f t="shared" ref="S11:S12" si="2">+D11+J11-M11</f>
        <v>16486.560000000012</v>
      </c>
    </row>
    <row r="12" spans="1:19" ht="34.5" customHeight="1">
      <c r="A12" s="91">
        <v>2</v>
      </c>
      <c r="B12" s="105" t="s">
        <v>28</v>
      </c>
      <c r="C12" s="93" t="s">
        <v>23</v>
      </c>
      <c r="D12" s="94">
        <v>0</v>
      </c>
      <c r="E12" s="95"/>
      <c r="F12" s="91"/>
      <c r="G12" s="91"/>
      <c r="H12" s="96">
        <v>0</v>
      </c>
      <c r="I12" s="97">
        <v>0</v>
      </c>
      <c r="J12" s="98">
        <v>-1.0913936421275139E-11</v>
      </c>
      <c r="K12" s="99"/>
      <c r="L12" s="100"/>
      <c r="M12" s="101"/>
      <c r="N12" s="106"/>
      <c r="O12" s="107"/>
      <c r="P12" s="107"/>
      <c r="Q12" s="97">
        <f t="shared" si="0"/>
        <v>0</v>
      </c>
      <c r="R12" s="104">
        <f t="shared" si="1"/>
        <v>0</v>
      </c>
      <c r="S12" s="90">
        <f t="shared" si="2"/>
        <v>-1.0913936421275139E-11</v>
      </c>
    </row>
    <row r="13" spans="1:19" ht="34.5" customHeight="1">
      <c r="A13" s="43"/>
      <c r="B13" s="108"/>
      <c r="C13" s="109"/>
      <c r="D13" s="110"/>
      <c r="E13" s="111"/>
      <c r="F13" s="30"/>
      <c r="G13" s="30"/>
      <c r="H13" s="58"/>
      <c r="I13" s="112"/>
      <c r="J13" s="113"/>
      <c r="K13" s="114"/>
      <c r="L13" s="115"/>
      <c r="M13" s="116"/>
      <c r="N13" s="117"/>
      <c r="O13" s="118"/>
      <c r="P13" s="118"/>
      <c r="Q13" s="112"/>
      <c r="R13" s="119"/>
      <c r="S13" s="90"/>
    </row>
    <row r="14" spans="1:19" ht="34.5" customHeight="1" thickBot="1">
      <c r="A14" s="120"/>
      <c r="B14" s="121" t="s">
        <v>19</v>
      </c>
      <c r="C14" s="122"/>
      <c r="D14" s="123">
        <f>SUM(D11:D12)</f>
        <v>44562.29</v>
      </c>
      <c r="E14" s="124"/>
      <c r="F14" s="123"/>
      <c r="G14" s="123"/>
      <c r="H14" s="125">
        <f>SUM(H11:H13)</f>
        <v>15923</v>
      </c>
      <c r="I14" s="125">
        <f t="shared" ref="I14:J14" si="3">SUM(I11:I13)</f>
        <v>1114.6099999999999</v>
      </c>
      <c r="J14" s="125">
        <f t="shared" si="3"/>
        <v>17037.609999999997</v>
      </c>
      <c r="K14" s="126"/>
      <c r="L14" s="126"/>
      <c r="M14" s="125">
        <f>SUM(M11:M13)</f>
        <v>45113.34</v>
      </c>
      <c r="N14" s="126"/>
      <c r="O14" s="125"/>
      <c r="P14" s="125"/>
      <c r="Q14" s="125">
        <f t="shared" ref="Q14:S14" si="4">SUM(Q11:Q13)</f>
        <v>15408</v>
      </c>
      <c r="R14" s="125">
        <f t="shared" si="4"/>
        <v>1078.56</v>
      </c>
      <c r="S14" s="125">
        <f t="shared" si="4"/>
        <v>16486.560000000001</v>
      </c>
    </row>
    <row r="15" spans="1:19" ht="34.5" customHeight="1" thickTop="1">
      <c r="A15" s="53"/>
      <c r="B15" s="76" t="s">
        <v>29</v>
      </c>
      <c r="C15" s="77"/>
      <c r="D15" s="78"/>
      <c r="E15" s="79"/>
      <c r="F15" s="78"/>
      <c r="G15" s="80"/>
      <c r="H15" s="81"/>
      <c r="I15" s="81"/>
      <c r="J15" s="81"/>
      <c r="K15" s="82"/>
      <c r="L15" s="83"/>
      <c r="M15" s="84"/>
      <c r="N15" s="85"/>
      <c r="O15" s="86"/>
      <c r="P15" s="87"/>
      <c r="Q15" s="88"/>
      <c r="R15" s="89"/>
      <c r="S15" s="90"/>
    </row>
    <row r="16" spans="1:19" ht="34.5" customHeight="1">
      <c r="A16" s="91">
        <v>1</v>
      </c>
      <c r="B16" s="127" t="s">
        <v>30</v>
      </c>
      <c r="C16" s="127" t="s">
        <v>31</v>
      </c>
      <c r="D16" s="128">
        <v>321</v>
      </c>
      <c r="E16" s="129"/>
      <c r="F16" s="130"/>
      <c r="G16" s="130"/>
      <c r="H16" s="131">
        <v>0</v>
      </c>
      <c r="I16" s="131">
        <v>0</v>
      </c>
      <c r="J16" s="132">
        <v>0</v>
      </c>
      <c r="K16" s="133">
        <v>46205</v>
      </c>
      <c r="L16" s="134" t="s">
        <v>32</v>
      </c>
      <c r="M16" s="135">
        <v>321</v>
      </c>
      <c r="N16" s="42"/>
      <c r="O16" s="91"/>
      <c r="P16" s="91"/>
      <c r="Q16" s="97">
        <f t="shared" ref="Q16:Q30" si="5">ROUND(S16*100/107,2)</f>
        <v>0</v>
      </c>
      <c r="R16" s="104">
        <f t="shared" ref="R16:R30" si="6">ROUND((Q16*0.07),2)</f>
        <v>0</v>
      </c>
      <c r="S16" s="90">
        <f t="shared" ref="S16:S30" si="7">+D16+J16-M16</f>
        <v>0</v>
      </c>
    </row>
    <row r="17" spans="1:19" ht="34.5" customHeight="1">
      <c r="A17" s="91">
        <v>2</v>
      </c>
      <c r="B17" s="127" t="s">
        <v>33</v>
      </c>
      <c r="C17" s="127" t="s">
        <v>34</v>
      </c>
      <c r="D17" s="128">
        <v>321</v>
      </c>
      <c r="E17" s="129"/>
      <c r="F17" s="130"/>
      <c r="G17" s="130"/>
      <c r="H17" s="131">
        <v>0</v>
      </c>
      <c r="I17" s="131">
        <v>0</v>
      </c>
      <c r="J17" s="132">
        <v>0</v>
      </c>
      <c r="K17" s="133">
        <v>46210</v>
      </c>
      <c r="L17" s="134" t="s">
        <v>35</v>
      </c>
      <c r="M17" s="135">
        <v>321</v>
      </c>
      <c r="N17" s="42"/>
      <c r="O17" s="91"/>
      <c r="P17" s="91"/>
      <c r="Q17" s="97">
        <f t="shared" si="5"/>
        <v>0</v>
      </c>
      <c r="R17" s="104">
        <f t="shared" si="6"/>
        <v>0</v>
      </c>
      <c r="S17" s="90">
        <f t="shared" si="7"/>
        <v>0</v>
      </c>
    </row>
    <row r="18" spans="1:19" ht="34.5" customHeight="1">
      <c r="A18" s="91">
        <v>3</v>
      </c>
      <c r="B18" s="127" t="s">
        <v>36</v>
      </c>
      <c r="C18" s="127" t="s">
        <v>37</v>
      </c>
      <c r="D18" s="128">
        <v>321</v>
      </c>
      <c r="E18" s="129"/>
      <c r="F18" s="130"/>
      <c r="G18" s="130"/>
      <c r="H18" s="131">
        <v>0</v>
      </c>
      <c r="I18" s="131">
        <v>0</v>
      </c>
      <c r="J18" s="132">
        <v>0</v>
      </c>
      <c r="K18" s="133">
        <v>46217</v>
      </c>
      <c r="L18" s="134" t="s">
        <v>38</v>
      </c>
      <c r="M18" s="135">
        <v>321</v>
      </c>
      <c r="N18" s="42"/>
      <c r="O18" s="91"/>
      <c r="P18" s="91"/>
      <c r="Q18" s="97">
        <f t="shared" si="5"/>
        <v>0</v>
      </c>
      <c r="R18" s="104">
        <f t="shared" si="6"/>
        <v>0</v>
      </c>
      <c r="S18" s="90">
        <f t="shared" si="7"/>
        <v>0</v>
      </c>
    </row>
    <row r="19" spans="1:19" ht="34.5" customHeight="1">
      <c r="A19" s="91">
        <v>4</v>
      </c>
      <c r="B19" s="136" t="s">
        <v>39</v>
      </c>
      <c r="C19" s="136" t="s">
        <v>40</v>
      </c>
      <c r="D19" s="137">
        <v>321</v>
      </c>
      <c r="E19" s="138"/>
      <c r="F19" s="139"/>
      <c r="G19" s="139"/>
      <c r="H19" s="131">
        <v>0</v>
      </c>
      <c r="I19" s="131">
        <v>0</v>
      </c>
      <c r="J19" s="132">
        <v>0</v>
      </c>
      <c r="K19" s="133"/>
      <c r="L19" s="134"/>
      <c r="M19" s="140">
        <v>0</v>
      </c>
      <c r="N19" s="141" t="s">
        <v>41</v>
      </c>
      <c r="O19" s="91">
        <v>1</v>
      </c>
      <c r="P19" s="91">
        <v>1</v>
      </c>
      <c r="Q19" s="97">
        <f t="shared" si="5"/>
        <v>300</v>
      </c>
      <c r="R19" s="104">
        <f t="shared" si="6"/>
        <v>21</v>
      </c>
      <c r="S19" s="90">
        <f t="shared" si="7"/>
        <v>321</v>
      </c>
    </row>
    <row r="20" spans="1:19" ht="34.5" customHeight="1">
      <c r="A20" s="91">
        <v>5</v>
      </c>
      <c r="B20" s="127" t="s">
        <v>42</v>
      </c>
      <c r="C20" s="142" t="s">
        <v>43</v>
      </c>
      <c r="D20" s="137">
        <v>321</v>
      </c>
      <c r="E20" s="129"/>
      <c r="F20" s="130"/>
      <c r="G20" s="130"/>
      <c r="H20" s="131">
        <v>0</v>
      </c>
      <c r="I20" s="131">
        <v>0</v>
      </c>
      <c r="J20" s="132">
        <v>0</v>
      </c>
      <c r="K20" s="143">
        <v>46212</v>
      </c>
      <c r="L20" s="144" t="s">
        <v>44</v>
      </c>
      <c r="M20" s="140">
        <v>963</v>
      </c>
      <c r="N20" s="42"/>
      <c r="O20" s="91"/>
      <c r="P20" s="91"/>
      <c r="Q20" s="97">
        <f t="shared" si="5"/>
        <v>-600</v>
      </c>
      <c r="R20" s="104">
        <f t="shared" si="6"/>
        <v>-42</v>
      </c>
      <c r="S20" s="90">
        <f t="shared" si="7"/>
        <v>-642</v>
      </c>
    </row>
    <row r="21" spans="1:19" ht="34.5" customHeight="1">
      <c r="A21" s="91">
        <v>6</v>
      </c>
      <c r="B21" s="127" t="s">
        <v>45</v>
      </c>
      <c r="C21" s="127" t="s">
        <v>46</v>
      </c>
      <c r="D21" s="137">
        <v>321</v>
      </c>
      <c r="E21" s="129"/>
      <c r="F21" s="130"/>
      <c r="G21" s="130"/>
      <c r="H21" s="131">
        <v>0</v>
      </c>
      <c r="I21" s="131">
        <v>0</v>
      </c>
      <c r="J21" s="132">
        <v>0</v>
      </c>
      <c r="K21" s="143">
        <v>46217</v>
      </c>
      <c r="L21" s="144" t="s">
        <v>47</v>
      </c>
      <c r="M21" s="140">
        <v>963</v>
      </c>
      <c r="N21" s="141"/>
      <c r="O21" s="91"/>
      <c r="P21" s="91"/>
      <c r="Q21" s="97">
        <f t="shared" si="5"/>
        <v>-600</v>
      </c>
      <c r="R21" s="104">
        <f t="shared" si="6"/>
        <v>-42</v>
      </c>
      <c r="S21" s="90">
        <f t="shared" si="7"/>
        <v>-642</v>
      </c>
    </row>
    <row r="22" spans="1:19" ht="34.5" customHeight="1">
      <c r="A22" s="91">
        <v>7</v>
      </c>
      <c r="B22" s="145" t="s">
        <v>48</v>
      </c>
      <c r="C22" s="145" t="s">
        <v>49</v>
      </c>
      <c r="D22" s="146">
        <v>963</v>
      </c>
      <c r="E22" s="129"/>
      <c r="F22" s="130"/>
      <c r="G22" s="130"/>
      <c r="H22" s="131">
        <v>-900</v>
      </c>
      <c r="I22" s="131">
        <v>-63</v>
      </c>
      <c r="J22" s="132">
        <v>-963</v>
      </c>
      <c r="K22" s="143"/>
      <c r="L22" s="144"/>
      <c r="M22" s="140">
        <v>0</v>
      </c>
      <c r="N22" s="141"/>
      <c r="O22" s="147"/>
      <c r="P22" s="147"/>
      <c r="Q22" s="97">
        <f t="shared" si="5"/>
        <v>0</v>
      </c>
      <c r="R22" s="104">
        <f t="shared" si="6"/>
        <v>0</v>
      </c>
      <c r="S22" s="90">
        <f t="shared" si="7"/>
        <v>0</v>
      </c>
    </row>
    <row r="23" spans="1:19" ht="34.5" customHeight="1">
      <c r="A23" s="91">
        <v>8</v>
      </c>
      <c r="B23" s="145" t="s">
        <v>50</v>
      </c>
      <c r="C23" s="145" t="s">
        <v>51</v>
      </c>
      <c r="D23" s="148">
        <v>321</v>
      </c>
      <c r="E23" s="129"/>
      <c r="F23" s="130"/>
      <c r="G23" s="130"/>
      <c r="H23" s="131">
        <v>0</v>
      </c>
      <c r="I23" s="131">
        <v>0</v>
      </c>
      <c r="J23" s="132">
        <v>0</v>
      </c>
      <c r="K23" s="133">
        <v>46216</v>
      </c>
      <c r="L23" s="134" t="s">
        <v>52</v>
      </c>
      <c r="M23" s="135">
        <v>321</v>
      </c>
      <c r="N23" s="149"/>
      <c r="O23" s="147"/>
      <c r="P23" s="147"/>
      <c r="Q23" s="97">
        <f t="shared" si="5"/>
        <v>0</v>
      </c>
      <c r="R23" s="104">
        <f t="shared" si="6"/>
        <v>0</v>
      </c>
      <c r="S23" s="90">
        <f t="shared" si="7"/>
        <v>0</v>
      </c>
    </row>
    <row r="24" spans="1:19" ht="34.5" customHeight="1">
      <c r="A24" s="91">
        <v>9</v>
      </c>
      <c r="B24" s="145" t="s">
        <v>53</v>
      </c>
      <c r="C24" s="145" t="s">
        <v>54</v>
      </c>
      <c r="D24" s="148">
        <v>321</v>
      </c>
      <c r="E24" s="129"/>
      <c r="F24" s="130"/>
      <c r="G24" s="130"/>
      <c r="H24" s="131">
        <v>0</v>
      </c>
      <c r="I24" s="131">
        <v>0</v>
      </c>
      <c r="J24" s="132">
        <v>0</v>
      </c>
      <c r="K24" s="133">
        <v>46216</v>
      </c>
      <c r="L24" s="134" t="s">
        <v>55</v>
      </c>
      <c r="M24" s="135">
        <v>321</v>
      </c>
      <c r="N24" s="149"/>
      <c r="O24" s="147"/>
      <c r="P24" s="147"/>
      <c r="Q24" s="97">
        <f t="shared" si="5"/>
        <v>0</v>
      </c>
      <c r="R24" s="104">
        <f t="shared" si="6"/>
        <v>0</v>
      </c>
      <c r="S24" s="90">
        <f t="shared" si="7"/>
        <v>0</v>
      </c>
    </row>
    <row r="25" spans="1:19" ht="34.5" customHeight="1">
      <c r="A25" s="91">
        <v>10</v>
      </c>
      <c r="B25" s="136" t="s">
        <v>56</v>
      </c>
      <c r="C25" s="127" t="s">
        <v>57</v>
      </c>
      <c r="D25" s="137">
        <v>321</v>
      </c>
      <c r="E25" s="129"/>
      <c r="F25" s="130"/>
      <c r="G25" s="130"/>
      <c r="H25" s="131">
        <v>0</v>
      </c>
      <c r="I25" s="131">
        <v>0</v>
      </c>
      <c r="J25" s="132">
        <v>0</v>
      </c>
      <c r="K25" s="143">
        <v>46204</v>
      </c>
      <c r="L25" s="144" t="s">
        <v>58</v>
      </c>
      <c r="M25" s="140">
        <v>321</v>
      </c>
      <c r="N25" s="42"/>
      <c r="O25" s="91"/>
      <c r="P25" s="91"/>
      <c r="Q25" s="97">
        <f t="shared" si="5"/>
        <v>0</v>
      </c>
      <c r="R25" s="104">
        <f t="shared" si="6"/>
        <v>0</v>
      </c>
      <c r="S25" s="90">
        <f t="shared" si="7"/>
        <v>0</v>
      </c>
    </row>
    <row r="26" spans="1:19" ht="34.5" customHeight="1">
      <c r="A26" s="91">
        <v>11</v>
      </c>
      <c r="B26" s="145" t="s">
        <v>59</v>
      </c>
      <c r="C26" s="145" t="s">
        <v>60</v>
      </c>
      <c r="D26" s="148">
        <v>642</v>
      </c>
      <c r="E26" s="129"/>
      <c r="F26" s="130"/>
      <c r="G26" s="130"/>
      <c r="H26" s="131">
        <v>0</v>
      </c>
      <c r="I26" s="131">
        <v>0</v>
      </c>
      <c r="J26" s="132">
        <v>0</v>
      </c>
      <c r="K26" s="133">
        <v>46227</v>
      </c>
      <c r="L26" s="134" t="s">
        <v>61</v>
      </c>
      <c r="M26" s="135">
        <v>642</v>
      </c>
      <c r="N26" s="149"/>
      <c r="O26" s="147"/>
      <c r="P26" s="147"/>
      <c r="Q26" s="97">
        <f t="shared" si="5"/>
        <v>0</v>
      </c>
      <c r="R26" s="104">
        <f t="shared" si="6"/>
        <v>0</v>
      </c>
      <c r="S26" s="90">
        <f t="shared" si="7"/>
        <v>0</v>
      </c>
    </row>
    <row r="27" spans="1:19" ht="34.5" customHeight="1">
      <c r="A27" s="91">
        <v>12</v>
      </c>
      <c r="B27" s="127" t="s">
        <v>62</v>
      </c>
      <c r="C27" s="127" t="s">
        <v>63</v>
      </c>
      <c r="D27" s="128">
        <v>963</v>
      </c>
      <c r="E27" s="129"/>
      <c r="F27" s="130"/>
      <c r="G27" s="130"/>
      <c r="H27" s="131">
        <v>0</v>
      </c>
      <c r="I27" s="131">
        <v>0</v>
      </c>
      <c r="J27" s="132">
        <v>0</v>
      </c>
      <c r="K27" s="133">
        <v>46217</v>
      </c>
      <c r="L27" s="134" t="s">
        <v>64</v>
      </c>
      <c r="M27" s="135">
        <v>963</v>
      </c>
      <c r="N27" s="149"/>
      <c r="O27" s="91"/>
      <c r="P27" s="91"/>
      <c r="Q27" s="97">
        <f t="shared" si="5"/>
        <v>0</v>
      </c>
      <c r="R27" s="104">
        <f t="shared" si="6"/>
        <v>0</v>
      </c>
      <c r="S27" s="90">
        <f t="shared" si="7"/>
        <v>0</v>
      </c>
    </row>
    <row r="28" spans="1:19" ht="34.5" customHeight="1">
      <c r="A28" s="91">
        <v>13</v>
      </c>
      <c r="B28" s="127" t="s">
        <v>65</v>
      </c>
      <c r="C28" s="127" t="s">
        <v>66</v>
      </c>
      <c r="D28" s="128">
        <v>963</v>
      </c>
      <c r="E28" s="129" t="s">
        <v>67</v>
      </c>
      <c r="F28" s="130">
        <v>1</v>
      </c>
      <c r="G28" s="130">
        <v>1</v>
      </c>
      <c r="H28" s="131">
        <v>900</v>
      </c>
      <c r="I28" s="131">
        <v>63</v>
      </c>
      <c r="J28" s="132">
        <v>963</v>
      </c>
      <c r="K28" s="133" t="s">
        <v>68</v>
      </c>
      <c r="L28" s="134" t="s">
        <v>69</v>
      </c>
      <c r="M28" s="135">
        <v>1926</v>
      </c>
      <c r="N28" s="149"/>
      <c r="O28" s="91"/>
      <c r="P28" s="91"/>
      <c r="Q28" s="97">
        <f t="shared" si="5"/>
        <v>0</v>
      </c>
      <c r="R28" s="104">
        <f t="shared" si="6"/>
        <v>0</v>
      </c>
      <c r="S28" s="90">
        <f t="shared" si="7"/>
        <v>0</v>
      </c>
    </row>
    <row r="29" spans="1:19" ht="34.5" customHeight="1">
      <c r="A29" s="91">
        <v>14</v>
      </c>
      <c r="B29" s="127" t="s">
        <v>70</v>
      </c>
      <c r="C29" s="127" t="s">
        <v>63</v>
      </c>
      <c r="D29" s="128">
        <v>963</v>
      </c>
      <c r="E29" s="129"/>
      <c r="F29" s="130"/>
      <c r="G29" s="130"/>
      <c r="H29" s="131">
        <v>0</v>
      </c>
      <c r="I29" s="131">
        <v>0</v>
      </c>
      <c r="J29" s="132">
        <v>0</v>
      </c>
      <c r="K29" s="133">
        <v>46230</v>
      </c>
      <c r="L29" s="134" t="s">
        <v>71</v>
      </c>
      <c r="M29" s="135">
        <v>963</v>
      </c>
      <c r="N29" s="149"/>
      <c r="O29" s="91"/>
      <c r="P29" s="91"/>
      <c r="Q29" s="97">
        <f t="shared" si="5"/>
        <v>0</v>
      </c>
      <c r="R29" s="104">
        <f t="shared" si="6"/>
        <v>0</v>
      </c>
      <c r="S29" s="90">
        <f t="shared" si="7"/>
        <v>0</v>
      </c>
    </row>
    <row r="30" spans="1:19" ht="34.5" customHeight="1">
      <c r="A30" s="91">
        <v>15</v>
      </c>
      <c r="B30" s="127" t="s">
        <v>72</v>
      </c>
      <c r="C30" s="127" t="s">
        <v>73</v>
      </c>
      <c r="D30" s="128">
        <v>3145.8</v>
      </c>
      <c r="E30" s="129" t="s">
        <v>74</v>
      </c>
      <c r="F30" s="130">
        <v>1</v>
      </c>
      <c r="G30" s="130">
        <v>1</v>
      </c>
      <c r="H30" s="131">
        <v>1960</v>
      </c>
      <c r="I30" s="131">
        <v>137.19999999999999</v>
      </c>
      <c r="J30" s="132">
        <v>2097.1999999999998</v>
      </c>
      <c r="K30" s="133">
        <v>46227</v>
      </c>
      <c r="L30" s="134" t="s">
        <v>75</v>
      </c>
      <c r="M30" s="135">
        <v>2097.1999999999998</v>
      </c>
      <c r="N30" s="150" t="s">
        <v>76</v>
      </c>
      <c r="O30" s="151">
        <v>1</v>
      </c>
      <c r="P30" s="151">
        <v>1</v>
      </c>
      <c r="Q30" s="97">
        <f t="shared" si="5"/>
        <v>2940</v>
      </c>
      <c r="R30" s="104">
        <f t="shared" si="6"/>
        <v>205.8</v>
      </c>
      <c r="S30" s="90">
        <f t="shared" si="7"/>
        <v>3145.8</v>
      </c>
    </row>
    <row r="31" spans="1:19" ht="34.5" customHeight="1">
      <c r="A31" s="43"/>
      <c r="B31" s="152" t="s">
        <v>77</v>
      </c>
      <c r="C31" s="153"/>
      <c r="D31" s="154"/>
      <c r="E31" s="155"/>
      <c r="F31" s="156"/>
      <c r="G31" s="156"/>
      <c r="H31" s="157"/>
      <c r="I31" s="157"/>
      <c r="J31" s="158"/>
      <c r="K31" s="159"/>
      <c r="L31" s="160"/>
      <c r="M31" s="161"/>
      <c r="N31" s="162"/>
      <c r="O31" s="30"/>
      <c r="P31" s="30"/>
      <c r="Q31" s="112"/>
      <c r="R31" s="119"/>
      <c r="S31" s="163"/>
    </row>
    <row r="32" spans="1:19" ht="34.5" customHeight="1" thickBot="1">
      <c r="A32" s="120"/>
      <c r="B32" s="121" t="s">
        <v>19</v>
      </c>
      <c r="C32" s="122"/>
      <c r="D32" s="123">
        <f>SUM(D16:D30)</f>
        <v>10528.8</v>
      </c>
      <c r="E32" s="124"/>
      <c r="F32" s="123"/>
      <c r="G32" s="123"/>
      <c r="H32" s="125">
        <f>SUM(H16:H30)-H20-H21-H22-H19</f>
        <v>2860</v>
      </c>
      <c r="I32" s="125">
        <f t="shared" ref="I32:J32" si="8">SUM(I16:I30)-I20-I21-I22-I19</f>
        <v>200.2</v>
      </c>
      <c r="J32" s="125">
        <f t="shared" si="8"/>
        <v>3060.2</v>
      </c>
      <c r="K32" s="124"/>
      <c r="L32" s="124"/>
      <c r="M32" s="123">
        <f>SUM(M16:M30)</f>
        <v>10443.200000000001</v>
      </c>
      <c r="N32" s="164"/>
      <c r="O32" s="123"/>
      <c r="P32" s="123"/>
      <c r="Q32" s="125">
        <f>SUM(Q16:Q30)-Q22-Q20-Q21</f>
        <v>3240</v>
      </c>
      <c r="R32" s="125">
        <f t="shared" ref="R32:S32" si="9">SUM(R16:R30)-R22-R20-R21</f>
        <v>226.8</v>
      </c>
      <c r="S32" s="125">
        <f t="shared" si="9"/>
        <v>3466.8</v>
      </c>
    </row>
    <row r="33" spans="1:27" ht="34.5" customHeight="1" thickTop="1">
      <c r="A33" s="53"/>
      <c r="B33" s="76" t="s">
        <v>78</v>
      </c>
      <c r="C33" s="77"/>
      <c r="D33" s="78"/>
      <c r="E33" s="79"/>
      <c r="F33" s="78"/>
      <c r="G33" s="80"/>
      <c r="H33" s="81"/>
      <c r="I33" s="81"/>
      <c r="J33" s="81"/>
      <c r="K33" s="82"/>
      <c r="L33" s="83"/>
      <c r="M33" s="84"/>
      <c r="N33" s="85"/>
      <c r="O33" s="86"/>
      <c r="P33" s="87"/>
      <c r="Q33" s="88"/>
      <c r="R33" s="89"/>
      <c r="S33" s="90"/>
    </row>
    <row r="34" spans="1:27" ht="34.5" customHeight="1">
      <c r="A34" s="165">
        <v>1</v>
      </c>
      <c r="B34" s="166" t="s">
        <v>79</v>
      </c>
      <c r="C34" s="167" t="s">
        <v>80</v>
      </c>
      <c r="D34" s="168">
        <v>36844.39</v>
      </c>
      <c r="E34" s="169" t="s">
        <v>24</v>
      </c>
      <c r="F34" s="103">
        <v>1</v>
      </c>
      <c r="G34" s="147">
        <v>1</v>
      </c>
      <c r="H34" s="96">
        <v>13702.5</v>
      </c>
      <c r="I34" s="97">
        <v>959.18</v>
      </c>
      <c r="J34" s="98">
        <v>14661.68</v>
      </c>
      <c r="K34" s="143" t="s">
        <v>81</v>
      </c>
      <c r="L34" s="144" t="s">
        <v>82</v>
      </c>
      <c r="M34" s="170">
        <v>36680.68</v>
      </c>
      <c r="N34" s="171" t="s">
        <v>27</v>
      </c>
      <c r="O34" s="172">
        <v>1</v>
      </c>
      <c r="P34" s="151">
        <v>1</v>
      </c>
      <c r="Q34" s="97">
        <f t="shared" ref="Q34:Q46" si="10">ROUND(S34*100/107,2)</f>
        <v>13855.5</v>
      </c>
      <c r="R34" s="104">
        <f t="shared" ref="R34:R46" si="11">ROUND((Q34*0.07),2)</f>
        <v>969.89</v>
      </c>
      <c r="S34" s="90">
        <f>+D34+J34-M34</f>
        <v>14825.39</v>
      </c>
      <c r="T34" s="173" t="s">
        <v>83</v>
      </c>
      <c r="U34" s="174"/>
      <c r="V34" s="174"/>
      <c r="W34" s="174"/>
      <c r="X34" s="174"/>
      <c r="Y34" s="174"/>
      <c r="Z34" s="174"/>
      <c r="AA34" s="175"/>
    </row>
    <row r="35" spans="1:27" ht="34.5" customHeight="1">
      <c r="A35" s="165">
        <v>2</v>
      </c>
      <c r="B35" s="166" t="s">
        <v>84</v>
      </c>
      <c r="C35" s="167" t="s">
        <v>80</v>
      </c>
      <c r="D35" s="168">
        <v>22064.74</v>
      </c>
      <c r="E35" s="169" t="s">
        <v>24</v>
      </c>
      <c r="F35" s="103">
        <v>1</v>
      </c>
      <c r="G35" s="147">
        <v>1</v>
      </c>
      <c r="H35" s="96">
        <v>7263</v>
      </c>
      <c r="I35" s="97">
        <v>508.41</v>
      </c>
      <c r="J35" s="98">
        <v>7771.41</v>
      </c>
      <c r="K35" s="143" t="s">
        <v>85</v>
      </c>
      <c r="L35" s="144" t="s">
        <v>86</v>
      </c>
      <c r="M35" s="170">
        <v>21903.440000000002</v>
      </c>
      <c r="N35" s="171" t="s">
        <v>27</v>
      </c>
      <c r="O35" s="172">
        <v>1</v>
      </c>
      <c r="P35" s="151">
        <v>1</v>
      </c>
      <c r="Q35" s="97">
        <f>ROUND(S35*100/107,2)</f>
        <v>7413.75</v>
      </c>
      <c r="R35" s="104">
        <f t="shared" si="11"/>
        <v>518.96</v>
      </c>
      <c r="S35" s="90">
        <f>+D35+J35-M35</f>
        <v>7932.7099999999991</v>
      </c>
    </row>
    <row r="36" spans="1:27" ht="34.5" customHeight="1">
      <c r="A36" s="165">
        <v>3</v>
      </c>
      <c r="B36" s="166" t="s">
        <v>87</v>
      </c>
      <c r="C36" s="167" t="s">
        <v>80</v>
      </c>
      <c r="D36" s="168">
        <v>3245.3100000000004</v>
      </c>
      <c r="E36" s="169" t="s">
        <v>24</v>
      </c>
      <c r="F36" s="103">
        <v>1</v>
      </c>
      <c r="G36" s="147">
        <v>1</v>
      </c>
      <c r="H36" s="96">
        <v>1262.25</v>
      </c>
      <c r="I36" s="97">
        <v>88.36</v>
      </c>
      <c r="J36" s="98">
        <v>1350.6099999999997</v>
      </c>
      <c r="K36" s="143" t="s">
        <v>88</v>
      </c>
      <c r="L36" s="144" t="s">
        <v>89</v>
      </c>
      <c r="M36" s="170">
        <v>3344.02</v>
      </c>
      <c r="N36" s="171" t="s">
        <v>27</v>
      </c>
      <c r="O36" s="172">
        <v>1</v>
      </c>
      <c r="P36" s="151">
        <v>1</v>
      </c>
      <c r="Q36" s="97">
        <f t="shared" si="10"/>
        <v>1170</v>
      </c>
      <c r="R36" s="104">
        <f t="shared" si="11"/>
        <v>81.900000000000006</v>
      </c>
      <c r="S36" s="90">
        <f>+D36+J36-M36</f>
        <v>1251.9000000000001</v>
      </c>
    </row>
    <row r="37" spans="1:27" ht="34.5" customHeight="1">
      <c r="A37" s="165">
        <v>4</v>
      </c>
      <c r="B37" s="176" t="s">
        <v>90</v>
      </c>
      <c r="C37" s="177" t="s">
        <v>80</v>
      </c>
      <c r="D37" s="168">
        <v>544.1</v>
      </c>
      <c r="E37" s="169" t="s">
        <v>74</v>
      </c>
      <c r="F37" s="103">
        <v>1</v>
      </c>
      <c r="G37" s="147">
        <v>1</v>
      </c>
      <c r="H37" s="96">
        <v>423</v>
      </c>
      <c r="I37" s="97">
        <v>29.61</v>
      </c>
      <c r="J37" s="98">
        <v>452.61</v>
      </c>
      <c r="K37" s="143">
        <v>46226</v>
      </c>
      <c r="L37" s="144" t="s">
        <v>91</v>
      </c>
      <c r="M37" s="170">
        <v>452.61</v>
      </c>
      <c r="N37" s="171" t="s">
        <v>76</v>
      </c>
      <c r="O37" s="172">
        <v>1</v>
      </c>
      <c r="P37" s="151">
        <v>1</v>
      </c>
      <c r="Q37" s="97">
        <f t="shared" si="10"/>
        <v>508.5</v>
      </c>
      <c r="R37" s="104">
        <f t="shared" si="11"/>
        <v>35.6</v>
      </c>
      <c r="S37" s="90">
        <f t="shared" ref="S37:S46" si="12">+D37+J37-M37</f>
        <v>544.1</v>
      </c>
    </row>
    <row r="38" spans="1:27" ht="34.5" customHeight="1">
      <c r="A38" s="165">
        <v>5</v>
      </c>
      <c r="B38" s="176" t="s">
        <v>92</v>
      </c>
      <c r="C38" s="177" t="s">
        <v>80</v>
      </c>
      <c r="D38" s="168">
        <v>0</v>
      </c>
      <c r="E38" s="169"/>
      <c r="F38" s="103"/>
      <c r="G38" s="147"/>
      <c r="H38" s="96">
        <v>0</v>
      </c>
      <c r="I38" s="97">
        <v>0</v>
      </c>
      <c r="J38" s="98">
        <v>0</v>
      </c>
      <c r="K38" s="143"/>
      <c r="L38" s="144"/>
      <c r="M38" s="170">
        <v>0</v>
      </c>
      <c r="N38" s="129"/>
      <c r="O38" s="103"/>
      <c r="P38" s="91"/>
      <c r="Q38" s="97">
        <f t="shared" si="10"/>
        <v>0</v>
      </c>
      <c r="R38" s="104">
        <f t="shared" si="11"/>
        <v>0</v>
      </c>
      <c r="S38" s="90">
        <f t="shared" si="12"/>
        <v>0</v>
      </c>
    </row>
    <row r="39" spans="1:27" ht="34.5" customHeight="1">
      <c r="A39" s="165">
        <v>6</v>
      </c>
      <c r="B39" s="166" t="s">
        <v>93</v>
      </c>
      <c r="C39" s="177" t="s">
        <v>80</v>
      </c>
      <c r="D39" s="168">
        <v>2585.66</v>
      </c>
      <c r="E39" s="169" t="s">
        <v>74</v>
      </c>
      <c r="F39" s="103">
        <v>1</v>
      </c>
      <c r="G39" s="91">
        <v>1</v>
      </c>
      <c r="H39" s="178">
        <v>2376</v>
      </c>
      <c r="I39" s="97">
        <v>166.32</v>
      </c>
      <c r="J39" s="98">
        <v>2542.3199999999997</v>
      </c>
      <c r="K39" s="143">
        <v>46230</v>
      </c>
      <c r="L39" s="144" t="s">
        <v>94</v>
      </c>
      <c r="M39" s="170">
        <v>2542.3200000000002</v>
      </c>
      <c r="N39" s="171" t="s">
        <v>76</v>
      </c>
      <c r="O39" s="172">
        <v>1</v>
      </c>
      <c r="P39" s="151">
        <v>1</v>
      </c>
      <c r="Q39" s="97">
        <f>ROUND(S39*100/107,2)</f>
        <v>2416.5</v>
      </c>
      <c r="R39" s="104">
        <f t="shared" si="11"/>
        <v>169.16</v>
      </c>
      <c r="S39" s="90">
        <f>+D39+J39-M39</f>
        <v>2585.6599999999994</v>
      </c>
    </row>
    <row r="40" spans="1:27" ht="34.5" customHeight="1">
      <c r="A40" s="165">
        <v>7</v>
      </c>
      <c r="B40" s="176" t="s">
        <v>95</v>
      </c>
      <c r="C40" s="177" t="s">
        <v>80</v>
      </c>
      <c r="D40" s="168">
        <v>0</v>
      </c>
      <c r="E40" s="169" t="s">
        <v>74</v>
      </c>
      <c r="F40" s="103">
        <v>1</v>
      </c>
      <c r="G40" s="91">
        <v>1</v>
      </c>
      <c r="H40" s="178">
        <v>49.5</v>
      </c>
      <c r="I40" s="97">
        <v>3.47</v>
      </c>
      <c r="J40" s="98">
        <v>52.97</v>
      </c>
      <c r="K40" s="143">
        <v>46212</v>
      </c>
      <c r="L40" s="144" t="s">
        <v>96</v>
      </c>
      <c r="M40" s="170">
        <v>52.97</v>
      </c>
      <c r="N40" s="171"/>
      <c r="O40" s="172"/>
      <c r="P40" s="151"/>
      <c r="Q40" s="97">
        <f t="shared" si="10"/>
        <v>0</v>
      </c>
      <c r="R40" s="104">
        <f t="shared" si="11"/>
        <v>0</v>
      </c>
      <c r="S40" s="90">
        <f t="shared" si="12"/>
        <v>0</v>
      </c>
    </row>
    <row r="41" spans="1:27" ht="34.5" customHeight="1">
      <c r="A41" s="165">
        <v>8</v>
      </c>
      <c r="B41" s="176" t="s">
        <v>97</v>
      </c>
      <c r="C41" s="177" t="s">
        <v>80</v>
      </c>
      <c r="D41" s="168">
        <v>392.42</v>
      </c>
      <c r="E41" s="169" t="s">
        <v>74</v>
      </c>
      <c r="F41" s="103">
        <v>1</v>
      </c>
      <c r="G41" s="91">
        <v>1</v>
      </c>
      <c r="H41" s="178">
        <v>411.75</v>
      </c>
      <c r="I41" s="97">
        <v>28.82</v>
      </c>
      <c r="J41" s="98">
        <v>440.57</v>
      </c>
      <c r="K41" s="143">
        <v>46227</v>
      </c>
      <c r="L41" s="144" t="s">
        <v>98</v>
      </c>
      <c r="M41" s="170">
        <v>440.57</v>
      </c>
      <c r="N41" s="171" t="s">
        <v>76</v>
      </c>
      <c r="O41" s="172">
        <v>1</v>
      </c>
      <c r="P41" s="151">
        <v>1</v>
      </c>
      <c r="Q41" s="97">
        <f t="shared" si="10"/>
        <v>366.75</v>
      </c>
      <c r="R41" s="104">
        <f t="shared" si="11"/>
        <v>25.67</v>
      </c>
      <c r="S41" s="90">
        <f t="shared" si="12"/>
        <v>392.42</v>
      </c>
    </row>
    <row r="42" spans="1:27" ht="34.5" customHeight="1">
      <c r="A42" s="165">
        <v>9</v>
      </c>
      <c r="B42" s="166" t="s">
        <v>99</v>
      </c>
      <c r="C42" s="177" t="s">
        <v>80</v>
      </c>
      <c r="D42" s="168">
        <v>0</v>
      </c>
      <c r="E42" s="179" t="s">
        <v>74</v>
      </c>
      <c r="F42" s="180">
        <v>1</v>
      </c>
      <c r="G42" s="30">
        <v>1</v>
      </c>
      <c r="H42" s="58">
        <v>36</v>
      </c>
      <c r="I42" s="112">
        <v>2.52</v>
      </c>
      <c r="J42" s="113">
        <v>38.520000000000003</v>
      </c>
      <c r="K42" s="143">
        <v>46212</v>
      </c>
      <c r="L42" s="144" t="s">
        <v>100</v>
      </c>
      <c r="M42" s="170">
        <v>38.520000000000003</v>
      </c>
      <c r="N42" s="155"/>
      <c r="O42" s="180"/>
      <c r="P42" s="30"/>
      <c r="Q42" s="97">
        <f t="shared" si="10"/>
        <v>0</v>
      </c>
      <c r="R42" s="104">
        <f t="shared" si="11"/>
        <v>0</v>
      </c>
      <c r="S42" s="90">
        <f t="shared" si="12"/>
        <v>0</v>
      </c>
    </row>
    <row r="43" spans="1:27" ht="34.5" customHeight="1">
      <c r="A43" s="165">
        <v>10</v>
      </c>
      <c r="B43" s="181" t="s">
        <v>101</v>
      </c>
      <c r="C43" s="177" t="s">
        <v>80</v>
      </c>
      <c r="D43" s="168">
        <v>279.27</v>
      </c>
      <c r="E43" s="179" t="s">
        <v>74</v>
      </c>
      <c r="F43" s="180">
        <v>1</v>
      </c>
      <c r="G43" s="30">
        <v>1</v>
      </c>
      <c r="H43" s="58">
        <v>380.25</v>
      </c>
      <c r="I43" s="112">
        <v>26.62</v>
      </c>
      <c r="J43" s="113">
        <v>406.87000000000006</v>
      </c>
      <c r="K43" s="143">
        <v>46211</v>
      </c>
      <c r="L43" s="144" t="s">
        <v>102</v>
      </c>
      <c r="M43" s="170">
        <v>406.87</v>
      </c>
      <c r="N43" s="155" t="s">
        <v>76</v>
      </c>
      <c r="O43" s="180">
        <v>1</v>
      </c>
      <c r="P43" s="30">
        <v>1</v>
      </c>
      <c r="Q43" s="97">
        <f t="shared" si="10"/>
        <v>261</v>
      </c>
      <c r="R43" s="104">
        <f t="shared" si="11"/>
        <v>18.27</v>
      </c>
      <c r="S43" s="90">
        <f t="shared" si="12"/>
        <v>279.2700000000001</v>
      </c>
    </row>
    <row r="44" spans="1:27" ht="34.5" customHeight="1">
      <c r="A44" s="165">
        <v>11</v>
      </c>
      <c r="B44" s="182" t="s">
        <v>103</v>
      </c>
      <c r="C44" s="183" t="s">
        <v>80</v>
      </c>
      <c r="D44" s="168">
        <v>24710.58</v>
      </c>
      <c r="E44" s="179" t="s">
        <v>24</v>
      </c>
      <c r="F44" s="180">
        <v>1</v>
      </c>
      <c r="G44" s="30">
        <v>1</v>
      </c>
      <c r="H44" s="58">
        <v>8919</v>
      </c>
      <c r="I44" s="112">
        <v>624.33000000000004</v>
      </c>
      <c r="J44" s="113">
        <v>9543.33</v>
      </c>
      <c r="K44" s="143">
        <v>46216</v>
      </c>
      <c r="L44" s="144" t="s">
        <v>104</v>
      </c>
      <c r="M44" s="170">
        <v>9543.33</v>
      </c>
      <c r="N44" s="171" t="s">
        <v>76</v>
      </c>
      <c r="O44" s="172">
        <v>1</v>
      </c>
      <c r="P44" s="151">
        <v>1</v>
      </c>
      <c r="Q44" s="97">
        <f t="shared" si="10"/>
        <v>23094</v>
      </c>
      <c r="R44" s="104">
        <f t="shared" si="11"/>
        <v>1616.58</v>
      </c>
      <c r="S44" s="90">
        <f t="shared" si="12"/>
        <v>24710.58</v>
      </c>
      <c r="T44" s="2" t="s">
        <v>105</v>
      </c>
    </row>
    <row r="45" spans="1:27" ht="34.5" customHeight="1">
      <c r="A45" s="165">
        <v>12</v>
      </c>
      <c r="B45" s="182" t="s">
        <v>106</v>
      </c>
      <c r="C45" s="183" t="s">
        <v>80</v>
      </c>
      <c r="D45" s="184">
        <v>0</v>
      </c>
      <c r="E45" s="179"/>
      <c r="F45" s="180"/>
      <c r="G45" s="30"/>
      <c r="H45" s="58">
        <v>0</v>
      </c>
      <c r="I45" s="112">
        <v>0</v>
      </c>
      <c r="J45" s="113">
        <v>0</v>
      </c>
      <c r="K45" s="133"/>
      <c r="L45" s="134"/>
      <c r="M45" s="185"/>
      <c r="N45" s="155"/>
      <c r="O45" s="180"/>
      <c r="P45" s="30"/>
      <c r="Q45" s="97">
        <f t="shared" si="10"/>
        <v>0</v>
      </c>
      <c r="R45" s="104">
        <f t="shared" si="11"/>
        <v>0</v>
      </c>
      <c r="S45" s="90">
        <f t="shared" si="12"/>
        <v>0</v>
      </c>
    </row>
    <row r="46" spans="1:27" ht="34.5" customHeight="1">
      <c r="A46" s="165">
        <v>13</v>
      </c>
      <c r="B46" s="182" t="s">
        <v>107</v>
      </c>
      <c r="C46" s="183" t="s">
        <v>80</v>
      </c>
      <c r="D46" s="184">
        <v>0</v>
      </c>
      <c r="E46" s="179"/>
      <c r="F46" s="180"/>
      <c r="G46" s="30"/>
      <c r="H46" s="58">
        <v>0</v>
      </c>
      <c r="I46" s="112">
        <v>0</v>
      </c>
      <c r="J46" s="113">
        <v>0</v>
      </c>
      <c r="K46" s="133"/>
      <c r="L46" s="134"/>
      <c r="M46" s="185"/>
      <c r="N46" s="155"/>
      <c r="O46" s="180"/>
      <c r="P46" s="30"/>
      <c r="Q46" s="97">
        <f t="shared" si="10"/>
        <v>0</v>
      </c>
      <c r="R46" s="104">
        <f t="shared" si="11"/>
        <v>0</v>
      </c>
      <c r="S46" s="90">
        <f t="shared" si="12"/>
        <v>0</v>
      </c>
    </row>
    <row r="47" spans="1:27" ht="34.5" customHeight="1" thickBot="1">
      <c r="A47" s="120"/>
      <c r="B47" s="121" t="s">
        <v>19</v>
      </c>
      <c r="C47" s="122"/>
      <c r="D47" s="186">
        <f>SUM(D34:D46)</f>
        <v>90666.47</v>
      </c>
      <c r="E47" s="124"/>
      <c r="F47" s="123"/>
      <c r="G47" s="123"/>
      <c r="H47" s="125">
        <f>SUM(H34:H46)</f>
        <v>34823.25</v>
      </c>
      <c r="I47" s="125">
        <f t="shared" ref="I47" si="13">SUM(I34:I45)</f>
        <v>2437.6399999999994</v>
      </c>
      <c r="J47" s="125">
        <f>SUM(J34:J45)</f>
        <v>37260.89</v>
      </c>
      <c r="K47" s="124"/>
      <c r="L47" s="124"/>
      <c r="M47" s="123">
        <f>SUM(M34:M46)</f>
        <v>75405.33</v>
      </c>
      <c r="N47" s="164"/>
      <c r="O47" s="123"/>
      <c r="P47" s="123"/>
      <c r="Q47" s="125">
        <f>SUM(Q34:Q46)</f>
        <v>49086</v>
      </c>
      <c r="R47" s="125">
        <f>SUM(R34:R46)</f>
        <v>3436.0299999999997</v>
      </c>
      <c r="S47" s="125">
        <f>SUM(S34:S46)</f>
        <v>52522.03</v>
      </c>
    </row>
    <row r="48" spans="1:27" ht="34.5" customHeight="1" thickTop="1">
      <c r="A48" s="53"/>
      <c r="B48" s="76" t="s">
        <v>108</v>
      </c>
      <c r="C48" s="77"/>
      <c r="D48" s="78"/>
      <c r="E48" s="79"/>
      <c r="F48" s="78"/>
      <c r="G48" s="80"/>
      <c r="H48" s="81"/>
      <c r="I48" s="81"/>
      <c r="J48" s="81"/>
      <c r="K48" s="82"/>
      <c r="L48" s="83"/>
      <c r="M48" s="84"/>
      <c r="N48" s="85"/>
      <c r="O48" s="86"/>
      <c r="P48" s="87"/>
      <c r="Q48" s="88"/>
      <c r="R48" s="89"/>
      <c r="S48" s="90"/>
    </row>
    <row r="49" spans="1:20" ht="34.5" customHeight="1">
      <c r="A49" s="53">
        <v>1</v>
      </c>
      <c r="B49" s="54" t="s">
        <v>109</v>
      </c>
      <c r="C49" s="55"/>
      <c r="D49" s="56"/>
      <c r="E49" s="57"/>
      <c r="F49" s="56"/>
      <c r="G49" s="56"/>
      <c r="H49" s="58"/>
      <c r="I49" s="58"/>
      <c r="J49" s="58"/>
      <c r="K49" s="187"/>
      <c r="L49" s="188"/>
      <c r="M49" s="189"/>
      <c r="N49" s="62"/>
      <c r="O49" s="30"/>
      <c r="P49" s="63"/>
      <c r="Q49" s="64"/>
      <c r="R49" s="190"/>
      <c r="S49" s="90"/>
    </row>
    <row r="50" spans="1:20" ht="34.5" customHeight="1" thickBot="1">
      <c r="A50" s="120"/>
      <c r="B50" s="121" t="s">
        <v>19</v>
      </c>
      <c r="C50" s="191"/>
      <c r="D50" s="123">
        <v>0</v>
      </c>
      <c r="E50" s="124"/>
      <c r="F50" s="123"/>
      <c r="G50" s="123"/>
      <c r="H50" s="125">
        <v>0</v>
      </c>
      <c r="I50" s="125">
        <v>0</v>
      </c>
      <c r="J50" s="125">
        <v>0</v>
      </c>
      <c r="K50" s="192"/>
      <c r="L50" s="124"/>
      <c r="M50" s="123">
        <v>0</v>
      </c>
      <c r="N50" s="164"/>
      <c r="O50" s="123"/>
      <c r="P50" s="123"/>
      <c r="Q50" s="125">
        <v>0</v>
      </c>
      <c r="R50" s="193">
        <v>0</v>
      </c>
      <c r="S50" s="194">
        <v>0</v>
      </c>
    </row>
    <row r="51" spans="1:20" ht="34.5" customHeight="1" thickTop="1">
      <c r="A51" s="53"/>
      <c r="B51" s="76" t="s">
        <v>110</v>
      </c>
      <c r="C51" s="77"/>
      <c r="D51" s="78"/>
      <c r="E51" s="79"/>
      <c r="F51" s="78"/>
      <c r="G51" s="80"/>
      <c r="H51" s="81"/>
      <c r="I51" s="81"/>
      <c r="J51" s="81"/>
      <c r="K51" s="82"/>
      <c r="L51" s="83"/>
      <c r="M51" s="84"/>
      <c r="N51" s="85"/>
      <c r="O51" s="86"/>
      <c r="P51" s="87"/>
      <c r="Q51" s="88"/>
      <c r="R51" s="89"/>
      <c r="S51" s="90"/>
    </row>
    <row r="52" spans="1:20" ht="34.5" customHeight="1">
      <c r="A52" s="53">
        <v>1</v>
      </c>
      <c r="B52" s="195" t="s">
        <v>22</v>
      </c>
      <c r="C52" s="196" t="s">
        <v>111</v>
      </c>
      <c r="D52" s="197">
        <v>8912.4599999999991</v>
      </c>
      <c r="E52" s="198" t="s">
        <v>24</v>
      </c>
      <c r="F52" s="43">
        <v>1</v>
      </c>
      <c r="G52" s="199">
        <v>1</v>
      </c>
      <c r="H52" s="200">
        <v>3184.6</v>
      </c>
      <c r="I52" s="97">
        <v>222.92</v>
      </c>
      <c r="J52" s="98">
        <v>3407.52</v>
      </c>
      <c r="K52" s="133" t="s">
        <v>25</v>
      </c>
      <c r="L52" s="134" t="s">
        <v>112</v>
      </c>
      <c r="M52" s="201">
        <v>9022.67</v>
      </c>
      <c r="N52" s="202" t="s">
        <v>27</v>
      </c>
      <c r="O52" s="43">
        <v>1</v>
      </c>
      <c r="P52" s="44">
        <v>1</v>
      </c>
      <c r="Q52" s="203">
        <f t="shared" ref="Q52:Q53" si="14">ROUND(S52*100/107,2)</f>
        <v>3081.6</v>
      </c>
      <c r="R52" s="204">
        <f t="shared" ref="R52:R53" si="15">ROUND((Q52*0.07),2)</f>
        <v>215.71</v>
      </c>
      <c r="S52" s="90">
        <f>+D52+J52-M52</f>
        <v>3297.3099999999995</v>
      </c>
      <c r="T52" s="205" t="s">
        <v>113</v>
      </c>
    </row>
    <row r="53" spans="1:20" ht="34.5" customHeight="1">
      <c r="A53" s="53">
        <v>2</v>
      </c>
      <c r="B53" s="92" t="s">
        <v>28</v>
      </c>
      <c r="C53" s="206" t="s">
        <v>111</v>
      </c>
      <c r="D53" s="207">
        <v>0</v>
      </c>
      <c r="E53" s="208"/>
      <c r="F53" s="91"/>
      <c r="G53" s="209"/>
      <c r="H53" s="210">
        <v>0</v>
      </c>
      <c r="I53" s="97">
        <v>0</v>
      </c>
      <c r="J53" s="98">
        <v>0</v>
      </c>
      <c r="K53" s="133"/>
      <c r="L53" s="134"/>
      <c r="M53" s="201"/>
      <c r="N53" s="202"/>
      <c r="O53" s="91"/>
      <c r="P53" s="211"/>
      <c r="Q53" s="203">
        <f t="shared" si="14"/>
        <v>0</v>
      </c>
      <c r="R53" s="204">
        <f t="shared" si="15"/>
        <v>0</v>
      </c>
      <c r="S53" s="90">
        <f>+D53+J53-M53</f>
        <v>0</v>
      </c>
    </row>
    <row r="54" spans="1:20" ht="34.5" customHeight="1" thickBot="1">
      <c r="A54" s="120"/>
      <c r="B54" s="121" t="s">
        <v>19</v>
      </c>
      <c r="C54" s="122"/>
      <c r="D54" s="123">
        <f>SUM(D52:D53)</f>
        <v>8912.4599999999991</v>
      </c>
      <c r="E54" s="124"/>
      <c r="F54" s="123"/>
      <c r="G54" s="123"/>
      <c r="H54" s="125">
        <f>SUM(H52:H53)</f>
        <v>3184.6</v>
      </c>
      <c r="I54" s="125">
        <f t="shared" ref="I54:J54" si="16">SUM(I52:I53)</f>
        <v>222.92</v>
      </c>
      <c r="J54" s="125">
        <f t="shared" si="16"/>
        <v>3407.52</v>
      </c>
      <c r="K54" s="124"/>
      <c r="L54" s="124"/>
      <c r="M54" s="123">
        <f>SUM(M52:M53)</f>
        <v>9022.67</v>
      </c>
      <c r="N54" s="164"/>
      <c r="O54" s="123"/>
      <c r="P54" s="123"/>
      <c r="Q54" s="125">
        <f>SUM(Q52:Q53)</f>
        <v>3081.6</v>
      </c>
      <c r="R54" s="193">
        <f>SUM(R52:R53)</f>
        <v>215.71</v>
      </c>
      <c r="S54" s="194">
        <f>SUM(S52:S53)</f>
        <v>3297.3099999999995</v>
      </c>
    </row>
    <row r="55" spans="1:20" ht="34.5" customHeight="1" thickTop="1">
      <c r="A55" s="53"/>
      <c r="B55" s="76" t="s">
        <v>114</v>
      </c>
      <c r="C55" s="77"/>
      <c r="D55" s="78"/>
      <c r="E55" s="79"/>
      <c r="F55" s="78"/>
      <c r="G55" s="80"/>
      <c r="H55" s="81"/>
      <c r="I55" s="81"/>
      <c r="J55" s="81"/>
      <c r="K55" s="82"/>
      <c r="L55" s="83"/>
      <c r="M55" s="84"/>
      <c r="N55" s="85"/>
      <c r="O55" s="86"/>
      <c r="P55" s="87"/>
      <c r="Q55" s="88"/>
      <c r="R55" s="89"/>
      <c r="S55" s="90"/>
    </row>
    <row r="56" spans="1:20" s="216" customFormat="1" ht="34.5" customHeight="1">
      <c r="A56" s="91">
        <v>1</v>
      </c>
      <c r="B56" s="206" t="s">
        <v>115</v>
      </c>
      <c r="C56" s="206" t="s">
        <v>116</v>
      </c>
      <c r="D56" s="212">
        <v>2000</v>
      </c>
      <c r="E56" s="95"/>
      <c r="F56" s="91"/>
      <c r="G56" s="147"/>
      <c r="H56" s="96">
        <v>0</v>
      </c>
      <c r="I56" s="97">
        <v>0</v>
      </c>
      <c r="J56" s="98">
        <v>0</v>
      </c>
      <c r="K56" s="213">
        <v>46234</v>
      </c>
      <c r="L56" s="214" t="s">
        <v>117</v>
      </c>
      <c r="M56" s="215">
        <v>2000</v>
      </c>
      <c r="N56" s="202"/>
      <c r="O56" s="103"/>
      <c r="P56" s="91"/>
      <c r="Q56" s="97">
        <f t="shared" ref="Q56:Q63" si="17">ROUND(S56*100/107,2)</f>
        <v>0</v>
      </c>
      <c r="R56" s="104">
        <f t="shared" ref="R56:R63" si="18">ROUND((Q56*0.07),2)</f>
        <v>0</v>
      </c>
      <c r="S56" s="90">
        <f t="shared" ref="S56:S63" si="19">+D56+J56-M56</f>
        <v>0</v>
      </c>
    </row>
    <row r="57" spans="1:20" s="216" customFormat="1" ht="34.5" customHeight="1">
      <c r="A57" s="91">
        <v>2</v>
      </c>
      <c r="B57" s="206" t="s">
        <v>118</v>
      </c>
      <c r="C57" s="206" t="s">
        <v>116</v>
      </c>
      <c r="D57" s="212">
        <v>2000</v>
      </c>
      <c r="E57" s="95"/>
      <c r="F57" s="91"/>
      <c r="G57" s="147"/>
      <c r="H57" s="96">
        <v>0</v>
      </c>
      <c r="I57" s="97">
        <v>0</v>
      </c>
      <c r="J57" s="98">
        <v>0</v>
      </c>
      <c r="K57" s="213">
        <v>46230</v>
      </c>
      <c r="L57" s="214" t="s">
        <v>119</v>
      </c>
      <c r="M57" s="215">
        <v>2000</v>
      </c>
      <c r="N57" s="149"/>
      <c r="O57" s="91"/>
      <c r="P57" s="91"/>
      <c r="Q57" s="97">
        <f t="shared" si="17"/>
        <v>0</v>
      </c>
      <c r="R57" s="104">
        <f t="shared" si="18"/>
        <v>0</v>
      </c>
      <c r="S57" s="90">
        <f t="shared" si="19"/>
        <v>0</v>
      </c>
    </row>
    <row r="58" spans="1:20" s="216" customFormat="1" ht="34.5" customHeight="1">
      <c r="A58" s="91">
        <v>3</v>
      </c>
      <c r="B58" s="206" t="s">
        <v>120</v>
      </c>
      <c r="C58" s="206" t="s">
        <v>116</v>
      </c>
      <c r="D58" s="212">
        <v>2000</v>
      </c>
      <c r="E58" s="95"/>
      <c r="F58" s="91"/>
      <c r="G58" s="147"/>
      <c r="H58" s="96">
        <v>0</v>
      </c>
      <c r="I58" s="97">
        <v>0</v>
      </c>
      <c r="J58" s="98">
        <v>0</v>
      </c>
      <c r="K58" s="213">
        <v>46230</v>
      </c>
      <c r="L58" s="214" t="s">
        <v>121</v>
      </c>
      <c r="M58" s="215">
        <v>2000</v>
      </c>
      <c r="N58" s="149"/>
      <c r="O58" s="91"/>
      <c r="P58" s="91"/>
      <c r="Q58" s="97">
        <f t="shared" si="17"/>
        <v>0</v>
      </c>
      <c r="R58" s="104">
        <f t="shared" si="18"/>
        <v>0</v>
      </c>
      <c r="S58" s="90">
        <f t="shared" si="19"/>
        <v>0</v>
      </c>
    </row>
    <row r="59" spans="1:20" s="216" customFormat="1" ht="34.5" customHeight="1">
      <c r="A59" s="91">
        <v>4</v>
      </c>
      <c r="B59" s="206" t="s">
        <v>107</v>
      </c>
      <c r="C59" s="206" t="s">
        <v>122</v>
      </c>
      <c r="D59" s="212">
        <v>3210</v>
      </c>
      <c r="E59" s="95"/>
      <c r="F59" s="91"/>
      <c r="G59" s="147"/>
      <c r="H59" s="96">
        <v>0</v>
      </c>
      <c r="I59" s="97">
        <v>0</v>
      </c>
      <c r="J59" s="98">
        <v>0</v>
      </c>
      <c r="K59" s="99">
        <v>46209</v>
      </c>
      <c r="L59" s="217" t="s">
        <v>123</v>
      </c>
      <c r="M59" s="218">
        <v>3210</v>
      </c>
      <c r="N59" s="149"/>
      <c r="O59" s="91"/>
      <c r="P59" s="91"/>
      <c r="Q59" s="97">
        <f t="shared" si="17"/>
        <v>0</v>
      </c>
      <c r="R59" s="104">
        <f t="shared" si="18"/>
        <v>0</v>
      </c>
      <c r="S59" s="90">
        <f t="shared" si="19"/>
        <v>0</v>
      </c>
    </row>
    <row r="60" spans="1:20" s="216" customFormat="1" ht="34.5" customHeight="1">
      <c r="A60" s="91">
        <v>5</v>
      </c>
      <c r="B60" s="206" t="s">
        <v>107</v>
      </c>
      <c r="C60" s="206" t="s">
        <v>124</v>
      </c>
      <c r="D60" s="212">
        <v>2140</v>
      </c>
      <c r="E60" s="95"/>
      <c r="F60" s="91"/>
      <c r="G60" s="147"/>
      <c r="H60" s="96">
        <v>0</v>
      </c>
      <c r="I60" s="97">
        <v>0</v>
      </c>
      <c r="J60" s="98">
        <v>0</v>
      </c>
      <c r="K60" s="99">
        <v>46209</v>
      </c>
      <c r="L60" s="217" t="s">
        <v>125</v>
      </c>
      <c r="M60" s="218">
        <v>2140</v>
      </c>
      <c r="N60" s="149"/>
      <c r="O60" s="91"/>
      <c r="P60" s="91"/>
      <c r="Q60" s="97">
        <f t="shared" si="17"/>
        <v>0</v>
      </c>
      <c r="R60" s="104">
        <f t="shared" si="18"/>
        <v>0</v>
      </c>
      <c r="S60" s="90">
        <f t="shared" si="19"/>
        <v>0</v>
      </c>
    </row>
    <row r="61" spans="1:20" s="216" customFormat="1" ht="34.5" customHeight="1">
      <c r="A61" s="91">
        <v>6</v>
      </c>
      <c r="B61" s="206" t="s">
        <v>126</v>
      </c>
      <c r="C61" s="206" t="s">
        <v>124</v>
      </c>
      <c r="D61" s="212">
        <v>2140</v>
      </c>
      <c r="E61" s="95"/>
      <c r="F61" s="91"/>
      <c r="G61" s="147"/>
      <c r="H61" s="96">
        <v>-2000</v>
      </c>
      <c r="I61" s="97">
        <v>-140</v>
      </c>
      <c r="J61" s="98">
        <v>-2140</v>
      </c>
      <c r="K61" s="99">
        <v>46224</v>
      </c>
      <c r="L61" s="217" t="s">
        <v>127</v>
      </c>
      <c r="M61" s="218">
        <v>2140</v>
      </c>
      <c r="N61" s="219"/>
      <c r="O61" s="91"/>
      <c r="P61" s="91"/>
      <c r="Q61" s="97">
        <f t="shared" si="17"/>
        <v>-2000</v>
      </c>
      <c r="R61" s="104">
        <f t="shared" si="18"/>
        <v>-140</v>
      </c>
      <c r="S61" s="90">
        <f t="shared" si="19"/>
        <v>-2140</v>
      </c>
    </row>
    <row r="62" spans="1:20" s="216" customFormat="1" ht="34.5" customHeight="1">
      <c r="A62" s="91">
        <v>7</v>
      </c>
      <c r="B62" s="206" t="s">
        <v>126</v>
      </c>
      <c r="C62" s="206" t="s">
        <v>128</v>
      </c>
      <c r="D62" s="212">
        <v>3210</v>
      </c>
      <c r="E62" s="95"/>
      <c r="F62" s="91"/>
      <c r="G62" s="147"/>
      <c r="H62" s="96">
        <v>-3000</v>
      </c>
      <c r="I62" s="97">
        <v>-210</v>
      </c>
      <c r="J62" s="98">
        <v>-3210</v>
      </c>
      <c r="K62" s="99">
        <v>46224</v>
      </c>
      <c r="L62" s="217" t="s">
        <v>129</v>
      </c>
      <c r="M62" s="218">
        <v>3210</v>
      </c>
      <c r="N62" s="219"/>
      <c r="O62" s="91"/>
      <c r="P62" s="91"/>
      <c r="Q62" s="97">
        <f t="shared" si="17"/>
        <v>-3000</v>
      </c>
      <c r="R62" s="104">
        <f t="shared" si="18"/>
        <v>-210</v>
      </c>
      <c r="S62" s="90">
        <f t="shared" si="19"/>
        <v>-3210</v>
      </c>
    </row>
    <row r="63" spans="1:20" ht="34.5" customHeight="1">
      <c r="A63" s="43">
        <v>8</v>
      </c>
      <c r="B63" s="220" t="s">
        <v>90</v>
      </c>
      <c r="C63" s="220" t="s">
        <v>130</v>
      </c>
      <c r="D63" s="221">
        <v>3156.5</v>
      </c>
      <c r="E63" s="111" t="s">
        <v>74</v>
      </c>
      <c r="F63" s="30">
        <v>1</v>
      </c>
      <c r="G63" s="30">
        <v>1</v>
      </c>
      <c r="H63" s="58">
        <v>2250</v>
      </c>
      <c r="I63" s="112">
        <v>157.5</v>
      </c>
      <c r="J63" s="113">
        <v>2407.5</v>
      </c>
      <c r="K63" s="213">
        <v>46226</v>
      </c>
      <c r="L63" s="214" t="s">
        <v>131</v>
      </c>
      <c r="M63" s="215">
        <v>2407.5</v>
      </c>
      <c r="N63" s="222" t="s">
        <v>76</v>
      </c>
      <c r="O63" s="180">
        <v>1</v>
      </c>
      <c r="P63" s="30">
        <v>1</v>
      </c>
      <c r="Q63" s="97">
        <f t="shared" si="17"/>
        <v>2950</v>
      </c>
      <c r="R63" s="104">
        <f t="shared" si="18"/>
        <v>206.5</v>
      </c>
      <c r="S63" s="90">
        <f t="shared" si="19"/>
        <v>3156.5</v>
      </c>
    </row>
    <row r="64" spans="1:20" ht="34.5" customHeight="1" thickBot="1">
      <c r="A64" s="120"/>
      <c r="B64" s="121" t="s">
        <v>19</v>
      </c>
      <c r="C64" s="122"/>
      <c r="D64" s="123">
        <f>SUM(D56:D63)</f>
        <v>19856.5</v>
      </c>
      <c r="E64" s="124"/>
      <c r="F64" s="123"/>
      <c r="G64" s="123"/>
      <c r="H64" s="125">
        <f>SUM(H63:H63)</f>
        <v>2250</v>
      </c>
      <c r="I64" s="125">
        <f>SUM(I63:I63)</f>
        <v>157.5</v>
      </c>
      <c r="J64" s="125">
        <f>SUM(J63:J63)</f>
        <v>2407.5</v>
      </c>
      <c r="K64" s="124"/>
      <c r="L64" s="124"/>
      <c r="M64" s="123">
        <f>SUM(M56:M63)</f>
        <v>19107.5</v>
      </c>
      <c r="N64" s="164"/>
      <c r="O64" s="123"/>
      <c r="P64" s="123"/>
      <c r="Q64" s="125">
        <f>SUM(Q56:Q63)-Q61-Q62</f>
        <v>2950</v>
      </c>
      <c r="R64" s="125">
        <f t="shared" ref="R64:S64" si="20">SUM(R56:R63)-R61-R62</f>
        <v>206.5</v>
      </c>
      <c r="S64" s="125">
        <f t="shared" si="20"/>
        <v>3156.5</v>
      </c>
    </row>
    <row r="65" spans="1:19" ht="34.5" customHeight="1" thickTop="1">
      <c r="A65" s="53"/>
      <c r="B65" s="76" t="s">
        <v>132</v>
      </c>
      <c r="C65" s="77"/>
      <c r="D65" s="78"/>
      <c r="E65" s="79"/>
      <c r="F65" s="78"/>
      <c r="G65" s="80"/>
      <c r="H65" s="81"/>
      <c r="I65" s="81"/>
      <c r="J65" s="81"/>
      <c r="K65" s="82"/>
      <c r="L65" s="83"/>
      <c r="M65" s="84"/>
      <c r="N65" s="85"/>
      <c r="O65" s="86"/>
      <c r="P65" s="87"/>
      <c r="Q65" s="88"/>
      <c r="R65" s="89"/>
      <c r="S65" s="223"/>
    </row>
    <row r="66" spans="1:19" ht="34.5" customHeight="1">
      <c r="A66" s="53">
        <v>1</v>
      </c>
      <c r="B66" s="54"/>
      <c r="C66" s="55"/>
      <c r="D66" s="56"/>
      <c r="E66" s="57"/>
      <c r="F66" s="56"/>
      <c r="G66" s="56"/>
      <c r="H66" s="58"/>
      <c r="I66" s="58"/>
      <c r="J66" s="58"/>
      <c r="K66" s="187"/>
      <c r="L66" s="188"/>
      <c r="M66" s="189"/>
      <c r="N66" s="62"/>
      <c r="O66" s="30"/>
      <c r="P66" s="63"/>
      <c r="Q66" s="64"/>
      <c r="R66" s="190"/>
      <c r="S66" s="90"/>
    </row>
    <row r="67" spans="1:19" ht="34.5" customHeight="1" thickBot="1">
      <c r="A67" s="120"/>
      <c r="B67" s="121" t="s">
        <v>19</v>
      </c>
      <c r="C67" s="191"/>
      <c r="D67" s="123">
        <v>0</v>
      </c>
      <c r="E67" s="124"/>
      <c r="F67" s="123"/>
      <c r="G67" s="123"/>
      <c r="H67" s="125">
        <v>0</v>
      </c>
      <c r="I67" s="125">
        <v>0</v>
      </c>
      <c r="J67" s="125">
        <v>0</v>
      </c>
      <c r="K67" s="192"/>
      <c r="L67" s="124"/>
      <c r="M67" s="123">
        <v>0</v>
      </c>
      <c r="N67" s="164"/>
      <c r="O67" s="123"/>
      <c r="P67" s="123"/>
      <c r="Q67" s="125">
        <v>0</v>
      </c>
      <c r="R67" s="193">
        <v>0</v>
      </c>
      <c r="S67" s="194">
        <v>0</v>
      </c>
    </row>
    <row r="68" spans="1:19" ht="34.5" customHeight="1" thickTop="1">
      <c r="A68" s="53"/>
      <c r="B68" s="76" t="s">
        <v>133</v>
      </c>
      <c r="C68" s="77"/>
      <c r="D68" s="78"/>
      <c r="E68" s="79"/>
      <c r="F68" s="78"/>
      <c r="G68" s="80"/>
      <c r="H68" s="81"/>
      <c r="I68" s="81"/>
      <c r="J68" s="81"/>
      <c r="K68" s="82"/>
      <c r="L68" s="83"/>
      <c r="M68" s="84"/>
      <c r="N68" s="85"/>
      <c r="O68" s="86"/>
      <c r="P68" s="87"/>
      <c r="Q68" s="88"/>
      <c r="R68" s="89"/>
      <c r="S68" s="90"/>
    </row>
    <row r="69" spans="1:19" ht="34.5" customHeight="1">
      <c r="A69" s="53"/>
      <c r="B69" s="224" t="s">
        <v>134</v>
      </c>
      <c r="C69" s="55"/>
      <c r="D69" s="56"/>
      <c r="E69" s="57"/>
      <c r="F69" s="56"/>
      <c r="G69" s="225"/>
      <c r="H69" s="226"/>
      <c r="I69" s="226"/>
      <c r="J69" s="226"/>
      <c r="K69" s="187"/>
      <c r="L69" s="188"/>
      <c r="M69" s="189"/>
      <c r="N69" s="62"/>
      <c r="O69" s="30"/>
      <c r="P69" s="63"/>
      <c r="Q69" s="64"/>
      <c r="R69" s="190"/>
      <c r="S69" s="90"/>
    </row>
    <row r="70" spans="1:19" ht="34.5" customHeight="1" thickBot="1">
      <c r="A70" s="120"/>
      <c r="B70" s="121" t="s">
        <v>19</v>
      </c>
      <c r="C70" s="122"/>
      <c r="D70" s="123">
        <v>0</v>
      </c>
      <c r="E70" s="124"/>
      <c r="F70" s="123"/>
      <c r="G70" s="123"/>
      <c r="H70" s="125"/>
      <c r="I70" s="125"/>
      <c r="J70" s="125"/>
      <c r="K70" s="124"/>
      <c r="L70" s="124"/>
      <c r="M70" s="123"/>
      <c r="N70" s="164"/>
      <c r="O70" s="123"/>
      <c r="P70" s="123"/>
      <c r="Q70" s="125"/>
      <c r="R70" s="193"/>
      <c r="S70" s="194"/>
    </row>
    <row r="71" spans="1:19" ht="34.5" customHeight="1" thickTop="1">
      <c r="A71" s="53"/>
      <c r="B71" s="76" t="s">
        <v>135</v>
      </c>
      <c r="C71" s="77"/>
      <c r="D71" s="78"/>
      <c r="E71" s="79"/>
      <c r="F71" s="78"/>
      <c r="G71" s="80"/>
      <c r="H71" s="81"/>
      <c r="I71" s="81"/>
      <c r="J71" s="81"/>
      <c r="K71" s="82"/>
      <c r="L71" s="83"/>
      <c r="M71" s="84"/>
      <c r="N71" s="85"/>
      <c r="O71" s="86"/>
      <c r="P71" s="87"/>
      <c r="Q71" s="88"/>
      <c r="R71" s="89"/>
      <c r="S71" s="90"/>
    </row>
    <row r="72" spans="1:19" ht="34.5" customHeight="1">
      <c r="A72" s="53">
        <v>1</v>
      </c>
      <c r="B72" s="54"/>
      <c r="C72" s="55"/>
      <c r="D72" s="56"/>
      <c r="E72" s="57"/>
      <c r="F72" s="56"/>
      <c r="G72" s="56"/>
      <c r="H72" s="58"/>
      <c r="I72" s="58"/>
      <c r="J72" s="58"/>
      <c r="K72" s="187"/>
      <c r="L72" s="188"/>
      <c r="M72" s="189"/>
      <c r="N72" s="62"/>
      <c r="O72" s="30"/>
      <c r="P72" s="63"/>
      <c r="Q72" s="64"/>
      <c r="R72" s="190"/>
      <c r="S72" s="90"/>
    </row>
    <row r="73" spans="1:19" ht="34.5" customHeight="1" thickBot="1">
      <c r="A73" s="120"/>
      <c r="B73" s="121" t="s">
        <v>19</v>
      </c>
      <c r="C73" s="191"/>
      <c r="D73" s="123">
        <v>0</v>
      </c>
      <c r="E73" s="124"/>
      <c r="F73" s="123"/>
      <c r="G73" s="123"/>
      <c r="H73" s="125">
        <v>0</v>
      </c>
      <c r="I73" s="125">
        <v>0</v>
      </c>
      <c r="J73" s="125">
        <v>0</v>
      </c>
      <c r="K73" s="192"/>
      <c r="L73" s="124"/>
      <c r="M73" s="123">
        <v>0</v>
      </c>
      <c r="N73" s="164"/>
      <c r="O73" s="123"/>
      <c r="P73" s="123"/>
      <c r="Q73" s="125">
        <v>0</v>
      </c>
      <c r="R73" s="193">
        <v>0</v>
      </c>
      <c r="S73" s="194">
        <v>0</v>
      </c>
    </row>
    <row r="74" spans="1:19" ht="34.5" customHeight="1" thickTop="1">
      <c r="A74" s="53"/>
      <c r="B74" s="227" t="s">
        <v>136</v>
      </c>
      <c r="C74" s="228"/>
      <c r="D74" s="229"/>
      <c r="E74" s="208"/>
      <c r="F74" s="229"/>
      <c r="G74" s="230"/>
      <c r="H74" s="210"/>
      <c r="I74" s="210"/>
      <c r="J74" s="210"/>
      <c r="K74" s="48"/>
      <c r="L74" s="49"/>
      <c r="M74" s="50"/>
      <c r="N74" s="231"/>
      <c r="O74" s="147"/>
      <c r="P74" s="232"/>
      <c r="Q74" s="233"/>
      <c r="R74" s="234"/>
      <c r="S74" s="90"/>
    </row>
    <row r="75" spans="1:19" ht="34.5" customHeight="1">
      <c r="A75" s="91">
        <v>1</v>
      </c>
      <c r="B75" s="206" t="s">
        <v>137</v>
      </c>
      <c r="C75" s="93" t="s">
        <v>138</v>
      </c>
      <c r="D75" s="235">
        <v>9126</v>
      </c>
      <c r="E75" s="95" t="s">
        <v>67</v>
      </c>
      <c r="F75" s="91">
        <v>1</v>
      </c>
      <c r="G75" s="91">
        <v>1</v>
      </c>
      <c r="H75" s="97">
        <v>9126</v>
      </c>
      <c r="I75" s="97"/>
      <c r="J75" s="178">
        <v>9126</v>
      </c>
      <c r="K75" s="213" t="s">
        <v>139</v>
      </c>
      <c r="L75" s="236" t="s">
        <v>140</v>
      </c>
      <c r="M75" s="237">
        <v>18252</v>
      </c>
      <c r="N75" s="149"/>
      <c r="O75" s="91"/>
      <c r="P75" s="91"/>
      <c r="Q75" s="97">
        <f t="shared" ref="Q75:Q103" si="21">S75</f>
        <v>0</v>
      </c>
      <c r="R75" s="104"/>
      <c r="S75" s="238">
        <f t="shared" ref="S75:S103" si="22">+D75+J75-M75</f>
        <v>0</v>
      </c>
    </row>
    <row r="76" spans="1:19" ht="34.5" customHeight="1">
      <c r="A76" s="91">
        <v>2</v>
      </c>
      <c r="B76" s="206" t="s">
        <v>141</v>
      </c>
      <c r="C76" s="93" t="s">
        <v>142</v>
      </c>
      <c r="D76" s="235">
        <v>4563</v>
      </c>
      <c r="E76" s="149"/>
      <c r="F76" s="91"/>
      <c r="G76" s="91"/>
      <c r="H76" s="97">
        <v>0</v>
      </c>
      <c r="I76" s="97"/>
      <c r="J76" s="178">
        <v>0</v>
      </c>
      <c r="K76" s="213">
        <v>46230</v>
      </c>
      <c r="L76" s="236" t="s">
        <v>143</v>
      </c>
      <c r="M76" s="237">
        <v>4563</v>
      </c>
      <c r="N76" s="149"/>
      <c r="O76" s="91"/>
      <c r="P76" s="91"/>
      <c r="Q76" s="97">
        <f t="shared" si="21"/>
        <v>0</v>
      </c>
      <c r="R76" s="104"/>
      <c r="S76" s="238">
        <f t="shared" si="22"/>
        <v>0</v>
      </c>
    </row>
    <row r="77" spans="1:19" ht="34.5" customHeight="1">
      <c r="A77" s="91">
        <v>3</v>
      </c>
      <c r="B77" s="206" t="s">
        <v>144</v>
      </c>
      <c r="C77" s="93" t="s">
        <v>145</v>
      </c>
      <c r="D77" s="235">
        <v>4563</v>
      </c>
      <c r="E77" s="149"/>
      <c r="F77" s="91"/>
      <c r="G77" s="91"/>
      <c r="H77" s="97">
        <v>0</v>
      </c>
      <c r="I77" s="97"/>
      <c r="J77" s="178">
        <v>0</v>
      </c>
      <c r="K77" s="213">
        <v>46234</v>
      </c>
      <c r="L77" s="236" t="s">
        <v>146</v>
      </c>
      <c r="M77" s="237">
        <v>4563</v>
      </c>
      <c r="N77" s="149"/>
      <c r="O77" s="91"/>
      <c r="P77" s="91"/>
      <c r="Q77" s="97">
        <f t="shared" si="21"/>
        <v>0</v>
      </c>
      <c r="R77" s="104"/>
      <c r="S77" s="238">
        <f t="shared" si="22"/>
        <v>0</v>
      </c>
    </row>
    <row r="78" spans="1:19" ht="34.5" customHeight="1">
      <c r="A78" s="91">
        <v>4</v>
      </c>
      <c r="B78" s="206" t="s">
        <v>147</v>
      </c>
      <c r="C78" s="93" t="s">
        <v>148</v>
      </c>
      <c r="D78" s="235">
        <v>4563</v>
      </c>
      <c r="E78" s="149"/>
      <c r="F78" s="91"/>
      <c r="G78" s="91"/>
      <c r="H78" s="97">
        <v>0</v>
      </c>
      <c r="I78" s="97"/>
      <c r="J78" s="178">
        <v>0</v>
      </c>
      <c r="K78" s="213">
        <v>46234</v>
      </c>
      <c r="L78" s="236" t="s">
        <v>149</v>
      </c>
      <c r="M78" s="237">
        <v>4563</v>
      </c>
      <c r="N78" s="149"/>
      <c r="O78" s="91"/>
      <c r="P78" s="91"/>
      <c r="Q78" s="97">
        <f t="shared" si="21"/>
        <v>0</v>
      </c>
      <c r="R78" s="104"/>
      <c r="S78" s="238">
        <f t="shared" si="22"/>
        <v>0</v>
      </c>
    </row>
    <row r="79" spans="1:19" ht="34.5" customHeight="1">
      <c r="A79" s="91">
        <v>5</v>
      </c>
      <c r="B79" s="92" t="s">
        <v>150</v>
      </c>
      <c r="C79" s="93" t="s">
        <v>151</v>
      </c>
      <c r="D79" s="235">
        <v>4563</v>
      </c>
      <c r="E79" s="149" t="s">
        <v>67</v>
      </c>
      <c r="F79" s="91">
        <v>1</v>
      </c>
      <c r="G79" s="91">
        <v>1</v>
      </c>
      <c r="H79" s="97">
        <v>4563</v>
      </c>
      <c r="I79" s="97"/>
      <c r="J79" s="178">
        <v>4563</v>
      </c>
      <c r="K79" s="213" t="s">
        <v>152</v>
      </c>
      <c r="L79" s="236" t="s">
        <v>153</v>
      </c>
      <c r="M79" s="237">
        <v>9126</v>
      </c>
      <c r="N79" s="149"/>
      <c r="O79" s="91"/>
      <c r="P79" s="91"/>
      <c r="Q79" s="97">
        <f t="shared" si="21"/>
        <v>0</v>
      </c>
      <c r="R79" s="104"/>
      <c r="S79" s="238">
        <f t="shared" si="22"/>
        <v>0</v>
      </c>
    </row>
    <row r="80" spans="1:19" ht="34.5" customHeight="1">
      <c r="A80" s="91">
        <v>6</v>
      </c>
      <c r="B80" s="92" t="s">
        <v>154</v>
      </c>
      <c r="C80" s="93" t="s">
        <v>155</v>
      </c>
      <c r="D80" s="235">
        <v>4563</v>
      </c>
      <c r="E80" s="95"/>
      <c r="F80" s="91"/>
      <c r="G80" s="91"/>
      <c r="H80" s="97">
        <v>0</v>
      </c>
      <c r="I80" s="97"/>
      <c r="J80" s="178">
        <v>0</v>
      </c>
      <c r="K80" s="213"/>
      <c r="L80" s="236"/>
      <c r="M80" s="237">
        <v>0</v>
      </c>
      <c r="N80" s="149" t="s">
        <v>41</v>
      </c>
      <c r="O80" s="91">
        <v>1</v>
      </c>
      <c r="P80" s="91">
        <v>1</v>
      </c>
      <c r="Q80" s="97">
        <f t="shared" si="21"/>
        <v>4563</v>
      </c>
      <c r="R80" s="104"/>
      <c r="S80" s="238">
        <f t="shared" si="22"/>
        <v>4563</v>
      </c>
    </row>
    <row r="81" spans="1:19" ht="34.5" customHeight="1">
      <c r="A81" s="91">
        <v>7</v>
      </c>
      <c r="B81" s="92" t="s">
        <v>156</v>
      </c>
      <c r="C81" s="93" t="s">
        <v>157</v>
      </c>
      <c r="D81" s="235">
        <v>4563</v>
      </c>
      <c r="E81" s="95"/>
      <c r="F81" s="91"/>
      <c r="G81" s="91"/>
      <c r="H81" s="97">
        <v>-4563</v>
      </c>
      <c r="I81" s="97"/>
      <c r="J81" s="178">
        <v>-4563</v>
      </c>
      <c r="K81" s="213">
        <v>46227</v>
      </c>
      <c r="L81" s="236" t="s">
        <v>158</v>
      </c>
      <c r="M81" s="237">
        <v>4563</v>
      </c>
      <c r="N81" s="149"/>
      <c r="O81" s="91"/>
      <c r="P81" s="91"/>
      <c r="Q81" s="239">
        <f t="shared" si="21"/>
        <v>-4563</v>
      </c>
      <c r="R81" s="240"/>
      <c r="S81" s="241">
        <f t="shared" si="22"/>
        <v>-4563</v>
      </c>
    </row>
    <row r="82" spans="1:19" ht="34.5" customHeight="1">
      <c r="A82" s="91">
        <v>8</v>
      </c>
      <c r="B82" s="92" t="s">
        <v>156</v>
      </c>
      <c r="C82" s="93" t="s">
        <v>159</v>
      </c>
      <c r="D82" s="235">
        <v>4563</v>
      </c>
      <c r="E82" s="149"/>
      <c r="F82" s="91"/>
      <c r="G82" s="91"/>
      <c r="H82" s="97">
        <v>-4563</v>
      </c>
      <c r="I82" s="97"/>
      <c r="J82" s="178">
        <v>-4563</v>
      </c>
      <c r="K82" s="213">
        <v>46227</v>
      </c>
      <c r="L82" s="236" t="s">
        <v>160</v>
      </c>
      <c r="M82" s="237">
        <v>4563</v>
      </c>
      <c r="N82" s="149"/>
      <c r="O82" s="91"/>
      <c r="P82" s="91"/>
      <c r="Q82" s="239">
        <f t="shared" si="21"/>
        <v>-4563</v>
      </c>
      <c r="R82" s="240"/>
      <c r="S82" s="241">
        <f t="shared" si="22"/>
        <v>-4563</v>
      </c>
    </row>
    <row r="83" spans="1:19" ht="34.5" customHeight="1">
      <c r="A83" s="91">
        <v>9</v>
      </c>
      <c r="B83" s="242" t="s">
        <v>161</v>
      </c>
      <c r="C83" s="93" t="s">
        <v>162</v>
      </c>
      <c r="D83" s="235">
        <v>4563</v>
      </c>
      <c r="E83" s="149"/>
      <c r="F83" s="91"/>
      <c r="G83" s="91"/>
      <c r="H83" s="97">
        <v>-4563</v>
      </c>
      <c r="I83" s="97"/>
      <c r="J83" s="178">
        <v>-4563</v>
      </c>
      <c r="K83" s="213">
        <v>46234</v>
      </c>
      <c r="L83" s="236" t="s">
        <v>163</v>
      </c>
      <c r="M83" s="237">
        <v>4563</v>
      </c>
      <c r="N83" s="149"/>
      <c r="O83" s="91"/>
      <c r="P83" s="91"/>
      <c r="Q83" s="239">
        <f t="shared" si="21"/>
        <v>-4563</v>
      </c>
      <c r="R83" s="240"/>
      <c r="S83" s="241">
        <f t="shared" si="22"/>
        <v>-4563</v>
      </c>
    </row>
    <row r="84" spans="1:19" ht="34.5" customHeight="1">
      <c r="A84" s="91">
        <v>10</v>
      </c>
      <c r="B84" s="92" t="s">
        <v>164</v>
      </c>
      <c r="C84" s="93" t="s">
        <v>165</v>
      </c>
      <c r="D84" s="235">
        <v>4563</v>
      </c>
      <c r="E84" s="149"/>
      <c r="F84" s="91"/>
      <c r="G84" s="91"/>
      <c r="H84" s="97">
        <v>0</v>
      </c>
      <c r="I84" s="97"/>
      <c r="J84" s="178">
        <v>0</v>
      </c>
      <c r="K84" s="213">
        <v>46225</v>
      </c>
      <c r="L84" s="236" t="s">
        <v>166</v>
      </c>
      <c r="M84" s="237">
        <v>4563</v>
      </c>
      <c r="N84" s="149"/>
      <c r="O84" s="91"/>
      <c r="P84" s="91"/>
      <c r="Q84" s="97">
        <f t="shared" si="21"/>
        <v>0</v>
      </c>
      <c r="R84" s="104"/>
      <c r="S84" s="238">
        <f t="shared" si="22"/>
        <v>0</v>
      </c>
    </row>
    <row r="85" spans="1:19" ht="34.5" customHeight="1">
      <c r="A85" s="91">
        <v>11</v>
      </c>
      <c r="B85" s="92" t="s">
        <v>167</v>
      </c>
      <c r="C85" s="93" t="s">
        <v>168</v>
      </c>
      <c r="D85" s="235">
        <v>9126</v>
      </c>
      <c r="E85" s="95"/>
      <c r="F85" s="91"/>
      <c r="G85" s="91"/>
      <c r="H85" s="97">
        <v>0</v>
      </c>
      <c r="I85" s="97"/>
      <c r="J85" s="178">
        <v>0</v>
      </c>
      <c r="K85" s="213"/>
      <c r="L85" s="236"/>
      <c r="M85" s="237">
        <v>0</v>
      </c>
      <c r="N85" s="149" t="s">
        <v>41</v>
      </c>
      <c r="O85" s="91">
        <v>1</v>
      </c>
      <c r="P85" s="91">
        <v>1</v>
      </c>
      <c r="Q85" s="97">
        <f t="shared" si="21"/>
        <v>9126</v>
      </c>
      <c r="R85" s="104"/>
      <c r="S85" s="238">
        <f t="shared" si="22"/>
        <v>9126</v>
      </c>
    </row>
    <row r="86" spans="1:19" s="254" customFormat="1" ht="34.5" customHeight="1">
      <c r="A86" s="243">
        <v>12</v>
      </c>
      <c r="B86" s="244" t="s">
        <v>169</v>
      </c>
      <c r="C86" s="245" t="s">
        <v>170</v>
      </c>
      <c r="D86" s="246">
        <v>4563</v>
      </c>
      <c r="E86" s="247"/>
      <c r="F86" s="248"/>
      <c r="G86" s="248"/>
      <c r="H86" s="249">
        <v>-4563</v>
      </c>
      <c r="I86" s="249"/>
      <c r="J86" s="250">
        <v>-4563</v>
      </c>
      <c r="K86" s="213">
        <v>46230</v>
      </c>
      <c r="L86" s="236" t="s">
        <v>171</v>
      </c>
      <c r="M86" s="237">
        <v>4563</v>
      </c>
      <c r="N86" s="251"/>
      <c r="O86" s="248"/>
      <c r="P86" s="248"/>
      <c r="Q86" s="249">
        <f t="shared" si="21"/>
        <v>-4563</v>
      </c>
      <c r="R86" s="252"/>
      <c r="S86" s="253">
        <f t="shared" si="22"/>
        <v>-4563</v>
      </c>
    </row>
    <row r="87" spans="1:19" ht="34.5" customHeight="1">
      <c r="A87" s="91">
        <v>13</v>
      </c>
      <c r="B87" s="92" t="s">
        <v>172</v>
      </c>
      <c r="C87" s="93" t="s">
        <v>173</v>
      </c>
      <c r="D87" s="235">
        <v>4563</v>
      </c>
      <c r="E87" s="149"/>
      <c r="F87" s="91"/>
      <c r="G87" s="91"/>
      <c r="H87" s="97">
        <v>0</v>
      </c>
      <c r="I87" s="97"/>
      <c r="J87" s="178">
        <v>0</v>
      </c>
      <c r="K87" s="213">
        <v>46234</v>
      </c>
      <c r="L87" s="236" t="s">
        <v>174</v>
      </c>
      <c r="M87" s="237">
        <v>4563</v>
      </c>
      <c r="N87" s="149"/>
      <c r="O87" s="91"/>
      <c r="P87" s="91"/>
      <c r="Q87" s="97">
        <f t="shared" si="21"/>
        <v>0</v>
      </c>
      <c r="R87" s="104"/>
      <c r="S87" s="238">
        <f t="shared" si="22"/>
        <v>0</v>
      </c>
    </row>
    <row r="88" spans="1:19" ht="34.5" customHeight="1">
      <c r="A88" s="91">
        <v>14</v>
      </c>
      <c r="B88" s="92" t="s">
        <v>175</v>
      </c>
      <c r="C88" s="93" t="s">
        <v>176</v>
      </c>
      <c r="D88" s="235">
        <v>4563</v>
      </c>
      <c r="E88" s="95"/>
      <c r="F88" s="91"/>
      <c r="G88" s="91"/>
      <c r="H88" s="97">
        <v>-4563</v>
      </c>
      <c r="I88" s="97"/>
      <c r="J88" s="178">
        <v>-4563</v>
      </c>
      <c r="K88" s="213">
        <v>46223</v>
      </c>
      <c r="L88" s="236" t="s">
        <v>177</v>
      </c>
      <c r="M88" s="237">
        <v>4563</v>
      </c>
      <c r="N88" s="149"/>
      <c r="O88" s="91"/>
      <c r="P88" s="91"/>
      <c r="Q88" s="239">
        <f t="shared" si="21"/>
        <v>-4563</v>
      </c>
      <c r="R88" s="240"/>
      <c r="S88" s="241">
        <f t="shared" si="22"/>
        <v>-4563</v>
      </c>
    </row>
    <row r="89" spans="1:19" ht="34.5" customHeight="1">
      <c r="A89" s="91">
        <v>15</v>
      </c>
      <c r="B89" s="92" t="s">
        <v>178</v>
      </c>
      <c r="C89" s="93" t="s">
        <v>179</v>
      </c>
      <c r="D89" s="235">
        <v>4563</v>
      </c>
      <c r="E89" s="149"/>
      <c r="F89" s="91"/>
      <c r="G89" s="91"/>
      <c r="H89" s="97">
        <v>-4563</v>
      </c>
      <c r="I89" s="97"/>
      <c r="J89" s="178">
        <v>-4563</v>
      </c>
      <c r="K89" s="213">
        <v>46223</v>
      </c>
      <c r="L89" s="236" t="s">
        <v>180</v>
      </c>
      <c r="M89" s="237">
        <v>4563</v>
      </c>
      <c r="N89" s="149"/>
      <c r="O89" s="91"/>
      <c r="P89" s="91"/>
      <c r="Q89" s="239">
        <f t="shared" si="21"/>
        <v>-4563</v>
      </c>
      <c r="R89" s="240"/>
      <c r="S89" s="241">
        <f t="shared" si="22"/>
        <v>-4563</v>
      </c>
    </row>
    <row r="90" spans="1:19" ht="34.5" customHeight="1">
      <c r="A90" s="91">
        <v>16</v>
      </c>
      <c r="B90" s="92" t="s">
        <v>181</v>
      </c>
      <c r="C90" s="93" t="s">
        <v>182</v>
      </c>
      <c r="D90" s="235">
        <v>4563</v>
      </c>
      <c r="E90" s="95" t="s">
        <v>67</v>
      </c>
      <c r="F90" s="91">
        <v>1</v>
      </c>
      <c r="G90" s="91">
        <v>1</v>
      </c>
      <c r="H90" s="97">
        <v>2281.5</v>
      </c>
      <c r="I90" s="97"/>
      <c r="J90" s="178">
        <v>2281.5</v>
      </c>
      <c r="K90" s="213" t="s">
        <v>183</v>
      </c>
      <c r="L90" s="236" t="s">
        <v>184</v>
      </c>
      <c r="M90" s="237">
        <v>6844.5</v>
      </c>
      <c r="N90" s="149"/>
      <c r="O90" s="91"/>
      <c r="P90" s="91"/>
      <c r="Q90" s="97">
        <f t="shared" si="21"/>
        <v>0</v>
      </c>
      <c r="R90" s="104"/>
      <c r="S90" s="238">
        <f t="shared" si="22"/>
        <v>0</v>
      </c>
    </row>
    <row r="91" spans="1:19" ht="34.5" customHeight="1">
      <c r="A91" s="91">
        <v>17</v>
      </c>
      <c r="B91" s="92" t="s">
        <v>185</v>
      </c>
      <c r="C91" s="93" t="s">
        <v>186</v>
      </c>
      <c r="D91" s="235">
        <v>9126</v>
      </c>
      <c r="E91" s="95"/>
      <c r="F91" s="91"/>
      <c r="G91" s="91"/>
      <c r="H91" s="97">
        <v>0</v>
      </c>
      <c r="I91" s="97"/>
      <c r="J91" s="178">
        <v>0</v>
      </c>
      <c r="K91" s="213">
        <v>46227</v>
      </c>
      <c r="L91" s="236" t="s">
        <v>187</v>
      </c>
      <c r="M91" s="237">
        <v>9126</v>
      </c>
      <c r="N91" s="149"/>
      <c r="O91" s="91"/>
      <c r="P91" s="91"/>
      <c r="Q91" s="97">
        <f t="shared" si="21"/>
        <v>0</v>
      </c>
      <c r="R91" s="104"/>
      <c r="S91" s="238">
        <f t="shared" si="22"/>
        <v>0</v>
      </c>
    </row>
    <row r="92" spans="1:19" ht="34.5" customHeight="1">
      <c r="A92" s="91">
        <v>18</v>
      </c>
      <c r="B92" s="92" t="s">
        <v>188</v>
      </c>
      <c r="C92" s="93" t="s">
        <v>189</v>
      </c>
      <c r="D92" s="235">
        <v>4563</v>
      </c>
      <c r="E92" s="149"/>
      <c r="F92" s="91"/>
      <c r="G92" s="91"/>
      <c r="H92" s="97">
        <v>0</v>
      </c>
      <c r="I92" s="97"/>
      <c r="J92" s="178">
        <v>0</v>
      </c>
      <c r="K92" s="213">
        <v>46234</v>
      </c>
      <c r="L92" s="236" t="s">
        <v>190</v>
      </c>
      <c r="M92" s="237">
        <v>4563</v>
      </c>
      <c r="N92" s="149"/>
      <c r="O92" s="91"/>
      <c r="P92" s="91"/>
      <c r="Q92" s="97">
        <f t="shared" si="21"/>
        <v>0</v>
      </c>
      <c r="R92" s="104"/>
      <c r="S92" s="238">
        <f t="shared" si="22"/>
        <v>0</v>
      </c>
    </row>
    <row r="93" spans="1:19" ht="34.5" customHeight="1">
      <c r="A93" s="91">
        <v>19</v>
      </c>
      <c r="B93" s="92" t="s">
        <v>191</v>
      </c>
      <c r="C93" s="93" t="s">
        <v>192</v>
      </c>
      <c r="D93" s="235">
        <v>4563</v>
      </c>
      <c r="E93" s="149"/>
      <c r="F93" s="91"/>
      <c r="G93" s="91"/>
      <c r="H93" s="97">
        <v>-4563</v>
      </c>
      <c r="I93" s="97"/>
      <c r="J93" s="178">
        <v>-4563</v>
      </c>
      <c r="K93" s="213">
        <v>46223</v>
      </c>
      <c r="L93" s="236" t="s">
        <v>193</v>
      </c>
      <c r="M93" s="237">
        <v>4563</v>
      </c>
      <c r="N93" s="149"/>
      <c r="O93" s="91"/>
      <c r="P93" s="91"/>
      <c r="Q93" s="239">
        <f t="shared" si="21"/>
        <v>-4563</v>
      </c>
      <c r="R93" s="240"/>
      <c r="S93" s="241">
        <f t="shared" si="22"/>
        <v>-4563</v>
      </c>
    </row>
    <row r="94" spans="1:19" ht="34.5" customHeight="1">
      <c r="A94" s="91">
        <v>20</v>
      </c>
      <c r="B94" s="92" t="s">
        <v>194</v>
      </c>
      <c r="C94" s="93" t="s">
        <v>195</v>
      </c>
      <c r="D94" s="235">
        <v>4563</v>
      </c>
      <c r="E94" s="149"/>
      <c r="F94" s="91"/>
      <c r="G94" s="91"/>
      <c r="H94" s="97">
        <v>-4563</v>
      </c>
      <c r="I94" s="97"/>
      <c r="J94" s="178">
        <v>-4563</v>
      </c>
      <c r="K94" s="213">
        <v>46234</v>
      </c>
      <c r="L94" s="236" t="s">
        <v>196</v>
      </c>
      <c r="M94" s="237">
        <v>4563</v>
      </c>
      <c r="N94" s="149"/>
      <c r="O94" s="91"/>
      <c r="P94" s="91"/>
      <c r="Q94" s="239">
        <f t="shared" si="21"/>
        <v>-4563</v>
      </c>
      <c r="R94" s="240"/>
      <c r="S94" s="241">
        <f t="shared" si="22"/>
        <v>-4563</v>
      </c>
    </row>
    <row r="95" spans="1:19" ht="34.5" customHeight="1">
      <c r="A95" s="91">
        <v>21</v>
      </c>
      <c r="B95" s="92" t="s">
        <v>197</v>
      </c>
      <c r="C95" s="93" t="s">
        <v>198</v>
      </c>
      <c r="D95" s="235">
        <v>4563</v>
      </c>
      <c r="E95" s="149"/>
      <c r="F95" s="91"/>
      <c r="G95" s="91"/>
      <c r="H95" s="97">
        <v>0</v>
      </c>
      <c r="I95" s="97"/>
      <c r="J95" s="178">
        <v>0</v>
      </c>
      <c r="K95" s="213">
        <v>46230</v>
      </c>
      <c r="L95" s="236" t="s">
        <v>199</v>
      </c>
      <c r="M95" s="237">
        <v>4563</v>
      </c>
      <c r="N95" s="149"/>
      <c r="O95" s="91"/>
      <c r="P95" s="91"/>
      <c r="Q95" s="97">
        <f t="shared" si="21"/>
        <v>0</v>
      </c>
      <c r="R95" s="104"/>
      <c r="S95" s="238">
        <f t="shared" si="22"/>
        <v>0</v>
      </c>
    </row>
    <row r="96" spans="1:19" ht="34.5" customHeight="1">
      <c r="A96" s="91">
        <v>22</v>
      </c>
      <c r="B96" s="92" t="s">
        <v>200</v>
      </c>
      <c r="C96" s="93" t="s">
        <v>201</v>
      </c>
      <c r="D96" s="235">
        <v>4563</v>
      </c>
      <c r="E96" s="95"/>
      <c r="F96" s="91"/>
      <c r="G96" s="91"/>
      <c r="H96" s="97">
        <v>-4563</v>
      </c>
      <c r="I96" s="97"/>
      <c r="J96" s="178">
        <v>-4563</v>
      </c>
      <c r="K96" s="213">
        <v>46227</v>
      </c>
      <c r="L96" s="236" t="s">
        <v>202</v>
      </c>
      <c r="M96" s="237">
        <v>4563</v>
      </c>
      <c r="N96" s="149"/>
      <c r="O96" s="91"/>
      <c r="P96" s="91"/>
      <c r="Q96" s="97">
        <f t="shared" si="21"/>
        <v>-4563</v>
      </c>
      <c r="R96" s="104"/>
      <c r="S96" s="238">
        <f t="shared" si="22"/>
        <v>-4563</v>
      </c>
    </row>
    <row r="97" spans="1:19" ht="34.5" customHeight="1">
      <c r="A97" s="91">
        <v>23</v>
      </c>
      <c r="B97" s="92" t="s">
        <v>203</v>
      </c>
      <c r="C97" s="93" t="s">
        <v>204</v>
      </c>
      <c r="D97" s="235">
        <v>4563</v>
      </c>
      <c r="E97" s="149"/>
      <c r="F97" s="91"/>
      <c r="G97" s="91"/>
      <c r="H97" s="97">
        <v>0</v>
      </c>
      <c r="I97" s="97"/>
      <c r="J97" s="178">
        <v>0</v>
      </c>
      <c r="K97" s="213">
        <v>46234</v>
      </c>
      <c r="L97" s="236" t="s">
        <v>205</v>
      </c>
      <c r="M97" s="237">
        <v>4563</v>
      </c>
      <c r="N97" s="149"/>
      <c r="O97" s="91"/>
      <c r="P97" s="91"/>
      <c r="Q97" s="97">
        <f t="shared" si="21"/>
        <v>0</v>
      </c>
      <c r="R97" s="104"/>
      <c r="S97" s="238">
        <f t="shared" si="22"/>
        <v>0</v>
      </c>
    </row>
    <row r="98" spans="1:19" ht="34.5" customHeight="1">
      <c r="A98" s="91">
        <v>24</v>
      </c>
      <c r="B98" s="92" t="s">
        <v>206</v>
      </c>
      <c r="C98" s="93" t="s">
        <v>207</v>
      </c>
      <c r="D98" s="235">
        <v>4563</v>
      </c>
      <c r="E98" s="149"/>
      <c r="F98" s="91"/>
      <c r="G98" s="91"/>
      <c r="H98" s="97">
        <v>0</v>
      </c>
      <c r="I98" s="97"/>
      <c r="J98" s="178">
        <v>0</v>
      </c>
      <c r="K98" s="213">
        <v>46234</v>
      </c>
      <c r="L98" s="236" t="s">
        <v>208</v>
      </c>
      <c r="M98" s="237">
        <v>4563</v>
      </c>
      <c r="N98" s="149"/>
      <c r="O98" s="91"/>
      <c r="P98" s="91"/>
      <c r="Q98" s="97">
        <f t="shared" si="21"/>
        <v>0</v>
      </c>
      <c r="R98" s="104"/>
      <c r="S98" s="238">
        <f t="shared" si="22"/>
        <v>0</v>
      </c>
    </row>
    <row r="99" spans="1:19" ht="34.5" customHeight="1">
      <c r="A99" s="91">
        <v>25</v>
      </c>
      <c r="B99" s="92" t="s">
        <v>209</v>
      </c>
      <c r="C99" s="93" t="s">
        <v>210</v>
      </c>
      <c r="D99" s="235">
        <v>4563</v>
      </c>
      <c r="E99" s="149"/>
      <c r="F99" s="91"/>
      <c r="G99" s="91"/>
      <c r="H99" s="97">
        <v>0</v>
      </c>
      <c r="I99" s="97"/>
      <c r="J99" s="178">
        <v>0</v>
      </c>
      <c r="K99" s="213">
        <v>46225</v>
      </c>
      <c r="L99" s="236" t="s">
        <v>211</v>
      </c>
      <c r="M99" s="237">
        <v>4563</v>
      </c>
      <c r="N99" s="149"/>
      <c r="O99" s="91"/>
      <c r="P99" s="91"/>
      <c r="Q99" s="97">
        <f t="shared" si="21"/>
        <v>0</v>
      </c>
      <c r="R99" s="104"/>
      <c r="S99" s="238">
        <f t="shared" si="22"/>
        <v>0</v>
      </c>
    </row>
    <row r="100" spans="1:19" ht="34.5" customHeight="1">
      <c r="A100" s="91">
        <v>26</v>
      </c>
      <c r="B100" s="92" t="s">
        <v>212</v>
      </c>
      <c r="C100" s="93" t="s">
        <v>213</v>
      </c>
      <c r="D100" s="235">
        <v>4563</v>
      </c>
      <c r="E100" s="95"/>
      <c r="F100" s="91"/>
      <c r="G100" s="91"/>
      <c r="H100" s="97">
        <v>-4563</v>
      </c>
      <c r="I100" s="97"/>
      <c r="J100" s="178">
        <v>-4563</v>
      </c>
      <c r="K100" s="213">
        <v>46230</v>
      </c>
      <c r="L100" s="236" t="s">
        <v>214</v>
      </c>
      <c r="M100" s="237">
        <v>4563</v>
      </c>
      <c r="N100" s="149"/>
      <c r="O100" s="91"/>
      <c r="P100" s="91"/>
      <c r="Q100" s="97">
        <f t="shared" si="21"/>
        <v>-4563</v>
      </c>
      <c r="R100" s="104"/>
      <c r="S100" s="238">
        <f t="shared" si="22"/>
        <v>-4563</v>
      </c>
    </row>
    <row r="101" spans="1:19" ht="34.5" customHeight="1">
      <c r="A101" s="91">
        <v>27</v>
      </c>
      <c r="B101" s="92" t="s">
        <v>215</v>
      </c>
      <c r="C101" s="93" t="s">
        <v>216</v>
      </c>
      <c r="D101" s="235">
        <v>4563</v>
      </c>
      <c r="E101" s="95"/>
      <c r="F101" s="91"/>
      <c r="G101" s="91"/>
      <c r="H101" s="97">
        <v>0</v>
      </c>
      <c r="I101" s="97"/>
      <c r="J101" s="178">
        <v>0</v>
      </c>
      <c r="K101" s="213"/>
      <c r="L101" s="236"/>
      <c r="M101" s="237">
        <v>0</v>
      </c>
      <c r="N101" s="149" t="s">
        <v>41</v>
      </c>
      <c r="O101" s="91">
        <v>1</v>
      </c>
      <c r="P101" s="91">
        <v>1</v>
      </c>
      <c r="Q101" s="97">
        <f t="shared" si="21"/>
        <v>4563</v>
      </c>
      <c r="R101" s="104"/>
      <c r="S101" s="238">
        <f t="shared" si="22"/>
        <v>4563</v>
      </c>
    </row>
    <row r="102" spans="1:19" ht="34.5" customHeight="1">
      <c r="A102" s="91">
        <v>28</v>
      </c>
      <c r="B102" s="92" t="s">
        <v>217</v>
      </c>
      <c r="C102" s="93" t="s">
        <v>218</v>
      </c>
      <c r="D102" s="235">
        <v>4563</v>
      </c>
      <c r="E102" s="95" t="s">
        <v>67</v>
      </c>
      <c r="F102" s="91">
        <v>1</v>
      </c>
      <c r="G102" s="91">
        <v>1</v>
      </c>
      <c r="H102" s="97">
        <v>4563</v>
      </c>
      <c r="I102" s="97"/>
      <c r="J102" s="178">
        <v>4563</v>
      </c>
      <c r="K102" s="213">
        <v>46212</v>
      </c>
      <c r="L102" s="236" t="s">
        <v>219</v>
      </c>
      <c r="M102" s="237">
        <v>4563</v>
      </c>
      <c r="N102" s="149" t="s">
        <v>41</v>
      </c>
      <c r="O102" s="91">
        <v>1</v>
      </c>
      <c r="P102" s="91">
        <v>1</v>
      </c>
      <c r="Q102" s="97">
        <f t="shared" si="21"/>
        <v>4563</v>
      </c>
      <c r="R102" s="104"/>
      <c r="S102" s="238">
        <f t="shared" si="22"/>
        <v>4563</v>
      </c>
    </row>
    <row r="103" spans="1:19" ht="34.5" customHeight="1">
      <c r="A103" s="91">
        <v>29</v>
      </c>
      <c r="B103" s="255" t="s">
        <v>220</v>
      </c>
      <c r="C103" s="256" t="s">
        <v>221</v>
      </c>
      <c r="D103" s="257">
        <v>13689</v>
      </c>
      <c r="E103" s="95"/>
      <c r="F103" s="91"/>
      <c r="G103" s="91"/>
      <c r="H103" s="97">
        <v>0</v>
      </c>
      <c r="I103" s="97"/>
      <c r="J103" s="178">
        <v>0</v>
      </c>
      <c r="K103" s="99">
        <v>46227</v>
      </c>
      <c r="L103" s="100" t="s">
        <v>222</v>
      </c>
      <c r="M103" s="101">
        <v>13689</v>
      </c>
      <c r="N103" s="231"/>
      <c r="O103" s="147"/>
      <c r="P103" s="147"/>
      <c r="Q103" s="203">
        <f t="shared" si="21"/>
        <v>0</v>
      </c>
      <c r="R103" s="204"/>
      <c r="S103" s="238">
        <f t="shared" si="22"/>
        <v>0</v>
      </c>
    </row>
    <row r="104" spans="1:19" ht="34.5" customHeight="1">
      <c r="A104" s="258"/>
      <c r="B104" s="259" t="s">
        <v>19</v>
      </c>
      <c r="C104" s="259"/>
      <c r="D104" s="260">
        <f>SUM(D75:D103)</f>
        <v>155142</v>
      </c>
      <c r="E104" s="261"/>
      <c r="F104" s="258"/>
      <c r="G104" s="258"/>
      <c r="H104" s="262">
        <f>SUM(H75:H103)-H81-H82-H88-H89-H93-H94-H96-H100-H83-H86</f>
        <v>20533.5</v>
      </c>
      <c r="I104" s="262">
        <f t="shared" ref="I104:J104" si="23">SUM(I75:I103)-I81-I82-I88-I89-I93-I94-I96-I100-I83-I86</f>
        <v>0</v>
      </c>
      <c r="J104" s="262">
        <f t="shared" si="23"/>
        <v>20533.5</v>
      </c>
      <c r="K104" s="263"/>
      <c r="L104" s="264"/>
      <c r="M104" s="265">
        <f>SUM(M75:M103)</f>
        <v>152860.5</v>
      </c>
      <c r="N104" s="266"/>
      <c r="O104" s="258"/>
      <c r="P104" s="258"/>
      <c r="Q104" s="262">
        <f>SUM(Q75:Q103)-Q81-Q82-Q83-Q86-Q88-Q89-Q93-Q94-Q96-Q100</f>
        <v>22815</v>
      </c>
      <c r="R104" s="262">
        <f>SUM(R75:R103)-R81-R82-R83-R86-R88-R89-R93-R94-R96-R100</f>
        <v>0</v>
      </c>
      <c r="S104" s="262">
        <f>SUM(S75:S103)-S81-S82-S83-S86-S88-S89-S93-S94-S96-S100</f>
        <v>22815</v>
      </c>
    </row>
    <row r="105" spans="1:19" ht="34.5" customHeight="1">
      <c r="A105" s="53"/>
      <c r="B105" s="267" t="s">
        <v>223</v>
      </c>
      <c r="C105" s="268"/>
      <c r="D105" s="41"/>
      <c r="E105" s="198"/>
      <c r="F105" s="41"/>
      <c r="G105" s="269"/>
      <c r="H105" s="200"/>
      <c r="I105" s="200"/>
      <c r="J105" s="200"/>
      <c r="K105" s="270"/>
      <c r="L105" s="271"/>
      <c r="M105" s="272"/>
      <c r="N105" s="273"/>
      <c r="O105" s="274"/>
      <c r="P105" s="274"/>
      <c r="Q105" s="275"/>
      <c r="R105" s="276"/>
      <c r="S105" s="238"/>
    </row>
    <row r="106" spans="1:19" ht="34.5" customHeight="1">
      <c r="A106" s="91">
        <v>1</v>
      </c>
      <c r="B106" s="92" t="s">
        <v>224</v>
      </c>
      <c r="C106" s="206" t="s">
        <v>225</v>
      </c>
      <c r="D106" s="235">
        <v>2645</v>
      </c>
      <c r="E106" s="95"/>
      <c r="F106" s="91"/>
      <c r="G106" s="91"/>
      <c r="H106" s="178">
        <v>-2645</v>
      </c>
      <c r="I106" s="277"/>
      <c r="J106" s="98">
        <v>-2645</v>
      </c>
      <c r="K106" s="213">
        <v>46227</v>
      </c>
      <c r="L106" s="236" t="s">
        <v>226</v>
      </c>
      <c r="M106" s="237">
        <v>2645</v>
      </c>
      <c r="N106" s="278"/>
      <c r="O106" s="279"/>
      <c r="P106" s="279"/>
      <c r="Q106" s="223">
        <v>-2645</v>
      </c>
      <c r="R106" s="280"/>
      <c r="S106" s="223">
        <v>-2645</v>
      </c>
    </row>
    <row r="107" spans="1:19" ht="34.5" customHeight="1">
      <c r="A107" s="91">
        <v>2</v>
      </c>
      <c r="B107" s="195" t="s">
        <v>227</v>
      </c>
      <c r="C107" s="281" t="s">
        <v>225</v>
      </c>
      <c r="D107" s="235">
        <v>4200</v>
      </c>
      <c r="E107" s="95"/>
      <c r="F107" s="91"/>
      <c r="G107" s="91"/>
      <c r="H107" s="178">
        <v>0</v>
      </c>
      <c r="I107" s="277"/>
      <c r="J107" s="98">
        <v>0</v>
      </c>
      <c r="K107" s="213">
        <v>46234</v>
      </c>
      <c r="L107" s="236" t="s">
        <v>228</v>
      </c>
      <c r="M107" s="237">
        <v>4200</v>
      </c>
      <c r="N107" s="282"/>
      <c r="O107" s="279"/>
      <c r="P107" s="279"/>
      <c r="Q107" s="223">
        <v>0</v>
      </c>
      <c r="R107" s="280"/>
      <c r="S107" s="223">
        <v>0</v>
      </c>
    </row>
    <row r="108" spans="1:19" ht="34.5" customHeight="1">
      <c r="A108" s="91">
        <v>3</v>
      </c>
      <c r="B108" s="283" t="s">
        <v>107</v>
      </c>
      <c r="C108" s="284" t="s">
        <v>229</v>
      </c>
      <c r="D108" s="235">
        <v>18000</v>
      </c>
      <c r="E108" s="95"/>
      <c r="F108" s="91"/>
      <c r="G108" s="91"/>
      <c r="H108" s="178">
        <v>0</v>
      </c>
      <c r="I108" s="277"/>
      <c r="J108" s="98">
        <v>0</v>
      </c>
      <c r="K108" s="99">
        <v>46209</v>
      </c>
      <c r="L108" s="100" t="s">
        <v>230</v>
      </c>
      <c r="M108" s="101">
        <v>18000</v>
      </c>
      <c r="N108" s="285"/>
      <c r="O108" s="279"/>
      <c r="P108" s="279"/>
      <c r="Q108" s="223">
        <v>0</v>
      </c>
      <c r="R108" s="280"/>
      <c r="S108" s="238">
        <v>0</v>
      </c>
    </row>
    <row r="109" spans="1:19" ht="34.5" customHeight="1" thickBot="1">
      <c r="A109" s="120"/>
      <c r="B109" s="121" t="s">
        <v>19</v>
      </c>
      <c r="C109" s="122"/>
      <c r="D109" s="123">
        <f>SUM(D106:D108)</f>
        <v>24845</v>
      </c>
      <c r="E109" s="124"/>
      <c r="F109" s="123"/>
      <c r="G109" s="123"/>
      <c r="H109" s="125"/>
      <c r="I109" s="125"/>
      <c r="J109" s="125"/>
      <c r="K109" s="124"/>
      <c r="L109" s="124"/>
      <c r="M109" s="286">
        <f>SUM(M106:M108)</f>
        <v>24845</v>
      </c>
      <c r="N109" s="164"/>
      <c r="O109" s="123"/>
      <c r="P109" s="123"/>
      <c r="Q109" s="125">
        <f>SUM(Q106:Q108)-Q106</f>
        <v>0</v>
      </c>
      <c r="R109" s="125">
        <f t="shared" ref="R109:S109" si="24">SUM(R106:R108)-R106</f>
        <v>0</v>
      </c>
      <c r="S109" s="125">
        <f t="shared" si="24"/>
        <v>0</v>
      </c>
    </row>
    <row r="110" spans="1:19" ht="34.5" customHeight="1" thickTop="1">
      <c r="A110" s="53"/>
      <c r="B110" s="76" t="s">
        <v>231</v>
      </c>
      <c r="C110" s="77"/>
      <c r="D110" s="78"/>
      <c r="E110" s="79"/>
      <c r="F110" s="78"/>
      <c r="G110" s="80"/>
      <c r="H110" s="81"/>
      <c r="I110" s="81"/>
      <c r="J110" s="81"/>
      <c r="K110" s="82"/>
      <c r="L110" s="83"/>
      <c r="M110" s="287"/>
      <c r="N110" s="273"/>
      <c r="O110" s="274"/>
      <c r="P110" s="274"/>
      <c r="Q110" s="275"/>
      <c r="R110" s="276"/>
      <c r="S110" s="90"/>
    </row>
    <row r="111" spans="1:19" ht="34.5" customHeight="1">
      <c r="A111" s="91">
        <v>1</v>
      </c>
      <c r="B111" s="206" t="s">
        <v>232</v>
      </c>
      <c r="C111" s="93" t="s">
        <v>233</v>
      </c>
      <c r="D111" s="235">
        <v>100</v>
      </c>
      <c r="E111" s="149"/>
      <c r="F111" s="91"/>
      <c r="G111" s="91"/>
      <c r="H111" s="97">
        <v>0</v>
      </c>
      <c r="I111" s="97">
        <v>0</v>
      </c>
      <c r="J111" s="288">
        <v>0</v>
      </c>
      <c r="K111" s="213">
        <v>46230</v>
      </c>
      <c r="L111" s="236" t="s">
        <v>234</v>
      </c>
      <c r="M111" s="237">
        <v>100</v>
      </c>
      <c r="N111" s="289"/>
      <c r="O111" s="279"/>
      <c r="P111" s="279"/>
      <c r="Q111" s="223">
        <f t="shared" ref="Q111:Q139" si="25">ROUND(S111*100/107,2)</f>
        <v>0</v>
      </c>
      <c r="R111" s="280">
        <f>ROUND((Q111*0.07),2)</f>
        <v>0</v>
      </c>
      <c r="S111" s="238">
        <f t="shared" ref="S111:S139" si="26">+D111+J111-M111</f>
        <v>0</v>
      </c>
    </row>
    <row r="112" spans="1:19" ht="34.5" customHeight="1">
      <c r="A112" s="91">
        <v>2</v>
      </c>
      <c r="B112" s="206" t="s">
        <v>235</v>
      </c>
      <c r="C112" s="93" t="s">
        <v>236</v>
      </c>
      <c r="D112" s="235">
        <v>100</v>
      </c>
      <c r="E112" s="149"/>
      <c r="F112" s="91"/>
      <c r="G112" s="91"/>
      <c r="H112" s="97">
        <v>0</v>
      </c>
      <c r="I112" s="97">
        <v>0</v>
      </c>
      <c r="J112" s="178">
        <v>0</v>
      </c>
      <c r="K112" s="213">
        <v>46230</v>
      </c>
      <c r="L112" s="236" t="s">
        <v>237</v>
      </c>
      <c r="M112" s="237">
        <v>100</v>
      </c>
      <c r="N112" s="285"/>
      <c r="O112" s="279"/>
      <c r="P112" s="279"/>
      <c r="Q112" s="223">
        <f t="shared" si="25"/>
        <v>0</v>
      </c>
      <c r="R112" s="280">
        <f t="shared" ref="R112:R139" si="27">ROUND((Q112*0.07),2)</f>
        <v>0</v>
      </c>
      <c r="S112" s="238">
        <f t="shared" si="26"/>
        <v>0</v>
      </c>
    </row>
    <row r="113" spans="1:19" ht="34.5" customHeight="1">
      <c r="A113" s="91">
        <v>3</v>
      </c>
      <c r="B113" s="206" t="s">
        <v>238</v>
      </c>
      <c r="C113" s="93" t="s">
        <v>239</v>
      </c>
      <c r="D113" s="235">
        <v>100</v>
      </c>
      <c r="E113" s="149"/>
      <c r="F113" s="91"/>
      <c r="G113" s="91"/>
      <c r="H113" s="97">
        <v>0</v>
      </c>
      <c r="I113" s="97">
        <v>0</v>
      </c>
      <c r="J113" s="178">
        <v>0</v>
      </c>
      <c r="K113" s="213">
        <v>46234</v>
      </c>
      <c r="L113" s="236" t="s">
        <v>240</v>
      </c>
      <c r="M113" s="237">
        <v>100</v>
      </c>
      <c r="N113" s="285"/>
      <c r="O113" s="279"/>
      <c r="P113" s="279"/>
      <c r="Q113" s="223">
        <f t="shared" si="25"/>
        <v>0</v>
      </c>
      <c r="R113" s="280">
        <f t="shared" si="27"/>
        <v>0</v>
      </c>
      <c r="S113" s="238">
        <f t="shared" si="26"/>
        <v>0</v>
      </c>
    </row>
    <row r="114" spans="1:19" ht="34.5" customHeight="1">
      <c r="A114" s="91">
        <v>4</v>
      </c>
      <c r="B114" s="206" t="s">
        <v>241</v>
      </c>
      <c r="C114" s="93" t="s">
        <v>242</v>
      </c>
      <c r="D114" s="235">
        <v>100</v>
      </c>
      <c r="E114" s="149"/>
      <c r="F114" s="91"/>
      <c r="G114" s="91"/>
      <c r="H114" s="97">
        <v>0</v>
      </c>
      <c r="I114" s="97">
        <v>0</v>
      </c>
      <c r="J114" s="178">
        <v>0</v>
      </c>
      <c r="K114" s="213">
        <v>46234</v>
      </c>
      <c r="L114" s="236" t="s">
        <v>243</v>
      </c>
      <c r="M114" s="237">
        <v>100</v>
      </c>
      <c r="N114" s="285"/>
      <c r="O114" s="279"/>
      <c r="P114" s="279"/>
      <c r="Q114" s="223">
        <f t="shared" si="25"/>
        <v>0</v>
      </c>
      <c r="R114" s="280">
        <f t="shared" si="27"/>
        <v>0</v>
      </c>
      <c r="S114" s="238">
        <f t="shared" si="26"/>
        <v>0</v>
      </c>
    </row>
    <row r="115" spans="1:19" ht="34.5" customHeight="1">
      <c r="A115" s="91">
        <v>5</v>
      </c>
      <c r="B115" s="92" t="s">
        <v>244</v>
      </c>
      <c r="C115" s="93" t="s">
        <v>245</v>
      </c>
      <c r="D115" s="235">
        <v>100</v>
      </c>
      <c r="E115" s="149" t="s">
        <v>67</v>
      </c>
      <c r="F115" s="91">
        <v>1</v>
      </c>
      <c r="G115" s="91">
        <v>1</v>
      </c>
      <c r="H115" s="97">
        <v>93.46</v>
      </c>
      <c r="I115" s="97">
        <v>6.54</v>
      </c>
      <c r="J115" s="178">
        <v>100</v>
      </c>
      <c r="K115" s="213" t="s">
        <v>152</v>
      </c>
      <c r="L115" s="236" t="s">
        <v>246</v>
      </c>
      <c r="M115" s="237">
        <v>200</v>
      </c>
      <c r="N115" s="285"/>
      <c r="O115" s="279"/>
      <c r="P115" s="279"/>
      <c r="Q115" s="223">
        <f t="shared" si="25"/>
        <v>0</v>
      </c>
      <c r="R115" s="280">
        <f t="shared" si="27"/>
        <v>0</v>
      </c>
      <c r="S115" s="238">
        <f t="shared" si="26"/>
        <v>0</v>
      </c>
    </row>
    <row r="116" spans="1:19" ht="34.5" customHeight="1">
      <c r="A116" s="91">
        <v>6</v>
      </c>
      <c r="B116" s="92" t="s">
        <v>154</v>
      </c>
      <c r="C116" s="93" t="s">
        <v>247</v>
      </c>
      <c r="D116" s="235">
        <v>100</v>
      </c>
      <c r="E116" s="149"/>
      <c r="F116" s="91"/>
      <c r="G116" s="91"/>
      <c r="H116" s="97">
        <v>0</v>
      </c>
      <c r="I116" s="97">
        <v>0</v>
      </c>
      <c r="J116" s="178">
        <v>0</v>
      </c>
      <c r="K116" s="213"/>
      <c r="L116" s="236"/>
      <c r="M116" s="237">
        <v>0</v>
      </c>
      <c r="N116" s="285" t="s">
        <v>41</v>
      </c>
      <c r="O116" s="279">
        <v>1</v>
      </c>
      <c r="P116" s="279">
        <v>1</v>
      </c>
      <c r="Q116" s="223">
        <f t="shared" si="25"/>
        <v>93.46</v>
      </c>
      <c r="R116" s="280">
        <f t="shared" si="27"/>
        <v>6.54</v>
      </c>
      <c r="S116" s="238">
        <f t="shared" si="26"/>
        <v>100</v>
      </c>
    </row>
    <row r="117" spans="1:19" ht="34.5" customHeight="1">
      <c r="A117" s="91">
        <v>7</v>
      </c>
      <c r="B117" s="92" t="s">
        <v>248</v>
      </c>
      <c r="C117" s="93" t="s">
        <v>249</v>
      </c>
      <c r="D117" s="235">
        <v>100</v>
      </c>
      <c r="E117" s="95"/>
      <c r="F117" s="91"/>
      <c r="G117" s="91"/>
      <c r="H117" s="97">
        <v>0</v>
      </c>
      <c r="I117" s="97">
        <v>0</v>
      </c>
      <c r="J117" s="178">
        <v>0</v>
      </c>
      <c r="K117" s="213">
        <v>46227</v>
      </c>
      <c r="L117" s="236" t="s">
        <v>250</v>
      </c>
      <c r="M117" s="237">
        <v>100</v>
      </c>
      <c r="N117" s="285"/>
      <c r="O117" s="279"/>
      <c r="P117" s="279"/>
      <c r="Q117" s="223">
        <f t="shared" si="25"/>
        <v>0</v>
      </c>
      <c r="R117" s="280">
        <f t="shared" si="27"/>
        <v>0</v>
      </c>
      <c r="S117" s="238">
        <f t="shared" si="26"/>
        <v>0</v>
      </c>
    </row>
    <row r="118" spans="1:19" ht="34.5" customHeight="1">
      <c r="A118" s="91">
        <v>8</v>
      </c>
      <c r="B118" s="92" t="s">
        <v>251</v>
      </c>
      <c r="C118" s="93" t="s">
        <v>252</v>
      </c>
      <c r="D118" s="235">
        <v>100</v>
      </c>
      <c r="E118" s="149"/>
      <c r="F118" s="91"/>
      <c r="G118" s="91"/>
      <c r="H118" s="97">
        <v>0</v>
      </c>
      <c r="I118" s="97">
        <v>0</v>
      </c>
      <c r="J118" s="178">
        <v>0</v>
      </c>
      <c r="K118" s="213">
        <v>46227</v>
      </c>
      <c r="L118" s="236" t="s">
        <v>253</v>
      </c>
      <c r="M118" s="237">
        <v>100</v>
      </c>
      <c r="N118" s="285"/>
      <c r="O118" s="279"/>
      <c r="P118" s="279"/>
      <c r="Q118" s="223">
        <f t="shared" si="25"/>
        <v>0</v>
      </c>
      <c r="R118" s="280">
        <f t="shared" si="27"/>
        <v>0</v>
      </c>
      <c r="S118" s="238">
        <f t="shared" si="26"/>
        <v>0</v>
      </c>
    </row>
    <row r="119" spans="1:19" ht="34.5" customHeight="1">
      <c r="A119" s="91">
        <v>9</v>
      </c>
      <c r="B119" s="92" t="s">
        <v>161</v>
      </c>
      <c r="C119" s="93" t="s">
        <v>254</v>
      </c>
      <c r="D119" s="235">
        <v>100</v>
      </c>
      <c r="E119" s="95"/>
      <c r="F119" s="91"/>
      <c r="G119" s="91"/>
      <c r="H119" s="97">
        <v>0</v>
      </c>
      <c r="I119" s="97">
        <v>0</v>
      </c>
      <c r="J119" s="178">
        <v>0</v>
      </c>
      <c r="K119" s="213">
        <v>46234</v>
      </c>
      <c r="L119" s="236" t="s">
        <v>255</v>
      </c>
      <c r="M119" s="237">
        <v>100</v>
      </c>
      <c r="N119" s="285"/>
      <c r="O119" s="279"/>
      <c r="P119" s="279"/>
      <c r="Q119" s="223">
        <f t="shared" si="25"/>
        <v>0</v>
      </c>
      <c r="R119" s="280">
        <f t="shared" si="27"/>
        <v>0</v>
      </c>
      <c r="S119" s="238">
        <f t="shared" si="26"/>
        <v>0</v>
      </c>
    </row>
    <row r="120" spans="1:19" ht="34.5" customHeight="1">
      <c r="A120" s="91">
        <v>10</v>
      </c>
      <c r="B120" s="92" t="s">
        <v>164</v>
      </c>
      <c r="C120" s="93" t="s">
        <v>256</v>
      </c>
      <c r="D120" s="235">
        <v>100</v>
      </c>
      <c r="E120" s="149"/>
      <c r="F120" s="91"/>
      <c r="G120" s="91"/>
      <c r="H120" s="97">
        <v>0</v>
      </c>
      <c r="I120" s="97">
        <v>0</v>
      </c>
      <c r="J120" s="178">
        <v>0</v>
      </c>
      <c r="K120" s="213">
        <v>46225</v>
      </c>
      <c r="L120" s="236" t="s">
        <v>257</v>
      </c>
      <c r="M120" s="237">
        <v>100</v>
      </c>
      <c r="N120" s="285"/>
      <c r="O120" s="279"/>
      <c r="P120" s="279"/>
      <c r="Q120" s="223">
        <f t="shared" si="25"/>
        <v>0</v>
      </c>
      <c r="R120" s="280">
        <f t="shared" si="27"/>
        <v>0</v>
      </c>
      <c r="S120" s="238">
        <f t="shared" si="26"/>
        <v>0</v>
      </c>
    </row>
    <row r="121" spans="1:19" ht="34.5" customHeight="1">
      <c r="A121" s="91">
        <v>11</v>
      </c>
      <c r="B121" s="92" t="s">
        <v>258</v>
      </c>
      <c r="C121" s="93" t="s">
        <v>259</v>
      </c>
      <c r="D121" s="235">
        <v>100</v>
      </c>
      <c r="E121" s="149"/>
      <c r="F121" s="91"/>
      <c r="G121" s="91"/>
      <c r="H121" s="97">
        <v>0</v>
      </c>
      <c r="I121" s="97">
        <v>0</v>
      </c>
      <c r="J121" s="178">
        <v>0</v>
      </c>
      <c r="K121" s="213"/>
      <c r="L121" s="236"/>
      <c r="M121" s="237">
        <v>0</v>
      </c>
      <c r="N121" s="285" t="s">
        <v>41</v>
      </c>
      <c r="O121" s="279">
        <v>1</v>
      </c>
      <c r="P121" s="279">
        <v>1</v>
      </c>
      <c r="Q121" s="223">
        <f t="shared" si="25"/>
        <v>93.46</v>
      </c>
      <c r="R121" s="280">
        <f t="shared" si="27"/>
        <v>6.54</v>
      </c>
      <c r="S121" s="238">
        <f t="shared" si="26"/>
        <v>100</v>
      </c>
    </row>
    <row r="122" spans="1:19" ht="34.5" customHeight="1">
      <c r="A122" s="91">
        <v>12</v>
      </c>
      <c r="B122" s="92" t="s">
        <v>169</v>
      </c>
      <c r="C122" s="93" t="s">
        <v>260</v>
      </c>
      <c r="D122" s="235">
        <v>100</v>
      </c>
      <c r="E122" s="95"/>
      <c r="F122" s="91"/>
      <c r="G122" s="91"/>
      <c r="H122" s="97">
        <v>0</v>
      </c>
      <c r="I122" s="97">
        <v>0</v>
      </c>
      <c r="J122" s="178">
        <v>0</v>
      </c>
      <c r="K122" s="213">
        <v>46230</v>
      </c>
      <c r="L122" s="236" t="s">
        <v>261</v>
      </c>
      <c r="M122" s="237">
        <v>100</v>
      </c>
      <c r="N122" s="285"/>
      <c r="O122" s="279"/>
      <c r="P122" s="279"/>
      <c r="Q122" s="223">
        <f t="shared" si="25"/>
        <v>0</v>
      </c>
      <c r="R122" s="280">
        <f t="shared" si="27"/>
        <v>0</v>
      </c>
      <c r="S122" s="238">
        <f t="shared" si="26"/>
        <v>0</v>
      </c>
    </row>
    <row r="123" spans="1:19" ht="34.5" customHeight="1">
      <c r="A123" s="91">
        <v>13</v>
      </c>
      <c r="B123" s="92" t="s">
        <v>262</v>
      </c>
      <c r="C123" s="93" t="s">
        <v>263</v>
      </c>
      <c r="D123" s="235">
        <v>100</v>
      </c>
      <c r="E123" s="149"/>
      <c r="F123" s="91"/>
      <c r="G123" s="91"/>
      <c r="H123" s="97">
        <v>0</v>
      </c>
      <c r="I123" s="97">
        <v>0</v>
      </c>
      <c r="J123" s="178">
        <v>0</v>
      </c>
      <c r="K123" s="213">
        <v>46231</v>
      </c>
      <c r="L123" s="236" t="s">
        <v>264</v>
      </c>
      <c r="M123" s="237">
        <v>100</v>
      </c>
      <c r="N123" s="285"/>
      <c r="O123" s="279"/>
      <c r="P123" s="279"/>
      <c r="Q123" s="223">
        <f t="shared" si="25"/>
        <v>0</v>
      </c>
      <c r="R123" s="280">
        <f t="shared" si="27"/>
        <v>0</v>
      </c>
      <c r="S123" s="238">
        <f t="shared" si="26"/>
        <v>0</v>
      </c>
    </row>
    <row r="124" spans="1:19" ht="34.5" customHeight="1">
      <c r="A124" s="91">
        <v>14</v>
      </c>
      <c r="B124" s="92" t="s">
        <v>265</v>
      </c>
      <c r="C124" s="93" t="s">
        <v>266</v>
      </c>
      <c r="D124" s="235">
        <v>100</v>
      </c>
      <c r="E124" s="149"/>
      <c r="F124" s="91"/>
      <c r="G124" s="91"/>
      <c r="H124" s="97">
        <v>0</v>
      </c>
      <c r="I124" s="97">
        <v>0</v>
      </c>
      <c r="J124" s="178">
        <v>0</v>
      </c>
      <c r="K124" s="213">
        <v>46223</v>
      </c>
      <c r="L124" s="236" t="s">
        <v>267</v>
      </c>
      <c r="M124" s="237">
        <v>100</v>
      </c>
      <c r="N124" s="285"/>
      <c r="O124" s="279"/>
      <c r="P124" s="279"/>
      <c r="Q124" s="223">
        <f t="shared" si="25"/>
        <v>0</v>
      </c>
      <c r="R124" s="280">
        <f t="shared" si="27"/>
        <v>0</v>
      </c>
      <c r="S124" s="238">
        <f t="shared" si="26"/>
        <v>0</v>
      </c>
    </row>
    <row r="125" spans="1:19" ht="34.5" customHeight="1">
      <c r="A125" s="91">
        <v>15</v>
      </c>
      <c r="B125" s="92" t="s">
        <v>268</v>
      </c>
      <c r="C125" s="93" t="s">
        <v>269</v>
      </c>
      <c r="D125" s="235">
        <v>100</v>
      </c>
      <c r="E125" s="149"/>
      <c r="F125" s="91"/>
      <c r="G125" s="91"/>
      <c r="H125" s="97">
        <v>0</v>
      </c>
      <c r="I125" s="97">
        <v>0</v>
      </c>
      <c r="J125" s="178">
        <v>0</v>
      </c>
      <c r="K125" s="213">
        <v>46223</v>
      </c>
      <c r="L125" s="236" t="s">
        <v>270</v>
      </c>
      <c r="M125" s="237">
        <v>100</v>
      </c>
      <c r="N125" s="285"/>
      <c r="O125" s="279"/>
      <c r="P125" s="279"/>
      <c r="Q125" s="223">
        <f t="shared" si="25"/>
        <v>0</v>
      </c>
      <c r="R125" s="280">
        <f t="shared" si="27"/>
        <v>0</v>
      </c>
      <c r="S125" s="238">
        <f t="shared" si="26"/>
        <v>0</v>
      </c>
    </row>
    <row r="126" spans="1:19" ht="34.5" customHeight="1">
      <c r="A126" s="91">
        <v>16</v>
      </c>
      <c r="B126" s="92" t="s">
        <v>271</v>
      </c>
      <c r="C126" s="93" t="s">
        <v>272</v>
      </c>
      <c r="D126" s="235">
        <v>100</v>
      </c>
      <c r="E126" s="95" t="s">
        <v>67</v>
      </c>
      <c r="F126" s="91">
        <v>1</v>
      </c>
      <c r="G126" s="91">
        <v>1</v>
      </c>
      <c r="H126" s="97">
        <v>46.73</v>
      </c>
      <c r="I126" s="97">
        <v>3.27</v>
      </c>
      <c r="J126" s="178">
        <v>50</v>
      </c>
      <c r="K126" s="213" t="s">
        <v>273</v>
      </c>
      <c r="L126" s="236" t="s">
        <v>274</v>
      </c>
      <c r="M126" s="237">
        <v>150</v>
      </c>
      <c r="N126" s="289"/>
      <c r="O126" s="279"/>
      <c r="P126" s="279"/>
      <c r="Q126" s="223">
        <f t="shared" si="25"/>
        <v>0</v>
      </c>
      <c r="R126" s="280">
        <f t="shared" si="27"/>
        <v>0</v>
      </c>
      <c r="S126" s="238">
        <f t="shared" si="26"/>
        <v>0</v>
      </c>
    </row>
    <row r="127" spans="1:19" ht="34.5" customHeight="1">
      <c r="A127" s="91">
        <v>17</v>
      </c>
      <c r="B127" s="92" t="s">
        <v>185</v>
      </c>
      <c r="C127" s="93" t="s">
        <v>275</v>
      </c>
      <c r="D127" s="235">
        <v>100</v>
      </c>
      <c r="E127" s="95"/>
      <c r="F127" s="91"/>
      <c r="G127" s="91"/>
      <c r="H127" s="97">
        <v>0</v>
      </c>
      <c r="I127" s="97">
        <v>0</v>
      </c>
      <c r="J127" s="178">
        <v>0</v>
      </c>
      <c r="K127" s="213">
        <v>46227</v>
      </c>
      <c r="L127" s="236" t="s">
        <v>276</v>
      </c>
      <c r="M127" s="237">
        <v>100</v>
      </c>
      <c r="N127" s="285"/>
      <c r="O127" s="279"/>
      <c r="P127" s="279"/>
      <c r="Q127" s="223">
        <f t="shared" si="25"/>
        <v>0</v>
      </c>
      <c r="R127" s="280">
        <f t="shared" si="27"/>
        <v>0</v>
      </c>
      <c r="S127" s="238">
        <f t="shared" si="26"/>
        <v>0</v>
      </c>
    </row>
    <row r="128" spans="1:19" ht="34.5" customHeight="1">
      <c r="A128" s="91">
        <v>18</v>
      </c>
      <c r="B128" s="92" t="s">
        <v>277</v>
      </c>
      <c r="C128" s="93" t="s">
        <v>278</v>
      </c>
      <c r="D128" s="235">
        <v>100</v>
      </c>
      <c r="E128" s="149"/>
      <c r="F128" s="91"/>
      <c r="G128" s="91"/>
      <c r="H128" s="97">
        <v>0</v>
      </c>
      <c r="I128" s="97">
        <v>0</v>
      </c>
      <c r="J128" s="178">
        <v>0</v>
      </c>
      <c r="K128" s="213">
        <v>46234</v>
      </c>
      <c r="L128" s="236" t="s">
        <v>279</v>
      </c>
      <c r="M128" s="237">
        <v>100</v>
      </c>
      <c r="N128" s="285"/>
      <c r="O128" s="279"/>
      <c r="P128" s="279"/>
      <c r="Q128" s="223">
        <f t="shared" si="25"/>
        <v>0</v>
      </c>
      <c r="R128" s="280">
        <f t="shared" si="27"/>
        <v>0</v>
      </c>
      <c r="S128" s="238">
        <f t="shared" si="26"/>
        <v>0</v>
      </c>
    </row>
    <row r="129" spans="1:19" ht="34.5" customHeight="1">
      <c r="A129" s="91">
        <v>19</v>
      </c>
      <c r="B129" s="92" t="s">
        <v>280</v>
      </c>
      <c r="C129" s="93" t="s">
        <v>281</v>
      </c>
      <c r="D129" s="235">
        <v>100</v>
      </c>
      <c r="E129" s="95"/>
      <c r="F129" s="91"/>
      <c r="G129" s="91"/>
      <c r="H129" s="97">
        <v>0</v>
      </c>
      <c r="I129" s="97">
        <v>0</v>
      </c>
      <c r="J129" s="178">
        <v>0</v>
      </c>
      <c r="K129" s="213">
        <v>46223</v>
      </c>
      <c r="L129" s="236" t="s">
        <v>282</v>
      </c>
      <c r="M129" s="237">
        <v>100</v>
      </c>
      <c r="N129" s="285"/>
      <c r="O129" s="279"/>
      <c r="P129" s="279"/>
      <c r="Q129" s="223">
        <f t="shared" si="25"/>
        <v>0</v>
      </c>
      <c r="R129" s="280">
        <f t="shared" si="27"/>
        <v>0</v>
      </c>
      <c r="S129" s="238">
        <f t="shared" si="26"/>
        <v>0</v>
      </c>
    </row>
    <row r="130" spans="1:19" ht="34.5" customHeight="1">
      <c r="A130" s="91">
        <v>20</v>
      </c>
      <c r="B130" s="92" t="s">
        <v>283</v>
      </c>
      <c r="C130" s="93" t="s">
        <v>284</v>
      </c>
      <c r="D130" s="235">
        <v>100</v>
      </c>
      <c r="E130" s="149"/>
      <c r="F130" s="91"/>
      <c r="G130" s="91"/>
      <c r="H130" s="97">
        <v>0</v>
      </c>
      <c r="I130" s="97">
        <v>0</v>
      </c>
      <c r="J130" s="178">
        <v>0</v>
      </c>
      <c r="K130" s="213">
        <v>46234</v>
      </c>
      <c r="L130" s="236" t="s">
        <v>285</v>
      </c>
      <c r="M130" s="237">
        <v>100</v>
      </c>
      <c r="N130" s="285"/>
      <c r="O130" s="279"/>
      <c r="P130" s="279"/>
      <c r="Q130" s="223">
        <f t="shared" si="25"/>
        <v>0</v>
      </c>
      <c r="R130" s="280">
        <f t="shared" si="27"/>
        <v>0</v>
      </c>
      <c r="S130" s="238">
        <f t="shared" si="26"/>
        <v>0</v>
      </c>
    </row>
    <row r="131" spans="1:19" ht="34.5" customHeight="1">
      <c r="A131" s="91">
        <v>21</v>
      </c>
      <c r="B131" s="92" t="s">
        <v>197</v>
      </c>
      <c r="C131" s="93" t="s">
        <v>286</v>
      </c>
      <c r="D131" s="235">
        <v>100</v>
      </c>
      <c r="E131" s="95"/>
      <c r="F131" s="91"/>
      <c r="G131" s="91"/>
      <c r="H131" s="97">
        <v>0</v>
      </c>
      <c r="I131" s="97">
        <v>0</v>
      </c>
      <c r="J131" s="178">
        <v>0</v>
      </c>
      <c r="K131" s="213">
        <v>46230</v>
      </c>
      <c r="L131" s="236" t="s">
        <v>287</v>
      </c>
      <c r="M131" s="237">
        <v>100</v>
      </c>
      <c r="N131" s="285"/>
      <c r="O131" s="279"/>
      <c r="P131" s="279"/>
      <c r="Q131" s="223">
        <f t="shared" si="25"/>
        <v>0</v>
      </c>
      <c r="R131" s="280">
        <f t="shared" si="27"/>
        <v>0</v>
      </c>
      <c r="S131" s="238">
        <f t="shared" si="26"/>
        <v>0</v>
      </c>
    </row>
    <row r="132" spans="1:19" ht="34.5" customHeight="1">
      <c r="A132" s="91">
        <v>22</v>
      </c>
      <c r="B132" s="92" t="s">
        <v>288</v>
      </c>
      <c r="C132" s="93" t="s">
        <v>289</v>
      </c>
      <c r="D132" s="235">
        <v>100</v>
      </c>
      <c r="E132" s="95"/>
      <c r="F132" s="91"/>
      <c r="G132" s="91"/>
      <c r="H132" s="97">
        <v>0</v>
      </c>
      <c r="I132" s="97">
        <v>0</v>
      </c>
      <c r="J132" s="178">
        <v>0</v>
      </c>
      <c r="K132" s="213">
        <v>46227</v>
      </c>
      <c r="L132" s="236" t="s">
        <v>290</v>
      </c>
      <c r="M132" s="237">
        <v>100</v>
      </c>
      <c r="N132" s="285"/>
      <c r="O132" s="279"/>
      <c r="P132" s="279"/>
      <c r="Q132" s="223">
        <f t="shared" si="25"/>
        <v>0</v>
      </c>
      <c r="R132" s="280">
        <f t="shared" si="27"/>
        <v>0</v>
      </c>
      <c r="S132" s="238">
        <f t="shared" si="26"/>
        <v>0</v>
      </c>
    </row>
    <row r="133" spans="1:19" ht="34.5" customHeight="1">
      <c r="A133" s="91">
        <v>23</v>
      </c>
      <c r="B133" s="92" t="s">
        <v>291</v>
      </c>
      <c r="C133" s="93" t="s">
        <v>292</v>
      </c>
      <c r="D133" s="235">
        <v>100</v>
      </c>
      <c r="E133" s="95"/>
      <c r="F133" s="91"/>
      <c r="G133" s="91"/>
      <c r="H133" s="97">
        <v>0</v>
      </c>
      <c r="I133" s="97">
        <v>0</v>
      </c>
      <c r="J133" s="178">
        <v>0</v>
      </c>
      <c r="K133" s="213">
        <v>46234</v>
      </c>
      <c r="L133" s="236" t="s">
        <v>293</v>
      </c>
      <c r="M133" s="237">
        <v>100</v>
      </c>
      <c r="N133" s="285"/>
      <c r="O133" s="285"/>
      <c r="P133" s="279"/>
      <c r="Q133" s="223">
        <f t="shared" si="25"/>
        <v>0</v>
      </c>
      <c r="R133" s="280">
        <f t="shared" si="27"/>
        <v>0</v>
      </c>
      <c r="S133" s="238">
        <f t="shared" si="26"/>
        <v>0</v>
      </c>
    </row>
    <row r="134" spans="1:19" ht="34.5" customHeight="1">
      <c r="A134" s="91">
        <v>24</v>
      </c>
      <c r="B134" s="92" t="s">
        <v>294</v>
      </c>
      <c r="C134" s="93" t="s">
        <v>295</v>
      </c>
      <c r="D134" s="235">
        <v>100</v>
      </c>
      <c r="E134" s="95"/>
      <c r="F134" s="91"/>
      <c r="G134" s="91"/>
      <c r="H134" s="97">
        <v>0</v>
      </c>
      <c r="I134" s="97">
        <v>0</v>
      </c>
      <c r="J134" s="178">
        <v>0</v>
      </c>
      <c r="K134" s="213">
        <v>46231</v>
      </c>
      <c r="L134" s="236" t="s">
        <v>296</v>
      </c>
      <c r="M134" s="237">
        <v>100</v>
      </c>
      <c r="N134" s="285"/>
      <c r="O134" s="279"/>
      <c r="P134" s="279"/>
      <c r="Q134" s="223">
        <f t="shared" si="25"/>
        <v>0</v>
      </c>
      <c r="R134" s="280">
        <f t="shared" si="27"/>
        <v>0</v>
      </c>
      <c r="S134" s="238">
        <f t="shared" si="26"/>
        <v>0</v>
      </c>
    </row>
    <row r="135" spans="1:19" ht="34.5" customHeight="1">
      <c r="A135" s="91">
        <v>25</v>
      </c>
      <c r="B135" s="92" t="s">
        <v>297</v>
      </c>
      <c r="C135" s="93" t="s">
        <v>298</v>
      </c>
      <c r="D135" s="235">
        <v>100</v>
      </c>
      <c r="E135" s="149"/>
      <c r="F135" s="91"/>
      <c r="G135" s="91"/>
      <c r="H135" s="97">
        <v>0</v>
      </c>
      <c r="I135" s="97">
        <v>0</v>
      </c>
      <c r="J135" s="178">
        <v>0</v>
      </c>
      <c r="K135" s="213">
        <v>46225</v>
      </c>
      <c r="L135" s="236" t="s">
        <v>299</v>
      </c>
      <c r="M135" s="237">
        <v>100</v>
      </c>
      <c r="N135" s="285"/>
      <c r="O135" s="279"/>
      <c r="P135" s="279"/>
      <c r="Q135" s="223">
        <f t="shared" si="25"/>
        <v>0</v>
      </c>
      <c r="R135" s="280">
        <f t="shared" si="27"/>
        <v>0</v>
      </c>
      <c r="S135" s="238">
        <f t="shared" si="26"/>
        <v>0</v>
      </c>
    </row>
    <row r="136" spans="1:19" ht="34.5" customHeight="1">
      <c r="A136" s="91">
        <v>26</v>
      </c>
      <c r="B136" s="92" t="s">
        <v>300</v>
      </c>
      <c r="C136" s="93" t="s">
        <v>301</v>
      </c>
      <c r="D136" s="235">
        <v>100</v>
      </c>
      <c r="E136" s="95"/>
      <c r="F136" s="91"/>
      <c r="G136" s="91"/>
      <c r="H136" s="97">
        <v>0</v>
      </c>
      <c r="I136" s="97">
        <v>0</v>
      </c>
      <c r="J136" s="178">
        <v>0</v>
      </c>
      <c r="K136" s="213">
        <v>46230</v>
      </c>
      <c r="L136" s="236" t="s">
        <v>302</v>
      </c>
      <c r="M136" s="237">
        <v>100</v>
      </c>
      <c r="N136" s="285"/>
      <c r="O136" s="279"/>
      <c r="P136" s="279"/>
      <c r="Q136" s="223">
        <f t="shared" si="25"/>
        <v>0</v>
      </c>
      <c r="R136" s="280">
        <f t="shared" si="27"/>
        <v>0</v>
      </c>
      <c r="S136" s="238">
        <f t="shared" si="26"/>
        <v>0</v>
      </c>
    </row>
    <row r="137" spans="1:19" ht="34.5" customHeight="1">
      <c r="A137" s="91">
        <v>27</v>
      </c>
      <c r="B137" s="92" t="s">
        <v>303</v>
      </c>
      <c r="C137" s="93" t="s">
        <v>304</v>
      </c>
      <c r="D137" s="235">
        <v>100</v>
      </c>
      <c r="E137" s="95"/>
      <c r="F137" s="91"/>
      <c r="G137" s="91"/>
      <c r="H137" s="97">
        <v>0</v>
      </c>
      <c r="I137" s="97">
        <v>0</v>
      </c>
      <c r="J137" s="178">
        <v>0</v>
      </c>
      <c r="K137" s="213"/>
      <c r="L137" s="236"/>
      <c r="M137" s="237">
        <v>0</v>
      </c>
      <c r="N137" s="285" t="s">
        <v>41</v>
      </c>
      <c r="O137" s="285">
        <v>1</v>
      </c>
      <c r="P137" s="285">
        <v>1</v>
      </c>
      <c r="Q137" s="223">
        <f t="shared" si="25"/>
        <v>93.46</v>
      </c>
      <c r="R137" s="280">
        <f t="shared" si="27"/>
        <v>6.54</v>
      </c>
      <c r="S137" s="238">
        <f t="shared" si="26"/>
        <v>100</v>
      </c>
    </row>
    <row r="138" spans="1:19" ht="34.5" customHeight="1">
      <c r="A138" s="91">
        <v>28</v>
      </c>
      <c r="B138" s="92" t="s">
        <v>217</v>
      </c>
      <c r="C138" s="93" t="s">
        <v>305</v>
      </c>
      <c r="D138" s="235">
        <v>100</v>
      </c>
      <c r="E138" s="95" t="s">
        <v>67</v>
      </c>
      <c r="F138" s="91">
        <v>1</v>
      </c>
      <c r="G138" s="91">
        <v>1</v>
      </c>
      <c r="H138" s="97">
        <v>93.46</v>
      </c>
      <c r="I138" s="97">
        <v>6.54</v>
      </c>
      <c r="J138" s="178">
        <v>100</v>
      </c>
      <c r="K138" s="213">
        <v>46212</v>
      </c>
      <c r="L138" s="236" t="s">
        <v>306</v>
      </c>
      <c r="M138" s="237">
        <v>100</v>
      </c>
      <c r="N138" s="289" t="s">
        <v>41</v>
      </c>
      <c r="O138" s="279">
        <v>1</v>
      </c>
      <c r="P138" s="279">
        <v>1</v>
      </c>
      <c r="Q138" s="223">
        <f t="shared" si="25"/>
        <v>93.46</v>
      </c>
      <c r="R138" s="280">
        <f t="shared" si="27"/>
        <v>6.54</v>
      </c>
      <c r="S138" s="238">
        <f t="shared" si="26"/>
        <v>100</v>
      </c>
    </row>
    <row r="139" spans="1:19" ht="34.5" customHeight="1">
      <c r="A139" s="91">
        <v>29</v>
      </c>
      <c r="B139" s="92" t="s">
        <v>307</v>
      </c>
      <c r="C139" s="93" t="s">
        <v>308</v>
      </c>
      <c r="D139" s="235">
        <v>100</v>
      </c>
      <c r="E139" s="95"/>
      <c r="F139" s="91"/>
      <c r="G139" s="91"/>
      <c r="H139" s="97">
        <v>0</v>
      </c>
      <c r="I139" s="97">
        <v>0</v>
      </c>
      <c r="J139" s="178">
        <v>0</v>
      </c>
      <c r="K139" s="213">
        <v>46227</v>
      </c>
      <c r="L139" s="236" t="s">
        <v>309</v>
      </c>
      <c r="M139" s="237">
        <v>100</v>
      </c>
      <c r="N139" s="285"/>
      <c r="O139" s="279"/>
      <c r="P139" s="279"/>
      <c r="Q139" s="223">
        <f t="shared" si="25"/>
        <v>0</v>
      </c>
      <c r="R139" s="280">
        <f t="shared" si="27"/>
        <v>0</v>
      </c>
      <c r="S139" s="238">
        <f t="shared" si="26"/>
        <v>0</v>
      </c>
    </row>
    <row r="140" spans="1:19" ht="34.5" customHeight="1" thickBot="1">
      <c r="A140" s="120"/>
      <c r="B140" s="121" t="s">
        <v>19</v>
      </c>
      <c r="C140" s="122"/>
      <c r="D140" s="123">
        <f>SUM(D111:D139)</f>
        <v>2900</v>
      </c>
      <c r="E140" s="124"/>
      <c r="F140" s="123"/>
      <c r="G140" s="123"/>
      <c r="H140" s="125">
        <f>SUM(H111:H139)</f>
        <v>233.64999999999998</v>
      </c>
      <c r="I140" s="125">
        <f t="shared" ref="I140:J140" si="28">SUM(I111:I139)</f>
        <v>16.350000000000001</v>
      </c>
      <c r="J140" s="125">
        <f t="shared" si="28"/>
        <v>250</v>
      </c>
      <c r="K140" s="290"/>
      <c r="L140" s="291"/>
      <c r="M140" s="292">
        <f>SUM(M111:M139)</f>
        <v>2750</v>
      </c>
      <c r="N140" s="293"/>
      <c r="O140" s="294"/>
      <c r="P140" s="294"/>
      <c r="Q140" s="126">
        <f>SUM(Q111:Q139)</f>
        <v>373.84</v>
      </c>
      <c r="R140" s="295">
        <f t="shared" ref="R140" si="29">SUM(R111:R139)</f>
        <v>26.16</v>
      </c>
      <c r="S140" s="262">
        <f>SUM(S111:S139)</f>
        <v>400</v>
      </c>
    </row>
    <row r="141" spans="1:19" ht="34.5" customHeight="1" thickTop="1">
      <c r="A141" s="53"/>
      <c r="B141" s="76" t="s">
        <v>310</v>
      </c>
      <c r="C141" s="77"/>
      <c r="D141" s="78"/>
      <c r="E141" s="79"/>
      <c r="F141" s="78"/>
      <c r="G141" s="80"/>
      <c r="H141" s="81"/>
      <c r="I141" s="81"/>
      <c r="J141" s="81"/>
      <c r="K141" s="82"/>
      <c r="L141" s="83"/>
      <c r="M141" s="287"/>
      <c r="N141" s="273"/>
      <c r="O141" s="274"/>
      <c r="P141" s="274"/>
      <c r="Q141" s="275"/>
      <c r="R141" s="276"/>
      <c r="S141" s="90"/>
    </row>
    <row r="142" spans="1:19" ht="34.5" customHeight="1">
      <c r="A142" s="91">
        <v>1</v>
      </c>
      <c r="B142" s="127" t="s">
        <v>311</v>
      </c>
      <c r="C142" s="296" t="s">
        <v>312</v>
      </c>
      <c r="D142" s="297">
        <v>561.75</v>
      </c>
      <c r="E142" s="95"/>
      <c r="F142" s="91"/>
      <c r="G142" s="91"/>
      <c r="H142" s="97">
        <v>0</v>
      </c>
      <c r="I142" s="97">
        <v>0</v>
      </c>
      <c r="J142" s="178">
        <v>0</v>
      </c>
      <c r="K142" s="213">
        <v>46230</v>
      </c>
      <c r="L142" s="236" t="s">
        <v>313</v>
      </c>
      <c r="M142" s="237">
        <v>561.75</v>
      </c>
      <c r="N142" s="289"/>
      <c r="O142" s="279"/>
      <c r="P142" s="279"/>
      <c r="Q142" s="223">
        <f t="shared" ref="Q142:Q205" si="30">ROUND(S142*100/107,2)</f>
        <v>0</v>
      </c>
      <c r="R142" s="280">
        <f t="shared" ref="R142:R205" si="31">ROUND((Q142*0.07),2)</f>
        <v>0</v>
      </c>
      <c r="S142" s="238">
        <f t="shared" ref="S142:S205" si="32">+D142+J142-M142</f>
        <v>0</v>
      </c>
    </row>
    <row r="143" spans="1:19" ht="34.5" customHeight="1">
      <c r="A143" s="91">
        <v>2</v>
      </c>
      <c r="B143" s="127" t="s">
        <v>235</v>
      </c>
      <c r="C143" s="296" t="s">
        <v>314</v>
      </c>
      <c r="D143" s="297">
        <v>149.80000000000001</v>
      </c>
      <c r="E143" s="149"/>
      <c r="F143" s="91"/>
      <c r="G143" s="91"/>
      <c r="H143" s="97">
        <v>0</v>
      </c>
      <c r="I143" s="97">
        <v>0</v>
      </c>
      <c r="J143" s="178">
        <v>0</v>
      </c>
      <c r="K143" s="213">
        <v>46230</v>
      </c>
      <c r="L143" s="236" t="s">
        <v>315</v>
      </c>
      <c r="M143" s="237">
        <v>149.80000000000001</v>
      </c>
      <c r="N143" s="285"/>
      <c r="O143" s="279"/>
      <c r="P143" s="279"/>
      <c r="Q143" s="223">
        <f t="shared" si="30"/>
        <v>0</v>
      </c>
      <c r="R143" s="280">
        <f t="shared" si="31"/>
        <v>0</v>
      </c>
      <c r="S143" s="238">
        <f t="shared" si="32"/>
        <v>0</v>
      </c>
    </row>
    <row r="144" spans="1:19" ht="34.5" customHeight="1">
      <c r="A144" s="91">
        <v>3</v>
      </c>
      <c r="B144" s="127" t="s">
        <v>238</v>
      </c>
      <c r="C144" s="296" t="s">
        <v>316</v>
      </c>
      <c r="D144" s="297">
        <v>112.35</v>
      </c>
      <c r="E144" s="149"/>
      <c r="F144" s="91"/>
      <c r="G144" s="91"/>
      <c r="H144" s="97">
        <v>0</v>
      </c>
      <c r="I144" s="97">
        <v>0</v>
      </c>
      <c r="J144" s="178">
        <v>0</v>
      </c>
      <c r="K144" s="213">
        <v>46234</v>
      </c>
      <c r="L144" s="236" t="s">
        <v>317</v>
      </c>
      <c r="M144" s="237">
        <v>112.35</v>
      </c>
      <c r="N144" s="285"/>
      <c r="O144" s="279"/>
      <c r="P144" s="279"/>
      <c r="Q144" s="223">
        <f t="shared" si="30"/>
        <v>0</v>
      </c>
      <c r="R144" s="280">
        <f t="shared" si="31"/>
        <v>0</v>
      </c>
      <c r="S144" s="238">
        <f t="shared" si="32"/>
        <v>0</v>
      </c>
    </row>
    <row r="145" spans="1:19" ht="34.5" customHeight="1">
      <c r="A145" s="91">
        <v>4</v>
      </c>
      <c r="B145" s="127" t="s">
        <v>318</v>
      </c>
      <c r="C145" s="296" t="s">
        <v>319</v>
      </c>
      <c r="D145" s="297">
        <v>112.35</v>
      </c>
      <c r="E145" s="95"/>
      <c r="F145" s="91"/>
      <c r="G145" s="91"/>
      <c r="H145" s="97">
        <v>0</v>
      </c>
      <c r="I145" s="97">
        <v>0</v>
      </c>
      <c r="J145" s="178">
        <v>0</v>
      </c>
      <c r="K145" s="213">
        <v>46234</v>
      </c>
      <c r="L145" s="236" t="s">
        <v>320</v>
      </c>
      <c r="M145" s="237">
        <v>112.35</v>
      </c>
      <c r="N145" s="285"/>
      <c r="O145" s="279"/>
      <c r="P145" s="279"/>
      <c r="Q145" s="223">
        <f t="shared" si="30"/>
        <v>0</v>
      </c>
      <c r="R145" s="280">
        <f t="shared" si="31"/>
        <v>0</v>
      </c>
      <c r="S145" s="238">
        <f t="shared" si="32"/>
        <v>0</v>
      </c>
    </row>
    <row r="146" spans="1:19" ht="34.5" customHeight="1">
      <c r="A146" s="91">
        <v>5</v>
      </c>
      <c r="B146" s="298" t="s">
        <v>244</v>
      </c>
      <c r="C146" s="296" t="s">
        <v>321</v>
      </c>
      <c r="D146" s="297">
        <v>1198.4000000000001</v>
      </c>
      <c r="E146" s="149" t="s">
        <v>67</v>
      </c>
      <c r="F146" s="91">
        <v>1</v>
      </c>
      <c r="G146" s="91">
        <v>1</v>
      </c>
      <c r="H146" s="97">
        <v>910</v>
      </c>
      <c r="I146" s="97">
        <v>63.7</v>
      </c>
      <c r="J146" s="178">
        <v>973.7</v>
      </c>
      <c r="K146" s="213" t="s">
        <v>152</v>
      </c>
      <c r="L146" s="236" t="s">
        <v>322</v>
      </c>
      <c r="M146" s="237">
        <v>2172.1000000000004</v>
      </c>
      <c r="N146" s="285"/>
      <c r="O146" s="279"/>
      <c r="P146" s="279"/>
      <c r="Q146" s="223">
        <f t="shared" si="30"/>
        <v>0</v>
      </c>
      <c r="R146" s="280">
        <f t="shared" si="31"/>
        <v>0</v>
      </c>
      <c r="S146" s="238">
        <f t="shared" si="32"/>
        <v>0</v>
      </c>
    </row>
    <row r="147" spans="1:19" ht="34.5" customHeight="1">
      <c r="A147" s="91">
        <v>6</v>
      </c>
      <c r="B147" s="298" t="s">
        <v>154</v>
      </c>
      <c r="C147" s="296" t="s">
        <v>323</v>
      </c>
      <c r="D147" s="297">
        <v>112.35</v>
      </c>
      <c r="E147" s="149"/>
      <c r="F147" s="91"/>
      <c r="G147" s="91"/>
      <c r="H147" s="97">
        <v>0</v>
      </c>
      <c r="I147" s="97">
        <v>0</v>
      </c>
      <c r="J147" s="178">
        <v>0</v>
      </c>
      <c r="K147" s="213"/>
      <c r="L147" s="236"/>
      <c r="M147" s="237">
        <v>0</v>
      </c>
      <c r="N147" s="285" t="s">
        <v>41</v>
      </c>
      <c r="O147" s="279">
        <v>1</v>
      </c>
      <c r="P147" s="279">
        <v>1</v>
      </c>
      <c r="Q147" s="223">
        <f t="shared" si="30"/>
        <v>105</v>
      </c>
      <c r="R147" s="280">
        <f t="shared" si="31"/>
        <v>7.35</v>
      </c>
      <c r="S147" s="238">
        <f t="shared" si="32"/>
        <v>112.35</v>
      </c>
    </row>
    <row r="148" spans="1:19" ht="34.5" customHeight="1">
      <c r="A148" s="91">
        <v>7</v>
      </c>
      <c r="B148" s="298" t="s">
        <v>251</v>
      </c>
      <c r="C148" s="296" t="s">
        <v>324</v>
      </c>
      <c r="D148" s="297">
        <v>0</v>
      </c>
      <c r="E148" s="95"/>
      <c r="F148" s="91"/>
      <c r="G148" s="91"/>
      <c r="H148" s="97">
        <v>0</v>
      </c>
      <c r="I148" s="97">
        <v>0</v>
      </c>
      <c r="J148" s="178">
        <v>0</v>
      </c>
      <c r="K148" s="213"/>
      <c r="L148" s="236"/>
      <c r="M148" s="237">
        <v>0</v>
      </c>
      <c r="N148" s="285"/>
      <c r="O148" s="279"/>
      <c r="P148" s="279"/>
      <c r="Q148" s="223">
        <f t="shared" si="30"/>
        <v>0</v>
      </c>
      <c r="R148" s="280">
        <f t="shared" si="31"/>
        <v>0</v>
      </c>
      <c r="S148" s="238">
        <f t="shared" si="32"/>
        <v>0</v>
      </c>
    </row>
    <row r="149" spans="1:19" ht="34.5" customHeight="1">
      <c r="A149" s="91">
        <v>8</v>
      </c>
      <c r="B149" s="298" t="s">
        <v>251</v>
      </c>
      <c r="C149" s="296" t="s">
        <v>325</v>
      </c>
      <c r="D149" s="297">
        <v>374.5</v>
      </c>
      <c r="E149" s="149"/>
      <c r="F149" s="91"/>
      <c r="G149" s="91"/>
      <c r="H149" s="97">
        <v>0</v>
      </c>
      <c r="I149" s="97">
        <v>0</v>
      </c>
      <c r="J149" s="178">
        <v>0</v>
      </c>
      <c r="K149" s="213">
        <v>46227</v>
      </c>
      <c r="L149" s="236" t="s">
        <v>326</v>
      </c>
      <c r="M149" s="237">
        <v>374.5</v>
      </c>
      <c r="N149" s="285"/>
      <c r="O149" s="279"/>
      <c r="P149" s="279"/>
      <c r="Q149" s="223">
        <f t="shared" si="30"/>
        <v>0</v>
      </c>
      <c r="R149" s="280">
        <f t="shared" si="31"/>
        <v>0</v>
      </c>
      <c r="S149" s="238">
        <f t="shared" si="32"/>
        <v>0</v>
      </c>
    </row>
    <row r="150" spans="1:19" ht="34.5" customHeight="1">
      <c r="A150" s="91">
        <v>9</v>
      </c>
      <c r="B150" s="298" t="s">
        <v>161</v>
      </c>
      <c r="C150" s="296" t="s">
        <v>327</v>
      </c>
      <c r="D150" s="297">
        <v>674.1</v>
      </c>
      <c r="E150" s="95"/>
      <c r="F150" s="91"/>
      <c r="G150" s="91"/>
      <c r="H150" s="97">
        <v>0</v>
      </c>
      <c r="I150" s="97">
        <v>0</v>
      </c>
      <c r="J150" s="178">
        <v>0</v>
      </c>
      <c r="K150" s="213">
        <v>46234</v>
      </c>
      <c r="L150" s="236" t="s">
        <v>328</v>
      </c>
      <c r="M150" s="237">
        <v>674.1</v>
      </c>
      <c r="N150" s="285"/>
      <c r="O150" s="279"/>
      <c r="P150" s="279"/>
      <c r="Q150" s="223">
        <f t="shared" si="30"/>
        <v>0</v>
      </c>
      <c r="R150" s="280">
        <f t="shared" si="31"/>
        <v>0</v>
      </c>
      <c r="S150" s="238">
        <f t="shared" si="32"/>
        <v>0</v>
      </c>
    </row>
    <row r="151" spans="1:19" ht="34.5" customHeight="1">
      <c r="A151" s="91">
        <v>10</v>
      </c>
      <c r="B151" s="298" t="s">
        <v>329</v>
      </c>
      <c r="C151" s="296" t="s">
        <v>330</v>
      </c>
      <c r="D151" s="297">
        <v>112.35</v>
      </c>
      <c r="E151" s="149"/>
      <c r="F151" s="91"/>
      <c r="G151" s="91"/>
      <c r="H151" s="97">
        <v>0</v>
      </c>
      <c r="I151" s="97">
        <v>0</v>
      </c>
      <c r="J151" s="178">
        <v>0</v>
      </c>
      <c r="K151" s="213">
        <v>46225</v>
      </c>
      <c r="L151" s="236" t="s">
        <v>331</v>
      </c>
      <c r="M151" s="237">
        <v>112.35</v>
      </c>
      <c r="N151" s="285"/>
      <c r="O151" s="279"/>
      <c r="P151" s="279"/>
      <c r="Q151" s="223">
        <f t="shared" si="30"/>
        <v>0</v>
      </c>
      <c r="R151" s="280">
        <f t="shared" si="31"/>
        <v>0</v>
      </c>
      <c r="S151" s="238">
        <f t="shared" si="32"/>
        <v>0</v>
      </c>
    </row>
    <row r="152" spans="1:19" ht="34.5" customHeight="1">
      <c r="A152" s="91">
        <v>11</v>
      </c>
      <c r="B152" s="298" t="s">
        <v>258</v>
      </c>
      <c r="C152" s="296" t="s">
        <v>332</v>
      </c>
      <c r="D152" s="297">
        <v>936.25</v>
      </c>
      <c r="E152" s="149"/>
      <c r="F152" s="91"/>
      <c r="G152" s="91"/>
      <c r="H152" s="97">
        <v>0</v>
      </c>
      <c r="I152" s="97">
        <v>0</v>
      </c>
      <c r="J152" s="178">
        <v>0</v>
      </c>
      <c r="K152" s="213"/>
      <c r="L152" s="236"/>
      <c r="M152" s="237">
        <v>0</v>
      </c>
      <c r="N152" s="285" t="s">
        <v>41</v>
      </c>
      <c r="O152" s="279">
        <v>1</v>
      </c>
      <c r="P152" s="279">
        <v>1</v>
      </c>
      <c r="Q152" s="223">
        <f t="shared" si="30"/>
        <v>875</v>
      </c>
      <c r="R152" s="280">
        <f t="shared" si="31"/>
        <v>61.25</v>
      </c>
      <c r="S152" s="238">
        <f t="shared" si="32"/>
        <v>936.25</v>
      </c>
    </row>
    <row r="153" spans="1:19" ht="34.5" customHeight="1">
      <c r="A153" s="91">
        <v>12</v>
      </c>
      <c r="B153" s="298" t="s">
        <v>169</v>
      </c>
      <c r="C153" s="296" t="s">
        <v>333</v>
      </c>
      <c r="D153" s="297">
        <v>973.7</v>
      </c>
      <c r="E153" s="95"/>
      <c r="F153" s="91"/>
      <c r="G153" s="91"/>
      <c r="H153" s="97">
        <v>0</v>
      </c>
      <c r="I153" s="97">
        <v>0</v>
      </c>
      <c r="J153" s="178">
        <v>0</v>
      </c>
      <c r="K153" s="213">
        <v>46230</v>
      </c>
      <c r="L153" s="236" t="s">
        <v>334</v>
      </c>
      <c r="M153" s="237">
        <v>973.7</v>
      </c>
      <c r="N153" s="285"/>
      <c r="O153" s="279"/>
      <c r="P153" s="279"/>
      <c r="Q153" s="223">
        <f t="shared" si="30"/>
        <v>0</v>
      </c>
      <c r="R153" s="280">
        <f t="shared" si="31"/>
        <v>0</v>
      </c>
      <c r="S153" s="238">
        <f t="shared" si="32"/>
        <v>0</v>
      </c>
    </row>
    <row r="154" spans="1:19" ht="34.5" customHeight="1">
      <c r="A154" s="91">
        <v>13</v>
      </c>
      <c r="B154" s="298" t="s">
        <v>262</v>
      </c>
      <c r="C154" s="296" t="s">
        <v>335</v>
      </c>
      <c r="D154" s="297">
        <v>112.35</v>
      </c>
      <c r="E154" s="149"/>
      <c r="F154" s="91"/>
      <c r="G154" s="91"/>
      <c r="H154" s="97">
        <v>0</v>
      </c>
      <c r="I154" s="97">
        <v>0</v>
      </c>
      <c r="J154" s="178">
        <v>0</v>
      </c>
      <c r="K154" s="213">
        <v>46231</v>
      </c>
      <c r="L154" s="236" t="s">
        <v>336</v>
      </c>
      <c r="M154" s="237">
        <v>112.35</v>
      </c>
      <c r="N154" s="285"/>
      <c r="O154" s="279"/>
      <c r="P154" s="279"/>
      <c r="Q154" s="223">
        <f t="shared" si="30"/>
        <v>0</v>
      </c>
      <c r="R154" s="280">
        <f t="shared" si="31"/>
        <v>0</v>
      </c>
      <c r="S154" s="238">
        <f t="shared" si="32"/>
        <v>0</v>
      </c>
    </row>
    <row r="155" spans="1:19" ht="34.5" customHeight="1">
      <c r="A155" s="91">
        <v>14</v>
      </c>
      <c r="B155" s="298" t="s">
        <v>265</v>
      </c>
      <c r="C155" s="296" t="s">
        <v>337</v>
      </c>
      <c r="D155" s="297">
        <v>1498</v>
      </c>
      <c r="E155" s="149"/>
      <c r="F155" s="91"/>
      <c r="G155" s="91"/>
      <c r="H155" s="97">
        <v>0</v>
      </c>
      <c r="I155" s="97">
        <v>0</v>
      </c>
      <c r="J155" s="178">
        <v>0</v>
      </c>
      <c r="K155" s="213">
        <v>46223</v>
      </c>
      <c r="L155" s="236" t="s">
        <v>338</v>
      </c>
      <c r="M155" s="237">
        <v>1498</v>
      </c>
      <c r="N155" s="285"/>
      <c r="O155" s="279"/>
      <c r="P155" s="279"/>
      <c r="Q155" s="223">
        <f t="shared" si="30"/>
        <v>0</v>
      </c>
      <c r="R155" s="280">
        <f t="shared" si="31"/>
        <v>0</v>
      </c>
      <c r="S155" s="238">
        <f t="shared" si="32"/>
        <v>0</v>
      </c>
    </row>
    <row r="156" spans="1:19" ht="34.5" customHeight="1">
      <c r="A156" s="91">
        <v>15</v>
      </c>
      <c r="B156" s="298" t="s">
        <v>339</v>
      </c>
      <c r="C156" s="296" t="s">
        <v>340</v>
      </c>
      <c r="D156" s="297">
        <v>936.25</v>
      </c>
      <c r="E156" s="149"/>
      <c r="F156" s="91"/>
      <c r="G156" s="91"/>
      <c r="H156" s="97">
        <v>0</v>
      </c>
      <c r="I156" s="97">
        <v>0</v>
      </c>
      <c r="J156" s="178">
        <v>0</v>
      </c>
      <c r="K156" s="213">
        <v>46223</v>
      </c>
      <c r="L156" s="236" t="s">
        <v>341</v>
      </c>
      <c r="M156" s="237">
        <v>936.25</v>
      </c>
      <c r="N156" s="285"/>
      <c r="O156" s="279"/>
      <c r="P156" s="279"/>
      <c r="Q156" s="223">
        <f t="shared" si="30"/>
        <v>0</v>
      </c>
      <c r="R156" s="280">
        <f t="shared" si="31"/>
        <v>0</v>
      </c>
      <c r="S156" s="238">
        <f t="shared" si="32"/>
        <v>0</v>
      </c>
    </row>
    <row r="157" spans="1:19" ht="34.5" customHeight="1">
      <c r="A157" s="91">
        <v>16</v>
      </c>
      <c r="B157" s="298" t="s">
        <v>342</v>
      </c>
      <c r="C157" s="296" t="s">
        <v>343</v>
      </c>
      <c r="D157" s="297">
        <v>112.35</v>
      </c>
      <c r="E157" s="95" t="s">
        <v>67</v>
      </c>
      <c r="F157" s="91">
        <v>1</v>
      </c>
      <c r="G157" s="91">
        <v>1</v>
      </c>
      <c r="H157" s="97">
        <v>175</v>
      </c>
      <c r="I157" s="97">
        <v>12.25</v>
      </c>
      <c r="J157" s="178">
        <v>187.25</v>
      </c>
      <c r="K157" s="213" t="s">
        <v>344</v>
      </c>
      <c r="L157" s="236" t="s">
        <v>345</v>
      </c>
      <c r="M157" s="237">
        <v>299.60000000000002</v>
      </c>
      <c r="N157" s="289"/>
      <c r="O157" s="279"/>
      <c r="P157" s="279"/>
      <c r="Q157" s="223">
        <f t="shared" si="30"/>
        <v>0</v>
      </c>
      <c r="R157" s="280">
        <f t="shared" si="31"/>
        <v>0</v>
      </c>
      <c r="S157" s="238">
        <f>+D157+J157-M157</f>
        <v>0</v>
      </c>
    </row>
    <row r="158" spans="1:19" ht="34.5" customHeight="1">
      <c r="A158" s="91">
        <v>17</v>
      </c>
      <c r="B158" s="298" t="s">
        <v>342</v>
      </c>
      <c r="C158" s="296" t="s">
        <v>343</v>
      </c>
      <c r="D158" s="297">
        <v>112.35</v>
      </c>
      <c r="E158" s="95"/>
      <c r="F158" s="91"/>
      <c r="G158" s="91"/>
      <c r="H158" s="97">
        <v>0</v>
      </c>
      <c r="I158" s="97">
        <v>0</v>
      </c>
      <c r="J158" s="178">
        <v>0</v>
      </c>
      <c r="K158" s="213">
        <v>46230</v>
      </c>
      <c r="L158" s="236" t="s">
        <v>346</v>
      </c>
      <c r="M158" s="237">
        <v>112.35</v>
      </c>
      <c r="N158" s="285"/>
      <c r="O158" s="279"/>
      <c r="P158" s="279"/>
      <c r="Q158" s="223">
        <f t="shared" si="30"/>
        <v>0</v>
      </c>
      <c r="R158" s="280">
        <f t="shared" si="31"/>
        <v>0</v>
      </c>
      <c r="S158" s="238">
        <f>+D158+J158-M158</f>
        <v>0</v>
      </c>
    </row>
    <row r="159" spans="1:19" ht="34.5" customHeight="1">
      <c r="A159" s="91">
        <v>18</v>
      </c>
      <c r="B159" s="298" t="s">
        <v>347</v>
      </c>
      <c r="C159" s="296" t="s">
        <v>348</v>
      </c>
      <c r="D159" s="297">
        <v>1048.5999999999999</v>
      </c>
      <c r="E159" s="95"/>
      <c r="F159" s="91"/>
      <c r="G159" s="91"/>
      <c r="H159" s="97">
        <v>0</v>
      </c>
      <c r="I159" s="97">
        <v>0</v>
      </c>
      <c r="J159" s="178">
        <v>0</v>
      </c>
      <c r="K159" s="213">
        <v>46227</v>
      </c>
      <c r="L159" s="236" t="s">
        <v>349</v>
      </c>
      <c r="M159" s="237">
        <v>1048.5999999999999</v>
      </c>
      <c r="N159" s="285"/>
      <c r="O159" s="279"/>
      <c r="P159" s="279"/>
      <c r="Q159" s="223">
        <f t="shared" si="30"/>
        <v>0</v>
      </c>
      <c r="R159" s="280">
        <f t="shared" si="31"/>
        <v>0</v>
      </c>
      <c r="S159" s="238">
        <f t="shared" si="32"/>
        <v>0</v>
      </c>
    </row>
    <row r="160" spans="1:19" ht="34.5" customHeight="1">
      <c r="A160" s="91">
        <v>19</v>
      </c>
      <c r="B160" s="298" t="s">
        <v>277</v>
      </c>
      <c r="C160" s="296" t="s">
        <v>350</v>
      </c>
      <c r="D160" s="297">
        <v>224.7</v>
      </c>
      <c r="E160" s="149"/>
      <c r="F160" s="91"/>
      <c r="G160" s="91"/>
      <c r="H160" s="97">
        <v>0</v>
      </c>
      <c r="I160" s="97">
        <v>0</v>
      </c>
      <c r="J160" s="178">
        <v>0</v>
      </c>
      <c r="K160" s="213">
        <v>46234</v>
      </c>
      <c r="L160" s="236" t="s">
        <v>351</v>
      </c>
      <c r="M160" s="237">
        <v>224.7</v>
      </c>
      <c r="N160" s="285"/>
      <c r="O160" s="279"/>
      <c r="P160" s="279"/>
      <c r="Q160" s="223">
        <f t="shared" si="30"/>
        <v>0</v>
      </c>
      <c r="R160" s="280">
        <f t="shared" si="31"/>
        <v>0</v>
      </c>
      <c r="S160" s="238">
        <f t="shared" si="32"/>
        <v>0</v>
      </c>
    </row>
    <row r="161" spans="1:19" ht="34.5" customHeight="1">
      <c r="A161" s="91">
        <v>20</v>
      </c>
      <c r="B161" s="298" t="s">
        <v>280</v>
      </c>
      <c r="C161" s="296" t="s">
        <v>352</v>
      </c>
      <c r="D161" s="297">
        <v>112.35</v>
      </c>
      <c r="E161" s="95"/>
      <c r="F161" s="91"/>
      <c r="G161" s="91"/>
      <c r="H161" s="97">
        <v>0</v>
      </c>
      <c r="I161" s="97">
        <v>0</v>
      </c>
      <c r="J161" s="178">
        <v>0</v>
      </c>
      <c r="K161" s="213">
        <v>46223</v>
      </c>
      <c r="L161" s="236" t="s">
        <v>353</v>
      </c>
      <c r="M161" s="237">
        <v>112.35</v>
      </c>
      <c r="N161" s="285"/>
      <c r="O161" s="279"/>
      <c r="P161" s="279"/>
      <c r="Q161" s="223">
        <f t="shared" si="30"/>
        <v>0</v>
      </c>
      <c r="R161" s="280">
        <f t="shared" si="31"/>
        <v>0</v>
      </c>
      <c r="S161" s="238">
        <f t="shared" si="32"/>
        <v>0</v>
      </c>
    </row>
    <row r="162" spans="1:19" ht="34.5" customHeight="1">
      <c r="A162" s="91">
        <v>21</v>
      </c>
      <c r="B162" s="298" t="s">
        <v>283</v>
      </c>
      <c r="C162" s="296" t="s">
        <v>354</v>
      </c>
      <c r="D162" s="297">
        <v>823.9</v>
      </c>
      <c r="E162" s="149"/>
      <c r="F162" s="91"/>
      <c r="G162" s="91"/>
      <c r="H162" s="97">
        <v>0</v>
      </c>
      <c r="I162" s="97">
        <v>0</v>
      </c>
      <c r="J162" s="178">
        <v>0</v>
      </c>
      <c r="K162" s="213">
        <v>46234</v>
      </c>
      <c r="L162" s="236" t="s">
        <v>355</v>
      </c>
      <c r="M162" s="237">
        <v>823.9</v>
      </c>
      <c r="N162" s="285"/>
      <c r="O162" s="279"/>
      <c r="P162" s="279"/>
      <c r="Q162" s="223">
        <f t="shared" si="30"/>
        <v>0</v>
      </c>
      <c r="R162" s="280">
        <f t="shared" si="31"/>
        <v>0</v>
      </c>
      <c r="S162" s="238">
        <f t="shared" si="32"/>
        <v>0</v>
      </c>
    </row>
    <row r="163" spans="1:19" ht="34.5" customHeight="1">
      <c r="A163" s="91">
        <v>22</v>
      </c>
      <c r="B163" s="298" t="s">
        <v>197</v>
      </c>
      <c r="C163" s="296" t="s">
        <v>356</v>
      </c>
      <c r="D163" s="297">
        <v>524.29999999999995</v>
      </c>
      <c r="E163" s="95"/>
      <c r="F163" s="91"/>
      <c r="G163" s="91"/>
      <c r="H163" s="97">
        <v>0</v>
      </c>
      <c r="I163" s="97">
        <v>0</v>
      </c>
      <c r="J163" s="178">
        <v>0</v>
      </c>
      <c r="K163" s="213">
        <v>46230</v>
      </c>
      <c r="L163" s="236" t="s">
        <v>357</v>
      </c>
      <c r="M163" s="237">
        <v>524.29999999999995</v>
      </c>
      <c r="N163" s="285"/>
      <c r="O163" s="279"/>
      <c r="P163" s="279"/>
      <c r="Q163" s="223">
        <f t="shared" si="30"/>
        <v>0</v>
      </c>
      <c r="R163" s="280">
        <f t="shared" si="31"/>
        <v>0</v>
      </c>
      <c r="S163" s="238">
        <f t="shared" si="32"/>
        <v>0</v>
      </c>
    </row>
    <row r="164" spans="1:19" ht="34.5" customHeight="1">
      <c r="A164" s="91">
        <v>23</v>
      </c>
      <c r="B164" s="298" t="s">
        <v>358</v>
      </c>
      <c r="C164" s="296" t="s">
        <v>359</v>
      </c>
      <c r="D164" s="297">
        <v>337.05</v>
      </c>
      <c r="E164" s="149"/>
      <c r="F164" s="91"/>
      <c r="G164" s="91"/>
      <c r="H164" s="97">
        <v>0</v>
      </c>
      <c r="I164" s="97">
        <v>0</v>
      </c>
      <c r="J164" s="178">
        <v>0</v>
      </c>
      <c r="K164" s="213">
        <v>46227</v>
      </c>
      <c r="L164" s="236" t="s">
        <v>360</v>
      </c>
      <c r="M164" s="237">
        <v>337.05</v>
      </c>
      <c r="N164" s="285"/>
      <c r="O164" s="279"/>
      <c r="P164" s="279"/>
      <c r="Q164" s="223">
        <f t="shared" si="30"/>
        <v>0</v>
      </c>
      <c r="R164" s="280">
        <f t="shared" si="31"/>
        <v>0</v>
      </c>
      <c r="S164" s="238">
        <f t="shared" si="32"/>
        <v>0</v>
      </c>
    </row>
    <row r="165" spans="1:19" ht="34.5" customHeight="1">
      <c r="A165" s="91">
        <v>24</v>
      </c>
      <c r="B165" s="298" t="s">
        <v>291</v>
      </c>
      <c r="C165" s="296" t="s">
        <v>361</v>
      </c>
      <c r="D165" s="297">
        <v>112.35</v>
      </c>
      <c r="E165" s="95"/>
      <c r="F165" s="91"/>
      <c r="G165" s="91"/>
      <c r="H165" s="97">
        <v>0</v>
      </c>
      <c r="I165" s="97">
        <v>0</v>
      </c>
      <c r="J165" s="178">
        <v>0</v>
      </c>
      <c r="K165" s="213">
        <v>46234</v>
      </c>
      <c r="L165" s="236" t="s">
        <v>362</v>
      </c>
      <c r="M165" s="237">
        <v>112.35</v>
      </c>
      <c r="N165" s="285"/>
      <c r="O165" s="279"/>
      <c r="P165" s="279"/>
      <c r="Q165" s="223">
        <f t="shared" si="30"/>
        <v>0</v>
      </c>
      <c r="R165" s="280">
        <f t="shared" si="31"/>
        <v>0</v>
      </c>
      <c r="S165" s="238">
        <f t="shared" si="32"/>
        <v>0</v>
      </c>
    </row>
    <row r="166" spans="1:19" ht="34.5" customHeight="1">
      <c r="A166" s="91">
        <v>25</v>
      </c>
      <c r="B166" s="298" t="s">
        <v>294</v>
      </c>
      <c r="C166" s="296" t="s">
        <v>363</v>
      </c>
      <c r="D166" s="297">
        <v>112.35</v>
      </c>
      <c r="E166" s="95"/>
      <c r="F166" s="91"/>
      <c r="G166" s="91"/>
      <c r="H166" s="97">
        <v>0</v>
      </c>
      <c r="I166" s="97">
        <v>0</v>
      </c>
      <c r="J166" s="178">
        <v>0</v>
      </c>
      <c r="K166" s="213">
        <v>46231</v>
      </c>
      <c r="L166" s="236" t="s">
        <v>364</v>
      </c>
      <c r="M166" s="237">
        <v>112.35</v>
      </c>
      <c r="N166" s="285"/>
      <c r="O166" s="279"/>
      <c r="P166" s="279"/>
      <c r="Q166" s="223">
        <f t="shared" si="30"/>
        <v>0</v>
      </c>
      <c r="R166" s="280">
        <f t="shared" si="31"/>
        <v>0</v>
      </c>
      <c r="S166" s="238">
        <f t="shared" si="32"/>
        <v>0</v>
      </c>
    </row>
    <row r="167" spans="1:19" ht="34.5" customHeight="1">
      <c r="A167" s="91">
        <v>26</v>
      </c>
      <c r="B167" s="298" t="s">
        <v>365</v>
      </c>
      <c r="C167" s="296" t="s">
        <v>366</v>
      </c>
      <c r="D167" s="297">
        <v>112.35</v>
      </c>
      <c r="E167" s="149"/>
      <c r="F167" s="91"/>
      <c r="G167" s="91"/>
      <c r="H167" s="97">
        <v>0</v>
      </c>
      <c r="I167" s="97">
        <v>0</v>
      </c>
      <c r="J167" s="178">
        <v>0</v>
      </c>
      <c r="K167" s="213">
        <v>46225</v>
      </c>
      <c r="L167" s="236" t="s">
        <v>367</v>
      </c>
      <c r="M167" s="237">
        <v>112.35</v>
      </c>
      <c r="N167" s="285"/>
      <c r="O167" s="279"/>
      <c r="P167" s="279"/>
      <c r="Q167" s="223">
        <f t="shared" si="30"/>
        <v>0</v>
      </c>
      <c r="R167" s="280">
        <f t="shared" si="31"/>
        <v>0</v>
      </c>
      <c r="S167" s="238">
        <f t="shared" si="32"/>
        <v>0</v>
      </c>
    </row>
    <row r="168" spans="1:19" ht="34.5" customHeight="1">
      <c r="A168" s="91">
        <v>27</v>
      </c>
      <c r="B168" s="298" t="s">
        <v>300</v>
      </c>
      <c r="C168" s="296" t="s">
        <v>368</v>
      </c>
      <c r="D168" s="297">
        <v>449.4</v>
      </c>
      <c r="E168" s="95"/>
      <c r="F168" s="91"/>
      <c r="G168" s="91"/>
      <c r="H168" s="97">
        <v>0</v>
      </c>
      <c r="I168" s="97">
        <v>0</v>
      </c>
      <c r="J168" s="178">
        <v>0</v>
      </c>
      <c r="K168" s="213">
        <v>46230</v>
      </c>
      <c r="L168" s="236" t="s">
        <v>369</v>
      </c>
      <c r="M168" s="237">
        <v>449.4</v>
      </c>
      <c r="N168" s="285"/>
      <c r="O168" s="279"/>
      <c r="P168" s="279"/>
      <c r="Q168" s="223">
        <f t="shared" si="30"/>
        <v>0</v>
      </c>
      <c r="R168" s="280">
        <f t="shared" si="31"/>
        <v>0</v>
      </c>
      <c r="S168" s="238">
        <f t="shared" si="32"/>
        <v>0</v>
      </c>
    </row>
    <row r="169" spans="1:19" ht="34.5" customHeight="1">
      <c r="A169" s="91">
        <v>28</v>
      </c>
      <c r="B169" s="298" t="s">
        <v>303</v>
      </c>
      <c r="C169" s="296" t="s">
        <v>370</v>
      </c>
      <c r="D169" s="297">
        <v>224.7</v>
      </c>
      <c r="E169" s="95"/>
      <c r="F169" s="91"/>
      <c r="G169" s="91"/>
      <c r="H169" s="97">
        <v>0</v>
      </c>
      <c r="I169" s="97">
        <v>0</v>
      </c>
      <c r="J169" s="178">
        <v>0</v>
      </c>
      <c r="K169" s="213"/>
      <c r="L169" s="236"/>
      <c r="M169" s="237">
        <v>0</v>
      </c>
      <c r="N169" s="289" t="s">
        <v>41</v>
      </c>
      <c r="O169" s="279">
        <v>1</v>
      </c>
      <c r="P169" s="279">
        <v>1</v>
      </c>
      <c r="Q169" s="223">
        <f t="shared" si="30"/>
        <v>210</v>
      </c>
      <c r="R169" s="280">
        <f t="shared" si="31"/>
        <v>14.7</v>
      </c>
      <c r="S169" s="238">
        <f t="shared" si="32"/>
        <v>224.7</v>
      </c>
    </row>
    <row r="170" spans="1:19" ht="34.5" customHeight="1">
      <c r="A170" s="91">
        <v>29</v>
      </c>
      <c r="B170" s="298" t="s">
        <v>217</v>
      </c>
      <c r="C170" s="296" t="s">
        <v>371</v>
      </c>
      <c r="D170" s="297">
        <v>187.25</v>
      </c>
      <c r="E170" s="95" t="s">
        <v>67</v>
      </c>
      <c r="F170" s="91">
        <v>1</v>
      </c>
      <c r="G170" s="91">
        <v>1</v>
      </c>
      <c r="H170" s="97">
        <v>175</v>
      </c>
      <c r="I170" s="97">
        <v>12.25</v>
      </c>
      <c r="J170" s="178">
        <v>187.25</v>
      </c>
      <c r="K170" s="213">
        <v>46212</v>
      </c>
      <c r="L170" s="236" t="s">
        <v>372</v>
      </c>
      <c r="M170" s="237">
        <v>187.25</v>
      </c>
      <c r="N170" s="289" t="s">
        <v>41</v>
      </c>
      <c r="O170" s="279">
        <v>1</v>
      </c>
      <c r="P170" s="279">
        <v>1</v>
      </c>
      <c r="Q170" s="223">
        <f t="shared" si="30"/>
        <v>175</v>
      </c>
      <c r="R170" s="280">
        <f t="shared" si="31"/>
        <v>12.25</v>
      </c>
      <c r="S170" s="238">
        <f t="shared" si="32"/>
        <v>187.25</v>
      </c>
    </row>
    <row r="171" spans="1:19" ht="34.5" customHeight="1">
      <c r="A171" s="91">
        <v>30</v>
      </c>
      <c r="B171" s="298" t="s">
        <v>307</v>
      </c>
      <c r="C171" s="296" t="s">
        <v>373</v>
      </c>
      <c r="D171" s="297">
        <v>224.7</v>
      </c>
      <c r="E171" s="95"/>
      <c r="F171" s="91"/>
      <c r="G171" s="91"/>
      <c r="H171" s="97">
        <v>0</v>
      </c>
      <c r="I171" s="97">
        <v>0</v>
      </c>
      <c r="J171" s="178">
        <v>0</v>
      </c>
      <c r="K171" s="213">
        <v>46227</v>
      </c>
      <c r="L171" s="236" t="s">
        <v>374</v>
      </c>
      <c r="M171" s="237">
        <v>224.7</v>
      </c>
      <c r="N171" s="285"/>
      <c r="O171" s="279"/>
      <c r="P171" s="279"/>
      <c r="Q171" s="223">
        <f t="shared" si="30"/>
        <v>0</v>
      </c>
      <c r="R171" s="280">
        <f t="shared" si="31"/>
        <v>0</v>
      </c>
      <c r="S171" s="238">
        <f t="shared" si="32"/>
        <v>0</v>
      </c>
    </row>
    <row r="172" spans="1:19" ht="34.5" customHeight="1">
      <c r="A172" s="91">
        <v>31</v>
      </c>
      <c r="B172" s="298" t="s">
        <v>375</v>
      </c>
      <c r="C172" s="296" t="s">
        <v>376</v>
      </c>
      <c r="D172" s="297">
        <v>224.7</v>
      </c>
      <c r="E172" s="95" t="s">
        <v>67</v>
      </c>
      <c r="F172" s="91">
        <v>1</v>
      </c>
      <c r="G172" s="91">
        <v>1</v>
      </c>
      <c r="H172" s="97">
        <v>560</v>
      </c>
      <c r="I172" s="97">
        <v>39.200000000000003</v>
      </c>
      <c r="J172" s="178">
        <v>599.20000000000005</v>
      </c>
      <c r="K172" s="213">
        <v>46206</v>
      </c>
      <c r="L172" s="236" t="s">
        <v>377</v>
      </c>
      <c r="M172" s="237">
        <v>599.20000000000005</v>
      </c>
      <c r="N172" s="285" t="s">
        <v>41</v>
      </c>
      <c r="O172" s="279">
        <v>1</v>
      </c>
      <c r="P172" s="279">
        <v>1</v>
      </c>
      <c r="Q172" s="223">
        <f t="shared" si="30"/>
        <v>210</v>
      </c>
      <c r="R172" s="280">
        <f t="shared" si="31"/>
        <v>14.7</v>
      </c>
      <c r="S172" s="238">
        <f t="shared" si="32"/>
        <v>224.70000000000005</v>
      </c>
    </row>
    <row r="173" spans="1:19" ht="34.5" customHeight="1">
      <c r="A173" s="91">
        <v>32</v>
      </c>
      <c r="B173" s="298" t="s">
        <v>378</v>
      </c>
      <c r="C173" s="296" t="s">
        <v>379</v>
      </c>
      <c r="D173" s="297">
        <v>187.25</v>
      </c>
      <c r="E173" s="149"/>
      <c r="F173" s="91"/>
      <c r="G173" s="91"/>
      <c r="H173" s="97">
        <v>0</v>
      </c>
      <c r="I173" s="97">
        <v>0</v>
      </c>
      <c r="J173" s="178">
        <v>0</v>
      </c>
      <c r="K173" s="213">
        <v>46226</v>
      </c>
      <c r="L173" s="236" t="s">
        <v>380</v>
      </c>
      <c r="M173" s="237">
        <v>187.25</v>
      </c>
      <c r="N173" s="285"/>
      <c r="O173" s="279"/>
      <c r="P173" s="279"/>
      <c r="Q173" s="223">
        <f t="shared" si="30"/>
        <v>0</v>
      </c>
      <c r="R173" s="280">
        <f t="shared" si="31"/>
        <v>0</v>
      </c>
      <c r="S173" s="238">
        <f t="shared" si="32"/>
        <v>0</v>
      </c>
    </row>
    <row r="174" spans="1:19" ht="34.5" customHeight="1">
      <c r="A174" s="91">
        <v>33</v>
      </c>
      <c r="B174" s="298" t="s">
        <v>381</v>
      </c>
      <c r="C174" s="296" t="s">
        <v>382</v>
      </c>
      <c r="D174" s="297">
        <v>149.80000000000001</v>
      </c>
      <c r="E174" s="95" t="s">
        <v>67</v>
      </c>
      <c r="F174" s="91">
        <v>1</v>
      </c>
      <c r="G174" s="91">
        <v>1</v>
      </c>
      <c r="H174" s="97">
        <v>210</v>
      </c>
      <c r="I174" s="97">
        <v>14.7</v>
      </c>
      <c r="J174" s="178">
        <v>224.7</v>
      </c>
      <c r="K174" s="213">
        <v>46206</v>
      </c>
      <c r="L174" s="236" t="s">
        <v>383</v>
      </c>
      <c r="M174" s="237">
        <v>224.7</v>
      </c>
      <c r="N174" s="285" t="s">
        <v>41</v>
      </c>
      <c r="O174" s="279">
        <v>1</v>
      </c>
      <c r="P174" s="279">
        <v>1</v>
      </c>
      <c r="Q174" s="223">
        <f t="shared" si="30"/>
        <v>140</v>
      </c>
      <c r="R174" s="280">
        <f t="shared" si="31"/>
        <v>9.8000000000000007</v>
      </c>
      <c r="S174" s="238">
        <f t="shared" si="32"/>
        <v>149.80000000000001</v>
      </c>
    </row>
    <row r="175" spans="1:19" ht="34.5" customHeight="1">
      <c r="A175" s="91">
        <v>34</v>
      </c>
      <c r="B175" s="298" t="s">
        <v>384</v>
      </c>
      <c r="C175" s="296" t="s">
        <v>385</v>
      </c>
      <c r="D175" s="297">
        <v>112.35</v>
      </c>
      <c r="E175" s="95"/>
      <c r="F175" s="91"/>
      <c r="G175" s="91"/>
      <c r="H175" s="97">
        <v>0</v>
      </c>
      <c r="I175" s="97">
        <v>0</v>
      </c>
      <c r="J175" s="178">
        <v>0</v>
      </c>
      <c r="K175" s="213"/>
      <c r="L175" s="236"/>
      <c r="M175" s="237">
        <v>0</v>
      </c>
      <c r="N175" s="285" t="s">
        <v>41</v>
      </c>
      <c r="O175" s="279">
        <v>1</v>
      </c>
      <c r="P175" s="279"/>
      <c r="Q175" s="223">
        <f t="shared" si="30"/>
        <v>105</v>
      </c>
      <c r="R175" s="280">
        <f t="shared" si="31"/>
        <v>7.35</v>
      </c>
      <c r="S175" s="238">
        <f t="shared" si="32"/>
        <v>112.35</v>
      </c>
    </row>
    <row r="176" spans="1:19" ht="34.5" customHeight="1">
      <c r="A176" s="91">
        <v>35</v>
      </c>
      <c r="B176" s="298" t="s">
        <v>386</v>
      </c>
      <c r="C176" s="296" t="s">
        <v>387</v>
      </c>
      <c r="D176" s="297">
        <v>112.35</v>
      </c>
      <c r="E176" s="95"/>
      <c r="F176" s="91"/>
      <c r="G176" s="91"/>
      <c r="H176" s="97">
        <v>0</v>
      </c>
      <c r="I176" s="97">
        <v>0</v>
      </c>
      <c r="J176" s="178">
        <v>0</v>
      </c>
      <c r="K176" s="213">
        <v>46226</v>
      </c>
      <c r="L176" s="236" t="s">
        <v>388</v>
      </c>
      <c r="M176" s="237">
        <v>112.35</v>
      </c>
      <c r="N176" s="285"/>
      <c r="O176" s="279"/>
      <c r="P176" s="279"/>
      <c r="Q176" s="223">
        <f t="shared" si="30"/>
        <v>0</v>
      </c>
      <c r="R176" s="280">
        <f t="shared" si="31"/>
        <v>0</v>
      </c>
      <c r="S176" s="238">
        <f t="shared" si="32"/>
        <v>0</v>
      </c>
    </row>
    <row r="177" spans="1:19" ht="34.5" customHeight="1">
      <c r="A177" s="91">
        <v>36</v>
      </c>
      <c r="B177" s="298" t="s">
        <v>389</v>
      </c>
      <c r="C177" s="296" t="s">
        <v>390</v>
      </c>
      <c r="D177" s="297">
        <v>224.7</v>
      </c>
      <c r="E177" s="95"/>
      <c r="F177" s="91"/>
      <c r="G177" s="91"/>
      <c r="H177" s="97">
        <v>0</v>
      </c>
      <c r="I177" s="97">
        <v>0</v>
      </c>
      <c r="J177" s="178">
        <v>0</v>
      </c>
      <c r="K177" s="213">
        <v>46234</v>
      </c>
      <c r="L177" s="236" t="s">
        <v>391</v>
      </c>
      <c r="M177" s="237">
        <v>224.7</v>
      </c>
      <c r="N177" s="285"/>
      <c r="O177" s="279"/>
      <c r="P177" s="279"/>
      <c r="Q177" s="223">
        <f t="shared" si="30"/>
        <v>0</v>
      </c>
      <c r="R177" s="280">
        <f t="shared" si="31"/>
        <v>0</v>
      </c>
      <c r="S177" s="238">
        <f t="shared" si="32"/>
        <v>0</v>
      </c>
    </row>
    <row r="178" spans="1:19" ht="34.5" customHeight="1">
      <c r="A178" s="91">
        <v>37</v>
      </c>
      <c r="B178" s="298" t="s">
        <v>392</v>
      </c>
      <c r="C178" s="296" t="s">
        <v>393</v>
      </c>
      <c r="D178" s="297">
        <v>374.5</v>
      </c>
      <c r="E178" s="149"/>
      <c r="F178" s="91"/>
      <c r="G178" s="91"/>
      <c r="H178" s="97">
        <v>0</v>
      </c>
      <c r="I178" s="97">
        <v>0</v>
      </c>
      <c r="J178" s="178">
        <v>0</v>
      </c>
      <c r="K178" s="213"/>
      <c r="L178" s="236"/>
      <c r="M178" s="237">
        <v>0</v>
      </c>
      <c r="N178" s="285" t="s">
        <v>41</v>
      </c>
      <c r="O178" s="279">
        <v>1</v>
      </c>
      <c r="P178" s="279">
        <v>1</v>
      </c>
      <c r="Q178" s="223">
        <f t="shared" si="30"/>
        <v>350</v>
      </c>
      <c r="R178" s="280">
        <f t="shared" si="31"/>
        <v>24.5</v>
      </c>
      <c r="S178" s="238">
        <f t="shared" si="32"/>
        <v>374.5</v>
      </c>
    </row>
    <row r="179" spans="1:19" ht="34.5" customHeight="1">
      <c r="A179" s="91">
        <v>38</v>
      </c>
      <c r="B179" s="298" t="s">
        <v>394</v>
      </c>
      <c r="C179" s="296" t="s">
        <v>395</v>
      </c>
      <c r="D179" s="297">
        <v>187.25</v>
      </c>
      <c r="E179" s="95"/>
      <c r="F179" s="91"/>
      <c r="G179" s="91"/>
      <c r="H179" s="97">
        <v>0</v>
      </c>
      <c r="I179" s="97">
        <v>0</v>
      </c>
      <c r="J179" s="178">
        <v>0</v>
      </c>
      <c r="K179" s="213">
        <v>46230</v>
      </c>
      <c r="L179" s="236" t="s">
        <v>396</v>
      </c>
      <c r="M179" s="237">
        <v>187.25</v>
      </c>
      <c r="N179" s="285"/>
      <c r="O179" s="279"/>
      <c r="P179" s="279"/>
      <c r="Q179" s="223">
        <f t="shared" si="30"/>
        <v>0</v>
      </c>
      <c r="R179" s="280">
        <f t="shared" si="31"/>
        <v>0</v>
      </c>
      <c r="S179" s="238">
        <f t="shared" si="32"/>
        <v>0</v>
      </c>
    </row>
    <row r="180" spans="1:19" ht="34.5" customHeight="1">
      <c r="A180" s="91">
        <v>39</v>
      </c>
      <c r="B180" s="298" t="s">
        <v>397</v>
      </c>
      <c r="C180" s="296" t="s">
        <v>398</v>
      </c>
      <c r="D180" s="297">
        <v>112.35</v>
      </c>
      <c r="E180" s="95"/>
      <c r="F180" s="91"/>
      <c r="G180" s="91"/>
      <c r="H180" s="97">
        <v>0</v>
      </c>
      <c r="I180" s="97">
        <v>0</v>
      </c>
      <c r="J180" s="178">
        <v>0</v>
      </c>
      <c r="K180" s="213">
        <v>46226</v>
      </c>
      <c r="L180" s="236" t="s">
        <v>399</v>
      </c>
      <c r="M180" s="237">
        <v>112.35</v>
      </c>
      <c r="N180" s="285"/>
      <c r="O180" s="279"/>
      <c r="P180" s="279"/>
      <c r="Q180" s="223">
        <f t="shared" si="30"/>
        <v>0</v>
      </c>
      <c r="R180" s="280">
        <f t="shared" si="31"/>
        <v>0</v>
      </c>
      <c r="S180" s="238">
        <f t="shared" si="32"/>
        <v>0</v>
      </c>
    </row>
    <row r="181" spans="1:19" ht="34.5" customHeight="1">
      <c r="A181" s="91">
        <v>40</v>
      </c>
      <c r="B181" s="298" t="s">
        <v>400</v>
      </c>
      <c r="C181" s="296" t="s">
        <v>401</v>
      </c>
      <c r="D181" s="297">
        <v>0</v>
      </c>
      <c r="E181" s="95"/>
      <c r="F181" s="91"/>
      <c r="G181" s="91"/>
      <c r="H181" s="97">
        <v>0</v>
      </c>
      <c r="I181" s="97">
        <v>0</v>
      </c>
      <c r="J181" s="178">
        <v>0</v>
      </c>
      <c r="K181" s="213"/>
      <c r="L181" s="236"/>
      <c r="M181" s="237">
        <v>0</v>
      </c>
      <c r="N181" s="285"/>
      <c r="O181" s="279"/>
      <c r="P181" s="279"/>
      <c r="Q181" s="223">
        <f t="shared" si="30"/>
        <v>0</v>
      </c>
      <c r="R181" s="280">
        <f t="shared" si="31"/>
        <v>0</v>
      </c>
      <c r="S181" s="238">
        <f t="shared" si="32"/>
        <v>0</v>
      </c>
    </row>
    <row r="182" spans="1:19" ht="34.5" customHeight="1">
      <c r="A182" s="91">
        <v>41</v>
      </c>
      <c r="B182" s="298" t="s">
        <v>402</v>
      </c>
      <c r="C182" s="296" t="s">
        <v>403</v>
      </c>
      <c r="D182" s="297">
        <v>112.35</v>
      </c>
      <c r="E182" s="95"/>
      <c r="F182" s="91"/>
      <c r="G182" s="91"/>
      <c r="H182" s="97">
        <v>0</v>
      </c>
      <c r="I182" s="97">
        <v>0</v>
      </c>
      <c r="J182" s="178">
        <v>0</v>
      </c>
      <c r="K182" s="213"/>
      <c r="L182" s="236"/>
      <c r="M182" s="237">
        <v>0</v>
      </c>
      <c r="N182" s="285" t="s">
        <v>41</v>
      </c>
      <c r="O182" s="279">
        <v>1</v>
      </c>
      <c r="P182" s="279">
        <v>1</v>
      </c>
      <c r="Q182" s="223">
        <f t="shared" si="30"/>
        <v>105</v>
      </c>
      <c r="R182" s="280">
        <f t="shared" si="31"/>
        <v>7.35</v>
      </c>
      <c r="S182" s="238">
        <f t="shared" si="32"/>
        <v>112.35</v>
      </c>
    </row>
    <row r="183" spans="1:19" ht="34.5" customHeight="1">
      <c r="A183" s="91">
        <v>42</v>
      </c>
      <c r="B183" s="298" t="s">
        <v>404</v>
      </c>
      <c r="C183" s="296" t="s">
        <v>405</v>
      </c>
      <c r="D183" s="297">
        <v>224.7</v>
      </c>
      <c r="E183" s="95"/>
      <c r="F183" s="91"/>
      <c r="G183" s="91"/>
      <c r="H183" s="97">
        <v>0</v>
      </c>
      <c r="I183" s="97">
        <v>0</v>
      </c>
      <c r="J183" s="178">
        <v>0</v>
      </c>
      <c r="K183" s="213">
        <v>46226</v>
      </c>
      <c r="L183" s="236" t="s">
        <v>406</v>
      </c>
      <c r="M183" s="237">
        <v>224.7</v>
      </c>
      <c r="N183" s="285"/>
      <c r="O183" s="279"/>
      <c r="P183" s="279"/>
      <c r="Q183" s="223">
        <f t="shared" si="30"/>
        <v>0</v>
      </c>
      <c r="R183" s="280">
        <f t="shared" si="31"/>
        <v>0</v>
      </c>
      <c r="S183" s="238">
        <f t="shared" si="32"/>
        <v>0</v>
      </c>
    </row>
    <row r="184" spans="1:19" ht="34.5" customHeight="1">
      <c r="A184" s="91">
        <v>43</v>
      </c>
      <c r="B184" s="298" t="s">
        <v>407</v>
      </c>
      <c r="C184" s="296" t="s">
        <v>408</v>
      </c>
      <c r="D184" s="297">
        <v>262.14999999999998</v>
      </c>
      <c r="E184" s="95"/>
      <c r="F184" s="91"/>
      <c r="G184" s="91"/>
      <c r="H184" s="97">
        <v>0</v>
      </c>
      <c r="I184" s="97">
        <v>0</v>
      </c>
      <c r="J184" s="178">
        <v>0</v>
      </c>
      <c r="K184" s="213">
        <v>46230</v>
      </c>
      <c r="L184" s="236" t="s">
        <v>409</v>
      </c>
      <c r="M184" s="237">
        <v>262.14999999999998</v>
      </c>
      <c r="N184" s="285"/>
      <c r="O184" s="279"/>
      <c r="P184" s="279"/>
      <c r="Q184" s="223">
        <f t="shared" si="30"/>
        <v>0</v>
      </c>
      <c r="R184" s="280">
        <f t="shared" si="31"/>
        <v>0</v>
      </c>
      <c r="S184" s="238">
        <f t="shared" si="32"/>
        <v>0</v>
      </c>
    </row>
    <row r="185" spans="1:19" ht="34.5" customHeight="1">
      <c r="A185" s="91">
        <v>44</v>
      </c>
      <c r="B185" s="298" t="s">
        <v>410</v>
      </c>
      <c r="C185" s="296" t="s">
        <v>411</v>
      </c>
      <c r="D185" s="297">
        <v>262.14999999999998</v>
      </c>
      <c r="E185" s="149"/>
      <c r="F185" s="91"/>
      <c r="G185" s="91"/>
      <c r="H185" s="97">
        <v>0</v>
      </c>
      <c r="I185" s="97">
        <v>0</v>
      </c>
      <c r="J185" s="178">
        <v>0</v>
      </c>
      <c r="K185" s="213"/>
      <c r="L185" s="236"/>
      <c r="M185" s="237">
        <v>0</v>
      </c>
      <c r="N185" s="285" t="s">
        <v>41</v>
      </c>
      <c r="O185" s="279">
        <v>1</v>
      </c>
      <c r="P185" s="279">
        <v>1</v>
      </c>
      <c r="Q185" s="223">
        <f t="shared" si="30"/>
        <v>245</v>
      </c>
      <c r="R185" s="280">
        <f t="shared" si="31"/>
        <v>17.149999999999999</v>
      </c>
      <c r="S185" s="238">
        <f t="shared" si="32"/>
        <v>262.14999999999998</v>
      </c>
    </row>
    <row r="186" spans="1:19" ht="34.5" customHeight="1">
      <c r="A186" s="91">
        <v>45</v>
      </c>
      <c r="B186" s="298" t="s">
        <v>412</v>
      </c>
      <c r="C186" s="296" t="s">
        <v>413</v>
      </c>
      <c r="D186" s="297">
        <v>224.7</v>
      </c>
      <c r="E186" s="95"/>
      <c r="F186" s="91"/>
      <c r="G186" s="91"/>
      <c r="H186" s="97">
        <v>0</v>
      </c>
      <c r="I186" s="97">
        <v>0</v>
      </c>
      <c r="J186" s="178">
        <v>0</v>
      </c>
      <c r="K186" s="213">
        <v>46234</v>
      </c>
      <c r="L186" s="236" t="s">
        <v>414</v>
      </c>
      <c r="M186" s="237">
        <v>224.7</v>
      </c>
      <c r="N186" s="285"/>
      <c r="O186" s="279"/>
      <c r="P186" s="279"/>
      <c r="Q186" s="223">
        <f t="shared" si="30"/>
        <v>0</v>
      </c>
      <c r="R186" s="280">
        <f t="shared" si="31"/>
        <v>0</v>
      </c>
      <c r="S186" s="238">
        <f t="shared" si="32"/>
        <v>0</v>
      </c>
    </row>
    <row r="187" spans="1:19" ht="34.5" customHeight="1">
      <c r="A187" s="91">
        <v>46</v>
      </c>
      <c r="B187" s="298" t="s">
        <v>415</v>
      </c>
      <c r="C187" s="296" t="s">
        <v>416</v>
      </c>
      <c r="D187" s="297">
        <v>411.95</v>
      </c>
      <c r="E187" s="95"/>
      <c r="F187" s="91"/>
      <c r="G187" s="91"/>
      <c r="H187" s="97">
        <v>0</v>
      </c>
      <c r="I187" s="97">
        <v>0</v>
      </c>
      <c r="J187" s="178">
        <v>0</v>
      </c>
      <c r="K187" s="213">
        <v>46234</v>
      </c>
      <c r="L187" s="236" t="s">
        <v>417</v>
      </c>
      <c r="M187" s="237">
        <v>411.95</v>
      </c>
      <c r="N187" s="285"/>
      <c r="O187" s="279"/>
      <c r="P187" s="279"/>
      <c r="Q187" s="223">
        <f t="shared" si="30"/>
        <v>0</v>
      </c>
      <c r="R187" s="280">
        <f t="shared" si="31"/>
        <v>0</v>
      </c>
      <c r="S187" s="238">
        <f t="shared" si="32"/>
        <v>0</v>
      </c>
    </row>
    <row r="188" spans="1:19" ht="34.5" customHeight="1">
      <c r="A188" s="91">
        <v>47</v>
      </c>
      <c r="B188" s="298" t="s">
        <v>418</v>
      </c>
      <c r="C188" s="296" t="s">
        <v>419</v>
      </c>
      <c r="D188" s="297">
        <v>486.85</v>
      </c>
      <c r="E188" s="95"/>
      <c r="F188" s="91"/>
      <c r="G188" s="91"/>
      <c r="H188" s="97">
        <v>0</v>
      </c>
      <c r="I188" s="97">
        <v>0</v>
      </c>
      <c r="J188" s="178">
        <v>0</v>
      </c>
      <c r="K188" s="213">
        <v>46227</v>
      </c>
      <c r="L188" s="236" t="s">
        <v>420</v>
      </c>
      <c r="M188" s="237">
        <v>486.85</v>
      </c>
      <c r="N188" s="285"/>
      <c r="O188" s="279"/>
      <c r="P188" s="279"/>
      <c r="Q188" s="223">
        <f t="shared" si="30"/>
        <v>0</v>
      </c>
      <c r="R188" s="280">
        <f t="shared" si="31"/>
        <v>0</v>
      </c>
      <c r="S188" s="238">
        <f t="shared" si="32"/>
        <v>0</v>
      </c>
    </row>
    <row r="189" spans="1:19" ht="34.5" customHeight="1">
      <c r="A189" s="91">
        <v>48</v>
      </c>
      <c r="B189" s="298" t="s">
        <v>42</v>
      </c>
      <c r="C189" s="296" t="s">
        <v>421</v>
      </c>
      <c r="D189" s="297">
        <v>749</v>
      </c>
      <c r="E189" s="149"/>
      <c r="F189" s="91"/>
      <c r="G189" s="91"/>
      <c r="H189" s="97">
        <v>0</v>
      </c>
      <c r="I189" s="97">
        <v>0</v>
      </c>
      <c r="J189" s="178">
        <v>0</v>
      </c>
      <c r="K189" s="213">
        <v>46224</v>
      </c>
      <c r="L189" s="236" t="s">
        <v>422</v>
      </c>
      <c r="M189" s="237">
        <v>749</v>
      </c>
      <c r="N189" s="285"/>
      <c r="O189" s="279"/>
      <c r="P189" s="279"/>
      <c r="Q189" s="223">
        <f t="shared" si="30"/>
        <v>0</v>
      </c>
      <c r="R189" s="280">
        <f t="shared" si="31"/>
        <v>0</v>
      </c>
      <c r="S189" s="238">
        <f t="shared" si="32"/>
        <v>0</v>
      </c>
    </row>
    <row r="190" spans="1:19" ht="34.5" customHeight="1">
      <c r="A190" s="91">
        <v>49</v>
      </c>
      <c r="B190" s="298" t="s">
        <v>42</v>
      </c>
      <c r="C190" s="296" t="s">
        <v>423</v>
      </c>
      <c r="D190" s="297">
        <v>599.20000000000005</v>
      </c>
      <c r="E190" s="149"/>
      <c r="F190" s="91"/>
      <c r="G190" s="91"/>
      <c r="H190" s="97">
        <v>0</v>
      </c>
      <c r="I190" s="97">
        <v>0</v>
      </c>
      <c r="J190" s="178">
        <v>0</v>
      </c>
      <c r="K190" s="213">
        <v>46224</v>
      </c>
      <c r="L190" s="236" t="s">
        <v>424</v>
      </c>
      <c r="M190" s="237">
        <v>599.20000000000005</v>
      </c>
      <c r="N190" s="285"/>
      <c r="O190" s="299"/>
      <c r="P190" s="299"/>
      <c r="Q190" s="223">
        <f t="shared" si="30"/>
        <v>0</v>
      </c>
      <c r="R190" s="280">
        <f t="shared" si="31"/>
        <v>0</v>
      </c>
      <c r="S190" s="238">
        <f t="shared" si="32"/>
        <v>0</v>
      </c>
    </row>
    <row r="191" spans="1:19" ht="34.5" customHeight="1">
      <c r="A191" s="91">
        <v>50</v>
      </c>
      <c r="B191" s="300" t="s">
        <v>425</v>
      </c>
      <c r="C191" s="296" t="s">
        <v>426</v>
      </c>
      <c r="D191" s="297">
        <v>486.85</v>
      </c>
      <c r="E191" s="149"/>
      <c r="F191" s="91"/>
      <c r="G191" s="91"/>
      <c r="H191" s="97">
        <v>0</v>
      </c>
      <c r="I191" s="97">
        <v>0</v>
      </c>
      <c r="J191" s="178">
        <v>0</v>
      </c>
      <c r="K191" s="213">
        <v>46231</v>
      </c>
      <c r="L191" s="236" t="s">
        <v>427</v>
      </c>
      <c r="M191" s="237">
        <v>486.85</v>
      </c>
      <c r="N191" s="285"/>
      <c r="O191" s="279"/>
      <c r="P191" s="279"/>
      <c r="Q191" s="223">
        <f t="shared" si="30"/>
        <v>0</v>
      </c>
      <c r="R191" s="280">
        <f t="shared" si="31"/>
        <v>0</v>
      </c>
      <c r="S191" s="238">
        <f t="shared" si="32"/>
        <v>0</v>
      </c>
    </row>
    <row r="192" spans="1:19" ht="34.5" customHeight="1">
      <c r="A192" s="91">
        <v>51</v>
      </c>
      <c r="B192" s="298" t="s">
        <v>428</v>
      </c>
      <c r="C192" s="296" t="s">
        <v>429</v>
      </c>
      <c r="D192" s="297">
        <v>599.20000000000005</v>
      </c>
      <c r="E192" s="95" t="s">
        <v>67</v>
      </c>
      <c r="F192" s="91">
        <v>1</v>
      </c>
      <c r="G192" s="91">
        <v>1</v>
      </c>
      <c r="H192" s="97">
        <v>700</v>
      </c>
      <c r="I192" s="97">
        <v>49</v>
      </c>
      <c r="J192" s="178">
        <v>749</v>
      </c>
      <c r="K192" s="213" t="s">
        <v>152</v>
      </c>
      <c r="L192" s="236" t="s">
        <v>430</v>
      </c>
      <c r="M192" s="237">
        <v>1348.2</v>
      </c>
      <c r="N192" s="285"/>
      <c r="O192" s="279"/>
      <c r="P192" s="279"/>
      <c r="Q192" s="223">
        <f t="shared" si="30"/>
        <v>0</v>
      </c>
      <c r="R192" s="280">
        <f t="shared" si="31"/>
        <v>0</v>
      </c>
      <c r="S192" s="238">
        <f t="shared" si="32"/>
        <v>0</v>
      </c>
    </row>
    <row r="193" spans="1:19" ht="34.5" customHeight="1">
      <c r="A193" s="91">
        <v>52</v>
      </c>
      <c r="B193" s="298" t="s">
        <v>431</v>
      </c>
      <c r="C193" s="296" t="s">
        <v>432</v>
      </c>
      <c r="D193" s="301">
        <v>112.35</v>
      </c>
      <c r="E193" s="95"/>
      <c r="F193" s="91"/>
      <c r="G193" s="91"/>
      <c r="H193" s="97">
        <v>0</v>
      </c>
      <c r="I193" s="97">
        <v>0</v>
      </c>
      <c r="J193" s="178">
        <v>0</v>
      </c>
      <c r="K193" s="213">
        <v>46231</v>
      </c>
      <c r="L193" s="236" t="s">
        <v>433</v>
      </c>
      <c r="M193" s="237">
        <v>112.35</v>
      </c>
      <c r="N193" s="289"/>
      <c r="O193" s="279"/>
      <c r="P193" s="279"/>
      <c r="Q193" s="223">
        <f t="shared" si="30"/>
        <v>0</v>
      </c>
      <c r="R193" s="280">
        <f t="shared" si="31"/>
        <v>0</v>
      </c>
      <c r="S193" s="238">
        <f t="shared" si="32"/>
        <v>0</v>
      </c>
    </row>
    <row r="194" spans="1:19" ht="34.5" customHeight="1">
      <c r="A194" s="91">
        <v>53</v>
      </c>
      <c r="B194" s="298" t="s">
        <v>434</v>
      </c>
      <c r="C194" s="296" t="s">
        <v>435</v>
      </c>
      <c r="D194" s="297">
        <v>224.7</v>
      </c>
      <c r="E194" s="149"/>
      <c r="F194" s="91"/>
      <c r="G194" s="91"/>
      <c r="H194" s="97">
        <v>0</v>
      </c>
      <c r="I194" s="97">
        <v>0</v>
      </c>
      <c r="J194" s="178">
        <v>0</v>
      </c>
      <c r="K194" s="213"/>
      <c r="L194" s="236"/>
      <c r="M194" s="237">
        <v>0</v>
      </c>
      <c r="N194" s="285" t="s">
        <v>41</v>
      </c>
      <c r="O194" s="279">
        <v>1</v>
      </c>
      <c r="P194" s="279">
        <v>1</v>
      </c>
      <c r="Q194" s="223">
        <f t="shared" si="30"/>
        <v>210</v>
      </c>
      <c r="R194" s="280">
        <f t="shared" si="31"/>
        <v>14.7</v>
      </c>
      <c r="S194" s="238">
        <f t="shared" si="32"/>
        <v>224.7</v>
      </c>
    </row>
    <row r="195" spans="1:19" ht="34.5" customHeight="1">
      <c r="A195" s="91">
        <v>54</v>
      </c>
      <c r="B195" s="298" t="s">
        <v>436</v>
      </c>
      <c r="C195" s="296" t="s">
        <v>437</v>
      </c>
      <c r="D195" s="297">
        <v>449.4</v>
      </c>
      <c r="E195" s="149"/>
      <c r="F195" s="91"/>
      <c r="G195" s="91"/>
      <c r="H195" s="97">
        <v>0</v>
      </c>
      <c r="I195" s="97">
        <v>0</v>
      </c>
      <c r="J195" s="178">
        <v>0</v>
      </c>
      <c r="K195" s="213">
        <v>46225</v>
      </c>
      <c r="L195" s="236" t="s">
        <v>438</v>
      </c>
      <c r="M195" s="237">
        <v>449.4</v>
      </c>
      <c r="N195" s="285"/>
      <c r="O195" s="279"/>
      <c r="P195" s="279"/>
      <c r="Q195" s="223">
        <f t="shared" si="30"/>
        <v>0</v>
      </c>
      <c r="R195" s="280">
        <f t="shared" si="31"/>
        <v>0</v>
      </c>
      <c r="S195" s="238">
        <f t="shared" si="32"/>
        <v>0</v>
      </c>
    </row>
    <row r="196" spans="1:19" ht="34.5" customHeight="1">
      <c r="A196" s="91">
        <v>55</v>
      </c>
      <c r="B196" s="298" t="s">
        <v>439</v>
      </c>
      <c r="C196" s="296" t="s">
        <v>440</v>
      </c>
      <c r="D196" s="297">
        <v>861.35</v>
      </c>
      <c r="E196" s="149"/>
      <c r="F196" s="91"/>
      <c r="G196" s="91"/>
      <c r="H196" s="97">
        <v>0</v>
      </c>
      <c r="I196" s="97">
        <v>0</v>
      </c>
      <c r="J196" s="178">
        <v>0</v>
      </c>
      <c r="K196" s="213">
        <v>46226</v>
      </c>
      <c r="L196" s="236" t="s">
        <v>441</v>
      </c>
      <c r="M196" s="237">
        <v>861.35</v>
      </c>
      <c r="N196" s="285"/>
      <c r="O196" s="279"/>
      <c r="P196" s="279"/>
      <c r="Q196" s="223">
        <f t="shared" si="30"/>
        <v>0</v>
      </c>
      <c r="R196" s="280">
        <f t="shared" si="31"/>
        <v>0</v>
      </c>
      <c r="S196" s="238">
        <f t="shared" si="32"/>
        <v>0</v>
      </c>
    </row>
    <row r="197" spans="1:19" ht="34.5" customHeight="1">
      <c r="A197" s="91">
        <v>56</v>
      </c>
      <c r="B197" s="298" t="s">
        <v>442</v>
      </c>
      <c r="C197" s="296" t="s">
        <v>443</v>
      </c>
      <c r="D197" s="297">
        <v>374.5</v>
      </c>
      <c r="E197" s="149"/>
      <c r="F197" s="91"/>
      <c r="G197" s="91"/>
      <c r="H197" s="97">
        <v>0</v>
      </c>
      <c r="I197" s="97">
        <v>0</v>
      </c>
      <c r="J197" s="178">
        <v>0</v>
      </c>
      <c r="K197" s="213">
        <v>46234</v>
      </c>
      <c r="L197" s="236" t="s">
        <v>444</v>
      </c>
      <c r="M197" s="237">
        <v>374.5</v>
      </c>
      <c r="N197" s="285"/>
      <c r="O197" s="279"/>
      <c r="P197" s="279"/>
      <c r="Q197" s="223">
        <f t="shared" si="30"/>
        <v>0</v>
      </c>
      <c r="R197" s="280">
        <f t="shared" si="31"/>
        <v>0</v>
      </c>
      <c r="S197" s="238">
        <f t="shared" si="32"/>
        <v>0</v>
      </c>
    </row>
    <row r="198" spans="1:19" ht="34.5" customHeight="1">
      <c r="A198" s="91">
        <v>57</v>
      </c>
      <c r="B198" s="298" t="s">
        <v>442</v>
      </c>
      <c r="C198" s="127" t="s">
        <v>445</v>
      </c>
      <c r="D198" s="297">
        <v>112.35</v>
      </c>
      <c r="E198" s="149"/>
      <c r="F198" s="91"/>
      <c r="G198" s="91"/>
      <c r="H198" s="97">
        <v>0</v>
      </c>
      <c r="I198" s="97">
        <v>0</v>
      </c>
      <c r="J198" s="178">
        <v>0</v>
      </c>
      <c r="K198" s="213">
        <v>46234</v>
      </c>
      <c r="L198" s="236" t="s">
        <v>444</v>
      </c>
      <c r="M198" s="237">
        <v>112.35</v>
      </c>
      <c r="N198" s="285"/>
      <c r="O198" s="279"/>
      <c r="P198" s="279"/>
      <c r="Q198" s="223">
        <f t="shared" si="30"/>
        <v>0</v>
      </c>
      <c r="R198" s="280">
        <f t="shared" si="31"/>
        <v>0</v>
      </c>
      <c r="S198" s="238">
        <f t="shared" si="32"/>
        <v>0</v>
      </c>
    </row>
    <row r="199" spans="1:19" ht="34.5" customHeight="1">
      <c r="A199" s="91">
        <v>58</v>
      </c>
      <c r="B199" s="298" t="s">
        <v>442</v>
      </c>
      <c r="C199" s="127" t="s">
        <v>445</v>
      </c>
      <c r="D199" s="297">
        <v>149.80000000000001</v>
      </c>
      <c r="E199" s="149"/>
      <c r="F199" s="91"/>
      <c r="G199" s="91"/>
      <c r="H199" s="97">
        <v>0</v>
      </c>
      <c r="I199" s="97">
        <v>0</v>
      </c>
      <c r="J199" s="178">
        <v>0</v>
      </c>
      <c r="K199" s="213">
        <v>46234</v>
      </c>
      <c r="L199" s="236" t="s">
        <v>444</v>
      </c>
      <c r="M199" s="237">
        <v>149.80000000000001</v>
      </c>
      <c r="N199" s="285"/>
      <c r="O199" s="279"/>
      <c r="P199" s="279"/>
      <c r="Q199" s="223">
        <f t="shared" si="30"/>
        <v>0</v>
      </c>
      <c r="R199" s="280">
        <f t="shared" si="31"/>
        <v>0</v>
      </c>
      <c r="S199" s="238">
        <f t="shared" si="32"/>
        <v>0</v>
      </c>
    </row>
    <row r="200" spans="1:19" ht="34.5" customHeight="1">
      <c r="A200" s="91">
        <v>59</v>
      </c>
      <c r="B200" s="298" t="s">
        <v>446</v>
      </c>
      <c r="C200" s="127" t="s">
        <v>447</v>
      </c>
      <c r="D200" s="297">
        <v>7752.15</v>
      </c>
      <c r="E200" s="149" t="s">
        <v>67</v>
      </c>
      <c r="F200" s="91">
        <v>1</v>
      </c>
      <c r="G200" s="91">
        <v>1</v>
      </c>
      <c r="H200" s="97">
        <v>7595</v>
      </c>
      <c r="I200" s="97">
        <v>531.65</v>
      </c>
      <c r="J200" s="178">
        <v>8126.65</v>
      </c>
      <c r="K200" s="213" t="s">
        <v>448</v>
      </c>
      <c r="L200" s="236" t="s">
        <v>449</v>
      </c>
      <c r="M200" s="237">
        <v>15878.8</v>
      </c>
      <c r="N200" s="285"/>
      <c r="O200" s="279"/>
      <c r="P200" s="279"/>
      <c r="Q200" s="223">
        <f t="shared" si="30"/>
        <v>0</v>
      </c>
      <c r="R200" s="280">
        <f t="shared" si="31"/>
        <v>0</v>
      </c>
      <c r="S200" s="238">
        <f t="shared" si="32"/>
        <v>0</v>
      </c>
    </row>
    <row r="201" spans="1:19" ht="34.5" customHeight="1">
      <c r="A201" s="91">
        <v>60</v>
      </c>
      <c r="B201" s="298" t="s">
        <v>450</v>
      </c>
      <c r="C201" s="127" t="s">
        <v>451</v>
      </c>
      <c r="D201" s="297">
        <v>486.85</v>
      </c>
      <c r="E201" s="149"/>
      <c r="F201" s="91"/>
      <c r="G201" s="91"/>
      <c r="H201" s="97">
        <v>0</v>
      </c>
      <c r="I201" s="97">
        <v>0</v>
      </c>
      <c r="J201" s="178">
        <v>0</v>
      </c>
      <c r="K201" s="213">
        <v>46223</v>
      </c>
      <c r="L201" s="236" t="s">
        <v>452</v>
      </c>
      <c r="M201" s="237">
        <v>486.85</v>
      </c>
      <c r="N201" s="285"/>
      <c r="O201" s="279"/>
      <c r="P201" s="279"/>
      <c r="Q201" s="223">
        <f t="shared" si="30"/>
        <v>0</v>
      </c>
      <c r="R201" s="280">
        <f t="shared" si="31"/>
        <v>0</v>
      </c>
      <c r="S201" s="238">
        <f t="shared" si="32"/>
        <v>0</v>
      </c>
    </row>
    <row r="202" spans="1:19" ht="34.5" customHeight="1">
      <c r="A202" s="91"/>
      <c r="B202" s="298" t="s">
        <v>453</v>
      </c>
      <c r="C202" s="127" t="s">
        <v>454</v>
      </c>
      <c r="D202" s="297">
        <v>224.7</v>
      </c>
      <c r="E202" s="149"/>
      <c r="F202" s="91"/>
      <c r="G202" s="91"/>
      <c r="H202" s="97"/>
      <c r="I202" s="97"/>
      <c r="J202" s="178"/>
      <c r="K202" s="213">
        <v>46227</v>
      </c>
      <c r="L202" s="236" t="s">
        <v>455</v>
      </c>
      <c r="M202" s="237">
        <v>224.7</v>
      </c>
      <c r="N202" s="285"/>
      <c r="O202" s="279"/>
      <c r="P202" s="279"/>
      <c r="Q202" s="223"/>
      <c r="R202" s="280"/>
      <c r="S202" s="238"/>
    </row>
    <row r="203" spans="1:19" ht="34.5" customHeight="1">
      <c r="A203" s="91">
        <v>61</v>
      </c>
      <c r="B203" s="298" t="s">
        <v>456</v>
      </c>
      <c r="C203" s="296" t="s">
        <v>457</v>
      </c>
      <c r="D203" s="297">
        <v>112.35</v>
      </c>
      <c r="E203" s="95"/>
      <c r="F203" s="91"/>
      <c r="G203" s="91"/>
      <c r="H203" s="97">
        <v>0</v>
      </c>
      <c r="I203" s="97">
        <v>0</v>
      </c>
      <c r="J203" s="178">
        <v>0</v>
      </c>
      <c r="K203" s="213">
        <v>46223</v>
      </c>
      <c r="L203" s="236" t="s">
        <v>458</v>
      </c>
      <c r="M203" s="237">
        <v>112.35</v>
      </c>
      <c r="N203" s="285"/>
      <c r="O203" s="279"/>
      <c r="P203" s="279"/>
      <c r="Q203" s="223">
        <f t="shared" si="30"/>
        <v>0</v>
      </c>
      <c r="R203" s="280">
        <f t="shared" si="31"/>
        <v>0</v>
      </c>
      <c r="S203" s="238">
        <f t="shared" si="32"/>
        <v>0</v>
      </c>
    </row>
    <row r="204" spans="1:19" ht="34.5" customHeight="1">
      <c r="A204" s="91">
        <v>62</v>
      </c>
      <c r="B204" s="298" t="s">
        <v>459</v>
      </c>
      <c r="C204" s="296" t="s">
        <v>460</v>
      </c>
      <c r="D204" s="297">
        <v>411.95</v>
      </c>
      <c r="E204" s="95"/>
      <c r="F204" s="91"/>
      <c r="G204" s="91"/>
      <c r="H204" s="97">
        <v>0</v>
      </c>
      <c r="I204" s="97">
        <v>0</v>
      </c>
      <c r="J204" s="178">
        <v>0</v>
      </c>
      <c r="K204" s="213">
        <v>46230</v>
      </c>
      <c r="L204" s="236" t="s">
        <v>461</v>
      </c>
      <c r="M204" s="237">
        <v>411.95</v>
      </c>
      <c r="N204" s="285"/>
      <c r="O204" s="279"/>
      <c r="P204" s="279"/>
      <c r="Q204" s="223">
        <f t="shared" si="30"/>
        <v>0</v>
      </c>
      <c r="R204" s="280">
        <f t="shared" si="31"/>
        <v>0</v>
      </c>
      <c r="S204" s="238">
        <f t="shared" si="32"/>
        <v>0</v>
      </c>
    </row>
    <row r="205" spans="1:19" ht="34.5" customHeight="1">
      <c r="A205" s="91">
        <v>63</v>
      </c>
      <c r="B205" s="298" t="s">
        <v>97</v>
      </c>
      <c r="C205" s="296" t="s">
        <v>462</v>
      </c>
      <c r="D205" s="297">
        <v>1123.5</v>
      </c>
      <c r="E205" s="149"/>
      <c r="F205" s="91"/>
      <c r="G205" s="91"/>
      <c r="H205" s="97">
        <v>0</v>
      </c>
      <c r="I205" s="97">
        <v>0</v>
      </c>
      <c r="J205" s="178">
        <v>0</v>
      </c>
      <c r="K205" s="213">
        <v>46234</v>
      </c>
      <c r="L205" s="236" t="s">
        <v>463</v>
      </c>
      <c r="M205" s="237">
        <v>1123.5</v>
      </c>
      <c r="N205" s="289"/>
      <c r="O205" s="279"/>
      <c r="P205" s="279"/>
      <c r="Q205" s="223">
        <f t="shared" si="30"/>
        <v>0</v>
      </c>
      <c r="R205" s="280">
        <f t="shared" si="31"/>
        <v>0</v>
      </c>
      <c r="S205" s="238">
        <f t="shared" si="32"/>
        <v>0</v>
      </c>
    </row>
    <row r="206" spans="1:19" ht="34.5" customHeight="1">
      <c r="A206" s="91">
        <v>64</v>
      </c>
      <c r="B206" s="298" t="s">
        <v>464</v>
      </c>
      <c r="C206" s="296" t="s">
        <v>465</v>
      </c>
      <c r="D206" s="297">
        <v>0</v>
      </c>
      <c r="E206" s="149"/>
      <c r="F206" s="91"/>
      <c r="G206" s="91"/>
      <c r="H206" s="97">
        <v>0</v>
      </c>
      <c r="I206" s="97">
        <v>0</v>
      </c>
      <c r="J206" s="178">
        <v>0</v>
      </c>
      <c r="K206" s="213"/>
      <c r="L206" s="236"/>
      <c r="M206" s="237">
        <v>0</v>
      </c>
      <c r="N206" s="289"/>
      <c r="O206" s="279"/>
      <c r="P206" s="279"/>
      <c r="Q206" s="223">
        <f t="shared" ref="Q206:Q265" si="33">ROUND(S206*100/107,2)</f>
        <v>0</v>
      </c>
      <c r="R206" s="280">
        <f t="shared" ref="R206:R265" si="34">ROUND((Q206*0.07),2)</f>
        <v>0</v>
      </c>
      <c r="S206" s="238">
        <f t="shared" ref="S206:S265" si="35">+D206+J206-M206</f>
        <v>0</v>
      </c>
    </row>
    <row r="207" spans="1:19" ht="34.5" customHeight="1">
      <c r="A207" s="91">
        <v>65</v>
      </c>
      <c r="B207" s="298" t="s">
        <v>466</v>
      </c>
      <c r="C207" s="296" t="s">
        <v>467</v>
      </c>
      <c r="D207" s="297">
        <v>674.1</v>
      </c>
      <c r="E207" s="95"/>
      <c r="F207" s="91"/>
      <c r="G207" s="91"/>
      <c r="H207" s="97">
        <v>0</v>
      </c>
      <c r="I207" s="97">
        <v>0</v>
      </c>
      <c r="J207" s="178">
        <v>0</v>
      </c>
      <c r="K207" s="213">
        <v>46223</v>
      </c>
      <c r="L207" s="236" t="s">
        <v>468</v>
      </c>
      <c r="M207" s="237">
        <v>674.1</v>
      </c>
      <c r="N207" s="285"/>
      <c r="O207" s="279"/>
      <c r="P207" s="279"/>
      <c r="Q207" s="223">
        <f t="shared" si="33"/>
        <v>0</v>
      </c>
      <c r="R207" s="280">
        <f t="shared" si="34"/>
        <v>0</v>
      </c>
      <c r="S207" s="238">
        <f t="shared" si="35"/>
        <v>0</v>
      </c>
    </row>
    <row r="208" spans="1:19" ht="34.5" customHeight="1">
      <c r="A208" s="91">
        <v>66</v>
      </c>
      <c r="B208" s="298" t="s">
        <v>469</v>
      </c>
      <c r="C208" s="296" t="s">
        <v>470</v>
      </c>
      <c r="D208" s="297">
        <v>112.35</v>
      </c>
      <c r="E208" s="95"/>
      <c r="F208" s="91"/>
      <c r="G208" s="91"/>
      <c r="H208" s="97">
        <v>0</v>
      </c>
      <c r="I208" s="97">
        <v>0</v>
      </c>
      <c r="J208" s="178">
        <v>0</v>
      </c>
      <c r="K208" s="213">
        <v>46234</v>
      </c>
      <c r="L208" s="236" t="s">
        <v>471</v>
      </c>
      <c r="M208" s="237">
        <v>112.35</v>
      </c>
      <c r="N208" s="285"/>
      <c r="O208" s="279"/>
      <c r="P208" s="279"/>
      <c r="Q208" s="223">
        <f t="shared" si="33"/>
        <v>0</v>
      </c>
      <c r="R208" s="280">
        <f t="shared" si="34"/>
        <v>0</v>
      </c>
      <c r="S208" s="238">
        <f t="shared" si="35"/>
        <v>0</v>
      </c>
    </row>
    <row r="209" spans="1:19" ht="34.5" customHeight="1">
      <c r="A209" s="91">
        <v>67</v>
      </c>
      <c r="B209" s="302" t="s">
        <v>472</v>
      </c>
      <c r="C209" s="296" t="s">
        <v>473</v>
      </c>
      <c r="D209" s="297">
        <v>486.85</v>
      </c>
      <c r="E209" s="149"/>
      <c r="F209" s="91"/>
      <c r="G209" s="91"/>
      <c r="H209" s="97">
        <v>0</v>
      </c>
      <c r="I209" s="97">
        <v>0</v>
      </c>
      <c r="J209" s="178">
        <v>0</v>
      </c>
      <c r="K209" s="213"/>
      <c r="L209" s="236"/>
      <c r="M209" s="237">
        <v>0</v>
      </c>
      <c r="N209" s="285" t="s">
        <v>41</v>
      </c>
      <c r="O209" s="279">
        <v>1</v>
      </c>
      <c r="P209" s="279">
        <v>1</v>
      </c>
      <c r="Q209" s="223">
        <f t="shared" si="33"/>
        <v>455</v>
      </c>
      <c r="R209" s="280">
        <f t="shared" si="34"/>
        <v>31.85</v>
      </c>
      <c r="S209" s="238">
        <f t="shared" si="35"/>
        <v>486.85</v>
      </c>
    </row>
    <row r="210" spans="1:19" ht="34.5" customHeight="1">
      <c r="A210" s="91">
        <v>68</v>
      </c>
      <c r="B210" s="302" t="s">
        <v>474</v>
      </c>
      <c r="C210" s="296" t="s">
        <v>475</v>
      </c>
      <c r="D210" s="297">
        <v>187.25</v>
      </c>
      <c r="E210" s="149"/>
      <c r="F210" s="91"/>
      <c r="G210" s="91"/>
      <c r="H210" s="97">
        <v>0</v>
      </c>
      <c r="I210" s="97">
        <v>0</v>
      </c>
      <c r="J210" s="178">
        <v>0</v>
      </c>
      <c r="K210" s="213">
        <v>46226</v>
      </c>
      <c r="L210" s="236" t="s">
        <v>476</v>
      </c>
      <c r="M210" s="237">
        <v>187.25</v>
      </c>
      <c r="N210" s="285"/>
      <c r="O210" s="279"/>
      <c r="P210" s="279"/>
      <c r="Q210" s="223">
        <f t="shared" si="33"/>
        <v>0</v>
      </c>
      <c r="R210" s="280">
        <f t="shared" si="34"/>
        <v>0</v>
      </c>
      <c r="S210" s="238">
        <f t="shared" si="35"/>
        <v>0</v>
      </c>
    </row>
    <row r="211" spans="1:19" ht="34.5" customHeight="1">
      <c r="A211" s="91">
        <v>69</v>
      </c>
      <c r="B211" s="127" t="s">
        <v>477</v>
      </c>
      <c r="C211" s="296" t="s">
        <v>478</v>
      </c>
      <c r="D211" s="297">
        <v>973.7</v>
      </c>
      <c r="E211" s="95"/>
      <c r="F211" s="91"/>
      <c r="G211" s="91"/>
      <c r="H211" s="97">
        <v>0</v>
      </c>
      <c r="I211" s="97">
        <v>0</v>
      </c>
      <c r="J211" s="178">
        <v>0</v>
      </c>
      <c r="K211" s="213">
        <v>46234</v>
      </c>
      <c r="L211" s="236" t="s">
        <v>479</v>
      </c>
      <c r="M211" s="237">
        <v>973.7</v>
      </c>
      <c r="N211" s="285"/>
      <c r="O211" s="279"/>
      <c r="P211" s="279"/>
      <c r="Q211" s="223">
        <f t="shared" si="33"/>
        <v>0</v>
      </c>
      <c r="R211" s="280">
        <f t="shared" si="34"/>
        <v>0</v>
      </c>
      <c r="S211" s="238">
        <f t="shared" si="35"/>
        <v>0</v>
      </c>
    </row>
    <row r="212" spans="1:19" ht="34.5" customHeight="1">
      <c r="A212" s="91">
        <v>70</v>
      </c>
      <c r="B212" s="298" t="s">
        <v>480</v>
      </c>
      <c r="C212" s="296" t="s">
        <v>481</v>
      </c>
      <c r="D212" s="297">
        <v>0</v>
      </c>
      <c r="E212" s="95"/>
      <c r="F212" s="91"/>
      <c r="G212" s="91"/>
      <c r="H212" s="97">
        <v>0</v>
      </c>
      <c r="I212" s="97">
        <v>0</v>
      </c>
      <c r="J212" s="178">
        <v>0</v>
      </c>
      <c r="K212" s="213"/>
      <c r="L212" s="236"/>
      <c r="M212" s="237"/>
      <c r="N212" s="285"/>
      <c r="O212" s="279"/>
      <c r="P212" s="279"/>
      <c r="Q212" s="223">
        <f t="shared" si="33"/>
        <v>0</v>
      </c>
      <c r="R212" s="280">
        <f t="shared" si="34"/>
        <v>0</v>
      </c>
      <c r="S212" s="238">
        <f t="shared" si="35"/>
        <v>0</v>
      </c>
    </row>
    <row r="213" spans="1:19" ht="34.5" customHeight="1">
      <c r="A213" s="91">
        <v>71</v>
      </c>
      <c r="B213" s="298" t="s">
        <v>482</v>
      </c>
      <c r="C213" s="296" t="s">
        <v>483</v>
      </c>
      <c r="D213" s="297">
        <v>561.75</v>
      </c>
      <c r="E213" s="149"/>
      <c r="F213" s="91"/>
      <c r="G213" s="91"/>
      <c r="H213" s="97">
        <v>0</v>
      </c>
      <c r="I213" s="97">
        <v>0</v>
      </c>
      <c r="J213" s="178">
        <v>0</v>
      </c>
      <c r="K213" s="213"/>
      <c r="L213" s="236"/>
      <c r="M213" s="237">
        <v>0</v>
      </c>
      <c r="N213" s="285" t="s">
        <v>41</v>
      </c>
      <c r="O213" s="279">
        <v>1</v>
      </c>
      <c r="P213" s="279">
        <v>1</v>
      </c>
      <c r="Q213" s="223">
        <f>ROUND(S213*100/107,2)</f>
        <v>525</v>
      </c>
      <c r="R213" s="280">
        <f>ROUND((Q213*0.07),2)</f>
        <v>36.75</v>
      </c>
      <c r="S213" s="238">
        <f>+D213+J213-M213</f>
        <v>561.75</v>
      </c>
    </row>
    <row r="214" spans="1:19" ht="34.5" customHeight="1">
      <c r="A214" s="91">
        <v>72</v>
      </c>
      <c r="B214" s="298" t="s">
        <v>484</v>
      </c>
      <c r="C214" s="296" t="s">
        <v>485</v>
      </c>
      <c r="D214" s="297">
        <v>1835.05</v>
      </c>
      <c r="E214" s="95"/>
      <c r="F214" s="91"/>
      <c r="G214" s="91"/>
      <c r="H214" s="97"/>
      <c r="I214" s="97"/>
      <c r="J214" s="178"/>
      <c r="K214" s="213">
        <v>46223</v>
      </c>
      <c r="L214" s="236" t="s">
        <v>486</v>
      </c>
      <c r="M214" s="237">
        <v>1835.05</v>
      </c>
      <c r="N214" s="285"/>
      <c r="O214" s="279"/>
      <c r="P214" s="279"/>
      <c r="Q214" s="223"/>
      <c r="R214" s="280"/>
      <c r="S214" s="238"/>
    </row>
    <row r="215" spans="1:19" ht="34.5" customHeight="1">
      <c r="A215" s="91">
        <v>73</v>
      </c>
      <c r="B215" s="298" t="s">
        <v>487</v>
      </c>
      <c r="C215" s="296" t="s">
        <v>488</v>
      </c>
      <c r="D215" s="297">
        <v>1310.75</v>
      </c>
      <c r="E215" s="149"/>
      <c r="F215" s="91"/>
      <c r="G215" s="91"/>
      <c r="H215" s="97">
        <v>0</v>
      </c>
      <c r="I215" s="97">
        <v>0</v>
      </c>
      <c r="J215" s="178">
        <v>0</v>
      </c>
      <c r="K215" s="213">
        <v>46234</v>
      </c>
      <c r="L215" s="236" t="s">
        <v>489</v>
      </c>
      <c r="M215" s="237">
        <v>1310.75</v>
      </c>
      <c r="N215" s="285"/>
      <c r="O215" s="279"/>
      <c r="P215" s="279"/>
      <c r="Q215" s="223">
        <f t="shared" si="33"/>
        <v>0</v>
      </c>
      <c r="R215" s="280">
        <f t="shared" si="34"/>
        <v>0</v>
      </c>
      <c r="S215" s="238">
        <f t="shared" si="35"/>
        <v>0</v>
      </c>
    </row>
    <row r="216" spans="1:19" ht="34.5" customHeight="1">
      <c r="A216" s="91">
        <v>74</v>
      </c>
      <c r="B216" s="298" t="s">
        <v>490</v>
      </c>
      <c r="C216" s="296" t="s">
        <v>491</v>
      </c>
      <c r="D216" s="297">
        <v>187.25</v>
      </c>
      <c r="E216" s="169"/>
      <c r="F216" s="103"/>
      <c r="G216" s="91"/>
      <c r="H216" s="97">
        <v>0</v>
      </c>
      <c r="I216" s="97">
        <v>0</v>
      </c>
      <c r="J216" s="178">
        <v>0</v>
      </c>
      <c r="K216" s="213">
        <v>46234</v>
      </c>
      <c r="L216" s="236" t="s">
        <v>492</v>
      </c>
      <c r="M216" s="237">
        <v>187.25</v>
      </c>
      <c r="N216" s="285"/>
      <c r="O216" s="279"/>
      <c r="P216" s="279"/>
      <c r="Q216" s="223">
        <f t="shared" si="33"/>
        <v>0</v>
      </c>
      <c r="R216" s="280">
        <f t="shared" si="34"/>
        <v>0</v>
      </c>
      <c r="S216" s="238">
        <f t="shared" si="35"/>
        <v>0</v>
      </c>
    </row>
    <row r="217" spans="1:19" ht="34.5" customHeight="1">
      <c r="A217" s="91">
        <v>75</v>
      </c>
      <c r="B217" s="298" t="s">
        <v>493</v>
      </c>
      <c r="C217" s="296" t="s">
        <v>494</v>
      </c>
      <c r="D217" s="297">
        <v>112.35</v>
      </c>
      <c r="E217" s="169"/>
      <c r="F217" s="103"/>
      <c r="G217" s="91"/>
      <c r="H217" s="97">
        <v>0</v>
      </c>
      <c r="I217" s="97">
        <v>0</v>
      </c>
      <c r="J217" s="178">
        <v>0</v>
      </c>
      <c r="K217" s="213">
        <v>46224</v>
      </c>
      <c r="L217" s="236" t="s">
        <v>495</v>
      </c>
      <c r="M217" s="237">
        <v>112.35</v>
      </c>
      <c r="N217" s="285"/>
      <c r="O217" s="279"/>
      <c r="P217" s="279"/>
      <c r="Q217" s="223">
        <f t="shared" si="33"/>
        <v>0</v>
      </c>
      <c r="R217" s="280">
        <f t="shared" si="34"/>
        <v>0</v>
      </c>
      <c r="S217" s="238">
        <f t="shared" si="35"/>
        <v>0</v>
      </c>
    </row>
    <row r="218" spans="1:19" ht="34.5" customHeight="1">
      <c r="A218" s="91">
        <v>76</v>
      </c>
      <c r="B218" s="127" t="s">
        <v>496</v>
      </c>
      <c r="C218" s="296" t="s">
        <v>497</v>
      </c>
      <c r="D218" s="297">
        <v>112.35</v>
      </c>
      <c r="E218" s="95"/>
      <c r="F218" s="91"/>
      <c r="G218" s="91"/>
      <c r="H218" s="97">
        <v>0</v>
      </c>
      <c r="I218" s="97">
        <v>0</v>
      </c>
      <c r="J218" s="178">
        <v>0</v>
      </c>
      <c r="K218" s="213">
        <v>46226</v>
      </c>
      <c r="L218" s="236" t="s">
        <v>498</v>
      </c>
      <c r="M218" s="237">
        <v>112.35</v>
      </c>
      <c r="N218" s="285"/>
      <c r="O218" s="279"/>
      <c r="P218" s="279"/>
      <c r="Q218" s="223">
        <f t="shared" si="33"/>
        <v>0</v>
      </c>
      <c r="R218" s="280">
        <f t="shared" si="34"/>
        <v>0</v>
      </c>
      <c r="S218" s="238">
        <f t="shared" si="35"/>
        <v>0</v>
      </c>
    </row>
    <row r="219" spans="1:19" ht="34.5" customHeight="1">
      <c r="A219" s="91">
        <v>77</v>
      </c>
      <c r="B219" s="127" t="s">
        <v>499</v>
      </c>
      <c r="C219" s="296" t="s">
        <v>500</v>
      </c>
      <c r="D219" s="297">
        <v>112.35</v>
      </c>
      <c r="E219" s="95"/>
      <c r="F219" s="91"/>
      <c r="G219" s="91"/>
      <c r="H219" s="97">
        <v>0</v>
      </c>
      <c r="I219" s="97">
        <v>0</v>
      </c>
      <c r="J219" s="178">
        <v>0</v>
      </c>
      <c r="K219" s="213"/>
      <c r="L219" s="236"/>
      <c r="M219" s="237">
        <v>0</v>
      </c>
      <c r="N219" s="289" t="s">
        <v>41</v>
      </c>
      <c r="O219" s="279">
        <v>1</v>
      </c>
      <c r="P219" s="279">
        <v>1</v>
      </c>
      <c r="Q219" s="223">
        <f t="shared" si="33"/>
        <v>105</v>
      </c>
      <c r="R219" s="280">
        <f t="shared" si="34"/>
        <v>7.35</v>
      </c>
      <c r="S219" s="238">
        <f t="shared" si="35"/>
        <v>112.35</v>
      </c>
    </row>
    <row r="220" spans="1:19" ht="34.5" customHeight="1">
      <c r="A220" s="91">
        <v>78</v>
      </c>
      <c r="B220" s="127" t="s">
        <v>501</v>
      </c>
      <c r="C220" s="296" t="s">
        <v>502</v>
      </c>
      <c r="D220" s="297">
        <v>224.7</v>
      </c>
      <c r="E220" s="95"/>
      <c r="F220" s="91"/>
      <c r="G220" s="91"/>
      <c r="H220" s="97">
        <v>0</v>
      </c>
      <c r="I220" s="97">
        <v>0</v>
      </c>
      <c r="J220" s="178">
        <v>0</v>
      </c>
      <c r="K220" s="213">
        <v>46234</v>
      </c>
      <c r="L220" s="236" t="s">
        <v>503</v>
      </c>
      <c r="M220" s="237">
        <v>224.7</v>
      </c>
      <c r="N220" s="289"/>
      <c r="O220" s="279"/>
      <c r="P220" s="279"/>
      <c r="Q220" s="223">
        <f t="shared" si="33"/>
        <v>0</v>
      </c>
      <c r="R220" s="280">
        <f t="shared" si="34"/>
        <v>0</v>
      </c>
      <c r="S220" s="238">
        <f t="shared" si="35"/>
        <v>0</v>
      </c>
    </row>
    <row r="221" spans="1:19" ht="34.5" customHeight="1">
      <c r="A221" s="91">
        <v>79</v>
      </c>
      <c r="B221" s="298" t="s">
        <v>504</v>
      </c>
      <c r="C221" s="296" t="s">
        <v>505</v>
      </c>
      <c r="D221" s="297">
        <v>0</v>
      </c>
      <c r="E221" s="149"/>
      <c r="F221" s="91"/>
      <c r="G221" s="91"/>
      <c r="H221" s="97">
        <v>0</v>
      </c>
      <c r="I221" s="97">
        <v>0</v>
      </c>
      <c r="J221" s="178">
        <v>0</v>
      </c>
      <c r="K221" s="213"/>
      <c r="L221" s="236"/>
      <c r="M221" s="237">
        <v>0</v>
      </c>
      <c r="N221" s="285"/>
      <c r="O221" s="279"/>
      <c r="P221" s="279"/>
      <c r="Q221" s="223">
        <f t="shared" si="33"/>
        <v>0</v>
      </c>
      <c r="R221" s="280">
        <f t="shared" si="34"/>
        <v>0</v>
      </c>
      <c r="S221" s="238">
        <f t="shared" si="35"/>
        <v>0</v>
      </c>
    </row>
    <row r="222" spans="1:19" ht="34.5" customHeight="1">
      <c r="A222" s="91">
        <v>80</v>
      </c>
      <c r="B222" s="298" t="s">
        <v>506</v>
      </c>
      <c r="C222" s="296" t="s">
        <v>507</v>
      </c>
      <c r="D222" s="297">
        <v>112.35</v>
      </c>
      <c r="E222" s="149"/>
      <c r="F222" s="91"/>
      <c r="G222" s="91"/>
      <c r="H222" s="97">
        <v>0</v>
      </c>
      <c r="I222" s="97">
        <v>0</v>
      </c>
      <c r="J222" s="178">
        <v>0</v>
      </c>
      <c r="K222" s="213">
        <v>46223</v>
      </c>
      <c r="L222" s="236" t="s">
        <v>508</v>
      </c>
      <c r="M222" s="237">
        <v>112.35</v>
      </c>
      <c r="N222" s="285"/>
      <c r="O222" s="279"/>
      <c r="P222" s="279"/>
      <c r="Q222" s="223">
        <f t="shared" si="33"/>
        <v>0</v>
      </c>
      <c r="R222" s="280">
        <f t="shared" si="34"/>
        <v>0</v>
      </c>
      <c r="S222" s="238">
        <f t="shared" si="35"/>
        <v>0</v>
      </c>
    </row>
    <row r="223" spans="1:19" ht="34.5" customHeight="1">
      <c r="A223" s="91">
        <v>81</v>
      </c>
      <c r="B223" s="298" t="s">
        <v>509</v>
      </c>
      <c r="C223" s="296" t="s">
        <v>510</v>
      </c>
      <c r="D223" s="297">
        <v>112.35</v>
      </c>
      <c r="E223" s="95"/>
      <c r="F223" s="91"/>
      <c r="G223" s="91"/>
      <c r="H223" s="97">
        <v>0</v>
      </c>
      <c r="I223" s="97">
        <v>0</v>
      </c>
      <c r="J223" s="178">
        <v>0</v>
      </c>
      <c r="K223" s="213">
        <v>46224</v>
      </c>
      <c r="L223" s="236" t="s">
        <v>511</v>
      </c>
      <c r="M223" s="237">
        <v>112.35</v>
      </c>
      <c r="N223" s="285"/>
      <c r="O223" s="279"/>
      <c r="P223" s="279"/>
      <c r="Q223" s="223">
        <f t="shared" si="33"/>
        <v>0</v>
      </c>
      <c r="R223" s="280">
        <f t="shared" si="34"/>
        <v>0</v>
      </c>
      <c r="S223" s="238">
        <f t="shared" si="35"/>
        <v>0</v>
      </c>
    </row>
    <row r="224" spans="1:19" ht="34.5" customHeight="1">
      <c r="A224" s="91">
        <v>82</v>
      </c>
      <c r="B224" s="298" t="s">
        <v>512</v>
      </c>
      <c r="C224" s="296" t="s">
        <v>513</v>
      </c>
      <c r="D224" s="297">
        <v>374.5</v>
      </c>
      <c r="E224" s="169"/>
      <c r="F224" s="103"/>
      <c r="G224" s="91"/>
      <c r="H224" s="97">
        <v>0</v>
      </c>
      <c r="I224" s="97">
        <v>0</v>
      </c>
      <c r="J224" s="178">
        <v>0</v>
      </c>
      <c r="K224" s="213">
        <v>46224</v>
      </c>
      <c r="L224" s="236" t="s">
        <v>514</v>
      </c>
      <c r="M224" s="237">
        <v>374.5</v>
      </c>
      <c r="N224" s="285"/>
      <c r="O224" s="279"/>
      <c r="P224" s="279"/>
      <c r="Q224" s="223">
        <f t="shared" si="33"/>
        <v>0</v>
      </c>
      <c r="R224" s="280">
        <f t="shared" si="34"/>
        <v>0</v>
      </c>
      <c r="S224" s="238">
        <f t="shared" si="35"/>
        <v>0</v>
      </c>
    </row>
    <row r="225" spans="1:19" s="317" customFormat="1" ht="34.5" customHeight="1">
      <c r="A225" s="303">
        <v>83</v>
      </c>
      <c r="B225" s="304" t="s">
        <v>515</v>
      </c>
      <c r="C225" s="305" t="s">
        <v>516</v>
      </c>
      <c r="D225" s="301">
        <v>112.35</v>
      </c>
      <c r="E225" s="306"/>
      <c r="F225" s="303"/>
      <c r="G225" s="303"/>
      <c r="H225" s="307">
        <v>0</v>
      </c>
      <c r="I225" s="307">
        <v>0</v>
      </c>
      <c r="J225" s="308">
        <v>0</v>
      </c>
      <c r="K225" s="309">
        <v>46230</v>
      </c>
      <c r="L225" s="310" t="s">
        <v>517</v>
      </c>
      <c r="M225" s="311">
        <v>112.35</v>
      </c>
      <c r="N225" s="312"/>
      <c r="O225" s="313"/>
      <c r="P225" s="313"/>
      <c r="Q225" s="314">
        <f t="shared" si="33"/>
        <v>0</v>
      </c>
      <c r="R225" s="315">
        <f t="shared" si="34"/>
        <v>0</v>
      </c>
      <c r="S225" s="316">
        <f t="shared" si="35"/>
        <v>0</v>
      </c>
    </row>
    <row r="226" spans="1:19" ht="34.5" customHeight="1">
      <c r="A226" s="91">
        <v>84</v>
      </c>
      <c r="B226" s="298" t="s">
        <v>518</v>
      </c>
      <c r="C226" s="296" t="s">
        <v>519</v>
      </c>
      <c r="D226" s="297">
        <v>149.80000000000001</v>
      </c>
      <c r="E226" s="95"/>
      <c r="F226" s="91"/>
      <c r="G226" s="91"/>
      <c r="H226" s="97">
        <v>0</v>
      </c>
      <c r="I226" s="97">
        <v>0</v>
      </c>
      <c r="J226" s="178">
        <v>0</v>
      </c>
      <c r="K226" s="213">
        <v>46231</v>
      </c>
      <c r="L226" s="236" t="s">
        <v>520</v>
      </c>
      <c r="M226" s="237">
        <v>149.80000000000001</v>
      </c>
      <c r="N226" s="285"/>
      <c r="O226" s="279"/>
      <c r="P226" s="279"/>
      <c r="Q226" s="223">
        <f t="shared" si="33"/>
        <v>0</v>
      </c>
      <c r="R226" s="280">
        <f t="shared" si="34"/>
        <v>0</v>
      </c>
      <c r="S226" s="238">
        <f t="shared" si="35"/>
        <v>0</v>
      </c>
    </row>
    <row r="227" spans="1:19" ht="34.5" customHeight="1">
      <c r="A227" s="91">
        <v>85</v>
      </c>
      <c r="B227" s="298" t="s">
        <v>518</v>
      </c>
      <c r="C227" s="296" t="s">
        <v>519</v>
      </c>
      <c r="D227" s="297">
        <v>674.1</v>
      </c>
      <c r="E227" s="95"/>
      <c r="F227" s="91"/>
      <c r="G227" s="91"/>
      <c r="H227" s="97">
        <v>0</v>
      </c>
      <c r="I227" s="97">
        <v>0</v>
      </c>
      <c r="J227" s="178">
        <v>0</v>
      </c>
      <c r="K227" s="213">
        <v>46231</v>
      </c>
      <c r="L227" s="236" t="s">
        <v>520</v>
      </c>
      <c r="M227" s="237">
        <v>674.1</v>
      </c>
      <c r="N227" s="285"/>
      <c r="O227" s="279"/>
      <c r="P227" s="279"/>
      <c r="Q227" s="223">
        <f t="shared" si="33"/>
        <v>0</v>
      </c>
      <c r="R227" s="280">
        <f t="shared" si="34"/>
        <v>0</v>
      </c>
      <c r="S227" s="238">
        <f t="shared" si="35"/>
        <v>0</v>
      </c>
    </row>
    <row r="228" spans="1:19" ht="34.5" customHeight="1">
      <c r="A228" s="91">
        <v>86</v>
      </c>
      <c r="B228" s="298" t="s">
        <v>521</v>
      </c>
      <c r="C228" s="296" t="s">
        <v>522</v>
      </c>
      <c r="D228" s="297">
        <v>1048.5999999999999</v>
      </c>
      <c r="E228" s="95"/>
      <c r="F228" s="91"/>
      <c r="G228" s="91"/>
      <c r="H228" s="97"/>
      <c r="I228" s="97"/>
      <c r="J228" s="178"/>
      <c r="K228" s="213">
        <v>46224</v>
      </c>
      <c r="L228" s="236" t="s">
        <v>523</v>
      </c>
      <c r="M228" s="237">
        <v>1048.5999999999999</v>
      </c>
      <c r="N228" s="285"/>
      <c r="O228" s="279"/>
      <c r="P228" s="279"/>
      <c r="Q228" s="223"/>
      <c r="R228" s="280"/>
      <c r="S228" s="238"/>
    </row>
    <row r="229" spans="1:19" ht="34.5" customHeight="1">
      <c r="A229" s="91">
        <v>87</v>
      </c>
      <c r="B229" s="298" t="s">
        <v>518</v>
      </c>
      <c r="C229" s="296" t="s">
        <v>524</v>
      </c>
      <c r="D229" s="297">
        <v>299.60000000000002</v>
      </c>
      <c r="E229" s="149"/>
      <c r="F229" s="91"/>
      <c r="G229" s="91"/>
      <c r="H229" s="97">
        <v>0</v>
      </c>
      <c r="I229" s="97">
        <v>0</v>
      </c>
      <c r="J229" s="178">
        <v>0</v>
      </c>
      <c r="K229" s="213">
        <v>46231</v>
      </c>
      <c r="L229" s="236" t="s">
        <v>525</v>
      </c>
      <c r="M229" s="237">
        <v>299.60000000000002</v>
      </c>
      <c r="N229" s="285"/>
      <c r="O229" s="279"/>
      <c r="P229" s="279"/>
      <c r="Q229" s="223">
        <f t="shared" si="33"/>
        <v>0</v>
      </c>
      <c r="R229" s="280">
        <f t="shared" si="34"/>
        <v>0</v>
      </c>
      <c r="S229" s="238">
        <f t="shared" si="35"/>
        <v>0</v>
      </c>
    </row>
    <row r="230" spans="1:19" ht="34.5" customHeight="1">
      <c r="A230" s="91">
        <v>88</v>
      </c>
      <c r="B230" s="298" t="s">
        <v>526</v>
      </c>
      <c r="C230" s="296" t="s">
        <v>527</v>
      </c>
      <c r="D230" s="297">
        <v>112.35</v>
      </c>
      <c r="E230" s="95"/>
      <c r="F230" s="91"/>
      <c r="G230" s="91"/>
      <c r="H230" s="97">
        <v>0</v>
      </c>
      <c r="I230" s="97">
        <v>0</v>
      </c>
      <c r="J230" s="178">
        <v>0</v>
      </c>
      <c r="K230" s="213">
        <v>46230</v>
      </c>
      <c r="L230" s="236" t="s">
        <v>528</v>
      </c>
      <c r="M230" s="237">
        <v>112.35</v>
      </c>
      <c r="N230" s="285"/>
      <c r="O230" s="279"/>
      <c r="P230" s="279"/>
      <c r="Q230" s="223">
        <f t="shared" si="33"/>
        <v>0</v>
      </c>
      <c r="R230" s="280">
        <f t="shared" si="34"/>
        <v>0</v>
      </c>
      <c r="S230" s="238">
        <f t="shared" si="35"/>
        <v>0</v>
      </c>
    </row>
    <row r="231" spans="1:19" ht="34.5" customHeight="1">
      <c r="A231" s="91">
        <v>89</v>
      </c>
      <c r="B231" s="298" t="s">
        <v>529</v>
      </c>
      <c r="C231" s="296" t="s">
        <v>530</v>
      </c>
      <c r="D231" s="297">
        <v>262.14999999999998</v>
      </c>
      <c r="E231" s="149"/>
      <c r="F231" s="91"/>
      <c r="G231" s="91"/>
      <c r="H231" s="97">
        <v>0</v>
      </c>
      <c r="I231" s="97">
        <v>0</v>
      </c>
      <c r="J231" s="178">
        <v>0</v>
      </c>
      <c r="K231" s="213">
        <v>46230</v>
      </c>
      <c r="L231" s="236" t="s">
        <v>531</v>
      </c>
      <c r="M231" s="237">
        <v>262.14999999999998</v>
      </c>
      <c r="N231" s="285"/>
      <c r="O231" s="279"/>
      <c r="P231" s="279"/>
      <c r="Q231" s="223">
        <f t="shared" si="33"/>
        <v>0</v>
      </c>
      <c r="R231" s="280">
        <f t="shared" si="34"/>
        <v>0</v>
      </c>
      <c r="S231" s="238">
        <f t="shared" si="35"/>
        <v>0</v>
      </c>
    </row>
    <row r="232" spans="1:19" ht="34.5" customHeight="1">
      <c r="A232" s="91">
        <v>90</v>
      </c>
      <c r="B232" s="298" t="s">
        <v>529</v>
      </c>
      <c r="C232" s="296" t="s">
        <v>532</v>
      </c>
      <c r="D232" s="297">
        <v>224.7</v>
      </c>
      <c r="E232" s="95"/>
      <c r="F232" s="91"/>
      <c r="G232" s="91"/>
      <c r="H232" s="97">
        <v>0</v>
      </c>
      <c r="I232" s="97">
        <v>0</v>
      </c>
      <c r="J232" s="178">
        <v>0</v>
      </c>
      <c r="K232" s="213">
        <v>46230</v>
      </c>
      <c r="L232" s="236" t="s">
        <v>533</v>
      </c>
      <c r="M232" s="237">
        <v>224.7</v>
      </c>
      <c r="N232" s="285"/>
      <c r="O232" s="279"/>
      <c r="P232" s="279"/>
      <c r="Q232" s="223">
        <f t="shared" si="33"/>
        <v>0</v>
      </c>
      <c r="R232" s="280">
        <f t="shared" si="34"/>
        <v>0</v>
      </c>
      <c r="S232" s="238">
        <f t="shared" si="35"/>
        <v>0</v>
      </c>
    </row>
    <row r="233" spans="1:19" ht="34.5" customHeight="1">
      <c r="A233" s="91">
        <v>91</v>
      </c>
      <c r="B233" s="298" t="s">
        <v>534</v>
      </c>
      <c r="C233" s="296" t="s">
        <v>535</v>
      </c>
      <c r="D233" s="297">
        <v>2771.3</v>
      </c>
      <c r="E233" s="95" t="s">
        <v>67</v>
      </c>
      <c r="F233" s="91">
        <v>1</v>
      </c>
      <c r="G233" s="91">
        <v>1</v>
      </c>
      <c r="H233" s="97">
        <v>420</v>
      </c>
      <c r="I233" s="97">
        <v>29.4</v>
      </c>
      <c r="J233" s="178">
        <v>449.40000000000009</v>
      </c>
      <c r="K233" s="213">
        <v>46205</v>
      </c>
      <c r="L233" s="236" t="s">
        <v>536</v>
      </c>
      <c r="M233" s="237">
        <v>449.4</v>
      </c>
      <c r="N233" s="285" t="s">
        <v>41</v>
      </c>
      <c r="O233" s="279">
        <v>1</v>
      </c>
      <c r="P233" s="279">
        <v>1</v>
      </c>
      <c r="Q233" s="223">
        <f t="shared" si="33"/>
        <v>2590</v>
      </c>
      <c r="R233" s="280">
        <f t="shared" si="34"/>
        <v>181.3</v>
      </c>
      <c r="S233" s="238">
        <f t="shared" si="35"/>
        <v>2771.3</v>
      </c>
    </row>
    <row r="234" spans="1:19" ht="34.5" customHeight="1">
      <c r="A234" s="91">
        <v>92</v>
      </c>
      <c r="B234" s="298" t="s">
        <v>537</v>
      </c>
      <c r="C234" s="296" t="s">
        <v>538</v>
      </c>
      <c r="D234" s="297">
        <v>861.34999999999991</v>
      </c>
      <c r="E234" s="95"/>
      <c r="F234" s="91"/>
      <c r="G234" s="91"/>
      <c r="H234" s="97">
        <v>0</v>
      </c>
      <c r="I234" s="97">
        <v>0</v>
      </c>
      <c r="J234" s="178">
        <v>0</v>
      </c>
      <c r="K234" s="213">
        <v>46226</v>
      </c>
      <c r="L234" s="236" t="s">
        <v>539</v>
      </c>
      <c r="M234" s="237">
        <v>861.35</v>
      </c>
      <c r="N234" s="285"/>
      <c r="O234" s="279"/>
      <c r="P234" s="279"/>
      <c r="Q234" s="223">
        <f t="shared" si="33"/>
        <v>0</v>
      </c>
      <c r="R234" s="280">
        <f t="shared" si="34"/>
        <v>0</v>
      </c>
      <c r="S234" s="238">
        <f t="shared" si="35"/>
        <v>0</v>
      </c>
    </row>
    <row r="235" spans="1:19" s="317" customFormat="1" ht="34.5" customHeight="1">
      <c r="A235" s="303">
        <v>93</v>
      </c>
      <c r="B235" s="304" t="s">
        <v>477</v>
      </c>
      <c r="C235" s="305" t="s">
        <v>540</v>
      </c>
      <c r="D235" s="301">
        <v>374.5</v>
      </c>
      <c r="E235" s="318"/>
      <c r="F235" s="303"/>
      <c r="G235" s="303"/>
      <c r="H235" s="307">
        <v>0</v>
      </c>
      <c r="I235" s="307">
        <v>0</v>
      </c>
      <c r="J235" s="308">
        <v>0</v>
      </c>
      <c r="K235" s="309">
        <v>46234</v>
      </c>
      <c r="L235" s="310" t="s">
        <v>541</v>
      </c>
      <c r="M235" s="311">
        <v>374.5</v>
      </c>
      <c r="N235" s="319"/>
      <c r="O235" s="313"/>
      <c r="P235" s="313"/>
      <c r="Q235" s="314">
        <f t="shared" si="33"/>
        <v>0</v>
      </c>
      <c r="R235" s="315">
        <f t="shared" si="34"/>
        <v>0</v>
      </c>
      <c r="S235" s="316">
        <v>0</v>
      </c>
    </row>
    <row r="236" spans="1:19" ht="34.5" customHeight="1">
      <c r="A236" s="91">
        <v>94</v>
      </c>
      <c r="B236" s="298" t="s">
        <v>542</v>
      </c>
      <c r="C236" s="296" t="s">
        <v>543</v>
      </c>
      <c r="D236" s="297">
        <v>1273.3</v>
      </c>
      <c r="E236" s="95"/>
      <c r="F236" s="91"/>
      <c r="G236" s="91"/>
      <c r="H236" s="97">
        <v>0</v>
      </c>
      <c r="I236" s="97">
        <v>0</v>
      </c>
      <c r="J236" s="178">
        <v>0</v>
      </c>
      <c r="K236" s="213">
        <v>46223</v>
      </c>
      <c r="L236" s="236" t="s">
        <v>544</v>
      </c>
      <c r="M236" s="237">
        <v>1273.3</v>
      </c>
      <c r="N236" s="285"/>
      <c r="O236" s="279"/>
      <c r="P236" s="279"/>
      <c r="Q236" s="223">
        <f t="shared" si="33"/>
        <v>0</v>
      </c>
      <c r="R236" s="280">
        <f t="shared" si="34"/>
        <v>0</v>
      </c>
      <c r="S236" s="238">
        <f t="shared" si="35"/>
        <v>0</v>
      </c>
    </row>
    <row r="237" spans="1:19" ht="34.5" customHeight="1">
      <c r="A237" s="91">
        <v>95</v>
      </c>
      <c r="B237" s="298" t="s">
        <v>545</v>
      </c>
      <c r="C237" s="296" t="s">
        <v>546</v>
      </c>
      <c r="D237" s="297">
        <v>112.35</v>
      </c>
      <c r="E237" s="95"/>
      <c r="F237" s="91"/>
      <c r="G237" s="91"/>
      <c r="H237" s="97">
        <v>0</v>
      </c>
      <c r="I237" s="97">
        <v>0</v>
      </c>
      <c r="J237" s="178">
        <v>0</v>
      </c>
      <c r="K237" s="213">
        <v>46226</v>
      </c>
      <c r="L237" s="236" t="s">
        <v>547</v>
      </c>
      <c r="M237" s="237">
        <v>112.35</v>
      </c>
      <c r="N237" s="285"/>
      <c r="O237" s="279"/>
      <c r="P237" s="279"/>
      <c r="Q237" s="223">
        <f t="shared" si="33"/>
        <v>0</v>
      </c>
      <c r="R237" s="280">
        <f t="shared" si="34"/>
        <v>0</v>
      </c>
      <c r="S237" s="238">
        <f t="shared" si="35"/>
        <v>0</v>
      </c>
    </row>
    <row r="238" spans="1:19" ht="34.5" customHeight="1">
      <c r="A238" s="91">
        <v>96</v>
      </c>
      <c r="B238" s="300" t="s">
        <v>107</v>
      </c>
      <c r="C238" s="296" t="s">
        <v>548</v>
      </c>
      <c r="D238" s="297">
        <v>524.29999999999995</v>
      </c>
      <c r="E238" s="95" t="s">
        <v>67</v>
      </c>
      <c r="F238" s="91">
        <v>1</v>
      </c>
      <c r="G238" s="91">
        <v>1</v>
      </c>
      <c r="H238" s="97">
        <v>665</v>
      </c>
      <c r="I238" s="97">
        <v>46.55</v>
      </c>
      <c r="J238" s="178">
        <v>711.55</v>
      </c>
      <c r="K238" s="213" t="s">
        <v>549</v>
      </c>
      <c r="L238" s="236" t="s">
        <v>550</v>
      </c>
      <c r="M238" s="237">
        <v>1235.8499999999999</v>
      </c>
      <c r="N238" s="285"/>
      <c r="O238" s="279"/>
      <c r="P238" s="279"/>
      <c r="Q238" s="223">
        <f t="shared" si="33"/>
        <v>0</v>
      </c>
      <c r="R238" s="280">
        <f t="shared" si="34"/>
        <v>0</v>
      </c>
      <c r="S238" s="238">
        <f t="shared" si="35"/>
        <v>0</v>
      </c>
    </row>
    <row r="239" spans="1:19" ht="34.5" customHeight="1">
      <c r="A239" s="91">
        <v>97</v>
      </c>
      <c r="B239" s="298" t="s">
        <v>107</v>
      </c>
      <c r="C239" s="296" t="s">
        <v>551</v>
      </c>
      <c r="D239" s="297">
        <v>112.35</v>
      </c>
      <c r="E239" s="149"/>
      <c r="F239" s="91"/>
      <c r="G239" s="91"/>
      <c r="H239" s="97">
        <v>0</v>
      </c>
      <c r="I239" s="97">
        <v>0</v>
      </c>
      <c r="J239" s="178">
        <v>0</v>
      </c>
      <c r="K239" s="213">
        <v>46226</v>
      </c>
      <c r="L239" s="236" t="s">
        <v>552</v>
      </c>
      <c r="M239" s="237">
        <v>112.35</v>
      </c>
      <c r="N239" s="285"/>
      <c r="O239" s="279"/>
      <c r="P239" s="279"/>
      <c r="Q239" s="223">
        <f t="shared" si="33"/>
        <v>0</v>
      </c>
      <c r="R239" s="280">
        <f t="shared" si="34"/>
        <v>0</v>
      </c>
      <c r="S239" s="238">
        <f t="shared" si="35"/>
        <v>0</v>
      </c>
    </row>
    <row r="240" spans="1:19" ht="34.5" customHeight="1">
      <c r="A240" s="91">
        <v>98</v>
      </c>
      <c r="B240" s="298" t="s">
        <v>107</v>
      </c>
      <c r="C240" s="296" t="s">
        <v>553</v>
      </c>
      <c r="D240" s="297">
        <v>51680</v>
      </c>
      <c r="E240" s="149" t="s">
        <v>67</v>
      </c>
      <c r="F240" s="91">
        <v>1</v>
      </c>
      <c r="G240" s="91">
        <v>1</v>
      </c>
      <c r="H240" s="97">
        <v>55813.08</v>
      </c>
      <c r="I240" s="97">
        <v>3906.92</v>
      </c>
      <c r="J240" s="178">
        <v>59720</v>
      </c>
      <c r="K240" s="213" t="s">
        <v>549</v>
      </c>
      <c r="L240" s="236" t="s">
        <v>554</v>
      </c>
      <c r="M240" s="237">
        <v>111400</v>
      </c>
      <c r="N240" s="285"/>
      <c r="O240" s="279"/>
      <c r="P240" s="279"/>
      <c r="Q240" s="223">
        <f t="shared" si="33"/>
        <v>0</v>
      </c>
      <c r="R240" s="280">
        <f t="shared" si="34"/>
        <v>0</v>
      </c>
      <c r="S240" s="238">
        <f t="shared" si="35"/>
        <v>0</v>
      </c>
    </row>
    <row r="241" spans="1:19" ht="34.5" customHeight="1">
      <c r="A241" s="91">
        <v>99</v>
      </c>
      <c r="B241" s="300" t="s">
        <v>555</v>
      </c>
      <c r="C241" s="296" t="s">
        <v>556</v>
      </c>
      <c r="D241" s="297">
        <v>187.25</v>
      </c>
      <c r="E241" s="149"/>
      <c r="F241" s="91"/>
      <c r="G241" s="91"/>
      <c r="H241" s="97">
        <v>0</v>
      </c>
      <c r="I241" s="97">
        <v>0</v>
      </c>
      <c r="J241" s="178">
        <v>0</v>
      </c>
      <c r="K241" s="213">
        <v>46234</v>
      </c>
      <c r="L241" s="236" t="s">
        <v>557</v>
      </c>
      <c r="M241" s="237">
        <v>187.25</v>
      </c>
      <c r="N241" s="285"/>
      <c r="O241" s="279"/>
      <c r="P241" s="279"/>
      <c r="Q241" s="223">
        <f t="shared" si="33"/>
        <v>0</v>
      </c>
      <c r="R241" s="280">
        <f t="shared" si="34"/>
        <v>0</v>
      </c>
      <c r="S241" s="238">
        <f t="shared" si="35"/>
        <v>0</v>
      </c>
    </row>
    <row r="242" spans="1:19" ht="34.5" customHeight="1">
      <c r="A242" s="91">
        <v>100</v>
      </c>
      <c r="B242" s="300" t="s">
        <v>558</v>
      </c>
      <c r="C242" s="296" t="s">
        <v>559</v>
      </c>
      <c r="D242" s="297">
        <v>224.7</v>
      </c>
      <c r="E242" s="149" t="s">
        <v>67</v>
      </c>
      <c r="F242" s="91">
        <v>1</v>
      </c>
      <c r="G242" s="91">
        <v>1</v>
      </c>
      <c r="H242" s="97">
        <v>245</v>
      </c>
      <c r="I242" s="97">
        <v>17.149999999999999</v>
      </c>
      <c r="J242" s="178">
        <v>262.14999999999998</v>
      </c>
      <c r="K242" s="213" t="s">
        <v>560</v>
      </c>
      <c r="L242" s="236" t="s">
        <v>561</v>
      </c>
      <c r="M242" s="237">
        <v>486.84999999999997</v>
      </c>
      <c r="N242" s="285"/>
      <c r="O242" s="279"/>
      <c r="P242" s="279"/>
      <c r="Q242" s="223">
        <f t="shared" si="33"/>
        <v>0</v>
      </c>
      <c r="R242" s="280">
        <f t="shared" si="34"/>
        <v>0</v>
      </c>
      <c r="S242" s="238">
        <f t="shared" si="35"/>
        <v>0</v>
      </c>
    </row>
    <row r="243" spans="1:19" ht="34.5" customHeight="1">
      <c r="A243" s="91">
        <v>101</v>
      </c>
      <c r="B243" s="300" t="s">
        <v>562</v>
      </c>
      <c r="C243" s="296" t="s">
        <v>563</v>
      </c>
      <c r="D243" s="297">
        <v>786.45</v>
      </c>
      <c r="E243" s="149"/>
      <c r="F243" s="91"/>
      <c r="G243" s="91"/>
      <c r="H243" s="97">
        <v>0</v>
      </c>
      <c r="I243" s="97">
        <v>0</v>
      </c>
      <c r="J243" s="178">
        <v>0</v>
      </c>
      <c r="K243" s="213">
        <v>46234</v>
      </c>
      <c r="L243" s="236" t="s">
        <v>564</v>
      </c>
      <c r="M243" s="237">
        <v>786.45</v>
      </c>
      <c r="N243" s="285"/>
      <c r="O243" s="279"/>
      <c r="P243" s="279"/>
      <c r="Q243" s="223">
        <f t="shared" si="33"/>
        <v>0</v>
      </c>
      <c r="R243" s="280">
        <f t="shared" si="34"/>
        <v>0</v>
      </c>
      <c r="S243" s="238">
        <f t="shared" si="35"/>
        <v>0</v>
      </c>
    </row>
    <row r="244" spans="1:19" ht="34.5" customHeight="1">
      <c r="A244" s="91">
        <v>102</v>
      </c>
      <c r="B244" s="300" t="s">
        <v>118</v>
      </c>
      <c r="C244" s="296" t="s">
        <v>565</v>
      </c>
      <c r="D244" s="297">
        <v>112.35</v>
      </c>
      <c r="E244" s="149"/>
      <c r="F244" s="91"/>
      <c r="G244" s="91"/>
      <c r="H244" s="97">
        <v>0</v>
      </c>
      <c r="I244" s="97">
        <v>0</v>
      </c>
      <c r="J244" s="178">
        <v>0</v>
      </c>
      <c r="K244" s="213">
        <v>46230</v>
      </c>
      <c r="L244" s="236" t="s">
        <v>566</v>
      </c>
      <c r="M244" s="237">
        <v>112.35</v>
      </c>
      <c r="N244" s="285"/>
      <c r="O244" s="279"/>
      <c r="P244" s="279"/>
      <c r="Q244" s="223">
        <f t="shared" si="33"/>
        <v>0</v>
      </c>
      <c r="R244" s="280">
        <f t="shared" si="34"/>
        <v>0</v>
      </c>
      <c r="S244" s="238">
        <f t="shared" si="35"/>
        <v>0</v>
      </c>
    </row>
    <row r="245" spans="1:19" ht="34.5" customHeight="1">
      <c r="A245" s="91">
        <v>103</v>
      </c>
      <c r="B245" s="298" t="s">
        <v>567</v>
      </c>
      <c r="C245" s="296" t="s">
        <v>568</v>
      </c>
      <c r="D245" s="297">
        <v>149.80000000000001</v>
      </c>
      <c r="E245" s="169"/>
      <c r="F245" s="103"/>
      <c r="G245" s="91"/>
      <c r="H245" s="97">
        <v>0</v>
      </c>
      <c r="I245" s="97">
        <v>0</v>
      </c>
      <c r="J245" s="178">
        <v>0</v>
      </c>
      <c r="K245" s="213"/>
      <c r="L245" s="236"/>
      <c r="M245" s="237">
        <v>0</v>
      </c>
      <c r="N245" s="285" t="s">
        <v>41</v>
      </c>
      <c r="O245" s="279">
        <v>1</v>
      </c>
      <c r="P245" s="279">
        <v>1</v>
      </c>
      <c r="Q245" s="223">
        <f t="shared" si="33"/>
        <v>140</v>
      </c>
      <c r="R245" s="280">
        <f t="shared" si="34"/>
        <v>9.8000000000000007</v>
      </c>
      <c r="S245" s="238">
        <f t="shared" si="35"/>
        <v>149.80000000000001</v>
      </c>
    </row>
    <row r="246" spans="1:19" ht="34.5" customHeight="1">
      <c r="A246" s="91">
        <v>104</v>
      </c>
      <c r="B246" s="298" t="s">
        <v>569</v>
      </c>
      <c r="C246" s="296" t="s">
        <v>570</v>
      </c>
      <c r="D246" s="297">
        <v>786.45</v>
      </c>
      <c r="E246" s="149"/>
      <c r="F246" s="91"/>
      <c r="G246" s="91"/>
      <c r="H246" s="97">
        <v>0</v>
      </c>
      <c r="I246" s="97">
        <v>0</v>
      </c>
      <c r="J246" s="178">
        <v>0</v>
      </c>
      <c r="K246" s="213">
        <v>46227</v>
      </c>
      <c r="L246" s="236" t="s">
        <v>571</v>
      </c>
      <c r="M246" s="135">
        <v>786.45</v>
      </c>
      <c r="N246" s="285"/>
      <c r="O246" s="279"/>
      <c r="P246" s="279"/>
      <c r="Q246" s="223">
        <f t="shared" si="33"/>
        <v>0</v>
      </c>
      <c r="R246" s="280">
        <f t="shared" si="34"/>
        <v>0</v>
      </c>
      <c r="S246" s="238">
        <f t="shared" si="35"/>
        <v>0</v>
      </c>
    </row>
    <row r="247" spans="1:19" ht="34.5" customHeight="1">
      <c r="A247" s="91">
        <v>105</v>
      </c>
      <c r="B247" s="127" t="s">
        <v>572</v>
      </c>
      <c r="C247" s="127" t="s">
        <v>573</v>
      </c>
      <c r="D247" s="297">
        <v>711.55</v>
      </c>
      <c r="E247" s="149"/>
      <c r="F247" s="91"/>
      <c r="G247" s="91"/>
      <c r="H247" s="97">
        <v>0</v>
      </c>
      <c r="I247" s="97">
        <v>0</v>
      </c>
      <c r="J247" s="178">
        <v>0</v>
      </c>
      <c r="K247" s="213">
        <v>46226</v>
      </c>
      <c r="L247" s="236" t="s">
        <v>574</v>
      </c>
      <c r="M247" s="135">
        <v>711.55</v>
      </c>
      <c r="N247" s="285"/>
      <c r="O247" s="279"/>
      <c r="P247" s="279"/>
      <c r="Q247" s="223">
        <f t="shared" si="33"/>
        <v>0</v>
      </c>
      <c r="R247" s="280">
        <f t="shared" si="34"/>
        <v>0</v>
      </c>
      <c r="S247" s="238">
        <f t="shared" si="35"/>
        <v>0</v>
      </c>
    </row>
    <row r="248" spans="1:19" ht="34.5" customHeight="1">
      <c r="A248" s="91">
        <v>106</v>
      </c>
      <c r="B248" s="127" t="s">
        <v>575</v>
      </c>
      <c r="C248" s="127" t="s">
        <v>576</v>
      </c>
      <c r="D248" s="297">
        <v>1086.05</v>
      </c>
      <c r="E248" s="149" t="s">
        <v>67</v>
      </c>
      <c r="F248" s="91">
        <v>1</v>
      </c>
      <c r="G248" s="91">
        <v>1</v>
      </c>
      <c r="H248" s="97">
        <v>1295</v>
      </c>
      <c r="I248" s="97">
        <v>90.65</v>
      </c>
      <c r="J248" s="178">
        <v>1385.65</v>
      </c>
      <c r="K248" s="213">
        <v>46205</v>
      </c>
      <c r="L248" s="236" t="s">
        <v>577</v>
      </c>
      <c r="M248" s="237">
        <v>1385.65</v>
      </c>
      <c r="N248" s="285" t="s">
        <v>41</v>
      </c>
      <c r="O248" s="279">
        <v>1</v>
      </c>
      <c r="P248" s="279">
        <v>1</v>
      </c>
      <c r="Q248" s="223">
        <f t="shared" si="33"/>
        <v>1015</v>
      </c>
      <c r="R248" s="280">
        <f t="shared" si="34"/>
        <v>71.05</v>
      </c>
      <c r="S248" s="238">
        <f t="shared" si="35"/>
        <v>1086.0499999999997</v>
      </c>
    </row>
    <row r="249" spans="1:19" ht="34.5" customHeight="1">
      <c r="A249" s="91">
        <v>107</v>
      </c>
      <c r="B249" s="127" t="s">
        <v>265</v>
      </c>
      <c r="C249" s="127" t="s">
        <v>573</v>
      </c>
      <c r="D249" s="297">
        <v>2134.65</v>
      </c>
      <c r="E249" s="320"/>
      <c r="F249" s="91"/>
      <c r="G249" s="91"/>
      <c r="H249" s="97">
        <v>0</v>
      </c>
      <c r="I249" s="97">
        <v>0</v>
      </c>
      <c r="J249" s="178">
        <v>0</v>
      </c>
      <c r="K249" s="213">
        <v>46234</v>
      </c>
      <c r="L249" s="236" t="s">
        <v>578</v>
      </c>
      <c r="M249" s="237">
        <v>2134.65</v>
      </c>
      <c r="N249" s="285"/>
      <c r="O249" s="279"/>
      <c r="P249" s="279"/>
      <c r="Q249" s="223">
        <f t="shared" si="33"/>
        <v>0</v>
      </c>
      <c r="R249" s="280">
        <f t="shared" si="34"/>
        <v>0</v>
      </c>
      <c r="S249" s="238">
        <f t="shared" si="35"/>
        <v>0</v>
      </c>
    </row>
    <row r="250" spans="1:19" ht="34.5" customHeight="1">
      <c r="A250" s="91">
        <v>108</v>
      </c>
      <c r="B250" s="127" t="s">
        <v>579</v>
      </c>
      <c r="C250" s="127" t="s">
        <v>580</v>
      </c>
      <c r="D250" s="297">
        <v>187.25</v>
      </c>
      <c r="E250" s="320"/>
      <c r="F250" s="91"/>
      <c r="G250" s="91"/>
      <c r="H250" s="97">
        <v>0</v>
      </c>
      <c r="I250" s="97">
        <v>0</v>
      </c>
      <c r="J250" s="178">
        <v>0</v>
      </c>
      <c r="K250" s="213">
        <v>46234</v>
      </c>
      <c r="L250" s="236" t="s">
        <v>581</v>
      </c>
      <c r="M250" s="237">
        <v>187.25</v>
      </c>
      <c r="N250" s="285"/>
      <c r="O250" s="279"/>
      <c r="P250" s="279"/>
      <c r="Q250" s="223">
        <f t="shared" si="33"/>
        <v>0</v>
      </c>
      <c r="R250" s="280">
        <f t="shared" si="34"/>
        <v>0</v>
      </c>
      <c r="S250" s="238">
        <f t="shared" si="35"/>
        <v>0</v>
      </c>
    </row>
    <row r="251" spans="1:19" ht="34.5" customHeight="1">
      <c r="A251" s="91">
        <v>109</v>
      </c>
      <c r="B251" s="300" t="s">
        <v>582</v>
      </c>
      <c r="C251" s="296" t="s">
        <v>583</v>
      </c>
      <c r="D251" s="297">
        <v>0</v>
      </c>
      <c r="E251" s="169"/>
      <c r="F251" s="103"/>
      <c r="G251" s="91"/>
      <c r="H251" s="97">
        <v>0</v>
      </c>
      <c r="I251" s="97">
        <v>0</v>
      </c>
      <c r="J251" s="178">
        <v>0</v>
      </c>
      <c r="K251" s="213"/>
      <c r="L251" s="236"/>
      <c r="M251" s="237">
        <v>0</v>
      </c>
      <c r="N251" s="285"/>
      <c r="O251" s="279"/>
      <c r="P251" s="279"/>
      <c r="Q251" s="223">
        <f t="shared" si="33"/>
        <v>0</v>
      </c>
      <c r="R251" s="280">
        <f t="shared" si="34"/>
        <v>0</v>
      </c>
      <c r="S251" s="238">
        <f t="shared" si="35"/>
        <v>0</v>
      </c>
    </row>
    <row r="252" spans="1:19" ht="34.5" customHeight="1">
      <c r="A252" s="91">
        <v>110</v>
      </c>
      <c r="B252" s="300" t="s">
        <v>62</v>
      </c>
      <c r="C252" s="296" t="s">
        <v>573</v>
      </c>
      <c r="D252" s="297">
        <v>1610.35</v>
      </c>
      <c r="E252" s="321"/>
      <c r="F252" s="2"/>
      <c r="G252" s="2"/>
      <c r="H252" s="97">
        <v>0</v>
      </c>
      <c r="I252" s="97">
        <v>0</v>
      </c>
      <c r="J252" s="178">
        <v>0</v>
      </c>
      <c r="K252" s="213">
        <v>46234</v>
      </c>
      <c r="L252" s="236" t="s">
        <v>584</v>
      </c>
      <c r="M252" s="237">
        <v>1610.35</v>
      </c>
      <c r="N252" s="289"/>
      <c r="O252" s="279"/>
      <c r="P252" s="279"/>
      <c r="Q252" s="223">
        <f t="shared" si="33"/>
        <v>0</v>
      </c>
      <c r="R252" s="280">
        <f t="shared" si="34"/>
        <v>0</v>
      </c>
      <c r="S252" s="238">
        <f t="shared" si="35"/>
        <v>0</v>
      </c>
    </row>
    <row r="253" spans="1:19" ht="34.5" customHeight="1">
      <c r="A253" s="91">
        <v>111</v>
      </c>
      <c r="B253" s="298" t="s">
        <v>585</v>
      </c>
      <c r="C253" s="296" t="s">
        <v>586</v>
      </c>
      <c r="D253" s="297">
        <v>299.60000000000002</v>
      </c>
      <c r="E253" s="169"/>
      <c r="F253" s="103"/>
      <c r="G253" s="91"/>
      <c r="H253" s="97">
        <v>0</v>
      </c>
      <c r="I253" s="97">
        <v>0</v>
      </c>
      <c r="J253" s="178">
        <v>0</v>
      </c>
      <c r="K253" s="213">
        <v>46226</v>
      </c>
      <c r="L253" s="236" t="s">
        <v>587</v>
      </c>
      <c r="M253" s="237">
        <v>299.60000000000002</v>
      </c>
      <c r="N253" s="289"/>
      <c r="O253" s="279"/>
      <c r="P253" s="279"/>
      <c r="Q253" s="223">
        <f t="shared" si="33"/>
        <v>0</v>
      </c>
      <c r="R253" s="280">
        <f t="shared" si="34"/>
        <v>0</v>
      </c>
      <c r="S253" s="238">
        <f t="shared" si="35"/>
        <v>0</v>
      </c>
    </row>
    <row r="254" spans="1:19" ht="34.5" customHeight="1">
      <c r="A254" s="91">
        <v>112</v>
      </c>
      <c r="B254" s="296" t="s">
        <v>588</v>
      </c>
      <c r="C254" s="127" t="s">
        <v>589</v>
      </c>
      <c r="D254" s="297">
        <v>112.35</v>
      </c>
      <c r="E254" s="169"/>
      <c r="F254" s="103"/>
      <c r="G254" s="91"/>
      <c r="H254" s="97">
        <v>0</v>
      </c>
      <c r="I254" s="97">
        <v>0</v>
      </c>
      <c r="J254" s="178">
        <v>0</v>
      </c>
      <c r="K254" s="213">
        <v>46226</v>
      </c>
      <c r="L254" s="236" t="s">
        <v>590</v>
      </c>
      <c r="M254" s="237">
        <v>112.35</v>
      </c>
      <c r="N254" s="285"/>
      <c r="O254" s="279"/>
      <c r="P254" s="279"/>
      <c r="Q254" s="223">
        <f t="shared" si="33"/>
        <v>0</v>
      </c>
      <c r="R254" s="280">
        <f t="shared" si="34"/>
        <v>0</v>
      </c>
      <c r="S254" s="238">
        <f t="shared" si="35"/>
        <v>0</v>
      </c>
    </row>
    <row r="255" spans="1:19" ht="34.5" customHeight="1">
      <c r="A255" s="91">
        <v>113</v>
      </c>
      <c r="B255" s="296" t="s">
        <v>588</v>
      </c>
      <c r="C255" s="127" t="s">
        <v>591</v>
      </c>
      <c r="D255" s="297">
        <v>749</v>
      </c>
      <c r="E255" s="169"/>
      <c r="F255" s="103"/>
      <c r="G255" s="91"/>
      <c r="H255" s="97">
        <v>0</v>
      </c>
      <c r="I255" s="97">
        <v>0</v>
      </c>
      <c r="J255" s="178">
        <v>0</v>
      </c>
      <c r="K255" s="213">
        <v>46226</v>
      </c>
      <c r="L255" s="236" t="s">
        <v>592</v>
      </c>
      <c r="M255" s="237">
        <v>749</v>
      </c>
      <c r="N255" s="285"/>
      <c r="O255" s="279"/>
      <c r="P255" s="279"/>
      <c r="Q255" s="223">
        <f t="shared" si="33"/>
        <v>0</v>
      </c>
      <c r="R255" s="280">
        <f t="shared" si="34"/>
        <v>0</v>
      </c>
      <c r="S255" s="238">
        <f t="shared" si="35"/>
        <v>0</v>
      </c>
    </row>
    <row r="256" spans="1:19" ht="34.5" customHeight="1">
      <c r="A256" s="91">
        <v>114</v>
      </c>
      <c r="B256" s="296" t="s">
        <v>381</v>
      </c>
      <c r="C256" s="127" t="s">
        <v>593</v>
      </c>
      <c r="D256" s="297">
        <v>112.35</v>
      </c>
      <c r="E256" s="149"/>
      <c r="F256" s="91"/>
      <c r="G256" s="91"/>
      <c r="H256" s="97">
        <v>0</v>
      </c>
      <c r="I256" s="97">
        <v>0</v>
      </c>
      <c r="J256" s="178">
        <v>0</v>
      </c>
      <c r="K256" s="213">
        <v>46226</v>
      </c>
      <c r="L256" s="236" t="s">
        <v>594</v>
      </c>
      <c r="M256" s="237">
        <v>112.35</v>
      </c>
      <c r="N256" s="285"/>
      <c r="O256" s="279"/>
      <c r="P256" s="279"/>
      <c r="Q256" s="223">
        <f t="shared" si="33"/>
        <v>0</v>
      </c>
      <c r="R256" s="280">
        <f t="shared" si="34"/>
        <v>0</v>
      </c>
      <c r="S256" s="238">
        <f t="shared" si="35"/>
        <v>0</v>
      </c>
    </row>
    <row r="257" spans="1:20" ht="34.5" customHeight="1">
      <c r="A257" s="91">
        <v>115</v>
      </c>
      <c r="B257" s="296" t="s">
        <v>595</v>
      </c>
      <c r="C257" s="127" t="s">
        <v>596</v>
      </c>
      <c r="D257" s="297">
        <v>299.60000000000002</v>
      </c>
      <c r="E257" s="149"/>
      <c r="F257" s="91"/>
      <c r="G257" s="91"/>
      <c r="H257" s="97">
        <v>0</v>
      </c>
      <c r="I257" s="97">
        <v>0</v>
      </c>
      <c r="J257" s="178">
        <v>0</v>
      </c>
      <c r="K257" s="213">
        <v>46223</v>
      </c>
      <c r="L257" s="236" t="s">
        <v>597</v>
      </c>
      <c r="M257" s="237">
        <v>299.60000000000002</v>
      </c>
      <c r="N257" s="285"/>
      <c r="O257" s="279"/>
      <c r="P257" s="279"/>
      <c r="Q257" s="223">
        <f t="shared" si="33"/>
        <v>0</v>
      </c>
      <c r="R257" s="280">
        <f t="shared" si="34"/>
        <v>0</v>
      </c>
      <c r="S257" s="238">
        <f t="shared" si="35"/>
        <v>0</v>
      </c>
    </row>
    <row r="258" spans="1:20" ht="34.5" customHeight="1">
      <c r="A258" s="91">
        <v>116</v>
      </c>
      <c r="B258" s="322" t="s">
        <v>595</v>
      </c>
      <c r="C258" s="127" t="s">
        <v>598</v>
      </c>
      <c r="D258" s="297">
        <v>112.35</v>
      </c>
      <c r="E258" s="149"/>
      <c r="F258" s="91"/>
      <c r="G258" s="91"/>
      <c r="H258" s="97">
        <v>0</v>
      </c>
      <c r="I258" s="97">
        <v>0</v>
      </c>
      <c r="J258" s="178">
        <v>0</v>
      </c>
      <c r="K258" s="213">
        <v>46226</v>
      </c>
      <c r="L258" s="236" t="s">
        <v>599</v>
      </c>
      <c r="M258" s="237">
        <v>112.35</v>
      </c>
      <c r="N258" s="285"/>
      <c r="O258" s="279"/>
      <c r="P258" s="279"/>
      <c r="Q258" s="223">
        <f t="shared" si="33"/>
        <v>0</v>
      </c>
      <c r="R258" s="280">
        <f t="shared" si="34"/>
        <v>0</v>
      </c>
      <c r="S258" s="238">
        <f t="shared" si="35"/>
        <v>0</v>
      </c>
    </row>
    <row r="259" spans="1:20" ht="34.5" customHeight="1">
      <c r="A259" s="91">
        <v>117</v>
      </c>
      <c r="B259" s="322" t="s">
        <v>588</v>
      </c>
      <c r="C259" s="127" t="s">
        <v>600</v>
      </c>
      <c r="D259" s="297">
        <v>299.60000000000002</v>
      </c>
      <c r="E259" s="149"/>
      <c r="F259" s="91"/>
      <c r="G259" s="91"/>
      <c r="H259" s="97">
        <v>0</v>
      </c>
      <c r="I259" s="97">
        <v>0</v>
      </c>
      <c r="J259" s="178">
        <v>0</v>
      </c>
      <c r="K259" s="213">
        <v>46226</v>
      </c>
      <c r="L259" s="236" t="s">
        <v>601</v>
      </c>
      <c r="M259" s="237">
        <v>299.60000000000002</v>
      </c>
      <c r="N259" s="285"/>
      <c r="O259" s="279"/>
      <c r="P259" s="279"/>
      <c r="Q259" s="223">
        <f t="shared" si="33"/>
        <v>0</v>
      </c>
      <c r="R259" s="280">
        <f t="shared" si="34"/>
        <v>0</v>
      </c>
      <c r="S259" s="238">
        <f t="shared" si="35"/>
        <v>0</v>
      </c>
    </row>
    <row r="260" spans="1:20" ht="34.5" customHeight="1">
      <c r="A260" s="91">
        <v>118</v>
      </c>
      <c r="B260" s="322" t="s">
        <v>602</v>
      </c>
      <c r="C260" s="127" t="s">
        <v>603</v>
      </c>
      <c r="D260" s="297">
        <v>299.60000000000002</v>
      </c>
      <c r="E260" s="169"/>
      <c r="F260" s="103"/>
      <c r="G260" s="91"/>
      <c r="H260" s="97">
        <v>0</v>
      </c>
      <c r="I260" s="97">
        <v>0</v>
      </c>
      <c r="J260" s="178">
        <v>0</v>
      </c>
      <c r="K260" s="213">
        <v>46231</v>
      </c>
      <c r="L260" s="236" t="s">
        <v>604</v>
      </c>
      <c r="M260" s="237">
        <v>299.60000000000002</v>
      </c>
      <c r="N260" s="285"/>
      <c r="O260" s="279"/>
      <c r="P260" s="279"/>
      <c r="Q260" s="223">
        <f t="shared" si="33"/>
        <v>0</v>
      </c>
      <c r="R260" s="280">
        <f t="shared" si="34"/>
        <v>0</v>
      </c>
      <c r="S260" s="238">
        <f t="shared" si="35"/>
        <v>0</v>
      </c>
    </row>
    <row r="261" spans="1:20" ht="34.5" customHeight="1">
      <c r="A261" s="91">
        <v>119</v>
      </c>
      <c r="B261" s="323" t="s">
        <v>605</v>
      </c>
      <c r="C261" s="323" t="s">
        <v>606</v>
      </c>
      <c r="D261" s="297">
        <v>1160.95</v>
      </c>
      <c r="E261" s="42"/>
      <c r="F261" s="43"/>
      <c r="G261" s="43"/>
      <c r="H261" s="97">
        <v>0</v>
      </c>
      <c r="I261" s="97">
        <v>0</v>
      </c>
      <c r="J261" s="178">
        <v>0</v>
      </c>
      <c r="K261" s="213"/>
      <c r="L261" s="236"/>
      <c r="M261" s="237">
        <v>0</v>
      </c>
      <c r="N261" s="285" t="s">
        <v>41</v>
      </c>
      <c r="O261" s="279">
        <v>1</v>
      </c>
      <c r="P261" s="279">
        <v>1</v>
      </c>
      <c r="Q261" s="223">
        <f t="shared" si="33"/>
        <v>1085</v>
      </c>
      <c r="R261" s="280">
        <f t="shared" si="34"/>
        <v>75.95</v>
      </c>
      <c r="S261" s="238">
        <f t="shared" si="35"/>
        <v>1160.95</v>
      </c>
    </row>
    <row r="262" spans="1:20" ht="34.5" customHeight="1">
      <c r="A262" s="91">
        <v>120</v>
      </c>
      <c r="B262" s="323" t="s">
        <v>607</v>
      </c>
      <c r="C262" s="127" t="s">
        <v>608</v>
      </c>
      <c r="D262" s="297">
        <v>599.20000000000005</v>
      </c>
      <c r="E262" s="149"/>
      <c r="F262" s="91"/>
      <c r="G262" s="91"/>
      <c r="H262" s="97">
        <v>0</v>
      </c>
      <c r="I262" s="97">
        <v>0</v>
      </c>
      <c r="J262" s="178">
        <v>0</v>
      </c>
      <c r="K262" s="213">
        <v>46231</v>
      </c>
      <c r="L262" s="236" t="s">
        <v>609</v>
      </c>
      <c r="M262" s="237">
        <v>599.20000000000005</v>
      </c>
      <c r="N262" s="285"/>
      <c r="O262" s="279"/>
      <c r="P262" s="279"/>
      <c r="Q262" s="223">
        <f t="shared" si="33"/>
        <v>0</v>
      </c>
      <c r="R262" s="280">
        <f t="shared" si="34"/>
        <v>0</v>
      </c>
      <c r="S262" s="238">
        <f t="shared" si="35"/>
        <v>0</v>
      </c>
    </row>
    <row r="263" spans="1:20" ht="34.5" customHeight="1">
      <c r="A263" s="91">
        <v>121</v>
      </c>
      <c r="B263" s="324" t="s">
        <v>610</v>
      </c>
      <c r="C263" s="323" t="s">
        <v>611</v>
      </c>
      <c r="D263" s="297">
        <v>711.55</v>
      </c>
      <c r="E263" s="42"/>
      <c r="F263" s="43"/>
      <c r="G263" s="43"/>
      <c r="H263" s="97">
        <v>0</v>
      </c>
      <c r="I263" s="97">
        <v>0</v>
      </c>
      <c r="J263" s="178">
        <v>0</v>
      </c>
      <c r="K263" s="213">
        <v>46223</v>
      </c>
      <c r="L263" s="236" t="s">
        <v>612</v>
      </c>
      <c r="M263" s="237">
        <v>711.55</v>
      </c>
      <c r="N263" s="285"/>
      <c r="O263" s="279"/>
      <c r="P263" s="279"/>
      <c r="Q263" s="223">
        <f t="shared" si="33"/>
        <v>0</v>
      </c>
      <c r="R263" s="280">
        <f t="shared" si="34"/>
        <v>0</v>
      </c>
      <c r="S263" s="238">
        <f t="shared" si="35"/>
        <v>0</v>
      </c>
    </row>
    <row r="264" spans="1:20" ht="34.5" customHeight="1">
      <c r="A264" s="91">
        <v>122</v>
      </c>
      <c r="B264" s="324" t="s">
        <v>613</v>
      </c>
      <c r="C264" s="323" t="s">
        <v>614</v>
      </c>
      <c r="D264" s="297">
        <v>1273.3</v>
      </c>
      <c r="E264" s="42"/>
      <c r="F264" s="43"/>
      <c r="G264" s="43"/>
      <c r="H264" s="97">
        <v>0</v>
      </c>
      <c r="I264" s="97">
        <v>0</v>
      </c>
      <c r="J264" s="178">
        <v>0</v>
      </c>
      <c r="K264" s="213">
        <v>46225</v>
      </c>
      <c r="L264" s="236" t="s">
        <v>615</v>
      </c>
      <c r="M264" s="237">
        <v>1273.3</v>
      </c>
      <c r="N264" s="285"/>
      <c r="O264" s="279"/>
      <c r="P264" s="279"/>
      <c r="Q264" s="223">
        <f t="shared" si="33"/>
        <v>0</v>
      </c>
      <c r="R264" s="280">
        <f t="shared" si="34"/>
        <v>0</v>
      </c>
      <c r="S264" s="238">
        <f t="shared" si="35"/>
        <v>0</v>
      </c>
    </row>
    <row r="265" spans="1:20" ht="34.5" customHeight="1">
      <c r="A265" s="91">
        <v>123</v>
      </c>
      <c r="B265" s="296" t="s">
        <v>227</v>
      </c>
      <c r="C265" s="325"/>
      <c r="D265" s="297">
        <v>112.35</v>
      </c>
      <c r="E265" s="320"/>
      <c r="F265" s="326"/>
      <c r="G265" s="91"/>
      <c r="H265" s="97">
        <v>0</v>
      </c>
      <c r="I265" s="97">
        <v>0</v>
      </c>
      <c r="J265" s="178">
        <v>0</v>
      </c>
      <c r="K265" s="213">
        <v>46234</v>
      </c>
      <c r="L265" s="236" t="s">
        <v>616</v>
      </c>
      <c r="M265" s="237">
        <v>112.35</v>
      </c>
      <c r="N265" s="285"/>
      <c r="O265" s="279"/>
      <c r="P265" s="279"/>
      <c r="Q265" s="223">
        <f t="shared" si="33"/>
        <v>0</v>
      </c>
      <c r="R265" s="280">
        <f t="shared" si="34"/>
        <v>0</v>
      </c>
      <c r="S265" s="238">
        <f t="shared" si="35"/>
        <v>0</v>
      </c>
    </row>
    <row r="266" spans="1:20" ht="34.5" customHeight="1">
      <c r="A266" s="30"/>
      <c r="B266" s="327"/>
      <c r="C266" s="327"/>
      <c r="D266" s="328"/>
      <c r="E266" s="329"/>
      <c r="F266" s="330"/>
      <c r="G266" s="30"/>
      <c r="H266" s="112"/>
      <c r="I266" s="112"/>
      <c r="J266" s="58"/>
      <c r="K266" s="331"/>
      <c r="L266" s="332"/>
      <c r="M266" s="333"/>
      <c r="N266" s="334"/>
      <c r="O266" s="19"/>
      <c r="P266" s="19"/>
      <c r="Q266" s="36"/>
      <c r="R266" s="37"/>
      <c r="S266" s="238"/>
    </row>
    <row r="267" spans="1:20" s="66" customFormat="1" ht="34.5" customHeight="1" thickBot="1">
      <c r="A267" s="335"/>
      <c r="B267" s="121" t="s">
        <v>19</v>
      </c>
      <c r="C267" s="122"/>
      <c r="D267" s="123">
        <f>SUM(D142:D265)</f>
        <v>113285.25000000003</v>
      </c>
      <c r="E267" s="336"/>
      <c r="F267" s="337"/>
      <c r="G267" s="337"/>
      <c r="H267" s="125">
        <f>SUM(H142:H265)-H253</f>
        <v>68763.08</v>
      </c>
      <c r="I267" s="125">
        <f>SUM(I142:I265)-I253</f>
        <v>4813.4199999999992</v>
      </c>
      <c r="J267" s="125">
        <f>SUM(J142:J265)-J253</f>
        <v>73576.499999999985</v>
      </c>
      <c r="K267" s="293"/>
      <c r="L267" s="293"/>
      <c r="M267" s="338">
        <f>SUM(M142:M265)</f>
        <v>177611.60000000003</v>
      </c>
      <c r="N267" s="293"/>
      <c r="O267" s="294"/>
      <c r="P267" s="294"/>
      <c r="Q267" s="126">
        <f>SUM(S267-R267)</f>
        <v>8645</v>
      </c>
      <c r="R267" s="295">
        <f>SUM(R142:R265)-R253</f>
        <v>605.15</v>
      </c>
      <c r="S267" s="262">
        <f>SUM(S142:S265)-S146-S160-S184-S186-S197-S207-S215-S234-S247-S264</f>
        <v>9250.15</v>
      </c>
      <c r="T267" s="339"/>
    </row>
    <row r="268" spans="1:20" ht="34.5" customHeight="1" thickTop="1">
      <c r="A268" s="53"/>
      <c r="B268" s="267" t="s">
        <v>617</v>
      </c>
      <c r="C268" s="268"/>
      <c r="D268" s="41"/>
      <c r="E268" s="42"/>
      <c r="F268" s="43"/>
      <c r="G268" s="44"/>
      <c r="H268" s="51"/>
      <c r="I268" s="51"/>
      <c r="J268" s="51"/>
      <c r="K268" s="187"/>
      <c r="L268" s="188"/>
      <c r="M268" s="340"/>
      <c r="N268" s="273"/>
      <c r="O268" s="274"/>
      <c r="P268" s="274"/>
      <c r="Q268" s="275"/>
      <c r="R268" s="276"/>
      <c r="S268" s="238"/>
    </row>
    <row r="269" spans="1:20" ht="34.5" customHeight="1">
      <c r="A269" s="91">
        <v>1</v>
      </c>
      <c r="B269" s="127" t="s">
        <v>311</v>
      </c>
      <c r="C269" s="296" t="s">
        <v>618</v>
      </c>
      <c r="D269" s="341">
        <v>973.7</v>
      </c>
      <c r="E269" s="289"/>
      <c r="F269" s="279"/>
      <c r="G269" s="279"/>
      <c r="H269" s="223">
        <v>0</v>
      </c>
      <c r="I269" s="223">
        <v>0</v>
      </c>
      <c r="J269" s="238">
        <v>0</v>
      </c>
      <c r="K269" s="342">
        <v>46230</v>
      </c>
      <c r="L269" s="343" t="s">
        <v>619</v>
      </c>
      <c r="M269" s="344">
        <v>973.7</v>
      </c>
      <c r="N269" s="289"/>
      <c r="O269" s="279"/>
      <c r="P269" s="279"/>
      <c r="Q269" s="345">
        <f t="shared" ref="Q269:Q325" si="36">ROUND(S269*100/107,2)</f>
        <v>0</v>
      </c>
      <c r="R269" s="346">
        <f t="shared" ref="R269:R325" si="37">ROUND((Q269*0.07),2)</f>
        <v>0</v>
      </c>
      <c r="S269" s="347">
        <f t="shared" ref="S269:S325" si="38">+D269+J269-M269</f>
        <v>0</v>
      </c>
    </row>
    <row r="270" spans="1:20" ht="34.5" customHeight="1">
      <c r="A270" s="91">
        <v>2</v>
      </c>
      <c r="B270" s="127" t="s">
        <v>235</v>
      </c>
      <c r="C270" s="296" t="s">
        <v>620</v>
      </c>
      <c r="D270" s="341">
        <v>187.25</v>
      </c>
      <c r="E270" s="285"/>
      <c r="F270" s="279"/>
      <c r="G270" s="279"/>
      <c r="H270" s="223">
        <v>0</v>
      </c>
      <c r="I270" s="223">
        <v>0</v>
      </c>
      <c r="J270" s="238">
        <v>0</v>
      </c>
      <c r="K270" s="342">
        <v>46230</v>
      </c>
      <c r="L270" s="343" t="s">
        <v>621</v>
      </c>
      <c r="M270" s="344">
        <v>187.25</v>
      </c>
      <c r="N270" s="285"/>
      <c r="O270" s="279"/>
      <c r="P270" s="279"/>
      <c r="Q270" s="345">
        <f t="shared" si="36"/>
        <v>0</v>
      </c>
      <c r="R270" s="346">
        <f t="shared" si="37"/>
        <v>0</v>
      </c>
      <c r="S270" s="347">
        <f t="shared" si="38"/>
        <v>0</v>
      </c>
    </row>
    <row r="271" spans="1:20" ht="34.5" customHeight="1">
      <c r="A271" s="91">
        <v>3</v>
      </c>
      <c r="B271" s="127" t="s">
        <v>622</v>
      </c>
      <c r="C271" s="296" t="s">
        <v>623</v>
      </c>
      <c r="D271" s="341">
        <v>37.450000000000003</v>
      </c>
      <c r="E271" s="285"/>
      <c r="F271" s="279"/>
      <c r="G271" s="279"/>
      <c r="H271" s="223">
        <v>0</v>
      </c>
      <c r="I271" s="223">
        <v>0</v>
      </c>
      <c r="J271" s="238">
        <v>0</v>
      </c>
      <c r="K271" s="342">
        <v>46234</v>
      </c>
      <c r="L271" s="343" t="s">
        <v>624</v>
      </c>
      <c r="M271" s="344">
        <v>37.450000000000003</v>
      </c>
      <c r="N271" s="285"/>
      <c r="O271" s="279"/>
      <c r="P271" s="279"/>
      <c r="Q271" s="345">
        <f t="shared" si="36"/>
        <v>0</v>
      </c>
      <c r="R271" s="346">
        <f t="shared" si="37"/>
        <v>0</v>
      </c>
      <c r="S271" s="347">
        <f t="shared" si="38"/>
        <v>0</v>
      </c>
    </row>
    <row r="272" spans="1:20" ht="34.5" customHeight="1">
      <c r="A272" s="91">
        <v>4</v>
      </c>
      <c r="B272" s="127" t="s">
        <v>625</v>
      </c>
      <c r="C272" s="296" t="s">
        <v>626</v>
      </c>
      <c r="D272" s="341">
        <v>37.450000000000003</v>
      </c>
      <c r="E272" s="285"/>
      <c r="F272" s="279"/>
      <c r="G272" s="279"/>
      <c r="H272" s="223">
        <v>0</v>
      </c>
      <c r="I272" s="223">
        <v>0</v>
      </c>
      <c r="J272" s="238">
        <v>0</v>
      </c>
      <c r="K272" s="342">
        <v>46234</v>
      </c>
      <c r="L272" s="343" t="s">
        <v>627</v>
      </c>
      <c r="M272" s="344">
        <v>37.450000000000003</v>
      </c>
      <c r="N272" s="285"/>
      <c r="O272" s="279"/>
      <c r="P272" s="279"/>
      <c r="Q272" s="345">
        <f t="shared" si="36"/>
        <v>0</v>
      </c>
      <c r="R272" s="346">
        <f t="shared" si="37"/>
        <v>0</v>
      </c>
      <c r="S272" s="347">
        <f t="shared" si="38"/>
        <v>0</v>
      </c>
    </row>
    <row r="273" spans="1:20" ht="34.5" customHeight="1">
      <c r="A273" s="91">
        <v>5</v>
      </c>
      <c r="B273" s="298" t="s">
        <v>244</v>
      </c>
      <c r="C273" s="296" t="s">
        <v>628</v>
      </c>
      <c r="D273" s="341">
        <v>921.27</v>
      </c>
      <c r="E273" s="285">
        <v>25355</v>
      </c>
      <c r="F273" s="279">
        <v>1</v>
      </c>
      <c r="G273" s="279">
        <v>1</v>
      </c>
      <c r="H273" s="223">
        <v>826</v>
      </c>
      <c r="I273" s="223">
        <v>57.82</v>
      </c>
      <c r="J273" s="238">
        <v>883.82</v>
      </c>
      <c r="K273" s="342" t="s">
        <v>152</v>
      </c>
      <c r="L273" s="343" t="s">
        <v>629</v>
      </c>
      <c r="M273" s="344">
        <v>1805.0900000000001</v>
      </c>
      <c r="N273" s="285"/>
      <c r="O273" s="279"/>
      <c r="P273" s="279"/>
      <c r="Q273" s="345">
        <f t="shared" si="36"/>
        <v>0</v>
      </c>
      <c r="R273" s="346">
        <f t="shared" si="37"/>
        <v>0</v>
      </c>
      <c r="S273" s="347">
        <f t="shared" si="38"/>
        <v>0</v>
      </c>
      <c r="T273" s="2" t="s">
        <v>630</v>
      </c>
    </row>
    <row r="274" spans="1:20" ht="34.5" customHeight="1">
      <c r="A274" s="91">
        <v>6</v>
      </c>
      <c r="B274" s="298" t="s">
        <v>154</v>
      </c>
      <c r="C274" s="296" t="s">
        <v>631</v>
      </c>
      <c r="D274" s="341">
        <v>5002.25</v>
      </c>
      <c r="E274" s="285"/>
      <c r="F274" s="279"/>
      <c r="G274" s="279"/>
      <c r="H274" s="223">
        <v>0</v>
      </c>
      <c r="I274" s="223">
        <v>0</v>
      </c>
      <c r="J274" s="238">
        <v>0</v>
      </c>
      <c r="K274" s="342"/>
      <c r="L274" s="343"/>
      <c r="M274" s="344">
        <v>0</v>
      </c>
      <c r="N274" s="285" t="s">
        <v>41</v>
      </c>
      <c r="O274" s="279">
        <v>1</v>
      </c>
      <c r="P274" s="279">
        <v>1</v>
      </c>
      <c r="Q274" s="345">
        <f t="shared" si="36"/>
        <v>4675</v>
      </c>
      <c r="R274" s="346">
        <f t="shared" si="37"/>
        <v>327.25</v>
      </c>
      <c r="S274" s="347">
        <f t="shared" si="38"/>
        <v>5002.25</v>
      </c>
    </row>
    <row r="275" spans="1:20" ht="34.5" customHeight="1">
      <c r="A275" s="91">
        <v>7</v>
      </c>
      <c r="B275" s="298" t="s">
        <v>632</v>
      </c>
      <c r="C275" s="296" t="s">
        <v>633</v>
      </c>
      <c r="D275" s="341">
        <v>0</v>
      </c>
      <c r="E275" s="285"/>
      <c r="F275" s="279"/>
      <c r="G275" s="279"/>
      <c r="H275" s="223">
        <v>0</v>
      </c>
      <c r="I275" s="223">
        <v>0</v>
      </c>
      <c r="J275" s="238">
        <v>0</v>
      </c>
      <c r="K275" s="342"/>
      <c r="L275" s="343"/>
      <c r="M275" s="344">
        <v>0</v>
      </c>
      <c r="N275" s="285"/>
      <c r="O275" s="279"/>
      <c r="P275" s="279"/>
      <c r="Q275" s="345">
        <f t="shared" si="36"/>
        <v>0</v>
      </c>
      <c r="R275" s="346">
        <f t="shared" si="37"/>
        <v>0</v>
      </c>
      <c r="S275" s="347">
        <f t="shared" si="38"/>
        <v>0</v>
      </c>
    </row>
    <row r="276" spans="1:20" ht="34.5" customHeight="1">
      <c r="A276" s="91">
        <v>8</v>
      </c>
      <c r="B276" s="298" t="s">
        <v>632</v>
      </c>
      <c r="C276" s="296" t="s">
        <v>634</v>
      </c>
      <c r="D276" s="348">
        <v>2082.2199999999998</v>
      </c>
      <c r="E276" s="285"/>
      <c r="F276" s="279"/>
      <c r="G276" s="279"/>
      <c r="H276" s="223">
        <v>0</v>
      </c>
      <c r="I276" s="223">
        <v>0</v>
      </c>
      <c r="J276" s="238">
        <v>0</v>
      </c>
      <c r="K276" s="349">
        <v>46227</v>
      </c>
      <c r="L276" s="350" t="s">
        <v>635</v>
      </c>
      <c r="M276" s="351">
        <v>2082.2199999999998</v>
      </c>
      <c r="N276" s="285"/>
      <c r="O276" s="279"/>
      <c r="P276" s="279"/>
      <c r="Q276" s="345">
        <f t="shared" si="36"/>
        <v>0</v>
      </c>
      <c r="R276" s="346">
        <f t="shared" si="37"/>
        <v>0</v>
      </c>
      <c r="S276" s="347">
        <f t="shared" si="38"/>
        <v>0</v>
      </c>
    </row>
    <row r="277" spans="1:20" ht="34.5" customHeight="1">
      <c r="A277" s="91">
        <v>9</v>
      </c>
      <c r="B277" s="298" t="s">
        <v>161</v>
      </c>
      <c r="C277" s="296" t="s">
        <v>636</v>
      </c>
      <c r="D277" s="341">
        <v>681.59</v>
      </c>
      <c r="E277" s="285"/>
      <c r="F277" s="279"/>
      <c r="G277" s="279"/>
      <c r="H277" s="223">
        <v>0</v>
      </c>
      <c r="I277" s="223">
        <v>0</v>
      </c>
      <c r="J277" s="238">
        <v>0</v>
      </c>
      <c r="K277" s="342">
        <v>46234</v>
      </c>
      <c r="L277" s="343" t="s">
        <v>637</v>
      </c>
      <c r="M277" s="344">
        <v>681.59</v>
      </c>
      <c r="N277" s="285"/>
      <c r="O277" s="279"/>
      <c r="P277" s="279"/>
      <c r="Q277" s="345">
        <f t="shared" si="36"/>
        <v>0</v>
      </c>
      <c r="R277" s="346">
        <f t="shared" si="37"/>
        <v>0</v>
      </c>
      <c r="S277" s="347">
        <f t="shared" si="38"/>
        <v>0</v>
      </c>
    </row>
    <row r="278" spans="1:20" ht="34.5" customHeight="1">
      <c r="A278" s="91">
        <v>10</v>
      </c>
      <c r="B278" s="298" t="s">
        <v>329</v>
      </c>
      <c r="C278" s="296" t="s">
        <v>638</v>
      </c>
      <c r="D278" s="341">
        <v>37.450000000000003</v>
      </c>
      <c r="E278" s="285"/>
      <c r="F278" s="279"/>
      <c r="G278" s="279"/>
      <c r="H278" s="223">
        <v>0</v>
      </c>
      <c r="I278" s="223">
        <v>0</v>
      </c>
      <c r="J278" s="238">
        <v>0</v>
      </c>
      <c r="K278" s="342">
        <v>46225</v>
      </c>
      <c r="L278" s="343" t="s">
        <v>639</v>
      </c>
      <c r="M278" s="344">
        <v>37.450000000000003</v>
      </c>
      <c r="N278" s="285"/>
      <c r="O278" s="279"/>
      <c r="P278" s="279"/>
      <c r="Q278" s="345">
        <f t="shared" si="36"/>
        <v>0</v>
      </c>
      <c r="R278" s="346">
        <f t="shared" si="37"/>
        <v>0</v>
      </c>
      <c r="S278" s="347">
        <f t="shared" si="38"/>
        <v>0</v>
      </c>
    </row>
    <row r="279" spans="1:20" ht="34.5" customHeight="1">
      <c r="A279" s="91">
        <v>11</v>
      </c>
      <c r="B279" s="298" t="s">
        <v>258</v>
      </c>
      <c r="C279" s="296" t="s">
        <v>640</v>
      </c>
      <c r="D279" s="341">
        <v>2675</v>
      </c>
      <c r="E279" s="285"/>
      <c r="F279" s="279"/>
      <c r="G279" s="279"/>
      <c r="H279" s="223">
        <v>0</v>
      </c>
      <c r="I279" s="223">
        <v>0</v>
      </c>
      <c r="J279" s="238">
        <v>0</v>
      </c>
      <c r="K279" s="342"/>
      <c r="L279" s="343"/>
      <c r="M279" s="344">
        <v>0</v>
      </c>
      <c r="N279" s="285" t="s">
        <v>41</v>
      </c>
      <c r="O279" s="279">
        <v>1</v>
      </c>
      <c r="P279" s="279">
        <v>1</v>
      </c>
      <c r="Q279" s="345">
        <f t="shared" si="36"/>
        <v>2500</v>
      </c>
      <c r="R279" s="346">
        <f t="shared" si="37"/>
        <v>175</v>
      </c>
      <c r="S279" s="347">
        <f t="shared" si="38"/>
        <v>2675</v>
      </c>
    </row>
    <row r="280" spans="1:20" ht="34.5" customHeight="1">
      <c r="A280" s="91">
        <v>12</v>
      </c>
      <c r="B280" s="298" t="s">
        <v>169</v>
      </c>
      <c r="C280" s="296" t="s">
        <v>641</v>
      </c>
      <c r="D280" s="341">
        <v>3258.15</v>
      </c>
      <c r="E280" s="285"/>
      <c r="F280" s="279"/>
      <c r="G280" s="279"/>
      <c r="H280" s="223">
        <v>0</v>
      </c>
      <c r="I280" s="223">
        <v>0</v>
      </c>
      <c r="J280" s="238">
        <v>0</v>
      </c>
      <c r="K280" s="342">
        <v>46230</v>
      </c>
      <c r="L280" s="343" t="s">
        <v>642</v>
      </c>
      <c r="M280" s="344">
        <v>3258.15</v>
      </c>
      <c r="N280" s="285"/>
      <c r="O280" s="279"/>
      <c r="P280" s="279"/>
      <c r="Q280" s="345">
        <f t="shared" si="36"/>
        <v>0</v>
      </c>
      <c r="R280" s="346">
        <f t="shared" si="37"/>
        <v>0</v>
      </c>
      <c r="S280" s="347">
        <f t="shared" si="38"/>
        <v>0</v>
      </c>
    </row>
    <row r="281" spans="1:20" ht="34.5" customHeight="1">
      <c r="A281" s="91">
        <v>13</v>
      </c>
      <c r="B281" s="298" t="s">
        <v>262</v>
      </c>
      <c r="C281" s="296" t="s">
        <v>643</v>
      </c>
      <c r="D281" s="341">
        <v>59.92</v>
      </c>
      <c r="E281" s="285"/>
      <c r="F281" s="279"/>
      <c r="G281" s="279"/>
      <c r="H281" s="223">
        <v>0</v>
      </c>
      <c r="I281" s="223">
        <v>0</v>
      </c>
      <c r="J281" s="238">
        <v>0</v>
      </c>
      <c r="K281" s="342">
        <v>46231</v>
      </c>
      <c r="L281" s="343" t="s">
        <v>644</v>
      </c>
      <c r="M281" s="344">
        <v>59.92</v>
      </c>
      <c r="N281" s="285"/>
      <c r="O281" s="279"/>
      <c r="P281" s="279"/>
      <c r="Q281" s="345">
        <f t="shared" si="36"/>
        <v>0</v>
      </c>
      <c r="R281" s="346">
        <f t="shared" si="37"/>
        <v>0</v>
      </c>
      <c r="S281" s="347">
        <f t="shared" si="38"/>
        <v>0</v>
      </c>
    </row>
    <row r="282" spans="1:20" ht="34.5" customHeight="1">
      <c r="A282" s="91">
        <v>14</v>
      </c>
      <c r="B282" s="298" t="s">
        <v>265</v>
      </c>
      <c r="C282" s="296" t="s">
        <v>645</v>
      </c>
      <c r="D282" s="341">
        <v>606.69000000000005</v>
      </c>
      <c r="E282" s="285"/>
      <c r="F282" s="279"/>
      <c r="G282" s="279"/>
      <c r="H282" s="223">
        <v>0</v>
      </c>
      <c r="I282" s="223">
        <v>0</v>
      </c>
      <c r="J282" s="238">
        <v>0</v>
      </c>
      <c r="K282" s="342">
        <v>46223</v>
      </c>
      <c r="L282" s="343" t="s">
        <v>646</v>
      </c>
      <c r="M282" s="344">
        <v>606.69000000000005</v>
      </c>
      <c r="N282" s="285"/>
      <c r="O282" s="279"/>
      <c r="P282" s="279"/>
      <c r="Q282" s="345">
        <f t="shared" si="36"/>
        <v>0</v>
      </c>
      <c r="R282" s="346">
        <f t="shared" si="37"/>
        <v>0</v>
      </c>
      <c r="S282" s="347">
        <f t="shared" si="38"/>
        <v>0</v>
      </c>
    </row>
    <row r="283" spans="1:20" ht="34.5" customHeight="1">
      <c r="A283" s="91">
        <v>15</v>
      </c>
      <c r="B283" s="298" t="s">
        <v>339</v>
      </c>
      <c r="C283" s="296" t="s">
        <v>647</v>
      </c>
      <c r="D283" s="341">
        <v>756.49</v>
      </c>
      <c r="E283" s="285"/>
      <c r="F283" s="279"/>
      <c r="G283" s="279"/>
      <c r="H283" s="223">
        <v>0</v>
      </c>
      <c r="I283" s="223">
        <v>0</v>
      </c>
      <c r="J283" s="238">
        <v>0</v>
      </c>
      <c r="K283" s="342">
        <v>46223</v>
      </c>
      <c r="L283" s="343" t="s">
        <v>648</v>
      </c>
      <c r="M283" s="344">
        <v>756.49</v>
      </c>
      <c r="N283" s="285"/>
      <c r="O283" s="279"/>
      <c r="P283" s="279"/>
      <c r="Q283" s="345">
        <f t="shared" si="36"/>
        <v>0</v>
      </c>
      <c r="R283" s="346">
        <f t="shared" si="37"/>
        <v>0</v>
      </c>
      <c r="S283" s="347">
        <v>0</v>
      </c>
    </row>
    <row r="284" spans="1:20" ht="34.5" customHeight="1">
      <c r="A284" s="91">
        <v>16</v>
      </c>
      <c r="B284" s="298" t="s">
        <v>649</v>
      </c>
      <c r="C284" s="296" t="s">
        <v>650</v>
      </c>
      <c r="D284" s="341">
        <v>292.11</v>
      </c>
      <c r="E284" s="285">
        <v>25355</v>
      </c>
      <c r="F284" s="279">
        <v>1</v>
      </c>
      <c r="G284" s="279">
        <v>1</v>
      </c>
      <c r="H284" s="223">
        <v>322</v>
      </c>
      <c r="I284" s="223">
        <v>22.54</v>
      </c>
      <c r="J284" s="238">
        <v>344.54</v>
      </c>
      <c r="K284" s="342" t="s">
        <v>152</v>
      </c>
      <c r="L284" s="343" t="s">
        <v>651</v>
      </c>
      <c r="M284" s="344">
        <v>636.65000000000009</v>
      </c>
      <c r="N284" s="285"/>
      <c r="O284" s="279"/>
      <c r="P284" s="279"/>
      <c r="Q284" s="345">
        <f t="shared" si="36"/>
        <v>0</v>
      </c>
      <c r="R284" s="346">
        <f t="shared" si="37"/>
        <v>0</v>
      </c>
      <c r="S284" s="347">
        <f t="shared" si="38"/>
        <v>0</v>
      </c>
    </row>
    <row r="285" spans="1:20" ht="34.5" customHeight="1">
      <c r="A285" s="91">
        <v>17</v>
      </c>
      <c r="B285" s="298" t="s">
        <v>652</v>
      </c>
      <c r="C285" s="296" t="s">
        <v>650</v>
      </c>
      <c r="D285" s="341">
        <v>2988.51</v>
      </c>
      <c r="E285" s="285"/>
      <c r="F285" s="279"/>
      <c r="G285" s="279"/>
      <c r="H285" s="223">
        <v>0</v>
      </c>
      <c r="I285" s="223">
        <v>0</v>
      </c>
      <c r="J285" s="238">
        <v>0</v>
      </c>
      <c r="K285" s="342">
        <v>46231</v>
      </c>
      <c r="L285" s="343" t="s">
        <v>653</v>
      </c>
      <c r="M285" s="344">
        <v>2988.51</v>
      </c>
      <c r="N285" s="285"/>
      <c r="O285" s="279"/>
      <c r="P285" s="279"/>
      <c r="Q285" s="345">
        <f t="shared" si="36"/>
        <v>0</v>
      </c>
      <c r="R285" s="346">
        <f t="shared" si="37"/>
        <v>0</v>
      </c>
      <c r="S285" s="347">
        <f t="shared" si="38"/>
        <v>0</v>
      </c>
    </row>
    <row r="286" spans="1:20" ht="34.5" customHeight="1">
      <c r="A286" s="91">
        <v>18</v>
      </c>
      <c r="B286" s="352" t="s">
        <v>347</v>
      </c>
      <c r="C286" s="296" t="s">
        <v>654</v>
      </c>
      <c r="D286" s="341">
        <v>171.2</v>
      </c>
      <c r="E286" s="289"/>
      <c r="F286" s="279"/>
      <c r="G286" s="279"/>
      <c r="H286" s="223">
        <v>0</v>
      </c>
      <c r="I286" s="223">
        <v>0</v>
      </c>
      <c r="J286" s="238">
        <v>0</v>
      </c>
      <c r="K286" s="342">
        <v>46227</v>
      </c>
      <c r="L286" s="343" t="s">
        <v>655</v>
      </c>
      <c r="M286" s="344">
        <v>171.2</v>
      </c>
      <c r="O286" s="285"/>
      <c r="P286" s="279"/>
      <c r="Q286" s="345">
        <f t="shared" si="36"/>
        <v>0</v>
      </c>
      <c r="R286" s="346">
        <f t="shared" si="37"/>
        <v>0</v>
      </c>
      <c r="S286" s="347">
        <f t="shared" si="38"/>
        <v>0</v>
      </c>
    </row>
    <row r="287" spans="1:20" ht="34.5" customHeight="1">
      <c r="A287" s="91">
        <v>19</v>
      </c>
      <c r="B287" s="352" t="s">
        <v>277</v>
      </c>
      <c r="C287" s="296" t="s">
        <v>656</v>
      </c>
      <c r="D287" s="341">
        <v>2824.8</v>
      </c>
      <c r="E287" s="285"/>
      <c r="F287" s="279"/>
      <c r="G287" s="279"/>
      <c r="H287" s="223">
        <v>0</v>
      </c>
      <c r="I287" s="223">
        <v>0</v>
      </c>
      <c r="J287" s="238">
        <v>0</v>
      </c>
      <c r="K287" s="342">
        <v>46234</v>
      </c>
      <c r="L287" s="343" t="s">
        <v>657</v>
      </c>
      <c r="M287" s="344">
        <v>2824.8</v>
      </c>
      <c r="N287" s="285"/>
      <c r="O287" s="279"/>
      <c r="P287" s="279"/>
      <c r="Q287" s="345">
        <f t="shared" si="36"/>
        <v>0</v>
      </c>
      <c r="R287" s="346">
        <f t="shared" si="37"/>
        <v>0</v>
      </c>
      <c r="S287" s="347">
        <f t="shared" si="38"/>
        <v>0</v>
      </c>
    </row>
    <row r="288" spans="1:20" ht="34.5" customHeight="1">
      <c r="A288" s="91">
        <v>20</v>
      </c>
      <c r="B288" s="298" t="s">
        <v>280</v>
      </c>
      <c r="C288" s="296" t="s">
        <v>658</v>
      </c>
      <c r="D288" s="341">
        <v>37.450000000000003</v>
      </c>
      <c r="E288" s="285"/>
      <c r="F288" s="279"/>
      <c r="G288" s="279"/>
      <c r="H288" s="223">
        <v>0</v>
      </c>
      <c r="I288" s="223">
        <v>0</v>
      </c>
      <c r="J288" s="238">
        <v>0</v>
      </c>
      <c r="K288" s="342">
        <v>46223</v>
      </c>
      <c r="L288" s="343" t="s">
        <v>659</v>
      </c>
      <c r="M288" s="344">
        <v>37.450000000000003</v>
      </c>
      <c r="N288" s="285"/>
      <c r="O288" s="279"/>
      <c r="P288" s="279"/>
      <c r="Q288" s="345">
        <f t="shared" si="36"/>
        <v>0</v>
      </c>
      <c r="R288" s="346">
        <f t="shared" si="37"/>
        <v>0</v>
      </c>
      <c r="S288" s="347">
        <f t="shared" si="38"/>
        <v>0</v>
      </c>
    </row>
    <row r="289" spans="1:19" ht="34.5" customHeight="1">
      <c r="A289" s="91">
        <v>21</v>
      </c>
      <c r="B289" s="298" t="s">
        <v>283</v>
      </c>
      <c r="C289" s="296" t="s">
        <v>660</v>
      </c>
      <c r="D289" s="341">
        <v>749</v>
      </c>
      <c r="E289" s="285"/>
      <c r="F289" s="279"/>
      <c r="G289" s="279"/>
      <c r="H289" s="223">
        <v>0</v>
      </c>
      <c r="I289" s="223">
        <v>0</v>
      </c>
      <c r="J289" s="238">
        <v>0</v>
      </c>
      <c r="K289" s="342">
        <v>46234</v>
      </c>
      <c r="L289" s="343" t="s">
        <v>661</v>
      </c>
      <c r="M289" s="344">
        <v>749</v>
      </c>
      <c r="N289" s="285"/>
      <c r="O289" s="279"/>
      <c r="P289" s="279"/>
      <c r="Q289" s="345">
        <f t="shared" si="36"/>
        <v>0</v>
      </c>
      <c r="R289" s="346">
        <f t="shared" si="37"/>
        <v>0</v>
      </c>
      <c r="S289" s="347">
        <f t="shared" si="38"/>
        <v>0</v>
      </c>
    </row>
    <row r="290" spans="1:19" ht="34.5" customHeight="1">
      <c r="A290" s="91">
        <v>22</v>
      </c>
      <c r="B290" s="298" t="s">
        <v>197</v>
      </c>
      <c r="C290" s="296" t="s">
        <v>662</v>
      </c>
      <c r="D290" s="341">
        <v>1348.2</v>
      </c>
      <c r="E290" s="285"/>
      <c r="F290" s="279"/>
      <c r="G290" s="279"/>
      <c r="H290" s="223">
        <v>0</v>
      </c>
      <c r="I290" s="223">
        <v>0</v>
      </c>
      <c r="J290" s="238">
        <v>0</v>
      </c>
      <c r="K290" s="342">
        <v>46230</v>
      </c>
      <c r="L290" s="343" t="s">
        <v>663</v>
      </c>
      <c r="M290" s="344">
        <v>1348.2</v>
      </c>
      <c r="N290" s="285"/>
      <c r="O290" s="279"/>
      <c r="P290" s="279"/>
      <c r="Q290" s="345">
        <f t="shared" si="36"/>
        <v>0</v>
      </c>
      <c r="R290" s="346">
        <f t="shared" si="37"/>
        <v>0</v>
      </c>
      <c r="S290" s="347">
        <f t="shared" si="38"/>
        <v>0</v>
      </c>
    </row>
    <row r="291" spans="1:19" ht="34.5" customHeight="1">
      <c r="A291" s="91">
        <v>23</v>
      </c>
      <c r="B291" s="298" t="s">
        <v>358</v>
      </c>
      <c r="C291" s="296" t="s">
        <v>664</v>
      </c>
      <c r="D291" s="341">
        <v>1670.27</v>
      </c>
      <c r="E291" s="285"/>
      <c r="F291" s="279"/>
      <c r="G291" s="279"/>
      <c r="H291" s="223">
        <v>0</v>
      </c>
      <c r="I291" s="223">
        <v>0</v>
      </c>
      <c r="J291" s="238">
        <v>0</v>
      </c>
      <c r="K291" s="342">
        <v>46227</v>
      </c>
      <c r="L291" s="343" t="s">
        <v>665</v>
      </c>
      <c r="M291" s="344">
        <v>1670.27</v>
      </c>
      <c r="N291" s="285"/>
      <c r="O291" s="279"/>
      <c r="P291" s="279"/>
      <c r="Q291" s="345">
        <f t="shared" si="36"/>
        <v>0</v>
      </c>
      <c r="R291" s="346">
        <f t="shared" si="37"/>
        <v>0</v>
      </c>
      <c r="S291" s="347">
        <f t="shared" si="38"/>
        <v>0</v>
      </c>
    </row>
    <row r="292" spans="1:19" ht="34.5" customHeight="1">
      <c r="A292" s="91">
        <v>24</v>
      </c>
      <c r="B292" s="298" t="s">
        <v>291</v>
      </c>
      <c r="C292" s="296" t="s">
        <v>666</v>
      </c>
      <c r="D292" s="354">
        <v>44.94</v>
      </c>
      <c r="E292" s="285"/>
      <c r="F292" s="279"/>
      <c r="G292" s="279"/>
      <c r="H292" s="223">
        <v>0</v>
      </c>
      <c r="I292" s="223">
        <v>0</v>
      </c>
      <c r="J292" s="238">
        <v>0</v>
      </c>
      <c r="K292" s="355">
        <v>46234</v>
      </c>
      <c r="L292" s="356" t="s">
        <v>667</v>
      </c>
      <c r="M292" s="357">
        <v>44.94</v>
      </c>
      <c r="N292" s="285"/>
      <c r="O292" s="279"/>
      <c r="P292" s="279"/>
      <c r="Q292" s="345">
        <f t="shared" si="36"/>
        <v>0</v>
      </c>
      <c r="R292" s="346">
        <f t="shared" si="37"/>
        <v>0</v>
      </c>
      <c r="S292" s="347">
        <f t="shared" si="38"/>
        <v>0</v>
      </c>
    </row>
    <row r="293" spans="1:19" ht="34.5" customHeight="1">
      <c r="A293" s="91">
        <v>25</v>
      </c>
      <c r="B293" s="298" t="s">
        <v>291</v>
      </c>
      <c r="C293" s="296" t="s">
        <v>668</v>
      </c>
      <c r="D293" s="341">
        <v>74.900000000000006</v>
      </c>
      <c r="E293" s="285">
        <v>25355</v>
      </c>
      <c r="F293" s="279">
        <v>1</v>
      </c>
      <c r="G293" s="279">
        <v>1</v>
      </c>
      <c r="H293" s="223">
        <v>50</v>
      </c>
      <c r="I293" s="223">
        <v>3.5</v>
      </c>
      <c r="J293" s="238">
        <v>53.5</v>
      </c>
      <c r="K293" s="342" t="s">
        <v>669</v>
      </c>
      <c r="L293" s="343" t="s">
        <v>670</v>
      </c>
      <c r="M293" s="344">
        <v>128.4</v>
      </c>
      <c r="N293" s="285"/>
      <c r="O293" s="279"/>
      <c r="P293" s="279"/>
      <c r="Q293" s="345">
        <f t="shared" si="36"/>
        <v>0</v>
      </c>
      <c r="R293" s="346">
        <f t="shared" si="37"/>
        <v>0</v>
      </c>
      <c r="S293" s="347">
        <f t="shared" si="38"/>
        <v>0</v>
      </c>
    </row>
    <row r="294" spans="1:19" ht="34.5" customHeight="1">
      <c r="A294" s="91">
        <v>26</v>
      </c>
      <c r="B294" s="298" t="s">
        <v>294</v>
      </c>
      <c r="C294" s="296" t="s">
        <v>671</v>
      </c>
      <c r="D294" s="341">
        <v>149.80000000000001</v>
      </c>
      <c r="E294" s="285"/>
      <c r="F294" s="279"/>
      <c r="G294" s="279"/>
      <c r="H294" s="223">
        <v>0</v>
      </c>
      <c r="I294" s="223">
        <v>0</v>
      </c>
      <c r="J294" s="238">
        <v>0</v>
      </c>
      <c r="K294" s="342">
        <v>46231</v>
      </c>
      <c r="L294" s="343" t="s">
        <v>672</v>
      </c>
      <c r="M294" s="344">
        <v>149.80000000000001</v>
      </c>
      <c r="N294" s="285"/>
      <c r="O294" s="279"/>
      <c r="P294" s="279"/>
      <c r="Q294" s="345">
        <f t="shared" si="36"/>
        <v>0</v>
      </c>
      <c r="R294" s="346">
        <f t="shared" si="37"/>
        <v>0</v>
      </c>
      <c r="S294" s="347">
        <f t="shared" si="38"/>
        <v>0</v>
      </c>
    </row>
    <row r="295" spans="1:19" ht="34.5" customHeight="1">
      <c r="A295" s="91">
        <v>27</v>
      </c>
      <c r="B295" s="298" t="s">
        <v>365</v>
      </c>
      <c r="C295" s="296" t="s">
        <v>673</v>
      </c>
      <c r="D295" s="341">
        <v>1340.71</v>
      </c>
      <c r="E295" s="285"/>
      <c r="F295" s="279"/>
      <c r="G295" s="279"/>
      <c r="H295" s="223">
        <v>0</v>
      </c>
      <c r="I295" s="223">
        <v>0</v>
      </c>
      <c r="J295" s="238">
        <v>0</v>
      </c>
      <c r="K295" s="342">
        <v>46225</v>
      </c>
      <c r="L295" s="343" t="s">
        <v>674</v>
      </c>
      <c r="M295" s="344">
        <v>1340.71</v>
      </c>
      <c r="N295" s="285"/>
      <c r="O295" s="279"/>
      <c r="P295" s="279"/>
      <c r="Q295" s="345">
        <f t="shared" si="36"/>
        <v>0</v>
      </c>
      <c r="R295" s="346">
        <f t="shared" si="37"/>
        <v>0</v>
      </c>
      <c r="S295" s="347">
        <f t="shared" si="38"/>
        <v>0</v>
      </c>
    </row>
    <row r="296" spans="1:19" ht="34.5" customHeight="1">
      <c r="A296" s="91">
        <v>28</v>
      </c>
      <c r="B296" s="298" t="s">
        <v>300</v>
      </c>
      <c r="C296" s="296" t="s">
        <v>675</v>
      </c>
      <c r="D296" s="341">
        <v>2127.16</v>
      </c>
      <c r="E296" s="285"/>
      <c r="F296" s="279"/>
      <c r="G296" s="279"/>
      <c r="H296" s="223">
        <v>0</v>
      </c>
      <c r="I296" s="223">
        <v>0</v>
      </c>
      <c r="J296" s="238">
        <v>0</v>
      </c>
      <c r="K296" s="342">
        <v>46230</v>
      </c>
      <c r="L296" s="343" t="s">
        <v>676</v>
      </c>
      <c r="M296" s="344">
        <v>2127.16</v>
      </c>
      <c r="N296" s="285"/>
      <c r="O296" s="279"/>
      <c r="P296" s="279"/>
      <c r="Q296" s="345">
        <f t="shared" si="36"/>
        <v>0</v>
      </c>
      <c r="R296" s="346">
        <f t="shared" si="37"/>
        <v>0</v>
      </c>
      <c r="S296" s="347">
        <f t="shared" si="38"/>
        <v>0</v>
      </c>
    </row>
    <row r="297" spans="1:19" ht="34.5" customHeight="1">
      <c r="A297" s="91">
        <v>29</v>
      </c>
      <c r="B297" s="298" t="s">
        <v>677</v>
      </c>
      <c r="C297" s="296" t="s">
        <v>678</v>
      </c>
      <c r="D297" s="341">
        <v>59.92</v>
      </c>
      <c r="E297" s="285"/>
      <c r="F297" s="279"/>
      <c r="G297" s="279"/>
      <c r="H297" s="223">
        <v>0</v>
      </c>
      <c r="I297" s="223">
        <v>0</v>
      </c>
      <c r="J297" s="238">
        <v>0</v>
      </c>
      <c r="K297" s="342"/>
      <c r="L297" s="343"/>
      <c r="M297" s="344">
        <v>0</v>
      </c>
      <c r="N297" s="285" t="s">
        <v>41</v>
      </c>
      <c r="O297" s="279">
        <v>1</v>
      </c>
      <c r="P297" s="279">
        <v>1</v>
      </c>
      <c r="Q297" s="345">
        <f t="shared" si="36"/>
        <v>56</v>
      </c>
      <c r="R297" s="346">
        <f t="shared" si="37"/>
        <v>3.92</v>
      </c>
      <c r="S297" s="347">
        <f t="shared" si="38"/>
        <v>59.92</v>
      </c>
    </row>
    <row r="298" spans="1:19" ht="34.5" customHeight="1">
      <c r="A298" s="91">
        <v>30</v>
      </c>
      <c r="B298" s="298" t="s">
        <v>217</v>
      </c>
      <c r="C298" s="296" t="s">
        <v>679</v>
      </c>
      <c r="D298" s="341">
        <v>831.39</v>
      </c>
      <c r="E298" s="285">
        <v>25355</v>
      </c>
      <c r="F298" s="279">
        <v>1</v>
      </c>
      <c r="G298" s="279">
        <v>1</v>
      </c>
      <c r="H298" s="223">
        <v>546</v>
      </c>
      <c r="I298" s="223">
        <v>38.22</v>
      </c>
      <c r="J298" s="238">
        <v>584.22</v>
      </c>
      <c r="K298" s="342">
        <v>46212</v>
      </c>
      <c r="L298" s="343" t="s">
        <v>680</v>
      </c>
      <c r="M298" s="344">
        <v>584.22</v>
      </c>
      <c r="N298" s="285" t="s">
        <v>41</v>
      </c>
      <c r="O298" s="279">
        <v>1</v>
      </c>
      <c r="P298" s="279">
        <v>1</v>
      </c>
      <c r="Q298" s="345">
        <f t="shared" si="36"/>
        <v>777</v>
      </c>
      <c r="R298" s="346">
        <f t="shared" si="37"/>
        <v>54.39</v>
      </c>
      <c r="S298" s="347">
        <f t="shared" si="38"/>
        <v>831.3900000000001</v>
      </c>
    </row>
    <row r="299" spans="1:19" ht="34.5" customHeight="1">
      <c r="A299" s="91">
        <v>31</v>
      </c>
      <c r="B299" s="298" t="s">
        <v>307</v>
      </c>
      <c r="C299" s="296" t="s">
        <v>681</v>
      </c>
      <c r="D299" s="341">
        <v>428</v>
      </c>
      <c r="E299" s="289"/>
      <c r="F299" s="279"/>
      <c r="G299" s="279"/>
      <c r="H299" s="223">
        <v>0</v>
      </c>
      <c r="I299" s="223">
        <v>0</v>
      </c>
      <c r="J299" s="238">
        <v>0</v>
      </c>
      <c r="K299" s="342">
        <v>46227</v>
      </c>
      <c r="L299" s="343" t="s">
        <v>682</v>
      </c>
      <c r="M299" s="344">
        <v>428</v>
      </c>
      <c r="N299" s="289"/>
      <c r="O299" s="279"/>
      <c r="P299" s="279"/>
      <c r="Q299" s="345">
        <f t="shared" si="36"/>
        <v>0</v>
      </c>
      <c r="R299" s="346">
        <f t="shared" si="37"/>
        <v>0</v>
      </c>
      <c r="S299" s="347">
        <f t="shared" si="38"/>
        <v>0</v>
      </c>
    </row>
    <row r="300" spans="1:19" ht="34.5" customHeight="1">
      <c r="A300" s="91">
        <v>32</v>
      </c>
      <c r="B300" s="298" t="s">
        <v>375</v>
      </c>
      <c r="C300" s="296" t="s">
        <v>683</v>
      </c>
      <c r="D300" s="341">
        <v>37.450000000000003</v>
      </c>
      <c r="E300" s="289">
        <v>25355</v>
      </c>
      <c r="F300" s="279">
        <v>1</v>
      </c>
      <c r="G300" s="279">
        <v>1</v>
      </c>
      <c r="H300" s="223">
        <v>35</v>
      </c>
      <c r="I300" s="223">
        <v>2.4500000000000002</v>
      </c>
      <c r="J300" s="238">
        <v>37.450000000000003</v>
      </c>
      <c r="K300" s="342">
        <v>46206</v>
      </c>
      <c r="L300" s="343" t="s">
        <v>377</v>
      </c>
      <c r="M300" s="344">
        <v>37.450000000000003</v>
      </c>
      <c r="N300" s="289" t="s">
        <v>41</v>
      </c>
      <c r="O300" s="279">
        <v>1</v>
      </c>
      <c r="P300" s="279">
        <v>1</v>
      </c>
      <c r="Q300" s="345">
        <f t="shared" si="36"/>
        <v>35</v>
      </c>
      <c r="R300" s="346">
        <f t="shared" si="37"/>
        <v>2.4500000000000002</v>
      </c>
      <c r="S300" s="347">
        <f t="shared" si="38"/>
        <v>37.450000000000003</v>
      </c>
    </row>
    <row r="301" spans="1:19" ht="34.5" customHeight="1">
      <c r="A301" s="91">
        <v>33</v>
      </c>
      <c r="B301" s="298" t="s">
        <v>378</v>
      </c>
      <c r="C301" s="296" t="s">
        <v>684</v>
      </c>
      <c r="D301" s="341">
        <v>389.48</v>
      </c>
      <c r="E301" s="285"/>
      <c r="F301" s="279"/>
      <c r="G301" s="279"/>
      <c r="H301" s="223">
        <v>0</v>
      </c>
      <c r="I301" s="223">
        <v>0</v>
      </c>
      <c r="J301" s="238">
        <v>0</v>
      </c>
      <c r="K301" s="342">
        <v>46226</v>
      </c>
      <c r="L301" s="343" t="s">
        <v>685</v>
      </c>
      <c r="M301" s="344">
        <v>389.48</v>
      </c>
      <c r="N301" s="285"/>
      <c r="O301" s="279"/>
      <c r="P301" s="279"/>
      <c r="Q301" s="345">
        <f t="shared" si="36"/>
        <v>0</v>
      </c>
      <c r="R301" s="346">
        <f t="shared" si="37"/>
        <v>0</v>
      </c>
      <c r="S301" s="347">
        <f t="shared" si="38"/>
        <v>0</v>
      </c>
    </row>
    <row r="302" spans="1:19" ht="34.5" customHeight="1">
      <c r="A302" s="91">
        <v>34</v>
      </c>
      <c r="B302" s="298" t="s">
        <v>381</v>
      </c>
      <c r="C302" s="296" t="s">
        <v>686</v>
      </c>
      <c r="D302" s="341">
        <v>164.78</v>
      </c>
      <c r="E302" s="285">
        <v>25355</v>
      </c>
      <c r="F302" s="279">
        <v>1</v>
      </c>
      <c r="G302" s="279">
        <v>1</v>
      </c>
      <c r="H302" s="223">
        <v>238</v>
      </c>
      <c r="I302" s="223">
        <v>16.66</v>
      </c>
      <c r="J302" s="238">
        <v>254.66</v>
      </c>
      <c r="K302" s="342">
        <v>46206</v>
      </c>
      <c r="L302" s="343" t="s">
        <v>687</v>
      </c>
      <c r="M302" s="344">
        <v>254.66</v>
      </c>
      <c r="N302" s="285" t="s">
        <v>41</v>
      </c>
      <c r="O302" s="279">
        <v>1</v>
      </c>
      <c r="P302" s="279">
        <v>1</v>
      </c>
      <c r="Q302" s="345">
        <f t="shared" si="36"/>
        <v>154</v>
      </c>
      <c r="R302" s="346">
        <f t="shared" si="37"/>
        <v>10.78</v>
      </c>
      <c r="S302" s="347">
        <f t="shared" si="38"/>
        <v>164.78</v>
      </c>
    </row>
    <row r="303" spans="1:19" ht="34.5" customHeight="1">
      <c r="A303" s="91">
        <v>35</v>
      </c>
      <c r="B303" s="298" t="s">
        <v>381</v>
      </c>
      <c r="C303" s="296" t="s">
        <v>688</v>
      </c>
      <c r="D303" s="341">
        <v>0</v>
      </c>
      <c r="E303" s="285"/>
      <c r="F303" s="279"/>
      <c r="G303" s="279"/>
      <c r="H303" s="223">
        <v>0</v>
      </c>
      <c r="I303" s="223">
        <v>0</v>
      </c>
      <c r="J303" s="238">
        <v>0</v>
      </c>
      <c r="K303" s="342"/>
      <c r="L303" s="343"/>
      <c r="M303" s="344"/>
      <c r="N303" s="285"/>
      <c r="O303" s="279"/>
      <c r="P303" s="279"/>
      <c r="Q303" s="345">
        <f t="shared" si="36"/>
        <v>0</v>
      </c>
      <c r="R303" s="346">
        <f t="shared" si="37"/>
        <v>0</v>
      </c>
      <c r="S303" s="347">
        <f t="shared" si="38"/>
        <v>0</v>
      </c>
    </row>
    <row r="304" spans="1:19" ht="34.5" customHeight="1">
      <c r="A304" s="91">
        <v>36</v>
      </c>
      <c r="B304" s="298" t="s">
        <v>384</v>
      </c>
      <c r="C304" s="296" t="s">
        <v>689</v>
      </c>
      <c r="D304" s="348">
        <v>37.450000000000003</v>
      </c>
      <c r="E304" s="285"/>
      <c r="F304" s="279"/>
      <c r="G304" s="279"/>
      <c r="H304" s="223">
        <v>0</v>
      </c>
      <c r="I304" s="223">
        <v>0</v>
      </c>
      <c r="J304" s="238">
        <v>0</v>
      </c>
      <c r="K304" s="349"/>
      <c r="L304" s="350"/>
      <c r="M304" s="351">
        <v>0</v>
      </c>
      <c r="N304" s="285" t="s">
        <v>41</v>
      </c>
      <c r="O304" s="279">
        <v>1</v>
      </c>
      <c r="P304" s="279">
        <v>1</v>
      </c>
      <c r="Q304" s="345">
        <f t="shared" si="36"/>
        <v>35</v>
      </c>
      <c r="R304" s="346">
        <f t="shared" si="37"/>
        <v>2.4500000000000002</v>
      </c>
      <c r="S304" s="347">
        <f t="shared" si="38"/>
        <v>37.450000000000003</v>
      </c>
    </row>
    <row r="305" spans="1:19" ht="34.5" customHeight="1">
      <c r="A305" s="91">
        <v>37</v>
      </c>
      <c r="B305" s="298" t="s">
        <v>386</v>
      </c>
      <c r="C305" s="296" t="s">
        <v>690</v>
      </c>
      <c r="D305" s="341">
        <v>37.450000000000003</v>
      </c>
      <c r="E305" s="285"/>
      <c r="F305" s="279"/>
      <c r="G305" s="279"/>
      <c r="H305" s="223">
        <v>0</v>
      </c>
      <c r="I305" s="223">
        <v>0</v>
      </c>
      <c r="J305" s="238">
        <v>0</v>
      </c>
      <c r="K305" s="358">
        <v>46226</v>
      </c>
      <c r="L305" s="359" t="s">
        <v>691</v>
      </c>
      <c r="M305" s="360">
        <v>37.450000000000003</v>
      </c>
      <c r="N305" s="285"/>
      <c r="O305" s="279"/>
      <c r="P305" s="279"/>
      <c r="Q305" s="345">
        <f t="shared" si="36"/>
        <v>0</v>
      </c>
      <c r="R305" s="346">
        <f t="shared" si="37"/>
        <v>0</v>
      </c>
      <c r="S305" s="347">
        <f t="shared" si="38"/>
        <v>0</v>
      </c>
    </row>
    <row r="306" spans="1:19" ht="34.5" customHeight="1">
      <c r="A306" s="91">
        <v>38</v>
      </c>
      <c r="B306" s="298" t="s">
        <v>389</v>
      </c>
      <c r="C306" s="296" t="s">
        <v>692</v>
      </c>
      <c r="D306" s="341">
        <v>37.450000000000003</v>
      </c>
      <c r="E306" s="285"/>
      <c r="F306" s="279"/>
      <c r="G306" s="279"/>
      <c r="H306" s="223">
        <v>0</v>
      </c>
      <c r="I306" s="223">
        <v>0</v>
      </c>
      <c r="J306" s="238">
        <v>0</v>
      </c>
      <c r="K306" s="358">
        <v>46234</v>
      </c>
      <c r="L306" s="359" t="s">
        <v>693</v>
      </c>
      <c r="M306" s="360">
        <v>37.450000000000003</v>
      </c>
      <c r="N306" s="285"/>
      <c r="O306" s="279"/>
      <c r="P306" s="279"/>
      <c r="Q306" s="345">
        <f t="shared" si="36"/>
        <v>0</v>
      </c>
      <c r="R306" s="346">
        <f t="shared" si="37"/>
        <v>0</v>
      </c>
      <c r="S306" s="347">
        <f t="shared" si="38"/>
        <v>0</v>
      </c>
    </row>
    <row r="307" spans="1:19" ht="34.5" customHeight="1">
      <c r="A307" s="91">
        <v>39</v>
      </c>
      <c r="B307" s="298" t="s">
        <v>392</v>
      </c>
      <c r="C307" s="296" t="s">
        <v>694</v>
      </c>
      <c r="D307" s="341">
        <v>37.450000000000003</v>
      </c>
      <c r="E307" s="285"/>
      <c r="F307" s="279"/>
      <c r="G307" s="279"/>
      <c r="H307" s="223">
        <v>0</v>
      </c>
      <c r="I307" s="223">
        <v>0</v>
      </c>
      <c r="J307" s="238">
        <v>0</v>
      </c>
      <c r="K307" s="358"/>
      <c r="L307" s="359"/>
      <c r="M307" s="360">
        <v>0</v>
      </c>
      <c r="N307" s="285" t="s">
        <v>41</v>
      </c>
      <c r="O307" s="279">
        <v>1</v>
      </c>
      <c r="P307" s="279">
        <v>1</v>
      </c>
      <c r="Q307" s="345">
        <f t="shared" si="36"/>
        <v>35</v>
      </c>
      <c r="R307" s="346">
        <f t="shared" si="37"/>
        <v>2.4500000000000002</v>
      </c>
      <c r="S307" s="347">
        <f t="shared" si="38"/>
        <v>37.450000000000003</v>
      </c>
    </row>
    <row r="308" spans="1:19" ht="34.5" customHeight="1">
      <c r="A308" s="91">
        <v>40</v>
      </c>
      <c r="B308" s="298" t="s">
        <v>394</v>
      </c>
      <c r="C308" s="296" t="s">
        <v>695</v>
      </c>
      <c r="D308" s="341">
        <v>0</v>
      </c>
      <c r="E308" s="285"/>
      <c r="F308" s="279"/>
      <c r="G308" s="279"/>
      <c r="H308" s="223">
        <v>0</v>
      </c>
      <c r="I308" s="223">
        <v>0</v>
      </c>
      <c r="J308" s="238">
        <v>0</v>
      </c>
      <c r="K308" s="358"/>
      <c r="L308" s="359"/>
      <c r="M308" s="360"/>
      <c r="N308" s="285"/>
      <c r="O308" s="279"/>
      <c r="P308" s="279"/>
      <c r="Q308" s="345">
        <f t="shared" si="36"/>
        <v>0</v>
      </c>
      <c r="R308" s="346">
        <f t="shared" si="37"/>
        <v>0</v>
      </c>
      <c r="S308" s="347">
        <f t="shared" si="38"/>
        <v>0</v>
      </c>
    </row>
    <row r="309" spans="1:19" ht="34.5" customHeight="1">
      <c r="A309" s="91">
        <v>41</v>
      </c>
      <c r="B309" s="298" t="s">
        <v>397</v>
      </c>
      <c r="C309" s="296" t="s">
        <v>696</v>
      </c>
      <c r="D309" s="348">
        <v>67.41</v>
      </c>
      <c r="E309" s="285"/>
      <c r="F309" s="279"/>
      <c r="G309" s="279"/>
      <c r="H309" s="223">
        <v>0</v>
      </c>
      <c r="I309" s="223">
        <v>0</v>
      </c>
      <c r="J309" s="238">
        <v>0</v>
      </c>
      <c r="K309" s="349">
        <v>46226</v>
      </c>
      <c r="L309" s="350" t="s">
        <v>697</v>
      </c>
      <c r="M309" s="351">
        <v>67.41</v>
      </c>
      <c r="N309" s="285"/>
      <c r="O309" s="279"/>
      <c r="P309" s="279"/>
      <c r="Q309" s="345">
        <f t="shared" si="36"/>
        <v>0</v>
      </c>
      <c r="R309" s="346">
        <f t="shared" si="37"/>
        <v>0</v>
      </c>
      <c r="S309" s="347">
        <f t="shared" si="38"/>
        <v>0</v>
      </c>
    </row>
    <row r="310" spans="1:19" ht="34.5" customHeight="1">
      <c r="A310" s="91">
        <v>42</v>
      </c>
      <c r="B310" s="298" t="s">
        <v>400</v>
      </c>
      <c r="C310" s="296" t="s">
        <v>698</v>
      </c>
      <c r="D310" s="341">
        <v>396.97</v>
      </c>
      <c r="E310" s="285"/>
      <c r="F310" s="279"/>
      <c r="G310" s="279"/>
      <c r="H310" s="223">
        <v>0</v>
      </c>
      <c r="I310" s="223">
        <v>0</v>
      </c>
      <c r="J310" s="238">
        <v>0</v>
      </c>
      <c r="K310" s="342">
        <v>46227</v>
      </c>
      <c r="L310" s="343" t="s">
        <v>699</v>
      </c>
      <c r="M310" s="344">
        <v>396.97</v>
      </c>
      <c r="N310" s="285"/>
      <c r="O310" s="279"/>
      <c r="P310" s="279"/>
      <c r="Q310" s="345">
        <f t="shared" si="36"/>
        <v>0</v>
      </c>
      <c r="R310" s="346">
        <f t="shared" si="37"/>
        <v>0</v>
      </c>
      <c r="S310" s="347">
        <f t="shared" si="38"/>
        <v>0</v>
      </c>
    </row>
    <row r="311" spans="1:19" ht="34.5" customHeight="1">
      <c r="A311" s="91">
        <v>43</v>
      </c>
      <c r="B311" s="298" t="s">
        <v>402</v>
      </c>
      <c r="C311" s="296" t="s">
        <v>700</v>
      </c>
      <c r="D311" s="341">
        <v>37.450000000000003</v>
      </c>
      <c r="E311" s="285"/>
      <c r="F311" s="279"/>
      <c r="G311" s="279"/>
      <c r="H311" s="223">
        <v>0</v>
      </c>
      <c r="I311" s="223">
        <v>0</v>
      </c>
      <c r="J311" s="238">
        <v>0</v>
      </c>
      <c r="K311" s="342"/>
      <c r="L311" s="343"/>
      <c r="M311" s="344">
        <v>0</v>
      </c>
      <c r="N311" s="285" t="s">
        <v>41</v>
      </c>
      <c r="O311" s="279">
        <v>1</v>
      </c>
      <c r="P311" s="279">
        <v>1</v>
      </c>
      <c r="Q311" s="345">
        <f t="shared" si="36"/>
        <v>35</v>
      </c>
      <c r="R311" s="346">
        <f t="shared" si="37"/>
        <v>2.4500000000000002</v>
      </c>
      <c r="S311" s="347">
        <f t="shared" si="38"/>
        <v>37.450000000000003</v>
      </c>
    </row>
    <row r="312" spans="1:19" ht="34.5" customHeight="1">
      <c r="A312" s="91">
        <v>44</v>
      </c>
      <c r="B312" s="298" t="s">
        <v>404</v>
      </c>
      <c r="C312" s="296" t="s">
        <v>701</v>
      </c>
      <c r="D312" s="341">
        <v>127.33</v>
      </c>
      <c r="E312" s="285"/>
      <c r="F312" s="279"/>
      <c r="G312" s="279"/>
      <c r="H312" s="223">
        <v>0</v>
      </c>
      <c r="I312" s="223">
        <v>0</v>
      </c>
      <c r="J312" s="238">
        <v>0</v>
      </c>
      <c r="K312" s="342">
        <v>46226</v>
      </c>
      <c r="L312" s="343" t="s">
        <v>702</v>
      </c>
      <c r="M312" s="344">
        <v>127.33</v>
      </c>
      <c r="N312" s="285"/>
      <c r="O312" s="279"/>
      <c r="P312" s="279"/>
      <c r="Q312" s="345">
        <f t="shared" si="36"/>
        <v>0</v>
      </c>
      <c r="R312" s="346">
        <f t="shared" si="37"/>
        <v>0</v>
      </c>
      <c r="S312" s="347">
        <f t="shared" si="38"/>
        <v>0</v>
      </c>
    </row>
    <row r="313" spans="1:19" ht="34.5" customHeight="1">
      <c r="A313" s="91">
        <v>45</v>
      </c>
      <c r="B313" s="298" t="s">
        <v>407</v>
      </c>
      <c r="C313" s="296" t="s">
        <v>703</v>
      </c>
      <c r="D313" s="341">
        <v>104.86</v>
      </c>
      <c r="E313" s="285"/>
      <c r="F313" s="279"/>
      <c r="G313" s="279"/>
      <c r="H313" s="223">
        <v>0</v>
      </c>
      <c r="I313" s="223">
        <v>0</v>
      </c>
      <c r="J313" s="238">
        <v>0</v>
      </c>
      <c r="K313" s="342">
        <v>46230</v>
      </c>
      <c r="L313" s="343" t="s">
        <v>704</v>
      </c>
      <c r="M313" s="344">
        <v>104.86</v>
      </c>
      <c r="N313" s="285"/>
      <c r="O313" s="279"/>
      <c r="P313" s="279"/>
      <c r="Q313" s="345">
        <f t="shared" si="36"/>
        <v>0</v>
      </c>
      <c r="R313" s="346">
        <f t="shared" si="37"/>
        <v>0</v>
      </c>
      <c r="S313" s="347">
        <f t="shared" si="38"/>
        <v>0</v>
      </c>
    </row>
    <row r="314" spans="1:19" ht="34.5" customHeight="1">
      <c r="A314" s="91">
        <v>46</v>
      </c>
      <c r="B314" s="298" t="s">
        <v>410</v>
      </c>
      <c r="C314" s="296" t="s">
        <v>705</v>
      </c>
      <c r="D314" s="341">
        <v>52.43</v>
      </c>
      <c r="E314" s="285"/>
      <c r="F314" s="279"/>
      <c r="G314" s="279"/>
      <c r="H314" s="223">
        <v>0</v>
      </c>
      <c r="I314" s="223">
        <v>0</v>
      </c>
      <c r="J314" s="238">
        <v>0</v>
      </c>
      <c r="K314" s="342"/>
      <c r="L314" s="343"/>
      <c r="M314" s="344">
        <v>0</v>
      </c>
      <c r="N314" s="285" t="s">
        <v>41</v>
      </c>
      <c r="O314" s="279">
        <v>1</v>
      </c>
      <c r="P314" s="279">
        <v>1</v>
      </c>
      <c r="Q314" s="345">
        <f t="shared" si="36"/>
        <v>49</v>
      </c>
      <c r="R314" s="346">
        <f t="shared" si="37"/>
        <v>3.43</v>
      </c>
      <c r="S314" s="347">
        <f t="shared" si="38"/>
        <v>52.43</v>
      </c>
    </row>
    <row r="315" spans="1:19" ht="34.5" customHeight="1">
      <c r="A315" s="91">
        <v>47</v>
      </c>
      <c r="B315" s="298" t="s">
        <v>412</v>
      </c>
      <c r="C315" s="296" t="s">
        <v>706</v>
      </c>
      <c r="D315" s="341">
        <v>37.450000000000003</v>
      </c>
      <c r="E315" s="285"/>
      <c r="F315" s="279"/>
      <c r="G315" s="279"/>
      <c r="H315" s="223">
        <v>0</v>
      </c>
      <c r="I315" s="223">
        <v>0</v>
      </c>
      <c r="J315" s="238">
        <v>0</v>
      </c>
      <c r="K315" s="342">
        <v>46234</v>
      </c>
      <c r="L315" s="343" t="s">
        <v>707</v>
      </c>
      <c r="M315" s="344">
        <v>37.450000000000003</v>
      </c>
      <c r="N315" s="285"/>
      <c r="O315" s="279"/>
      <c r="P315" s="279"/>
      <c r="Q315" s="345">
        <f t="shared" si="36"/>
        <v>0</v>
      </c>
      <c r="R315" s="346">
        <f t="shared" si="37"/>
        <v>0</v>
      </c>
      <c r="S315" s="347">
        <f t="shared" si="38"/>
        <v>0</v>
      </c>
    </row>
    <row r="316" spans="1:19" ht="34.5" customHeight="1">
      <c r="A316" s="91">
        <v>48</v>
      </c>
      <c r="B316" s="298" t="s">
        <v>415</v>
      </c>
      <c r="C316" s="296" t="s">
        <v>708</v>
      </c>
      <c r="D316" s="341">
        <v>486.85</v>
      </c>
      <c r="E316" s="285"/>
      <c r="F316" s="279"/>
      <c r="G316" s="279"/>
      <c r="H316" s="223">
        <v>0</v>
      </c>
      <c r="I316" s="223">
        <v>0</v>
      </c>
      <c r="J316" s="238">
        <v>0</v>
      </c>
      <c r="K316" s="342">
        <v>46234</v>
      </c>
      <c r="L316" s="343" t="s">
        <v>709</v>
      </c>
      <c r="M316" s="344">
        <v>486.85</v>
      </c>
      <c r="N316" s="285"/>
      <c r="O316" s="279"/>
      <c r="P316" s="279"/>
      <c r="Q316" s="345">
        <f t="shared" si="36"/>
        <v>0</v>
      </c>
      <c r="R316" s="346">
        <f t="shared" si="37"/>
        <v>0</v>
      </c>
      <c r="S316" s="347">
        <f t="shared" si="38"/>
        <v>0</v>
      </c>
    </row>
    <row r="317" spans="1:19" ht="34.5" customHeight="1">
      <c r="A317" s="91">
        <v>49</v>
      </c>
      <c r="B317" s="298" t="s">
        <v>418</v>
      </c>
      <c r="C317" s="296" t="s">
        <v>710</v>
      </c>
      <c r="D317" s="341">
        <v>2696.4</v>
      </c>
      <c r="E317" s="285"/>
      <c r="F317" s="279"/>
      <c r="G317" s="279"/>
      <c r="H317" s="223">
        <v>0</v>
      </c>
      <c r="I317" s="223">
        <v>0</v>
      </c>
      <c r="J317" s="238">
        <v>0</v>
      </c>
      <c r="K317" s="342">
        <v>46227</v>
      </c>
      <c r="L317" s="343" t="s">
        <v>711</v>
      </c>
      <c r="M317" s="344">
        <v>2696.4</v>
      </c>
      <c r="N317" s="285"/>
      <c r="O317" s="279"/>
      <c r="P317" s="279"/>
      <c r="Q317" s="345">
        <f t="shared" si="36"/>
        <v>0</v>
      </c>
      <c r="R317" s="346">
        <f t="shared" si="37"/>
        <v>0</v>
      </c>
      <c r="S317" s="347">
        <f t="shared" si="38"/>
        <v>0</v>
      </c>
    </row>
    <row r="318" spans="1:19" ht="34.5" customHeight="1">
      <c r="A318" s="91">
        <v>50</v>
      </c>
      <c r="B318" s="298" t="s">
        <v>42</v>
      </c>
      <c r="C318" s="296" t="s">
        <v>712</v>
      </c>
      <c r="D318" s="341">
        <v>569.24</v>
      </c>
      <c r="E318" s="285"/>
      <c r="F318" s="279"/>
      <c r="G318" s="279"/>
      <c r="H318" s="223">
        <v>0</v>
      </c>
      <c r="I318" s="223">
        <v>0</v>
      </c>
      <c r="J318" s="238">
        <v>0</v>
      </c>
      <c r="K318" s="342">
        <v>46224</v>
      </c>
      <c r="L318" s="343" t="s">
        <v>713</v>
      </c>
      <c r="M318" s="344">
        <v>569.24</v>
      </c>
      <c r="N318" s="285"/>
      <c r="O318" s="279"/>
      <c r="P318" s="279"/>
      <c r="Q318" s="345">
        <f t="shared" si="36"/>
        <v>0</v>
      </c>
      <c r="R318" s="346">
        <f t="shared" si="37"/>
        <v>0</v>
      </c>
      <c r="S318" s="347">
        <f t="shared" si="38"/>
        <v>0</v>
      </c>
    </row>
    <row r="319" spans="1:19" ht="34.5" customHeight="1">
      <c r="A319" s="91">
        <v>51</v>
      </c>
      <c r="B319" s="298" t="s">
        <v>425</v>
      </c>
      <c r="C319" s="296" t="s">
        <v>714</v>
      </c>
      <c r="D319" s="341">
        <v>1071.07</v>
      </c>
      <c r="E319" s="285"/>
      <c r="F319" s="279"/>
      <c r="G319" s="279"/>
      <c r="H319" s="223">
        <v>0</v>
      </c>
      <c r="I319" s="223">
        <v>0</v>
      </c>
      <c r="J319" s="238">
        <v>0</v>
      </c>
      <c r="K319" s="342">
        <v>46231</v>
      </c>
      <c r="L319" s="343" t="s">
        <v>715</v>
      </c>
      <c r="M319" s="344">
        <v>1071.07</v>
      </c>
      <c r="N319" s="285"/>
      <c r="O319" s="279"/>
      <c r="P319" s="279"/>
      <c r="Q319" s="345">
        <f t="shared" si="36"/>
        <v>0</v>
      </c>
      <c r="R319" s="346">
        <f t="shared" si="37"/>
        <v>0</v>
      </c>
      <c r="S319" s="347">
        <f t="shared" si="38"/>
        <v>0</v>
      </c>
    </row>
    <row r="320" spans="1:19" ht="34.5" customHeight="1">
      <c r="A320" s="91">
        <v>52</v>
      </c>
      <c r="B320" s="298" t="s">
        <v>428</v>
      </c>
      <c r="C320" s="296" t="s">
        <v>716</v>
      </c>
      <c r="D320" s="341">
        <v>1655.29</v>
      </c>
      <c r="E320" s="285">
        <v>25355</v>
      </c>
      <c r="F320" s="279">
        <v>1</v>
      </c>
      <c r="G320" s="279">
        <v>1</v>
      </c>
      <c r="H320" s="223">
        <v>1883</v>
      </c>
      <c r="I320" s="223">
        <v>131.81</v>
      </c>
      <c r="J320" s="238">
        <v>2014.81</v>
      </c>
      <c r="K320" s="342" t="s">
        <v>152</v>
      </c>
      <c r="L320" s="343" t="s">
        <v>717</v>
      </c>
      <c r="M320" s="344">
        <v>3670.1</v>
      </c>
      <c r="N320" s="285"/>
      <c r="O320" s="279"/>
      <c r="P320" s="279"/>
      <c r="Q320" s="345">
        <f t="shared" si="36"/>
        <v>0</v>
      </c>
      <c r="R320" s="346">
        <f t="shared" si="37"/>
        <v>0</v>
      </c>
      <c r="S320" s="347">
        <f t="shared" si="38"/>
        <v>0</v>
      </c>
    </row>
    <row r="321" spans="1:20" ht="34.5" customHeight="1">
      <c r="A321" s="91">
        <v>53</v>
      </c>
      <c r="B321" s="298" t="s">
        <v>431</v>
      </c>
      <c r="C321" s="296" t="s">
        <v>718</v>
      </c>
      <c r="D321" s="341">
        <v>82.39</v>
      </c>
      <c r="E321" s="285"/>
      <c r="F321" s="279"/>
      <c r="G321" s="279"/>
      <c r="H321" s="223">
        <v>0</v>
      </c>
      <c r="I321" s="223">
        <v>0</v>
      </c>
      <c r="J321" s="238">
        <v>0</v>
      </c>
      <c r="K321" s="342">
        <v>46231</v>
      </c>
      <c r="L321" s="343" t="s">
        <v>719</v>
      </c>
      <c r="M321" s="344">
        <v>82.39</v>
      </c>
      <c r="N321" s="285"/>
      <c r="O321" s="279"/>
      <c r="P321" s="279"/>
      <c r="Q321" s="345">
        <f t="shared" si="36"/>
        <v>0</v>
      </c>
      <c r="R321" s="346">
        <f t="shared" si="37"/>
        <v>0</v>
      </c>
      <c r="S321" s="347">
        <f t="shared" si="38"/>
        <v>0</v>
      </c>
    </row>
    <row r="322" spans="1:20" ht="34.5" customHeight="1">
      <c r="A322" s="91">
        <v>54</v>
      </c>
      <c r="B322" s="298" t="s">
        <v>720</v>
      </c>
      <c r="C322" s="296" t="s">
        <v>721</v>
      </c>
      <c r="D322" s="341">
        <v>651.63</v>
      </c>
      <c r="E322" s="285"/>
      <c r="F322" s="279"/>
      <c r="G322" s="279"/>
      <c r="H322" s="223">
        <v>0</v>
      </c>
      <c r="I322" s="223">
        <v>0</v>
      </c>
      <c r="J322" s="238">
        <v>0</v>
      </c>
      <c r="K322" s="342"/>
      <c r="L322" s="343"/>
      <c r="M322" s="344">
        <v>0</v>
      </c>
      <c r="N322" s="285" t="s">
        <v>41</v>
      </c>
      <c r="O322" s="279">
        <v>1</v>
      </c>
      <c r="P322" s="279">
        <v>1</v>
      </c>
      <c r="Q322" s="345">
        <f t="shared" si="36"/>
        <v>609</v>
      </c>
      <c r="R322" s="346">
        <f t="shared" si="37"/>
        <v>42.63</v>
      </c>
      <c r="S322" s="347">
        <f t="shared" si="38"/>
        <v>651.63</v>
      </c>
    </row>
    <row r="323" spans="1:20" ht="34.5" customHeight="1">
      <c r="A323" s="91">
        <v>55</v>
      </c>
      <c r="B323" s="298" t="s">
        <v>436</v>
      </c>
      <c r="C323" s="296" t="s">
        <v>722</v>
      </c>
      <c r="D323" s="341">
        <v>531.79</v>
      </c>
      <c r="E323" s="285"/>
      <c r="F323" s="279"/>
      <c r="G323" s="279"/>
      <c r="H323" s="223">
        <v>0</v>
      </c>
      <c r="I323" s="223">
        <v>0</v>
      </c>
      <c r="J323" s="238">
        <v>0</v>
      </c>
      <c r="K323" s="342">
        <v>46225</v>
      </c>
      <c r="L323" s="343" t="s">
        <v>723</v>
      </c>
      <c r="M323" s="344">
        <v>531.79</v>
      </c>
      <c r="N323" s="285"/>
      <c r="O323" s="279"/>
      <c r="P323" s="279"/>
      <c r="Q323" s="345">
        <f t="shared" si="36"/>
        <v>0</v>
      </c>
      <c r="R323" s="346">
        <f t="shared" si="37"/>
        <v>0</v>
      </c>
      <c r="S323" s="347">
        <f t="shared" si="38"/>
        <v>0</v>
      </c>
    </row>
    <row r="324" spans="1:20" ht="34.5" customHeight="1">
      <c r="A324" s="91">
        <v>56</v>
      </c>
      <c r="B324" s="298" t="s">
        <v>436</v>
      </c>
      <c r="C324" s="296" t="s">
        <v>724</v>
      </c>
      <c r="D324" s="341">
        <v>363.8</v>
      </c>
      <c r="E324" s="285"/>
      <c r="F324" s="279"/>
      <c r="G324" s="279"/>
      <c r="H324" s="223">
        <v>0</v>
      </c>
      <c r="I324" s="223">
        <v>0</v>
      </c>
      <c r="J324" s="238">
        <v>0</v>
      </c>
      <c r="K324" s="342">
        <v>46225</v>
      </c>
      <c r="L324" s="343" t="s">
        <v>725</v>
      </c>
      <c r="M324" s="344">
        <v>363.8</v>
      </c>
      <c r="N324" s="285"/>
      <c r="O324" s="279"/>
      <c r="P324" s="279"/>
      <c r="Q324" s="345">
        <f t="shared" si="36"/>
        <v>0</v>
      </c>
      <c r="R324" s="346">
        <f t="shared" si="37"/>
        <v>0</v>
      </c>
      <c r="S324" s="347">
        <f t="shared" si="38"/>
        <v>0</v>
      </c>
    </row>
    <row r="325" spans="1:20" ht="34.5" customHeight="1">
      <c r="A325" s="91">
        <v>57</v>
      </c>
      <c r="B325" s="298" t="s">
        <v>439</v>
      </c>
      <c r="C325" s="296" t="s">
        <v>726</v>
      </c>
      <c r="D325" s="341">
        <v>74.900000000000006</v>
      </c>
      <c r="E325" s="285"/>
      <c r="F325" s="279"/>
      <c r="G325" s="279"/>
      <c r="H325" s="223">
        <v>0</v>
      </c>
      <c r="I325" s="223">
        <v>0</v>
      </c>
      <c r="J325" s="238">
        <v>0</v>
      </c>
      <c r="K325" s="342">
        <v>46226</v>
      </c>
      <c r="L325" s="343" t="s">
        <v>727</v>
      </c>
      <c r="M325" s="344">
        <v>74.900000000000006</v>
      </c>
      <c r="N325" s="285"/>
      <c r="O325" s="279"/>
      <c r="P325" s="279"/>
      <c r="Q325" s="345">
        <f t="shared" si="36"/>
        <v>0</v>
      </c>
      <c r="R325" s="346">
        <f t="shared" si="37"/>
        <v>0</v>
      </c>
      <c r="S325" s="347">
        <f t="shared" si="38"/>
        <v>0</v>
      </c>
    </row>
    <row r="326" spans="1:20" ht="34.5" customHeight="1">
      <c r="A326" s="91">
        <v>58</v>
      </c>
      <c r="B326" s="298" t="s">
        <v>442</v>
      </c>
      <c r="C326" s="296" t="s">
        <v>728</v>
      </c>
      <c r="D326" s="341">
        <v>636.65</v>
      </c>
      <c r="E326" s="285"/>
      <c r="F326" s="279"/>
      <c r="G326" s="279"/>
      <c r="H326" s="223">
        <v>0</v>
      </c>
      <c r="I326" s="223">
        <v>0</v>
      </c>
      <c r="J326" s="238">
        <v>0</v>
      </c>
      <c r="K326" s="342">
        <v>46234</v>
      </c>
      <c r="L326" s="343" t="s">
        <v>729</v>
      </c>
      <c r="M326" s="344">
        <v>636.65</v>
      </c>
      <c r="N326" s="285"/>
      <c r="O326" s="279"/>
      <c r="P326" s="279"/>
      <c r="Q326" s="345">
        <v>0</v>
      </c>
      <c r="R326" s="346">
        <v>0</v>
      </c>
      <c r="S326" s="347">
        <v>0</v>
      </c>
    </row>
    <row r="327" spans="1:20" ht="34.5" customHeight="1">
      <c r="A327" s="91">
        <v>59</v>
      </c>
      <c r="B327" s="298" t="s">
        <v>442</v>
      </c>
      <c r="C327" s="296" t="s">
        <v>728</v>
      </c>
      <c r="D327" s="341">
        <v>202.23</v>
      </c>
      <c r="E327" s="285"/>
      <c r="F327" s="279"/>
      <c r="G327" s="279"/>
      <c r="H327" s="223">
        <v>0</v>
      </c>
      <c r="I327" s="223">
        <v>0</v>
      </c>
      <c r="J327" s="238">
        <v>0</v>
      </c>
      <c r="K327" s="342">
        <v>46234</v>
      </c>
      <c r="L327" s="343" t="s">
        <v>729</v>
      </c>
      <c r="M327" s="361">
        <v>202.23</v>
      </c>
      <c r="N327" s="285"/>
      <c r="O327" s="279"/>
      <c r="P327" s="279"/>
      <c r="Q327" s="345">
        <f t="shared" ref="Q327:Q392" si="39">ROUND(S327*100/107,2)</f>
        <v>0</v>
      </c>
      <c r="R327" s="346">
        <f t="shared" ref="R327:R392" si="40">ROUND((Q327*0.07),2)</f>
        <v>0</v>
      </c>
      <c r="S327" s="347">
        <f t="shared" ref="S327:S362" si="41">+D327+J327-M327</f>
        <v>0</v>
      </c>
    </row>
    <row r="328" spans="1:20" ht="34.5" customHeight="1">
      <c r="A328" s="91">
        <v>60</v>
      </c>
      <c r="B328" s="298" t="s">
        <v>442</v>
      </c>
      <c r="C328" s="296" t="s">
        <v>728</v>
      </c>
      <c r="D328" s="341">
        <v>37.450000000000003</v>
      </c>
      <c r="E328" s="285"/>
      <c r="F328" s="279"/>
      <c r="G328" s="279"/>
      <c r="H328" s="223">
        <v>0</v>
      </c>
      <c r="I328" s="223">
        <v>0</v>
      </c>
      <c r="J328" s="238">
        <v>0</v>
      </c>
      <c r="K328" s="342">
        <v>46234</v>
      </c>
      <c r="L328" s="343" t="s">
        <v>729</v>
      </c>
      <c r="M328" s="361">
        <v>37.450000000000003</v>
      </c>
      <c r="N328" s="285"/>
      <c r="O328" s="279"/>
      <c r="P328" s="279"/>
      <c r="Q328" s="345">
        <f t="shared" si="39"/>
        <v>0</v>
      </c>
      <c r="R328" s="346">
        <f t="shared" si="40"/>
        <v>0</v>
      </c>
      <c r="S328" s="347">
        <f t="shared" si="41"/>
        <v>0</v>
      </c>
    </row>
    <row r="329" spans="1:20" ht="34.5" customHeight="1">
      <c r="A329" s="91">
        <v>61</v>
      </c>
      <c r="B329" s="298" t="s">
        <v>442</v>
      </c>
      <c r="C329" s="296" t="s">
        <v>728</v>
      </c>
      <c r="D329" s="341">
        <v>37.450000000000003</v>
      </c>
      <c r="E329" s="285"/>
      <c r="F329" s="279"/>
      <c r="G329" s="279"/>
      <c r="H329" s="223">
        <v>0</v>
      </c>
      <c r="I329" s="223">
        <v>0</v>
      </c>
      <c r="J329" s="238">
        <v>0</v>
      </c>
      <c r="K329" s="342">
        <v>46234</v>
      </c>
      <c r="L329" s="343" t="s">
        <v>729</v>
      </c>
      <c r="M329" s="361">
        <v>37.450000000000003</v>
      </c>
      <c r="N329" s="285"/>
      <c r="O329" s="279"/>
      <c r="P329" s="279"/>
      <c r="Q329" s="345">
        <f t="shared" si="39"/>
        <v>0</v>
      </c>
      <c r="R329" s="346">
        <f t="shared" si="40"/>
        <v>0</v>
      </c>
      <c r="S329" s="347">
        <f t="shared" si="41"/>
        <v>0</v>
      </c>
    </row>
    <row r="330" spans="1:20" ht="34.5" customHeight="1">
      <c r="A330" s="91">
        <v>62</v>
      </c>
      <c r="B330" s="298" t="s">
        <v>730</v>
      </c>
      <c r="C330" s="296" t="s">
        <v>731</v>
      </c>
      <c r="D330" s="341">
        <v>6546.26</v>
      </c>
      <c r="E330" s="285">
        <v>25355</v>
      </c>
      <c r="F330" s="299">
        <v>1</v>
      </c>
      <c r="G330" s="299">
        <v>1</v>
      </c>
      <c r="H330" s="223">
        <v>7413</v>
      </c>
      <c r="I330" s="223">
        <v>518.91</v>
      </c>
      <c r="J330" s="238">
        <v>7931.91</v>
      </c>
      <c r="K330" s="342" t="s">
        <v>448</v>
      </c>
      <c r="L330" s="343" t="s">
        <v>732</v>
      </c>
      <c r="M330" s="361">
        <v>14478.17</v>
      </c>
      <c r="N330" s="285"/>
      <c r="O330" s="299"/>
      <c r="P330" s="299"/>
      <c r="Q330" s="345">
        <f t="shared" si="39"/>
        <v>0</v>
      </c>
      <c r="R330" s="346">
        <f t="shared" si="40"/>
        <v>0</v>
      </c>
      <c r="S330" s="347">
        <f t="shared" si="41"/>
        <v>0</v>
      </c>
      <c r="T330" s="2" t="s">
        <v>733</v>
      </c>
    </row>
    <row r="331" spans="1:20" ht="34.5" customHeight="1">
      <c r="A331" s="91">
        <v>63</v>
      </c>
      <c r="B331" s="298" t="s">
        <v>730</v>
      </c>
      <c r="C331" s="296" t="s">
        <v>731</v>
      </c>
      <c r="D331" s="341">
        <v>1018.64</v>
      </c>
      <c r="E331" s="285">
        <v>25355</v>
      </c>
      <c r="F331" s="279">
        <v>1</v>
      </c>
      <c r="G331" s="279">
        <v>1</v>
      </c>
      <c r="H331" s="223">
        <v>966</v>
      </c>
      <c r="I331" s="223">
        <v>67.62</v>
      </c>
      <c r="J331" s="238">
        <v>1033.6199999999999</v>
      </c>
      <c r="K331" s="342" t="s">
        <v>448</v>
      </c>
      <c r="L331" s="343" t="s">
        <v>732</v>
      </c>
      <c r="M331" s="361">
        <v>2052.2599999999998</v>
      </c>
      <c r="N331" s="285"/>
      <c r="O331" s="279"/>
      <c r="P331" s="279"/>
      <c r="Q331" s="345">
        <f t="shared" si="39"/>
        <v>0</v>
      </c>
      <c r="R331" s="346">
        <f t="shared" si="40"/>
        <v>0</v>
      </c>
      <c r="S331" s="347">
        <f t="shared" si="41"/>
        <v>0</v>
      </c>
      <c r="T331" s="2" t="s">
        <v>734</v>
      </c>
    </row>
    <row r="332" spans="1:20" ht="34.5" customHeight="1">
      <c r="A332" s="91">
        <v>64</v>
      </c>
      <c r="B332" s="298" t="s">
        <v>730</v>
      </c>
      <c r="C332" s="296" t="s">
        <v>731</v>
      </c>
      <c r="D332" s="341">
        <v>3777.1</v>
      </c>
      <c r="E332" s="285">
        <v>25355</v>
      </c>
      <c r="F332" s="279">
        <v>1</v>
      </c>
      <c r="G332" s="279">
        <v>1</v>
      </c>
      <c r="H332" s="223">
        <v>1430</v>
      </c>
      <c r="I332" s="223">
        <v>100.1</v>
      </c>
      <c r="J332" s="238">
        <v>1530.1</v>
      </c>
      <c r="K332" s="342" t="s">
        <v>448</v>
      </c>
      <c r="L332" s="343" t="s">
        <v>732</v>
      </c>
      <c r="M332" s="361">
        <v>5307.2</v>
      </c>
      <c r="N332" s="285"/>
      <c r="O332" s="279"/>
      <c r="P332" s="279"/>
      <c r="Q332" s="345">
        <f t="shared" si="39"/>
        <v>0</v>
      </c>
      <c r="R332" s="346">
        <f t="shared" si="40"/>
        <v>0</v>
      </c>
      <c r="S332" s="347">
        <f t="shared" si="41"/>
        <v>0</v>
      </c>
      <c r="T332" s="2" t="s">
        <v>735</v>
      </c>
    </row>
    <row r="333" spans="1:20" ht="34.5" customHeight="1">
      <c r="A333" s="91">
        <v>65</v>
      </c>
      <c r="B333" s="298" t="s">
        <v>736</v>
      </c>
      <c r="C333" s="296" t="s">
        <v>737</v>
      </c>
      <c r="D333" s="341">
        <v>711.55</v>
      </c>
      <c r="E333" s="285"/>
      <c r="F333" s="279"/>
      <c r="G333" s="279"/>
      <c r="H333" s="223">
        <v>0</v>
      </c>
      <c r="I333" s="223">
        <v>0</v>
      </c>
      <c r="J333" s="238">
        <v>0</v>
      </c>
      <c r="K333" s="342">
        <v>46223</v>
      </c>
      <c r="L333" s="343" t="s">
        <v>738</v>
      </c>
      <c r="M333" s="361">
        <v>711.55</v>
      </c>
      <c r="N333" s="285"/>
      <c r="O333" s="279"/>
      <c r="P333" s="279"/>
      <c r="Q333" s="345">
        <f t="shared" si="39"/>
        <v>0</v>
      </c>
      <c r="R333" s="346">
        <f t="shared" si="40"/>
        <v>0</v>
      </c>
      <c r="S333" s="347">
        <f t="shared" si="41"/>
        <v>0</v>
      </c>
    </row>
    <row r="334" spans="1:20" ht="34.5" customHeight="1">
      <c r="A334" s="91">
        <v>66</v>
      </c>
      <c r="B334" s="298" t="s">
        <v>453</v>
      </c>
      <c r="C334" s="296" t="s">
        <v>739</v>
      </c>
      <c r="D334" s="341">
        <v>37.450000000000003</v>
      </c>
      <c r="E334" s="289"/>
      <c r="F334" s="279"/>
      <c r="G334" s="279"/>
      <c r="H334" s="223">
        <v>0</v>
      </c>
      <c r="I334" s="223">
        <v>0</v>
      </c>
      <c r="J334" s="238">
        <v>0</v>
      </c>
      <c r="K334" s="342">
        <v>46227</v>
      </c>
      <c r="L334" s="343" t="s">
        <v>740</v>
      </c>
      <c r="M334" s="344">
        <v>37.450000000000003</v>
      </c>
      <c r="N334" s="289"/>
      <c r="O334" s="279"/>
      <c r="P334" s="279"/>
      <c r="Q334" s="345">
        <f t="shared" si="39"/>
        <v>0</v>
      </c>
      <c r="R334" s="346">
        <f t="shared" si="40"/>
        <v>0</v>
      </c>
      <c r="S334" s="347">
        <f t="shared" si="41"/>
        <v>0</v>
      </c>
    </row>
    <row r="335" spans="1:20" ht="34.5" customHeight="1">
      <c r="A335" s="91">
        <v>67</v>
      </c>
      <c r="B335" s="298" t="s">
        <v>453</v>
      </c>
      <c r="C335" s="296" t="s">
        <v>739</v>
      </c>
      <c r="D335" s="341">
        <v>37.450000000000003</v>
      </c>
      <c r="E335" s="285"/>
      <c r="F335" s="279"/>
      <c r="G335" s="279"/>
      <c r="H335" s="223">
        <v>0</v>
      </c>
      <c r="I335" s="223">
        <v>0</v>
      </c>
      <c r="J335" s="238">
        <v>0</v>
      </c>
      <c r="K335" s="342">
        <v>46227</v>
      </c>
      <c r="L335" s="343" t="s">
        <v>740</v>
      </c>
      <c r="M335" s="344">
        <v>37.450000000000003</v>
      </c>
      <c r="N335" s="285"/>
      <c r="O335" s="279"/>
      <c r="P335" s="279"/>
      <c r="Q335" s="345">
        <f t="shared" si="39"/>
        <v>0</v>
      </c>
      <c r="R335" s="346">
        <f t="shared" si="40"/>
        <v>0</v>
      </c>
      <c r="S335" s="347">
        <f t="shared" si="41"/>
        <v>0</v>
      </c>
    </row>
    <row r="336" spans="1:20" ht="34.5" customHeight="1">
      <c r="A336" s="91">
        <v>68</v>
      </c>
      <c r="B336" s="298" t="s">
        <v>453</v>
      </c>
      <c r="C336" s="296" t="s">
        <v>739</v>
      </c>
      <c r="D336" s="341">
        <v>37.450000000000003</v>
      </c>
      <c r="E336" s="285"/>
      <c r="F336" s="279"/>
      <c r="G336" s="279"/>
      <c r="H336" s="223">
        <v>0</v>
      </c>
      <c r="I336" s="223">
        <v>0</v>
      </c>
      <c r="J336" s="238">
        <v>0</v>
      </c>
      <c r="K336" s="342">
        <v>46227</v>
      </c>
      <c r="L336" s="343" t="s">
        <v>740</v>
      </c>
      <c r="M336" s="344">
        <v>37.450000000000003</v>
      </c>
      <c r="N336" s="285"/>
      <c r="O336" s="279"/>
      <c r="P336" s="279"/>
      <c r="Q336" s="345">
        <f t="shared" si="39"/>
        <v>0</v>
      </c>
      <c r="R336" s="346">
        <f t="shared" si="40"/>
        <v>0</v>
      </c>
      <c r="S336" s="347">
        <f t="shared" si="41"/>
        <v>0</v>
      </c>
    </row>
    <row r="337" spans="1:19" ht="34.5" customHeight="1">
      <c r="A337" s="91">
        <v>69</v>
      </c>
      <c r="B337" s="298" t="s">
        <v>456</v>
      </c>
      <c r="C337" s="296" t="s">
        <v>741</v>
      </c>
      <c r="D337" s="341">
        <v>142.31</v>
      </c>
      <c r="E337" s="285"/>
      <c r="F337" s="279"/>
      <c r="G337" s="279"/>
      <c r="H337" s="223">
        <v>0</v>
      </c>
      <c r="I337" s="223">
        <v>0</v>
      </c>
      <c r="J337" s="238">
        <v>0</v>
      </c>
      <c r="K337" s="342">
        <v>46223</v>
      </c>
      <c r="L337" s="343" t="s">
        <v>742</v>
      </c>
      <c r="M337" s="344">
        <v>142.31</v>
      </c>
      <c r="N337" s="285"/>
      <c r="O337" s="279"/>
      <c r="P337" s="279"/>
      <c r="Q337" s="345">
        <f t="shared" si="39"/>
        <v>0</v>
      </c>
      <c r="R337" s="346">
        <f t="shared" si="40"/>
        <v>0</v>
      </c>
      <c r="S337" s="347">
        <f t="shared" si="41"/>
        <v>0</v>
      </c>
    </row>
    <row r="338" spans="1:19" ht="34.5" customHeight="1">
      <c r="A338" s="91">
        <v>70</v>
      </c>
      <c r="B338" s="298" t="s">
        <v>459</v>
      </c>
      <c r="C338" s="296" t="s">
        <v>743</v>
      </c>
      <c r="D338" s="341">
        <v>464.38</v>
      </c>
      <c r="E338" s="285"/>
      <c r="F338" s="279"/>
      <c r="G338" s="279"/>
      <c r="H338" s="223">
        <v>0</v>
      </c>
      <c r="I338" s="223">
        <v>0</v>
      </c>
      <c r="J338" s="238">
        <v>0</v>
      </c>
      <c r="K338" s="342">
        <v>46230</v>
      </c>
      <c r="L338" s="343" t="s">
        <v>744</v>
      </c>
      <c r="M338" s="344">
        <v>464.38</v>
      </c>
      <c r="N338" s="285"/>
      <c r="O338" s="279"/>
      <c r="P338" s="279"/>
      <c r="Q338" s="345">
        <f t="shared" si="39"/>
        <v>0</v>
      </c>
      <c r="R338" s="346">
        <f t="shared" si="40"/>
        <v>0</v>
      </c>
      <c r="S338" s="347">
        <f t="shared" si="41"/>
        <v>0</v>
      </c>
    </row>
    <row r="339" spans="1:19" ht="34.5" customHeight="1">
      <c r="A339" s="91">
        <v>71</v>
      </c>
      <c r="B339" s="298" t="s">
        <v>97</v>
      </c>
      <c r="C339" s="296" t="s">
        <v>745</v>
      </c>
      <c r="D339" s="341">
        <v>8778.2800000000007</v>
      </c>
      <c r="E339" s="285"/>
      <c r="F339" s="279"/>
      <c r="G339" s="279"/>
      <c r="H339" s="223">
        <v>0</v>
      </c>
      <c r="I339" s="223">
        <v>0</v>
      </c>
      <c r="J339" s="238">
        <v>0</v>
      </c>
      <c r="K339" s="342">
        <v>46234</v>
      </c>
      <c r="L339" s="343" t="s">
        <v>746</v>
      </c>
      <c r="M339" s="344">
        <v>8778.2800000000007</v>
      </c>
      <c r="N339" s="285"/>
      <c r="O339" s="279"/>
      <c r="P339" s="279"/>
      <c r="Q339" s="345">
        <f t="shared" si="39"/>
        <v>0</v>
      </c>
      <c r="R339" s="346">
        <f t="shared" si="40"/>
        <v>0</v>
      </c>
      <c r="S339" s="347">
        <f t="shared" si="41"/>
        <v>0</v>
      </c>
    </row>
    <row r="340" spans="1:19" ht="34.5" customHeight="1">
      <c r="A340" s="91">
        <v>72</v>
      </c>
      <c r="B340" s="298" t="s">
        <v>747</v>
      </c>
      <c r="C340" s="296" t="s">
        <v>748</v>
      </c>
      <c r="D340" s="341">
        <v>53.5</v>
      </c>
      <c r="E340" s="285"/>
      <c r="F340" s="279"/>
      <c r="G340" s="279"/>
      <c r="H340" s="223">
        <v>0</v>
      </c>
      <c r="I340" s="223">
        <v>0</v>
      </c>
      <c r="J340" s="238">
        <v>0</v>
      </c>
      <c r="K340" s="342">
        <v>46234</v>
      </c>
      <c r="L340" s="343" t="s">
        <v>749</v>
      </c>
      <c r="M340" s="344">
        <v>53.5</v>
      </c>
      <c r="N340" s="285"/>
      <c r="O340" s="279"/>
      <c r="P340" s="279"/>
      <c r="Q340" s="345">
        <f t="shared" si="39"/>
        <v>0</v>
      </c>
      <c r="R340" s="346">
        <f t="shared" si="40"/>
        <v>0</v>
      </c>
      <c r="S340" s="347">
        <f t="shared" si="41"/>
        <v>0</v>
      </c>
    </row>
    <row r="341" spans="1:19" ht="34.5" customHeight="1">
      <c r="A341" s="91">
        <v>73</v>
      </c>
      <c r="B341" s="298" t="s">
        <v>456</v>
      </c>
      <c r="C341" s="127" t="s">
        <v>750</v>
      </c>
      <c r="D341" s="341">
        <v>37.450000000000003</v>
      </c>
      <c r="E341" s="285"/>
      <c r="F341" s="279"/>
      <c r="G341" s="279"/>
      <c r="H341" s="223">
        <v>0</v>
      </c>
      <c r="I341" s="223">
        <v>0</v>
      </c>
      <c r="J341" s="238">
        <v>0</v>
      </c>
      <c r="K341" s="342">
        <v>46223</v>
      </c>
      <c r="L341" s="343" t="s">
        <v>751</v>
      </c>
      <c r="M341" s="344">
        <v>37.450000000000003</v>
      </c>
      <c r="N341" s="285"/>
      <c r="O341" s="279"/>
      <c r="P341" s="279"/>
      <c r="Q341" s="345">
        <f t="shared" si="39"/>
        <v>0</v>
      </c>
      <c r="R341" s="346">
        <f t="shared" si="40"/>
        <v>0</v>
      </c>
      <c r="S341" s="347">
        <f t="shared" si="41"/>
        <v>0</v>
      </c>
    </row>
    <row r="342" spans="1:19" ht="34.5" customHeight="1">
      <c r="A342" s="91">
        <v>74</v>
      </c>
      <c r="B342" s="298" t="s">
        <v>469</v>
      </c>
      <c r="C342" s="127" t="s">
        <v>752</v>
      </c>
      <c r="D342" s="341">
        <v>37.450000000000003</v>
      </c>
      <c r="E342" s="285"/>
      <c r="F342" s="279"/>
      <c r="G342" s="279"/>
      <c r="H342" s="223">
        <v>0</v>
      </c>
      <c r="I342" s="223">
        <v>0</v>
      </c>
      <c r="J342" s="238">
        <v>0</v>
      </c>
      <c r="K342" s="342">
        <v>46234</v>
      </c>
      <c r="L342" s="343" t="s">
        <v>753</v>
      </c>
      <c r="M342" s="344">
        <v>37.450000000000003</v>
      </c>
      <c r="N342" s="285"/>
      <c r="O342" s="279"/>
      <c r="P342" s="279"/>
      <c r="Q342" s="345">
        <f t="shared" si="39"/>
        <v>0</v>
      </c>
      <c r="R342" s="346">
        <f t="shared" si="40"/>
        <v>0</v>
      </c>
      <c r="S342" s="347">
        <f t="shared" si="41"/>
        <v>0</v>
      </c>
    </row>
    <row r="343" spans="1:19" ht="34.5" customHeight="1">
      <c r="A343" s="91">
        <v>75</v>
      </c>
      <c r="B343" s="298" t="s">
        <v>472</v>
      </c>
      <c r="C343" s="127" t="s">
        <v>754</v>
      </c>
      <c r="D343" s="341">
        <v>486.85</v>
      </c>
      <c r="E343" s="285"/>
      <c r="F343" s="279"/>
      <c r="G343" s="279"/>
      <c r="H343" s="223">
        <v>0</v>
      </c>
      <c r="I343" s="223">
        <v>0</v>
      </c>
      <c r="J343" s="238">
        <v>0</v>
      </c>
      <c r="K343" s="342"/>
      <c r="L343" s="343"/>
      <c r="M343" s="344">
        <v>0</v>
      </c>
      <c r="N343" s="285" t="s">
        <v>41</v>
      </c>
      <c r="O343" s="279">
        <v>1</v>
      </c>
      <c r="P343" s="279">
        <v>1</v>
      </c>
      <c r="Q343" s="345">
        <f t="shared" si="39"/>
        <v>455</v>
      </c>
      <c r="R343" s="346">
        <f t="shared" si="40"/>
        <v>31.85</v>
      </c>
      <c r="S343" s="347">
        <f t="shared" si="41"/>
        <v>486.85</v>
      </c>
    </row>
    <row r="344" spans="1:19" ht="34.5" customHeight="1">
      <c r="A344" s="91">
        <v>76</v>
      </c>
      <c r="B344" s="298" t="s">
        <v>755</v>
      </c>
      <c r="C344" s="127" t="s">
        <v>756</v>
      </c>
      <c r="D344" s="362">
        <v>277.13</v>
      </c>
      <c r="E344" s="285"/>
      <c r="F344" s="279"/>
      <c r="G344" s="279"/>
      <c r="H344" s="223">
        <v>0</v>
      </c>
      <c r="I344" s="223">
        <v>0</v>
      </c>
      <c r="J344" s="238">
        <v>0</v>
      </c>
      <c r="K344" s="349">
        <v>46226</v>
      </c>
      <c r="L344" s="350" t="s">
        <v>757</v>
      </c>
      <c r="M344" s="351">
        <v>277.13</v>
      </c>
      <c r="N344" s="285"/>
      <c r="O344" s="279"/>
      <c r="P344" s="279"/>
      <c r="Q344" s="345">
        <f t="shared" si="39"/>
        <v>0</v>
      </c>
      <c r="R344" s="346">
        <f t="shared" si="40"/>
        <v>0</v>
      </c>
      <c r="S344" s="347">
        <f t="shared" si="41"/>
        <v>0</v>
      </c>
    </row>
    <row r="345" spans="1:19" ht="34.5" customHeight="1">
      <c r="A345" s="91">
        <v>77</v>
      </c>
      <c r="B345" s="298" t="s">
        <v>477</v>
      </c>
      <c r="C345" s="127" t="s">
        <v>758</v>
      </c>
      <c r="D345" s="348">
        <v>531.79</v>
      </c>
      <c r="E345" s="285"/>
      <c r="F345" s="279"/>
      <c r="G345" s="279"/>
      <c r="H345" s="223">
        <v>0</v>
      </c>
      <c r="I345" s="223">
        <v>0</v>
      </c>
      <c r="J345" s="238">
        <v>0</v>
      </c>
      <c r="K345" s="349">
        <v>46234</v>
      </c>
      <c r="L345" s="350" t="s">
        <v>759</v>
      </c>
      <c r="M345" s="351">
        <v>531.79</v>
      </c>
      <c r="N345" s="285"/>
      <c r="O345" s="279"/>
      <c r="P345" s="279"/>
      <c r="Q345" s="345">
        <f t="shared" si="39"/>
        <v>0</v>
      </c>
      <c r="R345" s="346">
        <f t="shared" si="40"/>
        <v>0</v>
      </c>
      <c r="S345" s="347">
        <f t="shared" si="41"/>
        <v>0</v>
      </c>
    </row>
    <row r="346" spans="1:19" ht="34.5" customHeight="1">
      <c r="A346" s="91">
        <v>78</v>
      </c>
      <c r="B346" s="298" t="s">
        <v>480</v>
      </c>
      <c r="C346" s="127" t="s">
        <v>760</v>
      </c>
      <c r="D346" s="341">
        <v>1393.14</v>
      </c>
      <c r="E346" s="285"/>
      <c r="F346" s="279"/>
      <c r="G346" s="279"/>
      <c r="H346" s="223">
        <v>0</v>
      </c>
      <c r="I346" s="223">
        <v>0</v>
      </c>
      <c r="J346" s="238">
        <v>0</v>
      </c>
      <c r="K346" s="342">
        <v>46223</v>
      </c>
      <c r="L346" s="343" t="s">
        <v>761</v>
      </c>
      <c r="M346" s="344">
        <v>1393.14</v>
      </c>
      <c r="N346" s="285"/>
      <c r="O346" s="279"/>
      <c r="P346" s="279"/>
      <c r="Q346" s="345">
        <f t="shared" si="39"/>
        <v>0</v>
      </c>
      <c r="R346" s="346">
        <f t="shared" si="40"/>
        <v>0</v>
      </c>
      <c r="S346" s="347">
        <f t="shared" si="41"/>
        <v>0</v>
      </c>
    </row>
    <row r="347" spans="1:19" ht="34.5" customHeight="1">
      <c r="A347" s="91">
        <v>79</v>
      </c>
      <c r="B347" s="298" t="s">
        <v>762</v>
      </c>
      <c r="C347" s="127" t="s">
        <v>763</v>
      </c>
      <c r="D347" s="341">
        <v>1190.9100000000001</v>
      </c>
      <c r="E347" s="285"/>
      <c r="F347" s="279"/>
      <c r="G347" s="279"/>
      <c r="H347" s="223">
        <v>0</v>
      </c>
      <c r="I347" s="223">
        <v>0</v>
      </c>
      <c r="J347" s="238">
        <v>0</v>
      </c>
      <c r="K347" s="342"/>
      <c r="L347" s="343"/>
      <c r="M347" s="344">
        <v>0</v>
      </c>
      <c r="N347" s="285" t="s">
        <v>41</v>
      </c>
      <c r="O347" s="279">
        <v>1</v>
      </c>
      <c r="P347" s="279">
        <v>1</v>
      </c>
      <c r="Q347" s="345">
        <f t="shared" si="39"/>
        <v>1113</v>
      </c>
      <c r="R347" s="346">
        <f t="shared" si="40"/>
        <v>77.91</v>
      </c>
      <c r="S347" s="347">
        <f t="shared" si="41"/>
        <v>1190.9100000000001</v>
      </c>
    </row>
    <row r="348" spans="1:19" ht="34.5" customHeight="1">
      <c r="A348" s="91">
        <v>80</v>
      </c>
      <c r="B348" s="298" t="s">
        <v>45</v>
      </c>
      <c r="C348" s="296" t="s">
        <v>764</v>
      </c>
      <c r="D348" s="341">
        <v>1026.1300000000001</v>
      </c>
      <c r="E348" s="285"/>
      <c r="F348" s="279"/>
      <c r="G348" s="279"/>
      <c r="H348" s="223">
        <v>0</v>
      </c>
      <c r="I348" s="223">
        <v>0</v>
      </c>
      <c r="J348" s="238">
        <v>0</v>
      </c>
      <c r="K348" s="342">
        <v>46223</v>
      </c>
      <c r="L348" s="343" t="s">
        <v>765</v>
      </c>
      <c r="M348" s="344">
        <v>1026.1300000000001</v>
      </c>
      <c r="N348" s="285"/>
      <c r="O348" s="279"/>
      <c r="P348" s="279"/>
      <c r="Q348" s="345">
        <f t="shared" si="39"/>
        <v>0</v>
      </c>
      <c r="R348" s="346">
        <f t="shared" si="40"/>
        <v>0</v>
      </c>
      <c r="S348" s="347">
        <f t="shared" si="41"/>
        <v>0</v>
      </c>
    </row>
    <row r="349" spans="1:19" ht="34.5" customHeight="1">
      <c r="A349" s="91">
        <v>81</v>
      </c>
      <c r="B349" s="298" t="s">
        <v>487</v>
      </c>
      <c r="C349" s="296" t="s">
        <v>766</v>
      </c>
      <c r="D349" s="341">
        <v>771.47</v>
      </c>
      <c r="E349" s="285"/>
      <c r="F349" s="279"/>
      <c r="G349" s="279"/>
      <c r="H349" s="223">
        <v>0</v>
      </c>
      <c r="I349" s="223">
        <v>0</v>
      </c>
      <c r="J349" s="238">
        <v>0</v>
      </c>
      <c r="K349" s="342">
        <v>46234</v>
      </c>
      <c r="L349" s="343" t="s">
        <v>767</v>
      </c>
      <c r="M349" s="344">
        <v>771.47</v>
      </c>
      <c r="N349" s="285"/>
      <c r="O349" s="279"/>
      <c r="P349" s="279"/>
      <c r="Q349" s="345">
        <f t="shared" si="39"/>
        <v>0</v>
      </c>
      <c r="R349" s="346">
        <f t="shared" si="40"/>
        <v>0</v>
      </c>
      <c r="S349" s="347">
        <f t="shared" si="41"/>
        <v>0</v>
      </c>
    </row>
    <row r="350" spans="1:19" ht="34.5" customHeight="1">
      <c r="A350" s="91">
        <v>82</v>
      </c>
      <c r="B350" s="298" t="s">
        <v>490</v>
      </c>
      <c r="C350" s="296" t="s">
        <v>768</v>
      </c>
      <c r="D350" s="341">
        <v>2643.97</v>
      </c>
      <c r="E350" s="289"/>
      <c r="F350" s="279"/>
      <c r="G350" s="279"/>
      <c r="H350" s="223">
        <v>0</v>
      </c>
      <c r="I350" s="223">
        <v>0</v>
      </c>
      <c r="J350" s="238">
        <v>0</v>
      </c>
      <c r="K350" s="342">
        <v>46234</v>
      </c>
      <c r="L350" s="343" t="s">
        <v>769</v>
      </c>
      <c r="M350" s="344">
        <v>2643.97</v>
      </c>
      <c r="N350" s="289"/>
      <c r="O350" s="279"/>
      <c r="P350" s="279"/>
      <c r="Q350" s="345">
        <f t="shared" si="39"/>
        <v>0</v>
      </c>
      <c r="R350" s="346">
        <f t="shared" si="40"/>
        <v>0</v>
      </c>
      <c r="S350" s="347">
        <f t="shared" si="41"/>
        <v>0</v>
      </c>
    </row>
    <row r="351" spans="1:19" ht="34.5" customHeight="1">
      <c r="A351" s="91">
        <v>83</v>
      </c>
      <c r="B351" s="298" t="s">
        <v>490</v>
      </c>
      <c r="C351" s="296" t="s">
        <v>770</v>
      </c>
      <c r="D351" s="341">
        <v>139.1</v>
      </c>
      <c r="E351" s="289"/>
      <c r="F351" s="279"/>
      <c r="G351" s="279"/>
      <c r="H351" s="223">
        <v>0</v>
      </c>
      <c r="I351" s="223">
        <v>0</v>
      </c>
      <c r="J351" s="238">
        <v>0</v>
      </c>
      <c r="K351" s="342">
        <v>46234</v>
      </c>
      <c r="L351" s="343" t="s">
        <v>769</v>
      </c>
      <c r="M351" s="344">
        <v>139.1</v>
      </c>
      <c r="N351" s="289"/>
      <c r="O351" s="279"/>
      <c r="P351" s="279"/>
      <c r="Q351" s="345">
        <f t="shared" si="39"/>
        <v>0</v>
      </c>
      <c r="R351" s="346">
        <f t="shared" si="40"/>
        <v>0</v>
      </c>
      <c r="S351" s="347">
        <f t="shared" si="41"/>
        <v>0</v>
      </c>
    </row>
    <row r="352" spans="1:19" ht="34.5" customHeight="1">
      <c r="A352" s="91">
        <v>84</v>
      </c>
      <c r="B352" s="298" t="s">
        <v>493</v>
      </c>
      <c r="C352" s="296" t="s">
        <v>771</v>
      </c>
      <c r="D352" s="341">
        <v>37.450000000000003</v>
      </c>
      <c r="E352" s="289"/>
      <c r="F352" s="279"/>
      <c r="G352" s="279"/>
      <c r="H352" s="223">
        <v>0</v>
      </c>
      <c r="I352" s="223">
        <v>0</v>
      </c>
      <c r="J352" s="238">
        <v>0</v>
      </c>
      <c r="K352" s="342">
        <v>46224</v>
      </c>
      <c r="L352" s="343" t="s">
        <v>772</v>
      </c>
      <c r="M352" s="344">
        <v>37.450000000000003</v>
      </c>
      <c r="N352" s="289"/>
      <c r="O352" s="279"/>
      <c r="P352" s="279"/>
      <c r="Q352" s="345">
        <f t="shared" si="39"/>
        <v>0</v>
      </c>
      <c r="R352" s="346">
        <f t="shared" si="40"/>
        <v>0</v>
      </c>
      <c r="S352" s="347">
        <f t="shared" si="41"/>
        <v>0</v>
      </c>
    </row>
    <row r="353" spans="1:19" ht="34.5" customHeight="1">
      <c r="A353" s="91">
        <v>85</v>
      </c>
      <c r="B353" s="298" t="s">
        <v>496</v>
      </c>
      <c r="C353" s="296" t="s">
        <v>773</v>
      </c>
      <c r="D353" s="341">
        <v>426.93</v>
      </c>
      <c r="E353" s="285"/>
      <c r="F353" s="279"/>
      <c r="G353" s="279"/>
      <c r="H353" s="223">
        <v>0</v>
      </c>
      <c r="I353" s="223">
        <v>0</v>
      </c>
      <c r="J353" s="238">
        <v>0</v>
      </c>
      <c r="K353" s="342">
        <v>46226</v>
      </c>
      <c r="L353" s="343" t="s">
        <v>774</v>
      </c>
      <c r="M353" s="344">
        <v>426.93</v>
      </c>
      <c r="N353" s="285"/>
      <c r="O353" s="279"/>
      <c r="P353" s="279"/>
      <c r="Q353" s="345">
        <f t="shared" si="39"/>
        <v>0</v>
      </c>
      <c r="R353" s="346">
        <f t="shared" si="40"/>
        <v>0</v>
      </c>
      <c r="S353" s="347">
        <f t="shared" si="41"/>
        <v>0</v>
      </c>
    </row>
    <row r="354" spans="1:19" ht="34.5" customHeight="1">
      <c r="A354" s="91">
        <v>86</v>
      </c>
      <c r="B354" s="298" t="s">
        <v>775</v>
      </c>
      <c r="C354" s="296" t="s">
        <v>776</v>
      </c>
      <c r="D354" s="341">
        <v>0</v>
      </c>
      <c r="E354" s="285"/>
      <c r="F354" s="279"/>
      <c r="G354" s="279"/>
      <c r="H354" s="223">
        <v>0</v>
      </c>
      <c r="I354" s="223">
        <v>0</v>
      </c>
      <c r="J354" s="238">
        <v>0</v>
      </c>
      <c r="K354" s="342"/>
      <c r="L354" s="343"/>
      <c r="M354" s="344"/>
      <c r="N354" s="285"/>
      <c r="O354" s="279"/>
      <c r="P354" s="279"/>
      <c r="Q354" s="345">
        <f t="shared" si="39"/>
        <v>0</v>
      </c>
      <c r="R354" s="346">
        <f t="shared" si="40"/>
        <v>0</v>
      </c>
      <c r="S354" s="347">
        <f t="shared" si="41"/>
        <v>0</v>
      </c>
    </row>
    <row r="355" spans="1:19" ht="34.5" customHeight="1">
      <c r="A355" s="91">
        <v>87</v>
      </c>
      <c r="B355" s="298" t="s">
        <v>501</v>
      </c>
      <c r="C355" s="296" t="s">
        <v>770</v>
      </c>
      <c r="D355" s="341">
        <v>9266.2000000000007</v>
      </c>
      <c r="E355" s="285"/>
      <c r="F355" s="279"/>
      <c r="G355" s="279"/>
      <c r="H355" s="223">
        <v>0</v>
      </c>
      <c r="I355" s="223">
        <v>0</v>
      </c>
      <c r="J355" s="238">
        <v>0</v>
      </c>
      <c r="K355" s="342">
        <v>46234</v>
      </c>
      <c r="L355" s="343" t="s">
        <v>777</v>
      </c>
      <c r="M355" s="344">
        <v>9266.2000000000007</v>
      </c>
      <c r="N355" s="285"/>
      <c r="O355" s="279"/>
      <c r="P355" s="279"/>
      <c r="Q355" s="345">
        <f t="shared" si="39"/>
        <v>0</v>
      </c>
      <c r="R355" s="346">
        <f t="shared" si="40"/>
        <v>0</v>
      </c>
      <c r="S355" s="347">
        <f t="shared" si="41"/>
        <v>0</v>
      </c>
    </row>
    <row r="356" spans="1:19" ht="34.5" customHeight="1">
      <c r="A356" s="91">
        <v>88</v>
      </c>
      <c r="B356" s="302" t="s">
        <v>501</v>
      </c>
      <c r="C356" s="296" t="s">
        <v>778</v>
      </c>
      <c r="D356" s="341">
        <v>3228.19</v>
      </c>
      <c r="E356" s="285"/>
      <c r="F356" s="279"/>
      <c r="G356" s="279"/>
      <c r="H356" s="223">
        <v>0</v>
      </c>
      <c r="I356" s="223">
        <v>0</v>
      </c>
      <c r="J356" s="238">
        <v>0</v>
      </c>
      <c r="K356" s="342">
        <v>46234</v>
      </c>
      <c r="L356" s="343" t="s">
        <v>777</v>
      </c>
      <c r="M356" s="344">
        <v>3228.19</v>
      </c>
      <c r="N356" s="285"/>
      <c r="O356" s="279"/>
      <c r="P356" s="279"/>
      <c r="Q356" s="345">
        <f t="shared" si="39"/>
        <v>0</v>
      </c>
      <c r="R356" s="346">
        <f t="shared" si="40"/>
        <v>0</v>
      </c>
      <c r="S356" s="347">
        <f t="shared" si="41"/>
        <v>0</v>
      </c>
    </row>
    <row r="357" spans="1:19" ht="34.5" customHeight="1">
      <c r="A357" s="91">
        <v>89</v>
      </c>
      <c r="B357" s="127" t="s">
        <v>504</v>
      </c>
      <c r="C357" s="296" t="s">
        <v>779</v>
      </c>
      <c r="D357" s="341">
        <v>1744.1</v>
      </c>
      <c r="E357" s="285"/>
      <c r="F357" s="279"/>
      <c r="G357" s="279"/>
      <c r="H357" s="223">
        <v>0</v>
      </c>
      <c r="I357" s="223">
        <v>0</v>
      </c>
      <c r="J357" s="238">
        <v>0</v>
      </c>
      <c r="K357" s="342">
        <v>46223</v>
      </c>
      <c r="L357" s="343" t="s">
        <v>780</v>
      </c>
      <c r="M357" s="344">
        <v>1744.1</v>
      </c>
      <c r="N357" s="285"/>
      <c r="O357" s="279"/>
      <c r="P357" s="279"/>
      <c r="Q357" s="345">
        <f t="shared" si="39"/>
        <v>0</v>
      </c>
      <c r="R357" s="346">
        <f t="shared" si="40"/>
        <v>0</v>
      </c>
      <c r="S357" s="347">
        <f t="shared" si="41"/>
        <v>0</v>
      </c>
    </row>
    <row r="358" spans="1:19" ht="34.5" customHeight="1">
      <c r="A358" s="91">
        <v>90</v>
      </c>
      <c r="B358" s="127" t="s">
        <v>504</v>
      </c>
      <c r="C358" s="296" t="s">
        <v>781</v>
      </c>
      <c r="D358" s="341">
        <v>96.3</v>
      </c>
      <c r="E358" s="285"/>
      <c r="F358" s="279"/>
      <c r="G358" s="279"/>
      <c r="H358" s="223">
        <v>0</v>
      </c>
      <c r="I358" s="223">
        <v>0</v>
      </c>
      <c r="J358" s="238">
        <v>0</v>
      </c>
      <c r="K358" s="342">
        <v>46223</v>
      </c>
      <c r="L358" s="343" t="s">
        <v>780</v>
      </c>
      <c r="M358" s="361">
        <v>96.3</v>
      </c>
      <c r="N358" s="285"/>
      <c r="O358" s="279"/>
      <c r="P358" s="279"/>
      <c r="Q358" s="345">
        <f t="shared" si="39"/>
        <v>0</v>
      </c>
      <c r="R358" s="346">
        <f t="shared" si="40"/>
        <v>0</v>
      </c>
      <c r="S358" s="347">
        <f t="shared" si="41"/>
        <v>0</v>
      </c>
    </row>
    <row r="359" spans="1:19" ht="34.5" customHeight="1">
      <c r="A359" s="91">
        <v>91</v>
      </c>
      <c r="B359" s="298" t="s">
        <v>506</v>
      </c>
      <c r="C359" s="296" t="s">
        <v>782</v>
      </c>
      <c r="D359" s="341">
        <v>37.450000000000003</v>
      </c>
      <c r="E359" s="285"/>
      <c r="F359" s="279"/>
      <c r="G359" s="279"/>
      <c r="H359" s="223">
        <v>0</v>
      </c>
      <c r="I359" s="223">
        <v>0</v>
      </c>
      <c r="J359" s="238">
        <v>0</v>
      </c>
      <c r="K359" s="342">
        <v>46223</v>
      </c>
      <c r="L359" s="343" t="s">
        <v>783</v>
      </c>
      <c r="M359" s="361">
        <v>37.450000000000003</v>
      </c>
      <c r="N359" s="285"/>
      <c r="O359" s="279"/>
      <c r="P359" s="279"/>
      <c r="Q359" s="345">
        <f t="shared" si="39"/>
        <v>0</v>
      </c>
      <c r="R359" s="346">
        <f t="shared" si="40"/>
        <v>0</v>
      </c>
      <c r="S359" s="347">
        <f t="shared" si="41"/>
        <v>0</v>
      </c>
    </row>
    <row r="360" spans="1:19" ht="34.5" customHeight="1">
      <c r="A360" s="91">
        <v>92</v>
      </c>
      <c r="B360" s="298" t="s">
        <v>784</v>
      </c>
      <c r="C360" s="296" t="s">
        <v>785</v>
      </c>
      <c r="D360" s="354">
        <v>516.80999999999995</v>
      </c>
      <c r="E360" s="285"/>
      <c r="F360" s="279"/>
      <c r="G360" s="279"/>
      <c r="H360" s="223">
        <v>0</v>
      </c>
      <c r="I360" s="223">
        <v>0</v>
      </c>
      <c r="J360" s="238">
        <v>0</v>
      </c>
      <c r="K360" s="355">
        <v>46224</v>
      </c>
      <c r="L360" s="356" t="s">
        <v>786</v>
      </c>
      <c r="M360" s="357">
        <v>516.80999999999995</v>
      </c>
      <c r="N360" s="285"/>
      <c r="O360" s="279"/>
      <c r="P360" s="279"/>
      <c r="Q360" s="345">
        <f t="shared" si="39"/>
        <v>0</v>
      </c>
      <c r="R360" s="346">
        <f t="shared" si="40"/>
        <v>0</v>
      </c>
      <c r="S360" s="347">
        <f t="shared" si="41"/>
        <v>0</v>
      </c>
    </row>
    <row r="361" spans="1:19" ht="34.5" customHeight="1">
      <c r="A361" s="91">
        <v>93</v>
      </c>
      <c r="B361" s="2" t="s">
        <v>787</v>
      </c>
      <c r="C361" s="296" t="s">
        <v>788</v>
      </c>
      <c r="D361" s="341">
        <v>1595.37</v>
      </c>
      <c r="E361" s="285"/>
      <c r="F361" s="279"/>
      <c r="G361" s="279"/>
      <c r="H361" s="223">
        <v>0</v>
      </c>
      <c r="I361" s="223">
        <v>0</v>
      </c>
      <c r="J361" s="238">
        <v>0</v>
      </c>
      <c r="K361" s="342">
        <v>46224</v>
      </c>
      <c r="L361" s="343" t="s">
        <v>789</v>
      </c>
      <c r="M361" s="344">
        <v>1595.37</v>
      </c>
      <c r="N361" s="285"/>
      <c r="O361" s="279"/>
      <c r="P361" s="279"/>
      <c r="Q361" s="345">
        <f t="shared" si="39"/>
        <v>0</v>
      </c>
      <c r="R361" s="346">
        <f t="shared" si="40"/>
        <v>0</v>
      </c>
      <c r="S361" s="347">
        <f t="shared" si="41"/>
        <v>0</v>
      </c>
    </row>
    <row r="362" spans="1:19" ht="34.5" customHeight="1">
      <c r="A362" s="91">
        <v>94</v>
      </c>
      <c r="B362" s="2" t="s">
        <v>515</v>
      </c>
      <c r="C362" s="296" t="s">
        <v>790</v>
      </c>
      <c r="D362" s="341">
        <v>112.35</v>
      </c>
      <c r="E362" s="285"/>
      <c r="F362" s="279"/>
      <c r="G362" s="279"/>
      <c r="H362" s="223">
        <v>0</v>
      </c>
      <c r="I362" s="223">
        <v>0</v>
      </c>
      <c r="J362" s="238">
        <v>0</v>
      </c>
      <c r="K362" s="342">
        <v>46230</v>
      </c>
      <c r="L362" s="343" t="s">
        <v>791</v>
      </c>
      <c r="M362" s="344">
        <v>112.35</v>
      </c>
      <c r="N362" s="285"/>
      <c r="O362" s="279"/>
      <c r="P362" s="279"/>
      <c r="Q362" s="345">
        <f t="shared" si="39"/>
        <v>0</v>
      </c>
      <c r="R362" s="346">
        <f t="shared" si="40"/>
        <v>0</v>
      </c>
      <c r="S362" s="347">
        <f t="shared" si="41"/>
        <v>0</v>
      </c>
    </row>
    <row r="363" spans="1:19" ht="34.5" customHeight="1">
      <c r="A363" s="91">
        <v>95</v>
      </c>
      <c r="B363" s="298" t="s">
        <v>518</v>
      </c>
      <c r="C363" s="296" t="s">
        <v>792</v>
      </c>
      <c r="D363" s="341">
        <v>898.8</v>
      </c>
      <c r="E363" s="285"/>
      <c r="F363" s="279"/>
      <c r="G363" s="279"/>
      <c r="H363" s="223">
        <v>0</v>
      </c>
      <c r="I363" s="223">
        <v>0</v>
      </c>
      <c r="J363" s="238">
        <v>0</v>
      </c>
      <c r="K363" s="342">
        <v>46231</v>
      </c>
      <c r="L363" s="343" t="s">
        <v>793</v>
      </c>
      <c r="M363" s="344">
        <v>898.8</v>
      </c>
      <c r="N363" s="285"/>
      <c r="O363" s="279"/>
      <c r="P363" s="279"/>
      <c r="Q363" s="345">
        <f t="shared" si="39"/>
        <v>0</v>
      </c>
      <c r="R363" s="346">
        <f t="shared" si="40"/>
        <v>0</v>
      </c>
      <c r="S363" s="347">
        <f>+D363+J363-M363</f>
        <v>0</v>
      </c>
    </row>
    <row r="364" spans="1:19" ht="34.5" customHeight="1">
      <c r="A364" s="91">
        <v>96</v>
      </c>
      <c r="B364" s="298" t="s">
        <v>521</v>
      </c>
      <c r="C364" s="296" t="s">
        <v>794</v>
      </c>
      <c r="D364" s="341">
        <v>119.84</v>
      </c>
      <c r="E364" s="285"/>
      <c r="F364" s="279"/>
      <c r="G364" s="279"/>
      <c r="H364" s="223">
        <v>0</v>
      </c>
      <c r="I364" s="223">
        <v>0</v>
      </c>
      <c r="J364" s="238">
        <v>0</v>
      </c>
      <c r="K364" s="342">
        <v>46224</v>
      </c>
      <c r="L364" s="343" t="s">
        <v>795</v>
      </c>
      <c r="M364" s="344">
        <v>119.84</v>
      </c>
      <c r="N364" s="285"/>
      <c r="O364" s="279"/>
      <c r="P364" s="279"/>
      <c r="Q364" s="345">
        <f t="shared" si="39"/>
        <v>0</v>
      </c>
      <c r="R364" s="346">
        <f t="shared" si="40"/>
        <v>0</v>
      </c>
      <c r="S364" s="347">
        <f>+D364+J364-M364</f>
        <v>0</v>
      </c>
    </row>
    <row r="365" spans="1:19" ht="34.5" customHeight="1">
      <c r="A365" s="91">
        <v>97</v>
      </c>
      <c r="B365" s="298" t="s">
        <v>518</v>
      </c>
      <c r="C365" s="296" t="s">
        <v>796</v>
      </c>
      <c r="D365" s="341">
        <v>2187.08</v>
      </c>
      <c r="E365" s="285"/>
      <c r="F365" s="279"/>
      <c r="G365" s="279"/>
      <c r="H365" s="223">
        <v>0</v>
      </c>
      <c r="I365" s="223">
        <v>0</v>
      </c>
      <c r="J365" s="238">
        <v>0</v>
      </c>
      <c r="K365" s="342">
        <v>46231</v>
      </c>
      <c r="L365" s="343" t="s">
        <v>797</v>
      </c>
      <c r="M365" s="344">
        <v>2187.08</v>
      </c>
      <c r="N365" s="285"/>
      <c r="O365" s="279"/>
      <c r="P365" s="279"/>
      <c r="Q365" s="345">
        <f t="shared" si="39"/>
        <v>0</v>
      </c>
      <c r="R365" s="346">
        <f t="shared" si="40"/>
        <v>0</v>
      </c>
      <c r="S365" s="347">
        <f t="shared" ref="S365:S429" si="42">+D365+J365-M365</f>
        <v>0</v>
      </c>
    </row>
    <row r="366" spans="1:19" ht="34.5" customHeight="1">
      <c r="A366" s="91">
        <v>98</v>
      </c>
      <c r="B366" s="298" t="s">
        <v>798</v>
      </c>
      <c r="C366" s="296" t="s">
        <v>799</v>
      </c>
      <c r="D366" s="341">
        <v>37.450000000000003</v>
      </c>
      <c r="E366" s="285"/>
      <c r="F366" s="279"/>
      <c r="G366" s="279"/>
      <c r="H366" s="223">
        <v>0</v>
      </c>
      <c r="I366" s="223">
        <v>0</v>
      </c>
      <c r="J366" s="238">
        <v>0</v>
      </c>
      <c r="K366" s="342">
        <v>46230</v>
      </c>
      <c r="L366" s="343" t="s">
        <v>800</v>
      </c>
      <c r="M366" s="344">
        <v>37.450000000000003</v>
      </c>
      <c r="N366" s="285"/>
      <c r="O366" s="279"/>
      <c r="P366" s="279"/>
      <c r="Q366" s="345">
        <f t="shared" si="39"/>
        <v>0</v>
      </c>
      <c r="R366" s="346">
        <f t="shared" si="40"/>
        <v>0</v>
      </c>
      <c r="S366" s="347">
        <f t="shared" si="42"/>
        <v>0</v>
      </c>
    </row>
    <row r="367" spans="1:19" ht="34.5" customHeight="1">
      <c r="A367" s="91">
        <v>99</v>
      </c>
      <c r="B367" s="127" t="s">
        <v>798</v>
      </c>
      <c r="C367" s="296"/>
      <c r="D367" s="341">
        <v>11032.77</v>
      </c>
      <c r="E367" s="289"/>
      <c r="F367" s="279"/>
      <c r="G367" s="279"/>
      <c r="H367" s="223">
        <v>0</v>
      </c>
      <c r="I367" s="223">
        <v>0</v>
      </c>
      <c r="J367" s="238">
        <v>0</v>
      </c>
      <c r="K367" s="342">
        <v>46231</v>
      </c>
      <c r="L367" s="343" t="s">
        <v>801</v>
      </c>
      <c r="M367" s="344">
        <v>11032.77</v>
      </c>
      <c r="N367" s="289"/>
      <c r="O367" s="279"/>
      <c r="P367" s="279"/>
      <c r="Q367" s="345">
        <f t="shared" si="39"/>
        <v>0</v>
      </c>
      <c r="R367" s="346">
        <f t="shared" si="40"/>
        <v>0</v>
      </c>
      <c r="S367" s="347">
        <f t="shared" si="42"/>
        <v>0</v>
      </c>
    </row>
    <row r="368" spans="1:19" ht="34.5" customHeight="1">
      <c r="A368" s="91">
        <v>100</v>
      </c>
      <c r="B368" s="127" t="s">
        <v>529</v>
      </c>
      <c r="C368" s="296" t="s">
        <v>802</v>
      </c>
      <c r="D368" s="363">
        <v>3857.35</v>
      </c>
      <c r="E368" s="289"/>
      <c r="F368" s="279"/>
      <c r="G368" s="279"/>
      <c r="H368" s="223">
        <v>0</v>
      </c>
      <c r="I368" s="223">
        <v>0</v>
      </c>
      <c r="J368" s="238">
        <v>0</v>
      </c>
      <c r="K368" s="342">
        <v>46230</v>
      </c>
      <c r="L368" s="343" t="s">
        <v>803</v>
      </c>
      <c r="M368" s="344">
        <v>3857.35</v>
      </c>
      <c r="N368" s="289"/>
      <c r="O368" s="279"/>
      <c r="P368" s="279"/>
      <c r="Q368" s="345">
        <f t="shared" si="39"/>
        <v>0</v>
      </c>
      <c r="R368" s="346">
        <f t="shared" si="40"/>
        <v>0</v>
      </c>
      <c r="S368" s="347">
        <f t="shared" si="42"/>
        <v>0</v>
      </c>
    </row>
    <row r="369" spans="1:20" ht="34.5" customHeight="1">
      <c r="A369" s="91">
        <v>101</v>
      </c>
      <c r="B369" s="127" t="s">
        <v>529</v>
      </c>
      <c r="C369" s="296" t="s">
        <v>804</v>
      </c>
      <c r="D369" s="341">
        <v>1438.08</v>
      </c>
      <c r="E369" s="289"/>
      <c r="F369" s="279"/>
      <c r="G369" s="279"/>
      <c r="H369" s="223">
        <v>0</v>
      </c>
      <c r="I369" s="223">
        <v>0</v>
      </c>
      <c r="J369" s="238">
        <v>0</v>
      </c>
      <c r="K369" s="342">
        <v>46230</v>
      </c>
      <c r="L369" s="343" t="s">
        <v>805</v>
      </c>
      <c r="M369" s="344">
        <v>1438.08</v>
      </c>
      <c r="N369" s="289"/>
      <c r="O369" s="279"/>
      <c r="P369" s="279"/>
      <c r="Q369" s="345">
        <f t="shared" si="39"/>
        <v>0</v>
      </c>
      <c r="R369" s="346">
        <f t="shared" si="40"/>
        <v>0</v>
      </c>
      <c r="S369" s="347">
        <f t="shared" si="42"/>
        <v>0</v>
      </c>
    </row>
    <row r="370" spans="1:20" ht="34.5" customHeight="1">
      <c r="A370" s="91">
        <v>102</v>
      </c>
      <c r="B370" s="298" t="s">
        <v>534</v>
      </c>
      <c r="C370" s="296" t="s">
        <v>806</v>
      </c>
      <c r="D370" s="341">
        <v>659.12</v>
      </c>
      <c r="E370" s="285">
        <v>25355</v>
      </c>
      <c r="F370" s="279">
        <v>1</v>
      </c>
      <c r="G370" s="279">
        <v>1</v>
      </c>
      <c r="H370" s="223">
        <v>917</v>
      </c>
      <c r="I370" s="223">
        <v>64.19</v>
      </c>
      <c r="J370" s="238">
        <v>981.19</v>
      </c>
      <c r="K370" s="342" t="s">
        <v>560</v>
      </c>
      <c r="L370" s="343" t="s">
        <v>807</v>
      </c>
      <c r="M370" s="344">
        <v>1640.31</v>
      </c>
      <c r="N370" s="285"/>
      <c r="O370" s="279"/>
      <c r="P370" s="279"/>
      <c r="Q370" s="345">
        <f t="shared" si="39"/>
        <v>0</v>
      </c>
      <c r="R370" s="346">
        <f t="shared" si="40"/>
        <v>0</v>
      </c>
      <c r="S370" s="347">
        <f t="shared" si="42"/>
        <v>0</v>
      </c>
    </row>
    <row r="371" spans="1:20" ht="34.5" customHeight="1">
      <c r="A371" s="91">
        <v>103</v>
      </c>
      <c r="B371" s="298" t="s">
        <v>537</v>
      </c>
      <c r="C371" s="296" t="s">
        <v>808</v>
      </c>
      <c r="D371" s="341">
        <v>816.41000000000008</v>
      </c>
      <c r="E371" s="285"/>
      <c r="F371" s="279"/>
      <c r="G371" s="279"/>
      <c r="H371" s="223">
        <v>0</v>
      </c>
      <c r="I371" s="223">
        <v>0</v>
      </c>
      <c r="J371" s="238">
        <v>0</v>
      </c>
      <c r="K371" s="342">
        <v>46226</v>
      </c>
      <c r="L371" s="343" t="s">
        <v>809</v>
      </c>
      <c r="M371" s="344">
        <v>816.41</v>
      </c>
      <c r="N371" s="285"/>
      <c r="O371" s="279"/>
      <c r="P371" s="279"/>
      <c r="Q371" s="345">
        <f t="shared" si="39"/>
        <v>0</v>
      </c>
      <c r="R371" s="346">
        <f t="shared" si="40"/>
        <v>0</v>
      </c>
      <c r="S371" s="347">
        <f t="shared" si="42"/>
        <v>0</v>
      </c>
    </row>
    <row r="372" spans="1:20" ht="34.5" customHeight="1">
      <c r="A372" s="91">
        <v>104</v>
      </c>
      <c r="B372" s="298" t="s">
        <v>477</v>
      </c>
      <c r="C372" s="296" t="s">
        <v>810</v>
      </c>
      <c r="D372" s="341">
        <v>545.70000000000005</v>
      </c>
      <c r="E372" s="285"/>
      <c r="F372" s="279"/>
      <c r="G372" s="279"/>
      <c r="H372" s="223">
        <v>0</v>
      </c>
      <c r="I372" s="223">
        <v>0</v>
      </c>
      <c r="J372" s="238">
        <v>0</v>
      </c>
      <c r="K372" s="342">
        <v>46234</v>
      </c>
      <c r="L372" s="343" t="s">
        <v>811</v>
      </c>
      <c r="M372" s="344">
        <v>545.70000000000005</v>
      </c>
      <c r="N372" s="285"/>
      <c r="O372" s="279"/>
      <c r="P372" s="279"/>
      <c r="Q372" s="345">
        <f t="shared" si="39"/>
        <v>0</v>
      </c>
      <c r="R372" s="346">
        <f t="shared" si="40"/>
        <v>0</v>
      </c>
      <c r="S372" s="347">
        <f t="shared" si="42"/>
        <v>0</v>
      </c>
    </row>
    <row r="373" spans="1:20" ht="34.5" customHeight="1">
      <c r="A373" s="91">
        <v>105</v>
      </c>
      <c r="B373" s="298" t="s">
        <v>542</v>
      </c>
      <c r="C373" s="296" t="s">
        <v>812</v>
      </c>
      <c r="D373" s="341">
        <v>37.450000000000003</v>
      </c>
      <c r="E373" s="285"/>
      <c r="F373" s="279"/>
      <c r="G373" s="279"/>
      <c r="H373" s="223">
        <v>0</v>
      </c>
      <c r="I373" s="223">
        <v>0</v>
      </c>
      <c r="J373" s="238">
        <v>0</v>
      </c>
      <c r="K373" s="342">
        <v>46223</v>
      </c>
      <c r="L373" s="343" t="s">
        <v>813</v>
      </c>
      <c r="M373" s="344">
        <v>37.450000000000003</v>
      </c>
      <c r="N373" s="285"/>
      <c r="O373" s="279"/>
      <c r="P373" s="279"/>
      <c r="Q373" s="345">
        <f t="shared" si="39"/>
        <v>0</v>
      </c>
      <c r="R373" s="346">
        <f t="shared" si="40"/>
        <v>0</v>
      </c>
      <c r="S373" s="347">
        <f t="shared" si="42"/>
        <v>0</v>
      </c>
    </row>
    <row r="374" spans="1:20" ht="34.5" customHeight="1">
      <c r="A374" s="91">
        <v>106</v>
      </c>
      <c r="B374" s="298" t="s">
        <v>814</v>
      </c>
      <c r="C374" s="296" t="s">
        <v>815</v>
      </c>
      <c r="D374" s="341">
        <v>337.05</v>
      </c>
      <c r="E374" s="285"/>
      <c r="F374" s="279"/>
      <c r="G374" s="279"/>
      <c r="H374" s="223">
        <v>0</v>
      </c>
      <c r="I374" s="223">
        <v>0</v>
      </c>
      <c r="J374" s="238">
        <v>0</v>
      </c>
      <c r="K374" s="342">
        <v>46226</v>
      </c>
      <c r="L374" s="343" t="s">
        <v>816</v>
      </c>
      <c r="M374" s="344">
        <v>337.05</v>
      </c>
      <c r="N374" s="285"/>
      <c r="O374" s="279"/>
      <c r="P374" s="279"/>
      <c r="Q374" s="345">
        <f t="shared" si="39"/>
        <v>0</v>
      </c>
      <c r="R374" s="346">
        <f t="shared" si="40"/>
        <v>0</v>
      </c>
      <c r="S374" s="347">
        <f t="shared" si="42"/>
        <v>0</v>
      </c>
    </row>
    <row r="375" spans="1:20" ht="34.5" customHeight="1">
      <c r="A375" s="91">
        <v>107</v>
      </c>
      <c r="B375" s="364" t="s">
        <v>107</v>
      </c>
      <c r="C375" s="365" t="s">
        <v>817</v>
      </c>
      <c r="D375" s="341">
        <v>5168.1000000000004</v>
      </c>
      <c r="E375" s="285">
        <v>25355</v>
      </c>
      <c r="F375" s="279">
        <v>1</v>
      </c>
      <c r="G375" s="279">
        <v>1</v>
      </c>
      <c r="H375" s="223">
        <v>6730</v>
      </c>
      <c r="I375" s="223">
        <v>471.1</v>
      </c>
      <c r="J375" s="238">
        <v>7201.1</v>
      </c>
      <c r="K375" s="342" t="s">
        <v>549</v>
      </c>
      <c r="L375" s="343" t="s">
        <v>818</v>
      </c>
      <c r="M375" s="344">
        <v>12369.2</v>
      </c>
      <c r="N375" s="285"/>
      <c r="O375" s="279"/>
      <c r="P375" s="279"/>
      <c r="Q375" s="345">
        <f t="shared" si="39"/>
        <v>0</v>
      </c>
      <c r="R375" s="346">
        <f t="shared" si="40"/>
        <v>0</v>
      </c>
      <c r="S375" s="347">
        <f t="shared" si="42"/>
        <v>0</v>
      </c>
      <c r="T375" s="2" t="s">
        <v>819</v>
      </c>
    </row>
    <row r="376" spans="1:20" ht="34.5" customHeight="1">
      <c r="A376" s="91">
        <v>108</v>
      </c>
      <c r="B376" s="364" t="s">
        <v>107</v>
      </c>
      <c r="C376" s="365" t="s">
        <v>820</v>
      </c>
      <c r="D376" s="341">
        <v>149.80000000000001</v>
      </c>
      <c r="E376" s="285"/>
      <c r="F376" s="279"/>
      <c r="G376" s="279"/>
      <c r="H376" s="223">
        <v>0</v>
      </c>
      <c r="I376" s="223">
        <v>0</v>
      </c>
      <c r="J376" s="238">
        <v>0</v>
      </c>
      <c r="K376" s="342">
        <v>46226</v>
      </c>
      <c r="L376" s="343" t="s">
        <v>821</v>
      </c>
      <c r="M376" s="344">
        <v>149.80000000000001</v>
      </c>
      <c r="N376" s="285"/>
      <c r="O376" s="279"/>
      <c r="P376" s="279"/>
      <c r="Q376" s="345">
        <f t="shared" si="39"/>
        <v>0</v>
      </c>
      <c r="R376" s="346">
        <f t="shared" si="40"/>
        <v>0</v>
      </c>
      <c r="S376" s="347">
        <f t="shared" si="42"/>
        <v>0</v>
      </c>
    </row>
    <row r="377" spans="1:20" ht="34.5" customHeight="1">
      <c r="A377" s="91">
        <v>109</v>
      </c>
      <c r="B377" s="298" t="s">
        <v>107</v>
      </c>
      <c r="C377" s="296" t="s">
        <v>822</v>
      </c>
      <c r="D377" s="341">
        <v>13856.5</v>
      </c>
      <c r="E377" s="285">
        <v>25355</v>
      </c>
      <c r="F377" s="279">
        <v>1</v>
      </c>
      <c r="G377" s="279">
        <v>1</v>
      </c>
      <c r="H377" s="223">
        <v>12110</v>
      </c>
      <c r="I377" s="223">
        <v>847.7</v>
      </c>
      <c r="J377" s="238">
        <v>12957.7</v>
      </c>
      <c r="K377" s="342" t="s">
        <v>549</v>
      </c>
      <c r="L377" s="343" t="s">
        <v>823</v>
      </c>
      <c r="M377" s="344">
        <v>26814.2</v>
      </c>
      <c r="N377" s="285"/>
      <c r="O377" s="279"/>
      <c r="P377" s="279"/>
      <c r="Q377" s="345">
        <f t="shared" si="39"/>
        <v>0</v>
      </c>
      <c r="R377" s="346">
        <f t="shared" si="40"/>
        <v>0</v>
      </c>
      <c r="S377" s="347">
        <f t="shared" si="42"/>
        <v>0</v>
      </c>
      <c r="T377" s="2" t="s">
        <v>824</v>
      </c>
    </row>
    <row r="378" spans="1:20" ht="34.5" customHeight="1">
      <c r="A378" s="91">
        <v>110</v>
      </c>
      <c r="B378" s="298" t="s">
        <v>107</v>
      </c>
      <c r="C378" s="296" t="s">
        <v>825</v>
      </c>
      <c r="D378" s="341">
        <v>3991.1</v>
      </c>
      <c r="E378" s="285">
        <v>25355</v>
      </c>
      <c r="F378" s="279">
        <v>1</v>
      </c>
      <c r="G378" s="279">
        <v>1</v>
      </c>
      <c r="H378" s="223">
        <v>6770</v>
      </c>
      <c r="I378" s="223">
        <v>473.9</v>
      </c>
      <c r="J378" s="238">
        <v>7243.9</v>
      </c>
      <c r="K378" s="342" t="s">
        <v>549</v>
      </c>
      <c r="L378" s="343" t="s">
        <v>826</v>
      </c>
      <c r="M378" s="344">
        <v>11235</v>
      </c>
      <c r="N378" s="285"/>
      <c r="O378" s="279"/>
      <c r="P378" s="279"/>
      <c r="Q378" s="345">
        <f t="shared" si="39"/>
        <v>0</v>
      </c>
      <c r="R378" s="346">
        <f t="shared" si="40"/>
        <v>0</v>
      </c>
      <c r="S378" s="347">
        <f t="shared" si="42"/>
        <v>0</v>
      </c>
      <c r="T378" s="2" t="s">
        <v>827</v>
      </c>
    </row>
    <row r="379" spans="1:20" ht="34.5" customHeight="1">
      <c r="A379" s="91">
        <v>111</v>
      </c>
      <c r="B379" s="298" t="s">
        <v>126</v>
      </c>
      <c r="C379" s="296" t="s">
        <v>828</v>
      </c>
      <c r="D379" s="341">
        <v>19110.2</v>
      </c>
      <c r="E379" s="285"/>
      <c r="F379" s="279"/>
      <c r="G379" s="279"/>
      <c r="H379" s="223">
        <v>0</v>
      </c>
      <c r="I379" s="223">
        <v>0</v>
      </c>
      <c r="J379" s="238">
        <v>0</v>
      </c>
      <c r="K379" s="342">
        <v>46224</v>
      </c>
      <c r="L379" s="343" t="s">
        <v>829</v>
      </c>
      <c r="M379" s="344">
        <v>19110.2</v>
      </c>
      <c r="N379" s="285"/>
      <c r="O379" s="279"/>
      <c r="P379" s="279"/>
      <c r="Q379" s="345"/>
      <c r="R379" s="346"/>
      <c r="S379" s="347"/>
    </row>
    <row r="380" spans="1:20" ht="34.5" customHeight="1">
      <c r="A380" s="91">
        <v>112</v>
      </c>
      <c r="B380" s="298" t="s">
        <v>830</v>
      </c>
      <c r="C380" s="296" t="s">
        <v>831</v>
      </c>
      <c r="D380" s="341">
        <v>8527.9</v>
      </c>
      <c r="E380" s="285">
        <v>25355</v>
      </c>
      <c r="F380" s="279">
        <v>1</v>
      </c>
      <c r="G380" s="279">
        <v>1</v>
      </c>
      <c r="H380" s="223">
        <v>10760</v>
      </c>
      <c r="I380" s="223">
        <v>753.2</v>
      </c>
      <c r="J380" s="238">
        <v>11513.2</v>
      </c>
      <c r="K380" s="342" t="s">
        <v>560</v>
      </c>
      <c r="L380" s="343" t="s">
        <v>832</v>
      </c>
      <c r="M380" s="344">
        <v>20041.099999999999</v>
      </c>
      <c r="N380" s="285"/>
      <c r="O380" s="279"/>
      <c r="P380" s="279"/>
      <c r="Q380" s="345">
        <f t="shared" si="39"/>
        <v>0</v>
      </c>
      <c r="R380" s="346">
        <f t="shared" si="40"/>
        <v>0</v>
      </c>
      <c r="S380" s="347">
        <f t="shared" si="42"/>
        <v>0</v>
      </c>
    </row>
    <row r="381" spans="1:20" s="317" customFormat="1" ht="34.5" customHeight="1">
      <c r="A381" s="303">
        <v>113</v>
      </c>
      <c r="B381" s="304" t="s">
        <v>833</v>
      </c>
      <c r="C381" s="305" t="s">
        <v>834</v>
      </c>
      <c r="D381" s="363">
        <v>3691.5</v>
      </c>
      <c r="E381" s="319"/>
      <c r="F381" s="313"/>
      <c r="G381" s="313"/>
      <c r="H381" s="314">
        <v>0</v>
      </c>
      <c r="I381" s="314">
        <v>0</v>
      </c>
      <c r="J381" s="316">
        <v>0</v>
      </c>
      <c r="K381" s="366">
        <v>46224</v>
      </c>
      <c r="L381" s="367" t="s">
        <v>835</v>
      </c>
      <c r="M381" s="368">
        <v>3691.5</v>
      </c>
      <c r="N381" s="319"/>
      <c r="O381" s="313"/>
      <c r="P381" s="313"/>
      <c r="Q381" s="369">
        <f t="shared" si="39"/>
        <v>0</v>
      </c>
      <c r="R381" s="370">
        <f t="shared" si="40"/>
        <v>0</v>
      </c>
      <c r="S381" s="371">
        <f t="shared" si="42"/>
        <v>0</v>
      </c>
    </row>
    <row r="382" spans="1:20" ht="34.5" customHeight="1">
      <c r="A382" s="91">
        <v>114</v>
      </c>
      <c r="B382" s="298" t="s">
        <v>836</v>
      </c>
      <c r="C382" s="296" t="s">
        <v>837</v>
      </c>
      <c r="D382" s="341">
        <v>5585.4</v>
      </c>
      <c r="E382" s="285"/>
      <c r="F382" s="279"/>
      <c r="G382" s="279"/>
      <c r="H382" s="223">
        <v>0</v>
      </c>
      <c r="I382" s="223">
        <v>0</v>
      </c>
      <c r="J382" s="238">
        <v>0</v>
      </c>
      <c r="K382" s="342">
        <v>46234</v>
      </c>
      <c r="L382" s="343" t="s">
        <v>838</v>
      </c>
      <c r="M382" s="344">
        <v>5585.4</v>
      </c>
      <c r="N382" s="285"/>
      <c r="O382" s="279"/>
      <c r="P382" s="279"/>
      <c r="Q382" s="345">
        <f t="shared" si="39"/>
        <v>0</v>
      </c>
      <c r="R382" s="346">
        <f t="shared" si="40"/>
        <v>0</v>
      </c>
      <c r="S382" s="347">
        <f t="shared" si="42"/>
        <v>0</v>
      </c>
    </row>
    <row r="383" spans="1:20" ht="34.5" customHeight="1">
      <c r="A383" s="91">
        <v>115</v>
      </c>
      <c r="B383" s="298" t="s">
        <v>839</v>
      </c>
      <c r="C383" s="296" t="s">
        <v>840</v>
      </c>
      <c r="D383" s="348">
        <v>2846.2</v>
      </c>
      <c r="E383" s="285"/>
      <c r="F383" s="279"/>
      <c r="G383" s="279"/>
      <c r="H383" s="223">
        <v>0</v>
      </c>
      <c r="I383" s="223">
        <v>0</v>
      </c>
      <c r="J383" s="238">
        <v>0</v>
      </c>
      <c r="K383" s="349">
        <v>46207</v>
      </c>
      <c r="L383" s="350" t="s">
        <v>841</v>
      </c>
      <c r="M383" s="351">
        <v>2846.2</v>
      </c>
      <c r="N383" s="285"/>
      <c r="O383" s="279"/>
      <c r="P383" s="279"/>
      <c r="Q383" s="345">
        <f t="shared" si="39"/>
        <v>0</v>
      </c>
      <c r="R383" s="346">
        <f t="shared" si="40"/>
        <v>0</v>
      </c>
      <c r="S383" s="347">
        <f t="shared" si="42"/>
        <v>0</v>
      </c>
    </row>
    <row r="384" spans="1:20" ht="34.5" customHeight="1">
      <c r="A384" s="91">
        <v>116</v>
      </c>
      <c r="B384" s="298" t="s">
        <v>842</v>
      </c>
      <c r="C384" s="296" t="s">
        <v>831</v>
      </c>
      <c r="D384" s="341">
        <v>1358.9</v>
      </c>
      <c r="E384" s="285"/>
      <c r="F384" s="279"/>
      <c r="G384" s="279"/>
      <c r="H384" s="223">
        <v>0</v>
      </c>
      <c r="I384" s="223">
        <v>0</v>
      </c>
      <c r="J384" s="238">
        <v>0</v>
      </c>
      <c r="K384" s="342">
        <v>46226</v>
      </c>
      <c r="L384" s="343" t="s">
        <v>843</v>
      </c>
      <c r="M384" s="344">
        <v>1358.9</v>
      </c>
      <c r="N384" s="285"/>
      <c r="O384" s="279"/>
      <c r="P384" s="279"/>
      <c r="Q384" s="345">
        <f t="shared" si="39"/>
        <v>0</v>
      </c>
      <c r="R384" s="346">
        <f t="shared" si="40"/>
        <v>0</v>
      </c>
      <c r="S384" s="347">
        <f t="shared" si="42"/>
        <v>0</v>
      </c>
    </row>
    <row r="385" spans="1:20" ht="34.5" customHeight="1">
      <c r="A385" s="91">
        <v>117</v>
      </c>
      <c r="B385" s="298" t="s">
        <v>844</v>
      </c>
      <c r="C385" s="296" t="s">
        <v>831</v>
      </c>
      <c r="D385" s="341">
        <v>5018.3</v>
      </c>
      <c r="E385" s="285"/>
      <c r="F385" s="279"/>
      <c r="G385" s="279"/>
      <c r="H385" s="223">
        <v>0</v>
      </c>
      <c r="I385" s="223">
        <v>0</v>
      </c>
      <c r="J385" s="238">
        <v>0</v>
      </c>
      <c r="K385" s="342">
        <v>46226</v>
      </c>
      <c r="L385" s="343" t="s">
        <v>845</v>
      </c>
      <c r="M385" s="344">
        <v>5018.3</v>
      </c>
      <c r="N385" s="285"/>
      <c r="O385" s="279"/>
      <c r="P385" s="279"/>
      <c r="Q385" s="345">
        <f t="shared" si="39"/>
        <v>0</v>
      </c>
      <c r="R385" s="346">
        <f t="shared" si="40"/>
        <v>0</v>
      </c>
      <c r="S385" s="347">
        <f t="shared" si="42"/>
        <v>0</v>
      </c>
    </row>
    <row r="386" spans="1:20" ht="34.5" customHeight="1">
      <c r="A386" s="91">
        <v>118</v>
      </c>
      <c r="B386" s="298" t="s">
        <v>846</v>
      </c>
      <c r="C386" s="296" t="s">
        <v>831</v>
      </c>
      <c r="D386" s="341">
        <v>53.5</v>
      </c>
      <c r="E386" s="285"/>
      <c r="F386" s="279"/>
      <c r="G386" s="279"/>
      <c r="H386" s="223">
        <v>0</v>
      </c>
      <c r="I386" s="223">
        <v>0</v>
      </c>
      <c r="J386" s="238">
        <v>0</v>
      </c>
      <c r="K386" s="342"/>
      <c r="L386" s="343"/>
      <c r="M386" s="344">
        <v>0</v>
      </c>
      <c r="N386" s="285" t="s">
        <v>41</v>
      </c>
      <c r="O386" s="279">
        <v>1</v>
      </c>
      <c r="P386" s="279">
        <v>1</v>
      </c>
      <c r="Q386" s="345">
        <f t="shared" si="39"/>
        <v>50</v>
      </c>
      <c r="R386" s="346">
        <f t="shared" si="40"/>
        <v>3.5</v>
      </c>
      <c r="S386" s="347">
        <f t="shared" si="42"/>
        <v>53.5</v>
      </c>
    </row>
    <row r="387" spans="1:20" ht="34.5" customHeight="1">
      <c r="A387" s="91">
        <v>119</v>
      </c>
      <c r="B387" s="298" t="s">
        <v>847</v>
      </c>
      <c r="C387" s="296" t="s">
        <v>848</v>
      </c>
      <c r="D387" s="341">
        <v>269.64</v>
      </c>
      <c r="E387" s="285"/>
      <c r="F387" s="279"/>
      <c r="G387" s="279"/>
      <c r="H387" s="223">
        <v>0</v>
      </c>
      <c r="I387" s="223">
        <v>0</v>
      </c>
      <c r="J387" s="238">
        <v>0</v>
      </c>
      <c r="K387" s="342">
        <v>46234</v>
      </c>
      <c r="L387" s="343" t="s">
        <v>849</v>
      </c>
      <c r="M387" s="344">
        <v>269.64</v>
      </c>
      <c r="N387" s="285"/>
      <c r="O387" s="279"/>
      <c r="P387" s="279"/>
      <c r="Q387" s="345"/>
      <c r="R387" s="346"/>
      <c r="S387" s="347"/>
    </row>
    <row r="388" spans="1:20" ht="34.5" customHeight="1">
      <c r="A388" s="91">
        <v>120</v>
      </c>
      <c r="B388" s="298" t="s">
        <v>42</v>
      </c>
      <c r="C388" s="296" t="s">
        <v>850</v>
      </c>
      <c r="D388" s="341">
        <v>37.450000000000003</v>
      </c>
      <c r="E388" s="285"/>
      <c r="F388" s="279"/>
      <c r="G388" s="279"/>
      <c r="H388" s="223">
        <v>0</v>
      </c>
      <c r="I388" s="223">
        <v>0</v>
      </c>
      <c r="J388" s="238">
        <v>0</v>
      </c>
      <c r="K388" s="342">
        <v>46224</v>
      </c>
      <c r="L388" s="343" t="s">
        <v>851</v>
      </c>
      <c r="M388" s="344">
        <v>37.450000000000003</v>
      </c>
      <c r="N388" s="285"/>
      <c r="O388" s="279"/>
      <c r="P388" s="279"/>
      <c r="Q388" s="345">
        <f t="shared" si="39"/>
        <v>0</v>
      </c>
      <c r="R388" s="346">
        <f t="shared" si="40"/>
        <v>0</v>
      </c>
      <c r="S388" s="347">
        <f t="shared" si="42"/>
        <v>0</v>
      </c>
    </row>
    <row r="389" spans="1:20" ht="34.5" customHeight="1">
      <c r="A389" s="91">
        <v>121</v>
      </c>
      <c r="B389" s="298" t="s">
        <v>852</v>
      </c>
      <c r="C389" s="296" t="s">
        <v>853</v>
      </c>
      <c r="D389" s="341">
        <v>232.19</v>
      </c>
      <c r="E389" s="285"/>
      <c r="F389" s="279"/>
      <c r="G389" s="279"/>
      <c r="H389" s="223">
        <v>0</v>
      </c>
      <c r="I389" s="223">
        <v>0</v>
      </c>
      <c r="J389" s="238">
        <v>0</v>
      </c>
      <c r="K389" s="342">
        <v>46226</v>
      </c>
      <c r="L389" s="343" t="s">
        <v>854</v>
      </c>
      <c r="M389" s="344">
        <v>232.19</v>
      </c>
      <c r="N389" s="285"/>
      <c r="O389" s="279"/>
      <c r="P389" s="279"/>
      <c r="Q389" s="345"/>
      <c r="R389" s="346"/>
      <c r="S389" s="347"/>
    </row>
    <row r="390" spans="1:20" ht="34.5" customHeight="1">
      <c r="A390" s="91">
        <v>122</v>
      </c>
      <c r="B390" s="300" t="s">
        <v>575</v>
      </c>
      <c r="C390" s="296" t="s">
        <v>855</v>
      </c>
      <c r="D390" s="341">
        <v>906.29</v>
      </c>
      <c r="E390" s="285">
        <v>25355</v>
      </c>
      <c r="F390" s="279">
        <v>1</v>
      </c>
      <c r="G390" s="279">
        <v>1</v>
      </c>
      <c r="H390" s="223">
        <v>721</v>
      </c>
      <c r="I390" s="223">
        <v>50.47</v>
      </c>
      <c r="J390" s="238">
        <v>771.47</v>
      </c>
      <c r="K390" s="342">
        <v>46205</v>
      </c>
      <c r="L390" s="343" t="s">
        <v>856</v>
      </c>
      <c r="M390" s="344">
        <v>771.47</v>
      </c>
      <c r="N390" s="285" t="s">
        <v>41</v>
      </c>
      <c r="O390" s="279">
        <v>1</v>
      </c>
      <c r="P390" s="279">
        <v>1</v>
      </c>
      <c r="Q390" s="345">
        <f t="shared" si="39"/>
        <v>847</v>
      </c>
      <c r="R390" s="346">
        <f t="shared" si="40"/>
        <v>59.29</v>
      </c>
      <c r="S390" s="347">
        <f t="shared" si="42"/>
        <v>906.29</v>
      </c>
    </row>
    <row r="391" spans="1:20" ht="34.5" customHeight="1">
      <c r="A391" s="91">
        <v>123</v>
      </c>
      <c r="B391" s="298" t="s">
        <v>567</v>
      </c>
      <c r="C391" s="296" t="s">
        <v>857</v>
      </c>
      <c r="D391" s="341">
        <v>89.88</v>
      </c>
      <c r="E391" s="285"/>
      <c r="F391" s="279"/>
      <c r="G391" s="279"/>
      <c r="H391" s="223">
        <v>0</v>
      </c>
      <c r="I391" s="223">
        <v>0</v>
      </c>
      <c r="J391" s="238">
        <v>0</v>
      </c>
      <c r="K391" s="342"/>
      <c r="L391" s="343"/>
      <c r="M391" s="344">
        <v>0</v>
      </c>
      <c r="N391" s="285" t="s">
        <v>41</v>
      </c>
      <c r="O391" s="279">
        <v>1</v>
      </c>
      <c r="P391" s="279">
        <v>1</v>
      </c>
      <c r="Q391" s="345">
        <f t="shared" si="39"/>
        <v>84</v>
      </c>
      <c r="R391" s="346">
        <f t="shared" si="40"/>
        <v>5.88</v>
      </c>
      <c r="S391" s="347">
        <f t="shared" si="42"/>
        <v>89.88</v>
      </c>
    </row>
    <row r="392" spans="1:20" ht="34.5" customHeight="1">
      <c r="A392" s="91">
        <v>124</v>
      </c>
      <c r="B392" s="298" t="s">
        <v>39</v>
      </c>
      <c r="C392" s="296" t="s">
        <v>858</v>
      </c>
      <c r="D392" s="341">
        <v>13268</v>
      </c>
      <c r="E392" s="285">
        <v>25355</v>
      </c>
      <c r="F392" s="279">
        <v>1</v>
      </c>
      <c r="G392" s="279">
        <v>1</v>
      </c>
      <c r="H392" s="223">
        <v>9610</v>
      </c>
      <c r="I392" s="223">
        <v>672.7</v>
      </c>
      <c r="J392" s="238">
        <v>10282.700000000001</v>
      </c>
      <c r="K392" s="342" t="s">
        <v>859</v>
      </c>
      <c r="L392" s="343" t="s">
        <v>860</v>
      </c>
      <c r="M392" s="344">
        <v>16916.7</v>
      </c>
      <c r="N392" s="285" t="s">
        <v>41</v>
      </c>
      <c r="O392" s="279">
        <v>1</v>
      </c>
      <c r="P392" s="279">
        <v>1</v>
      </c>
      <c r="Q392" s="345">
        <f t="shared" si="39"/>
        <v>6200</v>
      </c>
      <c r="R392" s="346">
        <f t="shared" si="40"/>
        <v>434</v>
      </c>
      <c r="S392" s="347">
        <f t="shared" si="42"/>
        <v>6634</v>
      </c>
    </row>
    <row r="393" spans="1:20" ht="34.5" customHeight="1">
      <c r="A393" s="91">
        <v>125</v>
      </c>
      <c r="B393" s="300" t="s">
        <v>861</v>
      </c>
      <c r="C393" s="296" t="s">
        <v>862</v>
      </c>
      <c r="D393" s="341">
        <v>53.5</v>
      </c>
      <c r="E393" s="285"/>
      <c r="F393" s="279"/>
      <c r="G393" s="279"/>
      <c r="H393" s="223">
        <v>0</v>
      </c>
      <c r="I393" s="223">
        <v>0</v>
      </c>
      <c r="J393" s="238">
        <v>0</v>
      </c>
      <c r="K393" s="342">
        <v>46230</v>
      </c>
      <c r="L393" s="343" t="s">
        <v>863</v>
      </c>
      <c r="M393" s="344">
        <v>53.5</v>
      </c>
      <c r="N393" s="285"/>
      <c r="O393" s="279"/>
      <c r="P393" s="279"/>
      <c r="Q393" s="345">
        <f t="shared" ref="Q393:Q433" si="43">ROUND(S393*100/107,2)</f>
        <v>0</v>
      </c>
      <c r="R393" s="346">
        <f t="shared" ref="R393:R433" si="44">ROUND((Q393*0.07),2)</f>
        <v>0</v>
      </c>
      <c r="S393" s="347">
        <f t="shared" si="42"/>
        <v>0</v>
      </c>
    </row>
    <row r="394" spans="1:20" ht="34.5" customHeight="1">
      <c r="A394" s="91">
        <v>126</v>
      </c>
      <c r="B394" s="300" t="s">
        <v>864</v>
      </c>
      <c r="C394" s="296" t="s">
        <v>865</v>
      </c>
      <c r="D394" s="341">
        <v>0</v>
      </c>
      <c r="E394" s="285"/>
      <c r="F394" s="279"/>
      <c r="G394" s="279"/>
      <c r="H394" s="223">
        <v>0</v>
      </c>
      <c r="I394" s="223">
        <v>0</v>
      </c>
      <c r="J394" s="238">
        <v>0</v>
      </c>
      <c r="K394" s="342"/>
      <c r="L394" s="343"/>
      <c r="M394" s="344"/>
      <c r="N394" s="285"/>
      <c r="O394" s="279"/>
      <c r="P394" s="279"/>
      <c r="Q394" s="345">
        <f t="shared" si="43"/>
        <v>0</v>
      </c>
      <c r="R394" s="346">
        <f t="shared" si="44"/>
        <v>0</v>
      </c>
      <c r="S394" s="347">
        <f t="shared" si="42"/>
        <v>0</v>
      </c>
      <c r="T394" s="2" t="s">
        <v>866</v>
      </c>
    </row>
    <row r="395" spans="1:20" ht="34.5" customHeight="1">
      <c r="A395" s="91">
        <v>127</v>
      </c>
      <c r="B395" s="298" t="s">
        <v>867</v>
      </c>
      <c r="C395" s="296" t="s">
        <v>868</v>
      </c>
      <c r="D395" s="341">
        <v>599.20000000000005</v>
      </c>
      <c r="E395" s="285"/>
      <c r="F395" s="279"/>
      <c r="G395" s="279"/>
      <c r="H395" s="223">
        <v>0</v>
      </c>
      <c r="I395" s="223">
        <v>0</v>
      </c>
      <c r="J395" s="238">
        <v>0</v>
      </c>
      <c r="K395" s="342"/>
      <c r="L395" s="343"/>
      <c r="M395" s="344">
        <v>0</v>
      </c>
      <c r="N395" s="285" t="s">
        <v>41</v>
      </c>
      <c r="O395" s="279">
        <v>1</v>
      </c>
      <c r="P395" s="279">
        <v>1</v>
      </c>
      <c r="Q395" s="345">
        <f t="shared" si="43"/>
        <v>560</v>
      </c>
      <c r="R395" s="346">
        <f t="shared" si="44"/>
        <v>39.200000000000003</v>
      </c>
      <c r="S395" s="347">
        <f t="shared" si="42"/>
        <v>599.20000000000005</v>
      </c>
    </row>
    <row r="396" spans="1:20" ht="34.5" customHeight="1">
      <c r="A396" s="91">
        <v>128</v>
      </c>
      <c r="B396" s="298" t="s">
        <v>59</v>
      </c>
      <c r="C396" s="296" t="s">
        <v>868</v>
      </c>
      <c r="D396" s="341">
        <v>1797.6</v>
      </c>
      <c r="E396" s="285"/>
      <c r="F396" s="279"/>
      <c r="G396" s="279"/>
      <c r="H396" s="223">
        <v>0</v>
      </c>
      <c r="I396" s="223">
        <v>0</v>
      </c>
      <c r="J396" s="238">
        <v>0</v>
      </c>
      <c r="K396" s="342">
        <v>46227</v>
      </c>
      <c r="L396" s="343" t="s">
        <v>869</v>
      </c>
      <c r="M396" s="344">
        <v>1797.6</v>
      </c>
      <c r="N396" s="285"/>
      <c r="O396" s="279"/>
      <c r="P396" s="279"/>
      <c r="Q396" s="345">
        <f t="shared" si="43"/>
        <v>0</v>
      </c>
      <c r="R396" s="346">
        <f t="shared" si="44"/>
        <v>0</v>
      </c>
      <c r="S396" s="347">
        <f t="shared" si="42"/>
        <v>0</v>
      </c>
    </row>
    <row r="397" spans="1:20" ht="34.5" customHeight="1">
      <c r="A397" s="91">
        <v>129</v>
      </c>
      <c r="B397" s="298" t="s">
        <v>870</v>
      </c>
      <c r="C397" s="296" t="s">
        <v>871</v>
      </c>
      <c r="D397" s="341">
        <v>171.2</v>
      </c>
      <c r="E397" s="285"/>
      <c r="F397" s="279"/>
      <c r="G397" s="279"/>
      <c r="H397" s="223">
        <v>0</v>
      </c>
      <c r="I397" s="223">
        <v>0</v>
      </c>
      <c r="J397" s="238">
        <v>0</v>
      </c>
      <c r="K397" s="342"/>
      <c r="L397" s="343"/>
      <c r="M397" s="344">
        <v>0</v>
      </c>
      <c r="N397" s="285" t="s">
        <v>41</v>
      </c>
      <c r="O397" s="279">
        <v>1</v>
      </c>
      <c r="P397" s="279">
        <v>1</v>
      </c>
      <c r="Q397" s="345">
        <f t="shared" si="43"/>
        <v>160</v>
      </c>
      <c r="R397" s="346">
        <f t="shared" si="44"/>
        <v>11.2</v>
      </c>
      <c r="S397" s="347">
        <f t="shared" si="42"/>
        <v>171.2</v>
      </c>
    </row>
    <row r="398" spans="1:20" ht="34.5" customHeight="1">
      <c r="A398" s="91">
        <v>130</v>
      </c>
      <c r="B398" s="127" t="s">
        <v>569</v>
      </c>
      <c r="C398" s="127" t="s">
        <v>872</v>
      </c>
      <c r="D398" s="341">
        <v>97.37</v>
      </c>
      <c r="E398" s="285"/>
      <c r="F398" s="279"/>
      <c r="G398" s="279"/>
      <c r="H398" s="223">
        <v>0</v>
      </c>
      <c r="I398" s="223">
        <v>0</v>
      </c>
      <c r="J398" s="238">
        <v>0</v>
      </c>
      <c r="K398" s="342">
        <v>46227</v>
      </c>
      <c r="L398" s="343" t="s">
        <v>873</v>
      </c>
      <c r="M398" s="344">
        <v>97.37</v>
      </c>
      <c r="N398" s="285"/>
      <c r="O398" s="279"/>
      <c r="P398" s="279"/>
      <c r="Q398" s="345">
        <f t="shared" si="43"/>
        <v>0</v>
      </c>
      <c r="R398" s="346">
        <f t="shared" si="44"/>
        <v>0</v>
      </c>
      <c r="S398" s="347">
        <f t="shared" si="42"/>
        <v>0</v>
      </c>
    </row>
    <row r="399" spans="1:20" ht="34.5" customHeight="1">
      <c r="A399" s="91">
        <v>131</v>
      </c>
      <c r="B399" s="127" t="s">
        <v>585</v>
      </c>
      <c r="C399" s="127" t="s">
        <v>874</v>
      </c>
      <c r="D399" s="341">
        <v>149.80000000000001</v>
      </c>
      <c r="E399" s="285"/>
      <c r="F399" s="279"/>
      <c r="G399" s="279"/>
      <c r="H399" s="223">
        <v>0</v>
      </c>
      <c r="I399" s="223">
        <v>0</v>
      </c>
      <c r="J399" s="238">
        <v>0</v>
      </c>
      <c r="K399" s="342">
        <v>46226</v>
      </c>
      <c r="L399" s="343" t="s">
        <v>875</v>
      </c>
      <c r="M399" s="344">
        <v>149.80000000000001</v>
      </c>
      <c r="N399" s="285"/>
      <c r="O399" s="279"/>
      <c r="P399" s="279"/>
      <c r="Q399" s="345">
        <f t="shared" si="43"/>
        <v>0</v>
      </c>
      <c r="R399" s="346">
        <f t="shared" si="44"/>
        <v>0</v>
      </c>
      <c r="S399" s="347">
        <f t="shared" si="42"/>
        <v>0</v>
      </c>
    </row>
    <row r="400" spans="1:20" ht="34.5" customHeight="1">
      <c r="A400" s="91">
        <v>132</v>
      </c>
      <c r="B400" s="127" t="s">
        <v>588</v>
      </c>
      <c r="C400" s="127" t="s">
        <v>876</v>
      </c>
      <c r="D400" s="341">
        <v>67.41</v>
      </c>
      <c r="E400" s="285"/>
      <c r="F400" s="279"/>
      <c r="G400" s="279"/>
      <c r="H400" s="223">
        <v>0</v>
      </c>
      <c r="I400" s="223">
        <v>0</v>
      </c>
      <c r="J400" s="238">
        <v>0</v>
      </c>
      <c r="K400" s="342">
        <v>46226</v>
      </c>
      <c r="L400" s="343" t="s">
        <v>877</v>
      </c>
      <c r="M400" s="344">
        <v>67.41</v>
      </c>
      <c r="N400" s="285"/>
      <c r="O400" s="279"/>
      <c r="P400" s="279"/>
      <c r="Q400" s="345">
        <f t="shared" si="43"/>
        <v>0</v>
      </c>
      <c r="R400" s="346">
        <f t="shared" si="44"/>
        <v>0</v>
      </c>
      <c r="S400" s="347">
        <f t="shared" si="42"/>
        <v>0</v>
      </c>
    </row>
    <row r="401" spans="1:19" ht="34.5" customHeight="1">
      <c r="A401" s="91">
        <v>133</v>
      </c>
      <c r="B401" s="127" t="s">
        <v>588</v>
      </c>
      <c r="C401" s="127" t="s">
        <v>878</v>
      </c>
      <c r="D401" s="341">
        <v>411.95</v>
      </c>
      <c r="E401" s="285"/>
      <c r="F401" s="279"/>
      <c r="G401" s="279"/>
      <c r="H401" s="223">
        <v>0</v>
      </c>
      <c r="I401" s="223">
        <v>0</v>
      </c>
      <c r="J401" s="238">
        <v>0</v>
      </c>
      <c r="K401" s="342">
        <v>46226</v>
      </c>
      <c r="L401" s="343" t="s">
        <v>879</v>
      </c>
      <c r="M401" s="344">
        <v>411.95</v>
      </c>
      <c r="N401" s="285"/>
      <c r="O401" s="279"/>
      <c r="P401" s="279"/>
      <c r="Q401" s="345"/>
      <c r="R401" s="346"/>
      <c r="S401" s="347"/>
    </row>
    <row r="402" spans="1:19" ht="34.5" customHeight="1">
      <c r="A402" s="91">
        <v>134</v>
      </c>
      <c r="B402" s="298" t="s">
        <v>381</v>
      </c>
      <c r="C402" s="127" t="s">
        <v>880</v>
      </c>
      <c r="D402" s="341">
        <v>314.58</v>
      </c>
      <c r="E402" s="285"/>
      <c r="F402" s="279"/>
      <c r="G402" s="279"/>
      <c r="H402" s="223">
        <v>0</v>
      </c>
      <c r="I402" s="223">
        <v>0</v>
      </c>
      <c r="J402" s="238">
        <v>0</v>
      </c>
      <c r="K402" s="342">
        <v>46226</v>
      </c>
      <c r="L402" s="343" t="s">
        <v>881</v>
      </c>
      <c r="M402" s="344">
        <v>314.58</v>
      </c>
      <c r="N402" s="285"/>
      <c r="O402" s="279"/>
      <c r="P402" s="279"/>
      <c r="Q402" s="345">
        <f t="shared" si="43"/>
        <v>0</v>
      </c>
      <c r="R402" s="346">
        <f t="shared" si="44"/>
        <v>0</v>
      </c>
      <c r="S402" s="347">
        <f t="shared" si="42"/>
        <v>0</v>
      </c>
    </row>
    <row r="403" spans="1:19" ht="34.5" customHeight="1">
      <c r="A403" s="91">
        <v>135</v>
      </c>
      <c r="B403" s="298" t="s">
        <v>595</v>
      </c>
      <c r="C403" s="127" t="s">
        <v>882</v>
      </c>
      <c r="D403" s="341">
        <v>599.20000000000005</v>
      </c>
      <c r="E403" s="289"/>
      <c r="F403" s="279"/>
      <c r="G403" s="279"/>
      <c r="H403" s="223">
        <v>0</v>
      </c>
      <c r="I403" s="223">
        <v>0</v>
      </c>
      <c r="J403" s="238">
        <v>0</v>
      </c>
      <c r="K403" s="342">
        <v>46223</v>
      </c>
      <c r="L403" s="343" t="s">
        <v>883</v>
      </c>
      <c r="M403" s="344">
        <v>599.20000000000005</v>
      </c>
      <c r="N403" s="289"/>
      <c r="O403" s="279"/>
      <c r="P403" s="279"/>
      <c r="Q403" s="345">
        <f t="shared" si="43"/>
        <v>0</v>
      </c>
      <c r="R403" s="346">
        <f t="shared" si="44"/>
        <v>0</v>
      </c>
      <c r="S403" s="347">
        <f t="shared" si="42"/>
        <v>0</v>
      </c>
    </row>
    <row r="404" spans="1:19" ht="34.5" customHeight="1">
      <c r="A404" s="91">
        <v>136</v>
      </c>
      <c r="B404" s="298" t="s">
        <v>595</v>
      </c>
      <c r="C404" s="127" t="s">
        <v>884</v>
      </c>
      <c r="D404" s="341">
        <v>52.43</v>
      </c>
      <c r="E404" s="285"/>
      <c r="F404" s="279"/>
      <c r="G404" s="279"/>
      <c r="H404" s="223">
        <v>0</v>
      </c>
      <c r="I404" s="223">
        <v>0</v>
      </c>
      <c r="J404" s="238">
        <v>0</v>
      </c>
      <c r="K404" s="342">
        <v>46226</v>
      </c>
      <c r="L404" s="343" t="s">
        <v>885</v>
      </c>
      <c r="M404" s="344">
        <v>52.43</v>
      </c>
      <c r="N404" s="285"/>
      <c r="O404" s="279"/>
      <c r="P404" s="279"/>
      <c r="Q404" s="345">
        <f t="shared" si="43"/>
        <v>0</v>
      </c>
      <c r="R404" s="346">
        <f t="shared" si="44"/>
        <v>0</v>
      </c>
      <c r="S404" s="347">
        <f t="shared" si="42"/>
        <v>0</v>
      </c>
    </row>
    <row r="405" spans="1:19" ht="34.5" customHeight="1">
      <c r="A405" s="91">
        <v>137</v>
      </c>
      <c r="B405" s="300" t="s">
        <v>588</v>
      </c>
      <c r="C405" s="296" t="s">
        <v>886</v>
      </c>
      <c r="D405" s="341">
        <v>471.87</v>
      </c>
      <c r="E405" s="285"/>
      <c r="F405" s="279"/>
      <c r="G405" s="279"/>
      <c r="H405" s="223">
        <v>0</v>
      </c>
      <c r="I405" s="223">
        <v>0</v>
      </c>
      <c r="J405" s="238">
        <v>0</v>
      </c>
      <c r="K405" s="342">
        <v>46226</v>
      </c>
      <c r="L405" s="343" t="s">
        <v>887</v>
      </c>
      <c r="M405" s="344">
        <v>471.87</v>
      </c>
      <c r="N405" s="285"/>
      <c r="O405" s="279"/>
      <c r="P405" s="279"/>
      <c r="Q405" s="345">
        <f t="shared" si="43"/>
        <v>0</v>
      </c>
      <c r="R405" s="346">
        <f t="shared" si="44"/>
        <v>0</v>
      </c>
      <c r="S405" s="347">
        <f t="shared" si="42"/>
        <v>0</v>
      </c>
    </row>
    <row r="406" spans="1:19" ht="34.5" customHeight="1">
      <c r="A406" s="91">
        <v>138</v>
      </c>
      <c r="B406" s="300" t="s">
        <v>65</v>
      </c>
      <c r="C406" s="296" t="s">
        <v>668</v>
      </c>
      <c r="D406" s="341">
        <v>2161.4</v>
      </c>
      <c r="E406" s="285">
        <v>25355</v>
      </c>
      <c r="F406" s="279">
        <v>1</v>
      </c>
      <c r="G406" s="279">
        <v>1</v>
      </c>
      <c r="H406" s="223">
        <v>2840</v>
      </c>
      <c r="I406" s="223">
        <v>198.8</v>
      </c>
      <c r="J406" s="238">
        <v>3038.8</v>
      </c>
      <c r="K406" s="342" t="s">
        <v>68</v>
      </c>
      <c r="L406" s="343" t="s">
        <v>888</v>
      </c>
      <c r="M406" s="344">
        <v>5200.2000000000007</v>
      </c>
      <c r="N406" s="285"/>
      <c r="O406" s="279"/>
      <c r="P406" s="279"/>
      <c r="Q406" s="345">
        <f t="shared" si="43"/>
        <v>0</v>
      </c>
      <c r="R406" s="346">
        <f t="shared" si="44"/>
        <v>0</v>
      </c>
      <c r="S406" s="347">
        <f t="shared" si="42"/>
        <v>0</v>
      </c>
    </row>
    <row r="407" spans="1:19" ht="34.5" customHeight="1">
      <c r="A407" s="91">
        <v>139</v>
      </c>
      <c r="B407" s="296" t="s">
        <v>889</v>
      </c>
      <c r="C407" s="296" t="s">
        <v>890</v>
      </c>
      <c r="D407" s="341">
        <v>3500</v>
      </c>
      <c r="E407" s="289"/>
      <c r="F407" s="279"/>
      <c r="G407" s="279"/>
      <c r="H407" s="223">
        <v>0</v>
      </c>
      <c r="I407" s="223">
        <v>0</v>
      </c>
      <c r="J407" s="238">
        <v>0</v>
      </c>
      <c r="K407" s="342">
        <v>46230</v>
      </c>
      <c r="L407" s="343" t="s">
        <v>891</v>
      </c>
      <c r="M407" s="344">
        <v>3500</v>
      </c>
      <c r="N407" s="289"/>
      <c r="O407" s="279"/>
      <c r="P407" s="279"/>
      <c r="Q407" s="345">
        <f t="shared" si="43"/>
        <v>0</v>
      </c>
      <c r="R407" s="346">
        <f t="shared" si="44"/>
        <v>0</v>
      </c>
      <c r="S407" s="347">
        <f t="shared" si="42"/>
        <v>0</v>
      </c>
    </row>
    <row r="408" spans="1:19" ht="34.5" customHeight="1">
      <c r="A408" s="91">
        <v>140</v>
      </c>
      <c r="B408" s="372" t="s">
        <v>892</v>
      </c>
      <c r="C408" s="373" t="s">
        <v>893</v>
      </c>
      <c r="D408" s="341">
        <v>53.5</v>
      </c>
      <c r="E408" s="285"/>
      <c r="F408" s="279"/>
      <c r="G408" s="279"/>
      <c r="H408" s="223">
        <v>0</v>
      </c>
      <c r="I408" s="223">
        <v>0</v>
      </c>
      <c r="J408" s="238">
        <v>0</v>
      </c>
      <c r="K408" s="342">
        <v>46230</v>
      </c>
      <c r="L408" s="343" t="s">
        <v>894</v>
      </c>
      <c r="M408" s="344">
        <v>53.5</v>
      </c>
      <c r="N408" s="285"/>
      <c r="O408" s="279"/>
      <c r="P408" s="279"/>
      <c r="Q408" s="345">
        <f t="shared" si="43"/>
        <v>0</v>
      </c>
      <c r="R408" s="346">
        <f t="shared" si="44"/>
        <v>0</v>
      </c>
      <c r="S408" s="347">
        <f t="shared" si="42"/>
        <v>0</v>
      </c>
    </row>
    <row r="409" spans="1:19" ht="34.5" customHeight="1">
      <c r="A409" s="91">
        <v>141</v>
      </c>
      <c r="B409" s="296" t="s">
        <v>892</v>
      </c>
      <c r="C409" s="127" t="s">
        <v>895</v>
      </c>
      <c r="D409" s="341">
        <v>2289.8000000000002</v>
      </c>
      <c r="E409" s="289"/>
      <c r="F409" s="279"/>
      <c r="G409" s="279"/>
      <c r="H409" s="223">
        <v>0</v>
      </c>
      <c r="I409" s="223">
        <v>0</v>
      </c>
      <c r="J409" s="238">
        <v>0</v>
      </c>
      <c r="K409" s="342">
        <v>46230</v>
      </c>
      <c r="L409" s="343" t="s">
        <v>894</v>
      </c>
      <c r="M409" s="344">
        <v>2289.8000000000002</v>
      </c>
      <c r="N409" s="289"/>
      <c r="O409" s="279"/>
      <c r="P409" s="279"/>
      <c r="Q409" s="345">
        <f t="shared" si="43"/>
        <v>0</v>
      </c>
      <c r="R409" s="346">
        <f t="shared" si="44"/>
        <v>0</v>
      </c>
      <c r="S409" s="347">
        <f t="shared" si="42"/>
        <v>0</v>
      </c>
    </row>
    <row r="410" spans="1:19" ht="34.5" customHeight="1">
      <c r="A410" s="91">
        <v>142</v>
      </c>
      <c r="B410" s="296" t="s">
        <v>896</v>
      </c>
      <c r="C410" s="127" t="s">
        <v>897</v>
      </c>
      <c r="D410" s="341">
        <v>37.450000000000003</v>
      </c>
      <c r="E410" s="285"/>
      <c r="F410" s="279"/>
      <c r="G410" s="279"/>
      <c r="H410" s="223">
        <v>0</v>
      </c>
      <c r="I410" s="223">
        <v>0</v>
      </c>
      <c r="J410" s="238">
        <v>0</v>
      </c>
      <c r="K410" s="342">
        <v>46234</v>
      </c>
      <c r="L410" s="343" t="s">
        <v>898</v>
      </c>
      <c r="M410" s="344">
        <v>37.450000000000003</v>
      </c>
      <c r="N410" s="285"/>
      <c r="O410" s="279"/>
      <c r="P410" s="279"/>
      <c r="Q410" s="345">
        <f t="shared" si="43"/>
        <v>0</v>
      </c>
      <c r="R410" s="346">
        <f t="shared" si="44"/>
        <v>0</v>
      </c>
      <c r="S410" s="347">
        <f t="shared" si="42"/>
        <v>0</v>
      </c>
    </row>
    <row r="411" spans="1:19" ht="34.5" customHeight="1">
      <c r="A411" s="91">
        <v>143</v>
      </c>
      <c r="B411" s="296" t="s">
        <v>579</v>
      </c>
      <c r="C411" s="127" t="s">
        <v>899</v>
      </c>
      <c r="D411" s="341">
        <v>37.450000000000003</v>
      </c>
      <c r="E411" s="289"/>
      <c r="F411" s="279"/>
      <c r="G411" s="279"/>
      <c r="H411" s="223">
        <v>0</v>
      </c>
      <c r="I411" s="223">
        <v>0</v>
      </c>
      <c r="J411" s="238">
        <v>0</v>
      </c>
      <c r="K411" s="342">
        <v>46234</v>
      </c>
      <c r="L411" s="343" t="s">
        <v>900</v>
      </c>
      <c r="M411" s="344">
        <v>37.450000000000003</v>
      </c>
      <c r="N411" s="289"/>
      <c r="O411" s="279"/>
      <c r="P411" s="279"/>
      <c r="Q411" s="345">
        <f t="shared" si="43"/>
        <v>0</v>
      </c>
      <c r="R411" s="346">
        <f t="shared" si="44"/>
        <v>0</v>
      </c>
      <c r="S411" s="347">
        <f t="shared" si="42"/>
        <v>0</v>
      </c>
    </row>
    <row r="412" spans="1:19" ht="34.5" customHeight="1">
      <c r="A412" s="91">
        <v>144</v>
      </c>
      <c r="B412" s="374" t="s">
        <v>901</v>
      </c>
      <c r="C412" s="127" t="s">
        <v>893</v>
      </c>
      <c r="D412" s="341">
        <v>4675.8999999999996</v>
      </c>
      <c r="E412" s="285"/>
      <c r="F412" s="279"/>
      <c r="G412" s="279"/>
      <c r="H412" s="223">
        <v>0</v>
      </c>
      <c r="I412" s="223">
        <v>0</v>
      </c>
      <c r="J412" s="238">
        <v>0</v>
      </c>
      <c r="K412" s="342"/>
      <c r="L412" s="343"/>
      <c r="M412" s="344">
        <v>0</v>
      </c>
      <c r="N412" s="285" t="s">
        <v>41</v>
      </c>
      <c r="O412" s="279">
        <v>1</v>
      </c>
      <c r="P412" s="279">
        <v>1</v>
      </c>
      <c r="Q412" s="345">
        <f t="shared" si="43"/>
        <v>4370</v>
      </c>
      <c r="R412" s="346">
        <f t="shared" si="44"/>
        <v>305.89999999999998</v>
      </c>
      <c r="S412" s="347">
        <f t="shared" si="42"/>
        <v>4675.8999999999996</v>
      </c>
    </row>
    <row r="413" spans="1:19" ht="34.5" customHeight="1">
      <c r="A413" s="91">
        <v>145</v>
      </c>
      <c r="B413" s="374" t="s">
        <v>839</v>
      </c>
      <c r="C413" s="127" t="s">
        <v>902</v>
      </c>
      <c r="D413" s="341">
        <v>738.3</v>
      </c>
      <c r="E413" s="285"/>
      <c r="F413" s="279"/>
      <c r="G413" s="279"/>
      <c r="H413" s="223">
        <v>0</v>
      </c>
      <c r="I413" s="223">
        <v>0</v>
      </c>
      <c r="J413" s="238">
        <v>0</v>
      </c>
      <c r="K413" s="342">
        <v>46223</v>
      </c>
      <c r="L413" s="343" t="s">
        <v>903</v>
      </c>
      <c r="M413" s="344">
        <v>738.3</v>
      </c>
      <c r="N413" s="285"/>
      <c r="O413" s="279"/>
      <c r="P413" s="279"/>
      <c r="Q413" s="345">
        <f t="shared" si="43"/>
        <v>0</v>
      </c>
      <c r="R413" s="346">
        <f t="shared" si="44"/>
        <v>0</v>
      </c>
      <c r="S413" s="347">
        <f t="shared" si="42"/>
        <v>0</v>
      </c>
    </row>
    <row r="414" spans="1:19" ht="34.5" customHeight="1">
      <c r="A414" s="91">
        <v>146</v>
      </c>
      <c r="B414" s="374" t="s">
        <v>904</v>
      </c>
      <c r="C414" s="127" t="s">
        <v>905</v>
      </c>
      <c r="D414" s="341">
        <v>1904.6</v>
      </c>
      <c r="E414" s="285"/>
      <c r="F414" s="279"/>
      <c r="G414" s="279"/>
      <c r="H414" s="223">
        <v>0</v>
      </c>
      <c r="I414" s="223">
        <v>0</v>
      </c>
      <c r="J414" s="238">
        <v>0</v>
      </c>
      <c r="K414" s="342"/>
      <c r="L414" s="343"/>
      <c r="M414" s="344">
        <v>0</v>
      </c>
      <c r="N414" s="285" t="s">
        <v>41</v>
      </c>
      <c r="O414" s="279">
        <v>1</v>
      </c>
      <c r="P414" s="279">
        <v>1</v>
      </c>
      <c r="Q414" s="345">
        <f t="shared" si="43"/>
        <v>1780</v>
      </c>
      <c r="R414" s="346">
        <f t="shared" si="44"/>
        <v>124.6</v>
      </c>
      <c r="S414" s="347">
        <f t="shared" si="42"/>
        <v>1904.6</v>
      </c>
    </row>
    <row r="415" spans="1:19" ht="34.5" customHeight="1">
      <c r="A415" s="91">
        <v>147</v>
      </c>
      <c r="B415" s="296" t="s">
        <v>906</v>
      </c>
      <c r="C415" s="127" t="s">
        <v>907</v>
      </c>
      <c r="D415" s="341">
        <v>428</v>
      </c>
      <c r="E415" s="285"/>
      <c r="F415" s="279"/>
      <c r="G415" s="279"/>
      <c r="H415" s="223">
        <v>0</v>
      </c>
      <c r="I415" s="223">
        <v>0</v>
      </c>
      <c r="J415" s="238">
        <v>0</v>
      </c>
      <c r="K415" s="342">
        <v>46230</v>
      </c>
      <c r="L415" s="343" t="s">
        <v>908</v>
      </c>
      <c r="M415" s="344">
        <v>428</v>
      </c>
      <c r="N415" s="285"/>
      <c r="O415" s="279"/>
      <c r="P415" s="279"/>
      <c r="Q415" s="345">
        <f t="shared" si="43"/>
        <v>0</v>
      </c>
      <c r="R415" s="346">
        <f t="shared" si="44"/>
        <v>0</v>
      </c>
      <c r="S415" s="347">
        <f t="shared" si="42"/>
        <v>0</v>
      </c>
    </row>
    <row r="416" spans="1:19" ht="34.5" customHeight="1">
      <c r="A416" s="91">
        <v>148</v>
      </c>
      <c r="B416" s="296" t="s">
        <v>909</v>
      </c>
      <c r="C416" s="127" t="s">
        <v>910</v>
      </c>
      <c r="D416" s="341">
        <v>278.2</v>
      </c>
      <c r="E416" s="285"/>
      <c r="F416" s="279"/>
      <c r="G416" s="279"/>
      <c r="H416" s="223">
        <v>0</v>
      </c>
      <c r="I416" s="223">
        <v>0</v>
      </c>
      <c r="J416" s="238">
        <v>0</v>
      </c>
      <c r="K416" s="342">
        <v>46226</v>
      </c>
      <c r="L416" s="343" t="s">
        <v>911</v>
      </c>
      <c r="M416" s="344">
        <v>278.2</v>
      </c>
      <c r="N416" s="285"/>
      <c r="O416" s="279"/>
      <c r="P416" s="279"/>
      <c r="Q416" s="345">
        <f t="shared" si="43"/>
        <v>0</v>
      </c>
      <c r="R416" s="346">
        <f t="shared" si="44"/>
        <v>0</v>
      </c>
      <c r="S416" s="347">
        <f t="shared" si="42"/>
        <v>0</v>
      </c>
    </row>
    <row r="417" spans="1:19" ht="34.5" customHeight="1">
      <c r="A417" s="91">
        <v>149</v>
      </c>
      <c r="B417" s="296" t="s">
        <v>602</v>
      </c>
      <c r="C417" s="127" t="s">
        <v>912</v>
      </c>
      <c r="D417" s="341">
        <v>449.4</v>
      </c>
      <c r="E417" s="289"/>
      <c r="F417" s="279"/>
      <c r="G417" s="279"/>
      <c r="H417" s="223">
        <v>0</v>
      </c>
      <c r="I417" s="223">
        <v>0</v>
      </c>
      <c r="J417" s="238">
        <v>0</v>
      </c>
      <c r="K417" s="342">
        <v>46231</v>
      </c>
      <c r="L417" s="343" t="s">
        <v>913</v>
      </c>
      <c r="M417" s="344">
        <v>449.4</v>
      </c>
      <c r="N417" s="285"/>
      <c r="O417" s="279"/>
      <c r="P417" s="279"/>
      <c r="Q417" s="345">
        <f t="shared" si="43"/>
        <v>0</v>
      </c>
      <c r="R417" s="346">
        <f t="shared" si="44"/>
        <v>0</v>
      </c>
      <c r="S417" s="347">
        <f t="shared" si="42"/>
        <v>0</v>
      </c>
    </row>
    <row r="418" spans="1:19" ht="34.5" customHeight="1">
      <c r="A418" s="91">
        <v>150</v>
      </c>
      <c r="B418" s="296" t="s">
        <v>914</v>
      </c>
      <c r="C418" s="127" t="s">
        <v>840</v>
      </c>
      <c r="D418" s="341">
        <v>2343.3000000000002</v>
      </c>
      <c r="E418" s="285"/>
      <c r="F418" s="279"/>
      <c r="G418" s="279"/>
      <c r="H418" s="223">
        <v>0</v>
      </c>
      <c r="I418" s="223">
        <v>0</v>
      </c>
      <c r="J418" s="238">
        <v>0</v>
      </c>
      <c r="K418" s="342">
        <v>46226</v>
      </c>
      <c r="L418" s="343" t="s">
        <v>915</v>
      </c>
      <c r="M418" s="344">
        <v>2343.3000000000002</v>
      </c>
      <c r="N418" s="289"/>
      <c r="O418" s="279"/>
      <c r="P418" s="279"/>
      <c r="Q418" s="345">
        <f t="shared" si="43"/>
        <v>0</v>
      </c>
      <c r="R418" s="346">
        <f t="shared" si="44"/>
        <v>0</v>
      </c>
      <c r="S418" s="347">
        <f t="shared" si="42"/>
        <v>0</v>
      </c>
    </row>
    <row r="419" spans="1:19" ht="34.5" customHeight="1">
      <c r="A419" s="91">
        <v>151</v>
      </c>
      <c r="B419" s="296" t="s">
        <v>916</v>
      </c>
      <c r="C419" s="127" t="s">
        <v>893</v>
      </c>
      <c r="D419" s="341">
        <v>1284</v>
      </c>
      <c r="E419" s="285"/>
      <c r="F419" s="279"/>
      <c r="G419" s="279"/>
      <c r="H419" s="223">
        <v>0</v>
      </c>
      <c r="I419" s="223">
        <v>0</v>
      </c>
      <c r="J419" s="238">
        <v>0</v>
      </c>
      <c r="K419" s="342"/>
      <c r="L419" s="343"/>
      <c r="M419" s="344">
        <v>0</v>
      </c>
      <c r="N419" s="285" t="s">
        <v>41</v>
      </c>
      <c r="O419" s="279">
        <v>1</v>
      </c>
      <c r="P419" s="279">
        <v>1</v>
      </c>
      <c r="Q419" s="345">
        <f t="shared" si="43"/>
        <v>1200</v>
      </c>
      <c r="R419" s="346">
        <f t="shared" si="44"/>
        <v>84</v>
      </c>
      <c r="S419" s="347">
        <f t="shared" si="42"/>
        <v>1284</v>
      </c>
    </row>
    <row r="420" spans="1:19" ht="34.5" customHeight="1">
      <c r="A420" s="91">
        <v>152</v>
      </c>
      <c r="B420" s="296" t="s">
        <v>613</v>
      </c>
      <c r="C420" s="127" t="s">
        <v>917</v>
      </c>
      <c r="D420" s="341">
        <v>674.1</v>
      </c>
      <c r="E420" s="285"/>
      <c r="F420" s="279"/>
      <c r="G420" s="279"/>
      <c r="H420" s="223">
        <v>0</v>
      </c>
      <c r="I420" s="223">
        <v>0</v>
      </c>
      <c r="J420" s="238">
        <v>0</v>
      </c>
      <c r="K420" s="342">
        <v>46225</v>
      </c>
      <c r="L420" s="343" t="s">
        <v>918</v>
      </c>
      <c r="M420" s="344">
        <v>674.1</v>
      </c>
      <c r="N420" s="285"/>
      <c r="O420" s="279"/>
      <c r="P420" s="279"/>
      <c r="Q420" s="345">
        <f t="shared" si="43"/>
        <v>0</v>
      </c>
      <c r="R420" s="346">
        <f t="shared" si="44"/>
        <v>0</v>
      </c>
      <c r="S420" s="347">
        <f t="shared" si="42"/>
        <v>0</v>
      </c>
    </row>
    <row r="421" spans="1:19" ht="34.5" customHeight="1">
      <c r="A421" s="91">
        <v>153</v>
      </c>
      <c r="B421" s="296" t="s">
        <v>613</v>
      </c>
      <c r="C421" s="127" t="s">
        <v>895</v>
      </c>
      <c r="D421" s="341">
        <v>128.4</v>
      </c>
      <c r="E421" s="285"/>
      <c r="F421" s="279"/>
      <c r="G421" s="279"/>
      <c r="H421" s="223">
        <v>0</v>
      </c>
      <c r="I421" s="223">
        <v>0</v>
      </c>
      <c r="J421" s="238">
        <v>0</v>
      </c>
      <c r="K421" s="342">
        <v>46223</v>
      </c>
      <c r="L421" s="343" t="s">
        <v>919</v>
      </c>
      <c r="M421" s="344">
        <v>128.4</v>
      </c>
      <c r="N421" s="285"/>
      <c r="O421" s="279"/>
      <c r="P421" s="279"/>
      <c r="Q421" s="345">
        <f t="shared" si="43"/>
        <v>0</v>
      </c>
      <c r="R421" s="346">
        <f t="shared" si="44"/>
        <v>0</v>
      </c>
      <c r="S421" s="347">
        <f t="shared" si="42"/>
        <v>0</v>
      </c>
    </row>
    <row r="422" spans="1:19" ht="34.5" customHeight="1">
      <c r="A422" s="91">
        <v>154</v>
      </c>
      <c r="B422" s="296" t="s">
        <v>920</v>
      </c>
      <c r="C422" s="127" t="s">
        <v>893</v>
      </c>
      <c r="D422" s="341">
        <v>577.79999999999995</v>
      </c>
      <c r="E422" s="285"/>
      <c r="F422" s="279"/>
      <c r="G422" s="279"/>
      <c r="H422" s="223">
        <v>0</v>
      </c>
      <c r="I422" s="223">
        <v>0</v>
      </c>
      <c r="J422" s="238">
        <v>0</v>
      </c>
      <c r="K422" s="342"/>
      <c r="L422" s="343"/>
      <c r="M422" s="344">
        <v>0</v>
      </c>
      <c r="N422" s="285" t="s">
        <v>41</v>
      </c>
      <c r="O422" s="279">
        <v>1</v>
      </c>
      <c r="P422" s="279">
        <v>1</v>
      </c>
      <c r="Q422" s="345">
        <f t="shared" si="43"/>
        <v>540</v>
      </c>
      <c r="R422" s="346">
        <f t="shared" si="44"/>
        <v>37.799999999999997</v>
      </c>
      <c r="S422" s="347">
        <f t="shared" si="42"/>
        <v>577.79999999999995</v>
      </c>
    </row>
    <row r="423" spans="1:19" ht="34.5" customHeight="1">
      <c r="A423" s="91">
        <v>155</v>
      </c>
      <c r="B423" s="322" t="s">
        <v>921</v>
      </c>
      <c r="C423" s="127" t="s">
        <v>831</v>
      </c>
      <c r="D423" s="341">
        <v>2065.1</v>
      </c>
      <c r="E423" s="285"/>
      <c r="F423" s="279"/>
      <c r="G423" s="279"/>
      <c r="H423" s="223">
        <v>0</v>
      </c>
      <c r="I423" s="223">
        <v>0</v>
      </c>
      <c r="J423" s="238">
        <v>0</v>
      </c>
      <c r="K423" s="342">
        <v>46224</v>
      </c>
      <c r="L423" s="343" t="s">
        <v>922</v>
      </c>
      <c r="M423" s="344">
        <v>2065.1</v>
      </c>
      <c r="N423" s="285"/>
      <c r="O423" s="279"/>
      <c r="P423" s="279"/>
      <c r="Q423" s="345">
        <f t="shared" si="43"/>
        <v>0</v>
      </c>
      <c r="R423" s="346">
        <f t="shared" si="44"/>
        <v>0</v>
      </c>
      <c r="S423" s="347">
        <f t="shared" si="42"/>
        <v>0</v>
      </c>
    </row>
    <row r="424" spans="1:19" ht="34.5" customHeight="1">
      <c r="A424" s="91">
        <v>156</v>
      </c>
      <c r="B424" s="322" t="s">
        <v>923</v>
      </c>
      <c r="C424" s="127" t="s">
        <v>924</v>
      </c>
      <c r="D424" s="341">
        <v>2878.3</v>
      </c>
      <c r="E424" s="285"/>
      <c r="F424" s="279"/>
      <c r="G424" s="279"/>
      <c r="H424" s="223">
        <v>0</v>
      </c>
      <c r="I424" s="223">
        <v>0</v>
      </c>
      <c r="J424" s="238">
        <v>0</v>
      </c>
      <c r="K424" s="342">
        <v>46225</v>
      </c>
      <c r="L424" s="343" t="s">
        <v>925</v>
      </c>
      <c r="M424" s="344">
        <v>2878.3</v>
      </c>
      <c r="N424" s="285"/>
      <c r="O424" s="279"/>
      <c r="P424" s="279"/>
      <c r="Q424" s="345">
        <f t="shared" si="43"/>
        <v>0</v>
      </c>
      <c r="R424" s="346">
        <f t="shared" si="44"/>
        <v>0</v>
      </c>
      <c r="S424" s="347">
        <f t="shared" si="42"/>
        <v>0</v>
      </c>
    </row>
    <row r="425" spans="1:19" ht="34.5" customHeight="1">
      <c r="A425" s="91">
        <v>157</v>
      </c>
      <c r="B425" s="322" t="s">
        <v>926</v>
      </c>
      <c r="C425" s="127" t="s">
        <v>924</v>
      </c>
      <c r="D425" s="341">
        <v>53.5</v>
      </c>
      <c r="E425" s="285"/>
      <c r="F425" s="279"/>
      <c r="G425" s="279"/>
      <c r="H425" s="223">
        <v>0</v>
      </c>
      <c r="I425" s="223">
        <v>0</v>
      </c>
      <c r="J425" s="238">
        <v>0</v>
      </c>
      <c r="K425" s="342">
        <v>46226</v>
      </c>
      <c r="L425" s="343" t="s">
        <v>927</v>
      </c>
      <c r="M425" s="344">
        <v>53.5</v>
      </c>
      <c r="N425" s="285"/>
      <c r="O425" s="279"/>
      <c r="P425" s="279"/>
      <c r="Q425" s="345">
        <f t="shared" si="43"/>
        <v>0</v>
      </c>
      <c r="R425" s="346">
        <f t="shared" si="44"/>
        <v>0</v>
      </c>
      <c r="S425" s="347">
        <f t="shared" si="42"/>
        <v>0</v>
      </c>
    </row>
    <row r="426" spans="1:19" ht="34.5" customHeight="1">
      <c r="A426" s="91">
        <v>158</v>
      </c>
      <c r="B426" s="322" t="s">
        <v>784</v>
      </c>
      <c r="C426" s="127" t="s">
        <v>928</v>
      </c>
      <c r="D426" s="341">
        <v>53.5</v>
      </c>
      <c r="E426" s="285"/>
      <c r="F426" s="279"/>
      <c r="G426" s="279"/>
      <c r="H426" s="223">
        <v>0</v>
      </c>
      <c r="I426" s="223">
        <v>0</v>
      </c>
      <c r="J426" s="238">
        <v>0</v>
      </c>
      <c r="K426" s="342">
        <v>46224</v>
      </c>
      <c r="L426" s="343" t="s">
        <v>929</v>
      </c>
      <c r="M426" s="344">
        <v>53.5</v>
      </c>
      <c r="N426" s="285"/>
      <c r="O426" s="279"/>
      <c r="P426" s="279"/>
      <c r="Q426" s="345">
        <f t="shared" si="43"/>
        <v>0</v>
      </c>
      <c r="R426" s="346">
        <f t="shared" si="44"/>
        <v>0</v>
      </c>
      <c r="S426" s="347">
        <f t="shared" si="42"/>
        <v>0</v>
      </c>
    </row>
    <row r="427" spans="1:19" ht="34.5" customHeight="1">
      <c r="A427" s="91">
        <v>159</v>
      </c>
      <c r="B427" s="296" t="s">
        <v>930</v>
      </c>
      <c r="C427" s="127" t="s">
        <v>924</v>
      </c>
      <c r="D427" s="341">
        <v>7233.2</v>
      </c>
      <c r="E427" s="285"/>
      <c r="F427" s="279"/>
      <c r="G427" s="279"/>
      <c r="H427" s="223">
        <v>0</v>
      </c>
      <c r="I427" s="223">
        <v>0</v>
      </c>
      <c r="J427" s="238">
        <v>0</v>
      </c>
      <c r="K427" s="342">
        <v>46227</v>
      </c>
      <c r="L427" s="343" t="s">
        <v>931</v>
      </c>
      <c r="M427" s="344">
        <v>7233.2</v>
      </c>
      <c r="N427" s="285"/>
      <c r="O427" s="279"/>
      <c r="P427" s="279"/>
      <c r="Q427" s="345">
        <f t="shared" si="43"/>
        <v>0</v>
      </c>
      <c r="R427" s="346">
        <f t="shared" si="44"/>
        <v>0</v>
      </c>
      <c r="S427" s="347">
        <f t="shared" si="42"/>
        <v>0</v>
      </c>
    </row>
    <row r="428" spans="1:19" ht="34.5" customHeight="1">
      <c r="A428" s="91">
        <v>160</v>
      </c>
      <c r="B428" s="296" t="s">
        <v>930</v>
      </c>
      <c r="C428" s="127" t="s">
        <v>924</v>
      </c>
      <c r="D428" s="341">
        <v>1872.5</v>
      </c>
      <c r="E428" s="285"/>
      <c r="F428" s="279"/>
      <c r="G428" s="279"/>
      <c r="H428" s="223">
        <v>0</v>
      </c>
      <c r="I428" s="223">
        <v>0</v>
      </c>
      <c r="J428" s="238">
        <v>0</v>
      </c>
      <c r="K428" s="342">
        <v>46227</v>
      </c>
      <c r="L428" s="343" t="s">
        <v>931</v>
      </c>
      <c r="M428" s="344">
        <v>1872.5</v>
      </c>
      <c r="N428" s="285"/>
      <c r="O428" s="279"/>
      <c r="P428" s="279"/>
      <c r="Q428" s="345">
        <f t="shared" si="43"/>
        <v>0</v>
      </c>
      <c r="R428" s="346">
        <f t="shared" si="44"/>
        <v>0</v>
      </c>
      <c r="S428" s="347">
        <f t="shared" si="42"/>
        <v>0</v>
      </c>
    </row>
    <row r="429" spans="1:19" ht="34.5" customHeight="1">
      <c r="A429" s="91">
        <v>161</v>
      </c>
      <c r="B429" s="296" t="s">
        <v>930</v>
      </c>
      <c r="C429" s="127" t="s">
        <v>895</v>
      </c>
      <c r="D429" s="341">
        <v>6516.3</v>
      </c>
      <c r="E429" s="285"/>
      <c r="F429" s="279"/>
      <c r="G429" s="279"/>
      <c r="H429" s="223"/>
      <c r="I429" s="223"/>
      <c r="J429" s="238"/>
      <c r="K429" s="342">
        <v>46227</v>
      </c>
      <c r="L429" s="343" t="s">
        <v>931</v>
      </c>
      <c r="M429" s="344">
        <v>6516.3</v>
      </c>
      <c r="N429" s="285"/>
      <c r="O429" s="279"/>
      <c r="P429" s="279"/>
      <c r="Q429" s="345">
        <f t="shared" si="43"/>
        <v>0</v>
      </c>
      <c r="R429" s="346">
        <f t="shared" si="44"/>
        <v>0</v>
      </c>
      <c r="S429" s="347">
        <f t="shared" si="42"/>
        <v>0</v>
      </c>
    </row>
    <row r="430" spans="1:19" ht="34.5" customHeight="1">
      <c r="A430" s="91">
        <v>162</v>
      </c>
      <c r="B430" s="296" t="s">
        <v>607</v>
      </c>
      <c r="C430" s="127" t="s">
        <v>932</v>
      </c>
      <c r="D430" s="341">
        <v>1059.3</v>
      </c>
      <c r="E430" s="285"/>
      <c r="F430" s="279"/>
      <c r="G430" s="279"/>
      <c r="H430" s="223">
        <v>0</v>
      </c>
      <c r="I430" s="223">
        <v>0</v>
      </c>
      <c r="J430" s="238">
        <v>0</v>
      </c>
      <c r="K430" s="342">
        <v>46231</v>
      </c>
      <c r="L430" s="343" t="s">
        <v>933</v>
      </c>
      <c r="M430" s="344">
        <v>1059.3</v>
      </c>
      <c r="N430" s="285"/>
      <c r="O430" s="279"/>
      <c r="P430" s="279"/>
      <c r="Q430" s="345">
        <f t="shared" si="43"/>
        <v>0</v>
      </c>
      <c r="R430" s="346">
        <f t="shared" si="44"/>
        <v>0</v>
      </c>
      <c r="S430" s="347">
        <f t="shared" ref="S430:S433" si="45">+D430+J430-M430</f>
        <v>0</v>
      </c>
    </row>
    <row r="431" spans="1:19" ht="34.5" customHeight="1">
      <c r="A431" s="91">
        <v>163</v>
      </c>
      <c r="B431" s="296" t="s">
        <v>934</v>
      </c>
      <c r="C431" s="127" t="s">
        <v>935</v>
      </c>
      <c r="D431" s="341">
        <v>53.5</v>
      </c>
      <c r="E431" s="285"/>
      <c r="F431" s="279"/>
      <c r="G431" s="279"/>
      <c r="H431" s="223">
        <v>0</v>
      </c>
      <c r="I431" s="223">
        <v>0</v>
      </c>
      <c r="J431" s="238">
        <v>0</v>
      </c>
      <c r="K431" s="342">
        <v>46226</v>
      </c>
      <c r="L431" s="343" t="s">
        <v>936</v>
      </c>
      <c r="M431" s="344">
        <v>53.5</v>
      </c>
      <c r="N431" s="285"/>
      <c r="O431" s="279"/>
      <c r="P431" s="279"/>
      <c r="Q431" s="345">
        <f t="shared" si="43"/>
        <v>0</v>
      </c>
      <c r="R431" s="346">
        <f t="shared" si="44"/>
        <v>0</v>
      </c>
      <c r="S431" s="347">
        <f t="shared" si="45"/>
        <v>0</v>
      </c>
    </row>
    <row r="432" spans="1:19" ht="34.5" customHeight="1">
      <c r="A432" s="91">
        <v>164</v>
      </c>
      <c r="B432" s="296" t="s">
        <v>937</v>
      </c>
      <c r="C432" s="127" t="s">
        <v>895</v>
      </c>
      <c r="D432" s="341">
        <v>909.5</v>
      </c>
      <c r="E432" s="285"/>
      <c r="F432" s="279"/>
      <c r="G432" s="279"/>
      <c r="H432" s="223">
        <v>0</v>
      </c>
      <c r="I432" s="223">
        <v>0</v>
      </c>
      <c r="J432" s="238">
        <v>0</v>
      </c>
      <c r="K432" s="342">
        <v>46230</v>
      </c>
      <c r="L432" s="343" t="s">
        <v>938</v>
      </c>
      <c r="M432" s="344">
        <v>909.5</v>
      </c>
      <c r="N432" s="285"/>
      <c r="O432" s="279"/>
      <c r="P432" s="279"/>
      <c r="Q432" s="345">
        <f t="shared" si="43"/>
        <v>0</v>
      </c>
      <c r="R432" s="346">
        <f t="shared" si="44"/>
        <v>0</v>
      </c>
      <c r="S432" s="347">
        <f t="shared" si="45"/>
        <v>0</v>
      </c>
    </row>
    <row r="433" spans="1:19" ht="34.5" customHeight="1">
      <c r="A433" s="91">
        <v>165</v>
      </c>
      <c r="B433" s="296" t="s">
        <v>939</v>
      </c>
      <c r="C433" s="127" t="s">
        <v>924</v>
      </c>
      <c r="D433" s="341">
        <v>53.5</v>
      </c>
      <c r="E433" s="285"/>
      <c r="F433" s="279"/>
      <c r="G433" s="279"/>
      <c r="H433" s="223">
        <v>0</v>
      </c>
      <c r="I433" s="223">
        <v>0</v>
      </c>
      <c r="J433" s="238">
        <v>0</v>
      </c>
      <c r="K433" s="342"/>
      <c r="L433" s="343"/>
      <c r="M433" s="344">
        <v>0</v>
      </c>
      <c r="N433" s="285" t="s">
        <v>41</v>
      </c>
      <c r="O433" s="279">
        <v>1</v>
      </c>
      <c r="P433" s="279">
        <v>1</v>
      </c>
      <c r="Q433" s="345">
        <f t="shared" si="43"/>
        <v>50</v>
      </c>
      <c r="R433" s="346">
        <f t="shared" si="44"/>
        <v>3.5</v>
      </c>
      <c r="S433" s="347">
        <f t="shared" si="45"/>
        <v>53.5</v>
      </c>
    </row>
    <row r="434" spans="1:19" ht="34.5" customHeight="1">
      <c r="A434" s="91">
        <v>166</v>
      </c>
      <c r="B434" s="296" t="s">
        <v>940</v>
      </c>
      <c r="C434" s="127" t="s">
        <v>941</v>
      </c>
      <c r="D434" s="341">
        <v>763.98</v>
      </c>
      <c r="E434" s="285"/>
      <c r="F434" s="279"/>
      <c r="G434" s="279"/>
      <c r="H434" s="223">
        <v>0</v>
      </c>
      <c r="I434" s="223">
        <v>0</v>
      </c>
      <c r="J434" s="238">
        <v>0</v>
      </c>
      <c r="K434" s="342">
        <v>46234</v>
      </c>
      <c r="L434" s="343" t="s">
        <v>942</v>
      </c>
      <c r="M434" s="344">
        <v>763.98</v>
      </c>
      <c r="N434" s="285"/>
      <c r="O434" s="279"/>
      <c r="P434" s="279"/>
      <c r="Q434" s="345"/>
      <c r="R434" s="346"/>
      <c r="S434" s="347"/>
    </row>
    <row r="435" spans="1:19" ht="34.5" customHeight="1" thickBot="1">
      <c r="A435" s="375"/>
      <c r="B435" s="121" t="s">
        <v>19</v>
      </c>
      <c r="C435" s="122"/>
      <c r="D435" s="123">
        <f>SUM(D269:D434)</f>
        <v>246306.54</v>
      </c>
      <c r="E435" s="293"/>
      <c r="F435" s="294"/>
      <c r="G435" s="294"/>
      <c r="H435" s="126">
        <f>SUM(H269:H434)</f>
        <v>64167</v>
      </c>
      <c r="I435" s="126">
        <f>SUM(I269:I434)</f>
        <v>4491.6900000000005</v>
      </c>
      <c r="J435" s="126">
        <f>SUM(J269:J434)</f>
        <v>68658.69</v>
      </c>
      <c r="K435" s="124"/>
      <c r="L435" s="124"/>
      <c r="M435" s="193">
        <f>SUM(M269:M434)</f>
        <v>286750.40000000002</v>
      </c>
      <c r="N435" s="293"/>
      <c r="O435" s="294"/>
      <c r="P435" s="294"/>
      <c r="Q435" s="126">
        <f>SUM(Q269:Q434)-Q388</f>
        <v>26369</v>
      </c>
      <c r="R435" s="126">
        <f>SUM(R269:R434)-R388</f>
        <v>1845.8300000000002</v>
      </c>
      <c r="S435" s="126">
        <f>SUM(S269:S434)</f>
        <v>28214.830000000005</v>
      </c>
    </row>
    <row r="436" spans="1:19" ht="34.5" customHeight="1" thickTop="1">
      <c r="A436" s="53"/>
      <c r="B436" s="76" t="s">
        <v>943</v>
      </c>
      <c r="C436" s="77"/>
      <c r="D436" s="78"/>
      <c r="E436" s="79"/>
      <c r="F436" s="78"/>
      <c r="G436" s="80"/>
      <c r="H436" s="81"/>
      <c r="I436" s="81"/>
      <c r="J436" s="81"/>
      <c r="K436" s="82"/>
      <c r="L436" s="83"/>
      <c r="M436" s="287"/>
      <c r="N436" s="273"/>
      <c r="O436" s="274"/>
      <c r="P436" s="274"/>
      <c r="Q436" s="275"/>
      <c r="R436" s="276"/>
      <c r="S436" s="376"/>
    </row>
    <row r="437" spans="1:19" ht="34.200000000000003" customHeight="1">
      <c r="A437" s="53">
        <v>1</v>
      </c>
      <c r="B437" s="377" t="s">
        <v>217</v>
      </c>
      <c r="C437" s="378" t="s">
        <v>218</v>
      </c>
      <c r="D437" s="379">
        <v>0</v>
      </c>
      <c r="E437" s="208"/>
      <c r="F437" s="380"/>
      <c r="G437" s="380"/>
      <c r="H437" s="178">
        <v>0</v>
      </c>
      <c r="I437" s="178"/>
      <c r="J437" s="178">
        <v>0</v>
      </c>
      <c r="K437" s="381"/>
      <c r="L437" s="382"/>
      <c r="M437" s="383"/>
      <c r="N437" s="384"/>
      <c r="O437" s="385"/>
      <c r="P437" s="385"/>
      <c r="Q437" s="275">
        <f t="shared" ref="Q437" si="46">J437-M437</f>
        <v>0</v>
      </c>
      <c r="R437" s="276"/>
      <c r="S437" s="90">
        <f t="shared" ref="S437" si="47">J437-M437</f>
        <v>0</v>
      </c>
    </row>
    <row r="438" spans="1:19" ht="34.5" customHeight="1" thickBot="1">
      <c r="A438" s="120"/>
      <c r="B438" s="121" t="s">
        <v>19</v>
      </c>
      <c r="C438" s="191"/>
      <c r="D438" s="123">
        <f>SUM(D437:D437)</f>
        <v>0</v>
      </c>
      <c r="E438" s="124"/>
      <c r="F438" s="123"/>
      <c r="G438" s="123"/>
      <c r="H438" s="125">
        <v>0</v>
      </c>
      <c r="I438" s="125">
        <v>0</v>
      </c>
      <c r="J438" s="125">
        <v>0</v>
      </c>
      <c r="K438" s="124"/>
      <c r="L438" s="124"/>
      <c r="M438" s="286">
        <f>SUM(M437:M437)</f>
        <v>0</v>
      </c>
      <c r="N438" s="164"/>
      <c r="O438" s="123"/>
      <c r="P438" s="123"/>
      <c r="Q438" s="125">
        <f>SUM(Q437:Q437)</f>
        <v>0</v>
      </c>
      <c r="R438" s="193">
        <f>SUM(R437:R437)</f>
        <v>0</v>
      </c>
      <c r="S438" s="194">
        <f>SUM(S437:S437)</f>
        <v>0</v>
      </c>
    </row>
    <row r="439" spans="1:19" ht="34.5" customHeight="1" thickTop="1">
      <c r="A439" s="53"/>
      <c r="B439" s="76" t="s">
        <v>944</v>
      </c>
      <c r="C439" s="77"/>
      <c r="D439" s="78"/>
      <c r="E439" s="79"/>
      <c r="F439" s="78"/>
      <c r="G439" s="80"/>
      <c r="H439" s="81"/>
      <c r="I439" s="81"/>
      <c r="J439" s="81"/>
      <c r="K439" s="82"/>
      <c r="L439" s="83"/>
      <c r="M439" s="287"/>
      <c r="N439" s="273"/>
      <c r="O439" s="274"/>
      <c r="P439" s="274"/>
      <c r="Q439" s="275"/>
      <c r="R439" s="276"/>
      <c r="S439" s="90"/>
    </row>
    <row r="440" spans="1:19" ht="34.5" customHeight="1">
      <c r="A440" s="53">
        <v>1</v>
      </c>
      <c r="B440" s="54"/>
      <c r="C440" s="55"/>
      <c r="D440" s="56"/>
      <c r="E440" s="57"/>
      <c r="F440" s="56"/>
      <c r="G440" s="56"/>
      <c r="H440" s="58"/>
      <c r="I440" s="58"/>
      <c r="J440" s="58"/>
      <c r="K440" s="187"/>
      <c r="L440" s="188"/>
      <c r="M440" s="340"/>
      <c r="N440" s="285"/>
      <c r="O440" s="279"/>
      <c r="P440" s="279"/>
      <c r="Q440" s="223"/>
      <c r="R440" s="280"/>
      <c r="S440" s="90"/>
    </row>
    <row r="441" spans="1:19" ht="34.5" customHeight="1" thickBot="1">
      <c r="A441" s="120"/>
      <c r="B441" s="121" t="s">
        <v>19</v>
      </c>
      <c r="C441" s="191"/>
      <c r="D441" s="123">
        <v>0</v>
      </c>
      <c r="E441" s="124"/>
      <c r="F441" s="123"/>
      <c r="G441" s="123"/>
      <c r="H441" s="125">
        <v>0</v>
      </c>
      <c r="I441" s="125">
        <v>0</v>
      </c>
      <c r="J441" s="125">
        <v>0</v>
      </c>
      <c r="K441" s="192"/>
      <c r="L441" s="124"/>
      <c r="M441" s="286"/>
      <c r="N441" s="386"/>
      <c r="O441" s="387"/>
      <c r="P441" s="387"/>
      <c r="Q441" s="194">
        <v>0</v>
      </c>
      <c r="R441" s="388">
        <v>0</v>
      </c>
      <c r="S441" s="194">
        <v>0</v>
      </c>
    </row>
    <row r="442" spans="1:19" s="404" customFormat="1" ht="34.5" customHeight="1" thickTop="1">
      <c r="A442" s="389"/>
      <c r="B442" s="390" t="s">
        <v>945</v>
      </c>
      <c r="C442" s="391"/>
      <c r="D442" s="392"/>
      <c r="E442" s="393"/>
      <c r="F442" s="392"/>
      <c r="G442" s="394"/>
      <c r="H442" s="395"/>
      <c r="I442" s="395"/>
      <c r="J442" s="395"/>
      <c r="K442" s="396"/>
      <c r="L442" s="397"/>
      <c r="M442" s="398"/>
      <c r="N442" s="399"/>
      <c r="O442" s="400"/>
      <c r="P442" s="400"/>
      <c r="Q442" s="401"/>
      <c r="R442" s="402"/>
      <c r="S442" s="403"/>
    </row>
    <row r="443" spans="1:19" s="404" customFormat="1" ht="34.5" customHeight="1">
      <c r="A443" s="389">
        <v>1</v>
      </c>
      <c r="B443" s="405" t="s">
        <v>217</v>
      </c>
      <c r="C443" s="406" t="s">
        <v>946</v>
      </c>
      <c r="D443" s="407">
        <v>0</v>
      </c>
      <c r="E443" s="408"/>
      <c r="F443" s="407"/>
      <c r="G443" s="409"/>
      <c r="H443" s="410">
        <v>0</v>
      </c>
      <c r="I443" s="410"/>
      <c r="J443" s="410">
        <v>0</v>
      </c>
      <c r="K443" s="411"/>
      <c r="L443" s="412"/>
      <c r="M443" s="413"/>
      <c r="N443" s="414"/>
      <c r="O443" s="415"/>
      <c r="P443" s="415"/>
      <c r="Q443" s="416">
        <f t="shared" ref="Q443:Q444" si="48">SUM(D443+J443-M443)</f>
        <v>0</v>
      </c>
      <c r="R443" s="417"/>
      <c r="S443" s="418">
        <f t="shared" ref="S443:S444" si="49">SUM(D443+J443-M443)</f>
        <v>0</v>
      </c>
    </row>
    <row r="444" spans="1:19" s="404" customFormat="1" ht="34.5" customHeight="1">
      <c r="A444" s="389"/>
      <c r="B444" s="405"/>
      <c r="C444" s="406"/>
      <c r="D444" s="407"/>
      <c r="E444" s="408"/>
      <c r="F444" s="407"/>
      <c r="G444" s="409"/>
      <c r="H444" s="410">
        <v>0</v>
      </c>
      <c r="I444" s="410"/>
      <c r="J444" s="410">
        <v>0</v>
      </c>
      <c r="K444" s="411"/>
      <c r="L444" s="412"/>
      <c r="M444" s="413"/>
      <c r="N444" s="414"/>
      <c r="O444" s="415"/>
      <c r="P444" s="415"/>
      <c r="Q444" s="416">
        <f t="shared" si="48"/>
        <v>0</v>
      </c>
      <c r="R444" s="417"/>
      <c r="S444" s="418">
        <f t="shared" si="49"/>
        <v>0</v>
      </c>
    </row>
    <row r="445" spans="1:19" s="422" customFormat="1" ht="37.5" customHeight="1" thickBot="1">
      <c r="A445" s="419"/>
      <c r="B445" s="420" t="s">
        <v>19</v>
      </c>
      <c r="C445" s="420"/>
      <c r="D445" s="421">
        <f t="shared" ref="D445:J445" si="50">SUM(D443:D444)</f>
        <v>0</v>
      </c>
      <c r="E445" s="421">
        <f t="shared" si="50"/>
        <v>0</v>
      </c>
      <c r="F445" s="421">
        <f t="shared" si="50"/>
        <v>0</v>
      </c>
      <c r="G445" s="421">
        <f t="shared" si="50"/>
        <v>0</v>
      </c>
      <c r="H445" s="421">
        <f t="shared" si="50"/>
        <v>0</v>
      </c>
      <c r="I445" s="421">
        <f t="shared" si="50"/>
        <v>0</v>
      </c>
      <c r="J445" s="421">
        <f t="shared" si="50"/>
        <v>0</v>
      </c>
      <c r="K445" s="421"/>
      <c r="L445" s="421">
        <f>SUM(L443:L444)</f>
        <v>0</v>
      </c>
      <c r="M445" s="421">
        <f>SUM(M443:M444)</f>
        <v>0</v>
      </c>
      <c r="N445" s="421">
        <f>SUM(N443:N444)</f>
        <v>0</v>
      </c>
      <c r="O445" s="421"/>
      <c r="P445" s="421"/>
      <c r="Q445" s="421">
        <f>SUM(Q443:Q444)</f>
        <v>0</v>
      </c>
      <c r="R445" s="421">
        <f>SUM(R443:R444)</f>
        <v>0</v>
      </c>
      <c r="S445" s="421">
        <f>SUM(S443:S444)</f>
        <v>0</v>
      </c>
    </row>
    <row r="446" spans="1:19" s="429" customFormat="1" ht="37.5" customHeight="1" thickTop="1">
      <c r="A446" s="423"/>
      <c r="B446" s="424"/>
      <c r="C446" s="424"/>
      <c r="D446" s="425"/>
      <c r="E446" s="425"/>
      <c r="F446" s="425"/>
      <c r="G446" s="425"/>
      <c r="H446" s="425"/>
      <c r="I446" s="425"/>
      <c r="J446" s="425"/>
      <c r="K446" s="426"/>
      <c r="L446" s="426"/>
      <c r="M446" s="427"/>
      <c r="N446" s="428"/>
      <c r="O446" s="425"/>
      <c r="P446" s="425"/>
      <c r="Q446" s="425"/>
      <c r="R446" s="425"/>
      <c r="S446" s="425"/>
    </row>
    <row r="447" spans="1:19" ht="34.5" customHeight="1" thickBot="1">
      <c r="A447" s="430"/>
      <c r="B447" s="431" t="s">
        <v>947</v>
      </c>
      <c r="C447" s="432"/>
      <c r="D447" s="433">
        <f>SUM(D14+D32+D47+D50+D54+D64+D67+D73+D104+D109+D140+D267+D435+D438+D441+D445)</f>
        <v>717005.31</v>
      </c>
      <c r="E447" s="434"/>
      <c r="F447" s="433"/>
      <c r="G447" s="433"/>
      <c r="H447" s="435">
        <f>SUM(H445+H441+H438+H435+H267+H140+H109+H104+H73+H70+H67+H64+H54+H50+H47+H32+H14)</f>
        <v>212738.08000000002</v>
      </c>
      <c r="I447" s="435">
        <f>SUM(I445+I441+I438+I435+I267+I140+I109+I104+I73+I70+I67+I64+I54+I50+I47+I32+I14)</f>
        <v>13454.330000000002</v>
      </c>
      <c r="J447" s="435">
        <f>SUM(J445+J441+J438+J435+J267+J140+J109+J104+J73+J70+J67+J64+J54+J50+J47+J32+J14)</f>
        <v>226192.40999999997</v>
      </c>
      <c r="K447" s="436"/>
      <c r="L447" s="436"/>
      <c r="M447" s="435">
        <f>SUM(M445+M441+M438+M435+M267+M140+M109+M104+M73+M70+M67+M64+M54+M50+M47+M32+M14)</f>
        <v>803909.53999999992</v>
      </c>
      <c r="N447" s="437"/>
      <c r="O447" s="435"/>
      <c r="P447" s="435"/>
      <c r="Q447" s="435">
        <f>SUM(Q445+Q441+Q438+Q435+Q267+Q140+Q109+Q104+Q73+Q70+Q67+Q64+Q54+Q50+Q47+Q32+Q14)</f>
        <v>131968.44</v>
      </c>
      <c r="R447" s="435">
        <f>SUM(R445+R441+R438+R435+R267+R140+R109+R104+R73+R70+R67+R64+R54+R50+R47+R32+R14)</f>
        <v>7640.74</v>
      </c>
      <c r="S447" s="435">
        <f>SUM(S445+S441+S438+S435+S267+S140+S109+S104+S73+S70+S67+S64+S54+S50+S47+S32+S14)</f>
        <v>139609.18000000002</v>
      </c>
    </row>
    <row r="448" spans="1:19" s="205" customFormat="1" ht="34.5" customHeight="1" thickTop="1">
      <c r="A448" s="438"/>
      <c r="C448" s="439"/>
      <c r="D448" s="440"/>
      <c r="E448" s="441"/>
      <c r="F448" s="440"/>
      <c r="G448" s="440"/>
      <c r="H448" s="442"/>
      <c r="I448" s="442"/>
      <c r="J448" s="442"/>
      <c r="K448" s="443"/>
      <c r="L448" s="443"/>
      <c r="M448" s="442"/>
      <c r="N448" s="444"/>
      <c r="O448" s="442"/>
      <c r="P448" s="442"/>
      <c r="Q448" s="442"/>
      <c r="R448" s="442"/>
      <c r="S448" s="442"/>
    </row>
    <row r="449" spans="1:19" s="205" customFormat="1" ht="48" customHeight="1">
      <c r="A449" s="445" t="s">
        <v>948</v>
      </c>
      <c r="B449" s="445"/>
      <c r="C449" s="445"/>
      <c r="D449" s="445"/>
      <c r="E449" s="445"/>
      <c r="F449" s="445"/>
      <c r="G449" s="445"/>
      <c r="H449" s="445"/>
      <c r="I449" s="445"/>
      <c r="J449" s="445"/>
      <c r="K449" s="445"/>
      <c r="L449" s="445"/>
      <c r="M449" s="445"/>
      <c r="N449" s="445"/>
      <c r="O449" s="445"/>
      <c r="P449" s="445"/>
      <c r="Q449" s="445"/>
      <c r="R449" s="445"/>
      <c r="S449" s="445"/>
    </row>
    <row r="450" spans="1:19" ht="34.5" customHeight="1">
      <c r="A450" s="279">
        <v>1</v>
      </c>
      <c r="B450" s="446" t="s">
        <v>949</v>
      </c>
      <c r="C450" s="447" t="s">
        <v>950</v>
      </c>
      <c r="D450" s="448"/>
      <c r="E450" s="345"/>
      <c r="F450" s="448"/>
      <c r="G450" s="448"/>
      <c r="H450" s="223">
        <v>14571.5</v>
      </c>
      <c r="I450" s="90"/>
      <c r="J450" s="90">
        <v>14571.5</v>
      </c>
      <c r="K450" s="449">
        <v>46230</v>
      </c>
      <c r="L450" s="450" t="s">
        <v>951</v>
      </c>
      <c r="M450" s="451">
        <v>100</v>
      </c>
      <c r="N450" s="345"/>
      <c r="O450" s="279"/>
      <c r="P450" s="279"/>
      <c r="Q450" s="223">
        <f>SUM(H450-M450)</f>
        <v>14471.5</v>
      </c>
      <c r="R450" s="223"/>
      <c r="S450" s="238">
        <f>SUM(Q450)</f>
        <v>14471.5</v>
      </c>
    </row>
    <row r="451" spans="1:19" ht="34.5" customHeight="1">
      <c r="A451" s="279">
        <v>2</v>
      </c>
      <c r="B451" s="447" t="s">
        <v>952</v>
      </c>
      <c r="C451" s="447" t="s">
        <v>953</v>
      </c>
      <c r="D451" s="347">
        <v>0</v>
      </c>
      <c r="E451" s="452"/>
      <c r="F451" s="279"/>
      <c r="G451" s="279"/>
      <c r="H451" s="223">
        <v>0</v>
      </c>
      <c r="I451" s="223"/>
      <c r="J451" s="90">
        <v>0</v>
      </c>
      <c r="K451" s="349"/>
      <c r="L451" s="350"/>
      <c r="M451" s="453"/>
      <c r="N451" s="454"/>
      <c r="O451" s="455"/>
      <c r="P451" s="455"/>
      <c r="Q451" s="223">
        <f>S451</f>
        <v>0</v>
      </c>
      <c r="R451" s="223"/>
      <c r="S451" s="238">
        <f>+D451+J451-M451</f>
        <v>0</v>
      </c>
    </row>
    <row r="452" spans="1:19" ht="34.5" customHeight="1" thickBot="1">
      <c r="A452" s="335"/>
      <c r="B452" s="293" t="s">
        <v>19</v>
      </c>
      <c r="C452" s="191"/>
      <c r="D452" s="123">
        <v>0</v>
      </c>
      <c r="E452" s="124"/>
      <c r="F452" s="123"/>
      <c r="G452" s="123"/>
      <c r="H452" s="125">
        <f>SUM(H450:H451)</f>
        <v>14571.5</v>
      </c>
      <c r="I452" s="125">
        <f t="shared" ref="I452:J452" si="51">SUM(I450:I451)</f>
        <v>0</v>
      </c>
      <c r="J452" s="125">
        <f t="shared" si="51"/>
        <v>14571.5</v>
      </c>
      <c r="K452" s="126"/>
      <c r="L452" s="126"/>
      <c r="M452" s="125">
        <f>SUM(M450:M451)</f>
        <v>100</v>
      </c>
      <c r="N452" s="126"/>
      <c r="O452" s="125"/>
      <c r="P452" s="125"/>
      <c r="Q452" s="125">
        <f>SUM(Q450:Q451)</f>
        <v>14471.5</v>
      </c>
      <c r="R452" s="193"/>
      <c r="S452" s="125">
        <f>SUM(S450:S451)</f>
        <v>14471.5</v>
      </c>
    </row>
    <row r="453" spans="1:19" s="205" customFormat="1" ht="34.5" customHeight="1" thickTop="1">
      <c r="A453" s="438"/>
      <c r="C453" s="439"/>
      <c r="D453" s="440"/>
      <c r="E453" s="441"/>
      <c r="F453" s="440"/>
      <c r="G453" s="440"/>
      <c r="H453" s="442"/>
      <c r="I453" s="442"/>
      <c r="J453" s="442"/>
      <c r="K453" s="443"/>
      <c r="L453" s="443"/>
      <c r="M453" s="442"/>
      <c r="N453" s="444"/>
      <c r="O453" s="442"/>
      <c r="P453" s="442"/>
      <c r="Q453" s="442"/>
      <c r="R453" s="442"/>
      <c r="S453" s="442"/>
    </row>
    <row r="454" spans="1:19" s="456" customFormat="1" ht="43.5" customHeight="1">
      <c r="A454" s="445" t="s">
        <v>954</v>
      </c>
      <c r="B454" s="445"/>
      <c r="C454" s="445"/>
      <c r="D454" s="445"/>
      <c r="E454" s="445"/>
      <c r="F454" s="445"/>
      <c r="G454" s="445"/>
      <c r="H454" s="445"/>
      <c r="I454" s="445"/>
      <c r="J454" s="445"/>
      <c r="K454" s="445"/>
      <c r="L454" s="445"/>
      <c r="M454" s="445"/>
      <c r="N454" s="445"/>
      <c r="O454" s="445"/>
      <c r="P454" s="445"/>
      <c r="Q454" s="445"/>
      <c r="R454" s="445"/>
      <c r="S454" s="445"/>
    </row>
    <row r="455" spans="1:19" s="467" customFormat="1" ht="34.5" customHeight="1">
      <c r="A455" s="457">
        <v>1</v>
      </c>
      <c r="B455" s="458" t="s">
        <v>955</v>
      </c>
      <c r="C455" s="459" t="s">
        <v>956</v>
      </c>
      <c r="D455" s="460"/>
      <c r="E455" s="461" t="s">
        <v>957</v>
      </c>
      <c r="F455" s="462">
        <v>4</v>
      </c>
      <c r="G455" s="462">
        <v>4</v>
      </c>
      <c r="H455" s="461">
        <v>14582</v>
      </c>
      <c r="I455" s="460"/>
      <c r="J455" s="463">
        <v>14582</v>
      </c>
      <c r="K455" s="464"/>
      <c r="L455" s="464"/>
      <c r="M455" s="465"/>
      <c r="N455" s="461" t="s">
        <v>957</v>
      </c>
      <c r="O455" s="466">
        <v>4</v>
      </c>
      <c r="P455" s="466">
        <v>4</v>
      </c>
      <c r="Q455" s="461">
        <v>14582</v>
      </c>
      <c r="R455" s="460"/>
      <c r="S455" s="463">
        <f>+D455+J455-M455</f>
        <v>14582</v>
      </c>
    </row>
    <row r="456" spans="1:19" s="467" customFormat="1" ht="34.5" customHeight="1">
      <c r="A456" s="457">
        <v>2</v>
      </c>
      <c r="B456" s="458" t="s">
        <v>955</v>
      </c>
      <c r="C456" s="459" t="s">
        <v>958</v>
      </c>
      <c r="D456" s="460"/>
      <c r="E456" s="461" t="s">
        <v>959</v>
      </c>
      <c r="F456" s="462">
        <v>4</v>
      </c>
      <c r="G456" s="462">
        <v>4</v>
      </c>
      <c r="H456" s="461">
        <v>373.83</v>
      </c>
      <c r="I456" s="460">
        <v>26.17</v>
      </c>
      <c r="J456" s="463">
        <v>400</v>
      </c>
      <c r="K456" s="464"/>
      <c r="L456" s="464"/>
      <c r="M456" s="465"/>
      <c r="N456" s="461" t="s">
        <v>959</v>
      </c>
      <c r="O456" s="466">
        <v>4</v>
      </c>
      <c r="P456" s="466">
        <v>4</v>
      </c>
      <c r="Q456" s="461">
        <f>ROUND(S456*100/107,2)</f>
        <v>373.83</v>
      </c>
      <c r="R456" s="460">
        <f>ROUND((Q456*0.07),2)</f>
        <v>26.17</v>
      </c>
      <c r="S456" s="463">
        <f>+D456+J456-M456</f>
        <v>400</v>
      </c>
    </row>
    <row r="457" spans="1:19" s="467" customFormat="1" ht="34.5" customHeight="1">
      <c r="A457" s="457">
        <v>3</v>
      </c>
      <c r="B457" s="458" t="s">
        <v>955</v>
      </c>
      <c r="C457" s="459" t="s">
        <v>960</v>
      </c>
      <c r="D457" s="460"/>
      <c r="E457" s="461" t="s">
        <v>961</v>
      </c>
      <c r="F457" s="462">
        <v>5</v>
      </c>
      <c r="G457" s="462">
        <v>5</v>
      </c>
      <c r="H457" s="461">
        <v>17955</v>
      </c>
      <c r="I457" s="460">
        <v>1256.8499999999999</v>
      </c>
      <c r="J457" s="463">
        <v>19211.849999999999</v>
      </c>
      <c r="K457" s="464"/>
      <c r="L457" s="464"/>
      <c r="M457" s="465"/>
      <c r="N457" s="461" t="s">
        <v>961</v>
      </c>
      <c r="O457" s="466">
        <v>5</v>
      </c>
      <c r="P457" s="466">
        <v>5</v>
      </c>
      <c r="Q457" s="461">
        <f>ROUND(S457*100/107,2)</f>
        <v>17955</v>
      </c>
      <c r="R457" s="460">
        <f>ROUND((Q457*0.07),2)</f>
        <v>1256.8499999999999</v>
      </c>
      <c r="S457" s="463">
        <f>+D457+J457-M457</f>
        <v>19211.849999999999</v>
      </c>
    </row>
    <row r="458" spans="1:19" s="467" customFormat="1" ht="34.5" customHeight="1">
      <c r="A458" s="457">
        <v>4</v>
      </c>
      <c r="B458" s="458" t="s">
        <v>955</v>
      </c>
      <c r="C458" s="459" t="s">
        <v>962</v>
      </c>
      <c r="D458" s="460"/>
      <c r="E458" s="461" t="s">
        <v>963</v>
      </c>
      <c r="F458" s="462">
        <v>6</v>
      </c>
      <c r="G458" s="462">
        <v>6</v>
      </c>
      <c r="H458" s="461">
        <v>1935</v>
      </c>
      <c r="I458" s="460">
        <v>135.44999999999999</v>
      </c>
      <c r="J458" s="463">
        <v>2070.4499999999998</v>
      </c>
      <c r="K458" s="464"/>
      <c r="L458" s="464"/>
      <c r="M458" s="465"/>
      <c r="N458" s="461" t="s">
        <v>963</v>
      </c>
      <c r="O458" s="466">
        <v>6</v>
      </c>
      <c r="P458" s="466">
        <v>6</v>
      </c>
      <c r="Q458" s="461">
        <f>ROUND(S458*100/107,2)</f>
        <v>1935</v>
      </c>
      <c r="R458" s="468">
        <f>ROUND((Q458*0.07),2)</f>
        <v>135.44999999999999</v>
      </c>
      <c r="S458" s="463">
        <f>+D458+J458-M458</f>
        <v>2070.4499999999998</v>
      </c>
    </row>
    <row r="459" spans="1:19" s="469" customFormat="1" ht="34.5" customHeight="1">
      <c r="A459" s="457">
        <v>5</v>
      </c>
      <c r="B459" s="458" t="s">
        <v>955</v>
      </c>
      <c r="C459" s="459" t="s">
        <v>964</v>
      </c>
      <c r="D459" s="460"/>
      <c r="E459" s="461" t="s">
        <v>963</v>
      </c>
      <c r="F459" s="462">
        <v>6</v>
      </c>
      <c r="G459" s="462">
        <v>6</v>
      </c>
      <c r="H459" s="461">
        <v>44400</v>
      </c>
      <c r="I459" s="460">
        <v>3108</v>
      </c>
      <c r="J459" s="463">
        <v>47508</v>
      </c>
      <c r="K459" s="464"/>
      <c r="L459" s="464"/>
      <c r="M459" s="465"/>
      <c r="N459" s="461" t="s">
        <v>963</v>
      </c>
      <c r="O459" s="466">
        <v>6</v>
      </c>
      <c r="P459" s="466">
        <v>6</v>
      </c>
      <c r="Q459" s="461">
        <f>ROUND(S459*100/107,2)</f>
        <v>44400</v>
      </c>
      <c r="R459" s="468">
        <f>ROUND((Q459*0.07),2)</f>
        <v>3108</v>
      </c>
      <c r="S459" s="463">
        <f>+D459+J459-M459</f>
        <v>47508</v>
      </c>
    </row>
    <row r="460" spans="1:19" s="480" customFormat="1" ht="34.5" customHeight="1">
      <c r="A460" s="470" t="s">
        <v>965</v>
      </c>
      <c r="B460" s="471"/>
      <c r="C460" s="471"/>
      <c r="D460" s="471"/>
      <c r="E460" s="472"/>
      <c r="F460" s="473"/>
      <c r="G460" s="473"/>
      <c r="H460" s="472"/>
      <c r="I460" s="474"/>
      <c r="J460" s="475"/>
      <c r="K460" s="476"/>
      <c r="L460" s="476"/>
      <c r="M460" s="477"/>
      <c r="N460" s="472"/>
      <c r="O460" s="474"/>
      <c r="P460" s="478"/>
      <c r="Q460" s="472"/>
      <c r="R460" s="474"/>
      <c r="S460" s="479"/>
    </row>
    <row r="461" spans="1:19" ht="34.5" customHeight="1" thickBot="1">
      <c r="A461" s="481"/>
      <c r="B461" s="293" t="s">
        <v>19</v>
      </c>
      <c r="C461" s="482"/>
      <c r="D461" s="483"/>
      <c r="E461" s="484">
        <v>0</v>
      </c>
      <c r="F461" s="483"/>
      <c r="G461" s="483"/>
      <c r="H461" s="485">
        <f>SUM(H455:H460)</f>
        <v>79245.83</v>
      </c>
      <c r="I461" s="486">
        <f t="shared" ref="I461:J461" si="52">SUM(I455:I460)</f>
        <v>4526.47</v>
      </c>
      <c r="J461" s="486">
        <f t="shared" si="52"/>
        <v>83772.299999999988</v>
      </c>
      <c r="K461" s="484">
        <f>SUM(K472:K479)</f>
        <v>0</v>
      </c>
      <c r="L461" s="484">
        <f>SUM(L472:L479)</f>
        <v>0</v>
      </c>
      <c r="M461" s="483">
        <f>SUM(M472:M479)</f>
        <v>0</v>
      </c>
      <c r="N461" s="484">
        <f>SUM(N472:N479)</f>
        <v>0</v>
      </c>
      <c r="O461" s="483"/>
      <c r="P461" s="483"/>
      <c r="Q461" s="487">
        <f>SUM(Q455:Q460)</f>
        <v>79245.83</v>
      </c>
      <c r="R461" s="487">
        <f t="shared" ref="R461:S461" si="53">SUM(R455:R460)</f>
        <v>4526.47</v>
      </c>
      <c r="S461" s="485">
        <f t="shared" si="53"/>
        <v>83772.299999999988</v>
      </c>
    </row>
    <row r="462" spans="1:19" ht="34.5" customHeight="1" thickTop="1">
      <c r="A462" s="488"/>
      <c r="B462" s="353"/>
      <c r="C462" s="2"/>
      <c r="D462" s="474"/>
      <c r="E462" s="472"/>
      <c r="F462" s="474"/>
      <c r="G462" s="474"/>
      <c r="H462" s="474"/>
      <c r="I462" s="474"/>
      <c r="J462" s="474"/>
      <c r="K462" s="472"/>
      <c r="L462" s="472"/>
      <c r="M462" s="474"/>
      <c r="N462" s="472"/>
      <c r="O462" s="474"/>
      <c r="P462" s="474"/>
      <c r="Q462" s="474"/>
      <c r="R462" s="474"/>
      <c r="S462" s="474"/>
    </row>
    <row r="463" spans="1:19" s="456" customFormat="1" ht="43.5" customHeight="1">
      <c r="A463" s="445" t="s">
        <v>966</v>
      </c>
      <c r="B463" s="445"/>
      <c r="C463" s="445"/>
      <c r="D463" s="445"/>
      <c r="E463" s="445"/>
      <c r="F463" s="445"/>
      <c r="G463" s="445"/>
      <c r="H463" s="445"/>
      <c r="I463" s="445"/>
      <c r="J463" s="445"/>
      <c r="K463" s="445"/>
      <c r="L463" s="445"/>
      <c r="M463" s="445"/>
      <c r="N463" s="445"/>
      <c r="O463" s="445"/>
      <c r="P463" s="445"/>
      <c r="Q463" s="445"/>
      <c r="R463" s="445"/>
      <c r="S463" s="445"/>
    </row>
    <row r="464" spans="1:19" ht="34.5" customHeight="1">
      <c r="A464" s="147"/>
      <c r="B464" s="489"/>
      <c r="C464" s="490"/>
      <c r="D464" s="257"/>
      <c r="E464" s="491"/>
      <c r="F464" s="147"/>
      <c r="G464" s="147"/>
      <c r="H464" s="96">
        <v>0</v>
      </c>
      <c r="I464" s="492"/>
      <c r="J464" s="493">
        <v>0</v>
      </c>
      <c r="K464" s="494"/>
      <c r="L464" s="495"/>
      <c r="M464" s="496"/>
      <c r="N464" s="491"/>
      <c r="O464" s="19"/>
      <c r="P464" s="19"/>
      <c r="Q464" s="163">
        <f>S464</f>
        <v>0</v>
      </c>
      <c r="R464" s="75"/>
      <c r="S464" s="163">
        <f>+D464+J464-M464</f>
        <v>0</v>
      </c>
    </row>
    <row r="465" spans="1:19" ht="34.5" customHeight="1">
      <c r="A465" s="497"/>
      <c r="B465" s="497"/>
      <c r="C465" s="497"/>
      <c r="D465" s="497"/>
      <c r="E465" s="497"/>
      <c r="F465" s="497"/>
      <c r="G465" s="497"/>
      <c r="H465" s="65"/>
      <c r="J465" s="499"/>
      <c r="K465" s="500"/>
      <c r="L465" s="501"/>
      <c r="M465" s="502"/>
      <c r="N465" s="503"/>
      <c r="Q465" s="65"/>
      <c r="R465" s="65"/>
      <c r="S465" s="65"/>
    </row>
    <row r="466" spans="1:19" ht="34.5" customHeight="1" thickBot="1">
      <c r="A466" s="505"/>
      <c r="B466" s="506" t="s">
        <v>19</v>
      </c>
      <c r="C466" s="507"/>
      <c r="D466" s="508"/>
      <c r="E466" s="509">
        <v>0</v>
      </c>
      <c r="F466" s="508"/>
      <c r="G466" s="508"/>
      <c r="H466" s="510">
        <v>0</v>
      </c>
      <c r="I466" s="510">
        <v>0</v>
      </c>
      <c r="J466" s="510">
        <v>0</v>
      </c>
      <c r="K466" s="509">
        <f>SUM(K476:K482)</f>
        <v>0</v>
      </c>
      <c r="L466" s="511">
        <f>SUM(L476:L482)</f>
        <v>0</v>
      </c>
      <c r="M466" s="510">
        <f>SUM(M464:M465)</f>
        <v>0</v>
      </c>
      <c r="N466" s="509">
        <f>SUM(N476:N482)</f>
        <v>0</v>
      </c>
      <c r="O466" s="508"/>
      <c r="P466" s="508"/>
      <c r="Q466" s="512">
        <f t="shared" ref="Q466:S466" si="54">SUM(Q464)</f>
        <v>0</v>
      </c>
      <c r="R466" s="512">
        <f t="shared" si="54"/>
        <v>0</v>
      </c>
      <c r="S466" s="512">
        <f t="shared" si="54"/>
        <v>0</v>
      </c>
    </row>
    <row r="467" spans="1:19" ht="34.5" customHeight="1" thickTop="1">
      <c r="A467" s="488"/>
      <c r="B467" s="353"/>
      <c r="C467" s="2"/>
      <c r="D467" s="474"/>
      <c r="E467" s="472"/>
      <c r="F467" s="474"/>
      <c r="G467" s="474"/>
      <c r="H467" s="474"/>
      <c r="I467" s="474"/>
      <c r="J467" s="474"/>
      <c r="K467" s="472"/>
      <c r="L467" s="472"/>
      <c r="M467" s="474"/>
      <c r="N467" s="472"/>
      <c r="O467" s="474"/>
      <c r="P467" s="474"/>
      <c r="Q467" s="474"/>
      <c r="R467" s="474"/>
      <c r="S467" s="474"/>
    </row>
    <row r="468" spans="1:19" s="205" customFormat="1" ht="40.5" customHeight="1">
      <c r="A468" s="445" t="s">
        <v>967</v>
      </c>
      <c r="B468" s="445"/>
      <c r="C468" s="445"/>
      <c r="D468" s="445"/>
      <c r="E468" s="445"/>
      <c r="F468" s="445"/>
      <c r="G468" s="445"/>
      <c r="H468" s="445"/>
      <c r="I468" s="445"/>
      <c r="J468" s="445"/>
      <c r="K468" s="445"/>
      <c r="L468" s="445"/>
      <c r="M468" s="445"/>
      <c r="N468" s="445"/>
      <c r="O468" s="445"/>
      <c r="P468" s="445"/>
      <c r="Q468" s="445"/>
      <c r="R468" s="445"/>
      <c r="S468" s="445"/>
    </row>
    <row r="469" spans="1:19" s="467" customFormat="1" ht="34.5" customHeight="1">
      <c r="A469" s="457">
        <v>1</v>
      </c>
      <c r="B469" s="459" t="s">
        <v>968</v>
      </c>
      <c r="C469" s="513" t="s">
        <v>969</v>
      </c>
      <c r="D469" s="514">
        <v>0</v>
      </c>
      <c r="E469" s="515" t="s">
        <v>970</v>
      </c>
      <c r="F469" s="455" t="s">
        <v>971</v>
      </c>
      <c r="G469" s="455" t="s">
        <v>971</v>
      </c>
      <c r="H469" s="461">
        <v>234301.93</v>
      </c>
      <c r="I469" s="455"/>
      <c r="J469" s="516">
        <v>234301.93</v>
      </c>
      <c r="K469" s="349"/>
      <c r="L469" s="517"/>
      <c r="M469" s="518"/>
      <c r="N469" s="515" t="s">
        <v>970</v>
      </c>
      <c r="O469" s="455" t="s">
        <v>971</v>
      </c>
      <c r="P469" s="455" t="s">
        <v>971</v>
      </c>
      <c r="Q469" s="461">
        <f>S469</f>
        <v>234301.93</v>
      </c>
      <c r="R469" s="519"/>
      <c r="S469" s="463">
        <f>+D469+J469-M469</f>
        <v>234301.93</v>
      </c>
    </row>
    <row r="470" spans="1:19" s="467" customFormat="1" ht="34.5" customHeight="1">
      <c r="A470" s="457">
        <f>A469+1</f>
        <v>2</v>
      </c>
      <c r="B470" s="459" t="s">
        <v>968</v>
      </c>
      <c r="C470" s="513" t="s">
        <v>972</v>
      </c>
      <c r="D470" s="520">
        <v>0</v>
      </c>
      <c r="E470" s="515" t="s">
        <v>973</v>
      </c>
      <c r="F470" s="455" t="s">
        <v>971</v>
      </c>
      <c r="G470" s="455" t="s">
        <v>971</v>
      </c>
      <c r="H470" s="520">
        <v>84356.53</v>
      </c>
      <c r="I470" s="461">
        <v>5904.96</v>
      </c>
      <c r="J470" s="520">
        <v>90261.49</v>
      </c>
      <c r="K470" s="349"/>
      <c r="L470" s="517"/>
      <c r="M470" s="351"/>
      <c r="N470" s="515" t="s">
        <v>973</v>
      </c>
      <c r="O470" s="455" t="s">
        <v>971</v>
      </c>
      <c r="P470" s="455" t="s">
        <v>971</v>
      </c>
      <c r="Q470" s="461">
        <v>84356.53</v>
      </c>
      <c r="R470" s="521">
        <v>5904.96</v>
      </c>
      <c r="S470" s="463">
        <v>90261.49</v>
      </c>
    </row>
    <row r="471" spans="1:19" s="467" customFormat="1" ht="34.5" customHeight="1">
      <c r="A471" s="457">
        <f>A470+1</f>
        <v>3</v>
      </c>
      <c r="B471" s="459" t="s">
        <v>968</v>
      </c>
      <c r="C471" s="513" t="s">
        <v>974</v>
      </c>
      <c r="D471" s="520">
        <v>0</v>
      </c>
      <c r="E471" s="515" t="s">
        <v>973</v>
      </c>
      <c r="F471" s="455" t="s">
        <v>971</v>
      </c>
      <c r="G471" s="455" t="s">
        <v>971</v>
      </c>
      <c r="H471" s="520">
        <v>46294.83</v>
      </c>
      <c r="I471" s="461">
        <v>3240.64</v>
      </c>
      <c r="J471" s="520">
        <v>49535.47</v>
      </c>
      <c r="K471" s="349"/>
      <c r="L471" s="517"/>
      <c r="M471" s="351"/>
      <c r="N471" s="515" t="s">
        <v>973</v>
      </c>
      <c r="O471" s="455" t="s">
        <v>971</v>
      </c>
      <c r="P471" s="455" t="s">
        <v>971</v>
      </c>
      <c r="Q471" s="461">
        <f>ROUND(S471*100/107,2)</f>
        <v>46294.83</v>
      </c>
      <c r="R471" s="521">
        <f>ROUND((Q471*0.07),2)</f>
        <v>3240.64</v>
      </c>
      <c r="S471" s="463">
        <f>+D471+J471-M471</f>
        <v>49535.47</v>
      </c>
    </row>
    <row r="472" spans="1:19" s="467" customFormat="1" ht="34.5" customHeight="1">
      <c r="A472" s="457"/>
      <c r="B472" s="522" t="s">
        <v>975</v>
      </c>
      <c r="C472" s="513"/>
      <c r="D472" s="520"/>
      <c r="E472" s="515"/>
      <c r="F472" s="455"/>
      <c r="G472" s="455"/>
      <c r="H472" s="520"/>
      <c r="I472" s="461"/>
      <c r="J472" s="520"/>
      <c r="K472" s="349"/>
      <c r="L472" s="517"/>
      <c r="M472" s="351"/>
      <c r="N472" s="515"/>
      <c r="O472" s="455"/>
      <c r="P472" s="455"/>
      <c r="Q472" s="461"/>
      <c r="R472" s="521"/>
      <c r="S472" s="463"/>
    </row>
    <row r="473" spans="1:19" s="467" customFormat="1" ht="34.5" customHeight="1">
      <c r="A473" s="457">
        <v>4</v>
      </c>
      <c r="B473" s="459" t="s">
        <v>976</v>
      </c>
      <c r="C473" s="513" t="s">
        <v>977</v>
      </c>
      <c r="D473" s="520">
        <v>0</v>
      </c>
      <c r="E473" s="515" t="s">
        <v>978</v>
      </c>
      <c r="F473" s="455">
        <v>8</v>
      </c>
      <c r="G473" s="455">
        <v>8</v>
      </c>
      <c r="H473" s="520">
        <v>20667.22</v>
      </c>
      <c r="I473" s="461"/>
      <c r="J473" s="520">
        <v>20667.22</v>
      </c>
      <c r="K473" s="349"/>
      <c r="L473" s="517"/>
      <c r="M473" s="351"/>
      <c r="N473" s="515" t="s">
        <v>978</v>
      </c>
      <c r="O473" s="455">
        <v>8</v>
      </c>
      <c r="P473" s="455">
        <v>8</v>
      </c>
      <c r="Q473" s="461">
        <v>20667.22</v>
      </c>
      <c r="R473" s="521"/>
      <c r="S473" s="463">
        <v>20667.22</v>
      </c>
    </row>
    <row r="474" spans="1:19" s="467" customFormat="1" ht="34.5" customHeight="1">
      <c r="A474" s="457">
        <v>5</v>
      </c>
      <c r="B474" s="459" t="s">
        <v>976</v>
      </c>
      <c r="C474" s="513" t="s">
        <v>979</v>
      </c>
      <c r="D474" s="520">
        <v>0</v>
      </c>
      <c r="E474" s="515" t="s">
        <v>980</v>
      </c>
      <c r="F474" s="455">
        <v>7</v>
      </c>
      <c r="G474" s="455">
        <v>7</v>
      </c>
      <c r="H474" s="520">
        <v>1372.93</v>
      </c>
      <c r="I474" s="461">
        <v>96.11</v>
      </c>
      <c r="J474" s="520">
        <v>1469.03</v>
      </c>
      <c r="K474" s="349"/>
      <c r="L474" s="517"/>
      <c r="M474" s="351"/>
      <c r="N474" s="515" t="s">
        <v>980</v>
      </c>
      <c r="O474" s="455">
        <v>7</v>
      </c>
      <c r="P474" s="455">
        <v>7</v>
      </c>
      <c r="Q474" s="461">
        <v>1372.93</v>
      </c>
      <c r="R474" s="521">
        <v>96.11</v>
      </c>
      <c r="S474" s="463">
        <f t="shared" ref="S474:S477" si="55">+D474+J474-M474</f>
        <v>1469.03</v>
      </c>
    </row>
    <row r="475" spans="1:19" s="467" customFormat="1" ht="34.5" customHeight="1">
      <c r="A475" s="457">
        <f t="shared" ref="A475:A476" si="56">A474+1</f>
        <v>6</v>
      </c>
      <c r="B475" s="459" t="s">
        <v>976</v>
      </c>
      <c r="C475" s="513" t="s">
        <v>981</v>
      </c>
      <c r="D475" s="520">
        <v>0</v>
      </c>
      <c r="E475" s="515" t="s">
        <v>980</v>
      </c>
      <c r="F475" s="455">
        <v>7</v>
      </c>
      <c r="G475" s="455">
        <v>7</v>
      </c>
      <c r="H475" s="520">
        <v>344.74</v>
      </c>
      <c r="I475" s="461">
        <v>24.13</v>
      </c>
      <c r="J475" s="520">
        <v>368.87</v>
      </c>
      <c r="K475" s="349"/>
      <c r="L475" s="517"/>
      <c r="M475" s="351"/>
      <c r="N475" s="515" t="s">
        <v>980</v>
      </c>
      <c r="O475" s="455">
        <v>7</v>
      </c>
      <c r="P475" s="455">
        <v>7</v>
      </c>
      <c r="Q475" s="461">
        <f t="shared" ref="Q475" si="57">ROUND(S475*100/107,2)</f>
        <v>344.74</v>
      </c>
      <c r="R475" s="521">
        <f t="shared" ref="R475" si="58">ROUND((Q475*0.07),2)</f>
        <v>24.13</v>
      </c>
      <c r="S475" s="463">
        <f t="shared" si="55"/>
        <v>368.87</v>
      </c>
    </row>
    <row r="476" spans="1:19" s="467" customFormat="1" ht="34.5" customHeight="1">
      <c r="A476" s="457">
        <f t="shared" si="56"/>
        <v>7</v>
      </c>
      <c r="B476" s="459" t="s">
        <v>976</v>
      </c>
      <c r="C476" s="513" t="s">
        <v>982</v>
      </c>
      <c r="D476" s="520">
        <v>0</v>
      </c>
      <c r="E476" s="515" t="s">
        <v>983</v>
      </c>
      <c r="F476" s="455"/>
      <c r="G476" s="455"/>
      <c r="H476" s="520">
        <v>15813.94</v>
      </c>
      <c r="I476" s="461"/>
      <c r="J476" s="520">
        <v>15813.94</v>
      </c>
      <c r="K476" s="349"/>
      <c r="L476" s="517"/>
      <c r="M476" s="351"/>
      <c r="N476" s="515" t="s">
        <v>983</v>
      </c>
      <c r="O476" s="455"/>
      <c r="P476" s="455"/>
      <c r="Q476" s="461">
        <v>15813.94</v>
      </c>
      <c r="R476" s="521"/>
      <c r="S476" s="463">
        <f t="shared" si="55"/>
        <v>15813.94</v>
      </c>
    </row>
    <row r="477" spans="1:19" s="467" customFormat="1" ht="34.5" customHeight="1">
      <c r="A477" s="457">
        <f>A476+1</f>
        <v>8</v>
      </c>
      <c r="B477" s="513" t="s">
        <v>976</v>
      </c>
      <c r="C477" s="459" t="s">
        <v>984</v>
      </c>
      <c r="D477" s="460"/>
      <c r="E477" s="461" t="s">
        <v>985</v>
      </c>
      <c r="F477" s="460"/>
      <c r="G477" s="460"/>
      <c r="H477" s="461">
        <v>2832.41</v>
      </c>
      <c r="I477" s="460"/>
      <c r="J477" s="463">
        <v>2832.41</v>
      </c>
      <c r="K477" s="464"/>
      <c r="L477" s="464"/>
      <c r="M477" s="465">
        <v>0</v>
      </c>
      <c r="N477" s="523" t="s">
        <v>985</v>
      </c>
      <c r="O477" s="460"/>
      <c r="P477" s="460"/>
      <c r="Q477" s="461">
        <f t="shared" ref="Q477" si="59">S477</f>
        <v>2832.41</v>
      </c>
      <c r="R477" s="468"/>
      <c r="S477" s="463">
        <f t="shared" si="55"/>
        <v>2832.41</v>
      </c>
    </row>
    <row r="478" spans="1:19" s="467" customFormat="1" ht="34.5" customHeight="1">
      <c r="A478" s="524">
        <v>9</v>
      </c>
      <c r="B478" s="513" t="s">
        <v>976</v>
      </c>
      <c r="C478" s="525" t="s">
        <v>986</v>
      </c>
      <c r="D478" s="526"/>
      <c r="E478" s="527"/>
      <c r="F478" s="526"/>
      <c r="G478" s="526"/>
      <c r="H478" s="527">
        <v>6000</v>
      </c>
      <c r="I478" s="526"/>
      <c r="J478" s="528">
        <v>6000</v>
      </c>
      <c r="K478" s="529"/>
      <c r="L478" s="529"/>
      <c r="M478" s="530"/>
      <c r="N478" s="531"/>
      <c r="O478" s="526"/>
      <c r="P478" s="526"/>
      <c r="Q478" s="527">
        <v>6000</v>
      </c>
      <c r="R478" s="532"/>
      <c r="S478" s="528">
        <v>6000</v>
      </c>
    </row>
    <row r="479" spans="1:19" s="467" customFormat="1" ht="34.5" customHeight="1">
      <c r="A479" s="524"/>
      <c r="B479" s="533" t="s">
        <v>987</v>
      </c>
      <c r="C479" s="525"/>
      <c r="D479" s="526"/>
      <c r="E479" s="527"/>
      <c r="F479" s="526"/>
      <c r="G479" s="526"/>
      <c r="H479" s="527"/>
      <c r="I479" s="526"/>
      <c r="J479" s="528"/>
      <c r="K479" s="529"/>
      <c r="L479" s="529"/>
      <c r="M479" s="530"/>
      <c r="N479" s="527"/>
      <c r="O479" s="526"/>
      <c r="P479" s="526"/>
      <c r="Q479" s="527"/>
      <c r="R479" s="532"/>
      <c r="S479" s="528"/>
    </row>
    <row r="480" spans="1:19" s="539" customFormat="1" ht="34.5" customHeight="1" thickBot="1">
      <c r="A480" s="534"/>
      <c r="B480" s="535" t="s">
        <v>988</v>
      </c>
      <c r="C480" s="535"/>
      <c r="D480" s="483"/>
      <c r="E480" s="484"/>
      <c r="F480" s="483"/>
      <c r="G480" s="483"/>
      <c r="H480" s="536">
        <f>SUM(H469:H479)</f>
        <v>411984.52999999997</v>
      </c>
      <c r="I480" s="536">
        <f>SUM(I469:I479)</f>
        <v>9265.84</v>
      </c>
      <c r="J480" s="537">
        <f>SUM(J469:J479)</f>
        <v>421250.36</v>
      </c>
      <c r="K480" s="484"/>
      <c r="L480" s="537"/>
      <c r="M480" s="485"/>
      <c r="N480" s="484"/>
      <c r="O480" s="483"/>
      <c r="P480" s="483"/>
      <c r="Q480" s="537">
        <f>SUM(Q469:Q479)</f>
        <v>411984.52999999997</v>
      </c>
      <c r="R480" s="483">
        <f t="shared" ref="R480" si="60">SUM(R469:R479)</f>
        <v>9265.84</v>
      </c>
      <c r="S480" s="538">
        <f>SUM(S469:S479)</f>
        <v>421250.36</v>
      </c>
    </row>
    <row r="481" spans="1:20" s="456" customFormat="1" ht="34.5" customHeight="1" thickTop="1">
      <c r="A481" s="540"/>
      <c r="B481" s="541"/>
      <c r="C481" s="542"/>
      <c r="D481" s="543"/>
      <c r="E481" s="544"/>
      <c r="F481" s="543"/>
      <c r="G481" s="543"/>
      <c r="H481" s="544"/>
      <c r="I481" s="543"/>
      <c r="J481" s="545"/>
      <c r="K481" s="544"/>
      <c r="L481" s="544"/>
      <c r="M481" s="543"/>
      <c r="N481" s="544"/>
      <c r="O481" s="543"/>
      <c r="P481" s="543"/>
      <c r="Q481" s="544"/>
      <c r="R481" s="543"/>
      <c r="S481" s="545"/>
    </row>
    <row r="482" spans="1:20" ht="34.5" customHeight="1" thickBot="1">
      <c r="A482" s="546"/>
      <c r="B482" s="547"/>
      <c r="C482" s="548" t="s">
        <v>989</v>
      </c>
      <c r="D482" s="548"/>
      <c r="E482" s="549"/>
      <c r="F482" s="546"/>
      <c r="G482" s="546"/>
      <c r="H482" s="550">
        <f>SUM(H480+H466+H461+H452+H447)</f>
        <v>718539.94</v>
      </c>
      <c r="I482" s="550">
        <f t="shared" ref="I482:J482" si="61">SUM(I480+I466+I461+I452+I447)</f>
        <v>27246.640000000003</v>
      </c>
      <c r="J482" s="550">
        <f t="shared" si="61"/>
        <v>745786.57</v>
      </c>
      <c r="K482" s="551"/>
      <c r="L482" s="548"/>
      <c r="M482" s="552">
        <f>SUM(M480+M466+M461+M452+M447)</f>
        <v>804009.53999999992</v>
      </c>
      <c r="N482" s="548"/>
      <c r="O482" s="546"/>
      <c r="P482" s="546"/>
      <c r="Q482" s="436">
        <f>SUM(Q480+Q466+Q461+Q452+Q447)</f>
        <v>637670.30000000005</v>
      </c>
      <c r="R482" s="553">
        <f>SUM(R480+R466+R461+R452+R447)</f>
        <v>21433.050000000003</v>
      </c>
      <c r="S482" s="436">
        <f>SUM(S480+S466+S461+S452+S447)</f>
        <v>659103.34</v>
      </c>
    </row>
    <row r="483" spans="1:20" ht="34.5" customHeight="1" thickTop="1">
      <c r="Q483" s="190"/>
      <c r="R483" s="190"/>
      <c r="S483" s="560"/>
    </row>
    <row r="484" spans="1:20" ht="34.5" customHeight="1">
      <c r="Q484" s="190"/>
      <c r="R484" s="190"/>
      <c r="S484" s="560"/>
    </row>
    <row r="485" spans="1:20" s="456" customFormat="1" ht="43.5" customHeight="1">
      <c r="A485" s="445" t="s">
        <v>990</v>
      </c>
      <c r="B485" s="445"/>
      <c r="C485" s="445"/>
      <c r="D485" s="445"/>
      <c r="E485" s="445"/>
      <c r="F485" s="445"/>
      <c r="G485" s="445"/>
      <c r="H485" s="445"/>
      <c r="I485" s="445"/>
      <c r="J485" s="445"/>
      <c r="K485" s="445"/>
      <c r="L485" s="445"/>
      <c r="M485" s="445"/>
      <c r="N485" s="445"/>
      <c r="O485" s="445"/>
      <c r="P485" s="445"/>
      <c r="Q485" s="445"/>
      <c r="R485" s="445"/>
      <c r="S485" s="445"/>
    </row>
    <row r="486" spans="1:20" ht="34.5" customHeight="1">
      <c r="A486" s="279">
        <v>1</v>
      </c>
      <c r="B486" s="299" t="s">
        <v>991</v>
      </c>
      <c r="C486" s="447" t="s">
        <v>225</v>
      </c>
      <c r="D486" s="347"/>
      <c r="E486" s="452"/>
      <c r="F486" s="279"/>
      <c r="G486" s="279"/>
      <c r="H486" s="90">
        <v>0</v>
      </c>
      <c r="I486" s="561"/>
      <c r="J486" s="562">
        <v>0</v>
      </c>
      <c r="K486" s="349"/>
      <c r="L486" s="350"/>
      <c r="M486" s="351"/>
      <c r="N486" s="285"/>
      <c r="O486" s="279"/>
      <c r="P486" s="279"/>
      <c r="Q486" s="90">
        <f>S486</f>
        <v>0</v>
      </c>
      <c r="R486" s="90"/>
      <c r="S486" s="90">
        <f>+D486+J486-M486</f>
        <v>0</v>
      </c>
      <c r="T486" s="2" t="s">
        <v>992</v>
      </c>
    </row>
    <row r="487" spans="1:20" ht="34.5" customHeight="1">
      <c r="A487" s="279">
        <v>2</v>
      </c>
      <c r="B487" s="563" t="s">
        <v>991</v>
      </c>
      <c r="C487" s="564" t="s">
        <v>993</v>
      </c>
      <c r="D487" s="565"/>
      <c r="E487" s="566"/>
      <c r="F487" s="455"/>
      <c r="G487" s="279"/>
      <c r="H487" s="238">
        <v>0</v>
      </c>
      <c r="I487" s="238">
        <v>0</v>
      </c>
      <c r="J487" s="238">
        <v>0</v>
      </c>
      <c r="K487" s="349"/>
      <c r="L487" s="350"/>
      <c r="M487" s="351"/>
      <c r="N487" s="289"/>
      <c r="O487" s="279"/>
      <c r="P487" s="279"/>
      <c r="Q487" s="90">
        <f>ROUND(S487*100/107,2)</f>
        <v>0</v>
      </c>
      <c r="R487" s="90">
        <f>ROUND((Q487*0.07),2)</f>
        <v>0</v>
      </c>
      <c r="S487" s="90">
        <f>+D487+J487-M487</f>
        <v>0</v>
      </c>
      <c r="T487" s="2" t="s">
        <v>992</v>
      </c>
    </row>
    <row r="488" spans="1:20" ht="34.5" customHeight="1">
      <c r="A488" s="279">
        <v>3</v>
      </c>
      <c r="B488" s="563" t="s">
        <v>991</v>
      </c>
      <c r="C488" s="564" t="s">
        <v>710</v>
      </c>
      <c r="D488" s="565"/>
      <c r="E488" s="289"/>
      <c r="F488" s="279"/>
      <c r="G488" s="279"/>
      <c r="H488" s="238">
        <v>0</v>
      </c>
      <c r="I488" s="238">
        <v>0</v>
      </c>
      <c r="J488" s="238">
        <v>0</v>
      </c>
      <c r="K488" s="349"/>
      <c r="L488" s="350"/>
      <c r="M488" s="351"/>
      <c r="N488" s="289"/>
      <c r="O488" s="279"/>
      <c r="P488" s="279"/>
      <c r="Q488" s="90">
        <f>ROUND(S488*100/107,2)</f>
        <v>0</v>
      </c>
      <c r="R488" s="90">
        <f>ROUND((Q488*0.07),2)</f>
        <v>0</v>
      </c>
      <c r="S488" s="90">
        <f>+D488+J488-M488</f>
        <v>0</v>
      </c>
      <c r="T488" s="2" t="s">
        <v>992</v>
      </c>
    </row>
    <row r="489" spans="1:20" ht="34.5" customHeight="1" thickBot="1">
      <c r="A489" s="481"/>
      <c r="B489" s="293" t="s">
        <v>19</v>
      </c>
      <c r="C489" s="482"/>
      <c r="D489" s="483">
        <f>SUM(D486:D488)</f>
        <v>0</v>
      </c>
      <c r="E489" s="484">
        <v>0</v>
      </c>
      <c r="F489" s="483"/>
      <c r="G489" s="483"/>
      <c r="H489" s="485">
        <f>SUM(H486:H488)</f>
        <v>0</v>
      </c>
      <c r="I489" s="485">
        <f t="shared" ref="I489:J489" si="62">SUM(I486:I488)</f>
        <v>0</v>
      </c>
      <c r="J489" s="485">
        <f t="shared" si="62"/>
        <v>0</v>
      </c>
      <c r="K489" s="536">
        <f>SUM(K482:K484)</f>
        <v>0</v>
      </c>
      <c r="L489" s="536">
        <f>SUM(L482:L484)</f>
        <v>0</v>
      </c>
      <c r="M489" s="485">
        <f>SUM(M486:M488)</f>
        <v>0</v>
      </c>
      <c r="N489" s="484">
        <f>SUM(N482:N484)</f>
        <v>0</v>
      </c>
      <c r="O489" s="483"/>
      <c r="P489" s="483"/>
      <c r="Q489" s="487">
        <f>SUM(Q486:Q488)</f>
        <v>0</v>
      </c>
      <c r="R489" s="487">
        <f t="shared" ref="R489:S489" si="63">SUM(R486:R488)</f>
        <v>0</v>
      </c>
      <c r="S489" s="487">
        <f t="shared" si="63"/>
        <v>0</v>
      </c>
    </row>
    <row r="490" spans="1:20" s="504" customFormat="1" ht="34.200000000000003" thickTop="1">
      <c r="B490" s="554"/>
      <c r="C490" s="555"/>
      <c r="D490" s="556"/>
      <c r="E490" s="503"/>
      <c r="H490" s="499"/>
      <c r="I490" s="498"/>
      <c r="J490" s="557"/>
      <c r="K490" s="558"/>
      <c r="L490" s="353"/>
      <c r="M490" s="559"/>
      <c r="N490" s="353"/>
      <c r="Q490" s="567"/>
      <c r="R490" s="567"/>
      <c r="S490" s="288"/>
      <c r="T490" s="2"/>
    </row>
    <row r="492" spans="1:20">
      <c r="M492" s="559">
        <f>SUM(M482+M489)</f>
        <v>804009.53999999992</v>
      </c>
    </row>
  </sheetData>
  <mergeCells count="27">
    <mergeCell ref="A460:D460"/>
    <mergeCell ref="A463:S463"/>
    <mergeCell ref="A468:S468"/>
    <mergeCell ref="B480:C480"/>
    <mergeCell ref="A485:S485"/>
    <mergeCell ref="N5:N6"/>
    <mergeCell ref="O5:O6"/>
    <mergeCell ref="Q5:S5"/>
    <mergeCell ref="B104:C104"/>
    <mergeCell ref="A449:S449"/>
    <mergeCell ref="A454:S454"/>
    <mergeCell ref="E5:E6"/>
    <mergeCell ref="F5:F6"/>
    <mergeCell ref="H5:J5"/>
    <mergeCell ref="K5:K6"/>
    <mergeCell ref="L5:L6"/>
    <mergeCell ref="M5:M6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</mergeCells>
  <pageMargins left="0.16" right="0.16" top="0.16" bottom="0.16" header="0.16" footer="0.3"/>
  <pageSetup scale="3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กค.69</vt:lpstr>
      <vt:lpstr>กค.69!Print_Titles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สนง.บริหารหนี้</dc:creator>
  <cp:lastModifiedBy>สนง.บริหารหนี้</cp:lastModifiedBy>
  <dcterms:created xsi:type="dcterms:W3CDTF">2026-08-13T07:14:49Z</dcterms:created>
  <dcterms:modified xsi:type="dcterms:W3CDTF">2026-08-13T07:15:13Z</dcterms:modified>
</cp:coreProperties>
</file>