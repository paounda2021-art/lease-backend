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8C1017B5-8474-46F6-9A2E-4C1F5BB5C95D}" xr6:coauthVersionLast="47" xr6:coauthVersionMax="47" xr10:uidLastSave="{00000000-0000-0000-0000-000000000000}"/>
  <bookViews>
    <workbookView xWindow="-108" yWindow="-108" windowWidth="23256" windowHeight="12456" xr2:uid="{522DED33-1E09-47E7-B674-608A12804971}"/>
  </bookViews>
  <sheets>
    <sheet name="มิย.69" sheetId="38" r:id="rId1"/>
    <sheet name="รับชำระ มิย.69" sheetId="41" r:id="rId2"/>
    <sheet name="แนบ มิย.69" sheetId="39" r:id="rId3"/>
    <sheet name="เรียง มิย.69" sheetId="40" r:id="rId4"/>
    <sheet name="พค.69" sheetId="33" r:id="rId5"/>
    <sheet name="รับชำระ พค.69" sheetId="34" r:id="rId6"/>
    <sheet name="แนบ พค.69" sheetId="35" r:id="rId7"/>
    <sheet name="เรียง พค.69" sheetId="37" r:id="rId8"/>
    <sheet name="เรียง เมย.69" sheetId="32" r:id="rId9"/>
    <sheet name="แนบ เมย.69" sheetId="31" r:id="rId10"/>
    <sheet name="รับชำระ เมย.69" sheetId="30" r:id="rId11"/>
    <sheet name="เมย.69" sheetId="28" r:id="rId12"/>
    <sheet name="(ท่าส่ง) เม.ย.69" sheetId="29" r:id="rId13"/>
    <sheet name="มีค.69" sheetId="24" r:id="rId14"/>
    <sheet name="รับชำระ มีค.69" sheetId="25" r:id="rId15"/>
    <sheet name="แนบ มีค.69" sheetId="26" r:id="rId16"/>
    <sheet name="เรียง มีค.69" sheetId="27" r:id="rId17"/>
    <sheet name="กพ.69" sheetId="20" r:id="rId18"/>
    <sheet name="รับชำระ กพ.69" sheetId="21" r:id="rId19"/>
    <sheet name="แนบ กพ.69" sheetId="22" r:id="rId20"/>
    <sheet name="เรียง กพ.69 " sheetId="23" r:id="rId21"/>
    <sheet name="มค.69" sheetId="15" r:id="rId22"/>
    <sheet name="รับชำระ มค.69" sheetId="16" r:id="rId23"/>
    <sheet name="แนบ มค.69" sheetId="18" r:id="rId24"/>
    <sheet name="เรียง มค.69" sheetId="19" r:id="rId25"/>
    <sheet name="ธค.68" sheetId="10" r:id="rId26"/>
    <sheet name="รับชำระ ธค.68" sheetId="11" r:id="rId27"/>
    <sheet name="แนบ ธค.68" sheetId="13" r:id="rId28"/>
    <sheet name="เรียง ธค.68" sheetId="14" r:id="rId29"/>
    <sheet name="พย.68" sheetId="6" r:id="rId30"/>
    <sheet name="รับชำระ พย.68" sheetId="9" r:id="rId31"/>
    <sheet name="แนบ พย.68" sheetId="7" r:id="rId32"/>
    <sheet name="เรียง พย.68" sheetId="8" r:id="rId33"/>
    <sheet name="ตค.68" sheetId="2" r:id="rId34"/>
    <sheet name="รับชำระ ตค.68" sheetId="3" r:id="rId35"/>
    <sheet name="แนบ ตค.68" sheetId="4" r:id="rId36"/>
    <sheet name="เรียง ตค.68" sheetId="5" r:id="rId37"/>
    <sheet name="กย.68" sheetId="1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41" l="1"/>
  <c r="H37" i="41"/>
  <c r="H31" i="41"/>
  <c r="H25" i="41"/>
  <c r="H20" i="41"/>
  <c r="M86" i="38" l="1"/>
  <c r="D86" i="38"/>
  <c r="M76" i="38"/>
  <c r="D76" i="38"/>
  <c r="M61" i="38"/>
  <c r="M48" i="38"/>
  <c r="M43" i="38"/>
  <c r="D43" i="38"/>
  <c r="H38" i="34"/>
  <c r="H37" i="34"/>
  <c r="H31" i="34"/>
  <c r="H25" i="34"/>
  <c r="H20" i="34"/>
  <c r="D103" i="38" l="1"/>
  <c r="M103" i="38"/>
  <c r="D86" i="33"/>
  <c r="M86" i="33"/>
  <c r="D76" i="33"/>
  <c r="M76" i="33"/>
  <c r="M61" i="33"/>
  <c r="M48" i="33"/>
  <c r="D43" i="33"/>
  <c r="M43" i="33"/>
  <c r="D20" i="30"/>
  <c r="D31" i="30"/>
  <c r="D37" i="30"/>
  <c r="G25" i="30"/>
  <c r="M84" i="28"/>
  <c r="M83" i="28"/>
  <c r="M82" i="28"/>
  <c r="M81" i="28"/>
  <c r="M86" i="28" s="1"/>
  <c r="M73" i="28"/>
  <c r="M72" i="28"/>
  <c r="M71" i="28"/>
  <c r="M70" i="28"/>
  <c r="M47" i="28"/>
  <c r="M46" i="28"/>
  <c r="M45" i="28"/>
  <c r="M48" i="28" s="1"/>
  <c r="M37" i="28"/>
  <c r="M36" i="28"/>
  <c r="M35" i="28"/>
  <c r="M34" i="28"/>
  <c r="M33" i="28"/>
  <c r="M32" i="28"/>
  <c r="M31" i="28"/>
  <c r="M30" i="28"/>
  <c r="M29" i="28"/>
  <c r="M28" i="28"/>
  <c r="M27" i="28"/>
  <c r="M26" i="28"/>
  <c r="M43" i="28" s="1"/>
  <c r="S212" i="29"/>
  <c r="J212" i="29"/>
  <c r="S211" i="29"/>
  <c r="S209" i="29"/>
  <c r="S197" i="29"/>
  <c r="S191" i="29"/>
  <c r="M102" i="29"/>
  <c r="I102" i="29"/>
  <c r="H102" i="29"/>
  <c r="D102" i="29"/>
  <c r="J101" i="29"/>
  <c r="S100" i="29"/>
  <c r="R100" i="29"/>
  <c r="R102" i="29" s="1"/>
  <c r="Q100" i="29"/>
  <c r="S98" i="29"/>
  <c r="R98" i="29"/>
  <c r="Q98" i="29"/>
  <c r="M98" i="29"/>
  <c r="J98" i="29"/>
  <c r="I98" i="29"/>
  <c r="H98" i="29"/>
  <c r="D98" i="29"/>
  <c r="S95" i="29"/>
  <c r="R95" i="29"/>
  <c r="Q95" i="29"/>
  <c r="M95" i="29"/>
  <c r="J95" i="29"/>
  <c r="I95" i="29"/>
  <c r="H95" i="29"/>
  <c r="D95" i="29"/>
  <c r="S92" i="29"/>
  <c r="R92" i="29"/>
  <c r="Q92" i="29"/>
  <c r="J92" i="29"/>
  <c r="I92" i="29"/>
  <c r="H92" i="29"/>
  <c r="D92" i="29"/>
  <c r="M91" i="29"/>
  <c r="M92" i="29" s="1"/>
  <c r="S89" i="29"/>
  <c r="R89" i="29"/>
  <c r="Q89" i="29"/>
  <c r="M89" i="29"/>
  <c r="J89" i="29"/>
  <c r="I89" i="29"/>
  <c r="H89" i="29"/>
  <c r="D89" i="29"/>
  <c r="H86" i="29"/>
  <c r="D86" i="29"/>
  <c r="M84" i="29"/>
  <c r="L84" i="29"/>
  <c r="M83" i="29"/>
  <c r="L83" i="29"/>
  <c r="M82" i="29"/>
  <c r="L82" i="29"/>
  <c r="I82" i="29"/>
  <c r="J82" i="29" s="1"/>
  <c r="S82" i="29" s="1"/>
  <c r="Q82" i="29" s="1"/>
  <c r="R82" i="29" s="1"/>
  <c r="M81" i="29"/>
  <c r="L81" i="29"/>
  <c r="I81" i="29"/>
  <c r="J81" i="29" s="1"/>
  <c r="S81" i="29" s="1"/>
  <c r="Q81" i="29" s="1"/>
  <c r="R81" i="29" s="1"/>
  <c r="M80" i="29"/>
  <c r="I80" i="29"/>
  <c r="A80" i="29"/>
  <c r="A81" i="29" s="1"/>
  <c r="A82" i="29" s="1"/>
  <c r="A83" i="29" s="1"/>
  <c r="A84" i="29" s="1"/>
  <c r="A85" i="29" s="1"/>
  <c r="M79" i="29"/>
  <c r="J79" i="29"/>
  <c r="A79" i="29"/>
  <c r="M78" i="29"/>
  <c r="L78" i="29"/>
  <c r="I78" i="29"/>
  <c r="J78" i="29" s="1"/>
  <c r="D76" i="29"/>
  <c r="Q75" i="29"/>
  <c r="M75" i="29"/>
  <c r="L75" i="29"/>
  <c r="M74" i="29"/>
  <c r="M73" i="29"/>
  <c r="L73" i="29"/>
  <c r="M72" i="29"/>
  <c r="L72" i="29"/>
  <c r="M71" i="29"/>
  <c r="L71" i="29"/>
  <c r="M70" i="29"/>
  <c r="L70" i="29"/>
  <c r="S68" i="29"/>
  <c r="S75" i="29" s="1"/>
  <c r="R68" i="29"/>
  <c r="R75" i="29" s="1"/>
  <c r="Q68" i="29"/>
  <c r="M68" i="29"/>
  <c r="M76" i="29" s="1"/>
  <c r="J68" i="29"/>
  <c r="J75" i="29" s="1"/>
  <c r="I68" i="29"/>
  <c r="I75" i="29" s="1"/>
  <c r="H68" i="29"/>
  <c r="H75" i="29" s="1"/>
  <c r="S66" i="29"/>
  <c r="R66" i="29"/>
  <c r="Q66" i="29"/>
  <c r="M66" i="29"/>
  <c r="M67" i="29" s="1"/>
  <c r="J66" i="29"/>
  <c r="I66" i="29"/>
  <c r="H66" i="29"/>
  <c r="D66" i="29"/>
  <c r="D67" i="29" s="1"/>
  <c r="S64" i="29"/>
  <c r="R64" i="29"/>
  <c r="Q64" i="29"/>
  <c r="M64" i="29"/>
  <c r="J64" i="29"/>
  <c r="I64" i="29"/>
  <c r="H64" i="29"/>
  <c r="D64" i="29"/>
  <c r="R61" i="29"/>
  <c r="M61" i="29"/>
  <c r="I61" i="29"/>
  <c r="H61" i="29"/>
  <c r="S60" i="29"/>
  <c r="J59" i="29"/>
  <c r="A59" i="29"/>
  <c r="S57" i="29"/>
  <c r="R57" i="29"/>
  <c r="Q57" i="29"/>
  <c r="M57" i="29"/>
  <c r="J57" i="29"/>
  <c r="I57" i="29"/>
  <c r="H57" i="29"/>
  <c r="D57" i="29"/>
  <c r="S54" i="29"/>
  <c r="R54" i="29"/>
  <c r="Q54" i="29"/>
  <c r="M54" i="29"/>
  <c r="J54" i="29"/>
  <c r="I54" i="29"/>
  <c r="H54" i="29"/>
  <c r="D54" i="29"/>
  <c r="S51" i="29"/>
  <c r="R51" i="29"/>
  <c r="Q51" i="29"/>
  <c r="M51" i="29"/>
  <c r="J51" i="29"/>
  <c r="I51" i="29"/>
  <c r="H51" i="29"/>
  <c r="D51" i="29"/>
  <c r="H48" i="29"/>
  <c r="D48" i="29"/>
  <c r="M47" i="29"/>
  <c r="L47" i="29"/>
  <c r="M46" i="29"/>
  <c r="L46" i="29"/>
  <c r="I46" i="29"/>
  <c r="A46" i="29"/>
  <c r="M45" i="29"/>
  <c r="M48" i="29" s="1"/>
  <c r="L45" i="29"/>
  <c r="J45" i="29"/>
  <c r="I45" i="29"/>
  <c r="S43" i="29"/>
  <c r="R43" i="29"/>
  <c r="Q43" i="29"/>
  <c r="J43" i="29"/>
  <c r="I43" i="29"/>
  <c r="H43" i="29"/>
  <c r="D43" i="29"/>
  <c r="M39" i="29"/>
  <c r="M38" i="29"/>
  <c r="M37" i="29"/>
  <c r="L37" i="29"/>
  <c r="M36" i="29"/>
  <c r="L36" i="29"/>
  <c r="M35" i="29"/>
  <c r="L35" i="29"/>
  <c r="M34" i="29"/>
  <c r="L34" i="29"/>
  <c r="M33" i="29"/>
  <c r="L33" i="29"/>
  <c r="M32" i="29"/>
  <c r="L32" i="29"/>
  <c r="M31" i="29"/>
  <c r="L31" i="29"/>
  <c r="M30" i="29"/>
  <c r="L30" i="29"/>
  <c r="M29" i="29"/>
  <c r="L29" i="29"/>
  <c r="M28" i="29"/>
  <c r="L28" i="29"/>
  <c r="M27" i="29"/>
  <c r="L27" i="29"/>
  <c r="M26" i="29"/>
  <c r="M43" i="29" s="1"/>
  <c r="L26" i="29"/>
  <c r="S24" i="29"/>
  <c r="R24" i="29"/>
  <c r="Q24" i="29"/>
  <c r="M24" i="29"/>
  <c r="J24" i="29"/>
  <c r="I24" i="29"/>
  <c r="H24" i="29"/>
  <c r="D24" i="29"/>
  <c r="S21" i="29"/>
  <c r="R21" i="29"/>
  <c r="Q21" i="29"/>
  <c r="M21" i="29"/>
  <c r="J21" i="29"/>
  <c r="I21" i="29"/>
  <c r="H21" i="29"/>
  <c r="D21" i="29"/>
  <c r="S18" i="29"/>
  <c r="R18" i="29"/>
  <c r="Q18" i="29"/>
  <c r="M18" i="29"/>
  <c r="J18" i="29"/>
  <c r="I18" i="29"/>
  <c r="H18" i="29"/>
  <c r="D18" i="29"/>
  <c r="S15" i="29"/>
  <c r="R15" i="29"/>
  <c r="Q15" i="29"/>
  <c r="M15" i="29"/>
  <c r="J15" i="29"/>
  <c r="I15" i="29"/>
  <c r="H15" i="29"/>
  <c r="D15" i="29"/>
  <c r="S12" i="29"/>
  <c r="R12" i="29"/>
  <c r="Q12" i="29"/>
  <c r="M12" i="29"/>
  <c r="H12" i="29"/>
  <c r="D12" i="29"/>
  <c r="J11" i="29"/>
  <c r="J12" i="29" s="1"/>
  <c r="A11" i="29"/>
  <c r="S9" i="29"/>
  <c r="R9" i="29"/>
  <c r="Q9" i="29"/>
  <c r="M9" i="29"/>
  <c r="J9" i="29"/>
  <c r="I9" i="29"/>
  <c r="H9" i="29"/>
  <c r="D9" i="29"/>
  <c r="D103" i="29" s="1"/>
  <c r="D86" i="28"/>
  <c r="M76" i="28"/>
  <c r="D76" i="28"/>
  <c r="M61" i="28"/>
  <c r="D43" i="28"/>
  <c r="G41" i="25"/>
  <c r="G34" i="25"/>
  <c r="G27" i="25"/>
  <c r="G22" i="25"/>
  <c r="M43" i="24"/>
  <c r="M103" i="24"/>
  <c r="M86" i="24"/>
  <c r="D86" i="24"/>
  <c r="M76" i="24"/>
  <c r="D76" i="24"/>
  <c r="M61" i="24"/>
  <c r="M48" i="24"/>
  <c r="D43" i="24"/>
  <c r="H37" i="21"/>
  <c r="H36" i="21"/>
  <c r="H30" i="21"/>
  <c r="H24" i="21"/>
  <c r="H19" i="21"/>
  <c r="M86" i="20"/>
  <c r="D86" i="20"/>
  <c r="M76" i="20"/>
  <c r="D76" i="20"/>
  <c r="M61" i="20"/>
  <c r="M48" i="20"/>
  <c r="M43" i="20"/>
  <c r="D43" i="20"/>
  <c r="D103" i="20" s="1"/>
  <c r="H38" i="16"/>
  <c r="H37" i="16"/>
  <c r="H31" i="16"/>
  <c r="H25" i="16"/>
  <c r="H20" i="16"/>
  <c r="M86" i="15"/>
  <c r="D86" i="15"/>
  <c r="M76" i="15"/>
  <c r="D76" i="15"/>
  <c r="M61" i="15"/>
  <c r="M48" i="15"/>
  <c r="M43" i="15"/>
  <c r="D43" i="15"/>
  <c r="D103" i="15" s="1"/>
  <c r="G39" i="11"/>
  <c r="G38" i="11"/>
  <c r="G32" i="11"/>
  <c r="G26" i="11"/>
  <c r="G21" i="11"/>
  <c r="M86" i="10"/>
  <c r="D86" i="10"/>
  <c r="M76" i="10"/>
  <c r="D76" i="10"/>
  <c r="M61" i="10"/>
  <c r="M48" i="10"/>
  <c r="M43" i="10"/>
  <c r="D43" i="10"/>
  <c r="D103" i="10" s="1"/>
  <c r="I39" i="9"/>
  <c r="H38" i="9"/>
  <c r="H32" i="9"/>
  <c r="H26" i="9"/>
  <c r="H21" i="9"/>
  <c r="D103" i="33" l="1"/>
  <c r="M103" i="33"/>
  <c r="D38" i="30"/>
  <c r="G31" i="30"/>
  <c r="G37" i="30"/>
  <c r="G20" i="30"/>
  <c r="G38" i="30" s="1"/>
  <c r="D103" i="28"/>
  <c r="S101" i="29"/>
  <c r="J102" i="29"/>
  <c r="I86" i="29"/>
  <c r="J80" i="29"/>
  <c r="S80" i="29" s="1"/>
  <c r="Q80" i="29" s="1"/>
  <c r="R80" i="29" s="1"/>
  <c r="M86" i="29"/>
  <c r="M103" i="29" s="1"/>
  <c r="S79" i="29"/>
  <c r="Q79" i="29" s="1"/>
  <c r="R79" i="29" s="1"/>
  <c r="S78" i="29"/>
  <c r="J86" i="29"/>
  <c r="S67" i="29"/>
  <c r="S70" i="29" s="1"/>
  <c r="S69" i="29"/>
  <c r="S76" i="29" s="1"/>
  <c r="R67" i="29"/>
  <c r="R70" i="29" s="1"/>
  <c r="R69" i="29"/>
  <c r="R76" i="29" s="1"/>
  <c r="Q67" i="29"/>
  <c r="Q70" i="29" s="1"/>
  <c r="Q69" i="29"/>
  <c r="Q76" i="29" s="1"/>
  <c r="J67" i="29"/>
  <c r="J70" i="29" s="1"/>
  <c r="J69" i="29"/>
  <c r="J76" i="29" s="1"/>
  <c r="I69" i="29"/>
  <c r="I76" i="29" s="1"/>
  <c r="I67" i="29"/>
  <c r="I70" i="29" s="1"/>
  <c r="H69" i="29"/>
  <c r="H76" i="29" s="1"/>
  <c r="H67" i="29"/>
  <c r="J61" i="29"/>
  <c r="S59" i="29"/>
  <c r="I48" i="29"/>
  <c r="I103" i="29" s="1"/>
  <c r="J46" i="29"/>
  <c r="S45" i="29"/>
  <c r="M103" i="28"/>
  <c r="H42" i="25"/>
  <c r="D103" i="24"/>
  <c r="M103" i="20"/>
  <c r="M103" i="15"/>
  <c r="M103" i="10"/>
  <c r="M86" i="6"/>
  <c r="D86" i="6"/>
  <c r="M76" i="6"/>
  <c r="D76" i="6"/>
  <c r="M61" i="6"/>
  <c r="M48" i="6"/>
  <c r="M43" i="6"/>
  <c r="D43" i="6"/>
  <c r="H40" i="3"/>
  <c r="H39" i="3"/>
  <c r="H33" i="3"/>
  <c r="H27" i="3"/>
  <c r="H22" i="3"/>
  <c r="S102" i="29" l="1"/>
  <c r="Q101" i="29"/>
  <c r="Q102" i="29" s="1"/>
  <c r="S86" i="29"/>
  <c r="Q78" i="29"/>
  <c r="H103" i="29"/>
  <c r="H70" i="29"/>
  <c r="S61" i="29"/>
  <c r="Q59" i="29"/>
  <c r="Q61" i="29" s="1"/>
  <c r="S48" i="29"/>
  <c r="Q45" i="29"/>
  <c r="S46" i="29"/>
  <c r="Q46" i="29" s="1"/>
  <c r="R46" i="29" s="1"/>
  <c r="J48" i="29"/>
  <c r="J103" i="29" s="1"/>
  <c r="D103" i="6"/>
  <c r="M103" i="6"/>
  <c r="M103" i="2"/>
  <c r="D103" i="2"/>
  <c r="D86" i="2"/>
  <c r="D76" i="2"/>
  <c r="M43" i="2"/>
  <c r="D43" i="2"/>
  <c r="M61" i="2"/>
  <c r="M86" i="2"/>
  <c r="M76" i="2"/>
  <c r="M48" i="2"/>
  <c r="M86" i="1"/>
  <c r="D86" i="1"/>
  <c r="M76" i="1"/>
  <c r="D76" i="1"/>
  <c r="M48" i="1"/>
  <c r="D48" i="1"/>
  <c r="M43" i="1"/>
  <c r="M103" i="1" s="1"/>
  <c r="D43" i="1"/>
  <c r="D103" i="1" s="1"/>
  <c r="R78" i="29" l="1"/>
  <c r="R86" i="29" s="1"/>
  <c r="Q86" i="29"/>
  <c r="Q48" i="29"/>
  <c r="Q103" i="29" s="1"/>
  <c r="R45" i="29"/>
  <c r="R48" i="29" s="1"/>
  <c r="R103" i="29" s="1"/>
  <c r="S103" i="29"/>
</calcChain>
</file>

<file path=xl/sharedStrings.xml><?xml version="1.0" encoding="utf-8"?>
<sst xmlns="http://schemas.openxmlformats.org/spreadsheetml/2006/main" count="7143" uniqueCount="416">
  <si>
    <t>สำนักงานท่าเทียบเรือประมงหัวหินและปราณบุรี(หัวหิน)</t>
  </si>
  <si>
    <t>รายละเอียดหนี้ค้างชำระค่าเช่าอาคาร,ที่ดินและอื่น ๆ</t>
  </si>
  <si>
    <t>ประจำเดือน กันยายน 2568</t>
  </si>
  <si>
    <t>ลำดับ</t>
  </si>
  <si>
    <t>รายชื่อ</t>
  </si>
  <si>
    <t>สถานที่ตั้ง</t>
  </si>
  <si>
    <t>อัตราค่าเช่า / ค่าธรรมเนียม</t>
  </si>
  <si>
    <t>ค้างชำระยกมา</t>
  </si>
  <si>
    <t>รับชำระ</t>
  </si>
  <si>
    <t>ค้างชำระยกไป</t>
  </si>
  <si>
    <t>ค้างตั้งแต่</t>
  </si>
  <si>
    <t>งวด</t>
  </si>
  <si>
    <t>อายุ</t>
  </si>
  <si>
    <t>ยอดหนี้</t>
  </si>
  <si>
    <t>วดป.</t>
  </si>
  <si>
    <t>เลขที่ใบเสร็จ</t>
  </si>
  <si>
    <t>จำนวนเงิน</t>
  </si>
  <si>
    <t>หนี้</t>
  </si>
  <si>
    <t>ภาษีมูลค่าเพิ่ม</t>
  </si>
  <si>
    <t>รวม</t>
  </si>
  <si>
    <t>ค่าบริการสัตว์น้ำ 4600100</t>
  </si>
  <si>
    <t>ไม่มี</t>
  </si>
  <si>
    <t>-</t>
  </si>
  <si>
    <t>ค่าธรรมเนียมสัตว์น้ำผ่านท่า 4600200</t>
  </si>
  <si>
    <t>ค่าธรรมเนียมรถผ่านท่า 4600300</t>
  </si>
  <si>
    <t>ค่าธรรมเนียมน้ำแข็งผ่านท่า 4600400</t>
  </si>
  <si>
    <t>ค่าธรรมเนียมน้ำมันผ่านท่า 4600500</t>
  </si>
  <si>
    <t>ค่าธรรมเนียมใช้เครื่องชั่ง 4600600</t>
  </si>
  <si>
    <t>ค่าธรรมเนียมใช้สถานที่ 4600700</t>
  </si>
  <si>
    <t>นางสาววิสาข์  อักษรกิตติ์</t>
  </si>
  <si>
    <t>ใช้สถานที่ จัดกิจกรรม</t>
  </si>
  <si>
    <t>387/19325</t>
  </si>
  <si>
    <t>ใช้สถานที่เก็บของ</t>
  </si>
  <si>
    <t>387/19326</t>
  </si>
  <si>
    <t>ใช้สถานที่จอดรถ</t>
  </si>
  <si>
    <t>387/19327</t>
  </si>
  <si>
    <t>นางศิริพร เจือน้ำหอม</t>
  </si>
  <si>
    <t>ใช้สถานที่จอดรถ(ชั่วคราว)</t>
  </si>
  <si>
    <t>387/19330</t>
  </si>
  <si>
    <t>นายนิติธรรม  ชลาศรัย</t>
  </si>
  <si>
    <t>387/19331</t>
  </si>
  <si>
    <t>387/19332</t>
  </si>
  <si>
    <t>387/19333</t>
  </si>
  <si>
    <t>387/19334</t>
  </si>
  <si>
    <t>387/19338</t>
  </si>
  <si>
    <t>387/19339</t>
  </si>
  <si>
    <t>387/19340</t>
  </si>
  <si>
    <t>387/19346</t>
  </si>
  <si>
    <t>387/19347</t>
  </si>
  <si>
    <t>387/19348</t>
  </si>
  <si>
    <t>388/19351</t>
  </si>
  <si>
    <t>388/19352</t>
  </si>
  <si>
    <t>388/19353</t>
  </si>
  <si>
    <t>ค่าธรรมเนียมอื่นๆ 4600800</t>
  </si>
  <si>
    <t>นายสมชาย สายสวาท</t>
  </si>
  <si>
    <t>บริการ (ท่อสูบน้ำ)</t>
  </si>
  <si>
    <t>387/19344</t>
  </si>
  <si>
    <t>นางจันทนา เพ็ญวันศุกร์</t>
  </si>
  <si>
    <t>387/19343</t>
  </si>
  <si>
    <t>นางสายพิน นามเดช</t>
  </si>
  <si>
    <t>387/19345</t>
  </si>
  <si>
    <t>ค่าเช่าที่จำหน่ายน้ำแข็งและเครื่องโม่ 4601100</t>
  </si>
  <si>
    <t>ค่าธรรมเนียมใช้เครน 4601300</t>
  </si>
  <si>
    <t>ค่าเช่าอาคารและที่ดิน 4700400</t>
  </si>
  <si>
    <t>ค่าเช่าที่รายปี (ค่าเช่าอาคารและที่ดิน) 4700400</t>
  </si>
  <si>
    <t>บ.ธนอนันต์ เอ็นเตอร์ไพรส์ จำกัด</t>
  </si>
  <si>
    <t>ค่าตอบแทนการใช้ที่ดินปีที่6</t>
  </si>
  <si>
    <t>20กค.63-19กค.64</t>
  </si>
  <si>
    <t>ค่าเช่าที่อื่นๆ 4700700</t>
  </si>
  <si>
    <t>ค่าสุขาภิบาล 4701420</t>
  </si>
  <si>
    <t>ค่าจำหน่ายน้ำประปา 4700200</t>
  </si>
  <si>
    <t>เรือ เจ้าท่า ส 2</t>
  </si>
  <si>
    <t>ประปา</t>
  </si>
  <si>
    <t>เรือ ต.270</t>
  </si>
  <si>
    <t xml:space="preserve">                 -  </t>
  </si>
  <si>
    <t>นางสาววิสาข์ อักษรกิตติ์</t>
  </si>
  <si>
    <t>ประปา(จันทร์ที่1ของเดือน)</t>
  </si>
  <si>
    <t>387/19328</t>
  </si>
  <si>
    <t>ประปา(จันทร์ที่2ของเดือน)</t>
  </si>
  <si>
    <t>387/19335</t>
  </si>
  <si>
    <t>ประปา(จันทร์ที่3ของเดือน)</t>
  </si>
  <si>
    <t>387/19341</t>
  </si>
  <si>
    <t>ประปา(จันทร์ที่4ของเดือน)</t>
  </si>
  <si>
    <t>387/19349</t>
  </si>
  <si>
    <t>ประปา(จันทร์ที่5ของเดือน)</t>
  </si>
  <si>
    <t>388/19354</t>
  </si>
  <si>
    <t>ค่าจำหน่ายไฟฟ้า 4700300</t>
  </si>
  <si>
    <t>นายภูตะวัน ประเสริฐสิทธิกุล</t>
  </si>
  <si>
    <t>ไฟฟ้า</t>
  </si>
  <si>
    <t>เรือ ต.227</t>
  </si>
  <si>
    <t>คุณยัน นาคลอยแก้ว</t>
  </si>
  <si>
    <t>ไฟฟ้า (จันทร์ที่1ของเดือน)</t>
  </si>
  <si>
    <t>387/19329</t>
  </si>
  <si>
    <t>ไฟฟ้า (จันทร์ที่2ของเดือน)</t>
  </si>
  <si>
    <t>387/19336</t>
  </si>
  <si>
    <t>ไฟฟ้า (จันทร์ที่3ของเดือน)</t>
  </si>
  <si>
    <t>387/19342</t>
  </si>
  <si>
    <t>ไฟฟ้า (จันทร์ที่4ของเดือน)</t>
  </si>
  <si>
    <t>387/19350</t>
  </si>
  <si>
    <t>ไฟฟ้า (จันทร์ที่5ของเดือน)</t>
  </si>
  <si>
    <t>388/19355</t>
  </si>
  <si>
    <t>ค่าต่ออายุสัญญา/สิทธิการเช่าโอนเป็นรายได้ 4700900</t>
  </si>
  <si>
    <t>รายได้เบ็ดเตล็ด 4701600</t>
  </si>
  <si>
    <t>ค่าภาษีโรงเรือน</t>
  </si>
  <si>
    <t>ค่าประกันอัคคีภัย</t>
  </si>
  <si>
    <t>หนี้ดำเนินคดี/ศาลพิพากษา</t>
  </si>
  <si>
    <t>บ.ตุ๊ดตู่ทัวร์ แอนด์แทรเวลเซอร์วิส</t>
  </si>
  <si>
    <t>เช่าพี้นที่ มารีนฯ(รวมภาษี)</t>
  </si>
  <si>
    <t>พิพากษา21 สค.56</t>
  </si>
  <si>
    <t>ได้รับการตัดหนี้สูญเรียบร้อยแล้ว</t>
  </si>
  <si>
    <t>ปรับปรุงยอดหนี้จาก 60,144.62 เป็น 62,673.63 เนื่องจากมีดอกเบี้ยตามคำพิพากษา</t>
  </si>
  <si>
    <t>รวมเป็นเงินทั้งสิ้น</t>
  </si>
  <si>
    <t>......................................จัดทำ</t>
  </si>
  <si>
    <t>ว่าที่ร.ต.มานิตย์ แก้วเจริญ</t>
  </si>
  <si>
    <t>หส.ทร.หห.</t>
  </si>
  <si>
    <t>หมายเหตุ หจก.โรงน้ำแข็งเขาใหญ่ ปรัปปรุงยอด ณ วันฟ้อง (ฟ้อง 29 กค. 58) ค่าเช่า 1 ตค.55 - 7 กย. 57 = 1,301,066.67 บาท</t>
  </si>
  <si>
    <t>ค่าเสียหาย 8 กย.57 - วันฟ้อง = 602,933.33 บาท รวม 1,904,000.00 บาท ตามเอกสารคำฟ้อง</t>
  </si>
  <si>
    <t>ปรับปรุงเพิ่มยอดหนี้ที่ดำเนินคดี จำนวน 4 ราย</t>
  </si>
  <si>
    <t>หมายเหตุ :- ทรงยศ</t>
  </si>
  <si>
    <t>อยู่ระหว่างสืบหาหลักทรัพย์บังคับคดี ครั้งสุดท้ายเมื่อ 4 กค. 56 ไม่พบหลักทรัพย์</t>
  </si>
  <si>
    <t>บ.ตุ๊ดตู่ - มีหนี้ค้างค่าเช่า จำนวน 108,000.- บาท และขอโอนเงินประกันสัญญามาชำระหนี้ตามใบโอนที่ 6/2 ลว.28 กพ.55 จำนวน 40,000.- บาท</t>
  </si>
  <si>
    <t>(108,000-40,000) คงเหลือหนี้ค้าง จำนวน 68,000.- และขอผ่อนชำระ 10 งวด (งวด 2 วันที่ 4 พค.55 จำนวน 6,800.- บาท) รวมผ่อน</t>
  </si>
  <si>
    <t>ชำระมาแล้ว 2 งวด เป็นเงิน 13,600 คงเหลือหนี้ค้าง จำนวน 54,400.- บาท</t>
  </si>
  <si>
    <t>- ค่าภาษีโรงเรือน ปี 54 จำนวน 27,000.- บาท ขอผ่อนชำระ 3 งวด ๆ ละ 9,000.-บาท ขอเริ่ม 25 กพ.55 แต่ชำระมาแล้ว 1 งวด เมื่อ 27 กพ.55</t>
  </si>
  <si>
    <t>เป็นเงิน 9,000.- บาท คงเหลือ 2 งวด เป็นเงิน 18,000.- บาท</t>
  </si>
  <si>
    <t>- ค่าภาษีโรงเรือน ปี 55 (มค.55) จำนวน 2,250.- บาท ขอชำระภายใน 25 พค.55 ปัจจุบันยังไม่ชำระ คงเหลือ 2,250.- บาท</t>
  </si>
  <si>
    <t>(ค่าภาษีปี 54 และปี 55 รวมเป็นเงินทั้งสิ้น 20,250.- บาท และเมื่อ 1 กพ.56 รับชำระ จำนวน 5,000.- บาท คงเหลือค่าภาษี จำนวน 15,250 บาท)</t>
  </si>
  <si>
    <t>เมื่อ 23 มค.56 บ.ทำหนังสือของผ่อนชำระเดือนละ 5,000.- บาท รวม 15 งวด เริ่ม1 กพ.56 ชำระงวดแรกเป็นเงิน5,000.- บาท</t>
  </si>
  <si>
    <t>บ.ตุ๊ดตู่นำเงินมาชำระเมื่อ 1 กพ.56 จำนวน 5,000 บาท นำไปหักค่าภาษีโรงเรือน</t>
  </si>
  <si>
    <t>- ศาลได้พิพากษาเมื่อวันที่ 21 สค. 56 ให้ชำระเต็มคำพิพากษา</t>
  </si>
  <si>
    <t>ร้านค้าสิริวรรณ</t>
  </si>
  <si>
    <t>ศาล จ.หัวหินได้พิพากษาตามคดีหมายเลขแดงที่ พ.312/2556 ลง. 25 พย.56 มีหนี้ค้าง 80,394.10 บาท ผ่อนชำระเป็นรายงวดๆ ละเดือนๆ ไม่ต่ำกว่า</t>
  </si>
  <si>
    <t>10,000 บาท โดยงวดแรก 5 มค.57 และงวดถัดไปทุกวันที่ 5 ของเดือน จนกว่าจะชำระให้แก่โจทร์ครบ ค่าทนาย 3,000 บาท</t>
  </si>
  <si>
    <t>บ.ฟารอส (ประเทศไทย)จำกัด</t>
  </si>
  <si>
    <t>ค/ธสัตว์น้ำ(420 ตรม.)</t>
  </si>
  <si>
    <t>เว้นตามมติ</t>
  </si>
  <si>
    <t>ปรับปรุงยอดยกมา จาก กย.57- มค.59 = 170,000.- เป็น กย.57-ตค.58 = 140,000.- ตามมติ คกอ. ครั้งที่ 1/2559 ลว. 2 กพ.59</t>
  </si>
  <si>
    <t>มติ คกอ. ครั้งที่ 1/2559 ลว. 2 กพ.59 ให้ - ยกเว้นการเก็บค่าตอบแทนรายเดือนและค่าธรรมเนียมสัตว์น้ำผ่านท่า 4 เดือน ตั้งแต่ 1 พย.58 - 31 กพ. 59</t>
  </si>
  <si>
    <t>- ยกเว้นการจัดเก็บค่าตอบแทนรายเดือนและค่าธรรมเนียมสัตว์น้ำผ่านท่าเพิ่มเติมเป็นเวลา 5 เดือน ตั้งแต่ 1 มีค.59 - 31 กค.59 รวมเป็นเงิน 686,000.-</t>
  </si>
  <si>
    <t>- มติคกอ.ครั้งที่ 3/2559 ลว.15 มีค.59 ให้ยกเว้นการจัดเก็บค่าตอบแทนรายเดือนและค่าธรรมเนียมสัตว์น้ำผ่านท่า เพิ่มอีก 2 เดือน สค.-กย.59 (273,000.-)</t>
  </si>
  <si>
    <t>เนื้อที่ 2,780 ตรม.</t>
  </si>
  <si>
    <t>ทำสัญญาเช่าวันที่ 24 กย.57 และงดการจัดเก็บ 120 วัน เริ่มเก็บค่าผลประโยชน์ ตค.57 เป็นต้นไป</t>
  </si>
  <si>
    <t>ปรับปรุงยอดยกมา จาก ตค.57- มค.59 = 2,024,000.- เป็น ตค.57-ตค.58 = 1,644,500.- ตามมติ คกอ. ครั้งที่ 1/2559 ลว. 2 กพ.59</t>
  </si>
  <si>
    <t>หจก.โรงน้ำแข็งเขาใหญ่</t>
  </si>
  <si>
    <t>เช่าที่จำหน่ายน้ำแข็ง</t>
  </si>
  <si>
    <t>ตค.55-มีค.57</t>
  </si>
  <si>
    <t>#######</t>
  </si>
  <si>
    <t>ค่าธรรมเนียมแรกเข้า</t>
  </si>
  <si>
    <t>บ.ธนอนันต์ เอ็นเตอร์ไพรส์ จำ</t>
  </si>
  <si>
    <t>ที่ดินบ้านพัก</t>
  </si>
  <si>
    <t>บ.ธนอนันต์ เอ็นเตอร์ไพรส์ จำกัด ผู้ได้สิทธิฯพัฒนาที่ดินบ้านพักทร.หัวหิน ค่าธรรมเนียมแรกเข้า จำนวน 2,237,400.- บาท ชำระแล้ว จำนวน</t>
  </si>
  <si>
    <t>335,610.- บาท คงเหลือ 1,901,790.- บาท ปัจจุบันอยู่ระหว่างการจัดทำสัญญา</t>
  </si>
  <si>
    <t>28 กย.55 ชำระมาแล้วจำนวน 678,305.10 บาท (รวมภาษี)( 633,930 + 44,375.10 )</t>
  </si>
  <si>
    <t>31 ตค.55 จำนวน 978,305.10 บาท (300,000 + 678,305.10 (633,930 + 44,375.10))</t>
  </si>
  <si>
    <t>30 พย.55 จำนวน 978,305.10 บาท</t>
  </si>
  <si>
    <t>389/19401</t>
  </si>
  <si>
    <t>389/19402</t>
  </si>
  <si>
    <t>389/19403</t>
  </si>
  <si>
    <t>389/19404</t>
  </si>
  <si>
    <t>389/19405</t>
  </si>
  <si>
    <t>389/19408</t>
  </si>
  <si>
    <t>389/19409</t>
  </si>
  <si>
    <t>389/19410</t>
  </si>
  <si>
    <t>389/19416</t>
  </si>
  <si>
    <t>389/19417</t>
  </si>
  <si>
    <t>389/19418</t>
  </si>
  <si>
    <t>389/19421</t>
  </si>
  <si>
    <t>389/19422</t>
  </si>
  <si>
    <t>389/19423</t>
  </si>
  <si>
    <t>389/19414</t>
  </si>
  <si>
    <t>389/19413</t>
  </si>
  <si>
    <t>389/19415</t>
  </si>
  <si>
    <t>389/19406</t>
  </si>
  <si>
    <t>389/19411</t>
  </si>
  <si>
    <t>389/19419</t>
  </si>
  <si>
    <t>389/19424</t>
  </si>
  <si>
    <t>389/19407</t>
  </si>
  <si>
    <t>389/19412</t>
  </si>
  <si>
    <t>389/19420</t>
  </si>
  <si>
    <t>389/19425</t>
  </si>
  <si>
    <t>ล่วงหน้า</t>
  </si>
  <si>
    <t>ประจำเดือน พฤศจิกายน 2568</t>
  </si>
  <si>
    <t>389/19426</t>
  </si>
  <si>
    <t>389/19427</t>
  </si>
  <si>
    <t>389/19428</t>
  </si>
  <si>
    <t>389/19429</t>
  </si>
  <si>
    <t>389/19430</t>
  </si>
  <si>
    <t>389/19433</t>
  </si>
  <si>
    <t>389/19434</t>
  </si>
  <si>
    <t>389/19435</t>
  </si>
  <si>
    <t>389/19438</t>
  </si>
  <si>
    <t>389/19439</t>
  </si>
  <si>
    <t>389/19440</t>
  </si>
  <si>
    <t>389/19446</t>
  </si>
  <si>
    <t>389/19447</t>
  </si>
  <si>
    <t>389/19448</t>
  </si>
  <si>
    <t>389/19443</t>
  </si>
  <si>
    <t>389/19445</t>
  </si>
  <si>
    <t>389/19431</t>
  </si>
  <si>
    <t>389/19436</t>
  </si>
  <si>
    <t>389/19441</t>
  </si>
  <si>
    <t>389/19449</t>
  </si>
  <si>
    <t>389/19432</t>
  </si>
  <si>
    <t>389/19437</t>
  </si>
  <si>
    <t>389/19442</t>
  </si>
  <si>
    <t>389/19450</t>
  </si>
  <si>
    <t>ประจำเดือน ธันวาคม 2568</t>
  </si>
  <si>
    <t>390/19451</t>
  </si>
  <si>
    <t>390/19452</t>
  </si>
  <si>
    <t>390/19453</t>
  </si>
  <si>
    <t>390/19454</t>
  </si>
  <si>
    <t>390/19457</t>
  </si>
  <si>
    <t>390/19458</t>
  </si>
  <si>
    <t>390/19459</t>
  </si>
  <si>
    <t>390/19460</t>
  </si>
  <si>
    <t>390/19464</t>
  </si>
  <si>
    <t>390/19465</t>
  </si>
  <si>
    <t>390/19466</t>
  </si>
  <si>
    <t>390/19472</t>
  </si>
  <si>
    <t>390/19473</t>
  </si>
  <si>
    <t>390/19474</t>
  </si>
  <si>
    <t>390/19470</t>
  </si>
  <si>
    <t>390/19463</t>
  </si>
  <si>
    <t>389/19471</t>
  </si>
  <si>
    <t>390/19455</t>
  </si>
  <si>
    <t>390/19461</t>
  </si>
  <si>
    <t>390/19467</t>
  </si>
  <si>
    <t>390/19475</t>
  </si>
  <si>
    <t>390/19456</t>
  </si>
  <si>
    <t>390/19462</t>
  </si>
  <si>
    <t>390/19468</t>
  </si>
  <si>
    <t>390/19476</t>
  </si>
  <si>
    <t>ประจำเดือน มกราคม 69</t>
  </si>
  <si>
    <t>390/19477</t>
  </si>
  <si>
    <t>390/19478</t>
  </si>
  <si>
    <t>390/19479</t>
  </si>
  <si>
    <t>390/19482</t>
  </si>
  <si>
    <t>390/19483</t>
  </si>
  <si>
    <t>390/19484</t>
  </si>
  <si>
    <t>390/19487</t>
  </si>
  <si>
    <t>390/19488</t>
  </si>
  <si>
    <t>390/19489</t>
  </si>
  <si>
    <t>390/19495</t>
  </si>
  <si>
    <t>390/19496</t>
  </si>
  <si>
    <t>390/19497</t>
  </si>
  <si>
    <t>390/19494</t>
  </si>
  <si>
    <t>390/19492</t>
  </si>
  <si>
    <t>389/19493</t>
  </si>
  <si>
    <t>390/19480</t>
  </si>
  <si>
    <t>390/19485</t>
  </si>
  <si>
    <t>390/19490</t>
  </si>
  <si>
    <t>390/19498</t>
  </si>
  <si>
    <t>390/19481</t>
  </si>
  <si>
    <t>390/19486</t>
  </si>
  <si>
    <t>390/19491</t>
  </si>
  <si>
    <t>390/19499</t>
  </si>
  <si>
    <t>ประจำเดือน มกราคม 2569</t>
  </si>
  <si>
    <t>ประจำเดือน กุมภาพันธ์ 69</t>
  </si>
  <si>
    <t>390/19500</t>
  </si>
  <si>
    <t>581/29001</t>
  </si>
  <si>
    <t>581/29002</t>
  </si>
  <si>
    <t>581/29005</t>
  </si>
  <si>
    <t>581/29006</t>
  </si>
  <si>
    <t>581/29007</t>
  </si>
  <si>
    <t>581/29011</t>
  </si>
  <si>
    <t>581/29012</t>
  </si>
  <si>
    <t>581/29013</t>
  </si>
  <si>
    <t>581/29019</t>
  </si>
  <si>
    <t>581/29020</t>
  </si>
  <si>
    <t>581/29021</t>
  </si>
  <si>
    <t>581/29017</t>
  </si>
  <si>
    <t>581/29018</t>
  </si>
  <si>
    <t>581/29016</t>
  </si>
  <si>
    <t>581/29003</t>
  </si>
  <si>
    <t>581/29008</t>
  </si>
  <si>
    <t>581/29014</t>
  </si>
  <si>
    <t>581/29022</t>
  </si>
  <si>
    <t>581/29004</t>
  </si>
  <si>
    <t>581/29009</t>
  </si>
  <si>
    <t>581/29015</t>
  </si>
  <si>
    <t>581/29023</t>
  </si>
  <si>
    <t>ประจำเดือน กุมภาพันธ์ 2569</t>
  </si>
  <si>
    <t>ประจำเดือน มีนาคม 69</t>
  </si>
  <si>
    <t>581/29024</t>
  </si>
  <si>
    <t>581/29025</t>
  </si>
  <si>
    <t>581/29026</t>
  </si>
  <si>
    <t>581/29029</t>
  </si>
  <si>
    <t>581/29030</t>
  </si>
  <si>
    <t>581/29031</t>
  </si>
  <si>
    <t>581/29035</t>
  </si>
  <si>
    <t>581/29036</t>
  </si>
  <si>
    <t>581/29037</t>
  </si>
  <si>
    <t>581/29042</t>
  </si>
  <si>
    <t>581/29043</t>
  </si>
  <si>
    <t>581/29044</t>
  </si>
  <si>
    <t>581/29047</t>
  </si>
  <si>
    <t>581/29048</t>
  </si>
  <si>
    <t>581/29049</t>
  </si>
  <si>
    <t>581/29040</t>
  </si>
  <si>
    <t>581/29034</t>
  </si>
  <si>
    <t>581/29041</t>
  </si>
  <si>
    <t>581/29027</t>
  </si>
  <si>
    <t>581/29032</t>
  </si>
  <si>
    <t>581/29038</t>
  </si>
  <si>
    <t>581/29045</t>
  </si>
  <si>
    <t>581/29050</t>
  </si>
  <si>
    <t>581/29028</t>
  </si>
  <si>
    <t>581/29033</t>
  </si>
  <si>
    <t>581/29039</t>
  </si>
  <si>
    <t>581/29046</t>
  </si>
  <si>
    <t>582/29051</t>
  </si>
  <si>
    <t>ประจำเดือน มีนาคม 2569</t>
  </si>
  <si>
    <t>582/29052</t>
  </si>
  <si>
    <t>582/29053</t>
  </si>
  <si>
    <t>582/29054</t>
  </si>
  <si>
    <t>582/29057</t>
  </si>
  <si>
    <t>582/29059</t>
  </si>
  <si>
    <t>582/29060</t>
  </si>
  <si>
    <t>582/29066</t>
  </si>
  <si>
    <t>582/29067</t>
  </si>
  <si>
    <t>582/29068</t>
  </si>
  <si>
    <t>582/29071</t>
  </si>
  <si>
    <t>582/29072</t>
  </si>
  <si>
    <t>582/29073</t>
  </si>
  <si>
    <t>582/29063</t>
  </si>
  <si>
    <t>582/29065</t>
  </si>
  <si>
    <t>582/29064</t>
  </si>
  <si>
    <t>582/29055</t>
  </si>
  <si>
    <t>582/29061</t>
  </si>
  <si>
    <t>582/29069</t>
  </si>
  <si>
    <t>582/29074</t>
  </si>
  <si>
    <t>582/29056</t>
  </si>
  <si>
    <t>582/29062</t>
  </si>
  <si>
    <t>582/29070</t>
  </si>
  <si>
    <t>582/29075</t>
  </si>
  <si>
    <t xml:space="preserve">                   </t>
  </si>
  <si>
    <t xml:space="preserve">                        </t>
  </si>
  <si>
    <t>สำนักงานท่าเทียบเรือประมงหัวหิน</t>
  </si>
  <si>
    <t>ประจำเดือน  เม.ย. ๒๕๖๙</t>
  </si>
  <si>
    <t xml:space="preserve">                                                                             </t>
  </si>
  <si>
    <t xml:space="preserve">ค่าภาษีโรงเรือน </t>
  </si>
  <si>
    <t xml:space="preserve"> ...................................................จัดทำ</t>
  </si>
  <si>
    <t xml:space="preserve">                นาย เตวิช  คงดี</t>
  </si>
  <si>
    <t>รก.หส.ทร.หห.</t>
  </si>
  <si>
    <r>
      <t xml:space="preserve">หมายเหตุ   </t>
    </r>
    <r>
      <rPr>
        <b/>
        <sz val="14"/>
        <rFont val="TH SarabunPSK"/>
        <family val="2"/>
      </rPr>
      <t xml:space="preserve">หจก.โรงน้ำแข็งเขาใหญ่ ปรัปปรุงยอด ณ วันฟ้อง (ฟ้อง 29 กค. 58) ค่าเช่า 1 ตค.55 - 7 กย. 57 = 1,301,066.67 บาท </t>
    </r>
  </si>
  <si>
    <t xml:space="preserve">    ปรับปรุงเพิ่มยอดหนี้ที่ดำเนินคดี จำนวน 4 ราย</t>
  </si>
  <si>
    <r>
      <t>หมายเหตุ</t>
    </r>
    <r>
      <rPr>
        <b/>
        <sz val="16"/>
        <rFont val="TH SarabunPSK"/>
        <family val="2"/>
      </rPr>
      <t xml:space="preserve"> :-          </t>
    </r>
    <r>
      <rPr>
        <b/>
        <u/>
        <sz val="14"/>
        <rFont val="TH SarabunPSK"/>
        <family val="2"/>
      </rPr>
      <t>ทรงยศ</t>
    </r>
  </si>
  <si>
    <t>อยู่ระหว่างสืบหาหลักทรัพย์บังคับคดี ครั้งสุดท้ายเมื่อ  4 กค. 56  ไม่พบหลักทรัพย์</t>
  </si>
  <si>
    <r>
      <t>บ.ตุ๊ดตู่</t>
    </r>
    <r>
      <rPr>
        <b/>
        <sz val="14"/>
        <rFont val="TH SarabunPSK"/>
        <family val="2"/>
      </rPr>
      <t xml:space="preserve"> - มีหนี้ค้างค่าเช่า จำนวน 108,000.- บาท และขอโอนเงินประกันสัญญามาชำระหนี้ตามใบโอนที่ 6/2 ลว.28 กพ.55 จำนวน 40,000.- บาท </t>
    </r>
  </si>
  <si>
    <t xml:space="preserve">               (108,000-40,000) คงเหลือหนี้ค้าง จำนวน 68,000.- และขอผ่อนชำระ 10 งวด (งวด 2 วันที่ 4 พค.55 จำนวน 6,800.- บาท) รวมผ่อน</t>
  </si>
  <si>
    <t xml:space="preserve">               ชำระมาแล้ว 2 งวด เป็นเงิน 13,600 คงเหลือหนี้ค้าง จำนวน 54,400.-  บาท</t>
  </si>
  <si>
    <t xml:space="preserve">           - ค่าภาษีโรงเรือน ปี 54 จำนวน 27,000.- บาท ขอผ่อนชำระ 3 งวด  ๆ ละ 9,000.-บาท ขอเริ่ม 25 กพ.55 แต่ชำระมาแล้ว 1 งวด เมื่อ 27 กพ.55</t>
  </si>
  <si>
    <t xml:space="preserve">             เป็นเงิน 9,000.- บาท คงเหลือ 2 งวด เป็นเงิน 18,000.- บาท </t>
  </si>
  <si>
    <t xml:space="preserve">           - ค่าภาษีโรงเรือน ปี 55 (มค.55) จำนวน 2,250.- บาท ขอชำระภายใน 25 พค.55  ปัจจุบันยังไม่ชำระ คงเหลือ 2,250.- บาท</t>
  </si>
  <si>
    <t xml:space="preserve">           (ค่าภาษีปี 54 และปี 55 รวมเป็นเงินทั้งสิ้น 20,250.- บาท และเมื่อ 1 กพ.56 รับชำระ จำนวน 5,000.- บาท คงเหลือค่าภาษี จำนวน 15,250 บาท)</t>
  </si>
  <si>
    <t>เมื่อ 23 มค.56  บ.ทำหนังสือของผ่อนชำระเดือนละ 5,000.- บาท รวม 15 งวด เริ่ม1  กพ.56 ชำระงวดแรกเป็นเงิน5,000.- บาท</t>
  </si>
  <si>
    <t>บ.ตุ๊ดตู่นำเงินมาชำระเมื่อ  1 กพ.56 จำนวน 5,000 บาท นำไปหักค่าภาษีโรงเรือน</t>
  </si>
  <si>
    <t xml:space="preserve">          -  ศาลได้พิพากษาเมื่อวันที่ 21 สค. 56 ให้ชำระเต็มคำพิพากษา</t>
  </si>
  <si>
    <t xml:space="preserve">ร้านค้าสิริวรรณ   </t>
  </si>
  <si>
    <t xml:space="preserve">    ศาล จ.หัวหินได้พิพากษาตามคดีหมายเลขแดงที่ พ.312/2556 ลง. 25 พย.56  มีหนี้ค้าง 80,394.10 บาท  ผ่อนชำระเป็นรายงวดๆ ละเดือนๆ ไม่ต่ำกว่า</t>
  </si>
  <si>
    <t>ปรับปรุงยอดยกมา จาก กย.57- มค.59 =  170,000.- เป็น กย.57-ตค.58 =  140,000.- ตามมติ คกอ. ครั้งที่ 1/2559 ลว. 2 กพ.59</t>
  </si>
  <si>
    <t xml:space="preserve">มติ คกอ. ครั้งที่ 1/2559 ลว. 2 กพ.59 ให้  - ยกเว้นการเก็บค่าตอบแทนรายเดือนและค่าธรรมเนียมสัตว์น้ำผ่านท่า 4 เดือน ตั้งแต่ 1 พย.58 - 31 กพ. 59 </t>
  </si>
  <si>
    <t xml:space="preserve">  -  ยกเว้นการจัดเก็บค่าตอบแทนรายเดือนและค่าธรรมเนียมสัตว์น้ำผ่านท่าเพิ่มเติมเป็นเวลา 5 เดือน ตั้งแต่ 1 มีค.59 - 31 กค.59 รวมเป็นเงิน 686,000.-</t>
  </si>
  <si>
    <t xml:space="preserve">  - มติคกอ.ครั้งที่ 3/2559 ลว.15 มีค.59 ให้ยกเว้นการจัดเก็บค่าตอบแทนรายเดือนและค่าธรรมเนียมสัตว์น้ำผ่านท่า เพิ่มอีก 2 เดือน สค.-กย.59 (273,000.-)</t>
  </si>
  <si>
    <t>ปรับปรุงยอดยกมา จาก ตค.57- มค.59 =  2,024,000.- เป็น ตค.57-ตค.58 =  1,644,500.- ตามมติ คกอ. ครั้งที่ 1/2559 ลว. 2 กพ.59</t>
  </si>
  <si>
    <r>
      <t>บ.ธนอนันต์ เอ็นเตอร์ไพรส์ จำกัด</t>
    </r>
    <r>
      <rPr>
        <b/>
        <sz val="14"/>
        <color indexed="8"/>
        <rFont val="TH SarabunPSK"/>
        <family val="2"/>
      </rPr>
      <t xml:space="preserve">   ผู้ได้สิทธิฯพัฒนาที่ดินบ้านพักทร.หัวหิน ค่าธรรมเนียมแรกเข้า จำนวน 2,237,400.- บาท ชำระแล้ว จำนวน </t>
    </r>
  </si>
  <si>
    <t xml:space="preserve">             335,610.- บาท คงเหลือ 1,901,790.- บาท ปัจจุบันอยู่ระหว่างการจัดทำสัญญา</t>
  </si>
  <si>
    <t>ประจำเดือน เมษายน 2569</t>
  </si>
  <si>
    <t>ประจำเดือน พฤษภาคม 2569</t>
  </si>
  <si>
    <t>582/29076</t>
  </si>
  <si>
    <t>582/29077</t>
  </si>
  <si>
    <t>582/29078</t>
  </si>
  <si>
    <t>582/29081</t>
  </si>
  <si>
    <t>582/29082</t>
  </si>
  <si>
    <t>582/29083</t>
  </si>
  <si>
    <t>582/29088</t>
  </si>
  <si>
    <t>582/29089</t>
  </si>
  <si>
    <t>582/29090</t>
  </si>
  <si>
    <t>582/29094</t>
  </si>
  <si>
    <t>582/29095</t>
  </si>
  <si>
    <t>582/29096</t>
  </si>
  <si>
    <t>582/29087</t>
  </si>
  <si>
    <t>582/29086</t>
  </si>
  <si>
    <t>582/29093</t>
  </si>
  <si>
    <t>582/29079</t>
  </si>
  <si>
    <t>582/29084</t>
  </si>
  <si>
    <t>582/29091</t>
  </si>
  <si>
    <t>582/29097</t>
  </si>
  <si>
    <t>582/29080</t>
  </si>
  <si>
    <t>582/29085</t>
  </si>
  <si>
    <t>582/29092</t>
  </si>
  <si>
    <t>582/29098</t>
  </si>
  <si>
    <t>ประจำเดือน มิถุนายน 2569</t>
  </si>
  <si>
    <t>582/29099</t>
  </si>
  <si>
    <t>582/29100</t>
  </si>
  <si>
    <t>583/29101</t>
  </si>
  <si>
    <t>583/29104</t>
  </si>
  <si>
    <t>583/29105</t>
  </si>
  <si>
    <t>583/29106</t>
  </si>
  <si>
    <t>583/29109</t>
  </si>
  <si>
    <t>583/29110</t>
  </si>
  <si>
    <t>583/29111</t>
  </si>
  <si>
    <t>583/29117</t>
  </si>
  <si>
    <t>583/29118</t>
  </si>
  <si>
    <t>583/29119</t>
  </si>
  <si>
    <t>583/29115</t>
  </si>
  <si>
    <t>583/29114</t>
  </si>
  <si>
    <t>583/29116</t>
  </si>
  <si>
    <t>583/29102</t>
  </si>
  <si>
    <t>583/29107</t>
  </si>
  <si>
    <t>583/29112</t>
  </si>
  <si>
    <t>583/29120</t>
  </si>
  <si>
    <t>583/29103</t>
  </si>
  <si>
    <t>583/29108</t>
  </si>
  <si>
    <t>583/29113</t>
  </si>
  <si>
    <t>583/29121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</si>
</sst>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_);\(0\)"/>
    <numFmt numFmtId="166" formatCode="[$-107041E]d\ mmm\ yy;@"/>
    <numFmt numFmtId="167" formatCode="0_ ;\-0\ "/>
    <numFmt numFmtId="168" formatCode="_-* #,##0_-;\-* #,##0_-;_-* &quot;-&quot;??_-;_-@_-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&quot;TH SarabunPSK&quot;"/>
    </font>
    <font>
      <sz val="10"/>
      <name val="Arial"/>
      <family val="2"/>
    </font>
    <font>
      <sz val="12"/>
      <color theme="1"/>
      <name val="&quot;TH SarabunPSK&quot;"/>
    </font>
    <font>
      <u/>
      <sz val="14"/>
      <color theme="1"/>
      <name val="&quot;TH SarabunPSK&quot;"/>
    </font>
    <font>
      <sz val="14"/>
      <color rgb="FFFF0000"/>
      <name val="&quot;TH SarabunPSK&quot;"/>
    </font>
    <font>
      <sz val="14"/>
      <color rgb="FF000000"/>
      <name val="&quot;TH SarabunPSK&quot;"/>
    </font>
    <font>
      <sz val="10"/>
      <color theme="1"/>
      <name val="&quot;TH SarabunPSK&quot;"/>
    </font>
    <font>
      <sz val="14"/>
      <name val="Cordia New"/>
      <family val="2"/>
    </font>
    <font>
      <sz val="14"/>
      <name val="TH SarabunPSK"/>
      <family val="2"/>
    </font>
    <font>
      <sz val="14"/>
      <name val="Cordia New"/>
      <family val="2"/>
    </font>
    <font>
      <sz val="16"/>
      <color theme="1"/>
      <name val="Angsana New"/>
      <family val="1"/>
    </font>
    <font>
      <sz val="16"/>
      <color theme="1"/>
      <name val="&quot;TH SarabunPSK&quot;"/>
    </font>
    <font>
      <u/>
      <sz val="16"/>
      <color theme="1"/>
      <name val="&quot;TH SarabunPSK&quot;"/>
    </font>
    <font>
      <sz val="13"/>
      <color rgb="FFFF0000"/>
      <name val="&quot;TH SarabunPSK&quot;"/>
    </font>
    <font>
      <sz val="13"/>
      <color theme="1"/>
      <name val="&quot;TH SarabunPSK&quot;"/>
    </font>
    <font>
      <sz val="13"/>
      <color rgb="FF000000"/>
      <name val="&quot;TH SarabunPSK&quot;"/>
    </font>
    <font>
      <u/>
      <sz val="14"/>
      <color rgb="FF000000"/>
      <name val="&quot;TH SarabunPSK&quot;"/>
    </font>
    <font>
      <b/>
      <sz val="16"/>
      <name val="TH SarabunPSK"/>
      <family val="2"/>
    </font>
    <font>
      <b/>
      <sz val="14"/>
      <name val="TH SarabunPSK"/>
      <family val="2"/>
      <charset val="222"/>
    </font>
    <font>
      <b/>
      <sz val="12"/>
      <name val="TH SarabunPSK"/>
      <family val="2"/>
      <charset val="222"/>
    </font>
    <font>
      <b/>
      <u/>
      <sz val="14"/>
      <name val="TH SarabunPSK"/>
      <family val="2"/>
      <charset val="222"/>
    </font>
    <font>
      <b/>
      <sz val="14"/>
      <color rgb="FFFF0000"/>
      <name val="TH SarabunPSK"/>
      <family val="2"/>
      <charset val="222"/>
    </font>
    <font>
      <b/>
      <sz val="14"/>
      <color indexed="8"/>
      <name val="TH SarabunPSK"/>
      <family val="2"/>
      <charset val="222"/>
    </font>
    <font>
      <b/>
      <sz val="10"/>
      <name val="TH SarabunPSK"/>
      <family val="2"/>
      <charset val="222"/>
    </font>
    <font>
      <sz val="14"/>
      <name val="TH SarabunPSK"/>
      <family val="2"/>
      <charset val="222"/>
    </font>
    <font>
      <b/>
      <sz val="16"/>
      <name val="TH SarabunPSK"/>
      <family val="2"/>
      <charset val="222"/>
    </font>
    <font>
      <b/>
      <sz val="14"/>
      <name val="Cordia New"/>
      <family val="2"/>
      <charset val="222"/>
    </font>
    <font>
      <b/>
      <sz val="14"/>
      <name val="TH SarabunPSK"/>
      <family val="2"/>
    </font>
    <font>
      <b/>
      <u/>
      <sz val="16"/>
      <name val="TH SarabunPSK"/>
      <family val="2"/>
      <charset val="222"/>
    </font>
    <font>
      <b/>
      <u/>
      <sz val="14"/>
      <name val="TH SarabunPSK"/>
      <family val="2"/>
    </font>
    <font>
      <b/>
      <sz val="13"/>
      <color rgb="FFFF0000"/>
      <name val="TH SarabunPSK"/>
      <family val="2"/>
      <charset val="222"/>
    </font>
    <font>
      <b/>
      <sz val="13"/>
      <name val="TH SarabunPSK"/>
      <family val="2"/>
      <charset val="222"/>
    </font>
    <font>
      <b/>
      <sz val="13"/>
      <color indexed="8"/>
      <name val="TH SarabunPSK"/>
      <family val="2"/>
      <charset val="222"/>
    </font>
    <font>
      <b/>
      <u/>
      <sz val="14"/>
      <color indexed="8"/>
      <name val="TH SarabunPSK"/>
      <family val="2"/>
      <charset val="222"/>
    </font>
    <font>
      <b/>
      <sz val="14"/>
      <color indexed="8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4" fontId="1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right"/>
    </xf>
    <xf numFmtId="0" fontId="5" fillId="2" borderId="6" xfId="0" applyFont="1" applyFill="1" applyBorder="1"/>
    <xf numFmtId="0" fontId="6" fillId="2" borderId="6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6" fillId="2" borderId="10" xfId="0" applyFont="1" applyFill="1" applyBorder="1"/>
    <xf numFmtId="0" fontId="2" fillId="2" borderId="10" xfId="0" applyFont="1" applyFill="1" applyBorder="1" applyAlignment="1">
      <alignment horizontal="right"/>
    </xf>
    <xf numFmtId="0" fontId="4" fillId="3" borderId="10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0" fontId="2" fillId="2" borderId="6" xfId="0" applyFont="1" applyFill="1" applyBorder="1"/>
    <xf numFmtId="0" fontId="7" fillId="2" borderId="6" xfId="0" applyFont="1" applyFill="1" applyBorder="1" applyAlignment="1">
      <alignment horizontal="left"/>
    </xf>
    <xf numFmtId="0" fontId="4" fillId="2" borderId="6" xfId="0" applyFont="1" applyFill="1" applyBorder="1"/>
    <xf numFmtId="0" fontId="8" fillId="2" borderId="3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left"/>
    </xf>
    <xf numFmtId="0" fontId="6" fillId="2" borderId="13" xfId="0" applyFont="1" applyFill="1" applyBorder="1"/>
    <xf numFmtId="0" fontId="2" fillId="2" borderId="13" xfId="0" applyFont="1" applyFill="1" applyBorder="1" applyAlignment="1">
      <alignment horizontal="right"/>
    </xf>
    <xf numFmtId="0" fontId="4" fillId="3" borderId="13" xfId="0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5" fillId="2" borderId="14" xfId="0" applyFont="1" applyFill="1" applyBorder="1" applyAlignment="1">
      <alignment horizontal="left"/>
    </xf>
    <xf numFmtId="0" fontId="6" fillId="2" borderId="14" xfId="0" applyFont="1" applyFill="1" applyBorder="1"/>
    <xf numFmtId="0" fontId="2" fillId="2" borderId="14" xfId="0" applyFont="1" applyFill="1" applyBorder="1" applyAlignment="1">
      <alignment horizontal="right"/>
    </xf>
    <xf numFmtId="0" fontId="4" fillId="3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4" fontId="2" fillId="0" borderId="9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5" fontId="4" fillId="4" borderId="9" xfId="0" applyNumberFormat="1" applyFont="1" applyFill="1" applyBorder="1" applyAlignment="1">
      <alignment horizontal="right"/>
    </xf>
    <xf numFmtId="0" fontId="4" fillId="4" borderId="9" xfId="0" applyFont="1" applyFill="1" applyBorder="1" applyAlignment="1">
      <alignment horizontal="right"/>
    </xf>
    <xf numFmtId="4" fontId="2" fillId="4" borderId="9" xfId="0" applyNumberFormat="1" applyFont="1" applyFill="1" applyBorder="1" applyAlignment="1">
      <alignment horizontal="right"/>
    </xf>
    <xf numFmtId="0" fontId="10" fillId="0" borderId="15" xfId="2" applyFont="1" applyBorder="1" applyAlignment="1">
      <alignment vertical="center"/>
    </xf>
    <xf numFmtId="164" fontId="10" fillId="0" borderId="15" xfId="3" applyFont="1" applyFill="1" applyBorder="1" applyAlignment="1">
      <alignment horizontal="right" vertical="center"/>
    </xf>
    <xf numFmtId="0" fontId="2" fillId="0" borderId="9" xfId="0" applyFont="1" applyBorder="1"/>
    <xf numFmtId="43" fontId="2" fillId="0" borderId="9" xfId="1" applyFont="1" applyBorder="1" applyAlignment="1">
      <alignment horizontal="right"/>
    </xf>
    <xf numFmtId="15" fontId="12" fillId="4" borderId="9" xfId="0" applyNumberFormat="1" applyFont="1" applyFill="1" applyBorder="1" applyAlignment="1">
      <alignment horizontal="right"/>
    </xf>
    <xf numFmtId="43" fontId="2" fillId="4" borderId="9" xfId="1" applyFont="1" applyFill="1" applyBorder="1" applyAlignment="1">
      <alignment horizontal="right"/>
    </xf>
    <xf numFmtId="0" fontId="2" fillId="0" borderId="16" xfId="0" applyFont="1" applyBorder="1" applyAlignment="1">
      <alignment horizontal="left"/>
    </xf>
    <xf numFmtId="0" fontId="6" fillId="0" borderId="16" xfId="0" applyFont="1" applyBorder="1"/>
    <xf numFmtId="4" fontId="2" fillId="0" borderId="16" xfId="0" applyNumberFormat="1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8" fillId="4" borderId="16" xfId="0" applyFont="1" applyFill="1" applyBorder="1" applyAlignment="1">
      <alignment horizontal="right"/>
    </xf>
    <xf numFmtId="4" fontId="2" fillId="4" borderId="16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6" xfId="0" applyFont="1" applyBorder="1"/>
    <xf numFmtId="0" fontId="2" fillId="0" borderId="6" xfId="0" applyFont="1" applyBorder="1" applyAlignment="1">
      <alignment horizontal="right"/>
    </xf>
    <xf numFmtId="0" fontId="4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0" fontId="2" fillId="0" borderId="6" xfId="0" applyFont="1" applyBorder="1"/>
    <xf numFmtId="15" fontId="4" fillId="4" borderId="6" xfId="0" applyNumberFormat="1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4" fontId="2" fillId="4" borderId="6" xfId="0" applyNumberFormat="1" applyFont="1" applyFill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8" fillId="0" borderId="6" xfId="0" applyFont="1" applyBorder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4" fontId="2" fillId="0" borderId="10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0" fontId="13" fillId="4" borderId="10" xfId="0" applyFont="1" applyFill="1" applyBorder="1" applyAlignment="1">
      <alignment horizontal="right"/>
    </xf>
    <xf numFmtId="4" fontId="2" fillId="4" borderId="10" xfId="0" applyNumberFormat="1" applyFont="1" applyFill="1" applyBorder="1" applyAlignment="1">
      <alignment horizontal="right"/>
    </xf>
    <xf numFmtId="0" fontId="5" fillId="0" borderId="6" xfId="0" applyFont="1" applyBorder="1"/>
    <xf numFmtId="0" fontId="6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6" fillId="0" borderId="10" xfId="0" applyFont="1" applyBorder="1"/>
    <xf numFmtId="0" fontId="4" fillId="4" borderId="10" xfId="0" applyFont="1" applyFill="1" applyBorder="1" applyAlignment="1">
      <alignment horizontal="right"/>
    </xf>
    <xf numFmtId="0" fontId="4" fillId="0" borderId="6" xfId="0" applyFont="1" applyBorder="1"/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4" fillId="0" borderId="10" xfId="0" applyFont="1" applyBorder="1"/>
    <xf numFmtId="0" fontId="6" fillId="0" borderId="18" xfId="0" applyFont="1" applyBorder="1"/>
    <xf numFmtId="0" fontId="2" fillId="0" borderId="18" xfId="0" applyFont="1" applyBorder="1" applyAlignment="1">
      <alignment horizontal="right"/>
    </xf>
    <xf numFmtId="0" fontId="2" fillId="4" borderId="18" xfId="0" applyFont="1" applyFill="1" applyBorder="1" applyAlignment="1">
      <alignment horizontal="right"/>
    </xf>
    <xf numFmtId="2" fontId="2" fillId="0" borderId="18" xfId="0" applyNumberFormat="1" applyFont="1" applyBorder="1" applyAlignment="1">
      <alignment horizontal="right"/>
    </xf>
    <xf numFmtId="15" fontId="4" fillId="4" borderId="7" xfId="0" applyNumberFormat="1" applyFont="1" applyFill="1" applyBorder="1" applyAlignment="1">
      <alignment horizontal="right"/>
    </xf>
    <xf numFmtId="2" fontId="2" fillId="4" borderId="6" xfId="0" applyNumberFormat="1" applyFont="1" applyFill="1" applyBorder="1" applyAlignment="1">
      <alignment horizontal="right"/>
    </xf>
    <xf numFmtId="43" fontId="2" fillId="0" borderId="6" xfId="1" applyFont="1" applyBorder="1" applyAlignment="1">
      <alignment horizontal="right"/>
    </xf>
    <xf numFmtId="43" fontId="2" fillId="4" borderId="6" xfId="1" applyFont="1" applyFill="1" applyBorder="1" applyAlignment="1">
      <alignment horizontal="right"/>
    </xf>
    <xf numFmtId="15" fontId="12" fillId="4" borderId="7" xfId="0" applyNumberFormat="1" applyFont="1" applyFill="1" applyBorder="1" applyAlignment="1">
      <alignment horizontal="right"/>
    </xf>
    <xf numFmtId="0" fontId="2" fillId="0" borderId="3" xfId="0" applyFont="1" applyBorder="1"/>
    <xf numFmtId="0" fontId="4" fillId="4" borderId="3" xfId="0" applyFont="1" applyFill="1" applyBorder="1" applyAlignment="1">
      <alignment horizontal="right"/>
    </xf>
    <xf numFmtId="0" fontId="2" fillId="4" borderId="16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15" fontId="12" fillId="4" borderId="6" xfId="0" applyNumberFormat="1" applyFont="1" applyFill="1" applyBorder="1" applyAlignment="1">
      <alignment horizontal="right"/>
    </xf>
    <xf numFmtId="0" fontId="2" fillId="4" borderId="6" xfId="0" applyFont="1" applyFill="1" applyBorder="1"/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right"/>
    </xf>
    <xf numFmtId="4" fontId="2" fillId="2" borderId="10" xfId="0" applyNumberFormat="1" applyFont="1" applyFill="1" applyBorder="1" applyAlignment="1">
      <alignment horizontal="right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right"/>
    </xf>
    <xf numFmtId="0" fontId="2" fillId="2" borderId="18" xfId="0" applyFont="1" applyFill="1" applyBorder="1"/>
    <xf numFmtId="4" fontId="2" fillId="2" borderId="10" xfId="0" applyNumberFormat="1" applyFont="1" applyFill="1" applyBorder="1" applyAlignment="1">
      <alignment horizontal="left"/>
    </xf>
    <xf numFmtId="0" fontId="2" fillId="2" borderId="10" xfId="0" applyFont="1" applyFill="1" applyBorder="1"/>
    <xf numFmtId="0" fontId="8" fillId="2" borderId="10" xfId="0" applyFont="1" applyFill="1" applyBorder="1" applyAlignment="1">
      <alignment horizontal="left"/>
    </xf>
    <xf numFmtId="0" fontId="4" fillId="3" borderId="10" xfId="0" applyFont="1" applyFill="1" applyBorder="1"/>
    <xf numFmtId="0" fontId="2" fillId="3" borderId="10" xfId="0" applyFont="1" applyFill="1" applyBorder="1"/>
    <xf numFmtId="4" fontId="2" fillId="3" borderId="10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2" borderId="17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3" borderId="6" xfId="0" applyFont="1" applyFill="1" applyBorder="1"/>
    <xf numFmtId="0" fontId="15" fillId="2" borderId="7" xfId="0" applyFont="1" applyFill="1" applyBorder="1" applyAlignment="1">
      <alignment horizontal="left"/>
    </xf>
    <xf numFmtId="0" fontId="16" fillId="2" borderId="6" xfId="0" applyFont="1" applyFill="1" applyBorder="1"/>
    <xf numFmtId="0" fontId="16" fillId="2" borderId="6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right"/>
    </xf>
    <xf numFmtId="0" fontId="16" fillId="3" borderId="6" xfId="0" applyFont="1" applyFill="1" applyBorder="1" applyAlignment="1">
      <alignment horizontal="right"/>
    </xf>
    <xf numFmtId="0" fontId="16" fillId="3" borderId="6" xfId="0" applyFont="1" applyFill="1" applyBorder="1"/>
    <xf numFmtId="0" fontId="16" fillId="2" borderId="0" xfId="0" applyFont="1" applyFill="1"/>
    <xf numFmtId="0" fontId="17" fillId="2" borderId="6" xfId="0" applyFont="1" applyFill="1" applyBorder="1" applyAlignment="1">
      <alignment horizontal="left"/>
    </xf>
    <xf numFmtId="0" fontId="16" fillId="2" borderId="0" xfId="0" applyFont="1" applyFill="1" applyAlignment="1">
      <alignment horizontal="right"/>
    </xf>
    <xf numFmtId="0" fontId="15" fillId="2" borderId="2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16" fillId="2" borderId="3" xfId="0" applyFont="1" applyFill="1" applyBorder="1"/>
    <xf numFmtId="0" fontId="16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right"/>
    </xf>
    <xf numFmtId="0" fontId="16" fillId="3" borderId="3" xfId="0" applyFont="1" applyFill="1" applyBorder="1" applyAlignment="1">
      <alignment horizontal="right"/>
    </xf>
    <xf numFmtId="0" fontId="16" fillId="3" borderId="3" xfId="0" applyFont="1" applyFill="1" applyBorder="1"/>
    <xf numFmtId="0" fontId="16" fillId="2" borderId="1" xfId="0" applyFont="1" applyFill="1" applyBorder="1" applyAlignment="1">
      <alignment horizontal="right"/>
    </xf>
    <xf numFmtId="0" fontId="16" fillId="2" borderId="6" xfId="0" applyFont="1" applyFill="1" applyBorder="1" applyAlignment="1">
      <alignment horizontal="left"/>
    </xf>
    <xf numFmtId="4" fontId="2" fillId="2" borderId="6" xfId="0" applyNumberFormat="1" applyFont="1" applyFill="1" applyBorder="1" applyAlignment="1">
      <alignment horizontal="left"/>
    </xf>
    <xf numFmtId="0" fontId="2" fillId="2" borderId="7" xfId="0" applyFont="1" applyFill="1" applyBorder="1"/>
    <xf numFmtId="0" fontId="18" fillId="2" borderId="6" xfId="0" applyFont="1" applyFill="1" applyBorder="1" applyAlignment="1">
      <alignment horizontal="left"/>
    </xf>
    <xf numFmtId="4" fontId="2" fillId="2" borderId="3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0" fillId="4" borderId="0" xfId="0" applyFill="1"/>
    <xf numFmtId="4" fontId="0" fillId="0" borderId="0" xfId="0" applyNumberFormat="1"/>
    <xf numFmtId="43" fontId="0" fillId="0" borderId="0" xfId="0" applyNumberFormat="1"/>
    <xf numFmtId="4" fontId="0" fillId="5" borderId="0" xfId="0" applyNumberFormat="1" applyFill="1"/>
    <xf numFmtId="0" fontId="19" fillId="0" borderId="15" xfId="2" applyFont="1" applyBorder="1" applyAlignment="1">
      <alignment vertical="center"/>
    </xf>
    <xf numFmtId="164" fontId="19" fillId="0" borderId="15" xfId="3" applyFont="1" applyFill="1" applyBorder="1" applyAlignment="1">
      <alignment horizontal="right" vertical="center"/>
    </xf>
    <xf numFmtId="4" fontId="0" fillId="6" borderId="0" xfId="0" applyNumberFormat="1" applyFill="1"/>
    <xf numFmtId="43" fontId="0" fillId="0" borderId="0" xfId="1" applyFont="1"/>
    <xf numFmtId="0" fontId="20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20" fillId="7" borderId="9" xfId="0" applyFont="1" applyFill="1" applyBorder="1" applyAlignment="1">
      <alignment horizontal="center" vertical="center"/>
    </xf>
    <xf numFmtId="49" fontId="20" fillId="7" borderId="9" xfId="0" applyNumberFormat="1" applyFont="1" applyFill="1" applyBorder="1" applyAlignment="1">
      <alignment horizontal="center" vertical="center"/>
    </xf>
    <xf numFmtId="4" fontId="20" fillId="7" borderId="9" xfId="0" applyNumberFormat="1" applyFont="1" applyFill="1" applyBorder="1" applyAlignment="1">
      <alignment horizontal="center" vertical="center" wrapText="1"/>
    </xf>
    <xf numFmtId="1" fontId="20" fillId="7" borderId="21" xfId="0" applyNumberFormat="1" applyFont="1" applyFill="1" applyBorder="1" applyAlignment="1">
      <alignment horizontal="center" vertical="center"/>
    </xf>
    <xf numFmtId="4" fontId="21" fillId="7" borderId="9" xfId="0" applyNumberFormat="1" applyFont="1" applyFill="1" applyBorder="1" applyAlignment="1">
      <alignment horizontal="center" vertical="center" wrapText="1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24" xfId="0" applyNumberFormat="1" applyFont="1" applyFill="1" applyBorder="1" applyAlignment="1">
      <alignment horizontal="center" vertical="center"/>
    </xf>
    <xf numFmtId="1" fontId="20" fillId="7" borderId="24" xfId="0" applyNumberFormat="1" applyFont="1" applyFill="1" applyBorder="1" applyAlignment="1">
      <alignment horizontal="center" vertical="center" shrinkToFit="1"/>
    </xf>
    <xf numFmtId="43" fontId="20" fillId="7" borderId="24" xfId="0" applyNumberFormat="1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shrinkToFit="1"/>
    </xf>
    <xf numFmtId="1" fontId="20" fillId="7" borderId="14" xfId="0" applyNumberFormat="1" applyFont="1" applyFill="1" applyBorder="1" applyAlignment="1">
      <alignment horizontal="center" vertical="center"/>
    </xf>
    <xf numFmtId="4" fontId="20" fillId="7" borderId="21" xfId="0" applyNumberFormat="1" applyFont="1" applyFill="1" applyBorder="1" applyAlignment="1">
      <alignment horizontal="center" vertical="center"/>
    </xf>
    <xf numFmtId="1" fontId="21" fillId="7" borderId="21" xfId="0" applyNumberFormat="1" applyFont="1" applyFill="1" applyBorder="1" applyAlignment="1">
      <alignment horizontal="center" vertical="center" wrapText="1"/>
    </xf>
    <xf numFmtId="43" fontId="20" fillId="7" borderId="14" xfId="0" applyNumberFormat="1" applyFont="1" applyFill="1" applyBorder="1" applyAlignment="1">
      <alignment horizontal="center" vertical="center"/>
    </xf>
    <xf numFmtId="43" fontId="20" fillId="7" borderId="21" xfId="1" applyFont="1" applyFill="1" applyBorder="1" applyAlignment="1">
      <alignment horizontal="center" vertical="center"/>
    </xf>
    <xf numFmtId="165" fontId="20" fillId="7" borderId="25" xfId="0" applyNumberFormat="1" applyFont="1" applyFill="1" applyBorder="1" applyAlignment="1">
      <alignment horizontal="center" vertical="center"/>
    </xf>
    <xf numFmtId="0" fontId="22" fillId="7" borderId="25" xfId="0" applyFont="1" applyFill="1" applyBorder="1" applyAlignment="1">
      <alignment vertical="center"/>
    </xf>
    <xf numFmtId="0" fontId="23" fillId="7" borderId="25" xfId="0" applyFont="1" applyFill="1" applyBorder="1" applyAlignment="1">
      <alignment vertical="center"/>
    </xf>
    <xf numFmtId="43" fontId="20" fillId="7" borderId="26" xfId="1" applyFont="1" applyFill="1" applyBorder="1" applyAlignment="1">
      <alignment horizontal="right" vertical="center"/>
    </xf>
    <xf numFmtId="0" fontId="20" fillId="7" borderId="26" xfId="0" applyFont="1" applyFill="1" applyBorder="1" applyAlignment="1">
      <alignment horizontal="left" vertical="center"/>
    </xf>
    <xf numFmtId="1" fontId="20" fillId="7" borderId="26" xfId="0" applyNumberFormat="1" applyFont="1" applyFill="1" applyBorder="1" applyAlignment="1">
      <alignment horizontal="center" vertical="center"/>
    </xf>
    <xf numFmtId="1" fontId="20" fillId="7" borderId="27" xfId="0" applyNumberFormat="1" applyFont="1" applyFill="1" applyBorder="1" applyAlignment="1">
      <alignment horizontal="center" vertical="center"/>
    </xf>
    <xf numFmtId="164" fontId="20" fillId="7" borderId="28" xfId="0" applyNumberFormat="1" applyFont="1" applyFill="1" applyBorder="1" applyAlignment="1">
      <alignment horizontal="center" vertical="center"/>
    </xf>
    <xf numFmtId="166" fontId="21" fillId="7" borderId="28" xfId="0" applyNumberFormat="1" applyFont="1" applyFill="1" applyBorder="1" applyAlignment="1">
      <alignment horizontal="center" vertical="center"/>
    </xf>
    <xf numFmtId="164" fontId="20" fillId="7" borderId="28" xfId="0" applyNumberFormat="1" applyFont="1" applyFill="1" applyBorder="1" applyAlignment="1">
      <alignment horizontal="right" vertical="center" shrinkToFit="1"/>
    </xf>
    <xf numFmtId="164" fontId="20" fillId="7" borderId="15" xfId="0" applyNumberFormat="1" applyFont="1" applyFill="1" applyBorder="1" applyAlignment="1">
      <alignment horizontal="right" vertical="center"/>
    </xf>
    <xf numFmtId="43" fontId="20" fillId="7" borderId="27" xfId="0" applyNumberFormat="1" applyFont="1" applyFill="1" applyBorder="1" applyAlignment="1">
      <alignment horizontal="right" vertical="center"/>
    </xf>
    <xf numFmtId="165" fontId="20" fillId="7" borderId="26" xfId="0" applyNumberFormat="1" applyFont="1" applyFill="1" applyBorder="1" applyAlignment="1">
      <alignment horizontal="center" vertical="center"/>
    </xf>
    <xf numFmtId="0" fontId="22" fillId="7" borderId="29" xfId="0" applyFont="1" applyFill="1" applyBorder="1" applyAlignment="1">
      <alignment vertical="center"/>
    </xf>
    <xf numFmtId="0" fontId="23" fillId="7" borderId="29" xfId="0" applyFont="1" applyFill="1" applyBorder="1" applyAlignment="1">
      <alignment vertical="center"/>
    </xf>
    <xf numFmtId="43" fontId="20" fillId="7" borderId="29" xfId="1" applyFont="1" applyFill="1" applyBorder="1" applyAlignment="1">
      <alignment horizontal="right" vertical="center"/>
    </xf>
    <xf numFmtId="166" fontId="21" fillId="7" borderId="30" xfId="0" applyNumberFormat="1" applyFont="1" applyFill="1" applyBorder="1" applyAlignment="1">
      <alignment horizontal="center" vertical="center"/>
    </xf>
    <xf numFmtId="164" fontId="20" fillId="7" borderId="30" xfId="0" applyNumberFormat="1" applyFont="1" applyFill="1" applyBorder="1" applyAlignment="1">
      <alignment horizontal="right" vertical="center" shrinkToFit="1"/>
    </xf>
    <xf numFmtId="164" fontId="20" fillId="7" borderId="31" xfId="0" applyNumberFormat="1" applyFont="1" applyFill="1" applyBorder="1" applyAlignment="1">
      <alignment horizontal="right" vertical="center"/>
    </xf>
    <xf numFmtId="0" fontId="20" fillId="7" borderId="29" xfId="0" applyFont="1" applyFill="1" applyBorder="1" applyAlignment="1">
      <alignment horizontal="left" vertical="center"/>
    </xf>
    <xf numFmtId="1" fontId="20" fillId="7" borderId="2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43" fontId="20" fillId="7" borderId="32" xfId="0" applyNumberFormat="1" applyFont="1" applyFill="1" applyBorder="1" applyAlignment="1">
      <alignment horizontal="right" vertical="center"/>
    </xf>
    <xf numFmtId="0" fontId="20" fillId="7" borderId="33" xfId="0" applyFont="1" applyFill="1" applyBorder="1" applyAlignment="1">
      <alignment vertical="center"/>
    </xf>
    <xf numFmtId="0" fontId="23" fillId="7" borderId="33" xfId="0" applyFont="1" applyFill="1" applyBorder="1" applyAlignment="1">
      <alignment vertical="center"/>
    </xf>
    <xf numFmtId="43" fontId="20" fillId="7" borderId="33" xfId="1" applyFont="1" applyFill="1" applyBorder="1" applyAlignment="1">
      <alignment horizontal="right" vertical="center"/>
    </xf>
    <xf numFmtId="166" fontId="21" fillId="7" borderId="33" xfId="1" applyNumberFormat="1" applyFont="1" applyFill="1" applyBorder="1" applyAlignment="1">
      <alignment horizontal="right" vertical="center"/>
    </xf>
    <xf numFmtId="0" fontId="22" fillId="7" borderId="34" xfId="0" applyFont="1" applyFill="1" applyBorder="1" applyAlignment="1">
      <alignment vertical="center"/>
    </xf>
    <xf numFmtId="0" fontId="23" fillId="7" borderId="34" xfId="0" applyFont="1" applyFill="1" applyBorder="1" applyAlignment="1">
      <alignment vertical="center"/>
    </xf>
    <xf numFmtId="43" fontId="20" fillId="7" borderId="34" xfId="1" applyFont="1" applyFill="1" applyBorder="1" applyAlignment="1">
      <alignment horizontal="right" vertical="center"/>
    </xf>
    <xf numFmtId="43" fontId="20" fillId="7" borderId="35" xfId="1" applyFont="1" applyFill="1" applyBorder="1" applyAlignment="1">
      <alignment horizontal="right" vertical="center"/>
    </xf>
    <xf numFmtId="166" fontId="21" fillId="7" borderId="35" xfId="0" applyNumberFormat="1" applyFont="1" applyFill="1" applyBorder="1" applyAlignment="1">
      <alignment horizontal="center" vertical="center"/>
    </xf>
    <xf numFmtId="164" fontId="20" fillId="7" borderId="35" xfId="0" applyNumberFormat="1" applyFont="1" applyFill="1" applyBorder="1" applyAlignment="1">
      <alignment horizontal="right" vertical="center" shrinkToFit="1"/>
    </xf>
    <xf numFmtId="164" fontId="20" fillId="7" borderId="34" xfId="0" applyNumberFormat="1" applyFont="1" applyFill="1" applyBorder="1" applyAlignment="1">
      <alignment horizontal="right" vertical="center"/>
    </xf>
    <xf numFmtId="0" fontId="20" fillId="7" borderId="34" xfId="0" applyFont="1" applyFill="1" applyBorder="1" applyAlignment="1">
      <alignment horizontal="left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43" fontId="20" fillId="7" borderId="35" xfId="0" applyNumberFormat="1" applyFont="1" applyFill="1" applyBorder="1" applyAlignment="1">
      <alignment horizontal="right" vertical="center"/>
    </xf>
    <xf numFmtId="165" fontId="20" fillId="7" borderId="15" xfId="0" applyNumberFormat="1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vertical="center"/>
    </xf>
    <xf numFmtId="0" fontId="24" fillId="7" borderId="15" xfId="0" applyFont="1" applyFill="1" applyBorder="1" applyAlignment="1">
      <alignment horizontal="left" vertical="center" shrinkToFit="1"/>
    </xf>
    <xf numFmtId="4" fontId="20" fillId="7" borderId="15" xfId="1" applyNumberFormat="1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vertical="center"/>
    </xf>
    <xf numFmtId="1" fontId="20" fillId="7" borderId="15" xfId="0" applyNumberFormat="1" applyFont="1" applyFill="1" applyBorder="1" applyAlignment="1">
      <alignment horizontal="center" vertical="center"/>
    </xf>
    <xf numFmtId="43" fontId="20" fillId="7" borderId="15" xfId="1" applyFont="1" applyFill="1" applyBorder="1" applyAlignment="1">
      <alignment horizontal="center" vertical="center"/>
    </xf>
    <xf numFmtId="43" fontId="25" fillId="7" borderId="36" xfId="1" applyFont="1" applyFill="1" applyBorder="1" applyAlignment="1">
      <alignment horizontal="center" vertical="center"/>
    </xf>
    <xf numFmtId="15" fontId="20" fillId="7" borderId="15" xfId="0" applyNumberFormat="1" applyFont="1" applyFill="1" applyBorder="1" applyAlignment="1">
      <alignment horizontal="center" vertical="center" shrinkToFit="1"/>
    </xf>
    <xf numFmtId="0" fontId="21" fillId="7" borderId="15" xfId="4" applyNumberFormat="1" applyFont="1" applyFill="1" applyBorder="1" applyAlignment="1">
      <alignment horizontal="center" vertical="center"/>
    </xf>
    <xf numFmtId="4" fontId="20" fillId="7" borderId="15" xfId="1" applyNumberFormat="1" applyFont="1" applyFill="1" applyBorder="1" applyAlignment="1">
      <alignment vertical="center"/>
    </xf>
    <xf numFmtId="0" fontId="21" fillId="7" borderId="31" xfId="0" applyFont="1" applyFill="1" applyBorder="1" applyAlignment="1">
      <alignment vertical="center"/>
    </xf>
    <xf numFmtId="1" fontId="20" fillId="7" borderId="31" xfId="0" applyNumberFormat="1" applyFont="1" applyFill="1" applyBorder="1" applyAlignment="1">
      <alignment horizontal="center" vertical="center"/>
    </xf>
    <xf numFmtId="43" fontId="20" fillId="7" borderId="31" xfId="1" applyFont="1" applyFill="1" applyBorder="1" applyAlignment="1">
      <alignment horizontal="center" vertical="center"/>
    </xf>
    <xf numFmtId="43" fontId="25" fillId="7" borderId="31" xfId="1" applyFont="1" applyFill="1" applyBorder="1" applyAlignment="1">
      <alignment horizontal="center" vertical="center"/>
    </xf>
    <xf numFmtId="43" fontId="20" fillId="7" borderId="15" xfId="0" applyNumberFormat="1" applyFont="1" applyFill="1" applyBorder="1" applyAlignment="1">
      <alignment horizontal="right" vertical="center"/>
    </xf>
    <xf numFmtId="43" fontId="25" fillId="7" borderId="29" xfId="1" applyFont="1" applyFill="1" applyBorder="1" applyAlignment="1">
      <alignment horizontal="center" vertical="center"/>
    </xf>
    <xf numFmtId="43" fontId="25" fillId="7" borderId="33" xfId="1" applyFont="1" applyFill="1" applyBorder="1" applyAlignment="1">
      <alignment horizontal="right" vertical="center"/>
    </xf>
    <xf numFmtId="0" fontId="20" fillId="7" borderId="29" xfId="0" applyFont="1" applyFill="1" applyBorder="1" applyAlignment="1">
      <alignment vertical="center"/>
    </xf>
    <xf numFmtId="166" fontId="21" fillId="7" borderId="32" xfId="0" applyNumberFormat="1" applyFont="1" applyFill="1" applyBorder="1" applyAlignment="1">
      <alignment horizontal="center" vertical="center"/>
    </xf>
    <xf numFmtId="164" fontId="20" fillId="7" borderId="32" xfId="0" applyNumberFormat="1" applyFont="1" applyFill="1" applyBorder="1" applyAlignment="1">
      <alignment horizontal="right" vertical="center" shrinkToFit="1"/>
    </xf>
    <xf numFmtId="164" fontId="20" fillId="7" borderId="29" xfId="0" applyNumberFormat="1" applyFont="1" applyFill="1" applyBorder="1" applyAlignment="1">
      <alignment horizontal="right" vertical="center"/>
    </xf>
    <xf numFmtId="43" fontId="20" fillId="7" borderId="31" xfId="0" applyNumberFormat="1" applyFont="1" applyFill="1" applyBorder="1" applyAlignment="1">
      <alignment horizontal="right" vertical="center"/>
    </xf>
    <xf numFmtId="0" fontId="20" fillId="7" borderId="36" xfId="0" applyFont="1" applyFill="1" applyBorder="1" applyAlignment="1">
      <alignment horizontal="left" vertical="center"/>
    </xf>
    <xf numFmtId="165" fontId="20" fillId="0" borderId="26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3" fontId="20" fillId="0" borderId="15" xfId="1" applyFont="1" applyFill="1" applyBorder="1" applyAlignment="1">
      <alignment horizontal="right" vertical="center"/>
    </xf>
    <xf numFmtId="15" fontId="21" fillId="0" borderId="15" xfId="1" applyNumberFormat="1" applyFont="1" applyFill="1" applyBorder="1" applyAlignment="1">
      <alignment horizontal="right" vertical="center"/>
    </xf>
    <xf numFmtId="13" fontId="21" fillId="0" borderId="15" xfId="1" applyNumberFormat="1" applyFont="1" applyFill="1" applyBorder="1" applyAlignment="1">
      <alignment horizontal="right" vertical="center"/>
    </xf>
    <xf numFmtId="164" fontId="20" fillId="0" borderId="31" xfId="0" applyNumberFormat="1" applyFont="1" applyBorder="1" applyAlignment="1">
      <alignment horizontal="right" vertical="center"/>
    </xf>
    <xf numFmtId="0" fontId="20" fillId="0" borderId="15" xfId="0" applyFont="1" applyBorder="1" applyAlignment="1">
      <alignment horizontal="left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43" fontId="20" fillId="0" borderId="32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20" fillId="0" borderId="29" xfId="1" applyFont="1" applyFill="1" applyBorder="1" applyAlignment="1">
      <alignment horizontal="right" vertical="center"/>
    </xf>
    <xf numFmtId="0" fontId="20" fillId="0" borderId="29" xfId="0" applyFont="1" applyBorder="1" applyAlignment="1">
      <alignment horizontal="left" vertical="center"/>
    </xf>
    <xf numFmtId="1" fontId="20" fillId="0" borderId="32" xfId="0" applyNumberFormat="1" applyFont="1" applyBorder="1" applyAlignment="1">
      <alignment horizontal="center" vertical="center"/>
    </xf>
    <xf numFmtId="43" fontId="20" fillId="0" borderId="15" xfId="0" applyNumberFormat="1" applyFont="1" applyBorder="1" applyAlignment="1">
      <alignment horizontal="right" vertical="center"/>
    </xf>
    <xf numFmtId="43" fontId="20" fillId="0" borderId="28" xfId="1" applyFont="1" applyFill="1" applyBorder="1" applyAlignment="1">
      <alignment horizontal="right" vertical="center"/>
    </xf>
    <xf numFmtId="0" fontId="20" fillId="0" borderId="31" xfId="0" applyFont="1" applyBorder="1" applyAlignment="1">
      <alignment horizontal="left" vertical="center"/>
    </xf>
    <xf numFmtId="1" fontId="20" fillId="0" borderId="29" xfId="0" applyNumberFormat="1" applyFont="1" applyBorder="1" applyAlignment="1">
      <alignment horizontal="center" vertical="center"/>
    </xf>
    <xf numFmtId="43" fontId="20" fillId="7" borderId="15" xfId="1" applyFont="1" applyFill="1" applyBorder="1" applyAlignment="1">
      <alignment horizontal="right" vertical="center"/>
    </xf>
    <xf numFmtId="15" fontId="21" fillId="7" borderId="15" xfId="1" applyNumberFormat="1" applyFont="1" applyFill="1" applyBorder="1" applyAlignment="1">
      <alignment horizontal="right" vertical="center"/>
    </xf>
    <xf numFmtId="13" fontId="21" fillId="7" borderId="15" xfId="1" applyNumberFormat="1" applyFont="1" applyFill="1" applyBorder="1" applyAlignment="1">
      <alignment horizontal="right" vertical="center"/>
    </xf>
    <xf numFmtId="1" fontId="20" fillId="0" borderId="26" xfId="0" applyNumberFormat="1" applyFont="1" applyBorder="1" applyAlignment="1">
      <alignment horizontal="center" vertical="center"/>
    </xf>
    <xf numFmtId="43" fontId="20" fillId="7" borderId="31" xfId="1" applyFont="1" applyFill="1" applyBorder="1" applyAlignment="1">
      <alignment horizontal="right" vertical="center"/>
    </xf>
    <xf numFmtId="1" fontId="20" fillId="0" borderId="31" xfId="0" applyNumberFormat="1" applyFont="1" applyBorder="1" applyAlignment="1">
      <alignment horizontal="center" vertical="center"/>
    </xf>
    <xf numFmtId="43" fontId="20" fillId="0" borderId="31" xfId="0" applyNumberFormat="1" applyFont="1" applyBorder="1" applyAlignment="1">
      <alignment horizontal="right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43" fontId="20" fillId="0" borderId="31" xfId="1" applyFont="1" applyFill="1" applyBorder="1" applyAlignment="1">
      <alignment horizontal="right" vertical="center"/>
    </xf>
    <xf numFmtId="164" fontId="20" fillId="0" borderId="15" xfId="0" applyNumberFormat="1" applyFont="1" applyBorder="1" applyAlignment="1">
      <alignment horizontal="right" vertical="center"/>
    </xf>
    <xf numFmtId="43" fontId="20" fillId="0" borderId="29" xfId="0" applyNumberFormat="1" applyFont="1" applyBorder="1" applyAlignment="1">
      <alignment horizontal="right" vertical="center"/>
    </xf>
    <xf numFmtId="0" fontId="20" fillId="0" borderId="38" xfId="0" applyFont="1" applyBorder="1" applyAlignment="1">
      <alignment vertical="center"/>
    </xf>
    <xf numFmtId="0" fontId="23" fillId="0" borderId="38" xfId="0" applyFont="1" applyBorder="1" applyAlignment="1">
      <alignment vertical="center"/>
    </xf>
    <xf numFmtId="43" fontId="20" fillId="0" borderId="38" xfId="1" applyFont="1" applyFill="1" applyBorder="1" applyAlignment="1">
      <alignment horizontal="right" vertical="center"/>
    </xf>
    <xf numFmtId="43" fontId="20" fillId="0" borderId="39" xfId="1" applyFont="1" applyFill="1" applyBorder="1" applyAlignment="1">
      <alignment horizontal="right" vertical="center"/>
    </xf>
    <xf numFmtId="43" fontId="25" fillId="0" borderId="38" xfId="1" applyFont="1" applyFill="1" applyBorder="1" applyAlignment="1">
      <alignment horizontal="right" vertical="center"/>
    </xf>
    <xf numFmtId="0" fontId="22" fillId="0" borderId="34" xfId="0" applyFont="1" applyBorder="1" applyAlignment="1">
      <alignment vertical="center"/>
    </xf>
    <xf numFmtId="0" fontId="23" fillId="0" borderId="34" xfId="0" applyFont="1" applyBorder="1" applyAlignment="1">
      <alignment vertical="center"/>
    </xf>
    <xf numFmtId="43" fontId="20" fillId="0" borderId="34" xfId="1" applyFont="1" applyFill="1" applyBorder="1" applyAlignment="1">
      <alignment horizontal="right" vertical="center"/>
    </xf>
    <xf numFmtId="43" fontId="20" fillId="0" borderId="35" xfId="1" applyFont="1" applyFill="1" applyBorder="1" applyAlignment="1">
      <alignment horizontal="right" vertical="center"/>
    </xf>
    <xf numFmtId="166" fontId="21" fillId="0" borderId="35" xfId="0" applyNumberFormat="1" applyFont="1" applyBorder="1" applyAlignment="1">
      <alignment horizontal="center" vertical="center"/>
    </xf>
    <xf numFmtId="164" fontId="20" fillId="0" borderId="35" xfId="0" applyNumberFormat="1" applyFont="1" applyBorder="1" applyAlignment="1">
      <alignment horizontal="right" vertical="center" shrinkToFit="1"/>
    </xf>
    <xf numFmtId="164" fontId="20" fillId="0" borderId="34" xfId="0" applyNumberFormat="1" applyFont="1" applyBorder="1" applyAlignment="1">
      <alignment horizontal="right" vertical="center"/>
    </xf>
    <xf numFmtId="0" fontId="20" fillId="0" borderId="34" xfId="0" applyFont="1" applyBorder="1" applyAlignment="1">
      <alignment horizontal="left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5" xfId="0" applyNumberFormat="1" applyFont="1" applyBorder="1" applyAlignment="1">
      <alignment horizontal="center" vertical="center"/>
    </xf>
    <xf numFmtId="43" fontId="20" fillId="0" borderId="35" xfId="0" applyNumberFormat="1" applyFont="1" applyBorder="1" applyAlignment="1">
      <alignment horizontal="right" vertical="center"/>
    </xf>
    <xf numFmtId="165" fontId="20" fillId="0" borderId="26" xfId="0" applyNumberFormat="1" applyFont="1" applyBorder="1" applyAlignment="1">
      <alignment vertical="center"/>
    </xf>
    <xf numFmtId="49" fontId="20" fillId="0" borderId="15" xfId="0" applyNumberFormat="1" applyFont="1" applyBorder="1" applyAlignment="1">
      <alignment horizontal="left" vertical="center"/>
    </xf>
    <xf numFmtId="43" fontId="20" fillId="0" borderId="15" xfId="1" applyFont="1" applyFill="1" applyBorder="1" applyAlignment="1">
      <alignment horizontal="center" vertical="center"/>
    </xf>
    <xf numFmtId="49" fontId="20" fillId="0" borderId="31" xfId="0" applyNumberFormat="1" applyFont="1" applyBorder="1" applyAlignment="1">
      <alignment horizontal="left" vertical="center"/>
    </xf>
    <xf numFmtId="0" fontId="20" fillId="0" borderId="31" xfId="0" applyFont="1" applyBorder="1" applyAlignment="1">
      <alignment vertical="center"/>
    </xf>
    <xf numFmtId="165" fontId="20" fillId="0" borderId="40" xfId="0" applyNumberFormat="1" applyFont="1" applyBorder="1" applyAlignment="1">
      <alignment vertical="center"/>
    </xf>
    <xf numFmtId="0" fontId="20" fillId="0" borderId="36" xfId="0" applyFont="1" applyBorder="1" applyAlignment="1">
      <alignment wrapText="1"/>
    </xf>
    <xf numFmtId="0" fontId="25" fillId="0" borderId="31" xfId="0" applyFont="1" applyBorder="1" applyAlignment="1">
      <alignment wrapText="1"/>
    </xf>
    <xf numFmtId="0" fontId="25" fillId="0" borderId="41" xfId="0" applyFont="1" applyBorder="1" applyAlignment="1">
      <alignment wrapText="1"/>
    </xf>
    <xf numFmtId="0" fontId="25" fillId="0" borderId="36" xfId="0" applyFont="1" applyBorder="1" applyAlignment="1">
      <alignment wrapText="1"/>
    </xf>
    <xf numFmtId="0" fontId="25" fillId="0" borderId="42" xfId="0" applyFont="1" applyBorder="1" applyAlignment="1">
      <alignment wrapText="1"/>
    </xf>
    <xf numFmtId="164" fontId="20" fillId="0" borderId="36" xfId="0" applyNumberFormat="1" applyFont="1" applyBorder="1" applyAlignment="1">
      <alignment horizontal="right" vertical="center"/>
    </xf>
    <xf numFmtId="43" fontId="20" fillId="0" borderId="29" xfId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43" fontId="20" fillId="0" borderId="33" xfId="1" applyFont="1" applyFill="1" applyBorder="1" applyAlignment="1">
      <alignment horizontal="right" vertical="center"/>
    </xf>
    <xf numFmtId="43" fontId="27" fillId="0" borderId="33" xfId="1" applyFont="1" applyFill="1" applyBorder="1" applyAlignment="1">
      <alignment horizontal="right" vertical="center"/>
    </xf>
    <xf numFmtId="0" fontId="22" fillId="0" borderId="29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166" fontId="21" fillId="0" borderId="32" xfId="0" applyNumberFormat="1" applyFont="1" applyBorder="1" applyAlignment="1">
      <alignment horizontal="center" vertical="center"/>
    </xf>
    <xf numFmtId="164" fontId="20" fillId="0" borderId="32" xfId="0" applyNumberFormat="1" applyFont="1" applyBorder="1" applyAlignment="1">
      <alignment horizontal="right" vertical="center" shrinkToFit="1"/>
    </xf>
    <xf numFmtId="164" fontId="20" fillId="0" borderId="29" xfId="0" applyNumberFormat="1" applyFont="1" applyBorder="1" applyAlignment="1">
      <alignment horizontal="right" vertical="center"/>
    </xf>
    <xf numFmtId="0" fontId="20" fillId="0" borderId="33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166" fontId="21" fillId="0" borderId="33" xfId="1" applyNumberFormat="1" applyFont="1" applyFill="1" applyBorder="1" applyAlignment="1">
      <alignment horizontal="right" vertical="center"/>
    </xf>
    <xf numFmtId="0" fontId="22" fillId="0" borderId="15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166" fontId="21" fillId="0" borderId="28" xfId="0" applyNumberFormat="1" applyFont="1" applyBorder="1" applyAlignment="1">
      <alignment horizontal="center" vertical="center"/>
    </xf>
    <xf numFmtId="164" fontId="20" fillId="0" borderId="28" xfId="0" applyNumberFormat="1" applyFont="1" applyBorder="1" applyAlignment="1">
      <alignment horizontal="right" vertical="center" shrinkToFit="1"/>
    </xf>
    <xf numFmtId="43" fontId="20" fillId="0" borderId="28" xfId="0" applyNumberFormat="1" applyFont="1" applyBorder="1" applyAlignment="1">
      <alignment horizontal="right" vertical="center"/>
    </xf>
    <xf numFmtId="164" fontId="20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15" fontId="20" fillId="0" borderId="15" xfId="0" applyNumberFormat="1" applyFont="1" applyBorder="1" applyAlignment="1">
      <alignment horizontal="center" vertical="center" shrinkToFit="1"/>
    </xf>
    <xf numFmtId="167" fontId="21" fillId="0" borderId="15" xfId="0" applyNumberFormat="1" applyFont="1" applyBorder="1" applyAlignment="1">
      <alignment horizontal="right" vertical="center"/>
    </xf>
    <xf numFmtId="164" fontId="21" fillId="0" borderId="15" xfId="0" applyNumberFormat="1" applyFont="1" applyBorder="1" applyAlignment="1">
      <alignment horizontal="right" vertical="center"/>
    </xf>
    <xf numFmtId="43" fontId="21" fillId="0" borderId="33" xfId="1" applyFont="1" applyFill="1" applyBorder="1" applyAlignment="1">
      <alignment horizontal="right" vertical="center"/>
    </xf>
    <xf numFmtId="0" fontId="25" fillId="0" borderId="15" xfId="0" applyFont="1" applyBorder="1" applyAlignment="1">
      <alignment vertical="center" shrinkToFit="1"/>
    </xf>
    <xf numFmtId="166" fontId="20" fillId="0" borderId="15" xfId="0" applyNumberFormat="1" applyFont="1" applyBorder="1" applyAlignment="1">
      <alignment horizontal="right" vertical="center"/>
    </xf>
    <xf numFmtId="164" fontId="20" fillId="0" borderId="15" xfId="0" applyNumberFormat="1" applyFont="1" applyBorder="1" applyAlignment="1">
      <alignment horizontal="left" vertical="center"/>
    </xf>
    <xf numFmtId="49" fontId="23" fillId="0" borderId="31" xfId="0" applyNumberFormat="1" applyFont="1" applyBorder="1" applyAlignment="1">
      <alignment horizontal="left" vertical="center"/>
    </xf>
    <xf numFmtId="43" fontId="20" fillId="0" borderId="36" xfId="1" applyFont="1" applyFill="1" applyBorder="1" applyAlignment="1">
      <alignment horizontal="right" vertical="center"/>
    </xf>
    <xf numFmtId="164" fontId="20" fillId="0" borderId="31" xfId="0" applyNumberFormat="1" applyFont="1" applyBorder="1" applyAlignment="1">
      <alignment horizontal="left" vertical="center"/>
    </xf>
    <xf numFmtId="0" fontId="21" fillId="0" borderId="33" xfId="0" applyFont="1" applyBorder="1" applyAlignment="1">
      <alignment vertical="center"/>
    </xf>
    <xf numFmtId="166" fontId="20" fillId="0" borderId="33" xfId="0" applyNumberFormat="1" applyFont="1" applyBorder="1" applyAlignment="1">
      <alignment horizontal="right" vertical="center"/>
    </xf>
    <xf numFmtId="0" fontId="23" fillId="0" borderId="26" xfId="0" applyFont="1" applyBorder="1" applyAlignment="1">
      <alignment vertical="center"/>
    </xf>
    <xf numFmtId="165" fontId="20" fillId="0" borderId="15" xfId="0" applyNumberFormat="1" applyFont="1" applyBorder="1" applyAlignment="1">
      <alignment horizontal="center" vertical="center"/>
    </xf>
    <xf numFmtId="43" fontId="20" fillId="0" borderId="15" xfId="1" applyFont="1" applyFill="1" applyBorder="1" applyAlignment="1">
      <alignment vertical="center"/>
    </xf>
    <xf numFmtId="39" fontId="20" fillId="0" borderId="15" xfId="0" applyNumberFormat="1" applyFont="1" applyBorder="1" applyAlignment="1">
      <alignment horizontal="left" vertical="center"/>
    </xf>
    <xf numFmtId="43" fontId="20" fillId="0" borderId="31" xfId="1" applyFont="1" applyFill="1" applyBorder="1" applyAlignment="1">
      <alignment horizontal="center" vertical="center"/>
    </xf>
    <xf numFmtId="40" fontId="20" fillId="0" borderId="15" xfId="0" applyNumberFormat="1" applyFont="1" applyBorder="1" applyAlignment="1">
      <alignment horizontal="right" vertical="center"/>
    </xf>
    <xf numFmtId="166" fontId="21" fillId="0" borderId="15" xfId="0" applyNumberFormat="1" applyFont="1" applyBorder="1" applyAlignment="1">
      <alignment horizontal="center" vertical="center"/>
    </xf>
    <xf numFmtId="40" fontId="20" fillId="0" borderId="15" xfId="0" applyNumberFormat="1" applyFont="1" applyBorder="1" applyAlignment="1">
      <alignment horizontal="right" vertical="center" shrinkToFit="1"/>
    </xf>
    <xf numFmtId="43" fontId="20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0" fontId="23" fillId="0" borderId="24" xfId="0" applyFont="1" applyBorder="1" applyAlignment="1">
      <alignment vertical="center"/>
    </xf>
    <xf numFmtId="43" fontId="20" fillId="0" borderId="24" xfId="1" applyFont="1" applyFill="1" applyBorder="1" applyAlignment="1">
      <alignment horizontal="right" vertical="center"/>
    </xf>
    <xf numFmtId="43" fontId="20" fillId="0" borderId="25" xfId="1" applyFont="1" applyFill="1" applyBorder="1" applyAlignment="1">
      <alignment horizontal="right" vertical="center"/>
    </xf>
    <xf numFmtId="43" fontId="21" fillId="0" borderId="15" xfId="1" applyFont="1" applyFill="1" applyBorder="1" applyAlignment="1">
      <alignment horizontal="right" vertical="center"/>
    </xf>
    <xf numFmtId="43" fontId="25" fillId="0" borderId="26" xfId="1" applyFont="1" applyFill="1" applyBorder="1" applyAlignment="1">
      <alignment horizontal="right" vertical="center"/>
    </xf>
    <xf numFmtId="43" fontId="25" fillId="0" borderId="31" xfId="1" applyFont="1" applyFill="1" applyBorder="1" applyAlignment="1">
      <alignment horizontal="right" vertical="center"/>
    </xf>
    <xf numFmtId="43" fontId="21" fillId="7" borderId="15" xfId="1" applyFont="1" applyFill="1" applyBorder="1" applyAlignment="1">
      <alignment horizontal="right" vertical="center"/>
    </xf>
    <xf numFmtId="0" fontId="20" fillId="0" borderId="36" xfId="0" applyFont="1" applyBorder="1" applyAlignment="1">
      <alignment vertical="center"/>
    </xf>
    <xf numFmtId="15" fontId="21" fillId="0" borderId="36" xfId="1" applyNumberFormat="1" applyFont="1" applyFill="1" applyBorder="1" applyAlignment="1">
      <alignment horizontal="right" vertical="center"/>
    </xf>
    <xf numFmtId="166" fontId="21" fillId="0" borderId="34" xfId="0" applyNumberFormat="1" applyFont="1" applyBorder="1" applyAlignment="1">
      <alignment horizontal="center" vertical="center"/>
    </xf>
    <xf numFmtId="164" fontId="20" fillId="0" borderId="34" xfId="0" applyNumberFormat="1" applyFont="1" applyBorder="1" applyAlignment="1">
      <alignment horizontal="right" vertical="center" shrinkToFit="1"/>
    </xf>
    <xf numFmtId="49" fontId="20" fillId="0" borderId="31" xfId="0" applyNumberFormat="1" applyFont="1" applyBorder="1" applyAlignment="1">
      <alignment horizontal="left" vertical="center" shrinkToFit="1"/>
    </xf>
    <xf numFmtId="168" fontId="20" fillId="0" borderId="31" xfId="0" applyNumberFormat="1" applyFont="1" applyBorder="1" applyAlignment="1">
      <alignment horizontal="center" vertical="center"/>
    </xf>
    <xf numFmtId="166" fontId="25" fillId="0" borderId="31" xfId="0" applyNumberFormat="1" applyFont="1" applyBorder="1" applyAlignment="1">
      <alignment horizontal="right" vertical="center"/>
    </xf>
    <xf numFmtId="43" fontId="25" fillId="0" borderId="15" xfId="1" applyFont="1" applyFill="1" applyBorder="1" applyAlignment="1">
      <alignment horizontal="right" vertical="center"/>
    </xf>
    <xf numFmtId="0" fontId="20" fillId="7" borderId="31" xfId="0" applyFont="1" applyFill="1" applyBorder="1" applyAlignment="1">
      <alignment vertical="center"/>
    </xf>
    <xf numFmtId="168" fontId="20" fillId="0" borderId="15" xfId="0" applyNumberFormat="1" applyFont="1" applyBorder="1" applyAlignment="1">
      <alignment horizontal="center" vertical="center"/>
    </xf>
    <xf numFmtId="168" fontId="20" fillId="0" borderId="29" xfId="0" applyNumberFormat="1" applyFont="1" applyBorder="1" applyAlignment="1">
      <alignment horizontal="center" vertical="center"/>
    </xf>
    <xf numFmtId="164" fontId="20" fillId="0" borderId="29" xfId="0" applyNumberFormat="1" applyFont="1" applyBorder="1" applyAlignment="1">
      <alignment horizontal="left" vertical="center"/>
    </xf>
    <xf numFmtId="164" fontId="20" fillId="0" borderId="26" xfId="0" applyNumberFormat="1" applyFont="1" applyBorder="1" applyAlignment="1">
      <alignment horizontal="right" vertical="center"/>
    </xf>
    <xf numFmtId="0" fontId="20" fillId="0" borderId="29" xfId="0" applyFont="1" applyBorder="1" applyAlignment="1">
      <alignment vertical="center"/>
    </xf>
    <xf numFmtId="0" fontId="23" fillId="0" borderId="15" xfId="0" applyFont="1" applyBorder="1" applyAlignment="1">
      <alignment horizontal="left" vertical="center"/>
    </xf>
    <xf numFmtId="0" fontId="20" fillId="0" borderId="26" xfId="0" applyFont="1" applyBorder="1" applyAlignment="1">
      <alignment vertical="center"/>
    </xf>
    <xf numFmtId="43" fontId="20" fillId="0" borderId="26" xfId="1" applyFont="1" applyFill="1" applyBorder="1" applyAlignment="1">
      <alignment vertical="center"/>
    </xf>
    <xf numFmtId="49" fontId="20" fillId="0" borderId="15" xfId="0" applyNumberFormat="1" applyFont="1" applyBorder="1" applyAlignment="1">
      <alignment vertical="center"/>
    </xf>
    <xf numFmtId="4" fontId="20" fillId="0" borderId="15" xfId="1" applyNumberFormat="1" applyFont="1" applyFill="1" applyBorder="1" applyAlignment="1">
      <alignment vertical="center"/>
    </xf>
    <xf numFmtId="0" fontId="23" fillId="7" borderId="15" xfId="0" applyFont="1" applyFill="1" applyBorder="1" applyAlignment="1">
      <alignment vertical="center"/>
    </xf>
    <xf numFmtId="43" fontId="20" fillId="7" borderId="28" xfId="1" applyFont="1" applyFill="1" applyBorder="1" applyAlignment="1">
      <alignment horizontal="right" vertical="center"/>
    </xf>
    <xf numFmtId="0" fontId="20" fillId="7" borderId="15" xfId="0" applyFont="1" applyFill="1" applyBorder="1" applyAlignment="1">
      <alignment horizontal="left" vertical="center"/>
    </xf>
    <xf numFmtId="1" fontId="20" fillId="7" borderId="28" xfId="0" applyNumberFormat="1" applyFont="1" applyFill="1" applyBorder="1" applyAlignment="1">
      <alignment horizontal="center" vertical="center"/>
    </xf>
    <xf numFmtId="43" fontId="20" fillId="7" borderId="28" xfId="0" applyNumberFormat="1" applyFont="1" applyFill="1" applyBorder="1" applyAlignment="1">
      <alignment horizontal="right" vertical="center"/>
    </xf>
    <xf numFmtId="165" fontId="20" fillId="7" borderId="31" xfId="0" applyNumberFormat="1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vertical="center"/>
    </xf>
    <xf numFmtId="0" fontId="24" fillId="7" borderId="15" xfId="0" applyFont="1" applyFill="1" applyBorder="1" applyAlignment="1">
      <alignment horizontal="left" vertical="center"/>
    </xf>
    <xf numFmtId="39" fontId="20" fillId="7" borderId="15" xfId="0" applyNumberFormat="1" applyFont="1" applyFill="1" applyBorder="1" applyAlignment="1">
      <alignment horizontal="left" vertical="center"/>
    </xf>
    <xf numFmtId="0" fontId="24" fillId="7" borderId="31" xfId="0" applyFont="1" applyFill="1" applyBorder="1" applyAlignment="1">
      <alignment vertical="center"/>
    </xf>
    <xf numFmtId="0" fontId="24" fillId="7" borderId="31" xfId="0" applyFont="1" applyFill="1" applyBorder="1" applyAlignment="1">
      <alignment horizontal="left" vertical="center"/>
    </xf>
    <xf numFmtId="43" fontId="20" fillId="7" borderId="31" xfId="1" applyFont="1" applyFill="1" applyBorder="1" applyAlignment="1">
      <alignment vertical="center"/>
    </xf>
    <xf numFmtId="39" fontId="20" fillId="7" borderId="31" xfId="0" applyNumberFormat="1" applyFont="1" applyFill="1" applyBorder="1" applyAlignment="1">
      <alignment horizontal="left" vertical="center"/>
    </xf>
    <xf numFmtId="166" fontId="20" fillId="7" borderId="31" xfId="0" applyNumberFormat="1" applyFont="1" applyFill="1" applyBorder="1" applyAlignment="1">
      <alignment horizontal="right" vertical="center"/>
    </xf>
    <xf numFmtId="165" fontId="20" fillId="7" borderId="43" xfId="0" applyNumberFormat="1" applyFont="1" applyFill="1" applyBorder="1" applyAlignment="1">
      <alignment horizontal="center" vertical="center"/>
    </xf>
    <xf numFmtId="0" fontId="20" fillId="7" borderId="43" xfId="0" applyFont="1" applyFill="1" applyBorder="1" applyAlignment="1">
      <alignment horizontal="right" vertical="center"/>
    </xf>
    <xf numFmtId="0" fontId="20" fillId="7" borderId="44" xfId="0" applyFont="1" applyFill="1" applyBorder="1" applyAlignment="1">
      <alignment vertical="center"/>
    </xf>
    <xf numFmtId="43" fontId="20" fillId="7" borderId="33" xfId="1" applyFont="1" applyFill="1" applyBorder="1" applyAlignment="1">
      <alignment vertical="center"/>
    </xf>
    <xf numFmtId="43" fontId="25" fillId="7" borderId="33" xfId="1" applyFont="1" applyFill="1" applyBorder="1" applyAlignment="1">
      <alignment vertical="center" wrapText="1"/>
    </xf>
    <xf numFmtId="166" fontId="21" fillId="7" borderId="33" xfId="1" applyNumberFormat="1" applyFont="1" applyFill="1" applyBorder="1" applyAlignment="1">
      <alignment vertical="center"/>
    </xf>
    <xf numFmtId="43" fontId="25" fillId="7" borderId="33" xfId="1" applyFont="1" applyFill="1" applyBorder="1" applyAlignment="1">
      <alignment vertical="center"/>
    </xf>
    <xf numFmtId="165" fontId="20" fillId="7" borderId="0" xfId="0" applyNumberFormat="1" applyFont="1" applyFill="1" applyAlignment="1">
      <alignment horizontal="center" vertical="center"/>
    </xf>
    <xf numFmtId="0" fontId="20" fillId="7" borderId="0" xfId="0" applyFont="1" applyFill="1" applyAlignment="1">
      <alignment horizontal="right" vertical="center"/>
    </xf>
    <xf numFmtId="43" fontId="20" fillId="7" borderId="0" xfId="1" applyFont="1" applyFill="1" applyBorder="1" applyAlignment="1">
      <alignment vertical="center"/>
    </xf>
    <xf numFmtId="166" fontId="21" fillId="7" borderId="0" xfId="1" applyNumberFormat="1" applyFont="1" applyFill="1" applyBorder="1" applyAlignment="1">
      <alignment vertical="center"/>
    </xf>
    <xf numFmtId="39" fontId="20" fillId="7" borderId="0" xfId="0" applyNumberFormat="1" applyFont="1" applyFill="1" applyAlignment="1">
      <alignment vertical="center"/>
    </xf>
    <xf numFmtId="49" fontId="20" fillId="7" borderId="0" xfId="0" applyNumberFormat="1" applyFont="1" applyFill="1" applyAlignment="1">
      <alignment horizontal="right" vertical="center"/>
    </xf>
    <xf numFmtId="4" fontId="20" fillId="7" borderId="0" xfId="0" applyNumberFormat="1" applyFont="1" applyFill="1" applyAlignment="1">
      <alignment horizontal="right" vertical="center"/>
    </xf>
    <xf numFmtId="43" fontId="20" fillId="7" borderId="0" xfId="0" applyNumberFormat="1" applyFont="1" applyFill="1" applyAlignment="1">
      <alignment horizontal="right" vertical="center"/>
    </xf>
    <xf numFmtId="1" fontId="20" fillId="7" borderId="0" xfId="0" applyNumberFormat="1" applyFont="1" applyFill="1" applyAlignment="1">
      <alignment horizontal="center" vertical="center"/>
    </xf>
    <xf numFmtId="1" fontId="20" fillId="7" borderId="0" xfId="0" applyNumberFormat="1" applyFont="1" applyFill="1" applyAlignment="1">
      <alignment horizontal="left" vertical="center"/>
    </xf>
    <xf numFmtId="4" fontId="20" fillId="7" borderId="45" xfId="0" applyNumberFormat="1" applyFont="1" applyFill="1" applyBorder="1" applyAlignment="1">
      <alignment horizontal="right" vertical="center"/>
    </xf>
    <xf numFmtId="4" fontId="20" fillId="7" borderId="46" xfId="0" applyNumberFormat="1" applyFont="1" applyFill="1" applyBorder="1" applyAlignment="1">
      <alignment horizontal="right" vertical="center"/>
    </xf>
    <xf numFmtId="1" fontId="20" fillId="0" borderId="0" xfId="0" applyNumberFormat="1" applyFont="1" applyAlignment="1">
      <alignment horizontal="center" vertical="center"/>
    </xf>
    <xf numFmtId="43" fontId="20" fillId="7" borderId="47" xfId="0" applyNumberFormat="1" applyFont="1" applyFill="1" applyBorder="1" applyAlignment="1">
      <alignment horizontal="right" vertical="center"/>
    </xf>
    <xf numFmtId="0" fontId="20" fillId="7" borderId="0" xfId="0" applyFont="1" applyFill="1" applyAlignment="1">
      <alignment horizontal="left" vertical="center"/>
    </xf>
    <xf numFmtId="49" fontId="20" fillId="7" borderId="0" xfId="0" applyNumberFormat="1" applyFont="1" applyFill="1" applyAlignment="1">
      <alignment horizontal="left" vertical="center"/>
    </xf>
    <xf numFmtId="4" fontId="20" fillId="7" borderId="0" xfId="0" applyNumberFormat="1" applyFont="1" applyFill="1" applyAlignment="1">
      <alignment horizontal="left" vertical="center"/>
    </xf>
    <xf numFmtId="39" fontId="20" fillId="7" borderId="0" xfId="0" applyNumberFormat="1" applyFont="1" applyFill="1" applyAlignment="1">
      <alignment horizontal="left" vertical="center"/>
    </xf>
    <xf numFmtId="43" fontId="20" fillId="7" borderId="0" xfId="1" applyFont="1" applyFill="1" applyAlignment="1">
      <alignment horizontal="left" vertical="center"/>
    </xf>
    <xf numFmtId="43" fontId="20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39" fontId="20" fillId="7" borderId="41" xfId="0" applyNumberFormat="1" applyFont="1" applyFill="1" applyBorder="1" applyAlignment="1">
      <alignment vertical="center"/>
    </xf>
    <xf numFmtId="43" fontId="20" fillId="7" borderId="0" xfId="1" applyFont="1" applyFill="1" applyAlignment="1">
      <alignment horizontal="center" vertical="center"/>
    </xf>
    <xf numFmtId="49" fontId="20" fillId="7" borderId="0" xfId="0" applyNumberFormat="1" applyFont="1" applyFill="1" applyAlignment="1">
      <alignment vertical="center"/>
    </xf>
    <xf numFmtId="49" fontId="30" fillId="7" borderId="0" xfId="0" applyNumberFormat="1" applyFont="1" applyFill="1" applyAlignment="1">
      <alignment horizontal="left" vertical="center"/>
    </xf>
    <xf numFmtId="4" fontId="20" fillId="7" borderId="0" xfId="0" applyNumberFormat="1" applyFont="1" applyFill="1" applyAlignment="1">
      <alignment vertical="center"/>
    </xf>
    <xf numFmtId="43" fontId="20" fillId="7" borderId="0" xfId="0" applyNumberFormat="1" applyFont="1" applyFill="1" applyAlignment="1">
      <alignment vertical="center"/>
    </xf>
    <xf numFmtId="49" fontId="22" fillId="7" borderId="0" xfId="0" applyNumberFormat="1" applyFont="1" applyFill="1" applyAlignment="1">
      <alignment horizontal="left" vertical="center"/>
    </xf>
    <xf numFmtId="164" fontId="20" fillId="7" borderId="0" xfId="0" applyNumberFormat="1" applyFont="1" applyFill="1" applyAlignment="1">
      <alignment horizontal="right" vertical="center"/>
    </xf>
    <xf numFmtId="43" fontId="20" fillId="7" borderId="0" xfId="1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left" vertical="center" shrinkToFit="1"/>
    </xf>
    <xf numFmtId="4" fontId="20" fillId="7" borderId="31" xfId="1" applyNumberFormat="1" applyFont="1" applyFill="1" applyBorder="1" applyAlignment="1">
      <alignment horizontal="center" vertical="center"/>
    </xf>
    <xf numFmtId="4" fontId="20" fillId="7" borderId="31" xfId="1" applyNumberFormat="1" applyFont="1" applyFill="1" applyBorder="1" applyAlignment="1">
      <alignment vertical="center"/>
    </xf>
    <xf numFmtId="43" fontId="20" fillId="7" borderId="29" xfId="1" applyFont="1" applyFill="1" applyBorder="1" applyAlignment="1">
      <alignment horizontal="center" vertical="center"/>
    </xf>
    <xf numFmtId="4" fontId="32" fillId="7" borderId="31" xfId="1" applyNumberFormat="1" applyFont="1" applyFill="1" applyBorder="1" applyAlignment="1">
      <alignment vertical="center"/>
    </xf>
    <xf numFmtId="4" fontId="33" fillId="7" borderId="31" xfId="1" applyNumberFormat="1" applyFont="1" applyFill="1" applyBorder="1" applyAlignment="1">
      <alignment vertical="center"/>
    </xf>
    <xf numFmtId="0" fontId="33" fillId="7" borderId="31" xfId="0" applyFont="1" applyFill="1" applyBorder="1" applyAlignment="1">
      <alignment vertical="center"/>
    </xf>
    <xf numFmtId="1" fontId="33" fillId="7" borderId="31" xfId="0" applyNumberFormat="1" applyFont="1" applyFill="1" applyBorder="1" applyAlignment="1">
      <alignment horizontal="center" vertical="center"/>
    </xf>
    <xf numFmtId="164" fontId="33" fillId="7" borderId="31" xfId="0" applyNumberFormat="1" applyFont="1" applyFill="1" applyBorder="1" applyAlignment="1">
      <alignment horizontal="right" vertical="center"/>
    </xf>
    <xf numFmtId="43" fontId="33" fillId="7" borderId="31" xfId="1" applyFont="1" applyFill="1" applyBorder="1" applyAlignment="1">
      <alignment vertical="center"/>
    </xf>
    <xf numFmtId="0" fontId="33" fillId="7" borderId="42" xfId="0" applyFont="1" applyFill="1" applyBorder="1" applyAlignment="1">
      <alignment vertical="center"/>
    </xf>
    <xf numFmtId="0" fontId="32" fillId="7" borderId="15" xfId="0" applyFont="1" applyFill="1" applyBorder="1" applyAlignment="1">
      <alignment vertical="center"/>
    </xf>
    <xf numFmtId="0" fontId="34" fillId="7" borderId="15" xfId="0" applyFont="1" applyFill="1" applyBorder="1" applyAlignment="1">
      <alignment horizontal="left" vertical="center" shrinkToFit="1"/>
    </xf>
    <xf numFmtId="4" fontId="33" fillId="7" borderId="15" xfId="1" applyNumberFormat="1" applyFont="1" applyFill="1" applyBorder="1" applyAlignment="1">
      <alignment vertical="center"/>
    </xf>
    <xf numFmtId="0" fontId="33" fillId="7" borderId="15" xfId="0" applyFont="1" applyFill="1" applyBorder="1" applyAlignment="1">
      <alignment vertical="center"/>
    </xf>
    <xf numFmtId="1" fontId="33" fillId="7" borderId="15" xfId="0" applyNumberFormat="1" applyFont="1" applyFill="1" applyBorder="1" applyAlignment="1">
      <alignment horizontal="center" vertical="center"/>
    </xf>
    <xf numFmtId="164" fontId="33" fillId="7" borderId="15" xfId="0" applyNumberFormat="1" applyFont="1" applyFill="1" applyBorder="1" applyAlignment="1">
      <alignment horizontal="right" vertical="center"/>
    </xf>
    <xf numFmtId="43" fontId="33" fillId="7" borderId="15" xfId="1" applyFont="1" applyFill="1" applyBorder="1" applyAlignment="1">
      <alignment horizontal="center" vertical="center"/>
    </xf>
    <xf numFmtId="43" fontId="33" fillId="7" borderId="48" xfId="0" applyNumberFormat="1" applyFont="1" applyFill="1" applyBorder="1" applyAlignment="1">
      <alignment horizontal="right" vertical="center"/>
    </xf>
    <xf numFmtId="0" fontId="32" fillId="7" borderId="31" xfId="0" applyFont="1" applyFill="1" applyBorder="1" applyAlignment="1">
      <alignment vertical="center"/>
    </xf>
    <xf numFmtId="0" fontId="34" fillId="7" borderId="31" xfId="0" applyFont="1" applyFill="1" applyBorder="1" applyAlignment="1">
      <alignment horizontal="left" vertical="center" shrinkToFit="1"/>
    </xf>
    <xf numFmtId="43" fontId="33" fillId="7" borderId="31" xfId="1" applyFont="1" applyFill="1" applyBorder="1" applyAlignment="1">
      <alignment horizontal="center" vertical="center"/>
    </xf>
    <xf numFmtId="43" fontId="33" fillId="7" borderId="42" xfId="0" applyNumberFormat="1" applyFont="1" applyFill="1" applyBorder="1" applyAlignment="1">
      <alignment horizontal="right" vertical="center"/>
    </xf>
    <xf numFmtId="0" fontId="32" fillId="7" borderId="36" xfId="0" applyFont="1" applyFill="1" applyBorder="1" applyAlignment="1">
      <alignment vertical="center"/>
    </xf>
    <xf numFmtId="0" fontId="34" fillId="7" borderId="36" xfId="0" applyFont="1" applyFill="1" applyBorder="1" applyAlignment="1">
      <alignment horizontal="left" vertical="center" shrinkToFit="1"/>
    </xf>
    <xf numFmtId="4" fontId="33" fillId="7" borderId="36" xfId="1" applyNumberFormat="1" applyFont="1" applyFill="1" applyBorder="1" applyAlignment="1">
      <alignment vertical="center"/>
    </xf>
    <xf numFmtId="0" fontId="33" fillId="7" borderId="36" xfId="0" applyFont="1" applyFill="1" applyBorder="1" applyAlignment="1">
      <alignment vertical="center"/>
    </xf>
    <xf numFmtId="1" fontId="33" fillId="7" borderId="36" xfId="0" applyNumberFormat="1" applyFont="1" applyFill="1" applyBorder="1" applyAlignment="1">
      <alignment horizontal="center" vertical="center"/>
    </xf>
    <xf numFmtId="164" fontId="33" fillId="7" borderId="36" xfId="0" applyNumberFormat="1" applyFont="1" applyFill="1" applyBorder="1" applyAlignment="1">
      <alignment horizontal="right" vertical="center"/>
    </xf>
    <xf numFmtId="43" fontId="33" fillId="7" borderId="36" xfId="1" applyFont="1" applyFill="1" applyBorder="1" applyAlignment="1">
      <alignment horizontal="center" vertical="center"/>
    </xf>
    <xf numFmtId="43" fontId="33" fillId="7" borderId="49" xfId="0" applyNumberFormat="1" applyFont="1" applyFill="1" applyBorder="1" applyAlignment="1">
      <alignment horizontal="right" vertical="center"/>
    </xf>
    <xf numFmtId="49" fontId="20" fillId="7" borderId="15" xfId="0" applyNumberFormat="1" applyFont="1" applyFill="1" applyBorder="1" applyAlignment="1">
      <alignment horizontal="left" vertical="center"/>
    </xf>
    <xf numFmtId="164" fontId="20" fillId="7" borderId="15" xfId="0" applyNumberFormat="1" applyFont="1" applyFill="1" applyBorder="1" applyAlignment="1">
      <alignment horizontal="center" vertical="center"/>
    </xf>
    <xf numFmtId="164" fontId="20" fillId="7" borderId="15" xfId="0" applyNumberFormat="1" applyFont="1" applyFill="1" applyBorder="1" applyAlignment="1">
      <alignment horizontal="left" vertical="center"/>
    </xf>
    <xf numFmtId="43" fontId="20" fillId="7" borderId="48" xfId="0" applyNumberFormat="1" applyFont="1" applyFill="1" applyBorder="1" applyAlignment="1">
      <alignment horizontal="right" vertical="center"/>
    </xf>
    <xf numFmtId="49" fontId="20" fillId="7" borderId="31" xfId="0" applyNumberFormat="1" applyFont="1" applyFill="1" applyBorder="1" applyAlignment="1">
      <alignment horizontal="left" vertical="center"/>
    </xf>
    <xf numFmtId="164" fontId="33" fillId="7" borderId="15" xfId="0" applyNumberFormat="1" applyFont="1" applyFill="1" applyBorder="1" applyAlignment="1">
      <alignment horizontal="left" vertical="center"/>
    </xf>
    <xf numFmtId="164" fontId="33" fillId="7" borderId="31" xfId="0" applyNumberFormat="1" applyFont="1" applyFill="1" applyBorder="1" applyAlignment="1">
      <alignment horizontal="left" vertical="center"/>
    </xf>
    <xf numFmtId="43" fontId="20" fillId="7" borderId="0" xfId="0" applyNumberFormat="1" applyFont="1" applyFill="1" applyAlignment="1">
      <alignment horizontal="center" vertical="center"/>
    </xf>
    <xf numFmtId="0" fontId="35" fillId="7" borderId="15" xfId="0" applyFont="1" applyFill="1" applyBorder="1" applyAlignment="1">
      <alignment vertical="center"/>
    </xf>
    <xf numFmtId="43" fontId="20" fillId="7" borderId="15" xfId="1" applyFont="1" applyFill="1" applyBorder="1" applyAlignment="1">
      <alignment vertical="center"/>
    </xf>
    <xf numFmtId="4" fontId="20" fillId="7" borderId="36" xfId="1" applyNumberFormat="1" applyFont="1" applyFill="1" applyBorder="1" applyAlignment="1">
      <alignment vertical="center"/>
    </xf>
    <xf numFmtId="164" fontId="20" fillId="7" borderId="36" xfId="0" applyNumberFormat="1" applyFont="1" applyFill="1" applyBorder="1" applyAlignment="1">
      <alignment horizontal="right" vertical="center"/>
    </xf>
    <xf numFmtId="39" fontId="20" fillId="7" borderId="36" xfId="0" applyNumberFormat="1" applyFont="1" applyFill="1" applyBorder="1" applyAlignment="1">
      <alignment horizontal="left" vertical="center"/>
    </xf>
    <xf numFmtId="1" fontId="20" fillId="7" borderId="36" xfId="0" applyNumberFormat="1" applyFont="1" applyFill="1" applyBorder="1" applyAlignment="1">
      <alignment horizontal="center" vertical="center"/>
    </xf>
    <xf numFmtId="43" fontId="20" fillId="7" borderId="36" xfId="1" applyFont="1" applyFill="1" applyBorder="1" applyAlignment="1">
      <alignment horizontal="center" vertical="center"/>
    </xf>
    <xf numFmtId="43" fontId="20" fillId="7" borderId="49" xfId="0" applyNumberFormat="1" applyFont="1" applyFill="1" applyBorder="1" applyAlignment="1">
      <alignment horizontal="right" vertical="center"/>
    </xf>
    <xf numFmtId="0" fontId="35" fillId="7" borderId="0" xfId="0" applyFont="1" applyFill="1" applyAlignment="1">
      <alignment vertical="center"/>
    </xf>
    <xf numFmtId="0" fontId="24" fillId="7" borderId="0" xfId="0" applyFont="1" applyFill="1" applyAlignment="1">
      <alignment vertical="center"/>
    </xf>
    <xf numFmtId="43" fontId="20" fillId="7" borderId="0" xfId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43" fontId="20" fillId="0" borderId="9" xfId="1" applyFont="1" applyFill="1" applyBorder="1" applyAlignment="1">
      <alignment horizontal="right" vertical="center"/>
    </xf>
    <xf numFmtId="43" fontId="20" fillId="7" borderId="9" xfId="1" applyFont="1" applyFill="1" applyBorder="1" applyAlignment="1">
      <alignment horizontal="right" vertical="center"/>
    </xf>
    <xf numFmtId="4" fontId="2" fillId="3" borderId="10" xfId="0" applyNumberFormat="1" applyFont="1" applyFill="1" applyBorder="1" applyAlignment="1">
      <alignment horizontal="right"/>
    </xf>
    <xf numFmtId="43" fontId="2" fillId="2" borderId="10" xfId="1" applyFont="1" applyFill="1" applyBorder="1" applyAlignment="1">
      <alignment horizontal="right"/>
    </xf>
    <xf numFmtId="43" fontId="2" fillId="2" borderId="10" xfId="1" applyFont="1" applyFill="1" applyBorder="1" applyAlignment="1">
      <alignment horizontal="left"/>
    </xf>
    <xf numFmtId="164" fontId="0" fillId="0" borderId="0" xfId="0" applyNumberFormat="1"/>
    <xf numFmtId="164" fontId="0" fillId="8" borderId="0" xfId="0" applyNumberFormat="1" applyFill="1"/>
    <xf numFmtId="0" fontId="2" fillId="0" borderId="17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0" fillId="0" borderId="0" xfId="0"/>
    <xf numFmtId="0" fontId="2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3" borderId="4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5" xfId="0" applyFont="1" applyFill="1" applyBorder="1"/>
    <xf numFmtId="0" fontId="2" fillId="2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7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1" fontId="20" fillId="7" borderId="0" xfId="0" applyNumberFormat="1" applyFont="1" applyFill="1" applyAlignment="1">
      <alignment horizontal="center" vertical="center"/>
    </xf>
    <xf numFmtId="39" fontId="20" fillId="7" borderId="0" xfId="0" applyNumberFormat="1" applyFont="1" applyFill="1" applyAlignment="1">
      <alignment horizontal="center" vertical="center"/>
    </xf>
    <xf numFmtId="4" fontId="20" fillId="7" borderId="20" xfId="0" applyNumberFormat="1" applyFont="1" applyFill="1" applyBorder="1" applyAlignment="1">
      <alignment horizontal="center" vertical="center"/>
    </xf>
    <xf numFmtId="1" fontId="20" fillId="7" borderId="21" xfId="0" applyNumberFormat="1" applyFont="1" applyFill="1" applyBorder="1" applyAlignment="1">
      <alignment horizontal="center" vertical="center"/>
    </xf>
    <xf numFmtId="1" fontId="20" fillId="7" borderId="22" xfId="0" applyNumberFormat="1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43" fontId="20" fillId="7" borderId="21" xfId="0" applyNumberFormat="1" applyFont="1" applyFill="1" applyBorder="1" applyAlignment="1">
      <alignment horizontal="center" vertical="center"/>
    </xf>
    <xf numFmtId="43" fontId="20" fillId="7" borderId="22" xfId="0" applyNumberFormat="1" applyFont="1" applyFill="1" applyBorder="1" applyAlignment="1">
      <alignment horizontal="center" vertical="center"/>
    </xf>
    <xf numFmtId="43" fontId="20" fillId="7" borderId="23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3" xr:uid="{036D8F9F-D3B5-4CD5-B97B-8F25B478655C}"/>
    <cellStyle name="Normal" xfId="0" builtinId="0"/>
    <cellStyle name="Normal 2" xfId="2" xr:uid="{C6B739DB-CAE6-404D-A43B-BBD6746DED9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4E38-820C-4872-AE59-BDAA96ABE54F}">
  <sheetPr>
    <tabColor rgb="FF00B0F0"/>
  </sheetPr>
  <dimension ref="A1:T1004"/>
  <sheetViews>
    <sheetView tabSelected="1" zoomScale="70" zoomScaleNormal="70" workbookViewId="0">
      <pane ySplit="6" topLeftCell="A69" activePane="bottomLeft" state="frozen"/>
      <selection pane="bottomLeft" activeCell="L74" sqref="L74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392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258">
        <v>16050</v>
      </c>
      <c r="E26" s="49"/>
      <c r="F26" s="49"/>
      <c r="G26" s="49"/>
      <c r="H26" s="49"/>
      <c r="I26" s="49"/>
      <c r="J26" s="49"/>
      <c r="K26" s="259">
        <v>25357</v>
      </c>
      <c r="L26" s="483" t="s">
        <v>393</v>
      </c>
      <c r="M26" s="261">
        <v>16050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284">
        <v>3200</v>
      </c>
      <c r="E27" s="49"/>
      <c r="F27" s="49"/>
      <c r="G27" s="49"/>
      <c r="H27" s="49"/>
      <c r="I27" s="49"/>
      <c r="J27" s="49"/>
      <c r="K27" s="259">
        <v>25357</v>
      </c>
      <c r="L27" s="483" t="s">
        <v>394</v>
      </c>
      <c r="M27" s="261">
        <v>3200</v>
      </c>
      <c r="N27" s="47"/>
      <c r="O27" s="46"/>
      <c r="P27" s="46"/>
      <c r="Q27" s="46"/>
      <c r="R27" s="46"/>
      <c r="S27" s="49"/>
    </row>
    <row r="28" spans="1:19" ht="21">
      <c r="A28" s="46">
        <v>3</v>
      </c>
      <c r="B28" s="47" t="s">
        <v>29</v>
      </c>
      <c r="C28" s="47" t="s">
        <v>32</v>
      </c>
      <c r="D28" s="484">
        <v>1000</v>
      </c>
      <c r="E28" s="49"/>
      <c r="F28" s="49"/>
      <c r="G28" s="49"/>
      <c r="H28" s="49"/>
      <c r="I28" s="49"/>
      <c r="J28" s="49"/>
      <c r="K28" s="259">
        <v>25357</v>
      </c>
      <c r="L28" s="483" t="s">
        <v>395</v>
      </c>
      <c r="M28" s="261">
        <v>1000</v>
      </c>
      <c r="N28" s="47"/>
      <c r="O28" s="46"/>
      <c r="P28" s="46"/>
      <c r="Q28" s="46"/>
      <c r="R28" s="46"/>
      <c r="S28" s="49"/>
    </row>
    <row r="29" spans="1:19" ht="21">
      <c r="A29" s="46">
        <v>4</v>
      </c>
      <c r="B29" s="47" t="s">
        <v>29</v>
      </c>
      <c r="C29" s="47" t="s">
        <v>30</v>
      </c>
      <c r="D29" s="485">
        <v>12840</v>
      </c>
      <c r="E29" s="49"/>
      <c r="F29" s="49"/>
      <c r="G29" s="49"/>
      <c r="H29" s="49"/>
      <c r="I29" s="49"/>
      <c r="J29" s="49"/>
      <c r="K29" s="276">
        <v>25363</v>
      </c>
      <c r="L29" s="483" t="s">
        <v>396</v>
      </c>
      <c r="M29" s="212">
        <v>12840</v>
      </c>
      <c r="N29" s="47"/>
      <c r="O29" s="46"/>
      <c r="P29" s="46"/>
      <c r="Q29" s="46"/>
      <c r="R29" s="46"/>
      <c r="S29" s="49"/>
    </row>
    <row r="30" spans="1:19" ht="21">
      <c r="A30" s="46">
        <v>5</v>
      </c>
      <c r="B30" s="47" t="s">
        <v>29</v>
      </c>
      <c r="C30" s="47" t="s">
        <v>34</v>
      </c>
      <c r="D30" s="485">
        <v>2500</v>
      </c>
      <c r="E30" s="49"/>
      <c r="F30" s="49"/>
      <c r="G30" s="49"/>
      <c r="H30" s="49"/>
      <c r="I30" s="49"/>
      <c r="J30" s="49"/>
      <c r="K30" s="276">
        <v>25363</v>
      </c>
      <c r="L30" s="483" t="s">
        <v>397</v>
      </c>
      <c r="M30" s="212">
        <v>2500</v>
      </c>
      <c r="N30" s="47"/>
      <c r="O30" s="46"/>
      <c r="P30" s="46"/>
      <c r="Q30" s="46"/>
      <c r="R30" s="46"/>
      <c r="S30" s="49"/>
    </row>
    <row r="31" spans="1:19" ht="21">
      <c r="A31" s="46">
        <v>6</v>
      </c>
      <c r="B31" s="47" t="s">
        <v>29</v>
      </c>
      <c r="C31" s="47" t="s">
        <v>32</v>
      </c>
      <c r="D31" s="485">
        <v>1000</v>
      </c>
      <c r="E31" s="49"/>
      <c r="F31" s="49"/>
      <c r="G31" s="49"/>
      <c r="H31" s="49"/>
      <c r="I31" s="49"/>
      <c r="J31" s="49"/>
      <c r="K31" s="276">
        <v>25363</v>
      </c>
      <c r="L31" s="483" t="s">
        <v>398</v>
      </c>
      <c r="M31" s="212">
        <v>1000</v>
      </c>
      <c r="N31" s="47"/>
      <c r="O31" s="46"/>
      <c r="P31" s="46"/>
      <c r="Q31" s="46"/>
      <c r="R31" s="46"/>
      <c r="S31" s="49"/>
    </row>
    <row r="32" spans="1:19" ht="21">
      <c r="A32" s="46">
        <v>7</v>
      </c>
      <c r="B32" s="47" t="s">
        <v>29</v>
      </c>
      <c r="C32" s="47" t="s">
        <v>30</v>
      </c>
      <c r="D32" s="485">
        <v>12840</v>
      </c>
      <c r="E32" s="49"/>
      <c r="F32" s="49"/>
      <c r="G32" s="49"/>
      <c r="H32" s="49"/>
      <c r="I32" s="49"/>
      <c r="J32" s="49"/>
      <c r="K32" s="276">
        <v>25371</v>
      </c>
      <c r="L32" s="483" t="s">
        <v>399</v>
      </c>
      <c r="M32" s="212">
        <v>12840</v>
      </c>
      <c r="N32" s="47"/>
      <c r="O32" s="46"/>
      <c r="P32" s="46"/>
      <c r="Q32" s="46"/>
      <c r="R32" s="46"/>
      <c r="S32" s="49"/>
    </row>
    <row r="33" spans="1:19" ht="21">
      <c r="A33" s="46">
        <v>8</v>
      </c>
      <c r="B33" s="47" t="s">
        <v>29</v>
      </c>
      <c r="C33" s="47" t="s">
        <v>34</v>
      </c>
      <c r="D33" s="485">
        <v>2500</v>
      </c>
      <c r="E33" s="49"/>
      <c r="F33" s="49"/>
      <c r="G33" s="49"/>
      <c r="H33" s="49"/>
      <c r="I33" s="49"/>
      <c r="J33" s="49"/>
      <c r="K33" s="276">
        <v>25371</v>
      </c>
      <c r="L33" s="483" t="s">
        <v>400</v>
      </c>
      <c r="M33" s="212">
        <v>2500</v>
      </c>
      <c r="N33" s="47"/>
      <c r="O33" s="46"/>
      <c r="P33" s="46"/>
      <c r="Q33" s="46"/>
      <c r="R33" s="46"/>
      <c r="S33" s="49"/>
    </row>
    <row r="34" spans="1:19" ht="21">
      <c r="A34" s="46">
        <v>9</v>
      </c>
      <c r="B34" s="47" t="s">
        <v>29</v>
      </c>
      <c r="C34" s="47" t="s">
        <v>32</v>
      </c>
      <c r="D34" s="485">
        <v>1000</v>
      </c>
      <c r="E34" s="49"/>
      <c r="F34" s="49"/>
      <c r="G34" s="49"/>
      <c r="H34" s="49"/>
      <c r="I34" s="49"/>
      <c r="J34" s="49"/>
      <c r="K34" s="276">
        <v>25371</v>
      </c>
      <c r="L34" s="483" t="s">
        <v>401</v>
      </c>
      <c r="M34" s="212">
        <v>1000</v>
      </c>
      <c r="N34" s="47"/>
      <c r="O34" s="46"/>
      <c r="P34" s="46"/>
      <c r="Q34" s="46"/>
      <c r="R34" s="46"/>
      <c r="S34" s="49"/>
    </row>
    <row r="35" spans="1:19" ht="21">
      <c r="A35" s="46">
        <v>10</v>
      </c>
      <c r="B35" s="47" t="s">
        <v>29</v>
      </c>
      <c r="C35" s="47" t="s">
        <v>30</v>
      </c>
      <c r="D35" s="485">
        <v>12840</v>
      </c>
      <c r="E35" s="49"/>
      <c r="F35" s="49"/>
      <c r="G35" s="49"/>
      <c r="H35" s="49"/>
      <c r="I35" s="49"/>
      <c r="J35" s="49"/>
      <c r="K35" s="276">
        <v>25377</v>
      </c>
      <c r="L35" s="483" t="s">
        <v>402</v>
      </c>
      <c r="M35" s="212">
        <v>12840</v>
      </c>
      <c r="N35" s="47"/>
      <c r="O35" s="46"/>
      <c r="P35" s="46"/>
      <c r="Q35" s="46"/>
      <c r="R35" s="46"/>
      <c r="S35" s="49"/>
    </row>
    <row r="36" spans="1:19" ht="21">
      <c r="A36" s="46">
        <v>11</v>
      </c>
      <c r="B36" s="47" t="s">
        <v>29</v>
      </c>
      <c r="C36" s="47" t="s">
        <v>34</v>
      </c>
      <c r="D36" s="485">
        <v>2500</v>
      </c>
      <c r="E36" s="49"/>
      <c r="F36" s="49"/>
      <c r="G36" s="49"/>
      <c r="H36" s="49"/>
      <c r="I36" s="49"/>
      <c r="J36" s="49"/>
      <c r="K36" s="276">
        <v>25377</v>
      </c>
      <c r="L36" s="483" t="s">
        <v>403</v>
      </c>
      <c r="M36" s="212">
        <v>2500</v>
      </c>
      <c r="N36" s="47"/>
      <c r="O36" s="46"/>
      <c r="P36" s="46"/>
      <c r="Q36" s="46"/>
      <c r="R36" s="46"/>
      <c r="S36" s="49"/>
    </row>
    <row r="37" spans="1:19" ht="21">
      <c r="A37" s="46">
        <v>12</v>
      </c>
      <c r="B37" s="55" t="s">
        <v>29</v>
      </c>
      <c r="C37" s="55" t="s">
        <v>32</v>
      </c>
      <c r="D37" s="197">
        <v>1000</v>
      </c>
      <c r="E37" s="49"/>
      <c r="F37" s="49"/>
      <c r="G37" s="49"/>
      <c r="H37" s="49"/>
      <c r="I37" s="49"/>
      <c r="J37" s="49"/>
      <c r="K37" s="276">
        <v>25377</v>
      </c>
      <c r="L37" s="483" t="s">
        <v>404</v>
      </c>
      <c r="M37" s="212">
        <v>1000</v>
      </c>
      <c r="N37" s="47"/>
      <c r="O37" s="46"/>
      <c r="P37" s="46"/>
      <c r="Q37" s="46"/>
      <c r="R37" s="46"/>
      <c r="S37" s="49"/>
    </row>
    <row r="38" spans="1:19" ht="23.4">
      <c r="A38" s="46"/>
      <c r="B38" s="55"/>
      <c r="C38" s="55"/>
      <c r="D38" s="56">
        <v>0</v>
      </c>
      <c r="E38" s="49"/>
      <c r="F38" s="49"/>
      <c r="G38" s="49"/>
      <c r="H38" s="49"/>
      <c r="I38" s="49"/>
      <c r="J38" s="49"/>
      <c r="K38" s="57"/>
      <c r="L38" s="51"/>
      <c r="M38" s="58"/>
      <c r="N38" s="47"/>
      <c r="O38" s="46"/>
      <c r="P38" s="46"/>
      <c r="Q38" s="46"/>
      <c r="R38" s="46"/>
      <c r="S38" s="49"/>
    </row>
    <row r="39" spans="1:19" ht="23.4">
      <c r="A39" s="46"/>
      <c r="B39" s="55"/>
      <c r="C39" s="55"/>
      <c r="D39" s="56">
        <v>0</v>
      </c>
      <c r="E39" s="49"/>
      <c r="F39" s="49"/>
      <c r="G39" s="49"/>
      <c r="H39" s="49"/>
      <c r="I39" s="49"/>
      <c r="J39" s="49"/>
      <c r="K39" s="57"/>
      <c r="L39" s="51"/>
      <c r="M39" s="58"/>
      <c r="N39" s="47"/>
      <c r="O39" s="46"/>
      <c r="P39" s="46"/>
      <c r="Q39" s="46"/>
      <c r="R39" s="46"/>
      <c r="S39" s="49"/>
    </row>
    <row r="40" spans="1:19" ht="23.4">
      <c r="A40" s="46"/>
      <c r="B40" s="55"/>
      <c r="C40" s="55"/>
      <c r="D40" s="56">
        <v>0</v>
      </c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69270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69270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21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259">
        <v>25373</v>
      </c>
      <c r="L45" s="483" t="s">
        <v>405</v>
      </c>
      <c r="M45" s="261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21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259">
        <v>25371</v>
      </c>
      <c r="L46" s="483" t="s">
        <v>406</v>
      </c>
      <c r="M46" s="261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21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259">
        <v>25373</v>
      </c>
      <c r="L47" s="483" t="s">
        <v>407</v>
      </c>
      <c r="M47" s="261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/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>
        <v>0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21">
      <c r="A70" s="65">
        <v>3</v>
      </c>
      <c r="B70" s="71" t="s">
        <v>75</v>
      </c>
      <c r="C70" s="71" t="s">
        <v>76</v>
      </c>
      <c r="D70" s="258">
        <v>500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259">
        <v>25357</v>
      </c>
      <c r="L70" s="483" t="s">
        <v>408</v>
      </c>
      <c r="M70" s="261">
        <v>500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21">
      <c r="A71" s="65">
        <v>4</v>
      </c>
      <c r="B71" s="71" t="s">
        <v>75</v>
      </c>
      <c r="C71" s="71" t="s">
        <v>78</v>
      </c>
      <c r="D71" s="275">
        <v>400</v>
      </c>
      <c r="E71" s="68"/>
      <c r="F71" s="68"/>
      <c r="G71" s="68"/>
      <c r="H71" s="68"/>
      <c r="I71" s="68"/>
      <c r="J71" s="68"/>
      <c r="K71" s="276">
        <v>25363</v>
      </c>
      <c r="L71" s="483" t="s">
        <v>409</v>
      </c>
      <c r="M71" s="212">
        <v>400</v>
      </c>
      <c r="N71" s="68"/>
      <c r="O71" s="68"/>
      <c r="P71" s="68"/>
      <c r="Q71" s="68"/>
      <c r="R71" s="68"/>
      <c r="S71" s="68"/>
    </row>
    <row r="72" spans="1:19" ht="21">
      <c r="A72" s="65">
        <v>5</v>
      </c>
      <c r="B72" s="71" t="s">
        <v>75</v>
      </c>
      <c r="C72" s="71" t="s">
        <v>80</v>
      </c>
      <c r="D72" s="275">
        <v>400</v>
      </c>
      <c r="E72" s="68"/>
      <c r="F72" s="68"/>
      <c r="G72" s="68"/>
      <c r="H72" s="68"/>
      <c r="I72" s="68"/>
      <c r="J72" s="68"/>
      <c r="K72" s="276">
        <v>25371</v>
      </c>
      <c r="L72" s="483" t="s">
        <v>410</v>
      </c>
      <c r="M72" s="212">
        <v>400</v>
      </c>
      <c r="N72" s="68"/>
      <c r="O72" s="68"/>
      <c r="P72" s="68"/>
      <c r="Q72" s="68"/>
      <c r="R72" s="68"/>
      <c r="S72" s="68"/>
    </row>
    <row r="73" spans="1:19" ht="21">
      <c r="A73" s="65">
        <v>6</v>
      </c>
      <c r="B73" s="71" t="s">
        <v>75</v>
      </c>
      <c r="C73" s="71" t="s">
        <v>82</v>
      </c>
      <c r="D73" s="275">
        <v>400</v>
      </c>
      <c r="E73" s="68"/>
      <c r="F73" s="68"/>
      <c r="G73" s="68"/>
      <c r="H73" s="68"/>
      <c r="I73" s="68"/>
      <c r="J73" s="68"/>
      <c r="K73" s="276">
        <v>25377</v>
      </c>
      <c r="L73" s="483" t="s">
        <v>411</v>
      </c>
      <c r="M73" s="212">
        <v>400</v>
      </c>
      <c r="N73" s="68"/>
      <c r="O73" s="68"/>
      <c r="P73" s="68"/>
      <c r="Q73" s="68"/>
      <c r="R73" s="68"/>
      <c r="S73" s="68"/>
    </row>
    <row r="74" spans="1:19" ht="23.4">
      <c r="A74" s="65">
        <v>7</v>
      </c>
      <c r="B74" s="71" t="s">
        <v>75</v>
      </c>
      <c r="C74" s="71" t="s">
        <v>84</v>
      </c>
      <c r="D74" s="110">
        <v>0</v>
      </c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1700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1700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21">
      <c r="A81" s="73">
        <v>4</v>
      </c>
      <c r="B81" s="71" t="s">
        <v>75</v>
      </c>
      <c r="C81" s="71" t="s">
        <v>91</v>
      </c>
      <c r="D81" s="261">
        <v>4237.2</v>
      </c>
      <c r="E81" s="75"/>
      <c r="F81" s="72"/>
      <c r="G81" s="72"/>
      <c r="H81" s="72">
        <v>0</v>
      </c>
      <c r="I81" s="72">
        <v>0</v>
      </c>
      <c r="J81" s="68">
        <v>0</v>
      </c>
      <c r="K81" s="259">
        <v>25357</v>
      </c>
      <c r="L81" s="266" t="s">
        <v>412</v>
      </c>
      <c r="M81" s="261">
        <v>4237.2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21">
      <c r="A82" s="73">
        <v>5</v>
      </c>
      <c r="B82" s="71" t="s">
        <v>75</v>
      </c>
      <c r="C82" s="71" t="s">
        <v>93</v>
      </c>
      <c r="D82" s="212">
        <v>3584.5</v>
      </c>
      <c r="E82" s="75"/>
      <c r="F82" s="72"/>
      <c r="G82" s="72"/>
      <c r="H82" s="72">
        <v>0</v>
      </c>
      <c r="I82" s="72">
        <v>0</v>
      </c>
      <c r="J82" s="68">
        <v>0</v>
      </c>
      <c r="K82" s="276">
        <v>25363</v>
      </c>
      <c r="L82" s="266" t="s">
        <v>413</v>
      </c>
      <c r="M82" s="212">
        <v>3584.5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21">
      <c r="A83" s="73">
        <v>6</v>
      </c>
      <c r="B83" s="71" t="s">
        <v>75</v>
      </c>
      <c r="C83" s="71" t="s">
        <v>95</v>
      </c>
      <c r="D83" s="212">
        <v>3263.5</v>
      </c>
      <c r="E83" s="75"/>
      <c r="F83" s="72"/>
      <c r="G83" s="72"/>
      <c r="H83" s="72">
        <v>0</v>
      </c>
      <c r="I83" s="72">
        <v>0</v>
      </c>
      <c r="J83" s="68">
        <v>0</v>
      </c>
      <c r="K83" s="276">
        <v>25371</v>
      </c>
      <c r="L83" s="266" t="s">
        <v>414</v>
      </c>
      <c r="M83" s="204">
        <v>3263.5</v>
      </c>
      <c r="N83" s="71"/>
      <c r="O83" s="72"/>
      <c r="P83" s="72"/>
      <c r="Q83" s="72"/>
      <c r="R83" s="72"/>
      <c r="S83" s="68"/>
    </row>
    <row r="84" spans="1:19" ht="21">
      <c r="A84" s="73">
        <v>7</v>
      </c>
      <c r="B84" s="71" t="s">
        <v>75</v>
      </c>
      <c r="C84" s="71" t="s">
        <v>97</v>
      </c>
      <c r="D84" s="204">
        <v>3466.8</v>
      </c>
      <c r="E84" s="75"/>
      <c r="F84" s="72"/>
      <c r="G84" s="72"/>
      <c r="H84" s="72">
        <v>0</v>
      </c>
      <c r="I84" s="72">
        <v>0</v>
      </c>
      <c r="J84" s="68">
        <v>0</v>
      </c>
      <c r="K84" s="276">
        <v>25377</v>
      </c>
      <c r="L84" s="266" t="s">
        <v>415</v>
      </c>
      <c r="M84" s="204">
        <v>3466.8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>
        <v>0</v>
      </c>
      <c r="E85" s="75"/>
      <c r="F85" s="72"/>
      <c r="G85" s="72"/>
      <c r="H85" s="72">
        <v>0</v>
      </c>
      <c r="I85" s="72">
        <v>0</v>
      </c>
      <c r="J85" s="68">
        <v>0</v>
      </c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14552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14552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1">
        <f>SUM(D43+D48+D76+D86)</f>
        <v>88732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486">
        <f>SUM(M43+M48+M61+M76+M86)</f>
        <v>88732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25" right="0.25" top="0.75" bottom="0.75" header="0.3" footer="0.3"/>
  <pageSetup paperSize="9" scale="4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B807-EF7E-495F-9994-E9DEDE758A96}">
  <sheetPr>
    <tabColor rgb="FF00B0F0"/>
  </sheetPr>
  <dimension ref="A1:I939"/>
  <sheetViews>
    <sheetView zoomScale="70" zoomScaleNormal="70" workbookViewId="0">
      <pane ySplit="6" topLeftCell="A7" activePane="bottomLeft" state="frozen"/>
      <selection pane="bottomLeft" activeCell="I40" sqref="I40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392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15.75" customHeight="1">
      <c r="A6" s="8"/>
      <c r="B6" s="4"/>
      <c r="C6" s="4"/>
      <c r="D6" s="11"/>
      <c r="E6" s="12"/>
      <c r="F6" s="12"/>
    </row>
    <row r="7" spans="1:6" ht="22.5" customHeight="1">
      <c r="A7" s="13"/>
      <c r="B7" s="39" t="s">
        <v>28</v>
      </c>
      <c r="C7" s="40"/>
      <c r="D7" s="42"/>
      <c r="E7" s="43"/>
      <c r="F7" s="43"/>
    </row>
    <row r="8" spans="1:6" ht="20.25" customHeight="1">
      <c r="A8" s="46">
        <v>1</v>
      </c>
      <c r="B8" s="47" t="s">
        <v>29</v>
      </c>
      <c r="C8" s="47" t="s">
        <v>30</v>
      </c>
      <c r="D8" s="259">
        <v>25357</v>
      </c>
      <c r="E8" s="483" t="s">
        <v>393</v>
      </c>
      <c r="F8" s="261">
        <v>16050</v>
      </c>
    </row>
    <row r="9" spans="1:6" ht="22.5" customHeight="1">
      <c r="A9" s="46">
        <v>2</v>
      </c>
      <c r="B9" s="173" t="s">
        <v>29</v>
      </c>
      <c r="C9" s="173" t="s">
        <v>34</v>
      </c>
      <c r="D9" s="259">
        <v>25357</v>
      </c>
      <c r="E9" s="483" t="s">
        <v>394</v>
      </c>
      <c r="F9" s="261">
        <v>3200</v>
      </c>
    </row>
    <row r="10" spans="1:6" ht="21">
      <c r="A10" s="46">
        <v>3</v>
      </c>
      <c r="B10" s="47" t="s">
        <v>29</v>
      </c>
      <c r="C10" s="47" t="s">
        <v>32</v>
      </c>
      <c r="D10" s="259">
        <v>25357</v>
      </c>
      <c r="E10" s="483" t="s">
        <v>395</v>
      </c>
      <c r="F10" s="261">
        <v>1000</v>
      </c>
    </row>
    <row r="11" spans="1:6" ht="21">
      <c r="A11" s="46">
        <v>4</v>
      </c>
      <c r="B11" s="47" t="s">
        <v>29</v>
      </c>
      <c r="C11" s="47" t="s">
        <v>30</v>
      </c>
      <c r="D11" s="276">
        <v>25363</v>
      </c>
      <c r="E11" s="483" t="s">
        <v>396</v>
      </c>
      <c r="F11" s="212">
        <v>12840</v>
      </c>
    </row>
    <row r="12" spans="1:6" ht="21">
      <c r="A12" s="46">
        <v>5</v>
      </c>
      <c r="B12" s="47" t="s">
        <v>29</v>
      </c>
      <c r="C12" s="47" t="s">
        <v>34</v>
      </c>
      <c r="D12" s="276">
        <v>25363</v>
      </c>
      <c r="E12" s="483" t="s">
        <v>397</v>
      </c>
      <c r="F12" s="212">
        <v>2500</v>
      </c>
    </row>
    <row r="13" spans="1:6" ht="21">
      <c r="A13" s="46">
        <v>6</v>
      </c>
      <c r="B13" s="47" t="s">
        <v>29</v>
      </c>
      <c r="C13" s="47" t="s">
        <v>32</v>
      </c>
      <c r="D13" s="276">
        <v>25363</v>
      </c>
      <c r="E13" s="483" t="s">
        <v>398</v>
      </c>
      <c r="F13" s="212">
        <v>1000</v>
      </c>
    </row>
    <row r="14" spans="1:6" ht="21">
      <c r="A14" s="46">
        <v>7</v>
      </c>
      <c r="B14" s="47" t="s">
        <v>29</v>
      </c>
      <c r="C14" s="47" t="s">
        <v>30</v>
      </c>
      <c r="D14" s="276">
        <v>25371</v>
      </c>
      <c r="E14" s="483" t="s">
        <v>399</v>
      </c>
      <c r="F14" s="212">
        <v>12840</v>
      </c>
    </row>
    <row r="15" spans="1:6" ht="21">
      <c r="A15" s="46">
        <v>8</v>
      </c>
      <c r="B15" s="47" t="s">
        <v>29</v>
      </c>
      <c r="C15" s="47" t="s">
        <v>34</v>
      </c>
      <c r="D15" s="276">
        <v>25371</v>
      </c>
      <c r="E15" s="483" t="s">
        <v>400</v>
      </c>
      <c r="F15" s="212">
        <v>2500</v>
      </c>
    </row>
    <row r="16" spans="1:6" ht="21">
      <c r="A16" s="46">
        <v>9</v>
      </c>
      <c r="B16" s="47" t="s">
        <v>29</v>
      </c>
      <c r="C16" s="47" t="s">
        <v>32</v>
      </c>
      <c r="D16" s="276">
        <v>25371</v>
      </c>
      <c r="E16" s="483" t="s">
        <v>401</v>
      </c>
      <c r="F16" s="212">
        <v>1000</v>
      </c>
    </row>
    <row r="17" spans="1:8" ht="21">
      <c r="A17" s="46">
        <v>10</v>
      </c>
      <c r="B17" s="47" t="s">
        <v>29</v>
      </c>
      <c r="C17" s="47" t="s">
        <v>30</v>
      </c>
      <c r="D17" s="276">
        <v>25377</v>
      </c>
      <c r="E17" s="483" t="s">
        <v>402</v>
      </c>
      <c r="F17" s="212">
        <v>12840</v>
      </c>
    </row>
    <row r="18" spans="1:8" ht="21">
      <c r="A18" s="46">
        <v>11</v>
      </c>
      <c r="B18" s="47" t="s">
        <v>29</v>
      </c>
      <c r="C18" s="47" t="s">
        <v>34</v>
      </c>
      <c r="D18" s="276">
        <v>25377</v>
      </c>
      <c r="E18" s="483" t="s">
        <v>403</v>
      </c>
      <c r="F18" s="212">
        <v>2500</v>
      </c>
    </row>
    <row r="19" spans="1:8" ht="21">
      <c r="A19" s="46">
        <v>12</v>
      </c>
      <c r="B19" s="55" t="s">
        <v>29</v>
      </c>
      <c r="C19" s="55" t="s">
        <v>32</v>
      </c>
      <c r="D19" s="276">
        <v>25377</v>
      </c>
      <c r="E19" s="483" t="s">
        <v>404</v>
      </c>
      <c r="F19" s="212">
        <v>1000</v>
      </c>
    </row>
    <row r="20" spans="1:8" ht="18" thickBot="1">
      <c r="A20" s="46"/>
      <c r="B20" s="59" t="s">
        <v>19</v>
      </c>
      <c r="C20" s="60"/>
      <c r="D20" s="63"/>
      <c r="E20" s="63"/>
      <c r="F20" s="64">
        <v>69270</v>
      </c>
      <c r="H20" s="489">
        <f>SUM(F8:F19)</f>
        <v>69270</v>
      </c>
    </row>
    <row r="21" spans="1:8" ht="18" thickTop="1">
      <c r="A21" s="65"/>
      <c r="B21" s="66" t="s">
        <v>53</v>
      </c>
      <c r="C21" s="67"/>
      <c r="D21" s="69"/>
      <c r="E21" s="70"/>
      <c r="F21" s="70"/>
    </row>
    <row r="22" spans="1:8" ht="21">
      <c r="A22" s="65">
        <v>1</v>
      </c>
      <c r="B22" s="71" t="s">
        <v>54</v>
      </c>
      <c r="C22" s="71" t="s">
        <v>55</v>
      </c>
      <c r="D22" s="259">
        <v>25373</v>
      </c>
      <c r="E22" s="483" t="s">
        <v>405</v>
      </c>
      <c r="F22" s="261">
        <v>1070</v>
      </c>
    </row>
    <row r="23" spans="1:8" ht="21">
      <c r="A23" s="65">
        <v>2</v>
      </c>
      <c r="B23" s="71" t="s">
        <v>57</v>
      </c>
      <c r="C23" s="71" t="s">
        <v>55</v>
      </c>
      <c r="D23" s="259">
        <v>25371</v>
      </c>
      <c r="E23" s="483" t="s">
        <v>406</v>
      </c>
      <c r="F23" s="261">
        <v>1070</v>
      </c>
    </row>
    <row r="24" spans="1:8" ht="21">
      <c r="A24" s="491">
        <v>3</v>
      </c>
      <c r="B24" s="80" t="s">
        <v>59</v>
      </c>
      <c r="C24" s="81" t="s">
        <v>55</v>
      </c>
      <c r="D24" s="259">
        <v>25373</v>
      </c>
      <c r="E24" s="483" t="s">
        <v>407</v>
      </c>
      <c r="F24" s="261">
        <v>1070</v>
      </c>
    </row>
    <row r="25" spans="1:8" ht="21" thickBot="1">
      <c r="A25" s="65"/>
      <c r="B25" s="59" t="s">
        <v>19</v>
      </c>
      <c r="C25" s="60"/>
      <c r="D25" s="92"/>
      <c r="E25" s="93"/>
      <c r="F25" s="94">
        <v>3210</v>
      </c>
      <c r="H25" s="489">
        <f>SUM(F22:F24)</f>
        <v>3210</v>
      </c>
    </row>
    <row r="26" spans="1:8" ht="18" thickTop="1">
      <c r="A26" s="65"/>
      <c r="B26" s="66" t="s">
        <v>70</v>
      </c>
      <c r="C26" s="104"/>
      <c r="D26" s="106"/>
      <c r="E26" s="106"/>
      <c r="F26" s="106" t="s">
        <v>22</v>
      </c>
    </row>
    <row r="27" spans="1:8" ht="21">
      <c r="A27" s="65">
        <v>1</v>
      </c>
      <c r="B27" s="71" t="s">
        <v>75</v>
      </c>
      <c r="C27" s="71" t="s">
        <v>76</v>
      </c>
      <c r="D27" s="259">
        <v>25357</v>
      </c>
      <c r="E27" s="483" t="s">
        <v>408</v>
      </c>
      <c r="F27" s="261">
        <v>500</v>
      </c>
    </row>
    <row r="28" spans="1:8" ht="21">
      <c r="A28" s="65">
        <v>2</v>
      </c>
      <c r="B28" s="71" t="s">
        <v>75</v>
      </c>
      <c r="C28" s="71" t="s">
        <v>78</v>
      </c>
      <c r="D28" s="276">
        <v>25363</v>
      </c>
      <c r="E28" s="483" t="s">
        <v>409</v>
      </c>
      <c r="F28" s="212">
        <v>400</v>
      </c>
    </row>
    <row r="29" spans="1:8" ht="21">
      <c r="A29" s="65">
        <v>3</v>
      </c>
      <c r="B29" s="71" t="s">
        <v>75</v>
      </c>
      <c r="C29" s="71" t="s">
        <v>80</v>
      </c>
      <c r="D29" s="276">
        <v>25371</v>
      </c>
      <c r="E29" s="483" t="s">
        <v>410</v>
      </c>
      <c r="F29" s="212">
        <v>400</v>
      </c>
    </row>
    <row r="30" spans="1:8" ht="21">
      <c r="A30" s="65">
        <v>4</v>
      </c>
      <c r="B30" s="71" t="s">
        <v>75</v>
      </c>
      <c r="C30" s="71" t="s">
        <v>82</v>
      </c>
      <c r="D30" s="276">
        <v>25377</v>
      </c>
      <c r="E30" s="483" t="s">
        <v>411</v>
      </c>
      <c r="F30" s="212">
        <v>400</v>
      </c>
    </row>
    <row r="31" spans="1:8" ht="18" thickBot="1">
      <c r="A31" s="65"/>
      <c r="B31" s="59" t="s">
        <v>19</v>
      </c>
      <c r="C31" s="60"/>
      <c r="D31" s="115"/>
      <c r="E31" s="92"/>
      <c r="F31" s="94">
        <v>1700</v>
      </c>
      <c r="H31" s="489">
        <f>SUM(F27:F30)</f>
        <v>1700</v>
      </c>
    </row>
    <row r="32" spans="1:8" ht="18" thickTop="1">
      <c r="A32" s="65"/>
      <c r="B32" s="66" t="s">
        <v>86</v>
      </c>
      <c r="C32" s="67"/>
      <c r="D32" s="69"/>
      <c r="E32" s="70"/>
      <c r="F32" s="70"/>
    </row>
    <row r="33" spans="1:9" ht="21">
      <c r="A33" s="73">
        <v>1</v>
      </c>
      <c r="B33" s="71" t="s">
        <v>75</v>
      </c>
      <c r="C33" s="71" t="s">
        <v>91</v>
      </c>
      <c r="D33" s="259">
        <v>25357</v>
      </c>
      <c r="E33" s="266" t="s">
        <v>412</v>
      </c>
      <c r="F33" s="261">
        <v>4237.2</v>
      </c>
    </row>
    <row r="34" spans="1:9" ht="21">
      <c r="A34" s="73">
        <v>2</v>
      </c>
      <c r="B34" s="71" t="s">
        <v>75</v>
      </c>
      <c r="C34" s="71" t="s">
        <v>93</v>
      </c>
      <c r="D34" s="276">
        <v>25363</v>
      </c>
      <c r="E34" s="266" t="s">
        <v>413</v>
      </c>
      <c r="F34" s="212">
        <v>3584.5</v>
      </c>
    </row>
    <row r="35" spans="1:9" ht="21">
      <c r="A35" s="73">
        <v>3</v>
      </c>
      <c r="B35" s="71" t="s">
        <v>75</v>
      </c>
      <c r="C35" s="71" t="s">
        <v>95</v>
      </c>
      <c r="D35" s="276">
        <v>25371</v>
      </c>
      <c r="E35" s="266" t="s">
        <v>414</v>
      </c>
      <c r="F35" s="204">
        <v>3263.5</v>
      </c>
    </row>
    <row r="36" spans="1:9" ht="21">
      <c r="A36" s="73">
        <v>4</v>
      </c>
      <c r="B36" s="71" t="s">
        <v>75</v>
      </c>
      <c r="C36" s="71" t="s">
        <v>97</v>
      </c>
      <c r="D36" s="276">
        <v>25377</v>
      </c>
      <c r="E36" s="266" t="s">
        <v>415</v>
      </c>
      <c r="F36" s="204">
        <v>3466.8</v>
      </c>
    </row>
    <row r="37" spans="1:9" ht="18" thickBot="1">
      <c r="A37" s="65"/>
      <c r="B37" s="97" t="s">
        <v>19</v>
      </c>
      <c r="C37" s="98"/>
      <c r="D37" s="92"/>
      <c r="E37" s="92"/>
      <c r="F37" s="94">
        <v>14552</v>
      </c>
      <c r="H37" s="489">
        <f>SUM(F33:F36)</f>
        <v>14552</v>
      </c>
    </row>
    <row r="38" spans="1:9" ht="18.600000000000001" thickTop="1" thickBot="1">
      <c r="A38" s="122"/>
      <c r="B38" s="123" t="s">
        <v>111</v>
      </c>
      <c r="C38" s="124"/>
      <c r="D38" s="128"/>
      <c r="E38" s="129"/>
      <c r="F38" s="486">
        <v>88732</v>
      </c>
    </row>
    <row r="39" spans="1:9" ht="18" thickTop="1">
      <c r="A39" s="1"/>
      <c r="B39" s="131"/>
      <c r="C39" s="132"/>
      <c r="D39" s="133"/>
      <c r="E39" s="134"/>
      <c r="F39" s="134"/>
      <c r="I39" s="489">
        <f>SUM(H20:H37)</f>
        <v>88732</v>
      </c>
    </row>
    <row r="40" spans="1:9" ht="17.399999999999999">
      <c r="A40" s="132"/>
      <c r="B40" s="131"/>
      <c r="C40" s="132"/>
      <c r="D40" s="135"/>
      <c r="E40" s="135"/>
      <c r="F40" s="135"/>
    </row>
    <row r="41" spans="1:9" ht="17.399999999999999">
      <c r="A41" s="132"/>
      <c r="B41" s="131"/>
      <c r="C41" s="132"/>
      <c r="D41" s="135"/>
      <c r="E41" s="134"/>
      <c r="F41" s="135"/>
    </row>
    <row r="42" spans="1:9" ht="17.399999999999999">
      <c r="A42" s="132"/>
      <c r="B42" s="131"/>
      <c r="C42" s="132"/>
      <c r="D42" s="135"/>
      <c r="E42" s="134"/>
      <c r="F42" s="135"/>
    </row>
    <row r="43" spans="1:9" ht="17.399999999999999">
      <c r="A43" s="132"/>
      <c r="B43" s="131"/>
      <c r="C43" s="132"/>
      <c r="D43"/>
      <c r="E43" s="134"/>
      <c r="F43" s="135"/>
    </row>
    <row r="44" spans="1:9" ht="17.399999999999999">
      <c r="A44" s="132"/>
      <c r="B44" s="131"/>
      <c r="C44" s="132"/>
      <c r="D44" s="135"/>
      <c r="E44" s="134"/>
      <c r="F44" s="135"/>
    </row>
    <row r="45" spans="1:9" ht="17.399999999999999">
      <c r="A45" s="132"/>
      <c r="B45" s="131"/>
      <c r="C45" s="132"/>
      <c r="D45" s="135"/>
      <c r="E45" s="135"/>
      <c r="F45" s="135"/>
    </row>
    <row r="46" spans="1:9" ht="17.399999999999999">
      <c r="A46" s="132"/>
      <c r="B46" s="131"/>
      <c r="C46" s="132"/>
      <c r="D46" s="135"/>
      <c r="E46" s="135"/>
      <c r="F46" s="135"/>
    </row>
    <row r="47" spans="1:9" ht="17.399999999999999">
      <c r="A47" s="132"/>
      <c r="B47" s="131"/>
      <c r="C47" s="132"/>
      <c r="D47" s="135"/>
      <c r="E47" s="135"/>
      <c r="F47" s="135"/>
    </row>
    <row r="48" spans="1:9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6"/>
      <c r="B59" s="136"/>
      <c r="C59" s="136"/>
      <c r="D59" s="139"/>
      <c r="E59" s="139"/>
      <c r="F59" s="139"/>
    </row>
    <row r="60" spans="1:6" ht="17.399999999999999">
      <c r="A60" s="132"/>
      <c r="B60" s="131"/>
      <c r="C60" s="132"/>
      <c r="D60" s="135"/>
      <c r="E60" s="135"/>
      <c r="F60" s="135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494" t="s">
        <v>115</v>
      </c>
      <c r="C89" s="493"/>
      <c r="D89" s="493"/>
      <c r="E89" s="135"/>
      <c r="F89" s="135"/>
    </row>
    <row r="90" spans="1:6" ht="17.399999999999999">
      <c r="A90" s="132"/>
      <c r="B90" s="494" t="s">
        <v>116</v>
      </c>
      <c r="C90" s="493"/>
      <c r="D90" s="135"/>
      <c r="E90" s="135"/>
      <c r="F90" s="135"/>
    </row>
    <row r="91" spans="1:6" ht="17.399999999999999">
      <c r="A91" s="132"/>
      <c r="B91" s="494" t="s">
        <v>117</v>
      </c>
      <c r="C91" s="493"/>
      <c r="D91" s="135"/>
      <c r="E91" s="135"/>
      <c r="F91" s="135"/>
    </row>
    <row r="92" spans="1:6" ht="17.399999999999999">
      <c r="A92" s="132"/>
      <c r="B92" s="131"/>
      <c r="C92" s="132"/>
      <c r="D92" s="135"/>
      <c r="E92" s="135"/>
      <c r="F92" s="135"/>
    </row>
    <row r="93" spans="1:6" ht="20.399999999999999">
      <c r="A93" s="132"/>
      <c r="B93" s="140" t="s">
        <v>118</v>
      </c>
      <c r="C93" s="136" t="s">
        <v>119</v>
      </c>
      <c r="D93" s="134"/>
      <c r="E93" s="134"/>
      <c r="F93" s="134"/>
    </row>
    <row r="94" spans="1:6" ht="17.399999999999999">
      <c r="A94" s="132"/>
      <c r="B94" s="496" t="s">
        <v>120</v>
      </c>
      <c r="C94" s="493"/>
      <c r="D94" s="493"/>
      <c r="E94" s="493"/>
      <c r="F94" s="135"/>
    </row>
    <row r="95" spans="1:6" ht="17.399999999999999">
      <c r="A95" s="132"/>
      <c r="B95" s="494" t="s">
        <v>121</v>
      </c>
      <c r="C95" s="493"/>
      <c r="D95" s="493"/>
      <c r="E95" s="493"/>
      <c r="F95" s="135"/>
    </row>
    <row r="96" spans="1:6" ht="17.399999999999999">
      <c r="A96" s="132"/>
      <c r="B96" s="494" t="s">
        <v>122</v>
      </c>
      <c r="C96" s="493"/>
      <c r="D96" s="135"/>
      <c r="E96" s="135"/>
      <c r="F96" s="135"/>
    </row>
    <row r="97" spans="1:6" ht="17.399999999999999">
      <c r="A97" s="132"/>
      <c r="B97" s="494" t="s">
        <v>123</v>
      </c>
      <c r="C97" s="493"/>
      <c r="D97" s="493"/>
      <c r="E97" s="493"/>
      <c r="F97" s="493"/>
    </row>
    <row r="98" spans="1:6" ht="17.399999999999999">
      <c r="A98" s="132"/>
      <c r="B98" s="494" t="s">
        <v>124</v>
      </c>
      <c r="C98" s="493"/>
      <c r="D98" s="135"/>
      <c r="E98" s="135"/>
      <c r="F98" s="135"/>
    </row>
    <row r="99" spans="1:6" ht="17.399999999999999">
      <c r="A99" s="132"/>
      <c r="B99" s="494" t="s">
        <v>125</v>
      </c>
      <c r="C99" s="493"/>
      <c r="D99" s="493"/>
      <c r="E99" s="135"/>
      <c r="F99" s="135"/>
    </row>
    <row r="100" spans="1:6" ht="17.399999999999999">
      <c r="A100" s="132"/>
      <c r="B100" s="494" t="s">
        <v>126</v>
      </c>
      <c r="C100" s="493"/>
      <c r="D100" s="493"/>
      <c r="E100" s="493"/>
      <c r="F100" s="493"/>
    </row>
    <row r="101" spans="1:6" ht="17.399999999999999">
      <c r="A101" s="132"/>
      <c r="B101" s="494" t="s">
        <v>127</v>
      </c>
      <c r="C101" s="493"/>
      <c r="D101" s="135"/>
      <c r="E101" s="135"/>
      <c r="F101" s="135"/>
    </row>
    <row r="102" spans="1:6" ht="17.399999999999999">
      <c r="A102" s="132"/>
      <c r="B102" s="494" t="s">
        <v>128</v>
      </c>
      <c r="C102" s="493"/>
      <c r="D102" s="135"/>
      <c r="E102" s="135"/>
      <c r="F102" s="135"/>
    </row>
    <row r="103" spans="1:6" ht="17.399999999999999">
      <c r="A103" s="132"/>
      <c r="B103" s="494" t="s">
        <v>129</v>
      </c>
      <c r="C103" s="493"/>
      <c r="D103" s="135"/>
      <c r="E103" s="135"/>
      <c r="F103" s="135"/>
    </row>
    <row r="104" spans="1:6" ht="17.399999999999999">
      <c r="A104" s="132"/>
      <c r="B104" s="136" t="s">
        <v>130</v>
      </c>
      <c r="C104" s="132"/>
      <c r="D104" s="135"/>
      <c r="E104" s="135"/>
      <c r="F104" s="135"/>
    </row>
    <row r="105" spans="1:6" ht="17.399999999999999">
      <c r="A105" s="132"/>
      <c r="B105" s="494" t="s">
        <v>131</v>
      </c>
      <c r="C105" s="493"/>
      <c r="D105" s="493"/>
      <c r="E105" s="493"/>
      <c r="F105" s="493"/>
    </row>
    <row r="106" spans="1:6" ht="17.399999999999999">
      <c r="A106" s="132"/>
      <c r="B106" s="494" t="s">
        <v>132</v>
      </c>
      <c r="C106" s="493"/>
      <c r="D106" s="135"/>
      <c r="E106" s="135"/>
      <c r="F106" s="135"/>
    </row>
    <row r="107" spans="1:6" ht="17.399999999999999">
      <c r="A107" s="132"/>
      <c r="B107" s="136"/>
      <c r="C107" s="132"/>
      <c r="D107" s="135"/>
      <c r="E107" s="135"/>
      <c r="F107" s="135"/>
    </row>
    <row r="108" spans="1:6" ht="17.399999999999999">
      <c r="A108" s="132"/>
      <c r="B108" s="136"/>
      <c r="C108" s="132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41" t="s">
        <v>133</v>
      </c>
      <c r="C126" s="28" t="s">
        <v>134</v>
      </c>
      <c r="D126" s="19"/>
      <c r="E126" s="19"/>
      <c r="F126" s="142"/>
    </row>
    <row r="127" spans="1:6" ht="17.399999999999999">
      <c r="A127" s="132"/>
      <c r="B127" s="143" t="s">
        <v>136</v>
      </c>
      <c r="C127" s="144"/>
      <c r="D127" s="147"/>
      <c r="E127" s="147"/>
      <c r="F127" s="148"/>
    </row>
    <row r="128" spans="1:6" ht="17.399999999999999">
      <c r="A128" s="132"/>
      <c r="B128" s="143" t="s">
        <v>137</v>
      </c>
      <c r="C128" s="150"/>
      <c r="D128" s="147"/>
      <c r="E128" s="147"/>
      <c r="F128" s="148"/>
    </row>
    <row r="129" spans="1:6" ht="17.399999999999999">
      <c r="A129" s="132"/>
      <c r="B129" s="143" t="s">
        <v>138</v>
      </c>
      <c r="C129" s="150"/>
      <c r="D129" s="147"/>
      <c r="E129" s="147"/>
      <c r="F129" s="148"/>
    </row>
    <row r="130" spans="1:6" ht="17.399999999999999">
      <c r="A130" s="132"/>
      <c r="B130" s="152" t="s">
        <v>139</v>
      </c>
      <c r="C130" s="153"/>
      <c r="D130" s="157"/>
      <c r="E130" s="157"/>
      <c r="F130" s="158"/>
    </row>
    <row r="131" spans="1:6" ht="17.399999999999999">
      <c r="A131" s="132"/>
      <c r="B131" s="136"/>
      <c r="C131" s="132"/>
      <c r="D131" s="135"/>
      <c r="E131" s="135"/>
      <c r="F131" s="135"/>
    </row>
    <row r="132" spans="1:6" ht="17.399999999999999">
      <c r="A132" s="132"/>
      <c r="B132" s="141" t="s">
        <v>133</v>
      </c>
      <c r="C132" s="17" t="s">
        <v>140</v>
      </c>
      <c r="D132" s="19"/>
      <c r="E132" s="19"/>
      <c r="F132" s="19"/>
    </row>
    <row r="133" spans="1:6" ht="17.399999999999999">
      <c r="A133" s="132"/>
      <c r="B133" s="141" t="s">
        <v>141</v>
      </c>
      <c r="C133" s="27"/>
      <c r="D133" s="19"/>
      <c r="E133" s="19"/>
      <c r="F133" s="19"/>
    </row>
    <row r="134" spans="1:6" ht="17.399999999999999">
      <c r="A134" s="132"/>
      <c r="B134" s="143" t="s">
        <v>142</v>
      </c>
      <c r="C134" s="144"/>
      <c r="D134" s="147"/>
      <c r="E134" s="147"/>
      <c r="F134" s="147"/>
    </row>
    <row r="135" spans="1:6" ht="17.399999999999999">
      <c r="A135" s="132"/>
      <c r="B135" s="143" t="s">
        <v>137</v>
      </c>
      <c r="C135" s="144"/>
      <c r="D135" s="147"/>
      <c r="E135" s="147"/>
      <c r="F135" s="147"/>
    </row>
    <row r="136" spans="1:6" ht="17.399999999999999">
      <c r="A136" s="132"/>
      <c r="B136" s="143" t="s">
        <v>138</v>
      </c>
      <c r="C136" s="144"/>
      <c r="D136" s="147"/>
      <c r="E136" s="147"/>
      <c r="F136" s="147"/>
    </row>
    <row r="137" spans="1:6" ht="17.399999999999999">
      <c r="A137" s="132"/>
      <c r="B137" s="143" t="s">
        <v>139</v>
      </c>
      <c r="C137" s="144"/>
      <c r="D137" s="147"/>
      <c r="E137" s="147"/>
      <c r="F137" s="147"/>
    </row>
    <row r="138" spans="1:6" ht="17.399999999999999">
      <c r="A138" s="132"/>
      <c r="B138" s="136"/>
      <c r="C138" s="132"/>
      <c r="D138" s="135"/>
      <c r="E138" s="135"/>
      <c r="F138" s="135"/>
    </row>
    <row r="139" spans="1:6" ht="17.399999999999999">
      <c r="A139" s="132"/>
      <c r="B139" s="136"/>
      <c r="C139" s="132"/>
      <c r="D139" s="135"/>
      <c r="E139" s="135"/>
      <c r="F139" s="135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4"/>
      <c r="E143" s="134"/>
      <c r="F143" s="134"/>
    </row>
    <row r="144" spans="1:6" ht="17.399999999999999">
      <c r="A144" s="8">
        <v>3</v>
      </c>
      <c r="B144" s="28" t="s">
        <v>143</v>
      </c>
      <c r="C144" s="28" t="s">
        <v>144</v>
      </c>
      <c r="D144" s="19"/>
      <c r="E144" s="19"/>
      <c r="F144" s="19"/>
    </row>
    <row r="145" spans="1:6" ht="17.399999999999999">
      <c r="A145" s="132"/>
      <c r="B145" s="136"/>
      <c r="C145" s="132"/>
      <c r="D145" s="134"/>
      <c r="E145" s="134"/>
      <c r="F145" s="134"/>
    </row>
    <row r="146" spans="1:6" ht="17.399999999999999">
      <c r="A146" s="162"/>
      <c r="B146" s="163" t="s">
        <v>147</v>
      </c>
      <c r="C146" s="28"/>
      <c r="D146" s="19"/>
      <c r="E146" s="19"/>
      <c r="F146" s="19"/>
    </row>
    <row r="147" spans="1:6" ht="17.399999999999999">
      <c r="A147" s="8">
        <v>4</v>
      </c>
      <c r="B147" s="28" t="s">
        <v>148</v>
      </c>
      <c r="C147" s="28" t="s">
        <v>149</v>
      </c>
      <c r="D147" s="166"/>
      <c r="E147" s="166"/>
      <c r="F147" s="166"/>
    </row>
    <row r="148" spans="1:6" ht="17.399999999999999">
      <c r="A148" s="132"/>
      <c r="B148" s="495" t="s">
        <v>150</v>
      </c>
      <c r="C148" s="493"/>
      <c r="D148" s="493"/>
      <c r="E148" s="493"/>
      <c r="F148" s="134"/>
    </row>
    <row r="149" spans="1:6" ht="17.399999999999999">
      <c r="A149" s="132"/>
      <c r="B149" s="492" t="s">
        <v>151</v>
      </c>
      <c r="C149" s="493"/>
      <c r="D149" s="134"/>
      <c r="E149" s="134"/>
      <c r="F149" s="134"/>
    </row>
    <row r="150" spans="1:6" ht="17.399999999999999">
      <c r="A150" s="132"/>
      <c r="B150" s="492" t="s">
        <v>152</v>
      </c>
      <c r="C150" s="493"/>
      <c r="D150" s="134"/>
      <c r="E150" s="134"/>
      <c r="F150" s="134"/>
    </row>
    <row r="151" spans="1:6" ht="17.399999999999999">
      <c r="A151" s="132"/>
      <c r="B151" s="492" t="s">
        <v>153</v>
      </c>
      <c r="C151" s="493"/>
      <c r="D151" s="134"/>
      <c r="E151" s="134"/>
      <c r="F151" s="134"/>
    </row>
    <row r="152" spans="1:6" ht="17.399999999999999">
      <c r="A152" s="132"/>
      <c r="B152" s="492" t="s">
        <v>154</v>
      </c>
      <c r="C152" s="493"/>
      <c r="D152" s="134"/>
      <c r="E152" s="134"/>
      <c r="F152" s="134"/>
    </row>
    <row r="153" spans="1:6" ht="17.399999999999999">
      <c r="A153" s="132"/>
      <c r="B153" s="136"/>
      <c r="C153" s="132"/>
      <c r="D153" s="134"/>
      <c r="E153" s="134"/>
      <c r="F153" s="134"/>
    </row>
    <row r="154" spans="1:6" ht="17.399999999999999">
      <c r="A154" s="132"/>
      <c r="B154" s="136"/>
      <c r="C154" s="132"/>
      <c r="D154" s="134"/>
      <c r="E154" s="134"/>
      <c r="F154" s="134"/>
    </row>
    <row r="155" spans="1:6" ht="17.399999999999999">
      <c r="A155" s="132"/>
      <c r="B155" s="132"/>
      <c r="C155" s="132"/>
      <c r="D155" s="134"/>
      <c r="E155" s="134"/>
      <c r="F155" s="134"/>
    </row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mergeCells count="24">
    <mergeCell ref="A1:F1"/>
    <mergeCell ref="A2:F2"/>
    <mergeCell ref="A3:F3"/>
    <mergeCell ref="D4:F4"/>
    <mergeCell ref="B101:C101"/>
    <mergeCell ref="B89:D89"/>
    <mergeCell ref="B90:C90"/>
    <mergeCell ref="B91:C91"/>
    <mergeCell ref="B94:E94"/>
    <mergeCell ref="B95:E95"/>
    <mergeCell ref="B96:C96"/>
    <mergeCell ref="B97:F97"/>
    <mergeCell ref="B98:C98"/>
    <mergeCell ref="B99:D99"/>
    <mergeCell ref="B100:F100"/>
    <mergeCell ref="B150:C150"/>
    <mergeCell ref="B151:C151"/>
    <mergeCell ref="B152:C152"/>
    <mergeCell ref="B102:C102"/>
    <mergeCell ref="B103:C103"/>
    <mergeCell ref="B105:F105"/>
    <mergeCell ref="B106:C106"/>
    <mergeCell ref="B148:E148"/>
    <mergeCell ref="B149:C149"/>
  </mergeCells>
  <pageMargins left="0.25" right="0.25" top="0.75" bottom="0.75" header="0.3" footer="0.3"/>
  <pageSetup paperSize="9" scale="4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AF16-C3AF-4205-98A6-29DFF22EE447}">
  <sheetPr>
    <tabColor rgb="FF00B0F0"/>
  </sheetPr>
  <dimension ref="A1:G912"/>
  <sheetViews>
    <sheetView zoomScale="80" zoomScaleNormal="80" workbookViewId="0">
      <pane ySplit="6" topLeftCell="A7" activePane="bottomLeft" state="frozen"/>
      <selection pane="bottomLeft" activeCell="G36" sqref="G36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392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487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488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CC1E-3F39-409F-8E3F-5F5BB93FA9B2}">
  <sheetPr>
    <tabColor rgb="FF00B0F0"/>
  </sheetPr>
  <dimension ref="A1:G912"/>
  <sheetViews>
    <sheetView zoomScale="80" zoomScaleNormal="80" workbookViewId="0">
      <pane ySplit="6" topLeftCell="A7" activePane="bottomLeft" state="frozen"/>
      <selection pane="bottomLeft" activeCell="A4" sqref="A4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</row>
    <row r="2" spans="1:7" ht="15.75" customHeight="1">
      <c r="A2" s="497" t="s">
        <v>1</v>
      </c>
      <c r="B2" s="493"/>
      <c r="C2" s="493"/>
      <c r="D2" s="493"/>
      <c r="E2" s="493"/>
      <c r="F2" s="493"/>
    </row>
    <row r="3" spans="1:7" ht="15.75" customHeight="1">
      <c r="A3" s="498" t="s">
        <v>392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7" ht="15.75" customHeight="1">
      <c r="A5" s="3"/>
      <c r="B5" s="4"/>
      <c r="C5" s="4"/>
      <c r="D5" s="4" t="s">
        <v>10</v>
      </c>
      <c r="E5" s="4" t="s">
        <v>11</v>
      </c>
      <c r="F5" s="4"/>
    </row>
    <row r="6" spans="1:7" ht="15.75" customHeight="1">
      <c r="A6" s="8"/>
      <c r="B6" s="4" t="s">
        <v>21</v>
      </c>
      <c r="C6" s="4"/>
      <c r="D6" s="4"/>
      <c r="E6" s="4"/>
      <c r="F6" s="3" t="s">
        <v>19</v>
      </c>
    </row>
    <row r="7" spans="1:7" ht="17.399999999999999">
      <c r="A7" s="8"/>
      <c r="B7" s="17"/>
      <c r="C7" s="15"/>
      <c r="D7" s="17"/>
      <c r="E7" s="6"/>
      <c r="F7" s="16"/>
    </row>
    <row r="8" spans="1:7" ht="17.399999999999999">
      <c r="A8" s="8"/>
      <c r="B8" s="28"/>
      <c r="C8" s="28"/>
      <c r="D8" s="17"/>
      <c r="E8" s="6"/>
      <c r="F8" s="120"/>
    </row>
    <row r="9" spans="1:7" ht="17.399999999999999">
      <c r="A9" s="8"/>
      <c r="B9" s="28"/>
      <c r="C9" s="28"/>
      <c r="D9" s="17"/>
      <c r="E9" s="6"/>
      <c r="F9" s="16"/>
    </row>
    <row r="10" spans="1:7" ht="18" thickBot="1">
      <c r="A10" s="8"/>
      <c r="B10" s="22" t="s">
        <v>19</v>
      </c>
      <c r="C10" s="23"/>
      <c r="D10" s="24"/>
      <c r="E10" s="24"/>
      <c r="F10" s="487">
        <v>0</v>
      </c>
    </row>
    <row r="11" spans="1:7" ht="18.600000000000001" thickTop="1" thickBot="1">
      <c r="A11" s="122"/>
      <c r="B11" s="123" t="s">
        <v>111</v>
      </c>
      <c r="C11" s="124"/>
      <c r="D11" s="126"/>
      <c r="E11" s="126"/>
      <c r="F11" s="488">
        <v>0</v>
      </c>
    </row>
    <row r="12" spans="1:7" ht="18" thickTop="1">
      <c r="A12" s="1"/>
      <c r="B12" s="131"/>
      <c r="C12" s="132"/>
      <c r="D12" s="132"/>
      <c r="E12" s="132"/>
      <c r="F12" s="132"/>
    </row>
    <row r="13" spans="1:7" ht="17.399999999999999">
      <c r="A13" s="132"/>
      <c r="B13" s="131"/>
      <c r="C13" s="132"/>
      <c r="D13" s="132"/>
      <c r="E13" s="1"/>
    </row>
    <row r="14" spans="1:7" ht="17.399999999999999">
      <c r="A14" s="132"/>
      <c r="B14" s="131"/>
      <c r="C14" s="132"/>
      <c r="D14" s="132"/>
      <c r="E14" s="1"/>
      <c r="F14" s="131"/>
    </row>
    <row r="15" spans="1:7" ht="17.399999999999999">
      <c r="A15" s="132"/>
      <c r="B15" s="131"/>
      <c r="C15" s="132"/>
      <c r="D15" s="132"/>
      <c r="E15" s="1"/>
      <c r="F15" s="131"/>
    </row>
    <row r="16" spans="1:7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G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8AC3-C41C-4056-840A-3D09E236D676}">
  <sheetPr>
    <tabColor rgb="FF92D050"/>
  </sheetPr>
  <dimension ref="A1:T1004"/>
  <sheetViews>
    <sheetView zoomScale="80" zoomScaleNormal="80" workbookViewId="0">
      <pane ySplit="6" topLeftCell="A73" activePane="bottomLeft" state="frozen"/>
      <selection pane="bottomLeft" activeCell="M90" sqref="M90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368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258">
        <v>12840</v>
      </c>
      <c r="E26" s="49"/>
      <c r="F26" s="49"/>
      <c r="G26" s="49"/>
      <c r="H26" s="49"/>
      <c r="I26" s="49"/>
      <c r="J26" s="49"/>
      <c r="K26" s="259">
        <v>25328</v>
      </c>
      <c r="L26" s="483" t="s">
        <v>369</v>
      </c>
      <c r="M26" s="261">
        <v>12840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284">
        <v>2500</v>
      </c>
      <c r="E27" s="49"/>
      <c r="F27" s="49"/>
      <c r="G27" s="49"/>
      <c r="H27" s="49"/>
      <c r="I27" s="49"/>
      <c r="J27" s="49"/>
      <c r="K27" s="259">
        <v>25328</v>
      </c>
      <c r="L27" s="483" t="s">
        <v>370</v>
      </c>
      <c r="M27" s="261">
        <v>2500</v>
      </c>
      <c r="N27" s="47"/>
      <c r="O27" s="46"/>
      <c r="P27" s="46"/>
      <c r="Q27" s="46"/>
      <c r="R27" s="46"/>
      <c r="S27" s="49"/>
    </row>
    <row r="28" spans="1:19" ht="21">
      <c r="A28" s="46">
        <v>3</v>
      </c>
      <c r="B28" s="47" t="s">
        <v>29</v>
      </c>
      <c r="C28" s="47" t="s">
        <v>32</v>
      </c>
      <c r="D28" s="484">
        <v>1000</v>
      </c>
      <c r="E28" s="49"/>
      <c r="F28" s="49"/>
      <c r="G28" s="49"/>
      <c r="H28" s="49"/>
      <c r="I28" s="49"/>
      <c r="J28" s="49"/>
      <c r="K28" s="259">
        <v>25328</v>
      </c>
      <c r="L28" s="483" t="s">
        <v>371</v>
      </c>
      <c r="M28" s="261">
        <v>1000</v>
      </c>
      <c r="N28" s="47"/>
      <c r="O28" s="46"/>
      <c r="P28" s="46"/>
      <c r="Q28" s="46"/>
      <c r="R28" s="46"/>
      <c r="S28" s="49"/>
    </row>
    <row r="29" spans="1:19" ht="21">
      <c r="A29" s="46">
        <v>4</v>
      </c>
      <c r="B29" s="47" t="s">
        <v>29</v>
      </c>
      <c r="C29" s="47" t="s">
        <v>30</v>
      </c>
      <c r="D29" s="485">
        <v>12840</v>
      </c>
      <c r="E29" s="49"/>
      <c r="F29" s="49"/>
      <c r="G29" s="49"/>
      <c r="H29" s="49"/>
      <c r="I29" s="49"/>
      <c r="J29" s="49"/>
      <c r="K29" s="276">
        <v>25335</v>
      </c>
      <c r="L29" s="483" t="s">
        <v>372</v>
      </c>
      <c r="M29" s="212">
        <v>12840</v>
      </c>
      <c r="N29" s="47"/>
      <c r="O29" s="46"/>
      <c r="P29" s="46"/>
      <c r="Q29" s="46"/>
      <c r="R29" s="46"/>
      <c r="S29" s="49"/>
    </row>
    <row r="30" spans="1:19" ht="21">
      <c r="A30" s="46">
        <v>5</v>
      </c>
      <c r="B30" s="47" t="s">
        <v>29</v>
      </c>
      <c r="C30" s="47" t="s">
        <v>34</v>
      </c>
      <c r="D30" s="485">
        <v>2500</v>
      </c>
      <c r="E30" s="49"/>
      <c r="F30" s="49"/>
      <c r="G30" s="49"/>
      <c r="H30" s="49"/>
      <c r="I30" s="49"/>
      <c r="J30" s="49"/>
      <c r="K30" s="276">
        <v>25335</v>
      </c>
      <c r="L30" s="483" t="s">
        <v>373</v>
      </c>
      <c r="M30" s="212">
        <v>2500</v>
      </c>
      <c r="N30" s="47"/>
      <c r="O30" s="46"/>
      <c r="P30" s="46"/>
      <c r="Q30" s="46"/>
      <c r="R30" s="46"/>
      <c r="S30" s="49"/>
    </row>
    <row r="31" spans="1:19" ht="21">
      <c r="A31" s="46">
        <v>6</v>
      </c>
      <c r="B31" s="47" t="s">
        <v>29</v>
      </c>
      <c r="C31" s="47" t="s">
        <v>32</v>
      </c>
      <c r="D31" s="485">
        <v>1000</v>
      </c>
      <c r="E31" s="49"/>
      <c r="F31" s="49"/>
      <c r="G31" s="49"/>
      <c r="H31" s="49"/>
      <c r="I31" s="49"/>
      <c r="J31" s="49"/>
      <c r="K31" s="276">
        <v>25335</v>
      </c>
      <c r="L31" s="483" t="s">
        <v>374</v>
      </c>
      <c r="M31" s="212">
        <v>1000</v>
      </c>
      <c r="N31" s="47"/>
      <c r="O31" s="46"/>
      <c r="P31" s="46"/>
      <c r="Q31" s="46"/>
      <c r="R31" s="46"/>
      <c r="S31" s="49"/>
    </row>
    <row r="32" spans="1:19" ht="21">
      <c r="A32" s="46">
        <v>7</v>
      </c>
      <c r="B32" s="47" t="s">
        <v>29</v>
      </c>
      <c r="C32" s="47" t="s">
        <v>30</v>
      </c>
      <c r="D32" s="485">
        <v>12840</v>
      </c>
      <c r="E32" s="49"/>
      <c r="F32" s="49"/>
      <c r="G32" s="49"/>
      <c r="H32" s="49"/>
      <c r="I32" s="49"/>
      <c r="J32" s="49"/>
      <c r="K32" s="276">
        <v>25342</v>
      </c>
      <c r="L32" s="483" t="s">
        <v>375</v>
      </c>
      <c r="M32" s="212">
        <v>12840</v>
      </c>
      <c r="N32" s="47"/>
      <c r="O32" s="46"/>
      <c r="P32" s="46"/>
      <c r="Q32" s="46"/>
      <c r="R32" s="46"/>
      <c r="S32" s="49"/>
    </row>
    <row r="33" spans="1:19" ht="21">
      <c r="A33" s="46">
        <v>8</v>
      </c>
      <c r="B33" s="47" t="s">
        <v>29</v>
      </c>
      <c r="C33" s="47" t="s">
        <v>34</v>
      </c>
      <c r="D33" s="485">
        <v>2500</v>
      </c>
      <c r="E33" s="49"/>
      <c r="F33" s="49"/>
      <c r="G33" s="49"/>
      <c r="H33" s="49"/>
      <c r="I33" s="49"/>
      <c r="J33" s="49"/>
      <c r="K33" s="276">
        <v>25342</v>
      </c>
      <c r="L33" s="483" t="s">
        <v>376</v>
      </c>
      <c r="M33" s="212">
        <v>2500</v>
      </c>
      <c r="N33" s="47"/>
      <c r="O33" s="46"/>
      <c r="P33" s="46"/>
      <c r="Q33" s="46"/>
      <c r="R33" s="46"/>
      <c r="S33" s="49"/>
    </row>
    <row r="34" spans="1:19" ht="21">
      <c r="A34" s="46">
        <v>9</v>
      </c>
      <c r="B34" s="47" t="s">
        <v>29</v>
      </c>
      <c r="C34" s="47" t="s">
        <v>32</v>
      </c>
      <c r="D34" s="485">
        <v>1000</v>
      </c>
      <c r="E34" s="49"/>
      <c r="F34" s="49"/>
      <c r="G34" s="49"/>
      <c r="H34" s="49"/>
      <c r="I34" s="49"/>
      <c r="J34" s="49"/>
      <c r="K34" s="276">
        <v>25342</v>
      </c>
      <c r="L34" s="483" t="s">
        <v>377</v>
      </c>
      <c r="M34" s="212">
        <v>1000</v>
      </c>
      <c r="N34" s="47"/>
      <c r="O34" s="46"/>
      <c r="P34" s="46"/>
      <c r="Q34" s="46"/>
      <c r="R34" s="46"/>
      <c r="S34" s="49"/>
    </row>
    <row r="35" spans="1:19" ht="21">
      <c r="A35" s="46">
        <v>10</v>
      </c>
      <c r="B35" s="47" t="s">
        <v>29</v>
      </c>
      <c r="C35" s="47" t="s">
        <v>30</v>
      </c>
      <c r="D35" s="485">
        <v>12840</v>
      </c>
      <c r="E35" s="49"/>
      <c r="F35" s="49"/>
      <c r="G35" s="49"/>
      <c r="H35" s="49"/>
      <c r="I35" s="49"/>
      <c r="J35" s="49"/>
      <c r="K35" s="276">
        <v>25349</v>
      </c>
      <c r="L35" s="483" t="s">
        <v>378</v>
      </c>
      <c r="M35" s="212">
        <v>12840</v>
      </c>
      <c r="N35" s="47"/>
      <c r="O35" s="46"/>
      <c r="P35" s="46"/>
      <c r="Q35" s="46"/>
      <c r="R35" s="46"/>
      <c r="S35" s="49"/>
    </row>
    <row r="36" spans="1:19" ht="21">
      <c r="A36" s="46">
        <v>11</v>
      </c>
      <c r="B36" s="47" t="s">
        <v>29</v>
      </c>
      <c r="C36" s="47" t="s">
        <v>34</v>
      </c>
      <c r="D36" s="485">
        <v>2500</v>
      </c>
      <c r="E36" s="49"/>
      <c r="F36" s="49"/>
      <c r="G36" s="49"/>
      <c r="H36" s="49"/>
      <c r="I36" s="49"/>
      <c r="J36" s="49"/>
      <c r="K36" s="276">
        <v>25349</v>
      </c>
      <c r="L36" s="483" t="s">
        <v>379</v>
      </c>
      <c r="M36" s="212">
        <v>2500</v>
      </c>
      <c r="N36" s="47"/>
      <c r="O36" s="46"/>
      <c r="P36" s="46"/>
      <c r="Q36" s="46"/>
      <c r="R36" s="46"/>
      <c r="S36" s="49"/>
    </row>
    <row r="37" spans="1:19" ht="21">
      <c r="A37" s="46">
        <v>12</v>
      </c>
      <c r="B37" s="55" t="s">
        <v>29</v>
      </c>
      <c r="C37" s="55" t="s">
        <v>32</v>
      </c>
      <c r="D37" s="197">
        <v>1000</v>
      </c>
      <c r="E37" s="49"/>
      <c r="F37" s="49"/>
      <c r="G37" s="49"/>
      <c r="H37" s="49"/>
      <c r="I37" s="49"/>
      <c r="J37" s="49"/>
      <c r="K37" s="276">
        <v>25349</v>
      </c>
      <c r="L37" s="483" t="s">
        <v>380</v>
      </c>
      <c r="M37" s="212">
        <v>1000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30</v>
      </c>
      <c r="D38" s="56">
        <v>0</v>
      </c>
      <c r="E38" s="49"/>
      <c r="F38" s="49"/>
      <c r="G38" s="49"/>
      <c r="H38" s="49"/>
      <c r="I38" s="49"/>
      <c r="J38" s="49"/>
      <c r="K38" s="57"/>
      <c r="L38" s="51"/>
      <c r="M38" s="58"/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34</v>
      </c>
      <c r="D39" s="56">
        <v>0</v>
      </c>
      <c r="E39" s="49"/>
      <c r="F39" s="49"/>
      <c r="G39" s="49"/>
      <c r="H39" s="49"/>
      <c r="I39" s="49"/>
      <c r="J39" s="49"/>
      <c r="K39" s="57"/>
      <c r="L39" s="51"/>
      <c r="M39" s="58"/>
      <c r="N39" s="47"/>
      <c r="O39" s="46"/>
      <c r="P39" s="46"/>
      <c r="Q39" s="46"/>
      <c r="R39" s="46"/>
      <c r="S39" s="49"/>
    </row>
    <row r="40" spans="1:19" ht="23.4">
      <c r="A40" s="46">
        <v>15</v>
      </c>
      <c r="B40" s="55" t="s">
        <v>29</v>
      </c>
      <c r="C40" s="55" t="s">
        <v>32</v>
      </c>
      <c r="D40" s="56">
        <v>0</v>
      </c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65360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65360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21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259">
        <v>25341</v>
      </c>
      <c r="L45" s="483" t="s">
        <v>381</v>
      </c>
      <c r="M45" s="261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21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259">
        <v>25340</v>
      </c>
      <c r="L46" s="483" t="s">
        <v>382</v>
      </c>
      <c r="M46" s="261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21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259">
        <v>25343</v>
      </c>
      <c r="L47" s="483" t="s">
        <v>383</v>
      </c>
      <c r="M47" s="261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/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>
        <v>0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21">
      <c r="A70" s="65">
        <v>3</v>
      </c>
      <c r="B70" s="71" t="s">
        <v>75</v>
      </c>
      <c r="C70" s="71" t="s">
        <v>76</v>
      </c>
      <c r="D70" s="258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259">
        <v>25328</v>
      </c>
      <c r="L70" s="483" t="s">
        <v>384</v>
      </c>
      <c r="M70" s="26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21">
      <c r="A71" s="65">
        <v>4</v>
      </c>
      <c r="B71" s="71" t="s">
        <v>75</v>
      </c>
      <c r="C71" s="71" t="s">
        <v>78</v>
      </c>
      <c r="D71" s="275">
        <v>400</v>
      </c>
      <c r="E71" s="68"/>
      <c r="F71" s="68"/>
      <c r="G71" s="68"/>
      <c r="H71" s="68"/>
      <c r="I71" s="68"/>
      <c r="J71" s="68"/>
      <c r="K71" s="276">
        <v>25335</v>
      </c>
      <c r="L71" s="483" t="s">
        <v>385</v>
      </c>
      <c r="M71" s="212">
        <v>400</v>
      </c>
      <c r="N71" s="68"/>
      <c r="O71" s="68"/>
      <c r="P71" s="68"/>
      <c r="Q71" s="68"/>
      <c r="R71" s="68"/>
      <c r="S71" s="68"/>
    </row>
    <row r="72" spans="1:19" ht="21">
      <c r="A72" s="65">
        <v>5</v>
      </c>
      <c r="B72" s="71" t="s">
        <v>75</v>
      </c>
      <c r="C72" s="71" t="s">
        <v>80</v>
      </c>
      <c r="D72" s="275">
        <v>400</v>
      </c>
      <c r="E72" s="68"/>
      <c r="F72" s="68"/>
      <c r="G72" s="68"/>
      <c r="H72" s="68"/>
      <c r="I72" s="68"/>
      <c r="J72" s="68"/>
      <c r="K72" s="276">
        <v>25342</v>
      </c>
      <c r="L72" s="483" t="s">
        <v>386</v>
      </c>
      <c r="M72" s="212">
        <v>400</v>
      </c>
      <c r="N72" s="68"/>
      <c r="O72" s="68"/>
      <c r="P72" s="68"/>
      <c r="Q72" s="68"/>
      <c r="R72" s="68"/>
      <c r="S72" s="68"/>
    </row>
    <row r="73" spans="1:19" ht="21">
      <c r="A73" s="65">
        <v>6</v>
      </c>
      <c r="B73" s="71" t="s">
        <v>75</v>
      </c>
      <c r="C73" s="71" t="s">
        <v>82</v>
      </c>
      <c r="D73" s="275">
        <v>400</v>
      </c>
      <c r="E73" s="68"/>
      <c r="F73" s="68"/>
      <c r="G73" s="68"/>
      <c r="H73" s="68"/>
      <c r="I73" s="68"/>
      <c r="J73" s="68"/>
      <c r="K73" s="276">
        <v>25349</v>
      </c>
      <c r="L73" s="483" t="s">
        <v>387</v>
      </c>
      <c r="M73" s="212">
        <v>400</v>
      </c>
      <c r="N73" s="68"/>
      <c r="O73" s="68"/>
      <c r="P73" s="68"/>
      <c r="Q73" s="68"/>
      <c r="R73" s="68"/>
      <c r="S73" s="68"/>
    </row>
    <row r="74" spans="1:19" ht="23.4">
      <c r="A74" s="65">
        <v>7</v>
      </c>
      <c r="B74" s="71" t="s">
        <v>75</v>
      </c>
      <c r="C74" s="71" t="s">
        <v>84</v>
      </c>
      <c r="D74" s="110">
        <v>0</v>
      </c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1600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1600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21">
      <c r="A81" s="73">
        <v>4</v>
      </c>
      <c r="B81" s="71" t="s">
        <v>75</v>
      </c>
      <c r="C81" s="71" t="s">
        <v>91</v>
      </c>
      <c r="D81" s="261">
        <v>4633.1000000000004</v>
      </c>
      <c r="E81" s="75"/>
      <c r="F81" s="72"/>
      <c r="G81" s="72"/>
      <c r="H81" s="72">
        <v>0</v>
      </c>
      <c r="I81" s="72">
        <v>0</v>
      </c>
      <c r="J81" s="68">
        <v>0</v>
      </c>
      <c r="K81" s="259">
        <v>25328</v>
      </c>
      <c r="L81" s="266" t="s">
        <v>388</v>
      </c>
      <c r="M81" s="261">
        <v>4633.1000000000004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21">
      <c r="A82" s="73">
        <v>5</v>
      </c>
      <c r="B82" s="71" t="s">
        <v>75</v>
      </c>
      <c r="C82" s="71" t="s">
        <v>93</v>
      </c>
      <c r="D82" s="212">
        <v>4033.9</v>
      </c>
      <c r="E82" s="75"/>
      <c r="F82" s="72"/>
      <c r="G82" s="72"/>
      <c r="H82" s="72">
        <v>0</v>
      </c>
      <c r="I82" s="72">
        <v>0</v>
      </c>
      <c r="J82" s="68">
        <v>0</v>
      </c>
      <c r="K82" s="276">
        <v>25335</v>
      </c>
      <c r="L82" s="266" t="s">
        <v>389</v>
      </c>
      <c r="M82" s="212">
        <v>4033.9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21">
      <c r="A83" s="73">
        <v>6</v>
      </c>
      <c r="B83" s="71" t="s">
        <v>75</v>
      </c>
      <c r="C83" s="71" t="s">
        <v>95</v>
      </c>
      <c r="D83" s="212">
        <v>3531</v>
      </c>
      <c r="E83" s="75"/>
      <c r="F83" s="72"/>
      <c r="G83" s="72"/>
      <c r="H83" s="72">
        <v>0</v>
      </c>
      <c r="I83" s="72">
        <v>0</v>
      </c>
      <c r="J83" s="68">
        <v>0</v>
      </c>
      <c r="K83" s="276">
        <v>25342</v>
      </c>
      <c r="L83" s="266" t="s">
        <v>390</v>
      </c>
      <c r="M83" s="204">
        <v>3531</v>
      </c>
      <c r="N83" s="71"/>
      <c r="O83" s="72"/>
      <c r="P83" s="72"/>
      <c r="Q83" s="72"/>
      <c r="R83" s="72"/>
      <c r="S83" s="68"/>
    </row>
    <row r="84" spans="1:19" ht="21">
      <c r="A84" s="73">
        <v>7</v>
      </c>
      <c r="B84" s="71" t="s">
        <v>75</v>
      </c>
      <c r="C84" s="71" t="s">
        <v>97</v>
      </c>
      <c r="D84" s="204">
        <v>3220.7</v>
      </c>
      <c r="E84" s="75"/>
      <c r="F84" s="72"/>
      <c r="G84" s="72"/>
      <c r="H84" s="72">
        <v>0</v>
      </c>
      <c r="I84" s="72">
        <v>0</v>
      </c>
      <c r="J84" s="68">
        <v>0</v>
      </c>
      <c r="K84" s="276">
        <v>25349</v>
      </c>
      <c r="L84" s="266" t="s">
        <v>391</v>
      </c>
      <c r="M84" s="204">
        <v>3220.7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>
        <v>0</v>
      </c>
      <c r="E85" s="75"/>
      <c r="F85" s="72"/>
      <c r="G85" s="72"/>
      <c r="H85" s="72">
        <v>0</v>
      </c>
      <c r="I85" s="72">
        <v>0</v>
      </c>
      <c r="J85" s="68">
        <v>0</v>
      </c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15418.7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15418.7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1">
        <f>SUM(D43+D48+D76+D86)</f>
        <v>85588.7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486">
        <f>SUM(M43+M48+M61+M76+M86)</f>
        <v>85588.7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A1:S1"/>
    <mergeCell ref="A2:S2"/>
    <mergeCell ref="A3:S3"/>
    <mergeCell ref="E4:J4"/>
    <mergeCell ref="K4:M4"/>
    <mergeCell ref="N4:S4"/>
    <mergeCell ref="P105:S105"/>
    <mergeCell ref="P106:R106"/>
    <mergeCell ref="P107:R107"/>
    <mergeCell ref="J108:K108"/>
    <mergeCell ref="N108:O108"/>
    <mergeCell ref="P108:R108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</mergeCells>
  <pageMargins left="0.25" right="0.25" top="0.75" bottom="0.75" header="0.3" footer="0.3"/>
  <pageSetup paperSize="9" scale="45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21F3-4453-4209-9BA0-58DD59974F70}">
  <sheetPr>
    <tabColor rgb="FF92D050"/>
  </sheetPr>
  <dimension ref="A1:H939"/>
  <sheetViews>
    <sheetView zoomScale="80" zoomScaleNormal="80" workbookViewId="0">
      <pane ySplit="6" topLeftCell="A13" activePane="bottomLeft" state="frozen"/>
      <selection pane="bottomLeft" activeCell="A3" sqref="A3:F3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368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15.75" customHeight="1">
      <c r="A6" s="8"/>
      <c r="B6" s="4"/>
      <c r="C6" s="4"/>
      <c r="D6" s="11"/>
      <c r="E6" s="12"/>
      <c r="F6" s="12"/>
    </row>
    <row r="7" spans="1:6" ht="22.5" customHeight="1">
      <c r="A7" s="13"/>
      <c r="B7" s="39" t="s">
        <v>28</v>
      </c>
      <c r="C7" s="40"/>
      <c r="D7" s="42"/>
      <c r="E7" s="43"/>
      <c r="F7" s="43"/>
    </row>
    <row r="8" spans="1:6" ht="20.25" customHeight="1">
      <c r="A8" s="46">
        <v>1</v>
      </c>
      <c r="B8" s="47" t="s">
        <v>29</v>
      </c>
      <c r="C8" s="47" t="s">
        <v>30</v>
      </c>
      <c r="D8" s="259">
        <v>25328</v>
      </c>
      <c r="E8" s="483" t="s">
        <v>369</v>
      </c>
      <c r="F8" s="261">
        <v>12840</v>
      </c>
    </row>
    <row r="9" spans="1:6" ht="22.5" customHeight="1">
      <c r="A9" s="46">
        <v>2</v>
      </c>
      <c r="B9" s="173" t="s">
        <v>29</v>
      </c>
      <c r="C9" s="173" t="s">
        <v>34</v>
      </c>
      <c r="D9" s="259">
        <v>25328</v>
      </c>
      <c r="E9" s="483" t="s">
        <v>370</v>
      </c>
      <c r="F9" s="261">
        <v>2500</v>
      </c>
    </row>
    <row r="10" spans="1:6" ht="21">
      <c r="A10" s="46">
        <v>3</v>
      </c>
      <c r="B10" s="47" t="s">
        <v>29</v>
      </c>
      <c r="C10" s="47" t="s">
        <v>32</v>
      </c>
      <c r="D10" s="259">
        <v>25328</v>
      </c>
      <c r="E10" s="483" t="s">
        <v>371</v>
      </c>
      <c r="F10" s="261">
        <v>1000</v>
      </c>
    </row>
    <row r="11" spans="1:6" ht="21">
      <c r="A11" s="46">
        <v>4</v>
      </c>
      <c r="B11" s="47" t="s">
        <v>29</v>
      </c>
      <c r="C11" s="47" t="s">
        <v>30</v>
      </c>
      <c r="D11" s="276">
        <v>25335</v>
      </c>
      <c r="E11" s="483" t="s">
        <v>372</v>
      </c>
      <c r="F11" s="212">
        <v>12840</v>
      </c>
    </row>
    <row r="12" spans="1:6" ht="21">
      <c r="A12" s="46">
        <v>5</v>
      </c>
      <c r="B12" s="47" t="s">
        <v>29</v>
      </c>
      <c r="C12" s="47" t="s">
        <v>34</v>
      </c>
      <c r="D12" s="276">
        <v>25335</v>
      </c>
      <c r="E12" s="483" t="s">
        <v>373</v>
      </c>
      <c r="F12" s="212">
        <v>2500</v>
      </c>
    </row>
    <row r="13" spans="1:6" ht="21">
      <c r="A13" s="46">
        <v>6</v>
      </c>
      <c r="B13" s="47" t="s">
        <v>29</v>
      </c>
      <c r="C13" s="47" t="s">
        <v>32</v>
      </c>
      <c r="D13" s="276">
        <v>25335</v>
      </c>
      <c r="E13" s="483" t="s">
        <v>374</v>
      </c>
      <c r="F13" s="212">
        <v>1000</v>
      </c>
    </row>
    <row r="14" spans="1:6" ht="21">
      <c r="A14" s="46">
        <v>7</v>
      </c>
      <c r="B14" s="47" t="s">
        <v>29</v>
      </c>
      <c r="C14" s="47" t="s">
        <v>30</v>
      </c>
      <c r="D14" s="276">
        <v>25342</v>
      </c>
      <c r="E14" s="483" t="s">
        <v>375</v>
      </c>
      <c r="F14" s="212">
        <v>12840</v>
      </c>
    </row>
    <row r="15" spans="1:6" ht="21">
      <c r="A15" s="46">
        <v>8</v>
      </c>
      <c r="B15" s="47" t="s">
        <v>29</v>
      </c>
      <c r="C15" s="47" t="s">
        <v>34</v>
      </c>
      <c r="D15" s="276">
        <v>25342</v>
      </c>
      <c r="E15" s="483" t="s">
        <v>376</v>
      </c>
      <c r="F15" s="212">
        <v>2500</v>
      </c>
    </row>
    <row r="16" spans="1:6" ht="21">
      <c r="A16" s="46">
        <v>9</v>
      </c>
      <c r="B16" s="47" t="s">
        <v>29</v>
      </c>
      <c r="C16" s="47" t="s">
        <v>32</v>
      </c>
      <c r="D16" s="276">
        <v>25342</v>
      </c>
      <c r="E16" s="483" t="s">
        <v>377</v>
      </c>
      <c r="F16" s="212">
        <v>1000</v>
      </c>
    </row>
    <row r="17" spans="1:8" ht="21">
      <c r="A17" s="46">
        <v>10</v>
      </c>
      <c r="B17" s="47" t="s">
        <v>29</v>
      </c>
      <c r="C17" s="47" t="s">
        <v>30</v>
      </c>
      <c r="D17" s="276">
        <v>25349</v>
      </c>
      <c r="E17" s="483" t="s">
        <v>378</v>
      </c>
      <c r="F17" s="212">
        <v>12840</v>
      </c>
    </row>
    <row r="18" spans="1:8" ht="21">
      <c r="A18" s="46">
        <v>11</v>
      </c>
      <c r="B18" s="47" t="s">
        <v>29</v>
      </c>
      <c r="C18" s="47" t="s">
        <v>34</v>
      </c>
      <c r="D18" s="276">
        <v>25349</v>
      </c>
      <c r="E18" s="483" t="s">
        <v>379</v>
      </c>
      <c r="F18" s="212">
        <v>2500</v>
      </c>
    </row>
    <row r="19" spans="1:8" ht="21">
      <c r="A19" s="46">
        <v>12</v>
      </c>
      <c r="B19" s="55" t="s">
        <v>29</v>
      </c>
      <c r="C19" s="55" t="s">
        <v>32</v>
      </c>
      <c r="D19" s="276">
        <v>25349</v>
      </c>
      <c r="E19" s="483" t="s">
        <v>380</v>
      </c>
      <c r="F19" s="212">
        <v>1000</v>
      </c>
    </row>
    <row r="20" spans="1:8" ht="18" thickBot="1">
      <c r="A20" s="46"/>
      <c r="B20" s="59" t="s">
        <v>19</v>
      </c>
      <c r="C20" s="60"/>
      <c r="D20" s="63"/>
      <c r="E20" s="63"/>
      <c r="F20" s="64">
        <v>65360</v>
      </c>
      <c r="H20" s="489">
        <f>SUM(F8:F19)</f>
        <v>65360</v>
      </c>
    </row>
    <row r="21" spans="1:8" ht="18" thickTop="1">
      <c r="A21" s="65"/>
      <c r="B21" s="66" t="s">
        <v>53</v>
      </c>
      <c r="C21" s="67"/>
      <c r="D21" s="69"/>
      <c r="E21" s="70"/>
      <c r="F21" s="70"/>
    </row>
    <row r="22" spans="1:8" ht="21">
      <c r="A22" s="73">
        <v>1</v>
      </c>
      <c r="B22" s="71" t="s">
        <v>54</v>
      </c>
      <c r="C22" s="71" t="s">
        <v>55</v>
      </c>
      <c r="D22" s="259">
        <v>25341</v>
      </c>
      <c r="E22" s="483" t="s">
        <v>381</v>
      </c>
      <c r="F22" s="261">
        <v>1070</v>
      </c>
    </row>
    <row r="23" spans="1:8" ht="21">
      <c r="A23" s="73">
        <v>2</v>
      </c>
      <c r="B23" s="71" t="s">
        <v>57</v>
      </c>
      <c r="C23" s="71" t="s">
        <v>55</v>
      </c>
      <c r="D23" s="259">
        <v>25340</v>
      </c>
      <c r="E23" s="483" t="s">
        <v>382</v>
      </c>
      <c r="F23" s="261">
        <v>1070</v>
      </c>
    </row>
    <row r="24" spans="1:8" ht="21">
      <c r="A24" s="79">
        <v>3</v>
      </c>
      <c r="B24" s="80" t="s">
        <v>59</v>
      </c>
      <c r="C24" s="81" t="s">
        <v>55</v>
      </c>
      <c r="D24" s="259">
        <v>25343</v>
      </c>
      <c r="E24" s="483" t="s">
        <v>383</v>
      </c>
      <c r="F24" s="261">
        <v>1070</v>
      </c>
    </row>
    <row r="25" spans="1:8" ht="21" thickBot="1">
      <c r="A25" s="65"/>
      <c r="B25" s="59" t="s">
        <v>19</v>
      </c>
      <c r="C25" s="60"/>
      <c r="D25" s="92"/>
      <c r="E25" s="93"/>
      <c r="F25" s="94">
        <v>3210</v>
      </c>
      <c r="H25" s="489">
        <f>SUM(F22:F24)</f>
        <v>3210</v>
      </c>
    </row>
    <row r="26" spans="1:8" ht="18" thickTop="1">
      <c r="A26" s="65"/>
      <c r="B26" s="66" t="s">
        <v>70</v>
      </c>
      <c r="C26" s="104"/>
      <c r="D26" s="106"/>
      <c r="E26" s="106"/>
      <c r="F26" s="106" t="s">
        <v>22</v>
      </c>
    </row>
    <row r="27" spans="1:8" ht="21">
      <c r="A27" s="65">
        <v>3</v>
      </c>
      <c r="B27" s="71" t="s">
        <v>75</v>
      </c>
      <c r="C27" s="71" t="s">
        <v>76</v>
      </c>
      <c r="D27" s="259">
        <v>25328</v>
      </c>
      <c r="E27" s="483" t="s">
        <v>384</v>
      </c>
      <c r="F27" s="261">
        <v>400</v>
      </c>
    </row>
    <row r="28" spans="1:8" ht="21">
      <c r="A28" s="65">
        <v>4</v>
      </c>
      <c r="B28" s="71" t="s">
        <v>75</v>
      </c>
      <c r="C28" s="71" t="s">
        <v>78</v>
      </c>
      <c r="D28" s="276">
        <v>25335</v>
      </c>
      <c r="E28" s="483" t="s">
        <v>385</v>
      </c>
      <c r="F28" s="212">
        <v>400</v>
      </c>
    </row>
    <row r="29" spans="1:8" ht="21">
      <c r="A29" s="65">
        <v>5</v>
      </c>
      <c r="B29" s="71" t="s">
        <v>75</v>
      </c>
      <c r="C29" s="71" t="s">
        <v>80</v>
      </c>
      <c r="D29" s="276">
        <v>25342</v>
      </c>
      <c r="E29" s="483" t="s">
        <v>386</v>
      </c>
      <c r="F29" s="212">
        <v>400</v>
      </c>
    </row>
    <row r="30" spans="1:8" ht="21">
      <c r="A30" s="65">
        <v>6</v>
      </c>
      <c r="B30" s="71" t="s">
        <v>75</v>
      </c>
      <c r="C30" s="71" t="s">
        <v>82</v>
      </c>
      <c r="D30" s="276">
        <v>25349</v>
      </c>
      <c r="E30" s="483" t="s">
        <v>387</v>
      </c>
      <c r="F30" s="212">
        <v>400</v>
      </c>
    </row>
    <row r="31" spans="1:8" ht="18" thickBot="1">
      <c r="A31" s="65"/>
      <c r="B31" s="59" t="s">
        <v>19</v>
      </c>
      <c r="C31" s="60"/>
      <c r="D31" s="115"/>
      <c r="E31" s="92"/>
      <c r="F31" s="94">
        <v>1600</v>
      </c>
      <c r="H31" s="489">
        <f>SUM(F27:F30)</f>
        <v>1600</v>
      </c>
    </row>
    <row r="32" spans="1:8" ht="18" thickTop="1">
      <c r="A32" s="65"/>
      <c r="B32" s="66" t="s">
        <v>86</v>
      </c>
      <c r="C32" s="67"/>
      <c r="D32" s="69"/>
      <c r="E32" s="70"/>
      <c r="F32" s="70"/>
    </row>
    <row r="33" spans="1:8" ht="21">
      <c r="A33" s="73">
        <v>4</v>
      </c>
      <c r="B33" s="71" t="s">
        <v>75</v>
      </c>
      <c r="C33" s="71" t="s">
        <v>91</v>
      </c>
      <c r="D33" s="259">
        <v>25328</v>
      </c>
      <c r="E33" s="266" t="s">
        <v>388</v>
      </c>
      <c r="F33" s="261">
        <v>4633.1000000000004</v>
      </c>
    </row>
    <row r="34" spans="1:8" ht="21">
      <c r="A34" s="73">
        <v>5</v>
      </c>
      <c r="B34" s="71" t="s">
        <v>75</v>
      </c>
      <c r="C34" s="71" t="s">
        <v>93</v>
      </c>
      <c r="D34" s="276">
        <v>25335</v>
      </c>
      <c r="E34" s="266" t="s">
        <v>389</v>
      </c>
      <c r="F34" s="212">
        <v>4033.9</v>
      </c>
    </row>
    <row r="35" spans="1:8" ht="21">
      <c r="A35" s="73">
        <v>6</v>
      </c>
      <c r="B35" s="71" t="s">
        <v>75</v>
      </c>
      <c r="C35" s="71" t="s">
        <v>95</v>
      </c>
      <c r="D35" s="276">
        <v>25342</v>
      </c>
      <c r="E35" s="266" t="s">
        <v>390</v>
      </c>
      <c r="F35" s="204">
        <v>3531</v>
      </c>
    </row>
    <row r="36" spans="1:8" ht="21">
      <c r="A36" s="73">
        <v>7</v>
      </c>
      <c r="B36" s="71" t="s">
        <v>75</v>
      </c>
      <c r="C36" s="71" t="s">
        <v>97</v>
      </c>
      <c r="D36" s="276">
        <v>25349</v>
      </c>
      <c r="E36" s="266" t="s">
        <v>391</v>
      </c>
      <c r="F36" s="204">
        <v>3220.7</v>
      </c>
    </row>
    <row r="37" spans="1:8" ht="18" thickBot="1">
      <c r="A37" s="65"/>
      <c r="B37" s="97" t="s">
        <v>19</v>
      </c>
      <c r="C37" s="98"/>
      <c r="D37" s="92"/>
      <c r="E37" s="92"/>
      <c r="F37" s="94">
        <v>15418.7</v>
      </c>
      <c r="H37" s="489">
        <f>SUM(F33:F36)</f>
        <v>15418.7</v>
      </c>
    </row>
    <row r="38" spans="1:8" ht="18.600000000000001" thickTop="1" thickBot="1">
      <c r="A38" s="122"/>
      <c r="B38" s="123" t="s">
        <v>111</v>
      </c>
      <c r="C38" s="124"/>
      <c r="D38" s="128"/>
      <c r="E38" s="129"/>
      <c r="F38" s="486">
        <v>85588.7</v>
      </c>
      <c r="H38" s="490">
        <f>SUM(H20:H37)</f>
        <v>85588.7</v>
      </c>
    </row>
    <row r="39" spans="1:8" ht="18" thickTop="1">
      <c r="A39" s="1"/>
      <c r="B39" s="131"/>
      <c r="C39" s="132"/>
      <c r="D39" s="133"/>
      <c r="E39" s="134"/>
      <c r="F39" s="134"/>
    </row>
    <row r="40" spans="1:8" ht="17.399999999999999">
      <c r="A40" s="132"/>
      <c r="B40" s="131"/>
      <c r="C40" s="132"/>
      <c r="D40" s="135"/>
      <c r="E40" s="135"/>
      <c r="F40" s="135"/>
    </row>
    <row r="41" spans="1:8" ht="17.399999999999999">
      <c r="A41" s="132"/>
      <c r="B41" s="131"/>
      <c r="C41" s="132"/>
      <c r="D41" s="135"/>
      <c r="E41" s="134"/>
      <c r="F41" s="135"/>
    </row>
    <row r="42" spans="1:8" ht="17.399999999999999">
      <c r="A42" s="132"/>
      <c r="B42" s="131"/>
      <c r="C42" s="132"/>
      <c r="D42" s="135"/>
      <c r="E42" s="134"/>
      <c r="F42" s="135"/>
    </row>
    <row r="43" spans="1:8" ht="17.399999999999999">
      <c r="A43" s="132"/>
      <c r="B43" s="131"/>
      <c r="C43" s="132"/>
      <c r="D43"/>
      <c r="E43" s="134"/>
      <c r="F43" s="135"/>
    </row>
    <row r="44" spans="1:8" ht="17.399999999999999">
      <c r="A44" s="132"/>
      <c r="B44" s="131"/>
      <c r="C44" s="132"/>
      <c r="D44" s="135"/>
      <c r="E44" s="134"/>
      <c r="F44" s="135"/>
    </row>
    <row r="45" spans="1:8" ht="17.399999999999999">
      <c r="A45" s="132"/>
      <c r="B45" s="131"/>
      <c r="C45" s="132"/>
      <c r="D45" s="135"/>
      <c r="E45" s="135"/>
      <c r="F45" s="135"/>
    </row>
    <row r="46" spans="1:8" ht="17.399999999999999">
      <c r="A46" s="132"/>
      <c r="B46" s="131"/>
      <c r="C46" s="132"/>
      <c r="D46" s="135"/>
      <c r="E46" s="135"/>
      <c r="F46" s="135"/>
    </row>
    <row r="47" spans="1:8" ht="17.399999999999999">
      <c r="A47" s="132"/>
      <c r="B47" s="131"/>
      <c r="C47" s="132"/>
      <c r="D47" s="135"/>
      <c r="E47" s="135"/>
      <c r="F47" s="135"/>
    </row>
    <row r="48" spans="1:8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6"/>
      <c r="B59" s="136"/>
      <c r="C59" s="136"/>
      <c r="D59" s="139"/>
      <c r="E59" s="139"/>
      <c r="F59" s="139"/>
    </row>
    <row r="60" spans="1:6" ht="17.399999999999999">
      <c r="A60" s="132"/>
      <c r="B60" s="131"/>
      <c r="C60" s="132"/>
      <c r="D60" s="135"/>
      <c r="E60" s="135"/>
      <c r="F60" s="135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494" t="s">
        <v>115</v>
      </c>
      <c r="C89" s="493"/>
      <c r="D89" s="493"/>
      <c r="E89" s="135"/>
      <c r="F89" s="135"/>
    </row>
    <row r="90" spans="1:6" ht="17.399999999999999">
      <c r="A90" s="132"/>
      <c r="B90" s="494" t="s">
        <v>116</v>
      </c>
      <c r="C90" s="493"/>
      <c r="D90" s="135"/>
      <c r="E90" s="135"/>
      <c r="F90" s="135"/>
    </row>
    <row r="91" spans="1:6" ht="17.399999999999999">
      <c r="A91" s="132"/>
      <c r="B91" s="494" t="s">
        <v>117</v>
      </c>
      <c r="C91" s="493"/>
      <c r="D91" s="135"/>
      <c r="E91" s="135"/>
      <c r="F91" s="135"/>
    </row>
    <row r="92" spans="1:6" ht="17.399999999999999">
      <c r="A92" s="132"/>
      <c r="B92" s="131"/>
      <c r="C92" s="132"/>
      <c r="D92" s="135"/>
      <c r="E92" s="135"/>
      <c r="F92" s="135"/>
    </row>
    <row r="93" spans="1:6" ht="20.399999999999999">
      <c r="A93" s="132"/>
      <c r="B93" s="140" t="s">
        <v>118</v>
      </c>
      <c r="C93" s="136" t="s">
        <v>119</v>
      </c>
      <c r="D93" s="134"/>
      <c r="E93" s="134"/>
      <c r="F93" s="134"/>
    </row>
    <row r="94" spans="1:6" ht="17.399999999999999">
      <c r="A94" s="132"/>
      <c r="B94" s="496" t="s">
        <v>120</v>
      </c>
      <c r="C94" s="493"/>
      <c r="D94" s="493"/>
      <c r="E94" s="493"/>
      <c r="F94" s="135"/>
    </row>
    <row r="95" spans="1:6" ht="17.399999999999999">
      <c r="A95" s="132"/>
      <c r="B95" s="494" t="s">
        <v>121</v>
      </c>
      <c r="C95" s="493"/>
      <c r="D95" s="493"/>
      <c r="E95" s="493"/>
      <c r="F95" s="135"/>
    </row>
    <row r="96" spans="1:6" ht="17.399999999999999">
      <c r="A96" s="132"/>
      <c r="B96" s="494" t="s">
        <v>122</v>
      </c>
      <c r="C96" s="493"/>
      <c r="D96" s="135"/>
      <c r="E96" s="135"/>
      <c r="F96" s="135"/>
    </row>
    <row r="97" spans="1:6" ht="17.399999999999999">
      <c r="A97" s="132"/>
      <c r="B97" s="494" t="s">
        <v>123</v>
      </c>
      <c r="C97" s="493"/>
      <c r="D97" s="493"/>
      <c r="E97" s="493"/>
      <c r="F97" s="493"/>
    </row>
    <row r="98" spans="1:6" ht="17.399999999999999">
      <c r="A98" s="132"/>
      <c r="B98" s="494" t="s">
        <v>124</v>
      </c>
      <c r="C98" s="493"/>
      <c r="D98" s="135"/>
      <c r="E98" s="135"/>
      <c r="F98" s="135"/>
    </row>
    <row r="99" spans="1:6" ht="17.399999999999999">
      <c r="A99" s="132"/>
      <c r="B99" s="494" t="s">
        <v>125</v>
      </c>
      <c r="C99" s="493"/>
      <c r="D99" s="493"/>
      <c r="E99" s="135"/>
      <c r="F99" s="135"/>
    </row>
    <row r="100" spans="1:6" ht="17.399999999999999">
      <c r="A100" s="132"/>
      <c r="B100" s="494" t="s">
        <v>126</v>
      </c>
      <c r="C100" s="493"/>
      <c r="D100" s="493"/>
      <c r="E100" s="493"/>
      <c r="F100" s="493"/>
    </row>
    <row r="101" spans="1:6" ht="17.399999999999999">
      <c r="A101" s="132"/>
      <c r="B101" s="494" t="s">
        <v>127</v>
      </c>
      <c r="C101" s="493"/>
      <c r="D101" s="135"/>
      <c r="E101" s="135"/>
      <c r="F101" s="135"/>
    </row>
    <row r="102" spans="1:6" ht="17.399999999999999">
      <c r="A102" s="132"/>
      <c r="B102" s="494" t="s">
        <v>128</v>
      </c>
      <c r="C102" s="493"/>
      <c r="D102" s="135"/>
      <c r="E102" s="135"/>
      <c r="F102" s="135"/>
    </row>
    <row r="103" spans="1:6" ht="17.399999999999999">
      <c r="A103" s="132"/>
      <c r="B103" s="494" t="s">
        <v>129</v>
      </c>
      <c r="C103" s="493"/>
      <c r="D103" s="135"/>
      <c r="E103" s="135"/>
      <c r="F103" s="135"/>
    </row>
    <row r="104" spans="1:6" ht="17.399999999999999">
      <c r="A104" s="132"/>
      <c r="B104" s="136" t="s">
        <v>130</v>
      </c>
      <c r="C104" s="132"/>
      <c r="D104" s="135"/>
      <c r="E104" s="135"/>
      <c r="F104" s="135"/>
    </row>
    <row r="105" spans="1:6" ht="17.399999999999999">
      <c r="A105" s="132"/>
      <c r="B105" s="494" t="s">
        <v>131</v>
      </c>
      <c r="C105" s="493"/>
      <c r="D105" s="493"/>
      <c r="E105" s="493"/>
      <c r="F105" s="493"/>
    </row>
    <row r="106" spans="1:6" ht="17.399999999999999">
      <c r="A106" s="132"/>
      <c r="B106" s="494" t="s">
        <v>132</v>
      </c>
      <c r="C106" s="493"/>
      <c r="D106" s="135"/>
      <c r="E106" s="135"/>
      <c r="F106" s="135"/>
    </row>
    <row r="107" spans="1:6" ht="17.399999999999999">
      <c r="A107" s="132"/>
      <c r="B107" s="136"/>
      <c r="C107" s="132"/>
      <c r="D107" s="135"/>
      <c r="E107" s="135"/>
      <c r="F107" s="135"/>
    </row>
    <row r="108" spans="1:6" ht="17.399999999999999">
      <c r="A108" s="132"/>
      <c r="B108" s="136"/>
      <c r="C108" s="132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41" t="s">
        <v>133</v>
      </c>
      <c r="C126" s="28" t="s">
        <v>134</v>
      </c>
      <c r="D126" s="19"/>
      <c r="E126" s="19"/>
      <c r="F126" s="142"/>
    </row>
    <row r="127" spans="1:6" ht="17.399999999999999">
      <c r="A127" s="132"/>
      <c r="B127" s="143" t="s">
        <v>136</v>
      </c>
      <c r="C127" s="144"/>
      <c r="D127" s="147"/>
      <c r="E127" s="147"/>
      <c r="F127" s="148"/>
    </row>
    <row r="128" spans="1:6" ht="17.399999999999999">
      <c r="A128" s="132"/>
      <c r="B128" s="143" t="s">
        <v>137</v>
      </c>
      <c r="C128" s="150"/>
      <c r="D128" s="147"/>
      <c r="E128" s="147"/>
      <c r="F128" s="148"/>
    </row>
    <row r="129" spans="1:6" ht="17.399999999999999">
      <c r="A129" s="132"/>
      <c r="B129" s="143" t="s">
        <v>138</v>
      </c>
      <c r="C129" s="150"/>
      <c r="D129" s="147"/>
      <c r="E129" s="147"/>
      <c r="F129" s="148"/>
    </row>
    <row r="130" spans="1:6" ht="17.399999999999999">
      <c r="A130" s="132"/>
      <c r="B130" s="152" t="s">
        <v>139</v>
      </c>
      <c r="C130" s="153"/>
      <c r="D130" s="157"/>
      <c r="E130" s="157"/>
      <c r="F130" s="158"/>
    </row>
    <row r="131" spans="1:6" ht="17.399999999999999">
      <c r="A131" s="132"/>
      <c r="B131" s="136"/>
      <c r="C131" s="132"/>
      <c r="D131" s="135"/>
      <c r="E131" s="135"/>
      <c r="F131" s="135"/>
    </row>
    <row r="132" spans="1:6" ht="17.399999999999999">
      <c r="A132" s="132"/>
      <c r="B132" s="141" t="s">
        <v>133</v>
      </c>
      <c r="C132" s="17" t="s">
        <v>140</v>
      </c>
      <c r="D132" s="19"/>
      <c r="E132" s="19"/>
      <c r="F132" s="19"/>
    </row>
    <row r="133" spans="1:6" ht="17.399999999999999">
      <c r="A133" s="132"/>
      <c r="B133" s="141" t="s">
        <v>141</v>
      </c>
      <c r="C133" s="27"/>
      <c r="D133" s="19"/>
      <c r="E133" s="19"/>
      <c r="F133" s="19"/>
    </row>
    <row r="134" spans="1:6" ht="17.399999999999999">
      <c r="A134" s="132"/>
      <c r="B134" s="143" t="s">
        <v>142</v>
      </c>
      <c r="C134" s="144"/>
      <c r="D134" s="147"/>
      <c r="E134" s="147"/>
      <c r="F134" s="147"/>
    </row>
    <row r="135" spans="1:6" ht="17.399999999999999">
      <c r="A135" s="132"/>
      <c r="B135" s="143" t="s">
        <v>137</v>
      </c>
      <c r="C135" s="144"/>
      <c r="D135" s="147"/>
      <c r="E135" s="147"/>
      <c r="F135" s="147"/>
    </row>
    <row r="136" spans="1:6" ht="17.399999999999999">
      <c r="A136" s="132"/>
      <c r="B136" s="143" t="s">
        <v>138</v>
      </c>
      <c r="C136" s="144"/>
      <c r="D136" s="147"/>
      <c r="E136" s="147"/>
      <c r="F136" s="147"/>
    </row>
    <row r="137" spans="1:6" ht="17.399999999999999">
      <c r="A137" s="132"/>
      <c r="B137" s="143" t="s">
        <v>139</v>
      </c>
      <c r="C137" s="144"/>
      <c r="D137" s="147"/>
      <c r="E137" s="147"/>
      <c r="F137" s="147"/>
    </row>
    <row r="138" spans="1:6" ht="17.399999999999999">
      <c r="A138" s="132"/>
      <c r="B138" s="136"/>
      <c r="C138" s="132"/>
      <c r="D138" s="135"/>
      <c r="E138" s="135"/>
      <c r="F138" s="135"/>
    </row>
    <row r="139" spans="1:6" ht="17.399999999999999">
      <c r="A139" s="132"/>
      <c r="B139" s="136"/>
      <c r="C139" s="132"/>
      <c r="D139" s="135"/>
      <c r="E139" s="135"/>
      <c r="F139" s="135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4"/>
      <c r="E143" s="134"/>
      <c r="F143" s="134"/>
    </row>
    <row r="144" spans="1:6" ht="17.399999999999999">
      <c r="A144" s="8">
        <v>3</v>
      </c>
      <c r="B144" s="28" t="s">
        <v>143</v>
      </c>
      <c r="C144" s="28" t="s">
        <v>144</v>
      </c>
      <c r="D144" s="19"/>
      <c r="E144" s="19"/>
      <c r="F144" s="19"/>
    </row>
    <row r="145" spans="1:6" ht="17.399999999999999">
      <c r="A145" s="132"/>
      <c r="B145" s="136"/>
      <c r="C145" s="132"/>
      <c r="D145" s="134"/>
      <c r="E145" s="134"/>
      <c r="F145" s="134"/>
    </row>
    <row r="146" spans="1:6" ht="17.399999999999999">
      <c r="A146" s="162"/>
      <c r="B146" s="163" t="s">
        <v>147</v>
      </c>
      <c r="C146" s="28"/>
      <c r="D146" s="19"/>
      <c r="E146" s="19"/>
      <c r="F146" s="19"/>
    </row>
    <row r="147" spans="1:6" ht="17.399999999999999">
      <c r="A147" s="8">
        <v>4</v>
      </c>
      <c r="B147" s="28" t="s">
        <v>148</v>
      </c>
      <c r="C147" s="28" t="s">
        <v>149</v>
      </c>
      <c r="D147" s="166"/>
      <c r="E147" s="166"/>
      <c r="F147" s="166"/>
    </row>
    <row r="148" spans="1:6" ht="17.399999999999999">
      <c r="A148" s="132"/>
      <c r="B148" s="495" t="s">
        <v>150</v>
      </c>
      <c r="C148" s="493"/>
      <c r="D148" s="493"/>
      <c r="E148" s="493"/>
      <c r="F148" s="134"/>
    </row>
    <row r="149" spans="1:6" ht="17.399999999999999">
      <c r="A149" s="132"/>
      <c r="B149" s="492" t="s">
        <v>151</v>
      </c>
      <c r="C149" s="493"/>
      <c r="D149" s="134"/>
      <c r="E149" s="134"/>
      <c r="F149" s="134"/>
    </row>
    <row r="150" spans="1:6" ht="17.399999999999999">
      <c r="A150" s="132"/>
      <c r="B150" s="492" t="s">
        <v>152</v>
      </c>
      <c r="C150" s="493"/>
      <c r="D150" s="134"/>
      <c r="E150" s="134"/>
      <c r="F150" s="134"/>
    </row>
    <row r="151" spans="1:6" ht="17.399999999999999">
      <c r="A151" s="132"/>
      <c r="B151" s="492" t="s">
        <v>153</v>
      </c>
      <c r="C151" s="493"/>
      <c r="D151" s="134"/>
      <c r="E151" s="134"/>
      <c r="F151" s="134"/>
    </row>
    <row r="152" spans="1:6" ht="17.399999999999999">
      <c r="A152" s="132"/>
      <c r="B152" s="492" t="s">
        <v>154</v>
      </c>
      <c r="C152" s="493"/>
      <c r="D152" s="134"/>
      <c r="E152" s="134"/>
      <c r="F152" s="134"/>
    </row>
    <row r="153" spans="1:6" ht="17.399999999999999">
      <c r="A153" s="132"/>
      <c r="B153" s="136"/>
      <c r="C153" s="132"/>
      <c r="D153" s="134"/>
      <c r="E153" s="134"/>
      <c r="F153" s="134"/>
    </row>
    <row r="154" spans="1:6" ht="17.399999999999999">
      <c r="A154" s="132"/>
      <c r="B154" s="136"/>
      <c r="C154" s="132"/>
      <c r="D154" s="134"/>
      <c r="E154" s="134"/>
      <c r="F154" s="134"/>
    </row>
    <row r="155" spans="1:6" ht="17.399999999999999">
      <c r="A155" s="132"/>
      <c r="B155" s="132"/>
      <c r="C155" s="132"/>
      <c r="D155" s="134"/>
      <c r="E155" s="134"/>
      <c r="F155" s="134"/>
    </row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mergeCells count="24">
    <mergeCell ref="A1:F1"/>
    <mergeCell ref="A2:F2"/>
    <mergeCell ref="A3:F3"/>
    <mergeCell ref="D4:F4"/>
    <mergeCell ref="B101:C101"/>
    <mergeCell ref="B89:D89"/>
    <mergeCell ref="B90:C90"/>
    <mergeCell ref="B91:C91"/>
    <mergeCell ref="B94:E94"/>
    <mergeCell ref="B95:E95"/>
    <mergeCell ref="B96:C96"/>
    <mergeCell ref="B97:F97"/>
    <mergeCell ref="B98:C98"/>
    <mergeCell ref="B99:D99"/>
    <mergeCell ref="B100:F100"/>
    <mergeCell ref="B150:C150"/>
    <mergeCell ref="B151:C151"/>
    <mergeCell ref="B152:C152"/>
    <mergeCell ref="B102:C102"/>
    <mergeCell ref="B103:C103"/>
    <mergeCell ref="B105:F105"/>
    <mergeCell ref="B106:C106"/>
    <mergeCell ref="B148:E148"/>
    <mergeCell ref="B149:C149"/>
  </mergeCells>
  <pageMargins left="0.25" right="0.25" top="0.75" bottom="0.75" header="0.3" footer="0.3"/>
  <pageSetup paperSize="9" scale="45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583E-FA07-4FBC-B8BC-EC8E08539181}">
  <sheetPr>
    <tabColor rgb="FF92D050"/>
  </sheetPr>
  <dimension ref="A1:G912"/>
  <sheetViews>
    <sheetView zoomScale="80" zoomScaleNormal="80" workbookViewId="0">
      <pane ySplit="6" topLeftCell="A7" activePane="bottomLeft" state="frozen"/>
      <selection pane="bottomLeft" activeCell="E27" sqref="E27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368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487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488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68C7-E363-4463-A9E1-02813495AD23}">
  <sheetPr>
    <tabColor rgb="FF92D050"/>
  </sheetPr>
  <dimension ref="A1:G912"/>
  <sheetViews>
    <sheetView zoomScale="80" zoomScaleNormal="80" workbookViewId="0">
      <pane ySplit="6" topLeftCell="A7" activePane="bottomLeft" state="frozen"/>
      <selection pane="bottomLeft" activeCell="E18" sqref="E18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</row>
    <row r="2" spans="1:7" ht="15.75" customHeight="1">
      <c r="A2" s="497" t="s">
        <v>1</v>
      </c>
      <c r="B2" s="493"/>
      <c r="C2" s="493"/>
      <c r="D2" s="493"/>
      <c r="E2" s="493"/>
      <c r="F2" s="493"/>
    </row>
    <row r="3" spans="1:7" ht="15.75" customHeight="1">
      <c r="A3" s="498" t="s">
        <v>368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7" ht="15.75" customHeight="1">
      <c r="A5" s="3"/>
      <c r="B5" s="4"/>
      <c r="C5" s="4"/>
      <c r="D5" s="4" t="s">
        <v>10</v>
      </c>
      <c r="E5" s="4" t="s">
        <v>11</v>
      </c>
      <c r="F5" s="4"/>
    </row>
    <row r="6" spans="1:7" ht="15.75" customHeight="1">
      <c r="A6" s="8"/>
      <c r="B6" s="4" t="s">
        <v>21</v>
      </c>
      <c r="C6" s="4"/>
      <c r="D6" s="4"/>
      <c r="E6" s="4"/>
      <c r="F6" s="3" t="s">
        <v>19</v>
      </c>
    </row>
    <row r="7" spans="1:7" ht="17.399999999999999">
      <c r="A7" s="8"/>
      <c r="B7" s="17"/>
      <c r="C7" s="15"/>
      <c r="D7" s="17"/>
      <c r="E7" s="6"/>
      <c r="F7" s="16"/>
    </row>
    <row r="8" spans="1:7" ht="17.399999999999999">
      <c r="A8" s="8"/>
      <c r="B8" s="28"/>
      <c r="C8" s="28"/>
      <c r="D8" s="17"/>
      <c r="E8" s="6"/>
      <c r="F8" s="120"/>
    </row>
    <row r="9" spans="1:7" ht="17.399999999999999">
      <c r="A9" s="8"/>
      <c r="B9" s="28"/>
      <c r="C9" s="28"/>
      <c r="D9" s="17"/>
      <c r="E9" s="6"/>
      <c r="F9" s="16"/>
    </row>
    <row r="10" spans="1:7" ht="18" thickBot="1">
      <c r="A10" s="8"/>
      <c r="B10" s="22" t="s">
        <v>19</v>
      </c>
      <c r="C10" s="23"/>
      <c r="D10" s="24"/>
      <c r="E10" s="24"/>
      <c r="F10" s="487">
        <v>0</v>
      </c>
    </row>
    <row r="11" spans="1:7" ht="18.600000000000001" thickTop="1" thickBot="1">
      <c r="A11" s="122"/>
      <c r="B11" s="123" t="s">
        <v>111</v>
      </c>
      <c r="C11" s="124"/>
      <c r="D11" s="126"/>
      <c r="E11" s="126"/>
      <c r="F11" s="488">
        <v>0</v>
      </c>
    </row>
    <row r="12" spans="1:7" ht="18" thickTop="1">
      <c r="A12" s="1"/>
      <c r="B12" s="131"/>
      <c r="C12" s="132"/>
      <c r="D12" s="132"/>
      <c r="E12" s="132"/>
      <c r="F12" s="132"/>
    </row>
    <row r="13" spans="1:7" ht="17.399999999999999">
      <c r="A13" s="132"/>
      <c r="B13" s="131"/>
      <c r="C13" s="132"/>
      <c r="D13" s="132"/>
      <c r="E13" s="1"/>
    </row>
    <row r="14" spans="1:7" ht="17.399999999999999">
      <c r="A14" s="132"/>
      <c r="B14" s="131"/>
      <c r="C14" s="132"/>
      <c r="D14" s="132"/>
      <c r="E14" s="1"/>
      <c r="F14" s="131"/>
    </row>
    <row r="15" spans="1:7" ht="17.399999999999999">
      <c r="A15" s="132"/>
      <c r="B15" s="131"/>
      <c r="C15" s="132"/>
      <c r="D15" s="132"/>
      <c r="E15" s="1"/>
      <c r="F15" s="131"/>
    </row>
    <row r="16" spans="1:7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G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7663-8D11-4FC0-8966-8B0547045974}">
  <sheetPr>
    <tabColor rgb="FFFFFF00"/>
  </sheetPr>
  <dimension ref="A1:G912"/>
  <sheetViews>
    <sheetView zoomScale="80" zoomScaleNormal="80" workbookViewId="0">
      <pane ySplit="6" topLeftCell="A7" activePane="bottomLeft" state="frozen"/>
      <selection pane="bottomLeft" activeCell="F10" sqref="F10:F11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</row>
    <row r="2" spans="1:7" ht="15.75" customHeight="1">
      <c r="A2" s="497" t="s">
        <v>1</v>
      </c>
      <c r="B2" s="493"/>
      <c r="C2" s="493"/>
      <c r="D2" s="493"/>
      <c r="E2" s="493"/>
      <c r="F2" s="493"/>
    </row>
    <row r="3" spans="1:7" ht="15.75" customHeight="1">
      <c r="A3" s="498" t="s">
        <v>367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7" ht="15.75" customHeight="1">
      <c r="A5" s="3"/>
      <c r="B5" s="4"/>
      <c r="C5" s="4"/>
      <c r="D5" s="4" t="s">
        <v>10</v>
      </c>
      <c r="E5" s="4" t="s">
        <v>11</v>
      </c>
      <c r="F5" s="4"/>
    </row>
    <row r="6" spans="1:7" ht="15.75" customHeight="1">
      <c r="A6" s="8"/>
      <c r="B6" s="4" t="s">
        <v>21</v>
      </c>
      <c r="C6" s="4"/>
      <c r="D6" s="4"/>
      <c r="E6" s="4"/>
      <c r="F6" s="3" t="s">
        <v>19</v>
      </c>
    </row>
    <row r="7" spans="1:7" ht="17.399999999999999">
      <c r="A7" s="8"/>
      <c r="B7" s="17"/>
      <c r="C7" s="15"/>
      <c r="D7" s="17"/>
      <c r="E7" s="6"/>
      <c r="F7" s="16"/>
    </row>
    <row r="8" spans="1:7" ht="17.399999999999999">
      <c r="A8" s="8"/>
      <c r="B8" s="28"/>
      <c r="C8" s="28"/>
      <c r="D8" s="17"/>
      <c r="E8" s="6"/>
      <c r="F8" s="120"/>
    </row>
    <row r="9" spans="1:7" ht="17.399999999999999">
      <c r="A9" s="8"/>
      <c r="B9" s="28"/>
      <c r="C9" s="28"/>
      <c r="D9" s="17"/>
      <c r="E9" s="6"/>
      <c r="F9" s="16"/>
    </row>
    <row r="10" spans="1:7" ht="18" thickBot="1">
      <c r="A10" s="8"/>
      <c r="B10" s="22" t="s">
        <v>19</v>
      </c>
      <c r="C10" s="23"/>
      <c r="D10" s="24"/>
      <c r="E10" s="24"/>
      <c r="F10" s="487">
        <v>0</v>
      </c>
    </row>
    <row r="11" spans="1:7" ht="18.600000000000001" thickTop="1" thickBot="1">
      <c r="A11" s="122"/>
      <c r="B11" s="123" t="s">
        <v>111</v>
      </c>
      <c r="C11" s="124"/>
      <c r="D11" s="126"/>
      <c r="E11" s="126"/>
      <c r="F11" s="488">
        <v>0</v>
      </c>
    </row>
    <row r="12" spans="1:7" ht="18" thickTop="1">
      <c r="A12" s="1"/>
      <c r="B12" s="131"/>
      <c r="C12" s="132"/>
      <c r="D12" s="132"/>
      <c r="E12" s="132"/>
      <c r="F12" s="132"/>
    </row>
    <row r="13" spans="1:7" ht="17.399999999999999">
      <c r="A13" s="132"/>
      <c r="B13" s="131"/>
      <c r="C13" s="132"/>
      <c r="D13" s="132"/>
      <c r="E13" s="1"/>
    </row>
    <row r="14" spans="1:7" ht="17.399999999999999">
      <c r="A14" s="132"/>
      <c r="B14" s="131"/>
      <c r="C14" s="132"/>
      <c r="D14" s="132"/>
      <c r="E14" s="1"/>
      <c r="F14" s="131"/>
    </row>
    <row r="15" spans="1:7" ht="17.399999999999999">
      <c r="A15" s="132"/>
      <c r="B15" s="131"/>
      <c r="C15" s="132"/>
      <c r="D15" s="132"/>
      <c r="E15" s="1"/>
      <c r="F15" s="131"/>
    </row>
    <row r="16" spans="1:7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125:C125"/>
    <mergeCell ref="A3:G3"/>
    <mergeCell ref="B78:C78"/>
    <mergeCell ref="B79:C79"/>
    <mergeCell ref="B121:C121"/>
    <mergeCell ref="B122:C122"/>
    <mergeCell ref="B123:C123"/>
    <mergeCell ref="B124:C124"/>
    <mergeCell ref="B71:C71"/>
    <mergeCell ref="B72:C72"/>
    <mergeCell ref="B73:C73"/>
    <mergeCell ref="B74:C74"/>
    <mergeCell ref="B75:C75"/>
    <mergeCell ref="B76:C76"/>
    <mergeCell ref="B63:C63"/>
    <mergeCell ref="B64:C64"/>
    <mergeCell ref="B67:C67"/>
    <mergeCell ref="B68:C68"/>
    <mergeCell ref="B69:C69"/>
    <mergeCell ref="B70:C70"/>
    <mergeCell ref="A1:F1"/>
    <mergeCell ref="A2:F2"/>
    <mergeCell ref="D4:F4"/>
    <mergeCell ref="D16:E16"/>
    <mergeCell ref="B62:C62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A61B-2461-407C-A629-BE215F085B8C}">
  <sheetPr>
    <tabColor rgb="FFFFFF00"/>
  </sheetPr>
  <dimension ref="A1:G912"/>
  <sheetViews>
    <sheetView zoomScale="80" zoomScaleNormal="80" workbookViewId="0">
      <pane ySplit="6" topLeftCell="A7" activePane="bottomLeft" state="frozen"/>
      <selection pane="bottomLeft" activeCell="G10" sqref="G10:G11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367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487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488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125:C125"/>
    <mergeCell ref="B78:C78"/>
    <mergeCell ref="B79:C79"/>
    <mergeCell ref="B121:C121"/>
    <mergeCell ref="B122:C122"/>
    <mergeCell ref="B123:C123"/>
    <mergeCell ref="B124:C124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62:C62"/>
    <mergeCell ref="A1:G1"/>
    <mergeCell ref="A2:G2"/>
    <mergeCell ref="A3:G3"/>
    <mergeCell ref="E4:G4"/>
    <mergeCell ref="E16:F16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C92D-97AC-4959-9FB7-0954FA864F66}">
  <sheetPr>
    <tabColor rgb="FFFFFF00"/>
  </sheetPr>
  <dimension ref="A1:G939"/>
  <sheetViews>
    <sheetView zoomScale="80" zoomScaleNormal="80" workbookViewId="0">
      <pane ySplit="6" topLeftCell="A29" activePane="bottomLeft" state="frozen"/>
      <selection pane="bottomLeft" activeCell="J38" sqref="J38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5" max="6" width="14.5546875" style="169"/>
    <col min="7" max="7" width="15.44140625" style="169" bestFit="1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282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0" t="s">
        <v>8</v>
      </c>
      <c r="F4" s="501"/>
      <c r="G4" s="502"/>
    </row>
    <row r="5" spans="1:7" ht="15.75" customHeight="1">
      <c r="A5" s="3"/>
      <c r="B5" s="4"/>
      <c r="C5" s="4"/>
      <c r="D5" s="5"/>
      <c r="E5" s="7" t="s">
        <v>14</v>
      </c>
      <c r="F5" s="7" t="s">
        <v>15</v>
      </c>
      <c r="G5" s="7" t="s">
        <v>16</v>
      </c>
    </row>
    <row r="6" spans="1:7" ht="15.75" customHeight="1">
      <c r="A6" s="8"/>
      <c r="B6" s="4"/>
      <c r="C6" s="4"/>
      <c r="D6" s="5"/>
      <c r="E6" s="11"/>
      <c r="F6" s="12"/>
      <c r="G6" s="12"/>
    </row>
    <row r="7" spans="1:7" ht="22.5" customHeight="1">
      <c r="A7" s="13"/>
      <c r="B7" s="39" t="s">
        <v>28</v>
      </c>
      <c r="C7" s="40"/>
      <c r="D7" s="41"/>
      <c r="E7" s="42"/>
      <c r="F7" s="43"/>
      <c r="G7" s="43"/>
    </row>
    <row r="8" spans="1:7" ht="20.25" customHeight="1">
      <c r="A8" s="46">
        <v>1</v>
      </c>
      <c r="B8" s="47" t="s">
        <v>29</v>
      </c>
      <c r="C8" s="47" t="s">
        <v>30</v>
      </c>
      <c r="D8" s="258">
        <v>12840</v>
      </c>
      <c r="E8" s="259">
        <v>25300</v>
      </c>
      <c r="F8" s="483" t="s">
        <v>312</v>
      </c>
      <c r="G8" s="261">
        <v>12840</v>
      </c>
    </row>
    <row r="9" spans="1:7" ht="22.5" customHeight="1">
      <c r="A9" s="46">
        <v>2</v>
      </c>
      <c r="B9" s="173" t="s">
        <v>29</v>
      </c>
      <c r="C9" s="173" t="s">
        <v>34</v>
      </c>
      <c r="D9" s="284">
        <v>2500</v>
      </c>
      <c r="E9" s="259">
        <v>25300</v>
      </c>
      <c r="F9" s="483" t="s">
        <v>313</v>
      </c>
      <c r="G9" s="261">
        <v>2500</v>
      </c>
    </row>
    <row r="10" spans="1:7" ht="21">
      <c r="A10" s="46">
        <v>3</v>
      </c>
      <c r="B10" s="47" t="s">
        <v>29</v>
      </c>
      <c r="C10" s="47" t="s">
        <v>32</v>
      </c>
      <c r="D10" s="484">
        <v>1000</v>
      </c>
      <c r="E10" s="259">
        <v>25300</v>
      </c>
      <c r="F10" s="483" t="s">
        <v>314</v>
      </c>
      <c r="G10" s="261">
        <v>1000</v>
      </c>
    </row>
    <row r="11" spans="1:7" ht="21">
      <c r="A11" s="46">
        <v>4</v>
      </c>
      <c r="B11" s="47" t="s">
        <v>29</v>
      </c>
      <c r="C11" s="47" t="s">
        <v>30</v>
      </c>
      <c r="D11" s="485">
        <v>9630</v>
      </c>
      <c r="E11" s="276">
        <v>25306</v>
      </c>
      <c r="F11" s="483" t="s">
        <v>315</v>
      </c>
      <c r="G11" s="212">
        <v>9630</v>
      </c>
    </row>
    <row r="12" spans="1:7" ht="21">
      <c r="A12" s="46">
        <v>5</v>
      </c>
      <c r="B12" s="47" t="s">
        <v>29</v>
      </c>
      <c r="C12" s="47" t="s">
        <v>34</v>
      </c>
      <c r="D12" s="485">
        <v>2000</v>
      </c>
      <c r="E12" s="276">
        <v>25306</v>
      </c>
      <c r="F12" s="483" t="s">
        <v>316</v>
      </c>
      <c r="G12" s="212">
        <v>2000</v>
      </c>
    </row>
    <row r="13" spans="1:7" ht="21">
      <c r="A13" s="46">
        <v>6</v>
      </c>
      <c r="B13" s="47" t="s">
        <v>29</v>
      </c>
      <c r="C13" s="47" t="s">
        <v>32</v>
      </c>
      <c r="D13" s="485">
        <v>1000</v>
      </c>
      <c r="E13" s="276">
        <v>25306</v>
      </c>
      <c r="F13" s="483" t="s">
        <v>317</v>
      </c>
      <c r="G13" s="212">
        <v>1000</v>
      </c>
    </row>
    <row r="14" spans="1:7" ht="21">
      <c r="A14" s="46">
        <v>7</v>
      </c>
      <c r="B14" s="47" t="s">
        <v>29</v>
      </c>
      <c r="C14" s="47" t="s">
        <v>30</v>
      </c>
      <c r="D14" s="485">
        <v>19260</v>
      </c>
      <c r="E14" s="276">
        <v>25314</v>
      </c>
      <c r="F14" s="483" t="s">
        <v>318</v>
      </c>
      <c r="G14" s="212">
        <v>19260</v>
      </c>
    </row>
    <row r="15" spans="1:7" ht="21">
      <c r="A15" s="46">
        <v>8</v>
      </c>
      <c r="B15" s="47" t="s">
        <v>29</v>
      </c>
      <c r="C15" s="47" t="s">
        <v>34</v>
      </c>
      <c r="D15" s="485">
        <v>3900</v>
      </c>
      <c r="E15" s="276">
        <v>25314</v>
      </c>
      <c r="F15" s="483" t="s">
        <v>319</v>
      </c>
      <c r="G15" s="212">
        <v>3900</v>
      </c>
    </row>
    <row r="16" spans="1:7" ht="21">
      <c r="A16" s="46">
        <v>9</v>
      </c>
      <c r="B16" s="47" t="s">
        <v>29</v>
      </c>
      <c r="C16" s="47" t="s">
        <v>32</v>
      </c>
      <c r="D16" s="485">
        <v>1000</v>
      </c>
      <c r="E16" s="276">
        <v>25314</v>
      </c>
      <c r="F16" s="483" t="s">
        <v>320</v>
      </c>
      <c r="G16" s="212">
        <v>1000</v>
      </c>
    </row>
    <row r="17" spans="1:7" ht="21">
      <c r="A17" s="46">
        <v>10</v>
      </c>
      <c r="B17" s="47" t="s">
        <v>29</v>
      </c>
      <c r="C17" s="47" t="s">
        <v>30</v>
      </c>
      <c r="D17" s="485">
        <v>12840</v>
      </c>
      <c r="E17" s="276">
        <v>25321</v>
      </c>
      <c r="F17" s="483" t="s">
        <v>321</v>
      </c>
      <c r="G17" s="212">
        <v>12840</v>
      </c>
    </row>
    <row r="18" spans="1:7" ht="21">
      <c r="A18" s="46">
        <v>11</v>
      </c>
      <c r="B18" s="47" t="s">
        <v>29</v>
      </c>
      <c r="C18" s="47" t="s">
        <v>34</v>
      </c>
      <c r="D18" s="485">
        <v>2500</v>
      </c>
      <c r="E18" s="276">
        <v>25321</v>
      </c>
      <c r="F18" s="483" t="s">
        <v>322</v>
      </c>
      <c r="G18" s="212">
        <v>2500</v>
      </c>
    </row>
    <row r="19" spans="1:7" ht="21">
      <c r="A19" s="46">
        <v>12</v>
      </c>
      <c r="B19" s="55" t="s">
        <v>29</v>
      </c>
      <c r="C19" s="55" t="s">
        <v>32</v>
      </c>
      <c r="D19" s="197">
        <v>1000</v>
      </c>
      <c r="E19" s="276">
        <v>25321</v>
      </c>
      <c r="F19" s="483" t="s">
        <v>323</v>
      </c>
      <c r="G19" s="212">
        <v>1000</v>
      </c>
    </row>
    <row r="20" spans="1:7" ht="18" thickBot="1">
      <c r="A20" s="46"/>
      <c r="B20" s="59" t="s">
        <v>19</v>
      </c>
      <c r="C20" s="60"/>
      <c r="D20" s="61">
        <f>SUM(D8:D19)</f>
        <v>69470</v>
      </c>
      <c r="E20" s="63"/>
      <c r="F20" s="63"/>
      <c r="G20" s="64">
        <f>SUM(G8:G19)</f>
        <v>69470</v>
      </c>
    </row>
    <row r="21" spans="1:7" ht="18" thickTop="1">
      <c r="A21" s="65"/>
      <c r="B21" s="66" t="s">
        <v>53</v>
      </c>
      <c r="C21" s="67"/>
      <c r="D21" s="68"/>
      <c r="E21" s="69"/>
      <c r="F21" s="70"/>
      <c r="G21" s="70"/>
    </row>
    <row r="22" spans="1:7" ht="21">
      <c r="A22" s="73">
        <v>1</v>
      </c>
      <c r="B22" s="71" t="s">
        <v>54</v>
      </c>
      <c r="C22" s="71" t="s">
        <v>55</v>
      </c>
      <c r="D22" s="74">
        <v>1070</v>
      </c>
      <c r="E22" s="259">
        <v>25310</v>
      </c>
      <c r="F22" s="483" t="s">
        <v>324</v>
      </c>
      <c r="G22" s="261">
        <v>1070</v>
      </c>
    </row>
    <row r="23" spans="1:7" ht="21">
      <c r="A23" s="73">
        <v>2</v>
      </c>
      <c r="B23" s="71" t="s">
        <v>57</v>
      </c>
      <c r="C23" s="71" t="s">
        <v>55</v>
      </c>
      <c r="D23" s="74">
        <v>1070</v>
      </c>
      <c r="E23" s="259">
        <v>25313</v>
      </c>
      <c r="F23" s="483" t="s">
        <v>325</v>
      </c>
      <c r="G23" s="261">
        <v>1070</v>
      </c>
    </row>
    <row r="24" spans="1:7" ht="21">
      <c r="A24" s="79">
        <v>3</v>
      </c>
      <c r="B24" s="80" t="s">
        <v>59</v>
      </c>
      <c r="C24" s="81" t="s">
        <v>55</v>
      </c>
      <c r="D24" s="74">
        <v>1070</v>
      </c>
      <c r="E24" s="259">
        <v>25313</v>
      </c>
      <c r="F24" s="483" t="s">
        <v>326</v>
      </c>
      <c r="G24" s="261">
        <v>1070</v>
      </c>
    </row>
    <row r="25" spans="1:7" ht="21" thickBot="1">
      <c r="A25" s="65"/>
      <c r="B25" s="59" t="s">
        <v>19</v>
      </c>
      <c r="C25" s="60"/>
      <c r="D25" s="90">
        <v>3210</v>
      </c>
      <c r="E25" s="92"/>
      <c r="F25" s="93"/>
      <c r="G25" s="94">
        <f>SUM(G22:G24)</f>
        <v>3210</v>
      </c>
    </row>
    <row r="26" spans="1:7" ht="18" thickTop="1">
      <c r="A26" s="65"/>
      <c r="B26" s="66" t="s">
        <v>70</v>
      </c>
      <c r="C26" s="104"/>
      <c r="D26" s="68"/>
      <c r="E26" s="106"/>
      <c r="F26" s="106"/>
      <c r="G26" s="106"/>
    </row>
    <row r="27" spans="1:7" ht="21">
      <c r="A27" s="65">
        <v>3</v>
      </c>
      <c r="B27" s="71" t="s">
        <v>75</v>
      </c>
      <c r="C27" s="71" t="s">
        <v>76</v>
      </c>
      <c r="D27" s="258">
        <v>400</v>
      </c>
      <c r="E27" s="259">
        <v>25300</v>
      </c>
      <c r="F27" s="483" t="s">
        <v>327</v>
      </c>
      <c r="G27" s="261">
        <v>400</v>
      </c>
    </row>
    <row r="28" spans="1:7" ht="21">
      <c r="A28" s="65">
        <v>4</v>
      </c>
      <c r="B28" s="71" t="s">
        <v>75</v>
      </c>
      <c r="C28" s="71" t="s">
        <v>78</v>
      </c>
      <c r="D28" s="275">
        <v>300</v>
      </c>
      <c r="E28" s="276">
        <v>25306</v>
      </c>
      <c r="F28" s="483" t="s">
        <v>328</v>
      </c>
      <c r="G28" s="212">
        <v>300</v>
      </c>
    </row>
    <row r="29" spans="1:7" ht="21">
      <c r="A29" s="65">
        <v>5</v>
      </c>
      <c r="B29" s="71" t="s">
        <v>75</v>
      </c>
      <c r="C29" s="71" t="s">
        <v>80</v>
      </c>
      <c r="D29" s="275">
        <v>600</v>
      </c>
      <c r="E29" s="276">
        <v>25314</v>
      </c>
      <c r="F29" s="483" t="s">
        <v>329</v>
      </c>
      <c r="G29" s="212">
        <v>600</v>
      </c>
    </row>
    <row r="30" spans="1:7" ht="21">
      <c r="A30" s="65">
        <v>6</v>
      </c>
      <c r="B30" s="71" t="s">
        <v>75</v>
      </c>
      <c r="C30" s="71" t="s">
        <v>82</v>
      </c>
      <c r="D30" s="275">
        <v>400</v>
      </c>
      <c r="E30" s="276">
        <v>25321</v>
      </c>
      <c r="F30" s="483" t="s">
        <v>330</v>
      </c>
      <c r="G30" s="212">
        <v>400</v>
      </c>
    </row>
    <row r="31" spans="1:7" ht="18" thickBot="1">
      <c r="A31" s="65"/>
      <c r="B31" s="59" t="s">
        <v>19</v>
      </c>
      <c r="C31" s="60"/>
      <c r="D31" s="61">
        <f>SUM(D27:D30)</f>
        <v>1700</v>
      </c>
      <c r="E31" s="115"/>
      <c r="F31" s="92"/>
      <c r="G31" s="94">
        <f>SUM(G27:G30)</f>
        <v>1700</v>
      </c>
    </row>
    <row r="32" spans="1:7" ht="18" thickTop="1">
      <c r="A32" s="65"/>
      <c r="B32" s="66" t="s">
        <v>86</v>
      </c>
      <c r="C32" s="67"/>
      <c r="D32" s="68"/>
      <c r="E32" s="69"/>
      <c r="F32" s="70"/>
      <c r="G32" s="70"/>
    </row>
    <row r="33" spans="1:7" ht="21">
      <c r="A33" s="73">
        <v>4</v>
      </c>
      <c r="B33" s="71" t="s">
        <v>75</v>
      </c>
      <c r="C33" s="71" t="s">
        <v>91</v>
      </c>
      <c r="D33" s="261">
        <v>3616.6</v>
      </c>
      <c r="E33" s="259">
        <v>25300</v>
      </c>
      <c r="F33" s="483" t="s">
        <v>331</v>
      </c>
      <c r="G33" s="261">
        <v>3616.6</v>
      </c>
    </row>
    <row r="34" spans="1:7" ht="21">
      <c r="A34" s="73">
        <v>5</v>
      </c>
      <c r="B34" s="71" t="s">
        <v>75</v>
      </c>
      <c r="C34" s="71" t="s">
        <v>93</v>
      </c>
      <c r="D34" s="212">
        <v>2578.6999999999998</v>
      </c>
      <c r="E34" s="276">
        <v>25306</v>
      </c>
      <c r="F34" s="483" t="s">
        <v>332</v>
      </c>
      <c r="G34" s="212">
        <v>2578.6999999999998</v>
      </c>
    </row>
    <row r="35" spans="1:7" ht="21">
      <c r="A35" s="73">
        <v>6</v>
      </c>
      <c r="B35" s="71" t="s">
        <v>75</v>
      </c>
      <c r="C35" s="71" t="s">
        <v>95</v>
      </c>
      <c r="D35" s="212">
        <v>6505.6</v>
      </c>
      <c r="E35" s="276">
        <v>25314</v>
      </c>
      <c r="F35" s="483" t="s">
        <v>333</v>
      </c>
      <c r="G35" s="204">
        <v>6505.6</v>
      </c>
    </row>
    <row r="36" spans="1:7" ht="21">
      <c r="A36" s="73">
        <v>7</v>
      </c>
      <c r="B36" s="71" t="s">
        <v>75</v>
      </c>
      <c r="C36" s="71" t="s">
        <v>97</v>
      </c>
      <c r="D36" s="204">
        <v>3894.8</v>
      </c>
      <c r="E36" s="276">
        <v>25321</v>
      </c>
      <c r="F36" s="483" t="s">
        <v>334</v>
      </c>
      <c r="G36" s="204">
        <v>3894.8</v>
      </c>
    </row>
    <row r="37" spans="1:7" ht="18" thickBot="1">
      <c r="A37" s="65"/>
      <c r="B37" s="97" t="s">
        <v>19</v>
      </c>
      <c r="C37" s="98"/>
      <c r="D37" s="90">
        <f>SUM(D33:D36)</f>
        <v>16595.7</v>
      </c>
      <c r="E37" s="92"/>
      <c r="F37" s="92"/>
      <c r="G37" s="94">
        <f>SUM(G33:G36)</f>
        <v>16595.7</v>
      </c>
    </row>
    <row r="38" spans="1:7" ht="18.600000000000001" thickTop="1" thickBot="1">
      <c r="A38" s="122"/>
      <c r="B38" s="123" t="s">
        <v>111</v>
      </c>
      <c r="C38" s="124"/>
      <c r="D38" s="125">
        <f>SUM(D20+D25+D31+D37)</f>
        <v>90975.7</v>
      </c>
      <c r="E38" s="128"/>
      <c r="F38" s="129"/>
      <c r="G38" s="486">
        <f>G20+G25+G31+G37</f>
        <v>90975.7</v>
      </c>
    </row>
    <row r="39" spans="1:7" ht="18" thickTop="1">
      <c r="A39" s="1"/>
      <c r="B39" s="131"/>
      <c r="C39" s="132"/>
      <c r="D39" s="132"/>
      <c r="E39" s="133"/>
      <c r="F39" s="134"/>
      <c r="G39" s="135"/>
    </row>
    <row r="40" spans="1:7" ht="17.399999999999999">
      <c r="A40" s="132"/>
      <c r="B40" s="131"/>
      <c r="C40" s="132"/>
      <c r="D40" s="131"/>
      <c r="E40" s="135"/>
      <c r="F40" s="135"/>
      <c r="G40" s="135"/>
    </row>
    <row r="41" spans="1:7" ht="17.399999999999999">
      <c r="A41" s="132"/>
      <c r="B41" s="131"/>
      <c r="C41" s="132"/>
      <c r="D41" s="131"/>
      <c r="E41" s="135"/>
      <c r="F41" s="134"/>
      <c r="G41" s="135"/>
    </row>
    <row r="42" spans="1:7" ht="17.399999999999999">
      <c r="A42" s="132"/>
      <c r="B42" s="131"/>
      <c r="C42" s="132"/>
      <c r="D42" s="131"/>
      <c r="E42" s="135"/>
      <c r="F42" s="134"/>
      <c r="G42" s="135"/>
    </row>
    <row r="43" spans="1:7" ht="17.399999999999999">
      <c r="A43" s="132"/>
      <c r="B43" s="131"/>
      <c r="C43" s="132"/>
      <c r="D43" s="131"/>
      <c r="E43"/>
      <c r="F43" s="134"/>
      <c r="G43" s="135"/>
    </row>
    <row r="44" spans="1:7" ht="17.399999999999999">
      <c r="A44" s="132"/>
      <c r="B44" s="131"/>
      <c r="C44" s="132"/>
      <c r="D44" s="131"/>
      <c r="E44" s="135"/>
      <c r="F44" s="134"/>
      <c r="G44" s="135"/>
    </row>
    <row r="45" spans="1:7" ht="17.399999999999999">
      <c r="A45" s="132"/>
      <c r="B45" s="131"/>
      <c r="C45" s="132"/>
      <c r="D45" s="131"/>
      <c r="E45" s="135"/>
      <c r="F45" s="135"/>
      <c r="G45" s="135"/>
    </row>
    <row r="46" spans="1:7" ht="17.399999999999999">
      <c r="A46" s="132"/>
      <c r="B46" s="131"/>
      <c r="C46" s="132"/>
      <c r="D46" s="131"/>
      <c r="E46" s="135"/>
      <c r="F46" s="135"/>
      <c r="G46" s="135"/>
    </row>
    <row r="47" spans="1:7" ht="17.399999999999999">
      <c r="A47" s="132"/>
      <c r="B47" s="131"/>
      <c r="C47" s="132"/>
      <c r="D47" s="131"/>
      <c r="E47" s="135"/>
      <c r="F47" s="135"/>
      <c r="G47" s="135"/>
    </row>
    <row r="48" spans="1:7" ht="17.399999999999999">
      <c r="A48" s="132"/>
      <c r="B48" s="131"/>
      <c r="C48" s="132"/>
      <c r="D48" s="131"/>
      <c r="E48" s="135"/>
      <c r="F48" s="135"/>
      <c r="G48" s="135"/>
    </row>
    <row r="49" spans="1:7" ht="17.399999999999999">
      <c r="A49" s="132"/>
      <c r="B49" s="131"/>
      <c r="C49" s="132"/>
      <c r="D49" s="131"/>
      <c r="E49" s="135"/>
      <c r="F49" s="135"/>
      <c r="G49" s="135"/>
    </row>
    <row r="50" spans="1:7" ht="17.399999999999999">
      <c r="A50" s="132"/>
      <c r="B50" s="131"/>
      <c r="C50" s="132"/>
      <c r="D50" s="131"/>
      <c r="E50" s="135"/>
      <c r="F50" s="135"/>
      <c r="G50" s="135"/>
    </row>
    <row r="51" spans="1:7" ht="17.399999999999999">
      <c r="A51" s="132"/>
      <c r="B51" s="131"/>
      <c r="C51" s="132"/>
      <c r="D51" s="131"/>
      <c r="E51" s="135"/>
      <c r="F51" s="135"/>
      <c r="G51" s="135"/>
    </row>
    <row r="52" spans="1:7" ht="17.399999999999999">
      <c r="A52" s="132"/>
      <c r="B52" s="131"/>
      <c r="C52" s="132"/>
      <c r="D52" s="131"/>
      <c r="E52" s="135"/>
      <c r="F52" s="135"/>
      <c r="G52" s="135"/>
    </row>
    <row r="53" spans="1:7" ht="17.399999999999999">
      <c r="A53" s="132"/>
      <c r="B53" s="131"/>
      <c r="C53" s="132"/>
      <c r="D53" s="131"/>
      <c r="E53" s="135"/>
      <c r="F53" s="135"/>
      <c r="G53" s="135"/>
    </row>
    <row r="54" spans="1:7" ht="17.399999999999999">
      <c r="A54" s="132"/>
      <c r="B54" s="131"/>
      <c r="C54" s="132"/>
      <c r="D54" s="131"/>
      <c r="E54" s="135"/>
      <c r="F54" s="135"/>
      <c r="G54" s="135"/>
    </row>
    <row r="55" spans="1:7" ht="17.399999999999999">
      <c r="A55" s="132"/>
      <c r="B55" s="131"/>
      <c r="C55" s="132"/>
      <c r="D55" s="131"/>
      <c r="E55" s="135"/>
      <c r="F55" s="135"/>
      <c r="G55" s="135"/>
    </row>
    <row r="56" spans="1:7" ht="17.399999999999999">
      <c r="A56" s="132"/>
      <c r="B56" s="131"/>
      <c r="C56" s="132"/>
      <c r="D56" s="131"/>
      <c r="E56" s="135"/>
      <c r="F56" s="135"/>
      <c r="G56" s="135"/>
    </row>
    <row r="57" spans="1:7" ht="17.399999999999999">
      <c r="A57" s="132"/>
      <c r="B57" s="131"/>
      <c r="C57" s="132"/>
      <c r="D57" s="131"/>
      <c r="E57" s="135"/>
      <c r="F57" s="135"/>
      <c r="G57" s="135"/>
    </row>
    <row r="58" spans="1:7" ht="17.399999999999999">
      <c r="A58" s="132"/>
      <c r="B58" s="131"/>
      <c r="C58" s="132"/>
      <c r="D58" s="131"/>
      <c r="E58" s="135"/>
      <c r="F58" s="135"/>
      <c r="G58" s="135"/>
    </row>
    <row r="59" spans="1:7" ht="17.399999999999999">
      <c r="A59" s="136"/>
      <c r="B59" s="136"/>
      <c r="C59" s="136"/>
      <c r="D59" s="136"/>
      <c r="E59" s="139"/>
      <c r="F59" s="139"/>
      <c r="G59" s="139"/>
    </row>
    <row r="60" spans="1:7" ht="17.399999999999999">
      <c r="A60" s="132"/>
      <c r="B60" s="131"/>
      <c r="C60" s="132"/>
      <c r="D60" s="131"/>
      <c r="E60" s="135"/>
      <c r="F60" s="135"/>
      <c r="G60" s="135"/>
    </row>
    <row r="61" spans="1:7" ht="17.399999999999999">
      <c r="A61" s="132"/>
      <c r="B61" s="131"/>
      <c r="C61" s="132"/>
      <c r="D61" s="131"/>
      <c r="E61" s="135"/>
      <c r="F61" s="135"/>
      <c r="G61" s="135"/>
    </row>
    <row r="62" spans="1:7" ht="17.399999999999999">
      <c r="A62" s="132"/>
      <c r="B62" s="131"/>
      <c r="C62" s="132"/>
      <c r="D62" s="131"/>
      <c r="E62" s="135"/>
      <c r="F62" s="135"/>
      <c r="G62" s="135"/>
    </row>
    <row r="63" spans="1:7" ht="17.399999999999999">
      <c r="A63" s="132"/>
      <c r="B63" s="131"/>
      <c r="C63" s="132"/>
      <c r="D63" s="131"/>
      <c r="E63" s="135"/>
      <c r="F63" s="135"/>
      <c r="G63" s="135"/>
    </row>
    <row r="64" spans="1:7" ht="17.399999999999999">
      <c r="A64" s="132"/>
      <c r="B64" s="131"/>
      <c r="C64" s="132"/>
      <c r="D64" s="131"/>
      <c r="E64" s="135"/>
      <c r="F64" s="135"/>
      <c r="G64" s="135"/>
    </row>
    <row r="65" spans="1:7" ht="17.399999999999999">
      <c r="A65" s="132"/>
      <c r="B65" s="131"/>
      <c r="C65" s="132"/>
      <c r="D65" s="131"/>
      <c r="E65" s="135"/>
      <c r="F65" s="135"/>
      <c r="G65" s="135"/>
    </row>
    <row r="66" spans="1:7" ht="17.399999999999999">
      <c r="A66" s="132"/>
      <c r="B66" s="131"/>
      <c r="C66" s="132"/>
      <c r="D66" s="131"/>
      <c r="E66" s="135"/>
      <c r="F66" s="135"/>
      <c r="G66" s="135"/>
    </row>
    <row r="67" spans="1:7" ht="17.399999999999999">
      <c r="A67" s="132"/>
      <c r="B67" s="131"/>
      <c r="C67" s="132"/>
      <c r="D67" s="131"/>
      <c r="E67" s="135"/>
      <c r="F67" s="135"/>
      <c r="G67" s="135"/>
    </row>
    <row r="68" spans="1:7" ht="17.399999999999999">
      <c r="A68" s="132"/>
      <c r="B68" s="131"/>
      <c r="C68" s="132"/>
      <c r="D68" s="131"/>
      <c r="E68" s="135"/>
      <c r="F68" s="135"/>
      <c r="G68" s="135"/>
    </row>
    <row r="69" spans="1:7" ht="17.399999999999999">
      <c r="A69" s="132"/>
      <c r="B69" s="131"/>
      <c r="C69" s="132"/>
      <c r="D69" s="131"/>
      <c r="E69" s="135"/>
      <c r="F69" s="135"/>
      <c r="G69" s="135"/>
    </row>
    <row r="70" spans="1:7" ht="17.399999999999999">
      <c r="A70" s="132"/>
      <c r="B70" s="131"/>
      <c r="C70" s="132"/>
      <c r="D70" s="131"/>
      <c r="E70" s="135"/>
      <c r="F70" s="135"/>
      <c r="G70" s="135"/>
    </row>
    <row r="71" spans="1:7" ht="17.399999999999999">
      <c r="A71" s="132"/>
      <c r="B71" s="131"/>
      <c r="C71" s="132"/>
      <c r="D71" s="131"/>
      <c r="E71" s="135"/>
      <c r="F71" s="135"/>
      <c r="G71" s="135"/>
    </row>
    <row r="72" spans="1:7" ht="17.399999999999999">
      <c r="A72" s="132"/>
      <c r="B72" s="131"/>
      <c r="C72" s="132"/>
      <c r="D72" s="131"/>
      <c r="E72" s="135"/>
      <c r="F72" s="135"/>
      <c r="G72" s="135"/>
    </row>
    <row r="73" spans="1:7" ht="17.399999999999999">
      <c r="A73" s="132"/>
      <c r="B73" s="131"/>
      <c r="C73" s="132"/>
      <c r="D73" s="131"/>
      <c r="E73" s="135"/>
      <c r="F73" s="135"/>
      <c r="G73" s="135"/>
    </row>
    <row r="74" spans="1:7" ht="17.399999999999999">
      <c r="A74" s="132"/>
      <c r="B74" s="131"/>
      <c r="C74" s="132"/>
      <c r="D74" s="131"/>
      <c r="E74" s="135"/>
      <c r="F74" s="135"/>
      <c r="G74" s="135"/>
    </row>
    <row r="75" spans="1:7" ht="17.399999999999999">
      <c r="A75" s="132"/>
      <c r="B75" s="131"/>
      <c r="C75" s="132"/>
      <c r="D75" s="131"/>
      <c r="E75" s="135"/>
      <c r="F75" s="135"/>
      <c r="G75" s="135"/>
    </row>
    <row r="76" spans="1:7" ht="17.399999999999999">
      <c r="A76" s="132"/>
      <c r="B76" s="131"/>
      <c r="C76" s="132"/>
      <c r="D76" s="131"/>
      <c r="E76" s="135"/>
      <c r="F76" s="135"/>
      <c r="G76" s="135"/>
    </row>
    <row r="77" spans="1:7" ht="17.399999999999999">
      <c r="A77" s="132"/>
      <c r="B77" s="131"/>
      <c r="C77" s="132"/>
      <c r="D77" s="131"/>
      <c r="E77" s="135"/>
      <c r="F77" s="135"/>
      <c r="G77" s="135"/>
    </row>
    <row r="78" spans="1:7" ht="17.399999999999999">
      <c r="A78" s="132"/>
      <c r="B78" s="131"/>
      <c r="C78" s="132"/>
      <c r="D78" s="131"/>
      <c r="E78" s="135"/>
      <c r="F78" s="135"/>
      <c r="G78" s="135"/>
    </row>
    <row r="79" spans="1:7" ht="17.399999999999999">
      <c r="A79" s="132"/>
      <c r="B79" s="131"/>
      <c r="C79" s="132"/>
      <c r="D79" s="131"/>
      <c r="E79" s="135"/>
      <c r="F79" s="135"/>
      <c r="G79" s="135"/>
    </row>
    <row r="80" spans="1:7" ht="17.399999999999999">
      <c r="A80" s="132"/>
      <c r="B80" s="131"/>
      <c r="C80" s="132"/>
      <c r="D80" s="131"/>
      <c r="E80" s="135"/>
      <c r="F80" s="135"/>
      <c r="G80" s="135"/>
    </row>
    <row r="81" spans="1:7" ht="17.399999999999999">
      <c r="A81" s="132"/>
      <c r="B81" s="131"/>
      <c r="C81" s="132"/>
      <c r="D81" s="131"/>
      <c r="E81" s="135"/>
      <c r="F81" s="135"/>
      <c r="G81" s="135"/>
    </row>
    <row r="82" spans="1:7" ht="17.399999999999999">
      <c r="A82" s="132"/>
      <c r="B82" s="131"/>
      <c r="C82" s="132"/>
      <c r="D82" s="131"/>
      <c r="E82" s="135"/>
      <c r="F82" s="135"/>
      <c r="G82" s="135"/>
    </row>
    <row r="83" spans="1:7" ht="17.399999999999999">
      <c r="A83" s="132"/>
      <c r="B83" s="131"/>
      <c r="C83" s="132"/>
      <c r="D83" s="131"/>
      <c r="E83" s="135"/>
      <c r="F83" s="135"/>
      <c r="G83" s="135"/>
    </row>
    <row r="84" spans="1:7" ht="17.399999999999999">
      <c r="A84" s="132"/>
      <c r="B84" s="131"/>
      <c r="C84" s="132"/>
      <c r="D84" s="131"/>
      <c r="E84" s="135"/>
      <c r="F84" s="135"/>
      <c r="G84" s="135"/>
    </row>
    <row r="85" spans="1:7" ht="17.399999999999999">
      <c r="A85" s="132"/>
      <c r="B85" s="131"/>
      <c r="C85" s="132"/>
      <c r="D85" s="131"/>
      <c r="E85" s="135"/>
      <c r="F85" s="135"/>
      <c r="G85" s="135"/>
    </row>
    <row r="86" spans="1:7" ht="17.399999999999999">
      <c r="A86" s="132"/>
      <c r="B86" s="131"/>
      <c r="C86" s="132"/>
      <c r="D86" s="131"/>
      <c r="E86" s="135"/>
      <c r="F86" s="135"/>
      <c r="G86" s="135"/>
    </row>
    <row r="87" spans="1:7" ht="17.399999999999999">
      <c r="A87" s="132"/>
      <c r="B87" s="131"/>
      <c r="C87" s="132"/>
      <c r="D87" s="131"/>
      <c r="E87" s="135"/>
      <c r="F87" s="135"/>
      <c r="G87" s="135"/>
    </row>
    <row r="88" spans="1:7" ht="17.399999999999999">
      <c r="A88" s="132"/>
      <c r="B88" s="131"/>
      <c r="C88" s="132"/>
      <c r="D88" s="131"/>
      <c r="E88" s="135"/>
      <c r="F88" s="135"/>
      <c r="G88" s="135"/>
    </row>
    <row r="89" spans="1:7" ht="17.399999999999999">
      <c r="A89" s="132"/>
      <c r="B89" s="494" t="s">
        <v>115</v>
      </c>
      <c r="C89" s="493"/>
      <c r="D89" s="493"/>
      <c r="E89" s="493"/>
      <c r="F89" s="135"/>
      <c r="G89" s="135"/>
    </row>
    <row r="90" spans="1:7" ht="17.399999999999999">
      <c r="A90" s="132"/>
      <c r="B90" s="494" t="s">
        <v>116</v>
      </c>
      <c r="C90" s="493"/>
      <c r="D90" s="493"/>
      <c r="E90" s="135"/>
      <c r="F90" s="135"/>
      <c r="G90" s="135"/>
    </row>
    <row r="91" spans="1:7" ht="17.399999999999999">
      <c r="A91" s="132"/>
      <c r="B91" s="494" t="s">
        <v>117</v>
      </c>
      <c r="C91" s="493"/>
      <c r="D91" s="131"/>
      <c r="E91" s="135"/>
      <c r="F91" s="135"/>
      <c r="G91" s="135"/>
    </row>
    <row r="92" spans="1:7" ht="17.399999999999999">
      <c r="A92" s="132"/>
      <c r="B92" s="131"/>
      <c r="C92" s="132"/>
      <c r="D92" s="131"/>
      <c r="E92" s="135"/>
      <c r="F92" s="135"/>
      <c r="G92" s="135"/>
    </row>
    <row r="93" spans="1:7" ht="20.399999999999999">
      <c r="A93" s="132"/>
      <c r="B93" s="140" t="s">
        <v>118</v>
      </c>
      <c r="C93" s="494" t="s">
        <v>119</v>
      </c>
      <c r="D93" s="494"/>
      <c r="E93" s="134"/>
      <c r="F93" s="134"/>
      <c r="G93" s="134"/>
    </row>
    <row r="94" spans="1:7" ht="17.399999999999999">
      <c r="A94" s="132"/>
      <c r="B94" s="496" t="s">
        <v>120</v>
      </c>
      <c r="C94" s="493"/>
      <c r="D94" s="493"/>
      <c r="E94" s="493"/>
      <c r="F94" s="493"/>
      <c r="G94" s="135"/>
    </row>
    <row r="95" spans="1:7" ht="17.399999999999999">
      <c r="A95" s="132"/>
      <c r="B95" s="494" t="s">
        <v>121</v>
      </c>
      <c r="C95" s="493"/>
      <c r="D95" s="493"/>
      <c r="E95" s="493"/>
      <c r="F95" s="493"/>
      <c r="G95" s="135"/>
    </row>
    <row r="96" spans="1:7" ht="17.399999999999999">
      <c r="A96" s="132"/>
      <c r="B96" s="494" t="s">
        <v>122</v>
      </c>
      <c r="C96" s="493"/>
      <c r="D96" s="493"/>
      <c r="E96" s="135"/>
      <c r="F96" s="135"/>
      <c r="G96" s="135"/>
    </row>
    <row r="97" spans="1:7" ht="17.399999999999999">
      <c r="A97" s="132"/>
      <c r="B97" s="494" t="s">
        <v>123</v>
      </c>
      <c r="C97" s="493"/>
      <c r="D97" s="493"/>
      <c r="E97" s="493"/>
      <c r="F97" s="493"/>
      <c r="G97" s="493"/>
    </row>
    <row r="98" spans="1:7" ht="17.399999999999999">
      <c r="A98" s="132"/>
      <c r="B98" s="494" t="s">
        <v>124</v>
      </c>
      <c r="C98" s="493"/>
      <c r="D98" s="493"/>
      <c r="E98" s="135"/>
      <c r="F98" s="135"/>
      <c r="G98" s="135"/>
    </row>
    <row r="99" spans="1:7" ht="17.399999999999999">
      <c r="A99" s="132"/>
      <c r="B99" s="494" t="s">
        <v>125</v>
      </c>
      <c r="C99" s="493"/>
      <c r="D99" s="493"/>
      <c r="E99" s="493"/>
      <c r="F99" s="135"/>
      <c r="G99" s="135"/>
    </row>
    <row r="100" spans="1:7" ht="17.399999999999999">
      <c r="A100" s="132"/>
      <c r="B100" s="494" t="s">
        <v>126</v>
      </c>
      <c r="C100" s="493"/>
      <c r="D100" s="493"/>
      <c r="E100" s="493"/>
      <c r="F100" s="493"/>
      <c r="G100" s="493"/>
    </row>
    <row r="101" spans="1:7" ht="17.399999999999999">
      <c r="A101" s="132"/>
      <c r="B101" s="494" t="s">
        <v>127</v>
      </c>
      <c r="C101" s="493"/>
      <c r="D101" s="493"/>
      <c r="E101" s="135"/>
      <c r="F101" s="135"/>
      <c r="G101" s="135"/>
    </row>
    <row r="102" spans="1:7" ht="17.399999999999999">
      <c r="A102" s="132"/>
      <c r="B102" s="494" t="s">
        <v>128</v>
      </c>
      <c r="C102" s="493"/>
      <c r="D102" s="493"/>
      <c r="E102" s="135"/>
      <c r="F102" s="135"/>
      <c r="G102" s="135"/>
    </row>
    <row r="103" spans="1:7" ht="17.399999999999999">
      <c r="A103" s="132"/>
      <c r="B103" s="494" t="s">
        <v>129</v>
      </c>
      <c r="C103" s="493"/>
      <c r="D103" s="493"/>
      <c r="E103" s="135"/>
      <c r="F103" s="135"/>
      <c r="G103" s="135"/>
    </row>
    <row r="104" spans="1:7" ht="17.399999999999999">
      <c r="A104" s="132"/>
      <c r="B104" s="136" t="s">
        <v>130</v>
      </c>
      <c r="C104" s="132"/>
      <c r="D104" s="131"/>
      <c r="E104" s="135"/>
      <c r="F104" s="135"/>
      <c r="G104" s="135"/>
    </row>
    <row r="105" spans="1:7" ht="17.399999999999999">
      <c r="A105" s="132"/>
      <c r="B105" s="494" t="s">
        <v>131</v>
      </c>
      <c r="C105" s="493"/>
      <c r="D105" s="493"/>
      <c r="E105" s="493"/>
      <c r="F105" s="493"/>
      <c r="G105" s="493"/>
    </row>
    <row r="106" spans="1:7" ht="17.399999999999999">
      <c r="A106" s="132"/>
      <c r="B106" s="494" t="s">
        <v>132</v>
      </c>
      <c r="C106" s="493"/>
      <c r="D106" s="493"/>
      <c r="E106" s="135"/>
      <c r="F106" s="135"/>
      <c r="G106" s="135"/>
    </row>
    <row r="107" spans="1:7" ht="17.399999999999999">
      <c r="A107" s="132"/>
      <c r="B107" s="136"/>
      <c r="C107" s="132"/>
      <c r="D107" s="131"/>
      <c r="E107" s="135"/>
      <c r="F107" s="135"/>
      <c r="G107" s="135"/>
    </row>
    <row r="108" spans="1:7" ht="17.399999999999999">
      <c r="A108" s="132"/>
      <c r="B108" s="136"/>
      <c r="C108" s="132"/>
      <c r="D108" s="131"/>
      <c r="E108" s="135"/>
      <c r="F108" s="135"/>
      <c r="G108" s="135"/>
    </row>
    <row r="109" spans="1:7" ht="17.399999999999999">
      <c r="A109" s="132"/>
      <c r="B109" s="136"/>
      <c r="C109" s="132"/>
      <c r="D109" s="131"/>
      <c r="E109" s="135"/>
      <c r="F109" s="135"/>
      <c r="G109" s="135"/>
    </row>
    <row r="110" spans="1:7" ht="17.399999999999999">
      <c r="A110" s="132"/>
      <c r="B110" s="136"/>
      <c r="C110" s="132"/>
      <c r="D110" s="131"/>
      <c r="E110" s="135"/>
      <c r="F110" s="135"/>
      <c r="G110" s="135"/>
    </row>
    <row r="111" spans="1:7" ht="17.399999999999999">
      <c r="A111" s="132"/>
      <c r="B111" s="136"/>
      <c r="C111" s="132"/>
      <c r="D111" s="131"/>
      <c r="E111" s="135"/>
      <c r="F111" s="135"/>
      <c r="G111" s="135"/>
    </row>
    <row r="112" spans="1:7" ht="17.399999999999999">
      <c r="A112" s="132"/>
      <c r="B112" s="136"/>
      <c r="C112" s="132"/>
      <c r="D112" s="131"/>
      <c r="E112" s="135"/>
      <c r="F112" s="135"/>
      <c r="G112" s="135"/>
    </row>
    <row r="113" spans="1:7" ht="17.399999999999999">
      <c r="A113" s="132"/>
      <c r="B113" s="136"/>
      <c r="C113" s="132"/>
      <c r="D113" s="131"/>
      <c r="E113" s="135"/>
      <c r="F113" s="135"/>
      <c r="G113" s="135"/>
    </row>
    <row r="114" spans="1:7" ht="17.399999999999999">
      <c r="A114" s="132"/>
      <c r="B114" s="136"/>
      <c r="C114" s="132"/>
      <c r="D114" s="131"/>
      <c r="E114" s="135"/>
      <c r="F114" s="135"/>
      <c r="G114" s="135"/>
    </row>
    <row r="115" spans="1:7" ht="17.399999999999999">
      <c r="A115" s="132"/>
      <c r="B115" s="136"/>
      <c r="C115" s="132"/>
      <c r="D115" s="131"/>
      <c r="E115" s="135"/>
      <c r="F115" s="135"/>
      <c r="G115" s="135"/>
    </row>
    <row r="116" spans="1:7" ht="17.399999999999999">
      <c r="A116" s="132"/>
      <c r="B116" s="136"/>
      <c r="C116" s="132"/>
      <c r="D116" s="131"/>
      <c r="E116" s="135"/>
      <c r="F116" s="135"/>
      <c r="G116" s="135"/>
    </row>
    <row r="117" spans="1:7" ht="17.399999999999999">
      <c r="A117" s="132"/>
      <c r="B117" s="136"/>
      <c r="C117" s="132"/>
      <c r="D117" s="131"/>
      <c r="E117" s="135"/>
      <c r="F117" s="135"/>
      <c r="G117" s="135"/>
    </row>
    <row r="118" spans="1:7" ht="17.399999999999999">
      <c r="A118" s="132"/>
      <c r="B118" s="136"/>
      <c r="C118" s="132"/>
      <c r="D118" s="131"/>
      <c r="E118" s="135"/>
      <c r="F118" s="135"/>
      <c r="G118" s="135"/>
    </row>
    <row r="119" spans="1:7" ht="17.399999999999999">
      <c r="A119" s="132"/>
      <c r="B119" s="136"/>
      <c r="C119" s="132"/>
      <c r="D119" s="131"/>
      <c r="E119" s="135"/>
      <c r="F119" s="135"/>
      <c r="G119" s="135"/>
    </row>
    <row r="120" spans="1:7" ht="17.399999999999999">
      <c r="A120" s="132"/>
      <c r="B120" s="136"/>
      <c r="C120" s="132"/>
      <c r="D120" s="131"/>
      <c r="E120" s="135"/>
      <c r="F120" s="135"/>
      <c r="G120" s="135"/>
    </row>
    <row r="121" spans="1:7" ht="17.399999999999999">
      <c r="A121" s="132"/>
      <c r="B121" s="136"/>
      <c r="C121" s="132"/>
      <c r="D121" s="131"/>
      <c r="E121" s="135"/>
      <c r="F121" s="135"/>
      <c r="G121" s="135"/>
    </row>
    <row r="122" spans="1:7" ht="17.399999999999999">
      <c r="A122" s="132"/>
      <c r="B122" s="136"/>
      <c r="C122" s="132"/>
      <c r="D122" s="131"/>
      <c r="E122" s="135"/>
      <c r="F122" s="135"/>
      <c r="G122" s="135"/>
    </row>
    <row r="123" spans="1:7" ht="17.399999999999999">
      <c r="A123" s="132"/>
      <c r="B123" s="136"/>
      <c r="C123" s="132"/>
      <c r="D123" s="131"/>
      <c r="E123" s="135"/>
      <c r="F123" s="135"/>
      <c r="G123" s="135"/>
    </row>
    <row r="124" spans="1:7" ht="17.399999999999999">
      <c r="A124" s="132"/>
      <c r="B124" s="136"/>
      <c r="C124" s="132"/>
      <c r="D124" s="131"/>
      <c r="E124" s="135"/>
      <c r="F124" s="135"/>
      <c r="G124" s="135"/>
    </row>
    <row r="125" spans="1:7" ht="17.399999999999999">
      <c r="A125" s="132"/>
      <c r="B125" s="136"/>
      <c r="C125" s="132"/>
      <c r="D125" s="131"/>
      <c r="E125" s="135"/>
      <c r="F125" s="135"/>
      <c r="G125" s="135"/>
    </row>
    <row r="126" spans="1:7" ht="17.399999999999999">
      <c r="A126" s="132"/>
      <c r="B126" s="141" t="s">
        <v>133</v>
      </c>
      <c r="C126" s="28" t="s">
        <v>134</v>
      </c>
      <c r="D126" s="6" t="s">
        <v>135</v>
      </c>
      <c r="E126" s="19"/>
      <c r="F126" s="19"/>
      <c r="G126" s="142"/>
    </row>
    <row r="127" spans="1:7" ht="17.399999999999999">
      <c r="A127" s="132"/>
      <c r="B127" s="143" t="s">
        <v>136</v>
      </c>
      <c r="C127" s="144"/>
      <c r="D127" s="144"/>
      <c r="E127" s="147"/>
      <c r="F127" s="147"/>
      <c r="G127" s="148"/>
    </row>
    <row r="128" spans="1:7" ht="17.399999999999999">
      <c r="A128" s="132"/>
      <c r="B128" s="143" t="s">
        <v>137</v>
      </c>
      <c r="C128" s="150"/>
      <c r="D128" s="144"/>
      <c r="E128" s="147"/>
      <c r="F128" s="147"/>
      <c r="G128" s="148"/>
    </row>
    <row r="129" spans="1:7" ht="17.399999999999999">
      <c r="A129" s="132"/>
      <c r="B129" s="143" t="s">
        <v>138</v>
      </c>
      <c r="C129" s="150"/>
      <c r="D129" s="144"/>
      <c r="E129" s="147"/>
      <c r="F129" s="147"/>
      <c r="G129" s="148"/>
    </row>
    <row r="130" spans="1:7" ht="17.399999999999999">
      <c r="A130" s="132"/>
      <c r="B130" s="152" t="s">
        <v>139</v>
      </c>
      <c r="C130" s="153"/>
      <c r="D130" s="154"/>
      <c r="E130" s="157"/>
      <c r="F130" s="157"/>
      <c r="G130" s="158"/>
    </row>
    <row r="131" spans="1:7" ht="17.399999999999999">
      <c r="A131" s="132"/>
      <c r="B131" s="136"/>
      <c r="C131" s="132"/>
      <c r="D131" s="131"/>
      <c r="E131" s="135"/>
      <c r="F131" s="135"/>
      <c r="G131" s="135"/>
    </row>
    <row r="132" spans="1:7" ht="17.399999999999999">
      <c r="A132" s="132"/>
      <c r="B132" s="141" t="s">
        <v>133</v>
      </c>
      <c r="C132" s="17" t="s">
        <v>140</v>
      </c>
      <c r="D132" s="6" t="s">
        <v>135</v>
      </c>
      <c r="E132" s="19"/>
      <c r="F132" s="19"/>
      <c r="G132" s="19"/>
    </row>
    <row r="133" spans="1:7" ht="17.399999999999999">
      <c r="A133" s="132"/>
      <c r="B133" s="141" t="s">
        <v>141</v>
      </c>
      <c r="C133" s="27"/>
      <c r="D133" s="16"/>
      <c r="E133" s="19"/>
      <c r="F133" s="19"/>
      <c r="G133" s="19"/>
    </row>
    <row r="134" spans="1:7" ht="17.399999999999999">
      <c r="A134" s="132"/>
      <c r="B134" s="143" t="s">
        <v>142</v>
      </c>
      <c r="C134" s="144"/>
      <c r="D134" s="146"/>
      <c r="E134" s="147"/>
      <c r="F134" s="147"/>
      <c r="G134" s="147"/>
    </row>
    <row r="135" spans="1:7" ht="17.399999999999999">
      <c r="A135" s="132"/>
      <c r="B135" s="143" t="s">
        <v>137</v>
      </c>
      <c r="C135" s="144"/>
      <c r="D135" s="146"/>
      <c r="E135" s="147"/>
      <c r="F135" s="147"/>
      <c r="G135" s="147"/>
    </row>
    <row r="136" spans="1:7" ht="17.399999999999999">
      <c r="A136" s="132"/>
      <c r="B136" s="143" t="s">
        <v>138</v>
      </c>
      <c r="C136" s="144"/>
      <c r="D136" s="146"/>
      <c r="E136" s="147"/>
      <c r="F136" s="147"/>
      <c r="G136" s="147"/>
    </row>
    <row r="137" spans="1:7" ht="17.399999999999999">
      <c r="A137" s="132"/>
      <c r="B137" s="143" t="s">
        <v>139</v>
      </c>
      <c r="C137" s="144"/>
      <c r="D137" s="146"/>
      <c r="E137" s="147"/>
      <c r="F137" s="147"/>
      <c r="G137" s="147"/>
    </row>
    <row r="138" spans="1:7" ht="17.399999999999999">
      <c r="A138" s="132"/>
      <c r="B138" s="136"/>
      <c r="C138" s="132"/>
      <c r="D138" s="131"/>
      <c r="E138" s="135"/>
      <c r="F138" s="135"/>
      <c r="G138" s="135"/>
    </row>
    <row r="139" spans="1:7" ht="17.399999999999999">
      <c r="A139" s="132"/>
      <c r="B139" s="136"/>
      <c r="C139" s="132"/>
      <c r="D139" s="131"/>
      <c r="E139" s="135"/>
      <c r="F139" s="135"/>
      <c r="G139" s="135"/>
    </row>
    <row r="140" spans="1:7" ht="17.399999999999999">
      <c r="A140" s="132"/>
      <c r="B140" s="136"/>
      <c r="C140" s="132"/>
      <c r="D140" s="131"/>
      <c r="E140" s="135"/>
      <c r="F140" s="135"/>
      <c r="G140" s="135"/>
    </row>
    <row r="141" spans="1:7" ht="17.399999999999999">
      <c r="A141" s="132"/>
      <c r="B141" s="136"/>
      <c r="C141" s="132"/>
      <c r="D141" s="131"/>
      <c r="E141" s="135"/>
      <c r="F141" s="135"/>
      <c r="G141" s="135"/>
    </row>
    <row r="142" spans="1:7" ht="17.399999999999999">
      <c r="A142" s="132"/>
      <c r="B142" s="136"/>
      <c r="C142" s="132"/>
      <c r="D142" s="131"/>
      <c r="E142" s="135"/>
      <c r="F142" s="135"/>
      <c r="G142" s="135"/>
    </row>
    <row r="143" spans="1:7" ht="17.399999999999999">
      <c r="A143" s="132"/>
      <c r="B143" s="136"/>
      <c r="C143" s="132"/>
      <c r="D143" s="131"/>
      <c r="E143" s="134"/>
      <c r="F143" s="134"/>
      <c r="G143" s="134"/>
    </row>
    <row r="144" spans="1:7" ht="17.399999999999999">
      <c r="A144" s="8">
        <v>3</v>
      </c>
      <c r="B144" s="28" t="s">
        <v>143</v>
      </c>
      <c r="C144" s="28" t="s">
        <v>144</v>
      </c>
      <c r="D144" s="161">
        <v>56000</v>
      </c>
      <c r="E144" s="19"/>
      <c r="F144" s="19"/>
      <c r="G144" s="19"/>
    </row>
    <row r="145" spans="1:7" ht="17.399999999999999">
      <c r="A145" s="132"/>
      <c r="B145" s="136"/>
      <c r="C145" s="132"/>
      <c r="D145" s="131"/>
      <c r="E145" s="134"/>
      <c r="F145" s="134"/>
      <c r="G145" s="134"/>
    </row>
    <row r="146" spans="1:7" ht="17.399999999999999">
      <c r="A146" s="162"/>
      <c r="B146" s="163" t="s">
        <v>147</v>
      </c>
      <c r="C146" s="28"/>
      <c r="D146" s="27"/>
      <c r="E146" s="19"/>
      <c r="F146" s="19"/>
      <c r="G146" s="19"/>
    </row>
    <row r="147" spans="1:7" ht="17.399999999999999">
      <c r="A147" s="8">
        <v>4</v>
      </c>
      <c r="B147" s="28" t="s">
        <v>148</v>
      </c>
      <c r="C147" s="28" t="s">
        <v>149</v>
      </c>
      <c r="D147" s="164">
        <v>2237400</v>
      </c>
      <c r="E147" s="166"/>
      <c r="F147" s="166"/>
      <c r="G147" s="166"/>
    </row>
    <row r="148" spans="1:7" ht="17.399999999999999">
      <c r="A148" s="132"/>
      <c r="B148" s="495" t="s">
        <v>150</v>
      </c>
      <c r="C148" s="493"/>
      <c r="D148" s="493"/>
      <c r="E148" s="493"/>
      <c r="F148" s="493"/>
      <c r="G148" s="134"/>
    </row>
    <row r="149" spans="1:7" ht="17.399999999999999">
      <c r="A149" s="132"/>
      <c r="B149" s="492" t="s">
        <v>151</v>
      </c>
      <c r="C149" s="493"/>
      <c r="D149" s="493"/>
      <c r="E149" s="134"/>
      <c r="F149" s="134"/>
      <c r="G149" s="134"/>
    </row>
    <row r="150" spans="1:7" ht="17.399999999999999">
      <c r="A150" s="132"/>
      <c r="B150" s="492" t="s">
        <v>152</v>
      </c>
      <c r="C150" s="493"/>
      <c r="D150" s="493"/>
      <c r="E150" s="134"/>
      <c r="F150" s="134"/>
      <c r="G150" s="134"/>
    </row>
    <row r="151" spans="1:7" ht="17.399999999999999">
      <c r="A151" s="132"/>
      <c r="B151" s="492" t="s">
        <v>153</v>
      </c>
      <c r="C151" s="493"/>
      <c r="D151" s="493"/>
      <c r="E151" s="134"/>
      <c r="F151" s="134"/>
      <c r="G151" s="134"/>
    </row>
    <row r="152" spans="1:7" ht="17.399999999999999">
      <c r="A152" s="132"/>
      <c r="B152" s="492" t="s">
        <v>154</v>
      </c>
      <c r="C152" s="493"/>
      <c r="D152" s="131"/>
      <c r="E152" s="134"/>
      <c r="F152" s="134"/>
      <c r="G152" s="134"/>
    </row>
    <row r="153" spans="1:7" ht="17.399999999999999">
      <c r="A153" s="132"/>
      <c r="B153" s="136"/>
      <c r="C153" s="132"/>
      <c r="D153" s="131"/>
      <c r="E153" s="134"/>
      <c r="F153" s="134"/>
      <c r="G153" s="134"/>
    </row>
    <row r="154" spans="1:7" ht="17.399999999999999">
      <c r="A154" s="132"/>
      <c r="B154" s="136"/>
      <c r="C154" s="132"/>
      <c r="D154" s="131"/>
      <c r="E154" s="134"/>
      <c r="F154" s="134"/>
      <c r="G154" s="134"/>
    </row>
    <row r="155" spans="1:7" ht="17.399999999999999">
      <c r="A155" s="132"/>
      <c r="B155" s="132"/>
      <c r="C155" s="132"/>
      <c r="D155" s="132"/>
      <c r="E155" s="134"/>
      <c r="F155" s="134"/>
      <c r="G155" s="134"/>
    </row>
    <row r="156" spans="1:7" ht="15.75" customHeight="1"/>
    <row r="157" spans="1:7" ht="15.75" customHeight="1"/>
    <row r="158" spans="1:7" ht="15.75" customHeight="1"/>
    <row r="159" spans="1:7" ht="15.75" customHeight="1"/>
    <row r="160" spans="1:7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mergeCells count="25">
    <mergeCell ref="B150:D150"/>
    <mergeCell ref="B151:D151"/>
    <mergeCell ref="B152:C152"/>
    <mergeCell ref="B102:D102"/>
    <mergeCell ref="B103:D103"/>
    <mergeCell ref="B105:G105"/>
    <mergeCell ref="B106:D106"/>
    <mergeCell ref="B148:F148"/>
    <mergeCell ref="B149:D149"/>
    <mergeCell ref="A1:G1"/>
    <mergeCell ref="A2:G2"/>
    <mergeCell ref="A3:G3"/>
    <mergeCell ref="E4:G4"/>
    <mergeCell ref="B101:D101"/>
    <mergeCell ref="B89:E89"/>
    <mergeCell ref="B90:D90"/>
    <mergeCell ref="B91:C91"/>
    <mergeCell ref="C93:D93"/>
    <mergeCell ref="B94:F94"/>
    <mergeCell ref="B95:F95"/>
    <mergeCell ref="B96:D96"/>
    <mergeCell ref="B97:G97"/>
    <mergeCell ref="B98:D98"/>
    <mergeCell ref="B99:E99"/>
    <mergeCell ref="B100:G100"/>
  </mergeCells>
  <pageMargins left="0.25" right="0.25" top="0.75" bottom="0.75" header="0.3" footer="0.3"/>
  <pageSetup paperSize="9" scale="45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B68E-277C-4F8C-9176-EEDD0C2BE693}">
  <sheetPr>
    <tabColor rgb="FFFFFF00"/>
  </sheetPr>
  <dimension ref="A1:T1004"/>
  <sheetViews>
    <sheetView zoomScale="80" zoomScaleNormal="80" workbookViewId="0">
      <pane ySplit="6" topLeftCell="A70" activePane="bottomLeft" state="frozen"/>
      <selection pane="bottomLeft" activeCell="M34" sqref="M34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367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258">
        <v>12840</v>
      </c>
      <c r="E26" s="49"/>
      <c r="F26" s="49"/>
      <c r="G26" s="49"/>
      <c r="H26" s="49"/>
      <c r="I26" s="49"/>
      <c r="J26" s="49"/>
      <c r="K26" s="259">
        <v>25300</v>
      </c>
      <c r="L26" s="483" t="s">
        <v>312</v>
      </c>
      <c r="M26" s="261">
        <f>+D26</f>
        <v>12840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284">
        <v>2500</v>
      </c>
      <c r="E27" s="49"/>
      <c r="F27" s="49"/>
      <c r="G27" s="49"/>
      <c r="H27" s="49"/>
      <c r="I27" s="49"/>
      <c r="J27" s="49"/>
      <c r="K27" s="259">
        <v>25300</v>
      </c>
      <c r="L27" s="483" t="s">
        <v>313</v>
      </c>
      <c r="M27" s="261">
        <f>+D27</f>
        <v>2500</v>
      </c>
      <c r="N27" s="47"/>
      <c r="O27" s="46"/>
      <c r="P27" s="46"/>
      <c r="Q27" s="46"/>
      <c r="R27" s="46"/>
      <c r="S27" s="49"/>
    </row>
    <row r="28" spans="1:19" ht="21">
      <c r="A28" s="46">
        <v>3</v>
      </c>
      <c r="B28" s="47" t="s">
        <v>29</v>
      </c>
      <c r="C28" s="47" t="s">
        <v>32</v>
      </c>
      <c r="D28" s="484">
        <v>1000</v>
      </c>
      <c r="E28" s="49"/>
      <c r="F28" s="49"/>
      <c r="G28" s="49"/>
      <c r="H28" s="49"/>
      <c r="I28" s="49"/>
      <c r="J28" s="49"/>
      <c r="K28" s="259">
        <v>25300</v>
      </c>
      <c r="L28" s="483" t="s">
        <v>314</v>
      </c>
      <c r="M28" s="261">
        <f t="shared" ref="M28:M37" si="0">+D28</f>
        <v>1000</v>
      </c>
      <c r="N28" s="47"/>
      <c r="O28" s="46"/>
      <c r="P28" s="46"/>
      <c r="Q28" s="46"/>
      <c r="R28" s="46"/>
      <c r="S28" s="49"/>
    </row>
    <row r="29" spans="1:19" ht="21">
      <c r="A29" s="46">
        <v>4</v>
      </c>
      <c r="B29" s="47" t="s">
        <v>29</v>
      </c>
      <c r="C29" s="47" t="s">
        <v>30</v>
      </c>
      <c r="D29" s="485">
        <v>9630</v>
      </c>
      <c r="E29" s="49"/>
      <c r="F29" s="49"/>
      <c r="G29" s="49"/>
      <c r="H29" s="49"/>
      <c r="I29" s="49"/>
      <c r="J29" s="49"/>
      <c r="K29" s="276">
        <v>25306</v>
      </c>
      <c r="L29" s="483" t="s">
        <v>315</v>
      </c>
      <c r="M29" s="212">
        <f t="shared" si="0"/>
        <v>9630</v>
      </c>
      <c r="N29" s="47"/>
      <c r="O29" s="46"/>
      <c r="P29" s="46"/>
      <c r="Q29" s="46"/>
      <c r="R29" s="46"/>
      <c r="S29" s="49"/>
    </row>
    <row r="30" spans="1:19" ht="21">
      <c r="A30" s="46">
        <v>5</v>
      </c>
      <c r="B30" s="47" t="s">
        <v>29</v>
      </c>
      <c r="C30" s="47" t="s">
        <v>34</v>
      </c>
      <c r="D30" s="485">
        <v>2000</v>
      </c>
      <c r="E30" s="49"/>
      <c r="F30" s="49"/>
      <c r="G30" s="49"/>
      <c r="H30" s="49"/>
      <c r="I30" s="49"/>
      <c r="J30" s="49"/>
      <c r="K30" s="276">
        <v>25306</v>
      </c>
      <c r="L30" s="483" t="s">
        <v>316</v>
      </c>
      <c r="M30" s="212">
        <f t="shared" si="0"/>
        <v>2000</v>
      </c>
      <c r="N30" s="47"/>
      <c r="O30" s="46"/>
      <c r="P30" s="46"/>
      <c r="Q30" s="46"/>
      <c r="R30" s="46"/>
      <c r="S30" s="49"/>
    </row>
    <row r="31" spans="1:19" ht="21">
      <c r="A31" s="46">
        <v>6</v>
      </c>
      <c r="B31" s="47" t="s">
        <v>29</v>
      </c>
      <c r="C31" s="47" t="s">
        <v>32</v>
      </c>
      <c r="D31" s="485">
        <v>1000</v>
      </c>
      <c r="E31" s="49"/>
      <c r="F31" s="49"/>
      <c r="G31" s="49"/>
      <c r="H31" s="49"/>
      <c r="I31" s="49"/>
      <c r="J31" s="49"/>
      <c r="K31" s="276">
        <v>25306</v>
      </c>
      <c r="L31" s="483" t="s">
        <v>317</v>
      </c>
      <c r="M31" s="212">
        <f t="shared" si="0"/>
        <v>1000</v>
      </c>
      <c r="N31" s="47"/>
      <c r="O31" s="46"/>
      <c r="P31" s="46"/>
      <c r="Q31" s="46"/>
      <c r="R31" s="46"/>
      <c r="S31" s="49"/>
    </row>
    <row r="32" spans="1:19" ht="21">
      <c r="A32" s="46">
        <v>7</v>
      </c>
      <c r="B32" s="47" t="s">
        <v>29</v>
      </c>
      <c r="C32" s="47" t="s">
        <v>30</v>
      </c>
      <c r="D32" s="485">
        <v>19260</v>
      </c>
      <c r="E32" s="49"/>
      <c r="F32" s="49"/>
      <c r="G32" s="49"/>
      <c r="H32" s="49"/>
      <c r="I32" s="49"/>
      <c r="J32" s="49"/>
      <c r="K32" s="276">
        <v>25314</v>
      </c>
      <c r="L32" s="483" t="s">
        <v>318</v>
      </c>
      <c r="M32" s="212">
        <f t="shared" si="0"/>
        <v>19260</v>
      </c>
      <c r="N32" s="47"/>
      <c r="O32" s="46"/>
      <c r="P32" s="46"/>
      <c r="Q32" s="46"/>
      <c r="R32" s="46"/>
      <c r="S32" s="49"/>
    </row>
    <row r="33" spans="1:19" ht="21">
      <c r="A33" s="46">
        <v>8</v>
      </c>
      <c r="B33" s="47" t="s">
        <v>29</v>
      </c>
      <c r="C33" s="47" t="s">
        <v>34</v>
      </c>
      <c r="D33" s="485">
        <v>3900</v>
      </c>
      <c r="E33" s="49"/>
      <c r="F33" s="49"/>
      <c r="G33" s="49"/>
      <c r="H33" s="49"/>
      <c r="I33" s="49"/>
      <c r="J33" s="49"/>
      <c r="K33" s="276">
        <v>25314</v>
      </c>
      <c r="L33" s="483" t="s">
        <v>319</v>
      </c>
      <c r="M33" s="212">
        <f t="shared" si="0"/>
        <v>3900</v>
      </c>
      <c r="N33" s="47"/>
      <c r="O33" s="46"/>
      <c r="P33" s="46"/>
      <c r="Q33" s="46"/>
      <c r="R33" s="46"/>
      <c r="S33" s="49"/>
    </row>
    <row r="34" spans="1:19" ht="21">
      <c r="A34" s="46">
        <v>9</v>
      </c>
      <c r="B34" s="47" t="s">
        <v>29</v>
      </c>
      <c r="C34" s="47" t="s">
        <v>32</v>
      </c>
      <c r="D34" s="485">
        <v>1000</v>
      </c>
      <c r="E34" s="49"/>
      <c r="F34" s="49"/>
      <c r="G34" s="49"/>
      <c r="H34" s="49"/>
      <c r="I34" s="49"/>
      <c r="J34" s="49"/>
      <c r="K34" s="276">
        <v>25314</v>
      </c>
      <c r="L34" s="483" t="s">
        <v>320</v>
      </c>
      <c r="M34" s="212">
        <f t="shared" si="0"/>
        <v>1000</v>
      </c>
      <c r="N34" s="47"/>
      <c r="O34" s="46"/>
      <c r="P34" s="46"/>
      <c r="Q34" s="46"/>
      <c r="R34" s="46"/>
      <c r="S34" s="49"/>
    </row>
    <row r="35" spans="1:19" ht="21">
      <c r="A35" s="46">
        <v>10</v>
      </c>
      <c r="B35" s="47" t="s">
        <v>29</v>
      </c>
      <c r="C35" s="47" t="s">
        <v>30</v>
      </c>
      <c r="D35" s="485">
        <v>12840</v>
      </c>
      <c r="E35" s="49"/>
      <c r="F35" s="49"/>
      <c r="G35" s="49"/>
      <c r="H35" s="49"/>
      <c r="I35" s="49"/>
      <c r="J35" s="49"/>
      <c r="K35" s="276">
        <v>25321</v>
      </c>
      <c r="L35" s="483" t="s">
        <v>321</v>
      </c>
      <c r="M35" s="212">
        <f t="shared" si="0"/>
        <v>12840</v>
      </c>
      <c r="N35" s="47"/>
      <c r="O35" s="46"/>
      <c r="P35" s="46"/>
      <c r="Q35" s="46"/>
      <c r="R35" s="46"/>
      <c r="S35" s="49"/>
    </row>
    <row r="36" spans="1:19" ht="21">
      <c r="A36" s="46">
        <v>11</v>
      </c>
      <c r="B36" s="47" t="s">
        <v>29</v>
      </c>
      <c r="C36" s="47" t="s">
        <v>34</v>
      </c>
      <c r="D36" s="485">
        <v>2500</v>
      </c>
      <c r="E36" s="49"/>
      <c r="F36" s="49"/>
      <c r="G36" s="49"/>
      <c r="H36" s="49"/>
      <c r="I36" s="49"/>
      <c r="J36" s="49"/>
      <c r="K36" s="276">
        <v>25321</v>
      </c>
      <c r="L36" s="483" t="s">
        <v>322</v>
      </c>
      <c r="M36" s="212">
        <f t="shared" si="0"/>
        <v>2500</v>
      </c>
      <c r="N36" s="47"/>
      <c r="O36" s="46"/>
      <c r="P36" s="46"/>
      <c r="Q36" s="46"/>
      <c r="R36" s="46"/>
      <c r="S36" s="49"/>
    </row>
    <row r="37" spans="1:19" ht="21">
      <c r="A37" s="46">
        <v>12</v>
      </c>
      <c r="B37" s="55" t="s">
        <v>29</v>
      </c>
      <c r="C37" s="55" t="s">
        <v>32</v>
      </c>
      <c r="D37" s="197">
        <v>1000</v>
      </c>
      <c r="E37" s="49"/>
      <c r="F37" s="49"/>
      <c r="G37" s="49"/>
      <c r="H37" s="49"/>
      <c r="I37" s="49"/>
      <c r="J37" s="49"/>
      <c r="K37" s="276">
        <v>25321</v>
      </c>
      <c r="L37" s="483" t="s">
        <v>323</v>
      </c>
      <c r="M37" s="212">
        <f t="shared" si="0"/>
        <v>1000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30</v>
      </c>
      <c r="D38" s="56">
        <v>0</v>
      </c>
      <c r="E38" s="49"/>
      <c r="F38" s="49"/>
      <c r="G38" s="49"/>
      <c r="H38" s="49"/>
      <c r="I38" s="49"/>
      <c r="J38" s="49"/>
      <c r="K38" s="57"/>
      <c r="L38" s="51"/>
      <c r="M38" s="58"/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34</v>
      </c>
      <c r="D39" s="56">
        <v>0</v>
      </c>
      <c r="E39" s="49"/>
      <c r="F39" s="49"/>
      <c r="G39" s="49"/>
      <c r="H39" s="49"/>
      <c r="I39" s="49"/>
      <c r="J39" s="49"/>
      <c r="K39" s="57"/>
      <c r="L39" s="51"/>
      <c r="M39" s="58"/>
      <c r="N39" s="47"/>
      <c r="O39" s="46"/>
      <c r="P39" s="46"/>
      <c r="Q39" s="46"/>
      <c r="R39" s="46"/>
      <c r="S39" s="49"/>
    </row>
    <row r="40" spans="1:19" ht="23.4">
      <c r="A40" s="46">
        <v>15</v>
      </c>
      <c r="B40" s="55" t="s">
        <v>29</v>
      </c>
      <c r="C40" s="55" t="s">
        <v>32</v>
      </c>
      <c r="D40" s="56">
        <v>0</v>
      </c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69470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69470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21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259">
        <v>25310</v>
      </c>
      <c r="L45" s="483" t="s">
        <v>324</v>
      </c>
      <c r="M45" s="261">
        <f t="shared" ref="M45:M47" si="1">+D45</f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21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259">
        <v>25313</v>
      </c>
      <c r="L46" s="483" t="s">
        <v>325</v>
      </c>
      <c r="M46" s="261">
        <f t="shared" si="1"/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21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259">
        <v>25313</v>
      </c>
      <c r="L47" s="483" t="s">
        <v>326</v>
      </c>
      <c r="M47" s="261">
        <f t="shared" si="1"/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21">
      <c r="A70" s="65">
        <v>3</v>
      </c>
      <c r="B70" s="71" t="s">
        <v>75</v>
      </c>
      <c r="C70" s="71" t="s">
        <v>76</v>
      </c>
      <c r="D70" s="258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259">
        <v>25300</v>
      </c>
      <c r="L70" s="483" t="s">
        <v>327</v>
      </c>
      <c r="M70" s="261">
        <f>+D70</f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21">
      <c r="A71" s="65">
        <v>4</v>
      </c>
      <c r="B71" s="71" t="s">
        <v>75</v>
      </c>
      <c r="C71" s="71" t="s">
        <v>78</v>
      </c>
      <c r="D71" s="275">
        <v>300</v>
      </c>
      <c r="E71" s="68"/>
      <c r="F71" s="68"/>
      <c r="G71" s="68"/>
      <c r="H71" s="68"/>
      <c r="I71" s="68"/>
      <c r="J71" s="68"/>
      <c r="K71" s="276">
        <v>25306</v>
      </c>
      <c r="L71" s="483" t="s">
        <v>328</v>
      </c>
      <c r="M71" s="212">
        <f t="shared" ref="M71:M73" si="2">+D71</f>
        <v>300</v>
      </c>
      <c r="N71" s="68"/>
      <c r="O71" s="68"/>
      <c r="P71" s="68"/>
      <c r="Q71" s="68"/>
      <c r="R71" s="68"/>
      <c r="S71" s="68"/>
    </row>
    <row r="72" spans="1:19" ht="21">
      <c r="A72" s="65">
        <v>5</v>
      </c>
      <c r="B72" s="71" t="s">
        <v>75</v>
      </c>
      <c r="C72" s="71" t="s">
        <v>80</v>
      </c>
      <c r="D72" s="275">
        <v>600</v>
      </c>
      <c r="E72" s="68"/>
      <c r="F72" s="68"/>
      <c r="G72" s="68"/>
      <c r="H72" s="68"/>
      <c r="I72" s="68"/>
      <c r="J72" s="68"/>
      <c r="K72" s="276">
        <v>25314</v>
      </c>
      <c r="L72" s="483" t="s">
        <v>329</v>
      </c>
      <c r="M72" s="212">
        <f t="shared" si="2"/>
        <v>600</v>
      </c>
      <c r="N72" s="68"/>
      <c r="O72" s="68"/>
      <c r="P72" s="68"/>
      <c r="Q72" s="68"/>
      <c r="R72" s="68"/>
      <c r="S72" s="68"/>
    </row>
    <row r="73" spans="1:19" ht="21">
      <c r="A73" s="65">
        <v>6</v>
      </c>
      <c r="B73" s="71" t="s">
        <v>75</v>
      </c>
      <c r="C73" s="71" t="s">
        <v>82</v>
      </c>
      <c r="D73" s="275">
        <v>400</v>
      </c>
      <c r="E73" s="68"/>
      <c r="F73" s="68"/>
      <c r="G73" s="68"/>
      <c r="H73" s="68"/>
      <c r="I73" s="68"/>
      <c r="J73" s="68"/>
      <c r="K73" s="276">
        <v>25321</v>
      </c>
      <c r="L73" s="483" t="s">
        <v>330</v>
      </c>
      <c r="M73" s="212">
        <f t="shared" si="2"/>
        <v>400</v>
      </c>
      <c r="N73" s="68"/>
      <c r="O73" s="68"/>
      <c r="P73" s="68"/>
      <c r="Q73" s="68"/>
      <c r="R73" s="68"/>
      <c r="S73" s="68"/>
    </row>
    <row r="74" spans="1:19" ht="23.4">
      <c r="A74" s="65">
        <v>7</v>
      </c>
      <c r="B74" s="71" t="s">
        <v>75</v>
      </c>
      <c r="C74" s="71" t="s">
        <v>84</v>
      </c>
      <c r="D74" s="110">
        <v>0</v>
      </c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1700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1700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21">
      <c r="A81" s="73">
        <v>4</v>
      </c>
      <c r="B81" s="71" t="s">
        <v>75</v>
      </c>
      <c r="C81" s="71" t="s">
        <v>91</v>
      </c>
      <c r="D81" s="261">
        <v>3616.6</v>
      </c>
      <c r="E81" s="75"/>
      <c r="F81" s="72"/>
      <c r="G81" s="72"/>
      <c r="H81" s="72">
        <v>0</v>
      </c>
      <c r="I81" s="72">
        <v>0</v>
      </c>
      <c r="J81" s="68">
        <v>0</v>
      </c>
      <c r="K81" s="259">
        <v>25300</v>
      </c>
      <c r="L81" s="266" t="s">
        <v>331</v>
      </c>
      <c r="M81" s="261">
        <f t="shared" ref="M81:M84" si="3">+D81</f>
        <v>3616.6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21">
      <c r="A82" s="73">
        <v>5</v>
      </c>
      <c r="B82" s="71" t="s">
        <v>75</v>
      </c>
      <c r="C82" s="71" t="s">
        <v>93</v>
      </c>
      <c r="D82" s="212">
        <v>2578.6999999999998</v>
      </c>
      <c r="E82" s="75"/>
      <c r="F82" s="72"/>
      <c r="G82" s="72"/>
      <c r="H82" s="72">
        <v>0</v>
      </c>
      <c r="I82" s="72">
        <v>0</v>
      </c>
      <c r="J82" s="68">
        <v>0</v>
      </c>
      <c r="K82" s="276">
        <v>25306</v>
      </c>
      <c r="L82" s="266" t="s">
        <v>332</v>
      </c>
      <c r="M82" s="212">
        <f t="shared" si="3"/>
        <v>2578.6999999999998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21">
      <c r="A83" s="73">
        <v>6</v>
      </c>
      <c r="B83" s="71" t="s">
        <v>75</v>
      </c>
      <c r="C83" s="71" t="s">
        <v>95</v>
      </c>
      <c r="D83" s="212">
        <v>6505.6</v>
      </c>
      <c r="E83" s="75"/>
      <c r="F83" s="72"/>
      <c r="G83" s="72"/>
      <c r="H83" s="72">
        <v>0</v>
      </c>
      <c r="I83" s="72">
        <v>0</v>
      </c>
      <c r="J83" s="68">
        <v>0</v>
      </c>
      <c r="K83" s="276">
        <v>25314</v>
      </c>
      <c r="L83" s="266" t="s">
        <v>333</v>
      </c>
      <c r="M83" s="204">
        <f t="shared" si="3"/>
        <v>6505.6</v>
      </c>
      <c r="N83" s="71"/>
      <c r="O83" s="72"/>
      <c r="P83" s="72"/>
      <c r="Q83" s="72"/>
      <c r="R83" s="72"/>
      <c r="S83" s="68"/>
    </row>
    <row r="84" spans="1:19" ht="21">
      <c r="A84" s="73">
        <v>7</v>
      </c>
      <c r="B84" s="71" t="s">
        <v>75</v>
      </c>
      <c r="C84" s="71" t="s">
        <v>97</v>
      </c>
      <c r="D84" s="204">
        <v>3894.8</v>
      </c>
      <c r="E84" s="75"/>
      <c r="F84" s="72"/>
      <c r="G84" s="72"/>
      <c r="H84" s="72">
        <v>0</v>
      </c>
      <c r="I84" s="72">
        <v>0</v>
      </c>
      <c r="J84" s="68">
        <v>0</v>
      </c>
      <c r="K84" s="276">
        <v>25321</v>
      </c>
      <c r="L84" s="266" t="s">
        <v>334</v>
      </c>
      <c r="M84" s="204">
        <f t="shared" si="3"/>
        <v>3894.8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>
        <v>0</v>
      </c>
      <c r="E85" s="75"/>
      <c r="F85" s="72"/>
      <c r="G85" s="72"/>
      <c r="H85" s="72">
        <v>0</v>
      </c>
      <c r="I85" s="72">
        <v>0</v>
      </c>
      <c r="J85" s="68">
        <v>0</v>
      </c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16595.7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16595.7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1">
        <f>SUM(D43+D48+D76+D86)</f>
        <v>90975.7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486">
        <f>SUM(M43+M48+M61+M76+M86)</f>
        <v>90975.7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A1:S1"/>
    <mergeCell ref="A2:S2"/>
    <mergeCell ref="A3:S3"/>
    <mergeCell ref="E4:J4"/>
    <mergeCell ref="K4:M4"/>
    <mergeCell ref="N4:S4"/>
    <mergeCell ref="P105:S105"/>
    <mergeCell ref="P106:R106"/>
    <mergeCell ref="P107:R107"/>
    <mergeCell ref="J108:K108"/>
    <mergeCell ref="N108:O108"/>
    <mergeCell ref="P108:R108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</mergeCells>
  <pageMargins left="0.25" right="0.25" top="0.75" bottom="0.75" header="0.3" footer="0.3"/>
  <pageSetup paperSize="9" scale="45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2D38-1B53-4713-8D39-991553B70DC9}">
  <dimension ref="A1:W220"/>
  <sheetViews>
    <sheetView workbookViewId="0">
      <selection activeCell="T81" sqref="T81:T84"/>
    </sheetView>
  </sheetViews>
  <sheetFormatPr defaultColWidth="7.88671875" defaultRowHeight="21"/>
  <cols>
    <col min="1" max="1" width="4.21875" style="177" customWidth="1"/>
    <col min="2" max="2" width="18.5546875" style="418" customWidth="1"/>
    <col min="3" max="3" width="19.44140625" style="177" customWidth="1"/>
    <col min="4" max="4" width="11.33203125" style="404" customWidth="1"/>
    <col min="5" max="5" width="7.33203125" style="407" customWidth="1"/>
    <col min="6" max="6" width="3.21875" style="407" customWidth="1"/>
    <col min="7" max="7" width="3.44140625" style="407" customWidth="1"/>
    <col min="8" max="8" width="10" style="407" customWidth="1"/>
    <col min="9" max="9" width="6.109375" style="407" customWidth="1"/>
    <col min="10" max="10" width="10.21875" style="428" customWidth="1"/>
    <col min="11" max="11" width="8.109375" style="428" customWidth="1"/>
    <col min="12" max="12" width="8.6640625" style="428" customWidth="1"/>
    <col min="13" max="13" width="11.21875" style="429" customWidth="1"/>
    <col min="14" max="14" width="6.6640625" style="177" customWidth="1"/>
    <col min="15" max="15" width="3" style="411" customWidth="1"/>
    <col min="16" max="16" width="3.21875" style="411" customWidth="1"/>
    <col min="17" max="17" width="9.88671875" style="425" customWidth="1"/>
    <col min="18" max="18" width="6.21875" style="411" customWidth="1"/>
    <col min="19" max="19" width="10.33203125" style="429" customWidth="1"/>
    <col min="20" max="20" width="7.88671875" style="177"/>
    <col min="21" max="16384" width="7.88671875" style="178"/>
  </cols>
  <sheetData>
    <row r="1" spans="1:19" ht="31.5" customHeight="1">
      <c r="A1" s="512" t="s">
        <v>337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</row>
    <row r="2" spans="1:19" ht="23.25" customHeight="1">
      <c r="A2" s="512" t="s">
        <v>1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</row>
    <row r="3" spans="1:19" ht="26.25" customHeight="1">
      <c r="A3" s="513" t="s">
        <v>338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</row>
    <row r="4" spans="1:19" ht="50.4" customHeight="1">
      <c r="A4" s="179" t="s">
        <v>3</v>
      </c>
      <c r="B4" s="180" t="s">
        <v>4</v>
      </c>
      <c r="C4" s="180" t="s">
        <v>5</v>
      </c>
      <c r="D4" s="181" t="s">
        <v>6</v>
      </c>
      <c r="E4" s="514" t="s">
        <v>7</v>
      </c>
      <c r="F4" s="515"/>
      <c r="G4" s="515"/>
      <c r="H4" s="515"/>
      <c r="I4" s="515"/>
      <c r="J4" s="516"/>
      <c r="K4" s="517" t="s">
        <v>8</v>
      </c>
      <c r="L4" s="518"/>
      <c r="M4" s="519"/>
      <c r="N4" s="514" t="s">
        <v>9</v>
      </c>
      <c r="O4" s="515"/>
      <c r="P4" s="515"/>
      <c r="Q4" s="515"/>
      <c r="R4" s="515"/>
      <c r="S4" s="516"/>
    </row>
    <row r="5" spans="1:19" ht="21" customHeight="1">
      <c r="A5" s="179"/>
      <c r="B5" s="180"/>
      <c r="C5" s="180"/>
      <c r="D5" s="183"/>
      <c r="E5" s="179" t="s">
        <v>10</v>
      </c>
      <c r="F5" s="184" t="s">
        <v>11</v>
      </c>
      <c r="G5" s="185" t="s">
        <v>12</v>
      </c>
      <c r="H5" s="184" t="s">
        <v>13</v>
      </c>
      <c r="I5" s="184"/>
      <c r="J5" s="184"/>
      <c r="K5" s="185" t="s">
        <v>14</v>
      </c>
      <c r="L5" s="186" t="s">
        <v>15</v>
      </c>
      <c r="M5" s="187" t="s">
        <v>16</v>
      </c>
      <c r="N5" s="188" t="s">
        <v>10</v>
      </c>
      <c r="O5" s="184" t="s">
        <v>11</v>
      </c>
      <c r="P5" s="185" t="s">
        <v>12</v>
      </c>
      <c r="Q5" s="184" t="s">
        <v>13</v>
      </c>
      <c r="R5" s="184"/>
      <c r="S5" s="184"/>
    </row>
    <row r="6" spans="1:19" ht="27.6" customHeight="1">
      <c r="A6" s="179"/>
      <c r="B6" s="180"/>
      <c r="C6" s="180"/>
      <c r="D6" s="183"/>
      <c r="E6" s="179"/>
      <c r="F6" s="184"/>
      <c r="G6" s="189" t="s">
        <v>17</v>
      </c>
      <c r="H6" s="190" t="s">
        <v>16</v>
      </c>
      <c r="I6" s="191" t="s">
        <v>18</v>
      </c>
      <c r="J6" s="182" t="s">
        <v>19</v>
      </c>
      <c r="K6" s="189"/>
      <c r="L6" s="189"/>
      <c r="M6" s="192"/>
      <c r="N6" s="179"/>
      <c r="O6" s="184"/>
      <c r="P6" s="189" t="s">
        <v>17</v>
      </c>
      <c r="Q6" s="193" t="s">
        <v>16</v>
      </c>
      <c r="R6" s="191" t="s">
        <v>18</v>
      </c>
      <c r="S6" s="184" t="s">
        <v>19</v>
      </c>
    </row>
    <row r="7" spans="1:19" ht="17.399999999999999" customHeight="1">
      <c r="A7" s="194"/>
      <c r="B7" s="195" t="s">
        <v>20</v>
      </c>
      <c r="C7" s="196"/>
      <c r="D7" s="197"/>
      <c r="E7" s="198"/>
      <c r="F7" s="199"/>
      <c r="G7" s="200"/>
      <c r="H7" s="200"/>
      <c r="I7" s="200"/>
      <c r="J7" s="201"/>
      <c r="K7" s="202"/>
      <c r="L7" s="203"/>
      <c r="M7" s="204"/>
      <c r="N7" s="198"/>
      <c r="O7" s="199"/>
      <c r="P7" s="200"/>
      <c r="Q7" s="200"/>
      <c r="R7" s="200"/>
      <c r="S7" s="205"/>
    </row>
    <row r="8" spans="1:19" ht="15.75" customHeight="1">
      <c r="A8" s="206">
        <v>1</v>
      </c>
      <c r="B8" s="207"/>
      <c r="C8" s="208" t="s">
        <v>21</v>
      </c>
      <c r="D8" s="209"/>
      <c r="E8" s="209"/>
      <c r="F8" s="209"/>
      <c r="G8" s="209"/>
      <c r="H8" s="209"/>
      <c r="I8" s="209"/>
      <c r="J8" s="209"/>
      <c r="K8" s="210"/>
      <c r="L8" s="211"/>
      <c r="M8" s="212"/>
      <c r="N8" s="213"/>
      <c r="O8" s="214"/>
      <c r="P8" s="215"/>
      <c r="Q8" s="215"/>
      <c r="R8" s="215"/>
      <c r="S8" s="216"/>
    </row>
    <row r="9" spans="1:19" ht="15.75" customHeight="1" thickBot="1">
      <c r="A9" s="206"/>
      <c r="B9" s="217" t="s">
        <v>19</v>
      </c>
      <c r="C9" s="218"/>
      <c r="D9" s="219">
        <f>SUM(D8)</f>
        <v>0</v>
      </c>
      <c r="E9" s="219"/>
      <c r="F9" s="219"/>
      <c r="G9" s="219"/>
      <c r="H9" s="219">
        <f>SUM(H8)</f>
        <v>0</v>
      </c>
      <c r="I9" s="219">
        <f>SUM(I8)</f>
        <v>0</v>
      </c>
      <c r="J9" s="219">
        <f>SUM(J8)</f>
        <v>0</v>
      </c>
      <c r="K9" s="220"/>
      <c r="L9" s="219"/>
      <c r="M9" s="219">
        <f>SUM(M8)</f>
        <v>0</v>
      </c>
      <c r="N9" s="219"/>
      <c r="O9" s="219"/>
      <c r="P9" s="219"/>
      <c r="Q9" s="219">
        <f>SUM(Q8)</f>
        <v>0</v>
      </c>
      <c r="R9" s="219">
        <f>SUM(R8)</f>
        <v>0</v>
      </c>
      <c r="S9" s="219">
        <f>SUM(S8)</f>
        <v>0</v>
      </c>
    </row>
    <row r="10" spans="1:19" ht="15.75" customHeight="1" thickTop="1">
      <c r="A10" s="206"/>
      <c r="B10" s="221" t="s">
        <v>23</v>
      </c>
      <c r="C10" s="222"/>
      <c r="D10" s="223"/>
      <c r="E10" s="223"/>
      <c r="F10" s="223"/>
      <c r="G10" s="224"/>
      <c r="H10" s="224"/>
      <c r="I10" s="224"/>
      <c r="J10" s="224"/>
      <c r="K10" s="225"/>
      <c r="L10" s="226"/>
      <c r="M10" s="227"/>
      <c r="N10" s="228"/>
      <c r="O10" s="229"/>
      <c r="P10" s="230"/>
      <c r="Q10" s="230"/>
      <c r="R10" s="230"/>
      <c r="S10" s="231"/>
    </row>
    <row r="11" spans="1:19" ht="18" customHeight="1">
      <c r="A11" s="232">
        <f>+A7+1</f>
        <v>1</v>
      </c>
      <c r="B11" s="233"/>
      <c r="C11" s="234"/>
      <c r="D11" s="235">
        <v>0</v>
      </c>
      <c r="E11" s="236"/>
      <c r="F11" s="237"/>
      <c r="G11" s="237"/>
      <c r="H11" s="238"/>
      <c r="I11" s="239"/>
      <c r="J11" s="204">
        <f>SUM(H11)</f>
        <v>0</v>
      </c>
      <c r="K11" s="240"/>
      <c r="L11" s="241"/>
      <c r="M11" s="242">
        <v>0</v>
      </c>
      <c r="N11" s="243"/>
      <c r="O11" s="244"/>
      <c r="P11" s="237"/>
      <c r="Q11" s="245">
        <v>0</v>
      </c>
      <c r="R11" s="246">
        <v>0</v>
      </c>
      <c r="S11" s="247">
        <v>0</v>
      </c>
    </row>
    <row r="12" spans="1:19" ht="15.75" customHeight="1" thickBot="1">
      <c r="A12" s="206"/>
      <c r="B12" s="217" t="s">
        <v>19</v>
      </c>
      <c r="C12" s="218"/>
      <c r="D12" s="219">
        <f>SUM(D11:D11)</f>
        <v>0</v>
      </c>
      <c r="E12" s="219"/>
      <c r="F12" s="219"/>
      <c r="G12" s="219"/>
      <c r="H12" s="219">
        <f>SUM(H11:H11)</f>
        <v>0</v>
      </c>
      <c r="I12" s="248"/>
      <c r="J12" s="219">
        <f>SUM(J11:J11)</f>
        <v>0</v>
      </c>
      <c r="K12" s="219"/>
      <c r="L12" s="219"/>
      <c r="M12" s="219">
        <f>SUM(M11:M11)</f>
        <v>0</v>
      </c>
      <c r="N12" s="219"/>
      <c r="O12" s="219"/>
      <c r="P12" s="219"/>
      <c r="Q12" s="219">
        <f>SUM(Q11:Q11)</f>
        <v>0</v>
      </c>
      <c r="R12" s="249">
        <f>SUM(R11)</f>
        <v>0</v>
      </c>
      <c r="S12" s="219">
        <f>SUM(S11:S11)</f>
        <v>0</v>
      </c>
    </row>
    <row r="13" spans="1:19" ht="19.8" customHeight="1" thickTop="1">
      <c r="A13" s="206"/>
      <c r="B13" s="221" t="s">
        <v>24</v>
      </c>
      <c r="C13" s="222"/>
      <c r="D13" s="223"/>
      <c r="E13" s="223"/>
      <c r="F13" s="223"/>
      <c r="G13" s="224"/>
      <c r="H13" s="224"/>
      <c r="I13" s="224"/>
      <c r="J13" s="224"/>
      <c r="K13" s="225"/>
      <c r="L13" s="226"/>
      <c r="M13" s="227"/>
      <c r="N13" s="228"/>
      <c r="O13" s="229"/>
      <c r="P13" s="230"/>
      <c r="Q13" s="230"/>
      <c r="R13" s="230"/>
      <c r="S13" s="231"/>
    </row>
    <row r="14" spans="1:19" ht="15.75" customHeight="1">
      <c r="A14" s="206">
        <v>1</v>
      </c>
      <c r="B14" s="250"/>
      <c r="C14" s="208" t="s">
        <v>21</v>
      </c>
      <c r="D14" s="209"/>
      <c r="E14" s="209"/>
      <c r="F14" s="209"/>
      <c r="G14" s="209"/>
      <c r="H14" s="209"/>
      <c r="I14" s="209"/>
      <c r="J14" s="209"/>
      <c r="K14" s="251"/>
      <c r="L14" s="252"/>
      <c r="M14" s="253"/>
      <c r="N14" s="213"/>
      <c r="O14" s="214"/>
      <c r="P14" s="215"/>
      <c r="Q14" s="245"/>
      <c r="R14" s="212"/>
      <c r="S14" s="254"/>
    </row>
    <row r="15" spans="1:19" ht="15.75" customHeight="1" thickBot="1">
      <c r="A15" s="206"/>
      <c r="B15" s="217" t="s">
        <v>19</v>
      </c>
      <c r="C15" s="218"/>
      <c r="D15" s="219">
        <f>SUM(D14)</f>
        <v>0</v>
      </c>
      <c r="E15" s="219"/>
      <c r="F15" s="219"/>
      <c r="G15" s="219"/>
      <c r="H15" s="219">
        <f t="shared" ref="H15:S15" si="0">SUM(H14)</f>
        <v>0</v>
      </c>
      <c r="I15" s="219">
        <f t="shared" si="0"/>
        <v>0</v>
      </c>
      <c r="J15" s="219">
        <f t="shared" si="0"/>
        <v>0</v>
      </c>
      <c r="K15" s="220"/>
      <c r="L15" s="219"/>
      <c r="M15" s="219">
        <f t="shared" si="0"/>
        <v>0</v>
      </c>
      <c r="N15" s="219"/>
      <c r="O15" s="219"/>
      <c r="P15" s="219"/>
      <c r="Q15" s="219">
        <f t="shared" si="0"/>
        <v>0</v>
      </c>
      <c r="R15" s="219">
        <f t="shared" si="0"/>
        <v>0</v>
      </c>
      <c r="S15" s="219">
        <f t="shared" si="0"/>
        <v>0</v>
      </c>
    </row>
    <row r="16" spans="1:19" ht="15.75" customHeight="1" thickTop="1">
      <c r="A16" s="206"/>
      <c r="B16" s="221" t="s">
        <v>25</v>
      </c>
      <c r="C16" s="222"/>
      <c r="D16" s="223"/>
      <c r="E16" s="223"/>
      <c r="F16" s="223"/>
      <c r="G16" s="224"/>
      <c r="H16" s="224"/>
      <c r="I16" s="224"/>
      <c r="J16" s="224"/>
      <c r="K16" s="225"/>
      <c r="L16" s="226"/>
      <c r="M16" s="227"/>
      <c r="N16" s="228"/>
      <c r="O16" s="229"/>
      <c r="P16" s="230"/>
      <c r="Q16" s="230"/>
      <c r="R16" s="230"/>
      <c r="S16" s="231"/>
    </row>
    <row r="17" spans="1:23" ht="15.75" customHeight="1">
      <c r="A17" s="206">
        <v>1</v>
      </c>
      <c r="B17" s="207"/>
      <c r="C17" s="208" t="s">
        <v>21</v>
      </c>
      <c r="D17" s="209"/>
      <c r="E17" s="209"/>
      <c r="F17" s="209"/>
      <c r="G17" s="209"/>
      <c r="H17" s="209"/>
      <c r="I17" s="209"/>
      <c r="J17" s="209"/>
      <c r="K17" s="251"/>
      <c r="L17" s="252"/>
      <c r="M17" s="253"/>
      <c r="N17" s="213"/>
      <c r="O17" s="214"/>
      <c r="P17" s="215"/>
      <c r="Q17" s="215"/>
      <c r="R17" s="215"/>
      <c r="S17" s="216"/>
    </row>
    <row r="18" spans="1:23" ht="15.75" customHeight="1" thickBot="1">
      <c r="A18" s="206"/>
      <c r="B18" s="217" t="s">
        <v>19</v>
      </c>
      <c r="C18" s="218"/>
      <c r="D18" s="219">
        <f>SUM(D17)</f>
        <v>0</v>
      </c>
      <c r="E18" s="219"/>
      <c r="F18" s="219"/>
      <c r="G18" s="219"/>
      <c r="H18" s="219">
        <f t="shared" ref="H18:S18" si="1">SUM(H17)</f>
        <v>0</v>
      </c>
      <c r="I18" s="219">
        <f t="shared" si="1"/>
        <v>0</v>
      </c>
      <c r="J18" s="219">
        <f t="shared" si="1"/>
        <v>0</v>
      </c>
      <c r="K18" s="220"/>
      <c r="L18" s="219"/>
      <c r="M18" s="219">
        <f t="shared" si="1"/>
        <v>0</v>
      </c>
      <c r="N18" s="219"/>
      <c r="O18" s="219"/>
      <c r="P18" s="219"/>
      <c r="Q18" s="219">
        <f t="shared" si="1"/>
        <v>0</v>
      </c>
      <c r="R18" s="219">
        <f t="shared" si="1"/>
        <v>0</v>
      </c>
      <c r="S18" s="219">
        <f t="shared" si="1"/>
        <v>0</v>
      </c>
    </row>
    <row r="19" spans="1:23" ht="15.75" customHeight="1" thickTop="1">
      <c r="A19" s="206"/>
      <c r="B19" s="221" t="s">
        <v>26</v>
      </c>
      <c r="C19" s="222"/>
      <c r="D19" s="223"/>
      <c r="E19" s="223"/>
      <c r="F19" s="223"/>
      <c r="G19" s="224"/>
      <c r="H19" s="224"/>
      <c r="I19" s="224"/>
      <c r="J19" s="224"/>
      <c r="K19" s="225"/>
      <c r="L19" s="226"/>
      <c r="M19" s="227"/>
      <c r="N19" s="228"/>
      <c r="O19" s="229"/>
      <c r="P19" s="230"/>
      <c r="Q19" s="230"/>
      <c r="R19" s="230"/>
      <c r="S19" s="231"/>
    </row>
    <row r="20" spans="1:23" ht="15.75" customHeight="1">
      <c r="A20" s="206">
        <v>1</v>
      </c>
      <c r="B20" s="207"/>
      <c r="C20" s="208" t="s">
        <v>21</v>
      </c>
      <c r="D20" s="209"/>
      <c r="E20" s="209"/>
      <c r="F20" s="209"/>
      <c r="G20" s="209"/>
      <c r="H20" s="209"/>
      <c r="I20" s="209"/>
      <c r="J20" s="209"/>
      <c r="K20" s="251"/>
      <c r="L20" s="252"/>
      <c r="M20" s="253"/>
      <c r="N20" s="213"/>
      <c r="O20" s="214"/>
      <c r="P20" s="215"/>
      <c r="Q20" s="215"/>
      <c r="R20" s="215"/>
      <c r="S20" s="216"/>
    </row>
    <row r="21" spans="1:23" ht="15.75" customHeight="1" thickBot="1">
      <c r="A21" s="206"/>
      <c r="B21" s="217" t="s">
        <v>19</v>
      </c>
      <c r="C21" s="218"/>
      <c r="D21" s="219">
        <f>SUM(D20)</f>
        <v>0</v>
      </c>
      <c r="E21" s="219"/>
      <c r="F21" s="219"/>
      <c r="G21" s="219"/>
      <c r="H21" s="219">
        <f t="shared" ref="H21:J21" si="2">SUM(H20)</f>
        <v>0</v>
      </c>
      <c r="I21" s="219">
        <f t="shared" si="2"/>
        <v>0</v>
      </c>
      <c r="J21" s="219">
        <f t="shared" si="2"/>
        <v>0</v>
      </c>
      <c r="K21" s="220"/>
      <c r="L21" s="219"/>
      <c r="M21" s="219">
        <f t="shared" ref="M21" si="3">SUM(M20)</f>
        <v>0</v>
      </c>
      <c r="N21" s="219"/>
      <c r="O21" s="219"/>
      <c r="P21" s="219"/>
      <c r="Q21" s="219">
        <f t="shared" ref="Q21:S21" si="4">SUM(Q20)</f>
        <v>0</v>
      </c>
      <c r="R21" s="219">
        <f t="shared" si="4"/>
        <v>0</v>
      </c>
      <c r="S21" s="219">
        <f t="shared" si="4"/>
        <v>0</v>
      </c>
    </row>
    <row r="22" spans="1:23" ht="15.75" customHeight="1" thickTop="1">
      <c r="A22" s="206"/>
      <c r="B22" s="221" t="s">
        <v>27</v>
      </c>
      <c r="C22" s="222"/>
      <c r="D22" s="223"/>
      <c r="E22" s="223"/>
      <c r="F22" s="223"/>
      <c r="G22" s="224"/>
      <c r="H22" s="224"/>
      <c r="I22" s="224"/>
      <c r="J22" s="224"/>
      <c r="K22" s="225"/>
      <c r="L22" s="226"/>
      <c r="M22" s="227"/>
      <c r="N22" s="228"/>
      <c r="O22" s="229"/>
      <c r="P22" s="230"/>
      <c r="Q22" s="230"/>
      <c r="R22" s="230"/>
      <c r="S22" s="231"/>
    </row>
    <row r="23" spans="1:23" ht="15.75" customHeight="1">
      <c r="A23" s="206">
        <v>1</v>
      </c>
      <c r="B23" s="207"/>
      <c r="C23" s="208" t="s">
        <v>21</v>
      </c>
      <c r="D23" s="209"/>
      <c r="E23" s="209"/>
      <c r="F23" s="209"/>
      <c r="G23" s="209"/>
      <c r="H23" s="209"/>
      <c r="I23" s="209"/>
      <c r="J23" s="209"/>
      <c r="K23" s="251"/>
      <c r="L23" s="252"/>
      <c r="M23" s="253"/>
      <c r="N23" s="255"/>
      <c r="O23" s="214"/>
      <c r="P23" s="215"/>
      <c r="Q23" s="215"/>
      <c r="R23" s="215"/>
      <c r="S23" s="216"/>
    </row>
    <row r="24" spans="1:23" ht="15.75" customHeight="1" thickBot="1">
      <c r="A24" s="206"/>
      <c r="B24" s="217" t="s">
        <v>19</v>
      </c>
      <c r="C24" s="218"/>
      <c r="D24" s="219">
        <f>SUM(D23)</f>
        <v>0</v>
      </c>
      <c r="E24" s="219"/>
      <c r="F24" s="219"/>
      <c r="G24" s="219"/>
      <c r="H24" s="219">
        <f t="shared" ref="H24:J24" si="5">SUM(H23)</f>
        <v>0</v>
      </c>
      <c r="I24" s="219">
        <f t="shared" si="5"/>
        <v>0</v>
      </c>
      <c r="J24" s="219">
        <f t="shared" si="5"/>
        <v>0</v>
      </c>
      <c r="K24" s="220"/>
      <c r="L24" s="219"/>
      <c r="M24" s="219">
        <f t="shared" ref="M24" si="6">SUM(M23)</f>
        <v>0</v>
      </c>
      <c r="N24" s="219"/>
      <c r="O24" s="219"/>
      <c r="P24" s="219"/>
      <c r="Q24" s="219">
        <f t="shared" ref="Q24:S24" si="7">SUM(Q23)</f>
        <v>0</v>
      </c>
      <c r="R24" s="219">
        <f t="shared" si="7"/>
        <v>0</v>
      </c>
      <c r="S24" s="219">
        <f t="shared" si="7"/>
        <v>0</v>
      </c>
    </row>
    <row r="25" spans="1:23" ht="15.75" customHeight="1" thickTop="1">
      <c r="A25" s="206"/>
      <c r="B25" s="221" t="s">
        <v>28</v>
      </c>
      <c r="C25" s="222"/>
      <c r="D25" s="223"/>
      <c r="E25" s="223"/>
      <c r="F25" s="223"/>
      <c r="G25" s="224"/>
      <c r="H25" s="224"/>
      <c r="I25" s="224"/>
      <c r="J25" s="224"/>
      <c r="K25" s="225"/>
      <c r="L25" s="226"/>
      <c r="M25" s="227"/>
      <c r="N25" s="228"/>
      <c r="O25" s="229"/>
      <c r="P25" s="230"/>
      <c r="Q25" s="230"/>
      <c r="R25" s="230"/>
      <c r="S25" s="231"/>
    </row>
    <row r="26" spans="1:23" s="267" customFormat="1" ht="18.600000000000001" customHeight="1">
      <c r="A26" s="256">
        <v>1</v>
      </c>
      <c r="B26" s="257" t="s">
        <v>29</v>
      </c>
      <c r="C26" s="257" t="s">
        <v>30</v>
      </c>
      <c r="D26" s="258">
        <v>12840</v>
      </c>
      <c r="E26" s="258"/>
      <c r="F26" s="258"/>
      <c r="G26" s="258"/>
      <c r="H26" s="258"/>
      <c r="I26" s="258"/>
      <c r="J26" s="258"/>
      <c r="K26" s="259">
        <v>25300</v>
      </c>
      <c r="L26" s="260" t="str">
        <f>+T26</f>
        <v>582/29052</v>
      </c>
      <c r="M26" s="261">
        <f>+D26</f>
        <v>12840</v>
      </c>
      <c r="N26" s="262"/>
      <c r="O26" s="263"/>
      <c r="P26" s="263"/>
      <c r="Q26" s="264"/>
      <c r="R26" s="263"/>
      <c r="S26" s="265"/>
      <c r="T26" s="266" t="s">
        <v>312</v>
      </c>
    </row>
    <row r="27" spans="1:23" s="267" customFormat="1" ht="18.600000000000001" customHeight="1">
      <c r="A27" s="256">
        <v>2</v>
      </c>
      <c r="B27" s="257" t="s">
        <v>29</v>
      </c>
      <c r="C27" s="257" t="s">
        <v>34</v>
      </c>
      <c r="D27" s="258">
        <v>2500</v>
      </c>
      <c r="E27" s="268"/>
      <c r="F27" s="268"/>
      <c r="G27" s="268"/>
      <c r="H27" s="268"/>
      <c r="I27" s="268"/>
      <c r="J27" s="268"/>
      <c r="K27" s="259">
        <v>25300</v>
      </c>
      <c r="L27" s="260" t="str">
        <f t="shared" ref="L27:L37" si="8">+T27</f>
        <v>582/29053</v>
      </c>
      <c r="M27" s="261">
        <f>+D27</f>
        <v>2500</v>
      </c>
      <c r="N27" s="269"/>
      <c r="O27" s="263"/>
      <c r="P27" s="270"/>
      <c r="Q27" s="263"/>
      <c r="R27" s="263"/>
      <c r="S27" s="271"/>
      <c r="T27" s="266" t="s">
        <v>313</v>
      </c>
      <c r="V27" s="267" t="s">
        <v>39</v>
      </c>
      <c r="W27" s="267" t="s">
        <v>37</v>
      </c>
    </row>
    <row r="28" spans="1:23" s="267" customFormat="1" ht="18.600000000000001" customHeight="1">
      <c r="A28" s="256">
        <v>3</v>
      </c>
      <c r="B28" s="257" t="s">
        <v>29</v>
      </c>
      <c r="C28" s="257" t="s">
        <v>32</v>
      </c>
      <c r="D28" s="258">
        <v>1000</v>
      </c>
      <c r="E28" s="258"/>
      <c r="F28" s="258"/>
      <c r="G28" s="272"/>
      <c r="H28" s="258"/>
      <c r="I28" s="258"/>
      <c r="J28" s="258"/>
      <c r="K28" s="259">
        <v>25300</v>
      </c>
      <c r="L28" s="260" t="str">
        <f t="shared" si="8"/>
        <v>582/29054</v>
      </c>
      <c r="M28" s="261">
        <f t="shared" ref="M28:M39" si="9">+D28</f>
        <v>1000</v>
      </c>
      <c r="N28" s="273"/>
      <c r="O28" s="274"/>
      <c r="P28" s="263"/>
      <c r="Q28" s="274"/>
      <c r="R28" s="263"/>
      <c r="S28" s="265"/>
      <c r="T28" s="266" t="s">
        <v>314</v>
      </c>
    </row>
    <row r="29" spans="1:23" s="267" customFormat="1" ht="18.600000000000001" customHeight="1">
      <c r="A29" s="256">
        <v>4</v>
      </c>
      <c r="B29" s="233" t="s">
        <v>29</v>
      </c>
      <c r="C29" s="233" t="s">
        <v>30</v>
      </c>
      <c r="D29" s="275">
        <v>9630</v>
      </c>
      <c r="E29" s="275"/>
      <c r="F29" s="275"/>
      <c r="G29" s="209"/>
      <c r="H29" s="275"/>
      <c r="I29" s="275"/>
      <c r="J29" s="275"/>
      <c r="K29" s="276">
        <v>25306</v>
      </c>
      <c r="L29" s="277" t="str">
        <f t="shared" si="8"/>
        <v>582/29057</v>
      </c>
      <c r="M29" s="212">
        <f t="shared" si="9"/>
        <v>9630</v>
      </c>
      <c r="N29" s="262"/>
      <c r="O29" s="263"/>
      <c r="P29" s="263"/>
      <c r="Q29" s="263"/>
      <c r="R29" s="278"/>
      <c r="S29" s="271"/>
      <c r="T29" s="266" t="s">
        <v>315</v>
      </c>
    </row>
    <row r="30" spans="1:23" s="267" customFormat="1" ht="18.600000000000001" customHeight="1">
      <c r="A30" s="256">
        <v>5</v>
      </c>
      <c r="B30" s="233" t="s">
        <v>29</v>
      </c>
      <c r="C30" s="233" t="s">
        <v>34</v>
      </c>
      <c r="D30" s="275">
        <v>2000</v>
      </c>
      <c r="E30" s="275"/>
      <c r="F30" s="279"/>
      <c r="G30" s="275"/>
      <c r="H30" s="209"/>
      <c r="I30" s="279"/>
      <c r="J30" s="275"/>
      <c r="K30" s="276">
        <v>25306</v>
      </c>
      <c r="L30" s="277" t="str">
        <f t="shared" si="8"/>
        <v>582/29059</v>
      </c>
      <c r="M30" s="212">
        <f t="shared" si="9"/>
        <v>2000</v>
      </c>
      <c r="N30" s="273"/>
      <c r="O30" s="280"/>
      <c r="P30" s="270"/>
      <c r="Q30" s="280"/>
      <c r="R30" s="263"/>
      <c r="S30" s="281"/>
      <c r="T30" s="266" t="s">
        <v>316</v>
      </c>
    </row>
    <row r="31" spans="1:23" s="267" customFormat="1" ht="18.600000000000001" customHeight="1">
      <c r="A31" s="256">
        <v>6</v>
      </c>
      <c r="B31" s="233" t="s">
        <v>29</v>
      </c>
      <c r="C31" s="233" t="s">
        <v>32</v>
      </c>
      <c r="D31" s="275">
        <v>1000</v>
      </c>
      <c r="E31" s="209"/>
      <c r="F31" s="279"/>
      <c r="G31" s="279"/>
      <c r="H31" s="275"/>
      <c r="I31" s="279"/>
      <c r="J31" s="209"/>
      <c r="K31" s="276">
        <v>25306</v>
      </c>
      <c r="L31" s="277" t="str">
        <f t="shared" si="8"/>
        <v>582/29060</v>
      </c>
      <c r="M31" s="212">
        <f t="shared" si="9"/>
        <v>1000</v>
      </c>
      <c r="N31" s="273"/>
      <c r="O31" s="280"/>
      <c r="P31" s="280"/>
      <c r="Q31" s="280"/>
      <c r="R31" s="263"/>
      <c r="S31" s="281"/>
      <c r="T31" s="266" t="s">
        <v>317</v>
      </c>
    </row>
    <row r="32" spans="1:23" s="267" customFormat="1" ht="18.600000000000001" customHeight="1">
      <c r="A32" s="256">
        <v>7</v>
      </c>
      <c r="B32" s="233" t="s">
        <v>29</v>
      </c>
      <c r="C32" s="233" t="s">
        <v>30</v>
      </c>
      <c r="D32" s="275">
        <v>19260</v>
      </c>
      <c r="E32" s="279"/>
      <c r="F32" s="279"/>
      <c r="G32" s="279"/>
      <c r="H32" s="209"/>
      <c r="I32" s="279"/>
      <c r="J32" s="279"/>
      <c r="K32" s="276">
        <v>25314</v>
      </c>
      <c r="L32" s="277" t="str">
        <f t="shared" si="8"/>
        <v>582/29066</v>
      </c>
      <c r="M32" s="212">
        <f t="shared" si="9"/>
        <v>19260</v>
      </c>
      <c r="N32" s="273"/>
      <c r="O32" s="280"/>
      <c r="P32" s="280"/>
      <c r="Q32" s="280"/>
      <c r="R32" s="278"/>
      <c r="S32" s="281"/>
      <c r="T32" s="266" t="s">
        <v>318</v>
      </c>
    </row>
    <row r="33" spans="1:20" s="267" customFormat="1" ht="18.600000000000001" customHeight="1">
      <c r="A33" s="256">
        <v>8</v>
      </c>
      <c r="B33" s="233" t="s">
        <v>29</v>
      </c>
      <c r="C33" s="233" t="s">
        <v>34</v>
      </c>
      <c r="D33" s="275">
        <v>3900</v>
      </c>
      <c r="E33" s="275"/>
      <c r="F33" s="279"/>
      <c r="G33" s="279"/>
      <c r="H33" s="275"/>
      <c r="I33" s="279"/>
      <c r="J33" s="275"/>
      <c r="K33" s="276">
        <v>25314</v>
      </c>
      <c r="L33" s="277" t="str">
        <f t="shared" si="8"/>
        <v>582/29067</v>
      </c>
      <c r="M33" s="212">
        <f t="shared" si="9"/>
        <v>3900</v>
      </c>
      <c r="N33" s="273"/>
      <c r="O33" s="280"/>
      <c r="P33" s="282"/>
      <c r="Q33" s="283"/>
      <c r="R33" s="274"/>
      <c r="S33" s="281"/>
      <c r="T33" s="266" t="s">
        <v>319</v>
      </c>
    </row>
    <row r="34" spans="1:20" s="267" customFormat="1" ht="18.600000000000001" customHeight="1">
      <c r="A34" s="256">
        <v>9</v>
      </c>
      <c r="B34" s="233" t="s">
        <v>29</v>
      </c>
      <c r="C34" s="233" t="s">
        <v>32</v>
      </c>
      <c r="D34" s="275">
        <v>1000</v>
      </c>
      <c r="E34" s="209"/>
      <c r="F34" s="279"/>
      <c r="G34" s="279"/>
      <c r="H34" s="275"/>
      <c r="I34" s="279"/>
      <c r="J34" s="209"/>
      <c r="K34" s="276">
        <v>25314</v>
      </c>
      <c r="L34" s="277" t="str">
        <f t="shared" si="8"/>
        <v>582/29068</v>
      </c>
      <c r="M34" s="212">
        <f t="shared" si="9"/>
        <v>1000</v>
      </c>
      <c r="N34" s="273"/>
      <c r="O34" s="280"/>
      <c r="P34" s="263"/>
      <c r="Q34" s="280"/>
      <c r="R34" s="280"/>
      <c r="S34" s="281"/>
      <c r="T34" s="266" t="s">
        <v>320</v>
      </c>
    </row>
    <row r="35" spans="1:20" s="267" customFormat="1" ht="18.600000000000001" customHeight="1">
      <c r="A35" s="256">
        <v>10</v>
      </c>
      <c r="B35" s="233" t="s">
        <v>29</v>
      </c>
      <c r="C35" s="233" t="s">
        <v>30</v>
      </c>
      <c r="D35" s="275">
        <v>12840</v>
      </c>
      <c r="E35" s="275"/>
      <c r="F35" s="279"/>
      <c r="G35" s="279"/>
      <c r="H35" s="275"/>
      <c r="I35" s="279"/>
      <c r="J35" s="279"/>
      <c r="K35" s="276">
        <v>25321</v>
      </c>
      <c r="L35" s="277" t="str">
        <f t="shared" si="8"/>
        <v>582/29071</v>
      </c>
      <c r="M35" s="212">
        <f t="shared" si="9"/>
        <v>12840</v>
      </c>
      <c r="N35" s="273"/>
      <c r="O35" s="280"/>
      <c r="P35" s="263"/>
      <c r="Q35" s="280"/>
      <c r="R35" s="263"/>
      <c r="S35" s="281"/>
      <c r="T35" s="266" t="s">
        <v>321</v>
      </c>
    </row>
    <row r="36" spans="1:20" s="267" customFormat="1" ht="18.600000000000001" customHeight="1">
      <c r="A36" s="256">
        <v>11</v>
      </c>
      <c r="B36" s="233" t="s">
        <v>29</v>
      </c>
      <c r="C36" s="233" t="s">
        <v>34</v>
      </c>
      <c r="D36" s="275">
        <v>2500</v>
      </c>
      <c r="E36" s="275"/>
      <c r="F36" s="279"/>
      <c r="G36" s="279"/>
      <c r="H36" s="275"/>
      <c r="I36" s="279"/>
      <c r="J36" s="279"/>
      <c r="K36" s="276">
        <v>25321</v>
      </c>
      <c r="L36" s="277" t="str">
        <f t="shared" si="8"/>
        <v>582/29072</v>
      </c>
      <c r="M36" s="212">
        <f t="shared" si="9"/>
        <v>2500</v>
      </c>
      <c r="N36" s="262"/>
      <c r="O36" s="280"/>
      <c r="P36" s="270"/>
      <c r="Q36" s="280"/>
      <c r="R36" s="263"/>
      <c r="S36" s="281"/>
      <c r="T36" s="266" t="s">
        <v>322</v>
      </c>
    </row>
    <row r="37" spans="1:20" s="267" customFormat="1" ht="18.600000000000001" customHeight="1">
      <c r="A37" s="256">
        <v>12</v>
      </c>
      <c r="B37" s="233" t="s">
        <v>29</v>
      </c>
      <c r="C37" s="233" t="s">
        <v>32</v>
      </c>
      <c r="D37" s="275">
        <v>1000</v>
      </c>
      <c r="E37" s="275"/>
      <c r="F37" s="279"/>
      <c r="G37" s="279"/>
      <c r="H37" s="275"/>
      <c r="I37" s="279"/>
      <c r="J37" s="279"/>
      <c r="K37" s="276">
        <v>25321</v>
      </c>
      <c r="L37" s="277" t="str">
        <f t="shared" si="8"/>
        <v>582/29073</v>
      </c>
      <c r="M37" s="212">
        <f t="shared" si="9"/>
        <v>1000</v>
      </c>
      <c r="N37" s="262"/>
      <c r="O37" s="280"/>
      <c r="P37" s="270"/>
      <c r="Q37" s="280"/>
      <c r="R37" s="274"/>
      <c r="S37" s="281"/>
      <c r="T37" s="266" t="s">
        <v>323</v>
      </c>
    </row>
    <row r="38" spans="1:20" s="267" customFormat="1" ht="18.600000000000001" customHeight="1">
      <c r="A38" s="256">
        <v>13</v>
      </c>
      <c r="B38" s="257"/>
      <c r="C38" s="257"/>
      <c r="D38" s="258"/>
      <c r="E38" s="258"/>
      <c r="F38" s="284"/>
      <c r="G38" s="284"/>
      <c r="H38" s="258"/>
      <c r="I38" s="258"/>
      <c r="J38" s="258"/>
      <c r="K38" s="259"/>
      <c r="L38" s="260"/>
      <c r="M38" s="285">
        <f t="shared" si="9"/>
        <v>0</v>
      </c>
      <c r="N38" s="262"/>
      <c r="O38" s="263"/>
      <c r="P38" s="270"/>
      <c r="Q38" s="280"/>
      <c r="R38" s="263"/>
      <c r="S38" s="271"/>
      <c r="T38" s="266"/>
    </row>
    <row r="39" spans="1:20" s="267" customFormat="1" ht="18.600000000000001" customHeight="1">
      <c r="A39" s="256">
        <v>14</v>
      </c>
      <c r="B39" s="257"/>
      <c r="C39" s="257"/>
      <c r="D39" s="258"/>
      <c r="E39" s="258"/>
      <c r="F39" s="284"/>
      <c r="G39" s="284"/>
      <c r="H39" s="258"/>
      <c r="I39" s="258"/>
      <c r="J39" s="258"/>
      <c r="K39" s="259"/>
      <c r="L39" s="260"/>
      <c r="M39" s="285">
        <f t="shared" si="9"/>
        <v>0</v>
      </c>
      <c r="N39" s="269"/>
      <c r="O39" s="274"/>
      <c r="P39" s="270"/>
      <c r="Q39" s="280"/>
      <c r="R39" s="280"/>
      <c r="S39" s="286"/>
      <c r="T39" s="266"/>
    </row>
    <row r="40" spans="1:20" s="267" customFormat="1" ht="18.600000000000001" customHeight="1">
      <c r="A40" s="256">
        <v>15</v>
      </c>
      <c r="B40" s="257"/>
      <c r="C40" s="257"/>
      <c r="D40" s="258"/>
      <c r="E40" s="258"/>
      <c r="F40" s="284"/>
      <c r="G40" s="284"/>
      <c r="H40" s="258"/>
      <c r="I40" s="258"/>
      <c r="J40" s="258"/>
      <c r="K40" s="259"/>
      <c r="L40" s="260"/>
      <c r="M40" s="285"/>
      <c r="N40" s="262"/>
      <c r="O40" s="263"/>
      <c r="P40" s="270"/>
      <c r="Q40" s="280"/>
      <c r="R40" s="263"/>
      <c r="S40" s="271"/>
      <c r="T40" s="266"/>
    </row>
    <row r="41" spans="1:20" s="267" customFormat="1" ht="18.600000000000001" customHeight="1">
      <c r="A41" s="256">
        <v>16</v>
      </c>
      <c r="B41" s="257"/>
      <c r="C41" s="257"/>
      <c r="D41" s="258"/>
      <c r="E41" s="258"/>
      <c r="F41" s="284"/>
      <c r="G41" s="284"/>
      <c r="H41" s="258"/>
      <c r="I41" s="258"/>
      <c r="J41" s="258"/>
      <c r="K41" s="259"/>
      <c r="L41" s="260"/>
      <c r="M41" s="285"/>
      <c r="N41" s="262"/>
      <c r="O41" s="263"/>
      <c r="P41" s="270"/>
      <c r="Q41" s="280"/>
      <c r="R41" s="263"/>
      <c r="S41" s="271"/>
      <c r="T41" s="266"/>
    </row>
    <row r="42" spans="1:20" s="267" customFormat="1" ht="18.600000000000001" customHeight="1">
      <c r="A42" s="256">
        <v>17</v>
      </c>
      <c r="B42" s="257"/>
      <c r="C42" s="257"/>
      <c r="D42" s="258"/>
      <c r="E42" s="258"/>
      <c r="F42" s="284"/>
      <c r="G42" s="284"/>
      <c r="H42" s="258"/>
      <c r="I42" s="258"/>
      <c r="J42" s="258"/>
      <c r="K42" s="259"/>
      <c r="L42" s="260"/>
      <c r="M42" s="285"/>
      <c r="N42" s="262"/>
      <c r="O42" s="263"/>
      <c r="P42" s="270"/>
      <c r="Q42" s="280"/>
      <c r="R42" s="263"/>
      <c r="S42" s="271"/>
      <c r="T42" s="266"/>
    </row>
    <row r="43" spans="1:20" s="267" customFormat="1" ht="15.75" customHeight="1" thickBot="1">
      <c r="A43" s="256"/>
      <c r="B43" s="287" t="s">
        <v>19</v>
      </c>
      <c r="C43" s="288"/>
      <c r="D43" s="289">
        <f>SUM(D26:D42)</f>
        <v>69470</v>
      </c>
      <c r="E43" s="289"/>
      <c r="F43" s="290"/>
      <c r="G43" s="290"/>
      <c r="H43" s="289">
        <f>SUM(H26:H26)</f>
        <v>0</v>
      </c>
      <c r="I43" s="289">
        <f>SUM(I26:I26)</f>
        <v>0</v>
      </c>
      <c r="J43" s="289">
        <f>SUM(J26:J26)</f>
        <v>0</v>
      </c>
      <c r="K43" s="291"/>
      <c r="L43" s="291"/>
      <c r="M43" s="289">
        <f>SUM(M26:M39)</f>
        <v>69470</v>
      </c>
      <c r="N43" s="289"/>
      <c r="O43" s="289"/>
      <c r="P43" s="290"/>
      <c r="Q43" s="290">
        <f>SUM(Q26:Q26)</f>
        <v>0</v>
      </c>
      <c r="R43" s="290">
        <f>SUM(R26:R26)</f>
        <v>0</v>
      </c>
      <c r="S43" s="289">
        <f>SUM(S26:S26)</f>
        <v>0</v>
      </c>
      <c r="T43" s="266"/>
    </row>
    <row r="44" spans="1:20" s="267" customFormat="1" ht="15.75" customHeight="1" thickTop="1">
      <c r="A44" s="256"/>
      <c r="B44" s="292" t="s">
        <v>53</v>
      </c>
      <c r="C44" s="293"/>
      <c r="D44" s="294"/>
      <c r="E44" s="294"/>
      <c r="F44" s="294"/>
      <c r="G44" s="295"/>
      <c r="H44" s="295"/>
      <c r="I44" s="295"/>
      <c r="J44" s="295"/>
      <c r="K44" s="296"/>
      <c r="L44" s="297"/>
      <c r="M44" s="298"/>
      <c r="N44" s="299"/>
      <c r="O44" s="300"/>
      <c r="P44" s="301"/>
      <c r="Q44" s="301"/>
      <c r="R44" s="301"/>
      <c r="S44" s="302"/>
      <c r="T44" s="266"/>
    </row>
    <row r="45" spans="1:20" s="267" customFormat="1" ht="21" customHeight="1">
      <c r="A45" s="303">
        <v>1</v>
      </c>
      <c r="B45" s="304" t="s">
        <v>54</v>
      </c>
      <c r="C45" s="257" t="s">
        <v>55</v>
      </c>
      <c r="D45" s="285">
        <v>1070</v>
      </c>
      <c r="E45" s="257"/>
      <c r="F45" s="263"/>
      <c r="G45" s="263"/>
      <c r="H45" s="305"/>
      <c r="I45" s="305">
        <f t="shared" ref="I45:I46" si="10">ROUND((H45*0.07),2)</f>
        <v>0</v>
      </c>
      <c r="J45" s="285">
        <f>+H45+I45</f>
        <v>0</v>
      </c>
      <c r="K45" s="259">
        <v>25310</v>
      </c>
      <c r="L45" s="260" t="str">
        <f t="shared" ref="L45:L46" si="11">+T45</f>
        <v>582/29063</v>
      </c>
      <c r="M45" s="261">
        <f t="shared" ref="M45:M47" si="12">+D45</f>
        <v>1070</v>
      </c>
      <c r="N45" s="285"/>
      <c r="O45" s="263"/>
      <c r="P45" s="263"/>
      <c r="Q45" s="305">
        <f>ROUND(S45*100/107,2)</f>
        <v>0</v>
      </c>
      <c r="R45" s="305">
        <f>ROUND((Q45*0.07),2)</f>
        <v>0</v>
      </c>
      <c r="S45" s="271">
        <f t="shared" ref="S45:S46" si="13">+D45+J45-M45</f>
        <v>0</v>
      </c>
      <c r="T45" s="266" t="s">
        <v>324</v>
      </c>
    </row>
    <row r="46" spans="1:20" s="267" customFormat="1" ht="21" customHeight="1">
      <c r="A46" s="303">
        <f>+A45+1</f>
        <v>2</v>
      </c>
      <c r="B46" s="306" t="s">
        <v>57</v>
      </c>
      <c r="C46" s="307" t="s">
        <v>55</v>
      </c>
      <c r="D46" s="285">
        <v>1070</v>
      </c>
      <c r="E46" s="257"/>
      <c r="F46" s="280"/>
      <c r="G46" s="280"/>
      <c r="H46" s="263"/>
      <c r="I46" s="305">
        <f t="shared" si="10"/>
        <v>0</v>
      </c>
      <c r="J46" s="285">
        <f>+H46+I46</f>
        <v>0</v>
      </c>
      <c r="K46" s="259">
        <v>25313</v>
      </c>
      <c r="L46" s="260" t="str">
        <f t="shared" si="11"/>
        <v>582/29065</v>
      </c>
      <c r="M46" s="261">
        <f t="shared" si="12"/>
        <v>1070</v>
      </c>
      <c r="N46" s="285"/>
      <c r="O46" s="261"/>
      <c r="P46" s="261"/>
      <c r="Q46" s="305">
        <f>ROUND(S46*100/107,2)</f>
        <v>0</v>
      </c>
      <c r="R46" s="305">
        <f t="shared" ref="R46" si="14">ROUND((Q46*0.07),2)</f>
        <v>0</v>
      </c>
      <c r="S46" s="271">
        <f t="shared" si="13"/>
        <v>0</v>
      </c>
      <c r="T46" s="266" t="s">
        <v>325</v>
      </c>
    </row>
    <row r="47" spans="1:20" s="316" customFormat="1" ht="21" customHeight="1">
      <c r="A47" s="308">
        <v>3</v>
      </c>
      <c r="B47" s="309" t="s">
        <v>59</v>
      </c>
      <c r="C47" s="309" t="s">
        <v>55</v>
      </c>
      <c r="D47" s="285">
        <v>1070</v>
      </c>
      <c r="E47" s="310"/>
      <c r="F47" s="311"/>
      <c r="G47" s="312"/>
      <c r="H47" s="312"/>
      <c r="I47" s="313"/>
      <c r="J47" s="310"/>
      <c r="K47" s="259">
        <v>25313</v>
      </c>
      <c r="L47" s="260" t="str">
        <f>+T47</f>
        <v>582/29064</v>
      </c>
      <c r="M47" s="261">
        <f t="shared" si="12"/>
        <v>1070</v>
      </c>
      <c r="N47" s="266"/>
      <c r="O47" s="314"/>
      <c r="P47" s="314"/>
      <c r="Q47" s="315"/>
      <c r="R47" s="315"/>
      <c r="S47" s="286"/>
      <c r="T47" s="266" t="s">
        <v>326</v>
      </c>
    </row>
    <row r="48" spans="1:20" s="267" customFormat="1" ht="15.75" customHeight="1" thickBot="1">
      <c r="A48" s="256"/>
      <c r="B48" s="287" t="s">
        <v>19</v>
      </c>
      <c r="C48" s="288"/>
      <c r="D48" s="317">
        <f>SUM(D45:D47)</f>
        <v>3210</v>
      </c>
      <c r="E48" s="317"/>
      <c r="F48" s="317"/>
      <c r="G48" s="289"/>
      <c r="H48" s="289">
        <f>SUM(H45:H46)</f>
        <v>0</v>
      </c>
      <c r="I48" s="317">
        <f>SUM(I45:I46)</f>
        <v>0</v>
      </c>
      <c r="J48" s="317">
        <f>SUM(J45:J46)</f>
        <v>0</v>
      </c>
      <c r="K48" s="317"/>
      <c r="L48" s="318"/>
      <c r="M48" s="317">
        <f>SUM(M45:M47)</f>
        <v>3210</v>
      </c>
      <c r="N48" s="317"/>
      <c r="O48" s="317"/>
      <c r="P48" s="317"/>
      <c r="Q48" s="317">
        <f>SUM(Q45:Q46)</f>
        <v>0</v>
      </c>
      <c r="R48" s="317">
        <f>SUM(R45:R46)</f>
        <v>0</v>
      </c>
      <c r="S48" s="317">
        <f>SUM(S45:S46)</f>
        <v>0</v>
      </c>
      <c r="T48" s="266"/>
    </row>
    <row r="49" spans="1:20" s="267" customFormat="1" ht="15.75" customHeight="1" thickTop="1">
      <c r="A49" s="256"/>
      <c r="B49" s="292" t="s">
        <v>61</v>
      </c>
      <c r="C49" s="293"/>
      <c r="D49" s="294"/>
      <c r="E49" s="294"/>
      <c r="F49" s="294"/>
      <c r="G49" s="295"/>
      <c r="H49" s="295"/>
      <c r="I49" s="295"/>
      <c r="J49" s="295"/>
      <c r="K49" s="296"/>
      <c r="L49" s="297"/>
      <c r="M49" s="298"/>
      <c r="N49" s="299"/>
      <c r="O49" s="300"/>
      <c r="P49" s="301"/>
      <c r="Q49" s="301"/>
      <c r="R49" s="301"/>
      <c r="S49" s="302"/>
      <c r="T49" s="266"/>
    </row>
    <row r="50" spans="1:20" s="267" customFormat="1" ht="15.75" customHeight="1">
      <c r="A50" s="256">
        <v>1</v>
      </c>
      <c r="B50" s="319"/>
      <c r="C50" s="320" t="s">
        <v>21</v>
      </c>
      <c r="D50" s="268"/>
      <c r="E50" s="268"/>
      <c r="F50" s="268"/>
      <c r="G50" s="268"/>
      <c r="H50" s="268"/>
      <c r="I50" s="268"/>
      <c r="J50" s="268"/>
      <c r="K50" s="321"/>
      <c r="L50" s="322"/>
      <c r="M50" s="323"/>
      <c r="N50" s="269"/>
      <c r="O50" s="274"/>
      <c r="P50" s="270"/>
      <c r="Q50" s="270"/>
      <c r="R50" s="270"/>
      <c r="S50" s="265"/>
      <c r="T50" s="266"/>
    </row>
    <row r="51" spans="1:20" s="267" customFormat="1" ht="15.75" customHeight="1" thickBot="1">
      <c r="A51" s="256"/>
      <c r="B51" s="324" t="s">
        <v>19</v>
      </c>
      <c r="C51" s="325"/>
      <c r="D51" s="317">
        <f>SUM(D50)</f>
        <v>0</v>
      </c>
      <c r="E51" s="317"/>
      <c r="F51" s="317"/>
      <c r="G51" s="317"/>
      <c r="H51" s="317">
        <f t="shared" ref="H51:J51" si="15">SUM(H50)</f>
        <v>0</v>
      </c>
      <c r="I51" s="317">
        <f t="shared" si="15"/>
        <v>0</v>
      </c>
      <c r="J51" s="317">
        <f t="shared" si="15"/>
        <v>0</v>
      </c>
      <c r="K51" s="326"/>
      <c r="L51" s="317"/>
      <c r="M51" s="317">
        <f t="shared" ref="M51" si="16">SUM(M50)</f>
        <v>0</v>
      </c>
      <c r="N51" s="317"/>
      <c r="O51" s="317"/>
      <c r="P51" s="317"/>
      <c r="Q51" s="317">
        <f t="shared" ref="Q51:S51" si="17">SUM(Q50)</f>
        <v>0</v>
      </c>
      <c r="R51" s="317">
        <f t="shared" si="17"/>
        <v>0</v>
      </c>
      <c r="S51" s="317">
        <f t="shared" si="17"/>
        <v>0</v>
      </c>
      <c r="T51" s="266"/>
    </row>
    <row r="52" spans="1:20" s="267" customFormat="1" ht="15.75" customHeight="1" thickTop="1">
      <c r="A52" s="256"/>
      <c r="B52" s="292" t="s">
        <v>62</v>
      </c>
      <c r="C52" s="293"/>
      <c r="D52" s="294"/>
      <c r="E52" s="294"/>
      <c r="F52" s="294"/>
      <c r="G52" s="295"/>
      <c r="H52" s="295"/>
      <c r="I52" s="295"/>
      <c r="J52" s="295"/>
      <c r="K52" s="296"/>
      <c r="L52" s="297"/>
      <c r="M52" s="298"/>
      <c r="N52" s="299"/>
      <c r="O52" s="300"/>
      <c r="P52" s="301"/>
      <c r="Q52" s="301"/>
      <c r="R52" s="301"/>
      <c r="S52" s="302"/>
      <c r="T52" s="266"/>
    </row>
    <row r="53" spans="1:20" s="267" customFormat="1" ht="15.75" customHeight="1">
      <c r="A53" s="256">
        <v>1</v>
      </c>
      <c r="B53" s="319"/>
      <c r="C53" s="320" t="s">
        <v>21</v>
      </c>
      <c r="D53" s="268"/>
      <c r="E53" s="268"/>
      <c r="F53" s="268"/>
      <c r="G53" s="268"/>
      <c r="H53" s="268"/>
      <c r="I53" s="268"/>
      <c r="J53" s="268"/>
      <c r="K53" s="321"/>
      <c r="L53" s="322"/>
      <c r="M53" s="323"/>
      <c r="N53" s="269"/>
      <c r="O53" s="274"/>
      <c r="P53" s="270"/>
      <c r="Q53" s="270"/>
      <c r="R53" s="270"/>
      <c r="S53" s="265"/>
      <c r="T53" s="266"/>
    </row>
    <row r="54" spans="1:20" s="267" customFormat="1" ht="15.75" customHeight="1" thickBot="1">
      <c r="A54" s="256"/>
      <c r="B54" s="324" t="s">
        <v>19</v>
      </c>
      <c r="C54" s="325"/>
      <c r="D54" s="317">
        <f>SUM(D53)</f>
        <v>0</v>
      </c>
      <c r="E54" s="317"/>
      <c r="F54" s="317"/>
      <c r="G54" s="317"/>
      <c r="H54" s="317">
        <f t="shared" ref="H54:J54" si="18">SUM(H53)</f>
        <v>0</v>
      </c>
      <c r="I54" s="317">
        <f t="shared" si="18"/>
        <v>0</v>
      </c>
      <c r="J54" s="317">
        <f t="shared" si="18"/>
        <v>0</v>
      </c>
      <c r="K54" s="326"/>
      <c r="L54" s="317"/>
      <c r="M54" s="317">
        <f t="shared" ref="M54" si="19">SUM(M53)</f>
        <v>0</v>
      </c>
      <c r="N54" s="317"/>
      <c r="O54" s="317"/>
      <c r="P54" s="317"/>
      <c r="Q54" s="317">
        <f t="shared" ref="Q54:S54" si="20">SUM(Q53)</f>
        <v>0</v>
      </c>
      <c r="R54" s="317">
        <f t="shared" si="20"/>
        <v>0</v>
      </c>
      <c r="S54" s="317">
        <f t="shared" si="20"/>
        <v>0</v>
      </c>
      <c r="T54" s="266"/>
    </row>
    <row r="55" spans="1:20" s="267" customFormat="1" ht="15.75" customHeight="1" thickTop="1">
      <c r="A55" s="256"/>
      <c r="B55" s="327" t="s">
        <v>63</v>
      </c>
      <c r="C55" s="328"/>
      <c r="D55" s="258"/>
      <c r="E55" s="258"/>
      <c r="F55" s="258"/>
      <c r="G55" s="272"/>
      <c r="H55" s="272"/>
      <c r="I55" s="272"/>
      <c r="J55" s="272"/>
      <c r="K55" s="329"/>
      <c r="L55" s="330"/>
      <c r="M55" s="285"/>
      <c r="N55" s="262"/>
      <c r="O55" s="263"/>
      <c r="P55" s="264"/>
      <c r="Q55" s="264"/>
      <c r="R55" s="264"/>
      <c r="S55" s="331"/>
      <c r="T55" s="266"/>
    </row>
    <row r="56" spans="1:20" s="267" customFormat="1" ht="18" customHeight="1">
      <c r="A56" s="256">
        <v>1</v>
      </c>
      <c r="B56" s="304"/>
      <c r="C56" s="257"/>
      <c r="D56" s="332">
        <v>0</v>
      </c>
      <c r="E56" s="333"/>
      <c r="F56" s="263"/>
      <c r="G56" s="263"/>
      <c r="H56" s="305"/>
      <c r="I56" s="263"/>
      <c r="J56" s="285"/>
      <c r="K56" s="334"/>
      <c r="L56" s="335"/>
      <c r="M56" s="336"/>
      <c r="N56" s="333"/>
      <c r="O56" s="263"/>
      <c r="P56" s="263"/>
      <c r="Q56" s="305"/>
      <c r="R56" s="263"/>
      <c r="S56" s="271"/>
      <c r="T56" s="266"/>
    </row>
    <row r="57" spans="1:20" s="267" customFormat="1" ht="15.75" customHeight="1" thickBot="1">
      <c r="A57" s="256"/>
      <c r="B57" s="324" t="s">
        <v>19</v>
      </c>
      <c r="C57" s="325"/>
      <c r="D57" s="317">
        <f>SUM(D56:D56)</f>
        <v>0</v>
      </c>
      <c r="E57" s="317"/>
      <c r="F57" s="317"/>
      <c r="G57" s="317"/>
      <c r="H57" s="317">
        <f>SUM(H56:H56)</f>
        <v>0</v>
      </c>
      <c r="I57" s="317">
        <f>SUM(I56:I56)</f>
        <v>0</v>
      </c>
      <c r="J57" s="317">
        <f>SUM(J56:J56)</f>
        <v>0</v>
      </c>
      <c r="K57" s="317"/>
      <c r="L57" s="317"/>
      <c r="M57" s="337">
        <f>SUM(M56:M56)</f>
        <v>0</v>
      </c>
      <c r="N57" s="317"/>
      <c r="O57" s="317"/>
      <c r="P57" s="317"/>
      <c r="Q57" s="317">
        <f>SUM(Q56:Q56)</f>
        <v>0</v>
      </c>
      <c r="R57" s="317">
        <f>SUM(R56:R56)</f>
        <v>0</v>
      </c>
      <c r="S57" s="317">
        <f>SUM(S56:S56)</f>
        <v>0</v>
      </c>
      <c r="T57" s="266"/>
    </row>
    <row r="58" spans="1:20" s="267" customFormat="1" ht="15.75" customHeight="1" thickTop="1">
      <c r="A58" s="256"/>
      <c r="B58" s="327" t="s">
        <v>64</v>
      </c>
      <c r="C58" s="328"/>
      <c r="D58" s="258"/>
      <c r="E58" s="258"/>
      <c r="F58" s="258"/>
      <c r="G58" s="272"/>
      <c r="H58" s="272"/>
      <c r="I58" s="272"/>
      <c r="J58" s="272"/>
      <c r="K58" s="329"/>
      <c r="L58" s="330"/>
      <c r="M58" s="285"/>
      <c r="N58" s="262"/>
      <c r="O58" s="263"/>
      <c r="P58" s="264"/>
      <c r="Q58" s="264"/>
      <c r="R58" s="264"/>
      <c r="S58" s="331"/>
      <c r="T58" s="266"/>
    </row>
    <row r="59" spans="1:20" s="267" customFormat="1" ht="24.75" customHeight="1">
      <c r="A59" s="256">
        <f>+A57+1</f>
        <v>1</v>
      </c>
      <c r="B59" s="304" t="s">
        <v>65</v>
      </c>
      <c r="C59" s="257" t="s">
        <v>66</v>
      </c>
      <c r="D59" s="285"/>
      <c r="E59" s="338"/>
      <c r="F59" s="263"/>
      <c r="G59" s="263"/>
      <c r="H59" s="305">
        <v>0</v>
      </c>
      <c r="I59" s="263"/>
      <c r="J59" s="285">
        <f>+H59</f>
        <v>0</v>
      </c>
      <c r="K59" s="339"/>
      <c r="L59" s="340"/>
      <c r="M59" s="285">
        <v>0</v>
      </c>
      <c r="N59" s="338"/>
      <c r="O59" s="263"/>
      <c r="P59" s="263"/>
      <c r="Q59" s="305">
        <f>+S59</f>
        <v>0</v>
      </c>
      <c r="R59" s="263"/>
      <c r="S59" s="271">
        <f t="shared" ref="S59:S60" si="21">+D59+J59-M59</f>
        <v>0</v>
      </c>
      <c r="T59" s="266"/>
    </row>
    <row r="60" spans="1:20" s="267" customFormat="1" ht="18" customHeight="1">
      <c r="A60" s="256"/>
      <c r="B60" s="341" t="s">
        <v>67</v>
      </c>
      <c r="C60" s="307"/>
      <c r="D60" s="307"/>
      <c r="E60" s="342"/>
      <c r="F60" s="280"/>
      <c r="G60" s="280"/>
      <c r="H60" s="280"/>
      <c r="I60" s="280"/>
      <c r="J60" s="261"/>
      <c r="K60" s="261"/>
      <c r="L60" s="261"/>
      <c r="M60" s="261">
        <v>0</v>
      </c>
      <c r="N60" s="343"/>
      <c r="O60" s="280"/>
      <c r="P60" s="263"/>
      <c r="Q60" s="305"/>
      <c r="R60" s="263"/>
      <c r="S60" s="271">
        <f t="shared" si="21"/>
        <v>0</v>
      </c>
      <c r="T60" s="266"/>
    </row>
    <row r="61" spans="1:20" s="267" customFormat="1" ht="15.75" customHeight="1" thickBot="1">
      <c r="A61" s="256"/>
      <c r="B61" s="344"/>
      <c r="C61" s="345"/>
      <c r="D61" s="317">
        <v>0</v>
      </c>
      <c r="E61" s="289"/>
      <c r="F61" s="317"/>
      <c r="G61" s="317"/>
      <c r="H61" s="317">
        <f t="shared" ref="H61:S61" si="22">SUM(H59)</f>
        <v>0</v>
      </c>
      <c r="I61" s="317">
        <f t="shared" si="22"/>
        <v>0</v>
      </c>
      <c r="J61" s="317">
        <f t="shared" si="22"/>
        <v>0</v>
      </c>
      <c r="K61" s="317"/>
      <c r="L61" s="317"/>
      <c r="M61" s="317">
        <f t="shared" si="22"/>
        <v>0</v>
      </c>
      <c r="N61" s="317"/>
      <c r="O61" s="317"/>
      <c r="P61" s="317"/>
      <c r="Q61" s="317">
        <f t="shared" si="22"/>
        <v>0</v>
      </c>
      <c r="R61" s="317">
        <f t="shared" si="22"/>
        <v>0</v>
      </c>
      <c r="S61" s="317">
        <f t="shared" si="22"/>
        <v>0</v>
      </c>
      <c r="T61" s="266"/>
    </row>
    <row r="62" spans="1:20" s="267" customFormat="1" ht="15.75" customHeight="1" thickTop="1">
      <c r="A62" s="256"/>
      <c r="B62" s="327" t="s">
        <v>68</v>
      </c>
      <c r="C62" s="346"/>
      <c r="D62" s="258"/>
      <c r="E62" s="258"/>
      <c r="F62" s="258"/>
      <c r="G62" s="272"/>
      <c r="H62" s="272"/>
      <c r="I62" s="272"/>
      <c r="J62" s="272"/>
      <c r="K62" s="329"/>
      <c r="L62" s="330"/>
      <c r="M62" s="285"/>
      <c r="N62" s="262"/>
      <c r="O62" s="263"/>
      <c r="P62" s="264"/>
      <c r="Q62" s="264"/>
      <c r="R62" s="264"/>
      <c r="S62" s="331"/>
      <c r="T62" s="266"/>
    </row>
    <row r="63" spans="1:20" s="267" customFormat="1" ht="17.25" customHeight="1">
      <c r="A63" s="347"/>
      <c r="B63" s="257"/>
      <c r="C63" s="257" t="s">
        <v>21</v>
      </c>
      <c r="D63" s="348"/>
      <c r="E63" s="349"/>
      <c r="F63" s="280"/>
      <c r="G63" s="280"/>
      <c r="H63" s="350"/>
      <c r="I63" s="280"/>
      <c r="J63" s="351"/>
      <c r="K63" s="352"/>
      <c r="L63" s="353"/>
      <c r="M63" s="351"/>
      <c r="N63" s="349"/>
      <c r="O63" s="280"/>
      <c r="P63" s="280"/>
      <c r="Q63" s="350"/>
      <c r="R63" s="280"/>
      <c r="S63" s="271"/>
      <c r="T63" s="266"/>
    </row>
    <row r="64" spans="1:20" s="267" customFormat="1" ht="15.75" customHeight="1" thickBot="1">
      <c r="A64" s="256"/>
      <c r="B64" s="324" t="s">
        <v>19</v>
      </c>
      <c r="C64" s="325"/>
      <c r="D64" s="317">
        <f>SUM(D63:D63)</f>
        <v>0</v>
      </c>
      <c r="E64" s="317"/>
      <c r="F64" s="317"/>
      <c r="G64" s="317"/>
      <c r="H64" s="317">
        <f>SUM(H63:H63)</f>
        <v>0</v>
      </c>
      <c r="I64" s="317">
        <f>SUM(I63:I63)</f>
        <v>0</v>
      </c>
      <c r="J64" s="317">
        <f>SUM(J63:J63)</f>
        <v>0</v>
      </c>
      <c r="K64" s="326"/>
      <c r="L64" s="317"/>
      <c r="M64" s="317">
        <f>SUM(M63:M63)</f>
        <v>0</v>
      </c>
      <c r="N64" s="317"/>
      <c r="O64" s="317"/>
      <c r="P64" s="317"/>
      <c r="Q64" s="317">
        <f>SUM(Q63:Q63)</f>
        <v>0</v>
      </c>
      <c r="R64" s="317">
        <f>SUM(R63:R63)</f>
        <v>0</v>
      </c>
      <c r="S64" s="317">
        <f>SUM(S63:S63)</f>
        <v>0</v>
      </c>
      <c r="T64" s="266"/>
    </row>
    <row r="65" spans="1:20" s="267" customFormat="1" ht="18.600000000000001" customHeight="1" thickTop="1">
      <c r="A65" s="256"/>
      <c r="B65" s="292" t="s">
        <v>69</v>
      </c>
      <c r="C65" s="293"/>
      <c r="D65" s="294"/>
      <c r="E65" s="294"/>
      <c r="F65" s="294"/>
      <c r="G65" s="295"/>
      <c r="H65" s="295"/>
      <c r="I65" s="295"/>
      <c r="J65" s="295"/>
      <c r="K65" s="296"/>
      <c r="L65" s="297"/>
      <c r="M65" s="298"/>
      <c r="N65" s="299"/>
      <c r="O65" s="300"/>
      <c r="P65" s="301"/>
      <c r="Q65" s="301"/>
      <c r="R65" s="301"/>
      <c r="S65" s="302"/>
      <c r="T65" s="266"/>
    </row>
    <row r="66" spans="1:20" s="355" customFormat="1" ht="16.5" customHeight="1" thickBot="1">
      <c r="A66" s="347"/>
      <c r="B66" s="324" t="s">
        <v>19</v>
      </c>
      <c r="C66" s="325"/>
      <c r="D66" s="317">
        <f>SUM(D65)</f>
        <v>0</v>
      </c>
      <c r="E66" s="317"/>
      <c r="F66" s="317"/>
      <c r="G66" s="317"/>
      <c r="H66" s="317">
        <f t="shared" ref="H66:S67" si="23">SUM(H65)</f>
        <v>0</v>
      </c>
      <c r="I66" s="317">
        <f t="shared" si="23"/>
        <v>0</v>
      </c>
      <c r="J66" s="317">
        <f t="shared" si="23"/>
        <v>0</v>
      </c>
      <c r="K66" s="317"/>
      <c r="L66" s="317"/>
      <c r="M66" s="317">
        <f t="shared" si="23"/>
        <v>0</v>
      </c>
      <c r="N66" s="317"/>
      <c r="O66" s="317"/>
      <c r="P66" s="317"/>
      <c r="Q66" s="317">
        <f t="shared" si="23"/>
        <v>0</v>
      </c>
      <c r="R66" s="317">
        <f t="shared" si="23"/>
        <v>0</v>
      </c>
      <c r="S66" s="317">
        <f t="shared" si="23"/>
        <v>0</v>
      </c>
      <c r="T66" s="354"/>
    </row>
    <row r="67" spans="1:20" s="267" customFormat="1" ht="19.2" customHeight="1" thickTop="1">
      <c r="A67" s="256"/>
      <c r="B67" s="292" t="s">
        <v>70</v>
      </c>
      <c r="C67" s="356"/>
      <c r="D67" s="294">
        <f>SUM(D66)</f>
        <v>0</v>
      </c>
      <c r="E67" s="357"/>
      <c r="F67" s="357"/>
      <c r="G67" s="357"/>
      <c r="H67" s="294">
        <f t="shared" si="23"/>
        <v>0</v>
      </c>
      <c r="I67" s="357">
        <f t="shared" si="23"/>
        <v>0</v>
      </c>
      <c r="J67" s="357">
        <f t="shared" si="23"/>
        <v>0</v>
      </c>
      <c r="K67" s="357"/>
      <c r="L67" s="357"/>
      <c r="M67" s="357">
        <f t="shared" si="23"/>
        <v>0</v>
      </c>
      <c r="N67" s="357"/>
      <c r="O67" s="357"/>
      <c r="P67" s="294"/>
      <c r="Q67" s="357">
        <f t="shared" si="23"/>
        <v>0</v>
      </c>
      <c r="R67" s="294">
        <f t="shared" si="23"/>
        <v>0</v>
      </c>
      <c r="S67" s="294">
        <f t="shared" si="23"/>
        <v>0</v>
      </c>
      <c r="T67" s="266"/>
    </row>
    <row r="68" spans="1:20" s="267" customFormat="1" ht="17.399999999999999" customHeight="1">
      <c r="A68" s="256">
        <v>1</v>
      </c>
      <c r="B68" s="257" t="s">
        <v>71</v>
      </c>
      <c r="C68" s="257" t="s">
        <v>72</v>
      </c>
      <c r="D68" s="358"/>
      <c r="E68" s="358"/>
      <c r="F68" s="357"/>
      <c r="G68" s="357"/>
      <c r="H68" s="358">
        <f t="shared" ref="H68:J70" si="24">SUM(H65:H65)</f>
        <v>0</v>
      </c>
      <c r="I68" s="357">
        <f t="shared" si="24"/>
        <v>0</v>
      </c>
      <c r="J68" s="357">
        <f t="shared" si="24"/>
        <v>0</v>
      </c>
      <c r="K68" s="259"/>
      <c r="L68" s="359"/>
      <c r="M68" s="261">
        <f>+D68</f>
        <v>0</v>
      </c>
      <c r="N68" s="358"/>
      <c r="O68" s="358"/>
      <c r="P68" s="357"/>
      <c r="Q68" s="357">
        <f t="shared" ref="Q68:S70" si="25">SUM(Q65:Q65)</f>
        <v>0</v>
      </c>
      <c r="R68" s="358">
        <f t="shared" si="25"/>
        <v>0</v>
      </c>
      <c r="S68" s="358">
        <f t="shared" si="25"/>
        <v>0</v>
      </c>
      <c r="T68" s="266"/>
    </row>
    <row r="69" spans="1:20" s="355" customFormat="1" ht="16.5" customHeight="1">
      <c r="A69" s="347">
        <v>2</v>
      </c>
      <c r="B69" s="257" t="s">
        <v>73</v>
      </c>
      <c r="C69" s="257" t="s">
        <v>72</v>
      </c>
      <c r="D69" s="258">
        <v>0</v>
      </c>
      <c r="E69" s="258"/>
      <c r="F69" s="258"/>
      <c r="G69" s="284"/>
      <c r="H69" s="258">
        <f t="shared" si="24"/>
        <v>0</v>
      </c>
      <c r="I69" s="258">
        <f t="shared" si="24"/>
        <v>0</v>
      </c>
      <c r="J69" s="284">
        <f t="shared" si="24"/>
        <v>0</v>
      </c>
      <c r="K69" s="360"/>
      <c r="L69" s="361"/>
      <c r="M69" s="284">
        <v>0</v>
      </c>
      <c r="N69" s="268"/>
      <c r="O69" s="258"/>
      <c r="P69" s="284"/>
      <c r="Q69" s="284">
        <f t="shared" si="25"/>
        <v>0</v>
      </c>
      <c r="R69" s="258">
        <f t="shared" si="25"/>
        <v>0</v>
      </c>
      <c r="S69" s="268">
        <f t="shared" si="25"/>
        <v>0</v>
      </c>
      <c r="T69" s="266"/>
    </row>
    <row r="70" spans="1:20" s="355" customFormat="1" ht="16.5" customHeight="1">
      <c r="A70" s="256">
        <v>3</v>
      </c>
      <c r="B70" s="257" t="s">
        <v>29</v>
      </c>
      <c r="C70" s="257" t="s">
        <v>72</v>
      </c>
      <c r="D70" s="258">
        <v>400</v>
      </c>
      <c r="E70" s="268"/>
      <c r="F70" s="258"/>
      <c r="G70" s="284"/>
      <c r="H70" s="258">
        <f t="shared" si="24"/>
        <v>0</v>
      </c>
      <c r="I70" s="258">
        <f t="shared" si="24"/>
        <v>0</v>
      </c>
      <c r="J70" s="258">
        <f t="shared" si="24"/>
        <v>0</v>
      </c>
      <c r="K70" s="259">
        <v>25300</v>
      </c>
      <c r="L70" s="359" t="str">
        <f t="shared" ref="L70:L75" si="26">+T70</f>
        <v>582/29055</v>
      </c>
      <c r="M70" s="261">
        <f>+D70</f>
        <v>400</v>
      </c>
      <c r="N70" s="284" t="s">
        <v>339</v>
      </c>
      <c r="O70" s="268"/>
      <c r="P70" s="258"/>
      <c r="Q70" s="258">
        <f t="shared" si="25"/>
        <v>0</v>
      </c>
      <c r="R70" s="258">
        <f t="shared" si="25"/>
        <v>0</v>
      </c>
      <c r="S70" s="284">
        <f t="shared" si="25"/>
        <v>0</v>
      </c>
      <c r="T70" s="266" t="s">
        <v>327</v>
      </c>
    </row>
    <row r="71" spans="1:20" s="355" customFormat="1" ht="16.5" customHeight="1">
      <c r="A71" s="256">
        <v>4</v>
      </c>
      <c r="B71" s="233" t="s">
        <v>29</v>
      </c>
      <c r="C71" s="233" t="s">
        <v>72</v>
      </c>
      <c r="D71" s="275">
        <v>300</v>
      </c>
      <c r="E71" s="279"/>
      <c r="F71" s="209"/>
      <c r="G71" s="279"/>
      <c r="H71" s="275"/>
      <c r="I71" s="209"/>
      <c r="J71" s="209"/>
      <c r="K71" s="276">
        <v>25306</v>
      </c>
      <c r="L71" s="362" t="str">
        <f t="shared" si="26"/>
        <v>582/29061</v>
      </c>
      <c r="M71" s="212">
        <f t="shared" ref="M71:M75" si="27">+D71</f>
        <v>300</v>
      </c>
      <c r="N71" s="284"/>
      <c r="O71" s="284"/>
      <c r="P71" s="268"/>
      <c r="Q71" s="268"/>
      <c r="R71" s="284"/>
      <c r="S71" s="284"/>
      <c r="T71" s="266" t="s">
        <v>328</v>
      </c>
    </row>
    <row r="72" spans="1:20" s="355" customFormat="1" ht="16.5" customHeight="1">
      <c r="A72" s="347">
        <v>5</v>
      </c>
      <c r="B72" s="233" t="s">
        <v>29</v>
      </c>
      <c r="C72" s="233" t="s">
        <v>72</v>
      </c>
      <c r="D72" s="275">
        <v>600</v>
      </c>
      <c r="E72" s="279"/>
      <c r="F72" s="275"/>
      <c r="G72" s="279"/>
      <c r="H72" s="275"/>
      <c r="I72" s="275"/>
      <c r="J72" s="279"/>
      <c r="K72" s="276">
        <v>25314</v>
      </c>
      <c r="L72" s="362" t="str">
        <f>+T72</f>
        <v>582/29069</v>
      </c>
      <c r="M72" s="212">
        <f t="shared" si="27"/>
        <v>600</v>
      </c>
      <c r="N72" s="284"/>
      <c r="O72" s="284"/>
      <c r="P72" s="258"/>
      <c r="Q72" s="284"/>
      <c r="R72" s="284"/>
      <c r="S72" s="284"/>
      <c r="T72" s="266" t="s">
        <v>329</v>
      </c>
    </row>
    <row r="73" spans="1:20" s="355" customFormat="1" ht="16.5" customHeight="1">
      <c r="A73" s="256">
        <v>6</v>
      </c>
      <c r="B73" s="233" t="s">
        <v>29</v>
      </c>
      <c r="C73" s="233" t="s">
        <v>72</v>
      </c>
      <c r="D73" s="275">
        <v>400</v>
      </c>
      <c r="E73" s="279"/>
      <c r="F73" s="209"/>
      <c r="G73" s="279"/>
      <c r="H73" s="275"/>
      <c r="I73" s="275"/>
      <c r="J73" s="275"/>
      <c r="K73" s="276">
        <v>25321</v>
      </c>
      <c r="L73" s="362" t="str">
        <f t="shared" si="26"/>
        <v>582/29074</v>
      </c>
      <c r="M73" s="212">
        <f t="shared" si="27"/>
        <v>400</v>
      </c>
      <c r="N73" s="284"/>
      <c r="O73" s="258"/>
      <c r="P73" s="268"/>
      <c r="Q73" s="284"/>
      <c r="R73" s="284"/>
      <c r="S73" s="284"/>
      <c r="T73" s="266" t="s">
        <v>330</v>
      </c>
    </row>
    <row r="74" spans="1:20" s="355" customFormat="1" ht="16.5" customHeight="1">
      <c r="A74" s="256">
        <v>7</v>
      </c>
      <c r="B74" s="257"/>
      <c r="C74" s="257"/>
      <c r="D74" s="258"/>
      <c r="E74" s="284"/>
      <c r="F74" s="268"/>
      <c r="G74" s="284"/>
      <c r="H74" s="258"/>
      <c r="I74" s="258"/>
      <c r="J74" s="258"/>
      <c r="K74" s="259"/>
      <c r="L74" s="359"/>
      <c r="M74" s="261">
        <f t="shared" si="27"/>
        <v>0</v>
      </c>
      <c r="N74" s="284"/>
      <c r="O74" s="268"/>
      <c r="P74" s="284"/>
      <c r="Q74" s="258"/>
      <c r="R74" s="284"/>
      <c r="S74" s="284"/>
      <c r="T74" s="266"/>
    </row>
    <row r="75" spans="1:20" s="355" customFormat="1" ht="16.5" customHeight="1">
      <c r="A75" s="347">
        <v>8</v>
      </c>
      <c r="B75" s="363"/>
      <c r="C75" s="363"/>
      <c r="D75" s="342">
        <v>0</v>
      </c>
      <c r="E75" s="342"/>
      <c r="F75" s="342"/>
      <c r="G75" s="284"/>
      <c r="H75" s="342">
        <f t="shared" ref="H75:J76" si="28">SUM(H68:H68)</f>
        <v>0</v>
      </c>
      <c r="I75" s="268">
        <f t="shared" si="28"/>
        <v>0</v>
      </c>
      <c r="J75" s="268">
        <f t="shared" si="28"/>
        <v>0</v>
      </c>
      <c r="K75" s="364"/>
      <c r="L75" s="359">
        <f t="shared" si="26"/>
        <v>0</v>
      </c>
      <c r="M75" s="261">
        <f t="shared" si="27"/>
        <v>0</v>
      </c>
      <c r="N75" s="284"/>
      <c r="O75" s="284"/>
      <c r="P75" s="342"/>
      <c r="Q75" s="268">
        <f t="shared" ref="Q75:S76" si="29">SUM(Q68:Q68)</f>
        <v>0</v>
      </c>
      <c r="R75" s="342">
        <f t="shared" si="29"/>
        <v>0</v>
      </c>
      <c r="S75" s="284">
        <f t="shared" si="29"/>
        <v>0</v>
      </c>
      <c r="T75" s="354"/>
    </row>
    <row r="76" spans="1:20" s="267" customFormat="1" ht="15.75" customHeight="1" thickBot="1">
      <c r="A76" s="256"/>
      <c r="B76" s="324" t="s">
        <v>19</v>
      </c>
      <c r="C76" s="325"/>
      <c r="D76" s="317">
        <f>SUM(D68:D75)</f>
        <v>1700</v>
      </c>
      <c r="E76" s="289"/>
      <c r="F76" s="317"/>
      <c r="G76" s="317"/>
      <c r="H76" s="317">
        <f t="shared" si="28"/>
        <v>0</v>
      </c>
      <c r="I76" s="317">
        <f t="shared" si="28"/>
        <v>0</v>
      </c>
      <c r="J76" s="317">
        <f t="shared" si="28"/>
        <v>0</v>
      </c>
      <c r="K76" s="289"/>
      <c r="L76" s="317"/>
      <c r="M76" s="317">
        <f>SUM(M68:M75)</f>
        <v>1700</v>
      </c>
      <c r="N76" s="317"/>
      <c r="O76" s="317"/>
      <c r="P76" s="317"/>
      <c r="Q76" s="317">
        <f t="shared" si="29"/>
        <v>0</v>
      </c>
      <c r="R76" s="289">
        <f t="shared" si="29"/>
        <v>0</v>
      </c>
      <c r="S76" s="317">
        <f t="shared" si="29"/>
        <v>0</v>
      </c>
      <c r="T76" s="266"/>
    </row>
    <row r="77" spans="1:20" s="267" customFormat="1" ht="15.75" customHeight="1" thickTop="1">
      <c r="A77" s="256"/>
      <c r="B77" s="292" t="s">
        <v>86</v>
      </c>
      <c r="C77" s="293"/>
      <c r="D77" s="294"/>
      <c r="E77" s="294"/>
      <c r="F77" s="294"/>
      <c r="G77" s="295"/>
      <c r="H77" s="295"/>
      <c r="I77" s="295"/>
      <c r="J77" s="295"/>
      <c r="K77" s="365"/>
      <c r="L77" s="366"/>
      <c r="M77" s="298"/>
      <c r="N77" s="299"/>
      <c r="O77" s="300"/>
      <c r="P77" s="301"/>
      <c r="Q77" s="301"/>
      <c r="R77" s="301"/>
      <c r="S77" s="302"/>
      <c r="T77" s="266"/>
    </row>
    <row r="78" spans="1:20" s="267" customFormat="1" ht="21" customHeight="1">
      <c r="A78" s="303">
        <v>1</v>
      </c>
      <c r="B78" s="367" t="s">
        <v>87</v>
      </c>
      <c r="C78" s="307" t="s">
        <v>88</v>
      </c>
      <c r="D78" s="261"/>
      <c r="E78" s="307"/>
      <c r="F78" s="280"/>
      <c r="G78" s="280"/>
      <c r="H78" s="350"/>
      <c r="I78" s="350">
        <f t="shared" ref="I78" si="30">ROUND((H78*0.07),2)</f>
        <v>0</v>
      </c>
      <c r="J78" s="261">
        <f>+H78+I78</f>
        <v>0</v>
      </c>
      <c r="K78" s="259"/>
      <c r="L78" s="260">
        <f t="shared" ref="L78" si="31">+T78</f>
        <v>0</v>
      </c>
      <c r="M78" s="261">
        <f>+D78</f>
        <v>0</v>
      </c>
      <c r="N78" s="343"/>
      <c r="O78" s="368"/>
      <c r="P78" s="368"/>
      <c r="Q78" s="350">
        <f>ROUND(S78*100/107,2)</f>
        <v>0</v>
      </c>
      <c r="R78" s="350">
        <f t="shared" ref="R78:R82" si="32">ROUND((Q78*0.07),2)</f>
        <v>0</v>
      </c>
      <c r="S78" s="281">
        <f t="shared" ref="S78:S82" si="33">+D78+J78-M78</f>
        <v>0</v>
      </c>
      <c r="T78" s="266"/>
    </row>
    <row r="79" spans="1:20" s="267" customFormat="1" ht="21" customHeight="1">
      <c r="A79" s="303">
        <f>+A78+1</f>
        <v>2</v>
      </c>
      <c r="B79" s="306" t="s">
        <v>89</v>
      </c>
      <c r="C79" s="307" t="s">
        <v>88</v>
      </c>
      <c r="D79" s="261">
        <v>0</v>
      </c>
      <c r="E79" s="307"/>
      <c r="F79" s="280"/>
      <c r="G79" s="280"/>
      <c r="H79" s="350"/>
      <c r="I79" s="350"/>
      <c r="J79" s="261">
        <f t="shared" ref="J79:J82" si="34">+H79+I79</f>
        <v>0</v>
      </c>
      <c r="K79" s="369"/>
      <c r="L79" s="370"/>
      <c r="M79" s="261">
        <f t="shared" ref="M79:M84" si="35">+D79</f>
        <v>0</v>
      </c>
      <c r="N79" s="343"/>
      <c r="O79" s="368"/>
      <c r="P79" s="368"/>
      <c r="Q79" s="350">
        <f>ROUND(S79*100/107,2)</f>
        <v>0</v>
      </c>
      <c r="R79" s="350">
        <f t="shared" si="32"/>
        <v>0</v>
      </c>
      <c r="S79" s="281">
        <f t="shared" si="33"/>
        <v>0</v>
      </c>
      <c r="T79" s="266"/>
    </row>
    <row r="80" spans="1:20" s="267" customFormat="1" ht="21" customHeight="1">
      <c r="A80" s="303">
        <f t="shared" ref="A80:A85" si="36">+A79+1</f>
        <v>3</v>
      </c>
      <c r="B80" s="306" t="s">
        <v>90</v>
      </c>
      <c r="C80" s="307" t="s">
        <v>88</v>
      </c>
      <c r="D80" s="261">
        <v>0</v>
      </c>
      <c r="E80" s="307"/>
      <c r="F80" s="280"/>
      <c r="G80" s="280"/>
      <c r="H80" s="350">
        <v>0</v>
      </c>
      <c r="I80" s="350">
        <f t="shared" ref="I80:I82" si="37">ROUND((H80*0.07),2)</f>
        <v>0</v>
      </c>
      <c r="J80" s="261">
        <f t="shared" si="34"/>
        <v>0</v>
      </c>
      <c r="K80" s="259"/>
      <c r="L80" s="260"/>
      <c r="M80" s="261">
        <f t="shared" si="35"/>
        <v>0</v>
      </c>
      <c r="N80" s="343"/>
      <c r="O80" s="368"/>
      <c r="P80" s="368"/>
      <c r="Q80" s="350">
        <f t="shared" ref="Q80:Q82" si="38">ROUND(S80*100/107,2)</f>
        <v>0</v>
      </c>
      <c r="R80" s="350">
        <f t="shared" si="32"/>
        <v>0</v>
      </c>
      <c r="S80" s="281">
        <f t="shared" si="33"/>
        <v>0</v>
      </c>
      <c r="T80" s="266"/>
    </row>
    <row r="81" spans="1:20" s="267" customFormat="1" ht="21" customHeight="1">
      <c r="A81" s="303">
        <f t="shared" si="36"/>
        <v>4</v>
      </c>
      <c r="B81" s="257" t="s">
        <v>29</v>
      </c>
      <c r="C81" s="307" t="s">
        <v>88</v>
      </c>
      <c r="D81" s="261">
        <v>3616.6</v>
      </c>
      <c r="E81" s="307"/>
      <c r="F81" s="280"/>
      <c r="G81" s="280"/>
      <c r="H81" s="350">
        <v>0</v>
      </c>
      <c r="I81" s="350">
        <f t="shared" si="37"/>
        <v>0</v>
      </c>
      <c r="J81" s="261">
        <f t="shared" si="34"/>
        <v>0</v>
      </c>
      <c r="K81" s="259">
        <v>25300</v>
      </c>
      <c r="L81" s="260" t="str">
        <f t="shared" ref="L81:L84" si="39">+T81</f>
        <v>582/29056</v>
      </c>
      <c r="M81" s="261">
        <f t="shared" si="35"/>
        <v>3616.6</v>
      </c>
      <c r="N81" s="343"/>
      <c r="O81" s="368"/>
      <c r="P81" s="368"/>
      <c r="Q81" s="350">
        <f t="shared" si="38"/>
        <v>0</v>
      </c>
      <c r="R81" s="350">
        <f t="shared" si="32"/>
        <v>0</v>
      </c>
      <c r="S81" s="281">
        <f t="shared" si="33"/>
        <v>0</v>
      </c>
      <c r="T81" s="266" t="s">
        <v>331</v>
      </c>
    </row>
    <row r="82" spans="1:20" s="267" customFormat="1" ht="21" customHeight="1">
      <c r="A82" s="303">
        <f t="shared" si="36"/>
        <v>5</v>
      </c>
      <c r="B82" s="233" t="s">
        <v>29</v>
      </c>
      <c r="C82" s="371" t="s">
        <v>88</v>
      </c>
      <c r="D82" s="212">
        <v>2578.6999999999998</v>
      </c>
      <c r="E82" s="371"/>
      <c r="F82" s="244"/>
      <c r="G82" s="244"/>
      <c r="H82" s="245"/>
      <c r="I82" s="245">
        <f t="shared" si="37"/>
        <v>0</v>
      </c>
      <c r="J82" s="204">
        <f t="shared" si="34"/>
        <v>0</v>
      </c>
      <c r="K82" s="276">
        <v>25306</v>
      </c>
      <c r="L82" s="277" t="str">
        <f t="shared" si="39"/>
        <v>582/29062</v>
      </c>
      <c r="M82" s="212">
        <f t="shared" si="35"/>
        <v>2578.6999999999998</v>
      </c>
      <c r="N82" s="340"/>
      <c r="O82" s="372"/>
      <c r="P82" s="368"/>
      <c r="Q82" s="305">
        <f t="shared" si="38"/>
        <v>0</v>
      </c>
      <c r="R82" s="350">
        <f t="shared" si="32"/>
        <v>0</v>
      </c>
      <c r="S82" s="281">
        <f t="shared" si="33"/>
        <v>0</v>
      </c>
      <c r="T82" s="266" t="s">
        <v>332</v>
      </c>
    </row>
    <row r="83" spans="1:20" s="267" customFormat="1" ht="21" customHeight="1">
      <c r="A83" s="303">
        <f t="shared" si="36"/>
        <v>6</v>
      </c>
      <c r="B83" s="233" t="s">
        <v>29</v>
      </c>
      <c r="C83" s="371" t="s">
        <v>88</v>
      </c>
      <c r="D83" s="212">
        <v>6505.6</v>
      </c>
      <c r="E83" s="371"/>
      <c r="F83" s="244"/>
      <c r="G83" s="244"/>
      <c r="H83" s="245"/>
      <c r="I83" s="245"/>
      <c r="J83" s="204"/>
      <c r="K83" s="276">
        <v>25314</v>
      </c>
      <c r="L83" s="277" t="str">
        <f t="shared" si="39"/>
        <v>582/29070</v>
      </c>
      <c r="M83" s="204">
        <f t="shared" si="35"/>
        <v>6505.6</v>
      </c>
      <c r="N83" s="340"/>
      <c r="O83" s="373"/>
      <c r="P83" s="368"/>
      <c r="Q83" s="315"/>
      <c r="R83" s="350"/>
      <c r="S83" s="281"/>
      <c r="T83" s="266" t="s">
        <v>333</v>
      </c>
    </row>
    <row r="84" spans="1:20" s="267" customFormat="1" ht="21" customHeight="1">
      <c r="A84" s="303">
        <f t="shared" si="36"/>
        <v>7</v>
      </c>
      <c r="B84" s="233" t="s">
        <v>29</v>
      </c>
      <c r="C84" s="233" t="s">
        <v>88</v>
      </c>
      <c r="D84" s="204">
        <v>3894.8</v>
      </c>
      <c r="E84" s="371"/>
      <c r="F84" s="244"/>
      <c r="G84" s="244"/>
      <c r="H84" s="245"/>
      <c r="I84" s="245"/>
      <c r="J84" s="204"/>
      <c r="K84" s="276">
        <v>25321</v>
      </c>
      <c r="L84" s="277" t="str">
        <f t="shared" si="39"/>
        <v>582/29075</v>
      </c>
      <c r="M84" s="204">
        <f t="shared" si="35"/>
        <v>3894.8</v>
      </c>
      <c r="N84" s="374"/>
      <c r="O84" s="368"/>
      <c r="P84" s="368"/>
      <c r="Q84" s="350"/>
      <c r="R84" s="305"/>
      <c r="S84" s="271"/>
      <c r="T84" s="266" t="s">
        <v>334</v>
      </c>
    </row>
    <row r="85" spans="1:20" s="267" customFormat="1" ht="21" customHeight="1">
      <c r="A85" s="303">
        <f t="shared" si="36"/>
        <v>8</v>
      </c>
      <c r="B85" s="257"/>
      <c r="C85" s="257"/>
      <c r="D85" s="261"/>
      <c r="E85" s="307"/>
      <c r="F85" s="280"/>
      <c r="G85" s="263"/>
      <c r="H85" s="350"/>
      <c r="I85" s="350"/>
      <c r="J85" s="323"/>
      <c r="K85" s="259"/>
      <c r="L85" s="260"/>
      <c r="M85" s="375"/>
      <c r="N85" s="343"/>
      <c r="O85" s="372"/>
      <c r="P85" s="372"/>
      <c r="Q85" s="305"/>
      <c r="R85" s="305"/>
      <c r="S85" s="271"/>
      <c r="T85" s="266"/>
    </row>
    <row r="86" spans="1:20" s="267" customFormat="1" ht="15.75" customHeight="1" thickBot="1">
      <c r="A86" s="256"/>
      <c r="B86" s="324" t="s">
        <v>19</v>
      </c>
      <c r="C86" s="325"/>
      <c r="D86" s="317">
        <f>SUM(D78:D85)</f>
        <v>16595.7</v>
      </c>
      <c r="E86" s="317"/>
      <c r="F86" s="317"/>
      <c r="G86" s="317"/>
      <c r="H86" s="317">
        <f>SUM(H78:H82)</f>
        <v>0</v>
      </c>
      <c r="I86" s="317">
        <f>SUM(I78:I82)</f>
        <v>0</v>
      </c>
      <c r="J86" s="317">
        <f>SUM(J78:J82)</f>
        <v>0</v>
      </c>
      <c r="K86" s="317"/>
      <c r="L86" s="317"/>
      <c r="M86" s="317">
        <f>SUM(M78:M85)</f>
        <v>16595.7</v>
      </c>
      <c r="N86" s="317"/>
      <c r="O86" s="317"/>
      <c r="P86" s="317"/>
      <c r="Q86" s="317">
        <f>SUM(Q78:Q82)</f>
        <v>0</v>
      </c>
      <c r="R86" s="317">
        <f>SUM(R78:R82)</f>
        <v>0</v>
      </c>
      <c r="S86" s="317">
        <f>SUM(S78:S82)</f>
        <v>0</v>
      </c>
      <c r="T86" s="266"/>
    </row>
    <row r="87" spans="1:20" s="267" customFormat="1" ht="19.8" customHeight="1" thickTop="1">
      <c r="A87" s="256"/>
      <c r="B87" s="292" t="s">
        <v>101</v>
      </c>
      <c r="C87" s="293"/>
      <c r="D87" s="294">
        <v>0</v>
      </c>
      <c r="E87" s="294"/>
      <c r="F87" s="294"/>
      <c r="G87" s="295"/>
      <c r="H87" s="295"/>
      <c r="I87" s="295"/>
      <c r="J87" s="295"/>
      <c r="K87" s="296"/>
      <c r="L87" s="297"/>
      <c r="M87" s="298"/>
      <c r="N87" s="299"/>
      <c r="O87" s="300"/>
      <c r="P87" s="301"/>
      <c r="Q87" s="301"/>
      <c r="R87" s="301"/>
      <c r="S87" s="302"/>
      <c r="T87" s="266"/>
    </row>
    <row r="88" spans="1:20" s="267" customFormat="1" ht="15.75" customHeight="1">
      <c r="A88" s="256">
        <v>1</v>
      </c>
      <c r="B88" s="319"/>
      <c r="C88" s="320" t="s">
        <v>21</v>
      </c>
      <c r="D88" s="268">
        <v>0</v>
      </c>
      <c r="E88" s="268"/>
      <c r="F88" s="268"/>
      <c r="G88" s="268"/>
      <c r="H88" s="268"/>
      <c r="I88" s="268"/>
      <c r="J88" s="268"/>
      <c r="K88" s="321"/>
      <c r="L88" s="322"/>
      <c r="M88" s="323"/>
      <c r="N88" s="269"/>
      <c r="O88" s="274"/>
      <c r="P88" s="270"/>
      <c r="Q88" s="270"/>
      <c r="R88" s="270"/>
      <c r="S88" s="265"/>
      <c r="T88" s="266"/>
    </row>
    <row r="89" spans="1:20" s="267" customFormat="1" ht="15.75" customHeight="1" thickBot="1">
      <c r="A89" s="256"/>
      <c r="B89" s="324" t="s">
        <v>19</v>
      </c>
      <c r="C89" s="325"/>
      <c r="D89" s="317">
        <f>SUM(D88)</f>
        <v>0</v>
      </c>
      <c r="E89" s="317"/>
      <c r="F89" s="317"/>
      <c r="G89" s="317"/>
      <c r="H89" s="317">
        <f t="shared" ref="H89:J89" si="40">SUM(H88)</f>
        <v>0</v>
      </c>
      <c r="I89" s="317">
        <f t="shared" si="40"/>
        <v>0</v>
      </c>
      <c r="J89" s="317">
        <f t="shared" si="40"/>
        <v>0</v>
      </c>
      <c r="K89" s="326"/>
      <c r="L89" s="317"/>
      <c r="M89" s="317">
        <f t="shared" ref="M89" si="41">SUM(M88)</f>
        <v>0</v>
      </c>
      <c r="N89" s="317"/>
      <c r="O89" s="317"/>
      <c r="P89" s="317"/>
      <c r="Q89" s="317">
        <f t="shared" ref="Q89:S89" si="42">SUM(Q88)</f>
        <v>0</v>
      </c>
      <c r="R89" s="317">
        <f t="shared" si="42"/>
        <v>0</v>
      </c>
      <c r="S89" s="317">
        <f t="shared" si="42"/>
        <v>0</v>
      </c>
      <c r="T89" s="266"/>
    </row>
    <row r="90" spans="1:20" s="267" customFormat="1" ht="18.600000000000001" customHeight="1" thickTop="1">
      <c r="A90" s="256"/>
      <c r="B90" s="292" t="s">
        <v>102</v>
      </c>
      <c r="C90" s="293"/>
      <c r="D90" s="294"/>
      <c r="E90" s="294"/>
      <c r="F90" s="294"/>
      <c r="G90" s="295"/>
      <c r="H90" s="295"/>
      <c r="I90" s="295"/>
      <c r="J90" s="295"/>
      <c r="K90" s="296"/>
      <c r="L90" s="297"/>
      <c r="M90" s="298"/>
      <c r="N90" s="299"/>
      <c r="O90" s="300"/>
      <c r="P90" s="301"/>
      <c r="Q90" s="301"/>
      <c r="R90" s="301"/>
      <c r="S90" s="302"/>
      <c r="T90" s="266"/>
    </row>
    <row r="91" spans="1:20" s="267" customFormat="1" ht="15.75" customHeight="1">
      <c r="A91" s="256">
        <v>1</v>
      </c>
      <c r="B91" s="319"/>
      <c r="C91" s="376"/>
      <c r="D91" s="268">
        <v>0</v>
      </c>
      <c r="E91" s="268"/>
      <c r="F91" s="268"/>
      <c r="G91" s="268"/>
      <c r="H91" s="268"/>
      <c r="I91" s="268"/>
      <c r="J91" s="268"/>
      <c r="K91" s="259"/>
      <c r="L91" s="322"/>
      <c r="M91" s="261">
        <f>+D91</f>
        <v>0</v>
      </c>
      <c r="N91" s="269"/>
      <c r="O91" s="274"/>
      <c r="P91" s="270"/>
      <c r="Q91" s="270"/>
      <c r="R91" s="270"/>
      <c r="S91" s="265"/>
      <c r="T91" s="266"/>
    </row>
    <row r="92" spans="1:20" s="267" customFormat="1" ht="15.75" customHeight="1" thickBot="1">
      <c r="A92" s="256"/>
      <c r="B92" s="324" t="s">
        <v>19</v>
      </c>
      <c r="C92" s="325"/>
      <c r="D92" s="317">
        <f>SUM(D91)</f>
        <v>0</v>
      </c>
      <c r="E92" s="317"/>
      <c r="F92" s="317"/>
      <c r="G92" s="317"/>
      <c r="H92" s="317">
        <f t="shared" ref="H92:J92" si="43">SUM(H91)</f>
        <v>0</v>
      </c>
      <c r="I92" s="317">
        <f t="shared" si="43"/>
        <v>0</v>
      </c>
      <c r="J92" s="317">
        <f t="shared" si="43"/>
        <v>0</v>
      </c>
      <c r="K92" s="326"/>
      <c r="L92" s="317"/>
      <c r="M92" s="317">
        <f t="shared" ref="M92" si="44">SUM(M91)</f>
        <v>0</v>
      </c>
      <c r="N92" s="317"/>
      <c r="O92" s="317"/>
      <c r="P92" s="317"/>
      <c r="Q92" s="317">
        <f t="shared" ref="Q92:S92" si="45">SUM(Q91)</f>
        <v>0</v>
      </c>
      <c r="R92" s="317">
        <f t="shared" si="45"/>
        <v>0</v>
      </c>
      <c r="S92" s="317">
        <f t="shared" si="45"/>
        <v>0</v>
      </c>
      <c r="T92" s="266"/>
    </row>
    <row r="93" spans="1:20" s="267" customFormat="1" ht="19.2" customHeight="1" thickTop="1">
      <c r="A93" s="256"/>
      <c r="B93" s="327" t="s">
        <v>340</v>
      </c>
      <c r="C93" s="328"/>
      <c r="D93" s="258"/>
      <c r="E93" s="258"/>
      <c r="F93" s="258"/>
      <c r="G93" s="272"/>
      <c r="H93" s="272"/>
      <c r="I93" s="272"/>
      <c r="J93" s="272"/>
      <c r="K93" s="329"/>
      <c r="L93" s="330"/>
      <c r="M93" s="285"/>
      <c r="N93" s="262"/>
      <c r="O93" s="263"/>
      <c r="P93" s="264"/>
      <c r="Q93" s="264"/>
      <c r="R93" s="264"/>
      <c r="S93" s="331"/>
      <c r="T93" s="266"/>
    </row>
    <row r="94" spans="1:20" s="267" customFormat="1" ht="15.75" customHeight="1">
      <c r="A94" s="347"/>
      <c r="B94" s="257"/>
      <c r="C94" s="377" t="s">
        <v>21</v>
      </c>
      <c r="D94" s="348"/>
      <c r="E94" s="349"/>
      <c r="F94" s="280"/>
      <c r="G94" s="280"/>
      <c r="H94" s="350"/>
      <c r="I94" s="280"/>
      <c r="J94" s="351"/>
      <c r="K94" s="352"/>
      <c r="L94" s="353"/>
      <c r="M94" s="351"/>
      <c r="N94" s="349"/>
      <c r="O94" s="280"/>
      <c r="P94" s="280"/>
      <c r="Q94" s="350"/>
      <c r="R94" s="280"/>
      <c r="S94" s="271"/>
      <c r="T94" s="266"/>
    </row>
    <row r="95" spans="1:20" s="267" customFormat="1" ht="15.75" customHeight="1" thickBot="1">
      <c r="A95" s="256"/>
      <c r="B95" s="324" t="s">
        <v>19</v>
      </c>
      <c r="C95" s="325"/>
      <c r="D95" s="317">
        <f>SUM(D94:D94)</f>
        <v>0</v>
      </c>
      <c r="E95" s="317"/>
      <c r="F95" s="317"/>
      <c r="G95" s="317"/>
      <c r="H95" s="317">
        <f>SUM(H94:H94)</f>
        <v>0</v>
      </c>
      <c r="I95" s="317">
        <f>SUM(I94:I94)</f>
        <v>0</v>
      </c>
      <c r="J95" s="317">
        <f>SUM(J94:J94)</f>
        <v>0</v>
      </c>
      <c r="K95" s="326"/>
      <c r="L95" s="317"/>
      <c r="M95" s="317">
        <f>SUM(M94:M94)</f>
        <v>0</v>
      </c>
      <c r="N95" s="317"/>
      <c r="O95" s="317"/>
      <c r="P95" s="317"/>
      <c r="Q95" s="317">
        <f t="shared" ref="Q95:S95" si="46">SUM(Q94:Q94)</f>
        <v>0</v>
      </c>
      <c r="R95" s="317">
        <f t="shared" si="46"/>
        <v>0</v>
      </c>
      <c r="S95" s="317">
        <f t="shared" si="46"/>
        <v>0</v>
      </c>
      <c r="T95" s="266"/>
    </row>
    <row r="96" spans="1:20" s="267" customFormat="1" ht="17.399999999999999" customHeight="1" thickTop="1">
      <c r="A96" s="256"/>
      <c r="B96" s="292" t="s">
        <v>104</v>
      </c>
      <c r="C96" s="293"/>
      <c r="D96" s="294"/>
      <c r="E96" s="294"/>
      <c r="F96" s="294"/>
      <c r="G96" s="295"/>
      <c r="H96" s="295"/>
      <c r="I96" s="295"/>
      <c r="J96" s="295"/>
      <c r="K96" s="296"/>
      <c r="L96" s="297"/>
      <c r="M96" s="298"/>
      <c r="N96" s="299"/>
      <c r="O96" s="300"/>
      <c r="P96" s="301"/>
      <c r="Q96" s="301"/>
      <c r="R96" s="301"/>
      <c r="S96" s="302"/>
      <c r="T96" s="266"/>
    </row>
    <row r="97" spans="1:20" s="355" customFormat="1" ht="16.5" customHeight="1">
      <c r="A97" s="256"/>
      <c r="B97" s="378"/>
      <c r="C97" s="346" t="s">
        <v>21</v>
      </c>
      <c r="D97" s="379"/>
      <c r="E97" s="380"/>
      <c r="F97" s="263"/>
      <c r="G97" s="263"/>
      <c r="H97" s="305"/>
      <c r="I97" s="305"/>
      <c r="J97" s="381"/>
      <c r="K97" s="339"/>
      <c r="L97" s="351"/>
      <c r="M97" s="381"/>
      <c r="N97" s="380"/>
      <c r="O97" s="263"/>
      <c r="P97" s="263"/>
      <c r="Q97" s="305"/>
      <c r="R97" s="263"/>
      <c r="S97" s="271"/>
      <c r="T97" s="354"/>
    </row>
    <row r="98" spans="1:20" s="267" customFormat="1" ht="15.75" customHeight="1" thickBot="1">
      <c r="A98" s="256"/>
      <c r="B98" s="324" t="s">
        <v>19</v>
      </c>
      <c r="C98" s="325"/>
      <c r="D98" s="317">
        <f>+D97</f>
        <v>0</v>
      </c>
      <c r="E98" s="317"/>
      <c r="F98" s="317"/>
      <c r="G98" s="317"/>
      <c r="H98" s="317">
        <f t="shared" ref="H98:S98" si="47">+H97</f>
        <v>0</v>
      </c>
      <c r="I98" s="317">
        <f t="shared" si="47"/>
        <v>0</v>
      </c>
      <c r="J98" s="317">
        <f t="shared" si="47"/>
        <v>0</v>
      </c>
      <c r="K98" s="317"/>
      <c r="L98" s="317"/>
      <c r="M98" s="317">
        <f t="shared" si="47"/>
        <v>0</v>
      </c>
      <c r="N98" s="317"/>
      <c r="O98" s="317"/>
      <c r="P98" s="317"/>
      <c r="Q98" s="317">
        <f t="shared" si="47"/>
        <v>0</v>
      </c>
      <c r="R98" s="317">
        <f t="shared" si="47"/>
        <v>0</v>
      </c>
      <c r="S98" s="317">
        <f t="shared" si="47"/>
        <v>0</v>
      </c>
      <c r="T98" s="266"/>
    </row>
    <row r="99" spans="1:20" ht="18.600000000000001" customHeight="1" thickTop="1">
      <c r="A99" s="206"/>
      <c r="B99" s="233" t="s">
        <v>105</v>
      </c>
      <c r="C99" s="382"/>
      <c r="D99" s="275"/>
      <c r="E99" s="275"/>
      <c r="F99" s="275"/>
      <c r="G99" s="383"/>
      <c r="H99" s="383"/>
      <c r="I99" s="383"/>
      <c r="J99" s="383"/>
      <c r="K99" s="202"/>
      <c r="L99" s="203"/>
      <c r="M99" s="204"/>
      <c r="N99" s="384"/>
      <c r="O99" s="237"/>
      <c r="P99" s="385"/>
      <c r="Q99" s="385"/>
      <c r="R99" s="385"/>
      <c r="S99" s="386"/>
    </row>
    <row r="100" spans="1:20" ht="18" customHeight="1">
      <c r="A100" s="387">
        <v>1</v>
      </c>
      <c r="B100" s="388"/>
      <c r="C100" s="389"/>
      <c r="D100" s="254">
        <v>0</v>
      </c>
      <c r="E100" s="390"/>
      <c r="F100" s="237"/>
      <c r="G100" s="237"/>
      <c r="H100" s="254">
        <v>0</v>
      </c>
      <c r="I100" s="237"/>
      <c r="J100" s="254">
        <v>0</v>
      </c>
      <c r="K100" s="204"/>
      <c r="L100" s="204"/>
      <c r="M100" s="254">
        <v>0</v>
      </c>
      <c r="N100" s="390"/>
      <c r="O100" s="237"/>
      <c r="P100" s="237"/>
      <c r="Q100" s="254">
        <f t="shared" ref="Q100:R100" si="48">+B100+H100-K100</f>
        <v>0</v>
      </c>
      <c r="R100" s="254">
        <f t="shared" si="48"/>
        <v>0</v>
      </c>
      <c r="S100" s="254">
        <f>+D100+J100-M100</f>
        <v>0</v>
      </c>
    </row>
    <row r="101" spans="1:20" ht="18" customHeight="1">
      <c r="A101" s="387"/>
      <c r="B101" s="391"/>
      <c r="C101" s="392"/>
      <c r="D101" s="393"/>
      <c r="E101" s="394"/>
      <c r="F101" s="244"/>
      <c r="G101" s="244"/>
      <c r="H101" s="245">
        <v>0</v>
      </c>
      <c r="I101" s="244"/>
      <c r="J101" s="212">
        <f>+H101</f>
        <v>0</v>
      </c>
      <c r="K101" s="395"/>
      <c r="L101" s="212"/>
      <c r="M101" s="212">
        <v>0</v>
      </c>
      <c r="N101" s="394"/>
      <c r="O101" s="244"/>
      <c r="P101" s="244"/>
      <c r="Q101" s="238">
        <f>+S101</f>
        <v>0</v>
      </c>
      <c r="R101" s="244"/>
      <c r="S101" s="254">
        <f>+D101+J101-M101</f>
        <v>0</v>
      </c>
    </row>
    <row r="102" spans="1:20" ht="15.75" customHeight="1" thickBot="1">
      <c r="A102" s="206"/>
      <c r="B102" s="217" t="s">
        <v>19</v>
      </c>
      <c r="C102" s="218"/>
      <c r="D102" s="219">
        <f>SUM(D100:D101)</f>
        <v>0</v>
      </c>
      <c r="E102" s="219"/>
      <c r="F102" s="219"/>
      <c r="G102" s="219"/>
      <c r="H102" s="219">
        <f>SUM(H100:H101)</f>
        <v>0</v>
      </c>
      <c r="I102" s="219">
        <f>SUM(I100:I101)</f>
        <v>0</v>
      </c>
      <c r="J102" s="219">
        <f>SUM(J100:J101)</f>
        <v>0</v>
      </c>
      <c r="K102" s="219"/>
      <c r="L102" s="219"/>
      <c r="M102" s="219">
        <f>SUM(M100:M101)</f>
        <v>0</v>
      </c>
      <c r="N102" s="219"/>
      <c r="O102" s="219"/>
      <c r="P102" s="219"/>
      <c r="Q102" s="219">
        <f>SUM(Q100:Q101)</f>
        <v>0</v>
      </c>
      <c r="R102" s="219">
        <f>SUM(R100:R101)</f>
        <v>0</v>
      </c>
      <c r="S102" s="219">
        <f>SUM(S100:S101)</f>
        <v>0</v>
      </c>
    </row>
    <row r="103" spans="1:20" ht="16.5" customHeight="1" thickTop="1" thickBot="1">
      <c r="A103" s="396"/>
      <c r="B103" s="397" t="s">
        <v>111</v>
      </c>
      <c r="C103" s="398"/>
      <c r="D103" s="399">
        <f>+D9+D12+D15+D18+D21+D24+D43+D48+D51+D54+D57+D61+D64+D67+D76+D86+D89+D92+D95+D98+D102</f>
        <v>90975.7</v>
      </c>
      <c r="E103" s="399"/>
      <c r="F103" s="399"/>
      <c r="G103" s="399"/>
      <c r="H103" s="399">
        <f>+H9+H12+H15+H18+H21+H24+H43+H48+H51+H54+H57+H61+H64+H67+H76+H86+H89+H92+H95+H98+H102</f>
        <v>0</v>
      </c>
      <c r="I103" s="400">
        <f>+I9+I12+I15+I18+I21+I24+I43+I48+I51+I54+I57+I61+I64+I67+I76+I86+I89+I92+I95+I98+I102</f>
        <v>0</v>
      </c>
      <c r="J103" s="399">
        <f>+J9+J12+J15+J18+J21+J24+J43+J48+J51+J54+J57+J61+J64+J67+J76+J86+J89+J92+J95+J98+J102+I103</f>
        <v>0</v>
      </c>
      <c r="K103" s="401"/>
      <c r="L103" s="399"/>
      <c r="M103" s="399">
        <f>+M9+M12+M15+M18+M21+M24+M43+M48+M51+M54+M57+M61+M64+M67+M76+M86+M89+M92+M95+M98+M102</f>
        <v>90975.7</v>
      </c>
      <c r="N103" s="399"/>
      <c r="O103" s="399"/>
      <c r="P103" s="399"/>
      <c r="Q103" s="399">
        <f>+Q9+Q12+Q15+Q18+Q21+Q24+Q43+Q48+Q51+Q54+Q57+Q61+Q64+Q67+Q76+Q86+Q89+Q92+Q95+Q98+Q102</f>
        <v>0</v>
      </c>
      <c r="R103" s="402">
        <f>+R9+R12+R15+R18+R21+R24+R43+R48+R51+R54+R57+R61+R64+R67+R76+R86+R89+R92+R95+R98+R102</f>
        <v>0</v>
      </c>
      <c r="S103" s="399">
        <f>+S9+S12+S15+S18+S21+S24+S43+S48+S51+S54+S57+S61+S64+S67+S76+S86+S89+S92+S95+S98+S102</f>
        <v>0</v>
      </c>
    </row>
    <row r="104" spans="1:20" ht="13.8" customHeight="1" thickTop="1">
      <c r="A104" s="403"/>
      <c r="B104" s="404"/>
      <c r="D104" s="405"/>
      <c r="E104" s="405"/>
      <c r="F104" s="405"/>
      <c r="G104" s="405"/>
      <c r="H104" s="405"/>
      <c r="I104" s="405"/>
      <c r="J104" s="405"/>
      <c r="K104" s="406"/>
      <c r="L104" s="405"/>
      <c r="M104" s="405"/>
      <c r="N104" s="405"/>
      <c r="O104" s="405"/>
      <c r="P104" s="405"/>
      <c r="Q104" s="405"/>
      <c r="R104" s="405"/>
      <c r="S104" s="405"/>
    </row>
    <row r="105" spans="1:20" ht="15" customHeight="1">
      <c r="A105" s="407"/>
      <c r="B105" s="408"/>
      <c r="D105" s="409"/>
      <c r="J105" s="410"/>
      <c r="K105" s="410"/>
      <c r="L105" s="409"/>
      <c r="M105" s="409"/>
      <c r="P105" s="506" t="s">
        <v>341</v>
      </c>
      <c r="Q105" s="507"/>
      <c r="R105" s="507"/>
      <c r="S105" s="507"/>
    </row>
    <row r="106" spans="1:20" ht="18" customHeight="1">
      <c r="B106" s="408"/>
      <c r="D106" s="409"/>
      <c r="I106" s="412"/>
      <c r="J106" s="407"/>
      <c r="K106" s="408"/>
      <c r="L106" s="177"/>
      <c r="M106" s="409"/>
      <c r="P106" s="508" t="s">
        <v>342</v>
      </c>
      <c r="Q106" s="509"/>
      <c r="R106" s="509"/>
      <c r="S106" s="510"/>
    </row>
    <row r="107" spans="1:20" ht="18" customHeight="1">
      <c r="B107" s="408"/>
      <c r="D107" s="409"/>
      <c r="I107" s="177"/>
      <c r="J107" s="177"/>
      <c r="K107" s="408"/>
      <c r="L107" s="177"/>
      <c r="M107" s="409"/>
      <c r="P107" s="511" t="s">
        <v>343</v>
      </c>
      <c r="Q107" s="507"/>
      <c r="R107" s="507"/>
      <c r="S107" s="510"/>
    </row>
    <row r="108" spans="1:20" ht="9.6" customHeight="1">
      <c r="B108" s="408"/>
      <c r="D108" s="409"/>
      <c r="J108" s="177" t="s">
        <v>335</v>
      </c>
      <c r="K108" s="408"/>
      <c r="L108" s="177"/>
      <c r="M108" s="409"/>
      <c r="N108" s="177" t="s">
        <v>336</v>
      </c>
      <c r="P108" s="511"/>
      <c r="Q108" s="507"/>
      <c r="R108" s="507"/>
      <c r="S108" s="410"/>
    </row>
    <row r="109" spans="1:20" ht="18" customHeight="1">
      <c r="B109" s="408"/>
      <c r="D109" s="409"/>
      <c r="J109" s="177"/>
      <c r="K109" s="408"/>
      <c r="L109" s="177"/>
      <c r="M109" s="409"/>
      <c r="Q109" s="410"/>
      <c r="R109" s="410"/>
      <c r="S109" s="177"/>
    </row>
    <row r="110" spans="1:20" ht="18" customHeight="1">
      <c r="B110" s="408"/>
      <c r="D110" s="409"/>
      <c r="J110" s="409"/>
      <c r="K110" s="409"/>
      <c r="L110" s="409"/>
      <c r="M110" s="409"/>
      <c r="Q110" s="410"/>
      <c r="R110" s="410"/>
      <c r="S110" s="177"/>
    </row>
    <row r="111" spans="1:20" ht="18" customHeight="1">
      <c r="B111" s="408"/>
      <c r="D111" s="409"/>
      <c r="J111" s="409"/>
      <c r="K111" s="409"/>
      <c r="L111" s="409"/>
      <c r="M111" s="409"/>
      <c r="Q111" s="410"/>
      <c r="R111" s="410"/>
      <c r="S111" s="177"/>
    </row>
    <row r="112" spans="1:20" ht="18" customHeight="1">
      <c r="B112" s="408"/>
      <c r="D112" s="409"/>
      <c r="J112" s="409"/>
      <c r="K112" s="409"/>
      <c r="L112" s="409"/>
      <c r="M112" s="409"/>
      <c r="Q112" s="410"/>
      <c r="R112" s="410"/>
      <c r="S112" s="410"/>
    </row>
    <row r="113" spans="1:20" ht="18" customHeight="1">
      <c r="B113" s="408"/>
      <c r="D113" s="409"/>
      <c r="J113" s="409"/>
      <c r="K113" s="409"/>
      <c r="L113" s="409"/>
      <c r="M113" s="409"/>
      <c r="Q113" s="410"/>
      <c r="R113" s="410"/>
      <c r="S113" s="410"/>
    </row>
    <row r="114" spans="1:20" ht="18" customHeight="1">
      <c r="B114" s="408"/>
      <c r="D114" s="409"/>
      <c r="J114" s="409"/>
      <c r="K114" s="409"/>
      <c r="L114" s="409"/>
      <c r="M114" s="409"/>
      <c r="Q114" s="410"/>
      <c r="R114" s="410"/>
      <c r="S114" s="410"/>
    </row>
    <row r="115" spans="1:20" ht="18" customHeight="1">
      <c r="B115" s="408"/>
      <c r="D115" s="409"/>
      <c r="J115" s="409"/>
      <c r="K115" s="409"/>
      <c r="L115" s="409"/>
      <c r="M115" s="409"/>
      <c r="Q115" s="410"/>
      <c r="R115" s="410"/>
      <c r="S115" s="410"/>
    </row>
    <row r="116" spans="1:20" ht="18" customHeight="1">
      <c r="B116" s="408"/>
      <c r="D116" s="409"/>
      <c r="J116" s="413"/>
      <c r="K116" s="414"/>
      <c r="L116" s="409"/>
      <c r="M116" s="409"/>
      <c r="Q116" s="410"/>
      <c r="R116" s="410"/>
      <c r="S116" s="410"/>
    </row>
    <row r="117" spans="1:20" ht="18" customHeight="1">
      <c r="B117" s="408"/>
      <c r="D117" s="409"/>
      <c r="J117" s="409"/>
      <c r="K117" s="409"/>
      <c r="L117" s="409"/>
      <c r="M117" s="409"/>
      <c r="Q117" s="410"/>
      <c r="R117" s="410"/>
      <c r="S117" s="410"/>
    </row>
    <row r="118" spans="1:20" ht="18" customHeight="1">
      <c r="B118" s="408"/>
      <c r="D118" s="409"/>
      <c r="J118" s="409"/>
      <c r="K118" s="409"/>
      <c r="L118" s="409"/>
      <c r="M118" s="409"/>
      <c r="Q118" s="410"/>
      <c r="R118" s="410"/>
      <c r="S118" s="410"/>
    </row>
    <row r="119" spans="1:20" ht="18" customHeight="1">
      <c r="B119" s="408"/>
      <c r="D119" s="409"/>
      <c r="J119" s="409"/>
      <c r="K119" s="409"/>
      <c r="L119" s="409"/>
      <c r="M119" s="409"/>
      <c r="P119" s="415"/>
      <c r="Q119" s="416"/>
      <c r="R119" s="410"/>
      <c r="S119" s="410"/>
    </row>
    <row r="120" spans="1:20" ht="18" customHeight="1">
      <c r="B120" s="408"/>
      <c r="D120" s="409"/>
      <c r="J120" s="409"/>
      <c r="K120" s="409"/>
      <c r="L120" s="409"/>
      <c r="M120" s="409"/>
      <c r="Q120" s="410"/>
      <c r="R120" s="410"/>
      <c r="S120" s="410"/>
    </row>
    <row r="121" spans="1:20" ht="18" customHeight="1">
      <c r="B121" s="408"/>
      <c r="D121" s="409"/>
      <c r="J121" s="409"/>
      <c r="K121" s="409"/>
      <c r="L121" s="409"/>
      <c r="M121" s="409"/>
      <c r="Q121" s="410"/>
      <c r="R121" s="410"/>
      <c r="S121" s="410"/>
    </row>
    <row r="122" spans="1:20" ht="18" customHeight="1">
      <c r="B122" s="408"/>
      <c r="D122" s="409"/>
      <c r="J122" s="409"/>
      <c r="K122" s="409"/>
      <c r="L122" s="409"/>
      <c r="M122" s="409"/>
      <c r="Q122" s="410"/>
      <c r="R122" s="410"/>
      <c r="S122" s="410"/>
    </row>
    <row r="123" spans="1:20" ht="18" customHeight="1">
      <c r="B123" s="408"/>
      <c r="D123" s="409"/>
      <c r="J123" s="409"/>
      <c r="K123" s="409"/>
      <c r="L123" s="409"/>
      <c r="M123" s="409"/>
      <c r="Q123" s="410"/>
      <c r="R123" s="410"/>
      <c r="S123" s="410"/>
    </row>
    <row r="124" spans="1:20" s="423" customFormat="1" ht="18" customHeight="1">
      <c r="A124" s="417"/>
      <c r="B124" s="418"/>
      <c r="C124" s="417"/>
      <c r="D124" s="419"/>
      <c r="E124" s="420"/>
      <c r="F124" s="420"/>
      <c r="G124" s="420"/>
      <c r="H124" s="420"/>
      <c r="I124" s="420"/>
      <c r="J124" s="419"/>
      <c r="K124" s="419"/>
      <c r="L124" s="419"/>
      <c r="M124" s="419"/>
      <c r="N124" s="417"/>
      <c r="O124" s="412"/>
      <c r="P124" s="412"/>
      <c r="Q124" s="421"/>
      <c r="R124" s="412"/>
      <c r="S124" s="422"/>
      <c r="T124" s="417"/>
    </row>
    <row r="125" spans="1:20" ht="18" customHeight="1">
      <c r="B125" s="408"/>
      <c r="D125" s="409"/>
      <c r="H125" s="424"/>
      <c r="J125" s="409"/>
      <c r="K125" s="409"/>
      <c r="L125" s="409"/>
      <c r="M125" s="409"/>
      <c r="S125" s="410"/>
    </row>
    <row r="126" spans="1:20" ht="18" customHeight="1">
      <c r="B126" s="408"/>
      <c r="D126" s="409"/>
      <c r="J126" s="409"/>
      <c r="K126" s="409"/>
      <c r="L126" s="409"/>
      <c r="M126" s="409"/>
      <c r="S126" s="410"/>
    </row>
    <row r="127" spans="1:20" ht="18" customHeight="1">
      <c r="B127" s="408"/>
      <c r="D127" s="409"/>
      <c r="J127" s="409"/>
      <c r="K127" s="409"/>
      <c r="L127" s="409"/>
      <c r="M127" s="409"/>
      <c r="S127" s="410"/>
    </row>
    <row r="128" spans="1:20" ht="18" customHeight="1">
      <c r="B128" s="408"/>
      <c r="D128" s="409"/>
      <c r="J128" s="409"/>
      <c r="K128" s="409"/>
      <c r="L128" s="409"/>
      <c r="M128" s="409"/>
      <c r="S128" s="410"/>
    </row>
    <row r="129" spans="2:19" ht="18" customHeight="1">
      <c r="B129" s="408"/>
      <c r="D129" s="409"/>
      <c r="J129" s="409"/>
      <c r="K129" s="409"/>
      <c r="L129" s="409"/>
      <c r="M129" s="409"/>
      <c r="S129" s="410"/>
    </row>
    <row r="130" spans="2:19" ht="18" customHeight="1">
      <c r="B130" s="408"/>
      <c r="D130" s="409"/>
      <c r="J130" s="409"/>
      <c r="K130" s="409"/>
      <c r="L130" s="409"/>
      <c r="M130" s="409"/>
      <c r="S130" s="410"/>
    </row>
    <row r="131" spans="2:19" ht="18" customHeight="1">
      <c r="B131" s="408"/>
      <c r="D131" s="409"/>
      <c r="J131" s="409"/>
      <c r="K131" s="409"/>
      <c r="L131" s="409"/>
      <c r="M131" s="409"/>
      <c r="S131" s="410"/>
    </row>
    <row r="132" spans="2:19" ht="18" customHeight="1">
      <c r="B132" s="408"/>
      <c r="D132" s="409"/>
      <c r="J132" s="409"/>
      <c r="K132" s="409"/>
      <c r="L132" s="409"/>
      <c r="M132" s="409"/>
      <c r="S132" s="410"/>
    </row>
    <row r="133" spans="2:19" ht="18" customHeight="1">
      <c r="B133" s="408"/>
      <c r="D133" s="409"/>
      <c r="J133" s="409"/>
      <c r="K133" s="409"/>
      <c r="L133" s="409"/>
      <c r="M133" s="409"/>
      <c r="S133" s="410"/>
    </row>
    <row r="134" spans="2:19" ht="18" customHeight="1">
      <c r="B134" s="408"/>
      <c r="D134" s="409"/>
      <c r="J134" s="409"/>
      <c r="K134" s="409"/>
      <c r="L134" s="409"/>
      <c r="M134" s="409"/>
      <c r="S134" s="410"/>
    </row>
    <row r="135" spans="2:19" ht="18" customHeight="1">
      <c r="B135" s="408"/>
      <c r="D135" s="409"/>
      <c r="J135" s="409"/>
      <c r="K135" s="409"/>
      <c r="L135" s="409"/>
      <c r="M135" s="409"/>
      <c r="S135" s="410"/>
    </row>
    <row r="136" spans="2:19" ht="18" customHeight="1">
      <c r="B136" s="408"/>
      <c r="D136" s="409"/>
      <c r="J136" s="409"/>
      <c r="K136" s="409"/>
      <c r="L136" s="409"/>
      <c r="M136" s="409"/>
      <c r="S136" s="410"/>
    </row>
    <row r="137" spans="2:19" ht="18" customHeight="1">
      <c r="B137" s="408"/>
      <c r="D137" s="409"/>
      <c r="J137" s="409"/>
      <c r="K137" s="409"/>
      <c r="L137" s="409"/>
      <c r="M137" s="409"/>
      <c r="S137" s="410"/>
    </row>
    <row r="138" spans="2:19" ht="18" customHeight="1">
      <c r="B138" s="408"/>
      <c r="D138" s="409"/>
      <c r="J138" s="409"/>
      <c r="K138" s="409"/>
      <c r="L138" s="409"/>
      <c r="M138" s="409"/>
      <c r="S138" s="410"/>
    </row>
    <row r="139" spans="2:19" ht="18" customHeight="1">
      <c r="B139" s="408"/>
      <c r="D139" s="409"/>
      <c r="J139" s="409"/>
      <c r="K139" s="409"/>
      <c r="L139" s="409"/>
      <c r="M139" s="409"/>
      <c r="S139" s="410"/>
    </row>
    <row r="140" spans="2:19" ht="18" customHeight="1">
      <c r="B140" s="408"/>
      <c r="D140" s="409"/>
      <c r="J140" s="409"/>
      <c r="K140" s="409"/>
      <c r="L140" s="409"/>
      <c r="M140" s="409"/>
      <c r="S140" s="410"/>
    </row>
    <row r="141" spans="2:19" ht="18" customHeight="1">
      <c r="B141" s="408"/>
      <c r="D141" s="409"/>
      <c r="J141" s="409"/>
      <c r="K141" s="409"/>
      <c r="L141" s="409"/>
      <c r="M141" s="409"/>
      <c r="S141" s="410"/>
    </row>
    <row r="142" spans="2:19" ht="18" customHeight="1">
      <c r="B142" s="408"/>
      <c r="D142" s="409"/>
      <c r="J142" s="409"/>
      <c r="K142" s="409"/>
      <c r="L142" s="409"/>
      <c r="M142" s="409"/>
      <c r="S142" s="410"/>
    </row>
    <row r="143" spans="2:19" ht="18" customHeight="1">
      <c r="B143" s="408"/>
      <c r="D143" s="409"/>
      <c r="J143" s="409"/>
      <c r="K143" s="409"/>
      <c r="L143" s="409"/>
      <c r="M143" s="409"/>
      <c r="S143" s="410"/>
    </row>
    <row r="144" spans="2:19" ht="18" customHeight="1">
      <c r="B144" s="408"/>
      <c r="D144" s="409"/>
      <c r="J144" s="409"/>
      <c r="K144" s="409"/>
      <c r="L144" s="409"/>
      <c r="M144" s="409"/>
      <c r="S144" s="410"/>
    </row>
    <row r="145" spans="2:19" ht="18" customHeight="1">
      <c r="B145" s="408"/>
      <c r="D145" s="409"/>
      <c r="J145" s="409"/>
      <c r="K145" s="409"/>
      <c r="L145" s="409"/>
      <c r="M145" s="409"/>
      <c r="S145" s="410"/>
    </row>
    <row r="146" spans="2:19" ht="18" customHeight="1">
      <c r="B146" s="408"/>
      <c r="D146" s="409"/>
      <c r="J146" s="409"/>
      <c r="K146" s="409"/>
      <c r="L146" s="409"/>
      <c r="M146" s="409"/>
      <c r="S146" s="410"/>
    </row>
    <row r="147" spans="2:19" ht="18" customHeight="1">
      <c r="B147" s="408"/>
      <c r="D147" s="409"/>
      <c r="J147" s="409"/>
      <c r="K147" s="409"/>
      <c r="L147" s="409"/>
      <c r="M147" s="409"/>
      <c r="S147" s="410"/>
    </row>
    <row r="148" spans="2:19" ht="18" customHeight="1">
      <c r="B148" s="408"/>
      <c r="D148" s="409"/>
      <c r="J148" s="409"/>
      <c r="K148" s="409"/>
      <c r="L148" s="409"/>
      <c r="M148" s="409"/>
      <c r="S148" s="410"/>
    </row>
    <row r="149" spans="2:19" ht="18" customHeight="1">
      <c r="B149" s="408"/>
      <c r="D149" s="409"/>
      <c r="J149" s="409"/>
      <c r="K149" s="409"/>
      <c r="L149" s="409"/>
      <c r="M149" s="409"/>
      <c r="S149" s="410"/>
    </row>
    <row r="150" spans="2:19" ht="18" customHeight="1">
      <c r="B150" s="408"/>
      <c r="D150" s="409"/>
      <c r="J150" s="409"/>
      <c r="K150" s="409"/>
      <c r="L150" s="409"/>
      <c r="M150" s="409"/>
      <c r="S150" s="410"/>
    </row>
    <row r="151" spans="2:19" ht="18" customHeight="1">
      <c r="B151" s="408"/>
      <c r="D151" s="409"/>
      <c r="J151" s="409"/>
      <c r="K151" s="409"/>
      <c r="L151" s="409"/>
      <c r="M151" s="409"/>
      <c r="S151" s="410"/>
    </row>
    <row r="152" spans="2:19" ht="18" customHeight="1">
      <c r="B152" s="408"/>
      <c r="D152" s="409"/>
      <c r="J152" s="409"/>
      <c r="K152" s="409"/>
      <c r="L152" s="409"/>
      <c r="M152" s="409"/>
      <c r="S152" s="410"/>
    </row>
    <row r="153" spans="2:19" ht="18" customHeight="1">
      <c r="B153" s="408"/>
      <c r="D153" s="409"/>
      <c r="J153" s="409"/>
      <c r="K153" s="409"/>
      <c r="L153" s="409"/>
      <c r="M153" s="409"/>
      <c r="S153" s="410"/>
    </row>
    <row r="154" spans="2:19" ht="18" customHeight="1">
      <c r="B154" s="418" t="s">
        <v>344</v>
      </c>
      <c r="D154" s="409"/>
      <c r="J154" s="409"/>
      <c r="K154" s="409"/>
      <c r="L154" s="409"/>
      <c r="M154" s="409"/>
      <c r="S154" s="410"/>
    </row>
    <row r="155" spans="2:19" ht="18" customHeight="1">
      <c r="B155" s="426" t="s">
        <v>116</v>
      </c>
      <c r="D155" s="409"/>
      <c r="J155" s="409"/>
      <c r="K155" s="409"/>
      <c r="L155" s="409"/>
      <c r="M155" s="409"/>
      <c r="S155" s="410"/>
    </row>
    <row r="156" spans="2:19" ht="18" customHeight="1">
      <c r="B156" s="418" t="s">
        <v>345</v>
      </c>
      <c r="D156" s="409"/>
      <c r="J156" s="409"/>
      <c r="K156" s="409"/>
      <c r="L156" s="409"/>
      <c r="M156" s="409"/>
      <c r="S156" s="410"/>
    </row>
    <row r="157" spans="2:19" ht="18" customHeight="1">
      <c r="B157" s="408"/>
      <c r="D157" s="409"/>
      <c r="J157" s="409"/>
      <c r="K157" s="409"/>
      <c r="L157" s="409"/>
      <c r="M157" s="409"/>
      <c r="S157" s="410"/>
    </row>
    <row r="158" spans="2:19" ht="27.75" customHeight="1">
      <c r="B158" s="427" t="s">
        <v>346</v>
      </c>
      <c r="C158" s="177" t="s">
        <v>347</v>
      </c>
    </row>
    <row r="159" spans="2:19" ht="21" customHeight="1">
      <c r="B159" s="430" t="s">
        <v>348</v>
      </c>
      <c r="D159" s="409"/>
      <c r="E159" s="177"/>
      <c r="F159" s="411"/>
      <c r="G159" s="411"/>
      <c r="H159" s="411"/>
      <c r="I159" s="411"/>
      <c r="J159" s="409"/>
      <c r="K159" s="409"/>
      <c r="L159" s="409"/>
      <c r="M159" s="431"/>
      <c r="Q159" s="432"/>
      <c r="S159" s="410"/>
    </row>
    <row r="160" spans="2:19" ht="21" customHeight="1">
      <c r="B160" s="418" t="s">
        <v>349</v>
      </c>
      <c r="D160" s="409"/>
      <c r="E160" s="177"/>
      <c r="F160" s="411"/>
      <c r="G160" s="411"/>
      <c r="H160" s="411"/>
      <c r="I160" s="411"/>
      <c r="J160" s="409"/>
      <c r="K160" s="409"/>
      <c r="L160" s="409"/>
      <c r="M160" s="409"/>
      <c r="Q160" s="432"/>
    </row>
    <row r="161" spans="2:17" ht="21" customHeight="1">
      <c r="B161" s="418" t="s">
        <v>350</v>
      </c>
      <c r="D161" s="409"/>
      <c r="E161" s="177"/>
      <c r="F161" s="411"/>
      <c r="G161" s="411"/>
      <c r="H161" s="411"/>
      <c r="I161" s="411"/>
      <c r="J161" s="409"/>
      <c r="K161" s="409"/>
      <c r="L161" s="409"/>
      <c r="M161" s="409"/>
      <c r="Q161" s="432"/>
    </row>
    <row r="162" spans="2:17" ht="21" customHeight="1">
      <c r="B162" s="418" t="s">
        <v>351</v>
      </c>
      <c r="D162" s="409"/>
      <c r="E162" s="177"/>
      <c r="F162" s="411"/>
      <c r="G162" s="411"/>
      <c r="H162" s="411"/>
      <c r="I162" s="411"/>
      <c r="J162" s="409"/>
      <c r="K162" s="409"/>
      <c r="L162" s="409"/>
      <c r="M162" s="409"/>
      <c r="Q162" s="432"/>
    </row>
    <row r="163" spans="2:17" ht="21" customHeight="1">
      <c r="B163" s="418" t="s">
        <v>352</v>
      </c>
      <c r="D163" s="409"/>
      <c r="E163" s="177"/>
      <c r="F163" s="411"/>
      <c r="G163" s="411"/>
      <c r="H163" s="411"/>
      <c r="I163" s="411"/>
      <c r="J163" s="409"/>
      <c r="K163" s="409"/>
      <c r="L163" s="409"/>
      <c r="M163" s="409"/>
      <c r="Q163" s="432"/>
    </row>
    <row r="164" spans="2:17" ht="21" customHeight="1">
      <c r="B164" s="418" t="s">
        <v>353</v>
      </c>
      <c r="D164" s="409"/>
      <c r="E164" s="177"/>
      <c r="F164" s="411"/>
      <c r="G164" s="411"/>
      <c r="H164" s="411"/>
      <c r="I164" s="411"/>
      <c r="J164" s="409"/>
      <c r="K164" s="409"/>
      <c r="L164" s="409"/>
      <c r="M164" s="409"/>
      <c r="Q164" s="432"/>
    </row>
    <row r="165" spans="2:17" ht="21" customHeight="1">
      <c r="B165" s="418" t="s">
        <v>354</v>
      </c>
      <c r="D165" s="409"/>
      <c r="E165" s="177"/>
      <c r="F165" s="411"/>
      <c r="G165" s="411"/>
      <c r="H165" s="411"/>
      <c r="I165" s="411"/>
      <c r="J165" s="409"/>
      <c r="K165" s="409"/>
      <c r="L165" s="409"/>
      <c r="M165" s="409"/>
      <c r="Q165" s="432"/>
    </row>
    <row r="166" spans="2:17" ht="21" customHeight="1">
      <c r="B166" s="418" t="s">
        <v>355</v>
      </c>
      <c r="D166" s="409"/>
      <c r="E166" s="177"/>
      <c r="F166" s="411"/>
      <c r="G166" s="411"/>
      <c r="H166" s="411"/>
      <c r="I166" s="411"/>
      <c r="J166" s="409"/>
      <c r="K166" s="409"/>
      <c r="L166" s="409"/>
      <c r="M166" s="409"/>
      <c r="Q166" s="432"/>
    </row>
    <row r="167" spans="2:17" ht="18" customHeight="1">
      <c r="B167" s="418" t="s">
        <v>356</v>
      </c>
      <c r="D167" s="409"/>
      <c r="E167" s="177"/>
      <c r="F167" s="411"/>
      <c r="G167" s="411"/>
      <c r="H167" s="411"/>
      <c r="I167" s="411"/>
      <c r="J167" s="409"/>
      <c r="K167" s="409"/>
      <c r="L167" s="409"/>
      <c r="M167" s="409"/>
      <c r="Q167" s="432"/>
    </row>
    <row r="168" spans="2:17" ht="20.25" customHeight="1">
      <c r="B168" s="418" t="s">
        <v>357</v>
      </c>
      <c r="D168" s="409"/>
      <c r="E168" s="177"/>
      <c r="F168" s="411"/>
      <c r="G168" s="411"/>
      <c r="H168" s="411"/>
      <c r="I168" s="411"/>
      <c r="J168" s="409"/>
      <c r="K168" s="409"/>
      <c r="L168" s="409"/>
      <c r="M168" s="409"/>
      <c r="Q168" s="432"/>
    </row>
    <row r="169" spans="2:17" ht="20.25" customHeight="1">
      <c r="B169" s="418" t="s">
        <v>358</v>
      </c>
      <c r="D169" s="409"/>
      <c r="E169" s="177"/>
      <c r="F169" s="411"/>
      <c r="G169" s="411"/>
      <c r="H169" s="411"/>
      <c r="I169" s="411"/>
      <c r="J169" s="409"/>
      <c r="K169" s="409"/>
      <c r="L169" s="409"/>
      <c r="M169" s="409"/>
      <c r="Q169" s="432"/>
    </row>
    <row r="170" spans="2:17" ht="20.25" customHeight="1">
      <c r="B170" s="418" t="s">
        <v>359</v>
      </c>
      <c r="D170" s="409"/>
      <c r="E170" s="177"/>
      <c r="F170" s="411"/>
      <c r="G170" s="411"/>
      <c r="H170" s="411"/>
      <c r="I170" s="411"/>
      <c r="J170" s="409"/>
      <c r="K170" s="409"/>
      <c r="L170" s="409"/>
      <c r="M170" s="409"/>
      <c r="Q170" s="432"/>
    </row>
    <row r="171" spans="2:17" ht="20.25" customHeight="1">
      <c r="B171" s="418" t="s">
        <v>132</v>
      </c>
      <c r="D171" s="409"/>
      <c r="E171" s="177"/>
      <c r="F171" s="411"/>
      <c r="G171" s="411"/>
      <c r="H171" s="411"/>
      <c r="I171" s="411"/>
      <c r="J171" s="409"/>
      <c r="K171" s="409"/>
      <c r="L171" s="409"/>
      <c r="M171" s="409"/>
      <c r="Q171" s="432"/>
    </row>
    <row r="172" spans="2:17" ht="20.25" customHeight="1">
      <c r="D172" s="409"/>
      <c r="E172" s="177"/>
      <c r="F172" s="411"/>
      <c r="G172" s="411"/>
      <c r="H172" s="411"/>
      <c r="I172" s="411"/>
      <c r="J172" s="409"/>
      <c r="K172" s="409"/>
      <c r="L172" s="409"/>
      <c r="M172" s="409"/>
      <c r="Q172" s="432"/>
    </row>
    <row r="173" spans="2:17" ht="20.25" customHeight="1">
      <c r="D173" s="409"/>
      <c r="E173" s="177"/>
      <c r="F173" s="411"/>
      <c r="G173" s="411"/>
      <c r="H173" s="411"/>
      <c r="I173" s="411"/>
      <c r="J173" s="409"/>
      <c r="K173" s="409"/>
      <c r="L173" s="409"/>
      <c r="M173" s="409"/>
      <c r="Q173" s="432"/>
    </row>
    <row r="174" spans="2:17" ht="20.25" customHeight="1">
      <c r="D174" s="409"/>
      <c r="E174" s="177"/>
      <c r="F174" s="411"/>
      <c r="G174" s="411"/>
      <c r="H174" s="411"/>
      <c r="I174" s="411"/>
      <c r="J174" s="409"/>
      <c r="K174" s="409"/>
      <c r="L174" s="409"/>
      <c r="M174" s="409"/>
      <c r="Q174" s="432"/>
    </row>
    <row r="175" spans="2:17" ht="20.25" customHeight="1">
      <c r="D175" s="409"/>
      <c r="E175" s="177"/>
      <c r="F175" s="411"/>
      <c r="G175" s="411"/>
      <c r="H175" s="411"/>
      <c r="I175" s="411"/>
      <c r="J175" s="409"/>
      <c r="K175" s="409"/>
      <c r="L175" s="409"/>
      <c r="M175" s="409"/>
      <c r="Q175" s="432"/>
    </row>
    <row r="176" spans="2:17" ht="20.25" customHeight="1">
      <c r="D176" s="409"/>
      <c r="E176" s="177"/>
      <c r="F176" s="411"/>
      <c r="G176" s="411"/>
      <c r="H176" s="411"/>
      <c r="I176" s="411"/>
      <c r="J176" s="409"/>
      <c r="K176" s="409"/>
      <c r="L176" s="409"/>
      <c r="M176" s="409"/>
      <c r="Q176" s="432"/>
    </row>
    <row r="177" spans="2:19" ht="20.25" customHeight="1">
      <c r="D177" s="409"/>
      <c r="E177" s="177"/>
      <c r="F177" s="411"/>
      <c r="G177" s="411"/>
      <c r="H177" s="411"/>
      <c r="I177" s="411"/>
      <c r="J177" s="409"/>
      <c r="K177" s="409"/>
      <c r="L177" s="409"/>
      <c r="M177" s="409"/>
      <c r="Q177" s="432"/>
    </row>
    <row r="178" spans="2:19" ht="20.25" customHeight="1">
      <c r="D178" s="409"/>
      <c r="E178" s="177"/>
      <c r="F178" s="411"/>
      <c r="G178" s="411"/>
      <c r="H178" s="411"/>
      <c r="I178" s="411"/>
      <c r="J178" s="409"/>
      <c r="K178" s="409"/>
      <c r="L178" s="409"/>
      <c r="M178" s="409"/>
      <c r="Q178" s="432"/>
    </row>
    <row r="179" spans="2:19" ht="20.25" customHeight="1">
      <c r="D179" s="409"/>
      <c r="E179" s="177"/>
      <c r="F179" s="411"/>
      <c r="G179" s="411"/>
      <c r="H179" s="411"/>
      <c r="I179" s="411"/>
      <c r="J179" s="409"/>
      <c r="K179" s="409"/>
      <c r="L179" s="409"/>
      <c r="M179" s="409"/>
      <c r="Q179" s="432"/>
    </row>
    <row r="180" spans="2:19" ht="20.25" customHeight="1">
      <c r="D180" s="409"/>
      <c r="E180" s="177"/>
      <c r="F180" s="411"/>
      <c r="G180" s="411"/>
      <c r="H180" s="411"/>
      <c r="I180" s="411"/>
      <c r="J180" s="409"/>
      <c r="K180" s="409"/>
      <c r="L180" s="409"/>
      <c r="M180" s="409"/>
      <c r="Q180" s="432"/>
    </row>
    <row r="181" spans="2:19" ht="20.25" customHeight="1">
      <c r="D181" s="409"/>
      <c r="E181" s="177"/>
      <c r="F181" s="411"/>
      <c r="G181" s="411"/>
      <c r="H181" s="411"/>
      <c r="I181" s="411"/>
      <c r="J181" s="409"/>
      <c r="K181" s="409"/>
      <c r="L181" s="409"/>
      <c r="M181" s="409"/>
      <c r="Q181" s="432"/>
    </row>
    <row r="182" spans="2:19" ht="20.25" customHeight="1">
      <c r="D182" s="409"/>
      <c r="E182" s="177"/>
      <c r="F182" s="411"/>
      <c r="G182" s="411"/>
      <c r="H182" s="411"/>
      <c r="I182" s="411"/>
      <c r="J182" s="409"/>
      <c r="K182" s="409"/>
      <c r="L182" s="409"/>
      <c r="M182" s="409"/>
      <c r="Q182" s="432"/>
    </row>
    <row r="183" spans="2:19" ht="20.25" customHeight="1">
      <c r="D183" s="409"/>
      <c r="E183" s="177"/>
      <c r="F183" s="411"/>
      <c r="G183" s="411"/>
      <c r="H183" s="411"/>
      <c r="I183" s="411"/>
      <c r="J183" s="409"/>
      <c r="K183" s="409"/>
      <c r="L183" s="409"/>
      <c r="M183" s="409"/>
      <c r="Q183" s="432"/>
    </row>
    <row r="184" spans="2:19" ht="20.25" customHeight="1">
      <c r="D184" s="409"/>
      <c r="E184" s="177"/>
      <c r="F184" s="411"/>
      <c r="G184" s="411"/>
      <c r="H184" s="411"/>
      <c r="I184" s="411"/>
      <c r="J184" s="409"/>
      <c r="K184" s="409"/>
      <c r="L184" s="409"/>
      <c r="M184" s="409"/>
      <c r="Q184" s="432"/>
    </row>
    <row r="185" spans="2:19" ht="20.25" customHeight="1">
      <c r="D185" s="409"/>
      <c r="E185" s="177"/>
      <c r="F185" s="411"/>
      <c r="G185" s="411"/>
      <c r="H185" s="411"/>
      <c r="I185" s="411"/>
      <c r="J185" s="409"/>
      <c r="K185" s="409"/>
      <c r="L185" s="409"/>
      <c r="M185" s="409"/>
      <c r="Q185" s="432"/>
    </row>
    <row r="186" spans="2:19" ht="20.25" customHeight="1">
      <c r="D186" s="409"/>
      <c r="E186" s="177"/>
      <c r="F186" s="411"/>
      <c r="G186" s="411"/>
      <c r="H186" s="411"/>
      <c r="I186" s="411"/>
      <c r="J186" s="409"/>
      <c r="K186" s="409"/>
      <c r="L186" s="409"/>
      <c r="M186" s="409"/>
      <c r="Q186" s="432"/>
    </row>
    <row r="187" spans="2:19" ht="20.25" customHeight="1">
      <c r="D187" s="409"/>
      <c r="E187" s="177"/>
      <c r="F187" s="411"/>
      <c r="G187" s="411"/>
      <c r="H187" s="411"/>
      <c r="I187" s="411"/>
      <c r="J187" s="409"/>
      <c r="K187" s="409"/>
      <c r="L187" s="409"/>
      <c r="M187" s="409"/>
      <c r="Q187" s="432"/>
    </row>
    <row r="188" spans="2:19" ht="20.25" customHeight="1">
      <c r="D188" s="409"/>
      <c r="E188" s="177"/>
      <c r="F188" s="411"/>
      <c r="G188" s="411"/>
      <c r="H188" s="411"/>
      <c r="I188" s="411"/>
      <c r="J188" s="409"/>
      <c r="K188" s="409"/>
      <c r="L188" s="409"/>
      <c r="M188" s="409"/>
      <c r="Q188" s="432"/>
    </row>
    <row r="189" spans="2:19" ht="20.25" customHeight="1">
      <c r="D189" s="409"/>
      <c r="E189" s="177"/>
      <c r="F189" s="411"/>
      <c r="G189" s="411"/>
      <c r="H189" s="411"/>
      <c r="I189" s="411"/>
      <c r="J189" s="409"/>
      <c r="K189" s="409"/>
      <c r="L189" s="409"/>
      <c r="M189" s="409"/>
      <c r="Q189" s="432"/>
    </row>
    <row r="190" spans="2:19" ht="20.25" customHeight="1">
      <c r="D190" s="409"/>
      <c r="E190" s="177"/>
      <c r="F190" s="411"/>
      <c r="G190" s="411"/>
      <c r="H190" s="411"/>
      <c r="I190" s="411"/>
      <c r="J190" s="409"/>
      <c r="K190" s="409"/>
      <c r="L190" s="409"/>
      <c r="M190" s="409"/>
      <c r="Q190" s="432"/>
    </row>
    <row r="191" spans="2:19" ht="20.25" customHeight="1">
      <c r="B191" s="250" t="s">
        <v>133</v>
      </c>
      <c r="C191" s="433" t="s">
        <v>134</v>
      </c>
      <c r="D191" s="434" t="s">
        <v>135</v>
      </c>
      <c r="E191" s="371"/>
      <c r="F191" s="244"/>
      <c r="G191" s="244"/>
      <c r="H191" s="244"/>
      <c r="I191" s="244"/>
      <c r="J191" s="212">
        <v>0</v>
      </c>
      <c r="K191" s="212"/>
      <c r="L191" s="212"/>
      <c r="M191" s="435"/>
      <c r="N191" s="371"/>
      <c r="O191" s="244"/>
      <c r="P191" s="214"/>
      <c r="Q191" s="436"/>
      <c r="R191" s="214"/>
      <c r="S191" s="416">
        <f>+J191-M191</f>
        <v>0</v>
      </c>
    </row>
    <row r="192" spans="2:19" ht="20.25" customHeight="1">
      <c r="B192" s="437" t="s">
        <v>360</v>
      </c>
      <c r="C192" s="438"/>
      <c r="D192" s="438"/>
      <c r="E192" s="439"/>
      <c r="F192" s="440"/>
      <c r="G192" s="440"/>
      <c r="H192" s="440"/>
      <c r="I192" s="440"/>
      <c r="J192" s="441"/>
      <c r="K192" s="441"/>
      <c r="L192" s="441"/>
      <c r="M192" s="438"/>
      <c r="N192" s="439"/>
      <c r="O192" s="439"/>
      <c r="P192" s="439"/>
      <c r="Q192" s="442"/>
      <c r="R192" s="439"/>
      <c r="S192" s="443"/>
    </row>
    <row r="193" spans="2:19" ht="20.25" customHeight="1">
      <c r="B193" s="444" t="s">
        <v>361</v>
      </c>
      <c r="C193" s="445"/>
      <c r="D193" s="446"/>
      <c r="E193" s="447"/>
      <c r="F193" s="448"/>
      <c r="G193" s="448"/>
      <c r="H193" s="448"/>
      <c r="I193" s="448"/>
      <c r="J193" s="449"/>
      <c r="K193" s="449"/>
      <c r="L193" s="449"/>
      <c r="M193" s="446"/>
      <c r="N193" s="447"/>
      <c r="O193" s="448"/>
      <c r="P193" s="448"/>
      <c r="Q193" s="450"/>
      <c r="R193" s="448"/>
      <c r="S193" s="451"/>
    </row>
    <row r="194" spans="2:19" ht="20.25" customHeight="1">
      <c r="B194" s="452" t="s">
        <v>362</v>
      </c>
      <c r="C194" s="453"/>
      <c r="D194" s="438"/>
      <c r="E194" s="439"/>
      <c r="F194" s="440"/>
      <c r="G194" s="440"/>
      <c r="H194" s="440"/>
      <c r="I194" s="440"/>
      <c r="J194" s="441"/>
      <c r="K194" s="441"/>
      <c r="L194" s="441"/>
      <c r="M194" s="438"/>
      <c r="N194" s="439"/>
      <c r="O194" s="440"/>
      <c r="P194" s="440"/>
      <c r="Q194" s="454"/>
      <c r="R194" s="440"/>
      <c r="S194" s="455"/>
    </row>
    <row r="195" spans="2:19" ht="20.25" customHeight="1">
      <c r="B195" s="456" t="s">
        <v>363</v>
      </c>
      <c r="C195" s="457"/>
      <c r="D195" s="458"/>
      <c r="E195" s="459"/>
      <c r="F195" s="460"/>
      <c r="G195" s="460"/>
      <c r="H195" s="460"/>
      <c r="I195" s="460"/>
      <c r="J195" s="461"/>
      <c r="K195" s="461"/>
      <c r="L195" s="461"/>
      <c r="M195" s="458"/>
      <c r="N195" s="459"/>
      <c r="O195" s="460"/>
      <c r="P195" s="460"/>
      <c r="Q195" s="462"/>
      <c r="R195" s="460"/>
      <c r="S195" s="463"/>
    </row>
    <row r="196" spans="2:19" ht="20.25" customHeight="1">
      <c r="D196" s="409"/>
      <c r="E196" s="177"/>
      <c r="F196" s="411"/>
      <c r="G196" s="411"/>
      <c r="H196" s="411"/>
      <c r="I196" s="411"/>
      <c r="J196" s="409"/>
      <c r="K196" s="409"/>
      <c r="L196" s="409"/>
      <c r="M196" s="409"/>
      <c r="Q196" s="432"/>
    </row>
    <row r="197" spans="2:19" ht="20.25" customHeight="1">
      <c r="B197" s="464" t="s">
        <v>133</v>
      </c>
      <c r="C197" s="233" t="s">
        <v>140</v>
      </c>
      <c r="D197" s="465" t="s">
        <v>135</v>
      </c>
      <c r="E197" s="233"/>
      <c r="F197" s="237"/>
      <c r="G197" s="237"/>
      <c r="H197" s="237"/>
      <c r="I197" s="237"/>
      <c r="J197" s="204">
        <v>0</v>
      </c>
      <c r="K197" s="204"/>
      <c r="L197" s="204"/>
      <c r="M197" s="204"/>
      <c r="N197" s="466"/>
      <c r="O197" s="237"/>
      <c r="P197" s="237"/>
      <c r="Q197" s="238"/>
      <c r="R197" s="237"/>
      <c r="S197" s="467">
        <f>+J197-M197</f>
        <v>0</v>
      </c>
    </row>
    <row r="198" spans="2:19" ht="20.25" customHeight="1">
      <c r="B198" s="468" t="s">
        <v>141</v>
      </c>
      <c r="C198" s="371"/>
      <c r="D198" s="204"/>
      <c r="E198" s="233"/>
      <c r="F198" s="237"/>
      <c r="G198" s="237"/>
      <c r="H198" s="237"/>
      <c r="I198" s="237"/>
      <c r="J198" s="204"/>
      <c r="K198" s="204"/>
      <c r="L198" s="204"/>
      <c r="M198" s="204"/>
      <c r="N198" s="466"/>
      <c r="O198" s="237"/>
      <c r="P198" s="237"/>
      <c r="Q198" s="238"/>
      <c r="R198" s="237"/>
      <c r="S198" s="467"/>
    </row>
    <row r="199" spans="2:19" ht="20.25" customHeight="1">
      <c r="B199" s="437" t="s">
        <v>364</v>
      </c>
      <c r="C199" s="439"/>
      <c r="D199" s="449"/>
      <c r="E199" s="447"/>
      <c r="F199" s="448"/>
      <c r="G199" s="448"/>
      <c r="H199" s="448"/>
      <c r="I199" s="448"/>
      <c r="J199" s="449"/>
      <c r="K199" s="449"/>
      <c r="L199" s="449"/>
      <c r="M199" s="449"/>
      <c r="N199" s="469"/>
      <c r="O199" s="448"/>
      <c r="P199" s="448"/>
      <c r="Q199" s="450"/>
      <c r="R199" s="448"/>
      <c r="S199" s="451"/>
    </row>
    <row r="200" spans="2:19" ht="20.25" customHeight="1">
      <c r="B200" s="444" t="s">
        <v>361</v>
      </c>
      <c r="C200" s="439"/>
      <c r="D200" s="449"/>
      <c r="E200" s="447"/>
      <c r="F200" s="448"/>
      <c r="G200" s="448"/>
      <c r="H200" s="448"/>
      <c r="I200" s="448"/>
      <c r="J200" s="449"/>
      <c r="K200" s="449"/>
      <c r="L200" s="449"/>
      <c r="M200" s="449"/>
      <c r="N200" s="469"/>
      <c r="O200" s="448"/>
      <c r="P200" s="448"/>
      <c r="Q200" s="450"/>
      <c r="R200" s="448"/>
      <c r="S200" s="451"/>
    </row>
    <row r="201" spans="2:19" ht="20.25" customHeight="1">
      <c r="B201" s="452" t="s">
        <v>362</v>
      </c>
      <c r="C201" s="439"/>
      <c r="D201" s="449"/>
      <c r="E201" s="447"/>
      <c r="F201" s="448"/>
      <c r="G201" s="448"/>
      <c r="H201" s="448"/>
      <c r="I201" s="448"/>
      <c r="J201" s="449"/>
      <c r="K201" s="449"/>
      <c r="L201" s="449"/>
      <c r="M201" s="449"/>
      <c r="N201" s="469"/>
      <c r="O201" s="448"/>
      <c r="P201" s="448"/>
      <c r="Q201" s="450"/>
      <c r="R201" s="448"/>
      <c r="S201" s="451"/>
    </row>
    <row r="202" spans="2:19" ht="20.25" customHeight="1">
      <c r="B202" s="452" t="s">
        <v>363</v>
      </c>
      <c r="C202" s="439"/>
      <c r="D202" s="441"/>
      <c r="E202" s="439"/>
      <c r="F202" s="440"/>
      <c r="G202" s="440"/>
      <c r="H202" s="440"/>
      <c r="I202" s="440"/>
      <c r="J202" s="441"/>
      <c r="K202" s="441"/>
      <c r="L202" s="441"/>
      <c r="M202" s="441"/>
      <c r="N202" s="470"/>
      <c r="O202" s="440"/>
      <c r="P202" s="440"/>
      <c r="Q202" s="454"/>
      <c r="R202" s="440"/>
      <c r="S202" s="455"/>
    </row>
    <row r="203" spans="2:19" ht="20.25" customHeight="1">
      <c r="D203" s="409"/>
      <c r="E203" s="177"/>
      <c r="F203" s="411"/>
      <c r="G203" s="411"/>
      <c r="H203" s="411"/>
      <c r="I203" s="411"/>
      <c r="J203" s="409"/>
      <c r="K203" s="409"/>
      <c r="L203" s="409"/>
      <c r="M203" s="409"/>
      <c r="Q203" s="432"/>
    </row>
    <row r="204" spans="2:19" ht="20.25" customHeight="1">
      <c r="D204" s="409"/>
      <c r="E204" s="177"/>
      <c r="F204" s="411"/>
      <c r="G204" s="411"/>
      <c r="H204" s="411"/>
      <c r="I204" s="411"/>
      <c r="J204" s="409"/>
      <c r="K204" s="409"/>
      <c r="L204" s="409"/>
      <c r="M204" s="409"/>
      <c r="Q204" s="432"/>
    </row>
    <row r="205" spans="2:19" ht="20.25" customHeight="1">
      <c r="D205" s="409"/>
      <c r="E205" s="177"/>
      <c r="F205" s="411"/>
      <c r="G205" s="411"/>
      <c r="H205" s="411"/>
      <c r="I205" s="411"/>
      <c r="J205" s="409"/>
      <c r="K205" s="409"/>
      <c r="L205" s="409"/>
      <c r="M205" s="409"/>
      <c r="Q205" s="432"/>
    </row>
    <row r="206" spans="2:19" ht="20.25" customHeight="1">
      <c r="D206" s="409"/>
      <c r="E206" s="177"/>
      <c r="F206" s="411"/>
      <c r="G206" s="411"/>
      <c r="H206" s="411"/>
      <c r="I206" s="411"/>
      <c r="J206" s="409"/>
      <c r="K206" s="409"/>
      <c r="L206" s="409"/>
      <c r="M206" s="409"/>
      <c r="Q206" s="432"/>
    </row>
    <row r="207" spans="2:19" ht="20.25" customHeight="1">
      <c r="D207" s="409"/>
      <c r="E207" s="177"/>
      <c r="F207" s="411"/>
      <c r="G207" s="411"/>
      <c r="H207" s="411"/>
      <c r="I207" s="411"/>
      <c r="J207" s="409"/>
      <c r="K207" s="409"/>
      <c r="L207" s="409"/>
      <c r="M207" s="409"/>
      <c r="Q207" s="432"/>
    </row>
    <row r="208" spans="2:19" ht="18" customHeight="1">
      <c r="S208" s="471"/>
    </row>
    <row r="209" spans="1:19" ht="18" customHeight="1">
      <c r="A209" s="232">
        <v>3</v>
      </c>
      <c r="B209" s="388" t="s">
        <v>143</v>
      </c>
      <c r="C209" s="234" t="s">
        <v>144</v>
      </c>
      <c r="D209" s="393">
        <v>56000</v>
      </c>
      <c r="E209" s="390" t="s">
        <v>145</v>
      </c>
      <c r="F209" s="237">
        <v>18</v>
      </c>
      <c r="G209" s="237"/>
      <c r="H209" s="237"/>
      <c r="I209" s="237"/>
      <c r="J209" s="204">
        <v>1008000</v>
      </c>
      <c r="K209" s="204"/>
      <c r="L209" s="204"/>
      <c r="M209" s="204"/>
      <c r="N209" s="390" t="s">
        <v>145</v>
      </c>
      <c r="O209" s="237">
        <v>18</v>
      </c>
      <c r="P209" s="237"/>
      <c r="Q209" s="238"/>
      <c r="R209" s="237"/>
      <c r="S209" s="467">
        <f>+D209+J209-M209</f>
        <v>1064000</v>
      </c>
    </row>
    <row r="210" spans="1:19" ht="18" customHeight="1"/>
    <row r="211" spans="1:19" ht="15.75" customHeight="1">
      <c r="A211" s="250"/>
      <c r="B211" s="472" t="s">
        <v>147</v>
      </c>
      <c r="C211" s="234"/>
      <c r="D211" s="473"/>
      <c r="E211" s="390"/>
      <c r="F211" s="237"/>
      <c r="G211" s="237"/>
      <c r="H211" s="237"/>
      <c r="I211" s="237"/>
      <c r="J211" s="204"/>
      <c r="K211" s="204"/>
      <c r="L211" s="204"/>
      <c r="M211" s="204"/>
      <c r="N211" s="390"/>
      <c r="O211" s="237"/>
      <c r="P211" s="237"/>
      <c r="Q211" s="238"/>
      <c r="R211" s="237"/>
      <c r="S211" s="467">
        <f>+D211+J211-M211</f>
        <v>0</v>
      </c>
    </row>
    <row r="212" spans="1:19" ht="15.75" customHeight="1">
      <c r="A212" s="232">
        <v>4</v>
      </c>
      <c r="B212" s="388" t="s">
        <v>148</v>
      </c>
      <c r="C212" s="234" t="s">
        <v>149</v>
      </c>
      <c r="D212" s="474">
        <v>2237400</v>
      </c>
      <c r="E212" s="390"/>
      <c r="F212" s="237"/>
      <c r="G212" s="244"/>
      <c r="H212" s="244"/>
      <c r="I212" s="244"/>
      <c r="J212" s="475">
        <f>2237400-335610-633930-633930-633930</f>
        <v>0</v>
      </c>
      <c r="K212" s="475"/>
      <c r="L212" s="475"/>
      <c r="M212" s="475"/>
      <c r="N212" s="476"/>
      <c r="O212" s="477"/>
      <c r="P212" s="477"/>
      <c r="Q212" s="478"/>
      <c r="R212" s="477"/>
      <c r="S212" s="479">
        <f>2237400-335610-633930-633930-633930</f>
        <v>0</v>
      </c>
    </row>
    <row r="213" spans="1:19" ht="15.75" customHeight="1">
      <c r="B213" s="480" t="s">
        <v>365</v>
      </c>
    </row>
    <row r="214" spans="1:19" ht="15.75" customHeight="1">
      <c r="B214" s="481" t="s">
        <v>366</v>
      </c>
    </row>
    <row r="215" spans="1:19" ht="15.75" customHeight="1">
      <c r="B215" s="481" t="s">
        <v>152</v>
      </c>
    </row>
    <row r="216" spans="1:19" ht="15.75" customHeight="1">
      <c r="B216" s="481" t="s">
        <v>153</v>
      </c>
    </row>
    <row r="217" spans="1:19" ht="15.75" customHeight="1">
      <c r="B217" s="481" t="s">
        <v>154</v>
      </c>
    </row>
    <row r="218" spans="1:19" ht="18" customHeight="1"/>
    <row r="219" spans="1:19" ht="18" customHeight="1"/>
    <row r="220" spans="1:19" ht="18" customHeight="1">
      <c r="B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428"/>
      <c r="N220" s="428"/>
      <c r="O220" s="177"/>
      <c r="P220" s="177"/>
      <c r="Q220" s="482"/>
      <c r="R220" s="177"/>
      <c r="S220" s="177"/>
    </row>
  </sheetData>
  <mergeCells count="10">
    <mergeCell ref="P105:S105"/>
    <mergeCell ref="P106:S106"/>
    <mergeCell ref="P107:S107"/>
    <mergeCell ref="P108:R108"/>
    <mergeCell ref="A1:S1"/>
    <mergeCell ref="A2:S2"/>
    <mergeCell ref="A3:S3"/>
    <mergeCell ref="E4:J4"/>
    <mergeCell ref="K4:M4"/>
    <mergeCell ref="N4:S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9103-6959-4068-9A0E-B1D1433BD7DC}">
  <sheetPr>
    <tabColor rgb="FFFFFF00"/>
  </sheetPr>
  <dimension ref="A1:T1004"/>
  <sheetViews>
    <sheetView zoomScale="80" zoomScaleNormal="80" workbookViewId="0">
      <pane ySplit="6" topLeftCell="A87" activePane="bottomLeft" state="frozen"/>
      <selection pane="bottomLeft" activeCell="M114" sqref="M114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282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48">
        <v>12840</v>
      </c>
      <c r="E26" s="49"/>
      <c r="F26" s="49"/>
      <c r="G26" s="49"/>
      <c r="H26" s="49"/>
      <c r="I26" s="49"/>
      <c r="J26" s="49"/>
      <c r="K26" s="50">
        <v>25265</v>
      </c>
      <c r="L26" s="51" t="s">
        <v>283</v>
      </c>
      <c r="M26" s="52">
        <v>12840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174">
        <v>2500</v>
      </c>
      <c r="E27" s="49"/>
      <c r="F27" s="49"/>
      <c r="G27" s="49"/>
      <c r="H27" s="49"/>
      <c r="I27" s="49"/>
      <c r="J27" s="49"/>
      <c r="K27" s="50">
        <v>25265</v>
      </c>
      <c r="L27" s="51" t="s">
        <v>284</v>
      </c>
      <c r="M27" s="52">
        <v>2500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32</v>
      </c>
      <c r="D28" s="48">
        <v>1000</v>
      </c>
      <c r="E28" s="49"/>
      <c r="F28" s="49"/>
      <c r="G28" s="49"/>
      <c r="H28" s="49"/>
      <c r="I28" s="49"/>
      <c r="J28" s="49"/>
      <c r="K28" s="50">
        <v>25265</v>
      </c>
      <c r="L28" s="51" t="s">
        <v>285</v>
      </c>
      <c r="M28" s="52">
        <v>1000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29</v>
      </c>
      <c r="C29" s="47" t="s">
        <v>30</v>
      </c>
      <c r="D29" s="48">
        <v>12840</v>
      </c>
      <c r="E29" s="49"/>
      <c r="F29" s="49"/>
      <c r="G29" s="49"/>
      <c r="H29" s="49"/>
      <c r="I29" s="49"/>
      <c r="J29" s="49"/>
      <c r="K29" s="50">
        <v>25272</v>
      </c>
      <c r="L29" s="51" t="s">
        <v>286</v>
      </c>
      <c r="M29" s="52">
        <v>12840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29</v>
      </c>
      <c r="C30" s="47" t="s">
        <v>34</v>
      </c>
      <c r="D30" s="48">
        <v>2500</v>
      </c>
      <c r="E30" s="49"/>
      <c r="F30" s="49"/>
      <c r="G30" s="49"/>
      <c r="H30" s="49"/>
      <c r="I30" s="49"/>
      <c r="J30" s="49"/>
      <c r="K30" s="50">
        <v>25272</v>
      </c>
      <c r="L30" s="51" t="s">
        <v>287</v>
      </c>
      <c r="M30" s="52">
        <v>2500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32</v>
      </c>
      <c r="D31" s="48">
        <v>1000</v>
      </c>
      <c r="E31" s="49"/>
      <c r="F31" s="49"/>
      <c r="G31" s="49"/>
      <c r="H31" s="49"/>
      <c r="I31" s="49"/>
      <c r="J31" s="49"/>
      <c r="K31" s="50">
        <v>25272</v>
      </c>
      <c r="L31" s="51" t="s">
        <v>288</v>
      </c>
      <c r="M31" s="52">
        <v>1000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30</v>
      </c>
      <c r="D32" s="48">
        <v>12840</v>
      </c>
      <c r="E32" s="49"/>
      <c r="F32" s="49"/>
      <c r="G32" s="49"/>
      <c r="H32" s="49"/>
      <c r="I32" s="49"/>
      <c r="J32" s="49"/>
      <c r="K32" s="50">
        <v>25279</v>
      </c>
      <c r="L32" s="51" t="s">
        <v>289</v>
      </c>
      <c r="M32" s="52">
        <v>12840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34</v>
      </c>
      <c r="D33" s="48">
        <v>2500</v>
      </c>
      <c r="E33" s="49"/>
      <c r="F33" s="49"/>
      <c r="G33" s="49"/>
      <c r="H33" s="49"/>
      <c r="I33" s="49"/>
      <c r="J33" s="49"/>
      <c r="K33" s="50">
        <v>25279</v>
      </c>
      <c r="L33" s="51" t="s">
        <v>290</v>
      </c>
      <c r="M33" s="52">
        <v>2500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32</v>
      </c>
      <c r="D34" s="48">
        <v>1000</v>
      </c>
      <c r="E34" s="49"/>
      <c r="F34" s="49"/>
      <c r="G34" s="49"/>
      <c r="H34" s="49"/>
      <c r="I34" s="49"/>
      <c r="J34" s="49"/>
      <c r="K34" s="50">
        <v>25279</v>
      </c>
      <c r="L34" s="51" t="s">
        <v>291</v>
      </c>
      <c r="M34" s="52">
        <v>1000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30</v>
      </c>
      <c r="D35" s="48">
        <v>12840</v>
      </c>
      <c r="E35" s="49"/>
      <c r="F35" s="49"/>
      <c r="G35" s="49"/>
      <c r="H35" s="49"/>
      <c r="I35" s="49"/>
      <c r="J35" s="49"/>
      <c r="K35" s="50">
        <v>25287</v>
      </c>
      <c r="L35" s="51" t="s">
        <v>292</v>
      </c>
      <c r="M35" s="52">
        <v>12840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34</v>
      </c>
      <c r="D36" s="48">
        <v>2500</v>
      </c>
      <c r="E36" s="49"/>
      <c r="F36" s="49"/>
      <c r="G36" s="49"/>
      <c r="H36" s="49"/>
      <c r="I36" s="49"/>
      <c r="J36" s="49"/>
      <c r="K36" s="50">
        <v>25287</v>
      </c>
      <c r="L36" s="51" t="s">
        <v>293</v>
      </c>
      <c r="M36" s="52">
        <v>2500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32</v>
      </c>
      <c r="D37" s="56">
        <v>1000</v>
      </c>
      <c r="E37" s="49"/>
      <c r="F37" s="49"/>
      <c r="G37" s="49"/>
      <c r="H37" s="49"/>
      <c r="I37" s="49"/>
      <c r="J37" s="49"/>
      <c r="K37" s="57">
        <v>25287</v>
      </c>
      <c r="L37" s="51" t="s">
        <v>294</v>
      </c>
      <c r="M37" s="58">
        <v>1000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30</v>
      </c>
      <c r="D38" s="56">
        <v>12840</v>
      </c>
      <c r="E38" s="49"/>
      <c r="F38" s="49"/>
      <c r="G38" s="49"/>
      <c r="H38" s="49"/>
      <c r="I38" s="49"/>
      <c r="J38" s="49"/>
      <c r="K38" s="57">
        <v>25293</v>
      </c>
      <c r="L38" s="51" t="s">
        <v>295</v>
      </c>
      <c r="M38" s="58">
        <v>12840</v>
      </c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34</v>
      </c>
      <c r="D39" s="56">
        <v>2500</v>
      </c>
      <c r="E39" s="49"/>
      <c r="F39" s="49"/>
      <c r="G39" s="49"/>
      <c r="H39" s="49"/>
      <c r="I39" s="49"/>
      <c r="J39" s="49"/>
      <c r="K39" s="57">
        <v>25293</v>
      </c>
      <c r="L39" s="51" t="s">
        <v>296</v>
      </c>
      <c r="M39" s="58">
        <v>2500</v>
      </c>
      <c r="N39" s="47"/>
      <c r="O39" s="46"/>
      <c r="P39" s="46"/>
      <c r="Q39" s="46"/>
      <c r="R39" s="46"/>
      <c r="S39" s="49"/>
    </row>
    <row r="40" spans="1:19" ht="23.4">
      <c r="A40" s="46">
        <v>15</v>
      </c>
      <c r="B40" s="55" t="s">
        <v>29</v>
      </c>
      <c r="C40" s="55" t="s">
        <v>32</v>
      </c>
      <c r="D40" s="56">
        <v>1000</v>
      </c>
      <c r="E40" s="49"/>
      <c r="F40" s="49"/>
      <c r="G40" s="49"/>
      <c r="H40" s="49"/>
      <c r="I40" s="49"/>
      <c r="J40" s="49"/>
      <c r="K40" s="57">
        <v>25293</v>
      </c>
      <c r="L40" s="51" t="s">
        <v>297</v>
      </c>
      <c r="M40" s="58">
        <v>1000</v>
      </c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81700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81700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25281</v>
      </c>
      <c r="L45" s="77" t="s">
        <v>298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25279</v>
      </c>
      <c r="L46" s="77" t="s">
        <v>299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25282</v>
      </c>
      <c r="L47" s="77" t="s">
        <v>300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25265</v>
      </c>
      <c r="L70" s="77" t="s">
        <v>301</v>
      </c>
      <c r="M70" s="11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400</v>
      </c>
      <c r="E71" s="68"/>
      <c r="F71" s="68"/>
      <c r="G71" s="68"/>
      <c r="H71" s="68"/>
      <c r="I71" s="68"/>
      <c r="J71" s="68"/>
      <c r="K71" s="108">
        <v>25272</v>
      </c>
      <c r="L71" s="77" t="s">
        <v>302</v>
      </c>
      <c r="M71" s="111">
        <v>400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25279</v>
      </c>
      <c r="L72" s="77" t="s">
        <v>303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25287</v>
      </c>
      <c r="L73" s="77" t="s">
        <v>304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>
        <v>7</v>
      </c>
      <c r="B74" s="71" t="s">
        <v>75</v>
      </c>
      <c r="C74" s="71" t="s">
        <v>84</v>
      </c>
      <c r="D74" s="110">
        <v>400</v>
      </c>
      <c r="E74" s="68"/>
      <c r="F74" s="68"/>
      <c r="G74" s="68"/>
      <c r="H74" s="68"/>
      <c r="I74" s="68"/>
      <c r="J74" s="68"/>
      <c r="K74" s="112">
        <v>25293</v>
      </c>
      <c r="L74" s="77" t="s">
        <v>305</v>
      </c>
      <c r="M74" s="111">
        <v>400</v>
      </c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2000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2000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3841.3</v>
      </c>
      <c r="E81" s="75"/>
      <c r="F81" s="72"/>
      <c r="G81" s="72"/>
      <c r="H81" s="72">
        <v>0</v>
      </c>
      <c r="I81" s="72">
        <v>0</v>
      </c>
      <c r="J81" s="68">
        <v>0</v>
      </c>
      <c r="K81" s="76">
        <v>25265</v>
      </c>
      <c r="L81" s="77" t="s">
        <v>306</v>
      </c>
      <c r="M81" s="78">
        <v>3841.3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3552.4</v>
      </c>
      <c r="E82" s="75"/>
      <c r="F82" s="72"/>
      <c r="G82" s="72"/>
      <c r="H82" s="72">
        <v>0</v>
      </c>
      <c r="I82" s="72">
        <v>0</v>
      </c>
      <c r="J82" s="68">
        <v>0</v>
      </c>
      <c r="K82" s="76">
        <v>25272</v>
      </c>
      <c r="L82" s="77" t="s">
        <v>307</v>
      </c>
      <c r="M82" s="78">
        <v>3552.4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3777.1</v>
      </c>
      <c r="E83" s="75"/>
      <c r="F83" s="72"/>
      <c r="G83" s="72"/>
      <c r="H83" s="72">
        <v>0</v>
      </c>
      <c r="I83" s="72">
        <v>0</v>
      </c>
      <c r="J83" s="68">
        <v>0</v>
      </c>
      <c r="K83" s="76">
        <v>25279</v>
      </c>
      <c r="L83" s="77" t="s">
        <v>308</v>
      </c>
      <c r="M83" s="78">
        <v>3777.1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3573.8</v>
      </c>
      <c r="E84" s="75"/>
      <c r="F84" s="72"/>
      <c r="G84" s="72"/>
      <c r="H84" s="72">
        <v>0</v>
      </c>
      <c r="I84" s="72">
        <v>0</v>
      </c>
      <c r="J84" s="68">
        <v>0</v>
      </c>
      <c r="K84" s="76">
        <v>25287</v>
      </c>
      <c r="L84" s="77" t="s">
        <v>309</v>
      </c>
      <c r="M84" s="78">
        <v>3573.8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>
        <v>3712.9</v>
      </c>
      <c r="E85" s="75"/>
      <c r="F85" s="72"/>
      <c r="G85" s="72"/>
      <c r="H85" s="72">
        <v>0</v>
      </c>
      <c r="I85" s="72">
        <v>0</v>
      </c>
      <c r="J85" s="68">
        <v>0</v>
      </c>
      <c r="K85" s="117">
        <v>25293</v>
      </c>
      <c r="L85" s="77" t="s">
        <v>310</v>
      </c>
      <c r="M85" s="111">
        <v>3712.9</v>
      </c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18457.500000000004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18457.500000000004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SUM(D43+D48+D76+D86)</f>
        <v>105367.5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SUM(M43+M48+M61+M76+M86)</f>
        <v>105367.5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25" right="0.25" top="0.75" bottom="0.75" header="0.3" footer="0.3"/>
  <pageSetup paperSize="9" scale="45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ECB9-14DB-4EEE-A6AA-D8FBC6C12C6E}">
  <sheetPr>
    <tabColor rgb="FFFFFF00"/>
  </sheetPr>
  <dimension ref="A1:H943"/>
  <sheetViews>
    <sheetView zoomScale="80" zoomScaleNormal="80" workbookViewId="0">
      <pane ySplit="5" topLeftCell="A34" activePane="bottomLeft" state="frozen"/>
      <selection pane="bottomLeft" activeCell="A51" sqref="A51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  <col min="8" max="8" width="14.5546875" style="176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282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22.5" customHeight="1">
      <c r="A6" s="13"/>
      <c r="B6" s="39" t="s">
        <v>28</v>
      </c>
      <c r="C6" s="40"/>
      <c r="D6" s="42"/>
      <c r="E6" s="43"/>
      <c r="F6" s="43"/>
    </row>
    <row r="7" spans="1:6" ht="20.25" customHeight="1">
      <c r="A7" s="46">
        <v>1</v>
      </c>
      <c r="B7" s="47" t="s">
        <v>29</v>
      </c>
      <c r="C7" s="47" t="s">
        <v>30</v>
      </c>
      <c r="D7" s="50">
        <v>25265</v>
      </c>
      <c r="E7" s="51" t="s">
        <v>283</v>
      </c>
      <c r="F7" s="52">
        <v>12840</v>
      </c>
    </row>
    <row r="8" spans="1:6" ht="22.5" customHeight="1">
      <c r="A8" s="46">
        <v>2</v>
      </c>
      <c r="B8" s="173" t="s">
        <v>29</v>
      </c>
      <c r="C8" s="173" t="s">
        <v>34</v>
      </c>
      <c r="D8" s="50">
        <v>25265</v>
      </c>
      <c r="E8" s="51" t="s">
        <v>284</v>
      </c>
      <c r="F8" s="52">
        <v>2500</v>
      </c>
    </row>
    <row r="9" spans="1:6" ht="17.399999999999999">
      <c r="A9" s="46">
        <v>3</v>
      </c>
      <c r="B9" s="47" t="s">
        <v>29</v>
      </c>
      <c r="C9" s="47" t="s">
        <v>32</v>
      </c>
      <c r="D9" s="50">
        <v>25265</v>
      </c>
      <c r="E9" s="51" t="s">
        <v>285</v>
      </c>
      <c r="F9" s="52">
        <v>1000</v>
      </c>
    </row>
    <row r="10" spans="1:6" ht="17.399999999999999">
      <c r="A10" s="46">
        <v>4</v>
      </c>
      <c r="B10" s="47" t="s">
        <v>29</v>
      </c>
      <c r="C10" s="47" t="s">
        <v>30</v>
      </c>
      <c r="D10" s="50">
        <v>25272</v>
      </c>
      <c r="E10" s="51" t="s">
        <v>286</v>
      </c>
      <c r="F10" s="52">
        <v>12840</v>
      </c>
    </row>
    <row r="11" spans="1:6" ht="17.399999999999999">
      <c r="A11" s="46">
        <v>5</v>
      </c>
      <c r="B11" s="47" t="s">
        <v>29</v>
      </c>
      <c r="C11" s="47" t="s">
        <v>34</v>
      </c>
      <c r="D11" s="50">
        <v>25272</v>
      </c>
      <c r="E11" s="51" t="s">
        <v>287</v>
      </c>
      <c r="F11" s="52">
        <v>2500</v>
      </c>
    </row>
    <row r="12" spans="1:6" ht="17.399999999999999">
      <c r="A12" s="46">
        <v>6</v>
      </c>
      <c r="B12" s="47" t="s">
        <v>29</v>
      </c>
      <c r="C12" s="47" t="s">
        <v>32</v>
      </c>
      <c r="D12" s="50">
        <v>25272</v>
      </c>
      <c r="E12" s="51" t="s">
        <v>288</v>
      </c>
      <c r="F12" s="52">
        <v>1000</v>
      </c>
    </row>
    <row r="13" spans="1:6" ht="17.399999999999999">
      <c r="A13" s="46">
        <v>7</v>
      </c>
      <c r="B13" s="47" t="s">
        <v>29</v>
      </c>
      <c r="C13" s="47" t="s">
        <v>30</v>
      </c>
      <c r="D13" s="50">
        <v>25279</v>
      </c>
      <c r="E13" s="51" t="s">
        <v>289</v>
      </c>
      <c r="F13" s="52">
        <v>12840</v>
      </c>
    </row>
    <row r="14" spans="1:6" ht="17.399999999999999">
      <c r="A14" s="46">
        <v>8</v>
      </c>
      <c r="B14" s="47" t="s">
        <v>29</v>
      </c>
      <c r="C14" s="47" t="s">
        <v>34</v>
      </c>
      <c r="D14" s="50">
        <v>25279</v>
      </c>
      <c r="E14" s="51" t="s">
        <v>290</v>
      </c>
      <c r="F14" s="52">
        <v>2500</v>
      </c>
    </row>
    <row r="15" spans="1:6" ht="17.399999999999999">
      <c r="A15" s="46">
        <v>9</v>
      </c>
      <c r="B15" s="47" t="s">
        <v>29</v>
      </c>
      <c r="C15" s="47" t="s">
        <v>32</v>
      </c>
      <c r="D15" s="50">
        <v>25279</v>
      </c>
      <c r="E15" s="51" t="s">
        <v>291</v>
      </c>
      <c r="F15" s="52">
        <v>1000</v>
      </c>
    </row>
    <row r="16" spans="1:6" ht="17.399999999999999">
      <c r="A16" s="46">
        <v>10</v>
      </c>
      <c r="B16" s="47" t="s">
        <v>29</v>
      </c>
      <c r="C16" s="47" t="s">
        <v>30</v>
      </c>
      <c r="D16" s="50">
        <v>25287</v>
      </c>
      <c r="E16" s="51" t="s">
        <v>292</v>
      </c>
      <c r="F16" s="52">
        <v>12840</v>
      </c>
    </row>
    <row r="17" spans="1:7" ht="17.399999999999999">
      <c r="A17" s="46">
        <v>11</v>
      </c>
      <c r="B17" s="47" t="s">
        <v>29</v>
      </c>
      <c r="C17" s="47" t="s">
        <v>34</v>
      </c>
      <c r="D17" s="50">
        <v>25287</v>
      </c>
      <c r="E17" s="51" t="s">
        <v>293</v>
      </c>
      <c r="F17" s="52">
        <v>2500</v>
      </c>
    </row>
    <row r="18" spans="1:7" ht="23.4">
      <c r="A18" s="46">
        <v>12</v>
      </c>
      <c r="B18" s="55" t="s">
        <v>29</v>
      </c>
      <c r="C18" s="55" t="s">
        <v>32</v>
      </c>
      <c r="D18" s="57">
        <v>25287</v>
      </c>
      <c r="E18" s="51" t="s">
        <v>294</v>
      </c>
      <c r="F18" s="58">
        <v>1000</v>
      </c>
    </row>
    <row r="19" spans="1:7" ht="23.4">
      <c r="A19" s="46">
        <v>13</v>
      </c>
      <c r="B19" s="55" t="s">
        <v>29</v>
      </c>
      <c r="C19" s="55" t="s">
        <v>30</v>
      </c>
      <c r="D19" s="57">
        <v>25293</v>
      </c>
      <c r="E19" s="51" t="s">
        <v>295</v>
      </c>
      <c r="F19" s="58">
        <v>12840</v>
      </c>
    </row>
    <row r="20" spans="1:7" ht="23.4">
      <c r="A20" s="46">
        <v>14</v>
      </c>
      <c r="B20" s="55" t="s">
        <v>29</v>
      </c>
      <c r="C20" s="55" t="s">
        <v>34</v>
      </c>
      <c r="D20" s="57">
        <v>25293</v>
      </c>
      <c r="E20" s="51" t="s">
        <v>296</v>
      </c>
      <c r="F20" s="58">
        <v>2500</v>
      </c>
    </row>
    <row r="21" spans="1:7" ht="23.4">
      <c r="A21" s="46">
        <v>15</v>
      </c>
      <c r="B21" s="55" t="s">
        <v>29</v>
      </c>
      <c r="C21" s="55" t="s">
        <v>32</v>
      </c>
      <c r="D21" s="57">
        <v>25293</v>
      </c>
      <c r="E21" s="51" t="s">
        <v>297</v>
      </c>
      <c r="F21" s="58">
        <v>1000</v>
      </c>
    </row>
    <row r="22" spans="1:7" ht="18" thickBot="1">
      <c r="A22" s="46"/>
      <c r="B22" s="59" t="s">
        <v>19</v>
      </c>
      <c r="C22" s="60"/>
      <c r="D22" s="63"/>
      <c r="E22" s="63"/>
      <c r="F22" s="64">
        <v>81700</v>
      </c>
      <c r="G22" s="170">
        <f>SUM(F7:F21)</f>
        <v>81700</v>
      </c>
    </row>
    <row r="23" spans="1:7" ht="18" thickTop="1">
      <c r="A23" s="65"/>
      <c r="B23" s="66" t="s">
        <v>53</v>
      </c>
      <c r="C23" s="67"/>
      <c r="D23" s="69"/>
      <c r="E23" s="70"/>
      <c r="F23" s="70"/>
    </row>
    <row r="24" spans="1:7" ht="17.399999999999999">
      <c r="A24" s="73">
        <v>1</v>
      </c>
      <c r="B24" s="71" t="s">
        <v>54</v>
      </c>
      <c r="C24" s="71" t="s">
        <v>55</v>
      </c>
      <c r="D24" s="76">
        <v>25281</v>
      </c>
      <c r="E24" s="77" t="s">
        <v>298</v>
      </c>
      <c r="F24" s="78">
        <v>1070</v>
      </c>
    </row>
    <row r="25" spans="1:7" ht="17.399999999999999">
      <c r="A25" s="73">
        <v>2</v>
      </c>
      <c r="B25" s="71" t="s">
        <v>57</v>
      </c>
      <c r="C25" s="71" t="s">
        <v>55</v>
      </c>
      <c r="D25" s="76">
        <v>25279</v>
      </c>
      <c r="E25" s="77" t="s">
        <v>299</v>
      </c>
      <c r="F25" s="78">
        <v>1070</v>
      </c>
    </row>
    <row r="26" spans="1:7" ht="17.399999999999999">
      <c r="A26" s="79">
        <v>3</v>
      </c>
      <c r="B26" s="80" t="s">
        <v>59</v>
      </c>
      <c r="C26" s="81" t="s">
        <v>55</v>
      </c>
      <c r="D26" s="76">
        <v>25282</v>
      </c>
      <c r="E26" s="77" t="s">
        <v>300</v>
      </c>
      <c r="F26" s="78">
        <v>1070</v>
      </c>
    </row>
    <row r="27" spans="1:7" ht="21" thickBot="1">
      <c r="A27" s="65"/>
      <c r="B27" s="59" t="s">
        <v>19</v>
      </c>
      <c r="C27" s="60"/>
      <c r="D27" s="92"/>
      <c r="E27" s="93"/>
      <c r="F27" s="94">
        <v>3210</v>
      </c>
      <c r="G27" s="170">
        <f>SUM(F24:F26)</f>
        <v>3210</v>
      </c>
    </row>
    <row r="28" spans="1:7" ht="18" thickTop="1">
      <c r="A28" s="65"/>
      <c r="B28" s="66" t="s">
        <v>70</v>
      </c>
      <c r="C28" s="104"/>
      <c r="D28" s="106"/>
      <c r="E28" s="106"/>
      <c r="F28" s="106" t="s">
        <v>22</v>
      </c>
    </row>
    <row r="29" spans="1:7" ht="17.399999999999999">
      <c r="A29" s="65">
        <v>1</v>
      </c>
      <c r="B29" s="71" t="s">
        <v>75</v>
      </c>
      <c r="C29" s="71" t="s">
        <v>76</v>
      </c>
      <c r="D29" s="108">
        <v>25265</v>
      </c>
      <c r="E29" s="77" t="s">
        <v>301</v>
      </c>
      <c r="F29" s="111">
        <v>400</v>
      </c>
    </row>
    <row r="30" spans="1:7" ht="17.399999999999999">
      <c r="A30" s="65">
        <v>2</v>
      </c>
      <c r="B30" s="71" t="s">
        <v>75</v>
      </c>
      <c r="C30" s="71" t="s">
        <v>78</v>
      </c>
      <c r="D30" s="108">
        <v>25272</v>
      </c>
      <c r="E30" s="77" t="s">
        <v>302</v>
      </c>
      <c r="F30" s="111">
        <v>400</v>
      </c>
    </row>
    <row r="31" spans="1:7" ht="17.399999999999999">
      <c r="A31" s="65">
        <v>3</v>
      </c>
      <c r="B31" s="71" t="s">
        <v>75</v>
      </c>
      <c r="C31" s="71" t="s">
        <v>80</v>
      </c>
      <c r="D31" s="108">
        <v>25279</v>
      </c>
      <c r="E31" s="77" t="s">
        <v>303</v>
      </c>
      <c r="F31" s="111">
        <v>400</v>
      </c>
    </row>
    <row r="32" spans="1:7" ht="17.399999999999999">
      <c r="A32" s="65">
        <v>4</v>
      </c>
      <c r="B32" s="71" t="s">
        <v>75</v>
      </c>
      <c r="C32" s="71" t="s">
        <v>82</v>
      </c>
      <c r="D32" s="108">
        <v>25287</v>
      </c>
      <c r="E32" s="77" t="s">
        <v>304</v>
      </c>
      <c r="F32" s="111">
        <v>400</v>
      </c>
    </row>
    <row r="33" spans="1:8" ht="23.4">
      <c r="A33" s="65">
        <v>5</v>
      </c>
      <c r="B33" s="71" t="s">
        <v>75</v>
      </c>
      <c r="C33" s="71" t="s">
        <v>84</v>
      </c>
      <c r="D33" s="112">
        <v>25293</v>
      </c>
      <c r="E33" s="77" t="s">
        <v>305</v>
      </c>
      <c r="F33" s="111">
        <v>400</v>
      </c>
    </row>
    <row r="34" spans="1:8" ht="18" thickBot="1">
      <c r="A34" s="65"/>
      <c r="B34" s="59" t="s">
        <v>19</v>
      </c>
      <c r="C34" s="60"/>
      <c r="D34" s="115"/>
      <c r="E34" s="92"/>
      <c r="F34" s="94">
        <v>2000</v>
      </c>
      <c r="G34" s="171">
        <f>SUM(F29:F33)</f>
        <v>2000</v>
      </c>
    </row>
    <row r="35" spans="1:8" ht="18" thickTop="1">
      <c r="A35" s="65"/>
      <c r="B35" s="66" t="s">
        <v>86</v>
      </c>
      <c r="C35" s="67"/>
      <c r="D35" s="69"/>
      <c r="E35" s="70"/>
      <c r="F35" s="70"/>
    </row>
    <row r="36" spans="1:8" ht="17.399999999999999">
      <c r="A36" s="73">
        <v>1</v>
      </c>
      <c r="B36" s="71" t="s">
        <v>75</v>
      </c>
      <c r="C36" s="71" t="s">
        <v>91</v>
      </c>
      <c r="D36" s="76">
        <v>25265</v>
      </c>
      <c r="E36" s="77" t="s">
        <v>306</v>
      </c>
      <c r="F36" s="78">
        <v>3841.3</v>
      </c>
    </row>
    <row r="37" spans="1:8" ht="17.399999999999999">
      <c r="A37" s="73">
        <v>2</v>
      </c>
      <c r="B37" s="71" t="s">
        <v>75</v>
      </c>
      <c r="C37" s="71" t="s">
        <v>93</v>
      </c>
      <c r="D37" s="76">
        <v>25272</v>
      </c>
      <c r="E37" s="77" t="s">
        <v>307</v>
      </c>
      <c r="F37" s="78">
        <v>3552.4</v>
      </c>
    </row>
    <row r="38" spans="1:8" ht="17.399999999999999">
      <c r="A38" s="73">
        <v>3</v>
      </c>
      <c r="B38" s="71" t="s">
        <v>75</v>
      </c>
      <c r="C38" s="71" t="s">
        <v>95</v>
      </c>
      <c r="D38" s="76">
        <v>25279</v>
      </c>
      <c r="E38" s="77" t="s">
        <v>308</v>
      </c>
      <c r="F38" s="78">
        <v>3777.1</v>
      </c>
    </row>
    <row r="39" spans="1:8" ht="17.399999999999999">
      <c r="A39" s="73">
        <v>4</v>
      </c>
      <c r="B39" s="71" t="s">
        <v>75</v>
      </c>
      <c r="C39" s="71" t="s">
        <v>97</v>
      </c>
      <c r="D39" s="76">
        <v>25287</v>
      </c>
      <c r="E39" s="77" t="s">
        <v>309</v>
      </c>
      <c r="F39" s="78">
        <v>3573.8</v>
      </c>
    </row>
    <row r="40" spans="1:8" ht="23.4">
      <c r="A40" s="73">
        <v>5</v>
      </c>
      <c r="B40" s="71" t="s">
        <v>75</v>
      </c>
      <c r="C40" s="71" t="s">
        <v>99</v>
      </c>
      <c r="D40" s="117">
        <v>25293</v>
      </c>
      <c r="E40" s="77" t="s">
        <v>310</v>
      </c>
      <c r="F40" s="111">
        <v>3712.9</v>
      </c>
    </row>
    <row r="41" spans="1:8" ht="18" thickBot="1">
      <c r="A41" s="65"/>
      <c r="B41" s="97" t="s">
        <v>19</v>
      </c>
      <c r="C41" s="98"/>
      <c r="D41" s="92"/>
      <c r="E41" s="92"/>
      <c r="F41" s="94">
        <v>18457.500000000004</v>
      </c>
      <c r="G41" s="170">
        <f>SUM(F36:F40)</f>
        <v>18457.500000000004</v>
      </c>
    </row>
    <row r="42" spans="1:8" ht="18.600000000000001" thickTop="1" thickBot="1">
      <c r="A42" s="122"/>
      <c r="B42" s="123" t="s">
        <v>111</v>
      </c>
      <c r="C42" s="124"/>
      <c r="D42" s="128"/>
      <c r="E42" s="129"/>
      <c r="F42" s="130">
        <v>105367.5</v>
      </c>
      <c r="H42" s="176">
        <f>SUM(G22:G41)</f>
        <v>105367.5</v>
      </c>
    </row>
    <row r="43" spans="1:8" ht="18" thickTop="1">
      <c r="A43" s="1"/>
      <c r="B43" s="131"/>
      <c r="C43" s="132"/>
      <c r="D43" s="133"/>
      <c r="E43" s="134"/>
      <c r="F43" s="134"/>
    </row>
    <row r="44" spans="1:8" ht="17.399999999999999">
      <c r="A44" s="132"/>
      <c r="B44" s="131"/>
      <c r="C44" s="132"/>
      <c r="D44" s="135"/>
      <c r="E44" s="135"/>
      <c r="F44" s="135"/>
    </row>
    <row r="45" spans="1:8" ht="17.399999999999999">
      <c r="A45" s="132"/>
      <c r="B45" s="131"/>
      <c r="C45" s="132"/>
      <c r="D45" s="135"/>
      <c r="E45" s="134"/>
      <c r="F45" s="135"/>
    </row>
    <row r="46" spans="1:8" ht="17.399999999999999">
      <c r="A46" s="132"/>
      <c r="B46" s="131"/>
      <c r="C46" s="132"/>
      <c r="D46" s="135"/>
      <c r="E46" s="134"/>
      <c r="F46" s="135"/>
    </row>
    <row r="47" spans="1:8" ht="17.399999999999999">
      <c r="A47" s="132"/>
      <c r="B47" s="131"/>
      <c r="C47" s="132"/>
      <c r="D47"/>
      <c r="E47" s="134"/>
      <c r="F47" s="135"/>
    </row>
    <row r="48" spans="1:8" ht="17.399999999999999">
      <c r="A48" s="132"/>
      <c r="B48" s="131"/>
      <c r="C48" s="132"/>
      <c r="D48" s="135"/>
      <c r="E48" s="134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2"/>
      <c r="B59" s="131"/>
      <c r="C59" s="132"/>
      <c r="D59" s="135"/>
      <c r="E59" s="135"/>
      <c r="F59" s="135"/>
    </row>
    <row r="60" spans="1:6" ht="17.399999999999999">
      <c r="A60" s="132"/>
      <c r="B60" s="131"/>
      <c r="C60" s="132"/>
      <c r="D60" s="135"/>
      <c r="E60" s="135"/>
      <c r="F60" s="135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6"/>
      <c r="B63" s="136"/>
      <c r="C63" s="136"/>
      <c r="D63" s="139"/>
      <c r="E63" s="139"/>
      <c r="F63" s="139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131"/>
      <c r="C89" s="132"/>
      <c r="D89" s="135"/>
      <c r="E89" s="135"/>
      <c r="F89" s="135"/>
    </row>
    <row r="90" spans="1:6" ht="17.399999999999999">
      <c r="A90" s="132"/>
      <c r="B90" s="131"/>
      <c r="C90" s="132"/>
      <c r="D90" s="135"/>
      <c r="E90" s="135"/>
      <c r="F90" s="135"/>
    </row>
    <row r="91" spans="1:6" ht="17.399999999999999">
      <c r="A91" s="132"/>
      <c r="B91" s="131"/>
      <c r="C91" s="132"/>
      <c r="D91" s="135"/>
      <c r="E91" s="135"/>
      <c r="F91" s="135"/>
    </row>
    <row r="92" spans="1:6" ht="17.399999999999999">
      <c r="A92" s="132"/>
      <c r="B92" s="131"/>
      <c r="C92" s="132"/>
      <c r="D92" s="135"/>
      <c r="E92" s="135"/>
      <c r="F92" s="135"/>
    </row>
    <row r="93" spans="1:6" ht="17.399999999999999">
      <c r="A93" s="132"/>
      <c r="B93" s="494" t="s">
        <v>115</v>
      </c>
      <c r="C93" s="493"/>
      <c r="D93" s="493"/>
      <c r="E93" s="135"/>
      <c r="F93" s="135"/>
    </row>
    <row r="94" spans="1:6" ht="17.399999999999999">
      <c r="A94" s="132"/>
      <c r="B94" s="494" t="s">
        <v>116</v>
      </c>
      <c r="C94" s="493"/>
      <c r="D94" s="135"/>
      <c r="E94" s="135"/>
      <c r="F94" s="135"/>
    </row>
    <row r="95" spans="1:6" ht="17.399999999999999">
      <c r="A95" s="132"/>
      <c r="B95" s="494" t="s">
        <v>117</v>
      </c>
      <c r="C95" s="493"/>
      <c r="D95" s="135"/>
      <c r="E95" s="135"/>
      <c r="F95" s="135"/>
    </row>
    <row r="96" spans="1:6" ht="17.399999999999999">
      <c r="A96" s="132"/>
      <c r="B96" s="131"/>
      <c r="C96" s="132"/>
      <c r="D96" s="135"/>
      <c r="E96" s="135"/>
      <c r="F96" s="135"/>
    </row>
    <row r="97" spans="1:6" ht="20.399999999999999">
      <c r="A97" s="132"/>
      <c r="B97" s="140" t="s">
        <v>118</v>
      </c>
      <c r="C97" s="136" t="s">
        <v>119</v>
      </c>
      <c r="D97" s="134"/>
      <c r="E97" s="134"/>
      <c r="F97" s="134"/>
    </row>
    <row r="98" spans="1:6" ht="17.399999999999999">
      <c r="A98" s="132"/>
      <c r="B98" s="496" t="s">
        <v>120</v>
      </c>
      <c r="C98" s="493"/>
      <c r="D98" s="493"/>
      <c r="E98" s="493"/>
      <c r="F98" s="135"/>
    </row>
    <row r="99" spans="1:6" ht="17.399999999999999">
      <c r="A99" s="132"/>
      <c r="B99" s="494" t="s">
        <v>121</v>
      </c>
      <c r="C99" s="493"/>
      <c r="D99" s="493"/>
      <c r="E99" s="493"/>
      <c r="F99" s="135"/>
    </row>
    <row r="100" spans="1:6" ht="17.399999999999999">
      <c r="A100" s="132"/>
      <c r="B100" s="494" t="s">
        <v>122</v>
      </c>
      <c r="C100" s="493"/>
      <c r="D100" s="135"/>
      <c r="E100" s="135"/>
      <c r="F100" s="135"/>
    </row>
    <row r="101" spans="1:6" ht="17.399999999999999">
      <c r="A101" s="132"/>
      <c r="B101" s="494" t="s">
        <v>123</v>
      </c>
      <c r="C101" s="493"/>
      <c r="D101" s="493"/>
      <c r="E101" s="493"/>
      <c r="F101" s="493"/>
    </row>
    <row r="102" spans="1:6" ht="17.399999999999999">
      <c r="A102" s="132"/>
      <c r="B102" s="494" t="s">
        <v>124</v>
      </c>
      <c r="C102" s="493"/>
      <c r="D102" s="135"/>
      <c r="E102" s="135"/>
      <c r="F102" s="135"/>
    </row>
    <row r="103" spans="1:6" ht="17.399999999999999">
      <c r="A103" s="132"/>
      <c r="B103" s="494" t="s">
        <v>125</v>
      </c>
      <c r="C103" s="493"/>
      <c r="D103" s="493"/>
      <c r="E103" s="135"/>
      <c r="F103" s="135"/>
    </row>
    <row r="104" spans="1:6" ht="17.399999999999999">
      <c r="A104" s="132"/>
      <c r="B104" s="494" t="s">
        <v>126</v>
      </c>
      <c r="C104" s="493"/>
      <c r="D104" s="493"/>
      <c r="E104" s="493"/>
      <c r="F104" s="493"/>
    </row>
    <row r="105" spans="1:6" ht="17.399999999999999">
      <c r="A105" s="132"/>
      <c r="B105" s="494" t="s">
        <v>127</v>
      </c>
      <c r="C105" s="493"/>
      <c r="D105" s="135"/>
      <c r="E105" s="135"/>
      <c r="F105" s="135"/>
    </row>
    <row r="106" spans="1:6" ht="17.399999999999999">
      <c r="A106" s="132"/>
      <c r="B106" s="494" t="s">
        <v>128</v>
      </c>
      <c r="C106" s="493"/>
      <c r="D106" s="135"/>
      <c r="E106" s="135"/>
      <c r="F106" s="135"/>
    </row>
    <row r="107" spans="1:6" ht="17.399999999999999">
      <c r="A107" s="132"/>
      <c r="B107" s="494" t="s">
        <v>129</v>
      </c>
      <c r="C107" s="493"/>
      <c r="D107" s="135"/>
      <c r="E107" s="135"/>
      <c r="F107" s="135"/>
    </row>
    <row r="108" spans="1:6" ht="17.399999999999999">
      <c r="A108" s="132"/>
      <c r="B108" s="136" t="s">
        <v>130</v>
      </c>
      <c r="C108" s="132"/>
      <c r="D108" s="135"/>
      <c r="E108" s="135"/>
      <c r="F108" s="135"/>
    </row>
    <row r="109" spans="1:6" ht="17.399999999999999">
      <c r="A109" s="132"/>
      <c r="B109" s="494" t="s">
        <v>131</v>
      </c>
      <c r="C109" s="493"/>
      <c r="D109" s="493"/>
      <c r="E109" s="493"/>
      <c r="F109" s="493"/>
    </row>
    <row r="110" spans="1:6" ht="17.399999999999999">
      <c r="A110" s="132"/>
      <c r="B110" s="494" t="s">
        <v>132</v>
      </c>
      <c r="C110" s="493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36"/>
      <c r="C126" s="132"/>
      <c r="D126" s="135"/>
      <c r="E126" s="135"/>
      <c r="F126" s="135"/>
    </row>
    <row r="127" spans="1:6" ht="17.399999999999999">
      <c r="A127" s="132"/>
      <c r="B127" s="136"/>
      <c r="C127" s="132"/>
      <c r="D127" s="135"/>
      <c r="E127" s="135"/>
      <c r="F127" s="135"/>
    </row>
    <row r="128" spans="1:6" ht="17.399999999999999">
      <c r="A128" s="132"/>
      <c r="B128" s="136"/>
      <c r="C128" s="132"/>
      <c r="D128" s="135"/>
      <c r="E128" s="135"/>
      <c r="F128" s="135"/>
    </row>
    <row r="129" spans="1:6" ht="17.399999999999999">
      <c r="A129" s="132"/>
      <c r="B129" s="136"/>
      <c r="C129" s="132"/>
      <c r="D129" s="135"/>
      <c r="E129" s="135"/>
      <c r="F129" s="135"/>
    </row>
    <row r="130" spans="1:6" ht="17.399999999999999">
      <c r="A130" s="132"/>
      <c r="B130" s="141" t="s">
        <v>133</v>
      </c>
      <c r="C130" s="28" t="s">
        <v>134</v>
      </c>
      <c r="D130" s="19"/>
      <c r="E130" s="19"/>
      <c r="F130" s="142"/>
    </row>
    <row r="131" spans="1:6" ht="17.399999999999999">
      <c r="A131" s="132"/>
      <c r="B131" s="143" t="s">
        <v>136</v>
      </c>
      <c r="C131" s="144"/>
      <c r="D131" s="147"/>
      <c r="E131" s="147"/>
      <c r="F131" s="148"/>
    </row>
    <row r="132" spans="1:6" ht="17.399999999999999">
      <c r="A132" s="132"/>
      <c r="B132" s="143" t="s">
        <v>137</v>
      </c>
      <c r="C132" s="150"/>
      <c r="D132" s="147"/>
      <c r="E132" s="147"/>
      <c r="F132" s="148"/>
    </row>
    <row r="133" spans="1:6" ht="17.399999999999999">
      <c r="A133" s="132"/>
      <c r="B133" s="143" t="s">
        <v>138</v>
      </c>
      <c r="C133" s="150"/>
      <c r="D133" s="147"/>
      <c r="E133" s="147"/>
      <c r="F133" s="148"/>
    </row>
    <row r="134" spans="1:6" ht="17.399999999999999">
      <c r="A134" s="132"/>
      <c r="B134" s="152" t="s">
        <v>139</v>
      </c>
      <c r="C134" s="153"/>
      <c r="D134" s="157"/>
      <c r="E134" s="157"/>
      <c r="F134" s="158"/>
    </row>
    <row r="135" spans="1:6" ht="17.399999999999999">
      <c r="A135" s="132"/>
      <c r="B135" s="136"/>
      <c r="C135" s="132"/>
      <c r="D135" s="135"/>
      <c r="E135" s="135"/>
      <c r="F135" s="135"/>
    </row>
    <row r="136" spans="1:6" ht="17.399999999999999">
      <c r="A136" s="132"/>
      <c r="B136" s="141" t="s">
        <v>133</v>
      </c>
      <c r="C136" s="17" t="s">
        <v>140</v>
      </c>
      <c r="D136" s="19"/>
      <c r="E136" s="19"/>
      <c r="F136" s="19"/>
    </row>
    <row r="137" spans="1:6" ht="17.399999999999999">
      <c r="A137" s="132"/>
      <c r="B137" s="141" t="s">
        <v>141</v>
      </c>
      <c r="C137" s="27"/>
      <c r="D137" s="19"/>
      <c r="E137" s="19"/>
      <c r="F137" s="19"/>
    </row>
    <row r="138" spans="1:6" ht="17.399999999999999">
      <c r="A138" s="132"/>
      <c r="B138" s="143" t="s">
        <v>142</v>
      </c>
      <c r="C138" s="144"/>
      <c r="D138" s="147"/>
      <c r="E138" s="147"/>
      <c r="F138" s="147"/>
    </row>
    <row r="139" spans="1:6" ht="17.399999999999999">
      <c r="A139" s="132"/>
      <c r="B139" s="143" t="s">
        <v>137</v>
      </c>
      <c r="C139" s="144"/>
      <c r="D139" s="147"/>
      <c r="E139" s="147"/>
      <c r="F139" s="147"/>
    </row>
    <row r="140" spans="1:6" ht="17.399999999999999">
      <c r="A140" s="132"/>
      <c r="B140" s="143" t="s">
        <v>138</v>
      </c>
      <c r="C140" s="144"/>
      <c r="D140" s="147"/>
      <c r="E140" s="147"/>
      <c r="F140" s="147"/>
    </row>
    <row r="141" spans="1:6" ht="17.399999999999999">
      <c r="A141" s="132"/>
      <c r="B141" s="143" t="s">
        <v>139</v>
      </c>
      <c r="C141" s="144"/>
      <c r="D141" s="147"/>
      <c r="E141" s="147"/>
      <c r="F141" s="147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5"/>
      <c r="E143" s="135"/>
      <c r="F143" s="135"/>
    </row>
    <row r="144" spans="1:6" ht="17.399999999999999">
      <c r="A144" s="132"/>
      <c r="B144" s="136"/>
      <c r="C144" s="132"/>
      <c r="D144" s="135"/>
      <c r="E144" s="135"/>
      <c r="F144" s="135"/>
    </row>
    <row r="145" spans="1:6" ht="17.399999999999999">
      <c r="A145" s="132"/>
      <c r="B145" s="136"/>
      <c r="C145" s="132"/>
      <c r="D145" s="135"/>
      <c r="E145" s="135"/>
      <c r="F145" s="135"/>
    </row>
    <row r="146" spans="1:6" ht="17.399999999999999">
      <c r="A146" s="132"/>
      <c r="B146" s="136"/>
      <c r="C146" s="132"/>
      <c r="D146" s="135"/>
      <c r="E146" s="135"/>
      <c r="F146" s="135"/>
    </row>
    <row r="147" spans="1:6" ht="17.399999999999999">
      <c r="A147" s="132"/>
      <c r="B147" s="136"/>
      <c r="C147" s="132"/>
      <c r="D147" s="134"/>
      <c r="E147" s="134"/>
      <c r="F147" s="134"/>
    </row>
    <row r="148" spans="1:6" ht="17.399999999999999">
      <c r="A148" s="8">
        <v>3</v>
      </c>
      <c r="B148" s="28" t="s">
        <v>143</v>
      </c>
      <c r="C148" s="28" t="s">
        <v>144</v>
      </c>
      <c r="D148" s="19"/>
      <c r="E148" s="19"/>
      <c r="F148" s="19"/>
    </row>
    <row r="149" spans="1:6" ht="17.399999999999999">
      <c r="A149" s="132"/>
      <c r="B149" s="136"/>
      <c r="C149" s="132"/>
      <c r="D149" s="134"/>
      <c r="E149" s="134"/>
      <c r="F149" s="134"/>
    </row>
    <row r="150" spans="1:6" ht="17.399999999999999">
      <c r="A150" s="162"/>
      <c r="B150" s="163" t="s">
        <v>147</v>
      </c>
      <c r="C150" s="28"/>
      <c r="D150" s="19"/>
      <c r="E150" s="19"/>
      <c r="F150" s="19"/>
    </row>
    <row r="151" spans="1:6" ht="17.399999999999999">
      <c r="A151" s="8">
        <v>4</v>
      </c>
      <c r="B151" s="28" t="s">
        <v>148</v>
      </c>
      <c r="C151" s="28" t="s">
        <v>149</v>
      </c>
      <c r="D151" s="166"/>
      <c r="E151" s="166"/>
      <c r="F151" s="166"/>
    </row>
    <row r="152" spans="1:6" ht="17.399999999999999">
      <c r="A152" s="132"/>
      <c r="B152" s="495" t="s">
        <v>150</v>
      </c>
      <c r="C152" s="493"/>
      <c r="D152" s="493"/>
      <c r="E152" s="493"/>
      <c r="F152" s="134"/>
    </row>
    <row r="153" spans="1:6" ht="17.399999999999999">
      <c r="A153" s="132"/>
      <c r="B153" s="492" t="s">
        <v>151</v>
      </c>
      <c r="C153" s="493"/>
      <c r="D153" s="134"/>
      <c r="E153" s="134"/>
      <c r="F153" s="134"/>
    </row>
    <row r="154" spans="1:6" ht="17.399999999999999">
      <c r="A154" s="132"/>
      <c r="B154" s="492" t="s">
        <v>152</v>
      </c>
      <c r="C154" s="493"/>
      <c r="D154" s="134"/>
      <c r="E154" s="134"/>
      <c r="F154" s="134"/>
    </row>
    <row r="155" spans="1:6" ht="17.399999999999999">
      <c r="A155" s="132"/>
      <c r="B155" s="492" t="s">
        <v>153</v>
      </c>
      <c r="C155" s="493"/>
      <c r="D155" s="134"/>
      <c r="E155" s="134"/>
      <c r="F155" s="134"/>
    </row>
    <row r="156" spans="1:6" ht="17.399999999999999">
      <c r="A156" s="132"/>
      <c r="B156" s="492" t="s">
        <v>154</v>
      </c>
      <c r="C156" s="493"/>
      <c r="D156" s="134"/>
      <c r="E156" s="134"/>
      <c r="F156" s="134"/>
    </row>
    <row r="157" spans="1:6" ht="17.399999999999999">
      <c r="A157" s="132"/>
      <c r="B157" s="136"/>
      <c r="C157" s="132"/>
      <c r="D157" s="134"/>
      <c r="E157" s="134"/>
      <c r="F157" s="134"/>
    </row>
    <row r="158" spans="1:6" ht="17.399999999999999">
      <c r="A158" s="132"/>
      <c r="B158" s="136"/>
      <c r="C158" s="132"/>
      <c r="D158" s="134"/>
      <c r="E158" s="134"/>
      <c r="F158" s="134"/>
    </row>
    <row r="159" spans="1:6" ht="17.399999999999999">
      <c r="A159" s="132"/>
      <c r="B159" s="132"/>
      <c r="C159" s="132"/>
      <c r="D159" s="134"/>
      <c r="E159" s="134"/>
      <c r="F159" s="134"/>
    </row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mergeCells count="24">
    <mergeCell ref="A1:F1"/>
    <mergeCell ref="A2:F2"/>
    <mergeCell ref="A3:F3"/>
    <mergeCell ref="D4:F4"/>
    <mergeCell ref="B105:C105"/>
    <mergeCell ref="B93:D93"/>
    <mergeCell ref="B94:C94"/>
    <mergeCell ref="B95:C95"/>
    <mergeCell ref="B98:E98"/>
    <mergeCell ref="B99:E99"/>
    <mergeCell ref="B100:C100"/>
    <mergeCell ref="B101:F101"/>
    <mergeCell ref="B102:C102"/>
    <mergeCell ref="B103:D103"/>
    <mergeCell ref="B104:F104"/>
    <mergeCell ref="B154:C154"/>
    <mergeCell ref="B155:C155"/>
    <mergeCell ref="B156:C156"/>
    <mergeCell ref="B106:C106"/>
    <mergeCell ref="B107:C107"/>
    <mergeCell ref="B109:F109"/>
    <mergeCell ref="B110:C110"/>
    <mergeCell ref="B152:E152"/>
    <mergeCell ref="B153:C153"/>
  </mergeCells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D2BD-DD95-473B-8A8E-A11EBC67A12A}">
  <sheetPr>
    <tabColor rgb="FFFFFF00"/>
  </sheetPr>
  <dimension ref="A1:G912"/>
  <sheetViews>
    <sheetView zoomScale="80" zoomScaleNormal="80" workbookViewId="0">
      <pane ySplit="6" topLeftCell="A7" activePane="bottomLeft" state="frozen"/>
      <selection pane="bottomLeft" activeCell="I32" sqref="I32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311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121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125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8A86-9A54-488D-8ED2-5C991FA000C3}">
  <sheetPr>
    <tabColor rgb="FFFFFF00"/>
  </sheetPr>
  <dimension ref="A1:F912"/>
  <sheetViews>
    <sheetView zoomScale="80" zoomScaleNormal="80" workbookViewId="0">
      <pane ySplit="6" topLeftCell="A7" activePane="bottomLeft" state="frozen"/>
      <selection pane="bottomLeft" activeCell="F20" sqref="F20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311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6" ht="15.75" customHeight="1">
      <c r="A5" s="3"/>
      <c r="B5" s="4"/>
      <c r="C5" s="4"/>
      <c r="D5" s="4" t="s">
        <v>10</v>
      </c>
      <c r="E5" s="4" t="s">
        <v>11</v>
      </c>
      <c r="F5" s="4"/>
    </row>
    <row r="6" spans="1:6" ht="15.75" customHeight="1">
      <c r="A6" s="8"/>
      <c r="B6" s="4" t="s">
        <v>21</v>
      </c>
      <c r="C6" s="4"/>
      <c r="D6" s="4"/>
      <c r="E6" s="4"/>
      <c r="F6" s="3" t="s">
        <v>19</v>
      </c>
    </row>
    <row r="7" spans="1:6" ht="17.399999999999999">
      <c r="A7" s="8"/>
      <c r="B7" s="17"/>
      <c r="C7" s="15"/>
      <c r="D7" s="17"/>
      <c r="E7" s="6"/>
      <c r="F7" s="16"/>
    </row>
    <row r="8" spans="1:6" ht="17.399999999999999">
      <c r="A8" s="8"/>
      <c r="B8" s="28"/>
      <c r="C8" s="28"/>
      <c r="D8" s="17"/>
      <c r="E8" s="6"/>
      <c r="F8" s="120"/>
    </row>
    <row r="9" spans="1:6" ht="17.399999999999999">
      <c r="A9" s="8"/>
      <c r="B9" s="28"/>
      <c r="C9" s="28"/>
      <c r="D9" s="17"/>
      <c r="E9" s="6"/>
      <c r="F9" s="16"/>
    </row>
    <row r="10" spans="1:6" ht="18" thickBot="1">
      <c r="A10" s="8"/>
      <c r="B10" s="22" t="s">
        <v>19</v>
      </c>
      <c r="C10" s="23"/>
      <c r="D10" s="24"/>
      <c r="E10" s="24"/>
      <c r="F10" s="121">
        <v>0</v>
      </c>
    </row>
    <row r="11" spans="1:6" ht="18.600000000000001" thickTop="1" thickBot="1">
      <c r="A11" s="122"/>
      <c r="B11" s="123" t="s">
        <v>111</v>
      </c>
      <c r="C11" s="124"/>
      <c r="D11" s="126"/>
      <c r="E11" s="126"/>
      <c r="F11" s="125">
        <v>0</v>
      </c>
    </row>
    <row r="12" spans="1:6" ht="18" thickTop="1">
      <c r="A12" s="1"/>
      <c r="B12" s="131"/>
      <c r="C12" s="132"/>
      <c r="D12" s="132"/>
      <c r="E12" s="132"/>
      <c r="F12" s="132"/>
    </row>
    <row r="13" spans="1:6" ht="17.399999999999999">
      <c r="A13" s="132"/>
      <c r="B13" s="131"/>
      <c r="C13" s="132"/>
      <c r="D13" s="132"/>
      <c r="E13" s="1"/>
    </row>
    <row r="14" spans="1:6" ht="17.399999999999999">
      <c r="A14" s="132"/>
      <c r="B14" s="131"/>
      <c r="C14" s="132"/>
      <c r="D14" s="132"/>
      <c r="E14" s="1"/>
      <c r="F14" s="131"/>
    </row>
    <row r="15" spans="1:6" ht="17.399999999999999">
      <c r="A15" s="132"/>
      <c r="B15" s="131"/>
      <c r="C15" s="132"/>
      <c r="D15" s="132"/>
      <c r="E15" s="1"/>
      <c r="F15" s="131"/>
    </row>
    <row r="16" spans="1:6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F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8F5B-FC33-4423-8EBA-8F962690F05B}">
  <sheetPr>
    <tabColor rgb="FF00B0F0"/>
  </sheetPr>
  <dimension ref="A1:T1004"/>
  <sheetViews>
    <sheetView zoomScale="60" zoomScaleNormal="60" workbookViewId="0">
      <pane ySplit="6" topLeftCell="A67" activePane="bottomLeft" state="frozen"/>
      <selection pane="bottomLeft" activeCell="R86" sqref="R86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257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48">
        <v>11770</v>
      </c>
      <c r="E26" s="49"/>
      <c r="F26" s="49"/>
      <c r="G26" s="49"/>
      <c r="H26" s="49"/>
      <c r="I26" s="49"/>
      <c r="J26" s="49"/>
      <c r="K26" s="50">
        <v>25236</v>
      </c>
      <c r="L26" s="51" t="s">
        <v>258</v>
      </c>
      <c r="M26" s="52">
        <v>11770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174">
        <v>2500</v>
      </c>
      <c r="E27" s="49"/>
      <c r="F27" s="49"/>
      <c r="G27" s="49"/>
      <c r="H27" s="49"/>
      <c r="I27" s="49"/>
      <c r="J27" s="49"/>
      <c r="K27" s="50">
        <v>25236</v>
      </c>
      <c r="L27" s="51" t="s">
        <v>259</v>
      </c>
      <c r="M27" s="52">
        <v>2500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32</v>
      </c>
      <c r="D28" s="48">
        <v>1000</v>
      </c>
      <c r="E28" s="49"/>
      <c r="F28" s="49"/>
      <c r="G28" s="49"/>
      <c r="H28" s="49"/>
      <c r="I28" s="49"/>
      <c r="J28" s="49"/>
      <c r="K28" s="50">
        <v>25236</v>
      </c>
      <c r="L28" s="51" t="s">
        <v>260</v>
      </c>
      <c r="M28" s="52">
        <v>1000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29</v>
      </c>
      <c r="C29" s="47" t="s">
        <v>30</v>
      </c>
      <c r="D29" s="48">
        <v>11770</v>
      </c>
      <c r="E29" s="49"/>
      <c r="F29" s="49"/>
      <c r="G29" s="49"/>
      <c r="H29" s="49"/>
      <c r="I29" s="49"/>
      <c r="J29" s="49"/>
      <c r="K29" s="50">
        <v>25244</v>
      </c>
      <c r="L29" s="51" t="s">
        <v>261</v>
      </c>
      <c r="M29" s="52">
        <v>11770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29</v>
      </c>
      <c r="C30" s="47" t="s">
        <v>34</v>
      </c>
      <c r="D30" s="48">
        <v>2500</v>
      </c>
      <c r="E30" s="49"/>
      <c r="F30" s="49"/>
      <c r="G30" s="49"/>
      <c r="H30" s="49"/>
      <c r="I30" s="49"/>
      <c r="J30" s="49"/>
      <c r="K30" s="50">
        <v>25244</v>
      </c>
      <c r="L30" s="51" t="s">
        <v>262</v>
      </c>
      <c r="M30" s="52">
        <v>2500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32</v>
      </c>
      <c r="D31" s="48">
        <v>1000</v>
      </c>
      <c r="E31" s="49"/>
      <c r="F31" s="49"/>
      <c r="G31" s="49"/>
      <c r="H31" s="49"/>
      <c r="I31" s="49"/>
      <c r="J31" s="49"/>
      <c r="K31" s="50">
        <v>25244</v>
      </c>
      <c r="L31" s="51" t="s">
        <v>263</v>
      </c>
      <c r="M31" s="52">
        <v>1000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30</v>
      </c>
      <c r="D32" s="48">
        <v>11770</v>
      </c>
      <c r="E32" s="49"/>
      <c r="F32" s="49"/>
      <c r="G32" s="49"/>
      <c r="H32" s="49"/>
      <c r="I32" s="49"/>
      <c r="J32" s="49"/>
      <c r="K32" s="50">
        <v>25251</v>
      </c>
      <c r="L32" s="51" t="s">
        <v>264</v>
      </c>
      <c r="M32" s="52">
        <v>11770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34</v>
      </c>
      <c r="D33" s="48">
        <v>2500</v>
      </c>
      <c r="E33" s="49"/>
      <c r="F33" s="49"/>
      <c r="G33" s="49"/>
      <c r="H33" s="49"/>
      <c r="I33" s="49"/>
      <c r="J33" s="49"/>
      <c r="K33" s="50">
        <v>25251</v>
      </c>
      <c r="L33" s="51" t="s">
        <v>265</v>
      </c>
      <c r="M33" s="52">
        <v>2500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32</v>
      </c>
      <c r="D34" s="48">
        <v>1000</v>
      </c>
      <c r="E34" s="49"/>
      <c r="F34" s="49"/>
      <c r="G34" s="49"/>
      <c r="H34" s="49"/>
      <c r="I34" s="49"/>
      <c r="J34" s="49"/>
      <c r="K34" s="50">
        <v>25251</v>
      </c>
      <c r="L34" s="51" t="s">
        <v>266</v>
      </c>
      <c r="M34" s="52">
        <v>1000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30</v>
      </c>
      <c r="D35" s="48">
        <v>12840</v>
      </c>
      <c r="E35" s="49"/>
      <c r="F35" s="49"/>
      <c r="G35" s="49"/>
      <c r="H35" s="49"/>
      <c r="I35" s="49"/>
      <c r="J35" s="49"/>
      <c r="K35" s="50">
        <v>25258</v>
      </c>
      <c r="L35" s="51" t="s">
        <v>267</v>
      </c>
      <c r="M35" s="52">
        <v>12840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34</v>
      </c>
      <c r="D36" s="48">
        <v>2500</v>
      </c>
      <c r="E36" s="49"/>
      <c r="F36" s="49"/>
      <c r="G36" s="49"/>
      <c r="H36" s="49"/>
      <c r="I36" s="49"/>
      <c r="J36" s="49"/>
      <c r="K36" s="50">
        <v>25258</v>
      </c>
      <c r="L36" s="51" t="s">
        <v>268</v>
      </c>
      <c r="M36" s="52">
        <v>2500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32</v>
      </c>
      <c r="D37" s="56">
        <v>1000</v>
      </c>
      <c r="E37" s="49"/>
      <c r="F37" s="49"/>
      <c r="G37" s="49"/>
      <c r="H37" s="49"/>
      <c r="I37" s="49"/>
      <c r="J37" s="49"/>
      <c r="K37" s="57">
        <v>25258</v>
      </c>
      <c r="L37" s="51" t="s">
        <v>269</v>
      </c>
      <c r="M37" s="58">
        <v>1000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/>
      <c r="C38" s="55"/>
      <c r="D38" s="56"/>
      <c r="E38" s="49"/>
      <c r="F38" s="49"/>
      <c r="G38" s="49"/>
      <c r="H38" s="49"/>
      <c r="I38" s="49"/>
      <c r="J38" s="49"/>
      <c r="K38" s="57"/>
      <c r="L38" s="51"/>
      <c r="M38" s="58"/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/>
      <c r="C39" s="55"/>
      <c r="D39" s="56"/>
      <c r="E39" s="49"/>
      <c r="F39" s="49"/>
      <c r="G39" s="49"/>
      <c r="H39" s="49"/>
      <c r="I39" s="49"/>
      <c r="J39" s="49"/>
      <c r="K39" s="57"/>
      <c r="L39" s="51"/>
      <c r="M39" s="58"/>
      <c r="N39" s="47"/>
      <c r="O39" s="46"/>
      <c r="P39" s="46"/>
      <c r="Q39" s="46"/>
      <c r="R39" s="46"/>
      <c r="S39" s="49"/>
    </row>
    <row r="40" spans="1:19" ht="23.4">
      <c r="A40" s="46"/>
      <c r="B40" s="55"/>
      <c r="C40" s="55"/>
      <c r="D40" s="56"/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62150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62150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25254</v>
      </c>
      <c r="L45" s="77" t="s">
        <v>270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25254</v>
      </c>
      <c r="L46" s="77" t="s">
        <v>271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25254</v>
      </c>
      <c r="L47" s="77" t="s">
        <v>272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25236</v>
      </c>
      <c r="L70" s="77" t="s">
        <v>273</v>
      </c>
      <c r="M70" s="11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400</v>
      </c>
      <c r="E71" s="68"/>
      <c r="F71" s="68"/>
      <c r="G71" s="68"/>
      <c r="H71" s="68"/>
      <c r="I71" s="68"/>
      <c r="J71" s="68"/>
      <c r="K71" s="108">
        <v>25244</v>
      </c>
      <c r="L71" s="77" t="s">
        <v>274</v>
      </c>
      <c r="M71" s="111">
        <v>400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25251</v>
      </c>
      <c r="L72" s="77" t="s">
        <v>275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25258</v>
      </c>
      <c r="L73" s="77" t="s">
        <v>276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/>
      <c r="B74" s="75"/>
      <c r="C74" s="71"/>
      <c r="D74" s="110"/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1600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1600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3552.4</v>
      </c>
      <c r="E81" s="75"/>
      <c r="F81" s="72"/>
      <c r="G81" s="72"/>
      <c r="H81" s="72" t="s">
        <v>22</v>
      </c>
      <c r="I81" s="72" t="s">
        <v>22</v>
      </c>
      <c r="J81" s="68" t="s">
        <v>22</v>
      </c>
      <c r="K81" s="76">
        <v>25236</v>
      </c>
      <c r="L81" s="77" t="s">
        <v>277</v>
      </c>
      <c r="M81" s="78">
        <v>3552.4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3349.1</v>
      </c>
      <c r="E82" s="75"/>
      <c r="F82" s="72"/>
      <c r="G82" s="72"/>
      <c r="H82" s="72"/>
      <c r="I82" s="72" t="s">
        <v>22</v>
      </c>
      <c r="J82" s="68" t="s">
        <v>22</v>
      </c>
      <c r="K82" s="76">
        <v>25244</v>
      </c>
      <c r="L82" s="77" t="s">
        <v>278</v>
      </c>
      <c r="M82" s="78">
        <v>3349.1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3616.6</v>
      </c>
      <c r="E83" s="75"/>
      <c r="F83" s="72"/>
      <c r="G83" s="72"/>
      <c r="H83" s="72"/>
      <c r="I83" s="72"/>
      <c r="J83" s="68"/>
      <c r="K83" s="76">
        <v>25251</v>
      </c>
      <c r="L83" s="77" t="s">
        <v>279</v>
      </c>
      <c r="M83" s="78">
        <v>3616.6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3263.5</v>
      </c>
      <c r="E84" s="75"/>
      <c r="F84" s="72"/>
      <c r="G84" s="72"/>
      <c r="H84" s="72"/>
      <c r="I84" s="72"/>
      <c r="J84" s="68"/>
      <c r="K84" s="76">
        <v>25258</v>
      </c>
      <c r="L84" s="77" t="s">
        <v>280</v>
      </c>
      <c r="M84" s="78">
        <v>3263.5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/>
      <c r="E85" s="75"/>
      <c r="F85" s="72"/>
      <c r="G85" s="72"/>
      <c r="H85" s="72"/>
      <c r="I85" s="72"/>
      <c r="J85" s="68"/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13781.6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13781.6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SUM(D43+D48+D76+D86)</f>
        <v>80741.600000000006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SUM(M43+M48+M61+M76+M86)</f>
        <v>80741.600000000006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801C-3C6D-4B44-973C-E2259563D1E9}">
  <sheetPr>
    <tabColor rgb="FF00B0F0"/>
  </sheetPr>
  <dimension ref="A1:H938"/>
  <sheetViews>
    <sheetView zoomScale="60" zoomScaleNormal="60" workbookViewId="0">
      <pane ySplit="5" topLeftCell="A6" activePane="bottomLeft" state="frozen"/>
      <selection pane="bottomLeft" activeCell="H38" sqref="H38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257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22.5" customHeight="1">
      <c r="A6" s="13"/>
      <c r="B6" s="39" t="s">
        <v>28</v>
      </c>
      <c r="C6" s="40"/>
      <c r="D6" s="42"/>
      <c r="E6" s="43"/>
      <c r="F6" s="43"/>
    </row>
    <row r="7" spans="1:6" ht="20.25" customHeight="1">
      <c r="A7" s="46">
        <v>1</v>
      </c>
      <c r="B7" s="47" t="s">
        <v>29</v>
      </c>
      <c r="C7" s="47" t="s">
        <v>30</v>
      </c>
      <c r="D7" s="50">
        <v>25236</v>
      </c>
      <c r="E7" s="51" t="s">
        <v>258</v>
      </c>
      <c r="F7" s="52">
        <v>11770</v>
      </c>
    </row>
    <row r="8" spans="1:6" ht="22.5" customHeight="1">
      <c r="A8" s="46">
        <v>2</v>
      </c>
      <c r="B8" s="173" t="s">
        <v>29</v>
      </c>
      <c r="C8" s="173" t="s">
        <v>34</v>
      </c>
      <c r="D8" s="50">
        <v>25236</v>
      </c>
      <c r="E8" s="51" t="s">
        <v>259</v>
      </c>
      <c r="F8" s="52">
        <v>2500</v>
      </c>
    </row>
    <row r="9" spans="1:6" ht="17.399999999999999">
      <c r="A9" s="46">
        <v>3</v>
      </c>
      <c r="B9" s="47" t="s">
        <v>29</v>
      </c>
      <c r="C9" s="47" t="s">
        <v>32</v>
      </c>
      <c r="D9" s="50">
        <v>25236</v>
      </c>
      <c r="E9" s="51" t="s">
        <v>260</v>
      </c>
      <c r="F9" s="52">
        <v>1000</v>
      </c>
    </row>
    <row r="10" spans="1:6" ht="17.399999999999999">
      <c r="A10" s="46">
        <v>4</v>
      </c>
      <c r="B10" s="47" t="s">
        <v>29</v>
      </c>
      <c r="C10" s="47" t="s">
        <v>30</v>
      </c>
      <c r="D10" s="50">
        <v>25244</v>
      </c>
      <c r="E10" s="51" t="s">
        <v>261</v>
      </c>
      <c r="F10" s="52">
        <v>11770</v>
      </c>
    </row>
    <row r="11" spans="1:6" ht="17.399999999999999">
      <c r="A11" s="46">
        <v>5</v>
      </c>
      <c r="B11" s="47" t="s">
        <v>29</v>
      </c>
      <c r="C11" s="47" t="s">
        <v>34</v>
      </c>
      <c r="D11" s="50">
        <v>25244</v>
      </c>
      <c r="E11" s="51" t="s">
        <v>262</v>
      </c>
      <c r="F11" s="52">
        <v>2500</v>
      </c>
    </row>
    <row r="12" spans="1:6" ht="17.399999999999999">
      <c r="A12" s="46">
        <v>6</v>
      </c>
      <c r="B12" s="47" t="s">
        <v>29</v>
      </c>
      <c r="C12" s="47" t="s">
        <v>32</v>
      </c>
      <c r="D12" s="50">
        <v>25244</v>
      </c>
      <c r="E12" s="51" t="s">
        <v>263</v>
      </c>
      <c r="F12" s="52">
        <v>1000</v>
      </c>
    </row>
    <row r="13" spans="1:6" ht="17.399999999999999">
      <c r="A13" s="46">
        <v>7</v>
      </c>
      <c r="B13" s="47" t="s">
        <v>29</v>
      </c>
      <c r="C13" s="47" t="s">
        <v>30</v>
      </c>
      <c r="D13" s="50">
        <v>25251</v>
      </c>
      <c r="E13" s="51" t="s">
        <v>264</v>
      </c>
      <c r="F13" s="52">
        <v>11770</v>
      </c>
    </row>
    <row r="14" spans="1:6" ht="17.399999999999999">
      <c r="A14" s="46">
        <v>8</v>
      </c>
      <c r="B14" s="47" t="s">
        <v>29</v>
      </c>
      <c r="C14" s="47" t="s">
        <v>34</v>
      </c>
      <c r="D14" s="50">
        <v>25251</v>
      </c>
      <c r="E14" s="51" t="s">
        <v>265</v>
      </c>
      <c r="F14" s="52">
        <v>2500</v>
      </c>
    </row>
    <row r="15" spans="1:6" ht="17.399999999999999">
      <c r="A15" s="46">
        <v>9</v>
      </c>
      <c r="B15" s="47" t="s">
        <v>29</v>
      </c>
      <c r="C15" s="47" t="s">
        <v>32</v>
      </c>
      <c r="D15" s="50">
        <v>25251</v>
      </c>
      <c r="E15" s="51" t="s">
        <v>266</v>
      </c>
      <c r="F15" s="52">
        <v>1000</v>
      </c>
    </row>
    <row r="16" spans="1:6" ht="17.399999999999999">
      <c r="A16" s="46">
        <v>10</v>
      </c>
      <c r="B16" s="47" t="s">
        <v>29</v>
      </c>
      <c r="C16" s="47" t="s">
        <v>30</v>
      </c>
      <c r="D16" s="50">
        <v>25258</v>
      </c>
      <c r="E16" s="51" t="s">
        <v>267</v>
      </c>
      <c r="F16" s="52">
        <v>12840</v>
      </c>
    </row>
    <row r="17" spans="1:8" ht="17.399999999999999">
      <c r="A17" s="46">
        <v>11</v>
      </c>
      <c r="B17" s="47" t="s">
        <v>29</v>
      </c>
      <c r="C17" s="47" t="s">
        <v>34</v>
      </c>
      <c r="D17" s="50">
        <v>25258</v>
      </c>
      <c r="E17" s="51" t="s">
        <v>268</v>
      </c>
      <c r="F17" s="52">
        <v>2500</v>
      </c>
    </row>
    <row r="18" spans="1:8" ht="23.4">
      <c r="A18" s="46">
        <v>12</v>
      </c>
      <c r="B18" s="55" t="s">
        <v>29</v>
      </c>
      <c r="C18" s="55" t="s">
        <v>32</v>
      </c>
      <c r="D18" s="57">
        <v>25258</v>
      </c>
      <c r="E18" s="51" t="s">
        <v>269</v>
      </c>
      <c r="F18" s="58">
        <v>1000</v>
      </c>
    </row>
    <row r="19" spans="1:8" ht="18" thickBot="1">
      <c r="A19" s="46"/>
      <c r="B19" s="59" t="s">
        <v>19</v>
      </c>
      <c r="C19" s="60"/>
      <c r="D19" s="63"/>
      <c r="E19" s="63"/>
      <c r="F19" s="64">
        <v>62150</v>
      </c>
      <c r="H19" s="170">
        <f>SUM(F7:F18)</f>
        <v>62150</v>
      </c>
    </row>
    <row r="20" spans="1:8" ht="18" thickTop="1">
      <c r="A20" s="65"/>
      <c r="B20" s="66" t="s">
        <v>53</v>
      </c>
      <c r="C20" s="67"/>
      <c r="D20" s="69"/>
      <c r="E20" s="70"/>
      <c r="F20" s="70"/>
    </row>
    <row r="21" spans="1:8" ht="17.399999999999999">
      <c r="A21" s="73">
        <v>1</v>
      </c>
      <c r="B21" s="71" t="s">
        <v>54</v>
      </c>
      <c r="C21" s="71" t="s">
        <v>55</v>
      </c>
      <c r="D21" s="76">
        <v>25254</v>
      </c>
      <c r="E21" s="77" t="s">
        <v>270</v>
      </c>
      <c r="F21" s="78">
        <v>1070</v>
      </c>
    </row>
    <row r="22" spans="1:8" ht="17.399999999999999">
      <c r="A22" s="73">
        <v>2</v>
      </c>
      <c r="B22" s="71" t="s">
        <v>57</v>
      </c>
      <c r="C22" s="71" t="s">
        <v>55</v>
      </c>
      <c r="D22" s="76">
        <v>25254</v>
      </c>
      <c r="E22" s="77" t="s">
        <v>271</v>
      </c>
      <c r="F22" s="78">
        <v>1070</v>
      </c>
    </row>
    <row r="23" spans="1:8" ht="17.399999999999999">
      <c r="A23" s="79">
        <v>3</v>
      </c>
      <c r="B23" s="80" t="s">
        <v>59</v>
      </c>
      <c r="C23" s="81" t="s">
        <v>55</v>
      </c>
      <c r="D23" s="76">
        <v>25254</v>
      </c>
      <c r="E23" s="77" t="s">
        <v>272</v>
      </c>
      <c r="F23" s="78">
        <v>1070</v>
      </c>
    </row>
    <row r="24" spans="1:8" ht="21" thickBot="1">
      <c r="A24" s="65"/>
      <c r="B24" s="59" t="s">
        <v>19</v>
      </c>
      <c r="C24" s="60"/>
      <c r="D24" s="92"/>
      <c r="E24" s="93"/>
      <c r="F24" s="94">
        <v>3210</v>
      </c>
      <c r="H24" s="170">
        <f>SUM(F21:F23)</f>
        <v>3210</v>
      </c>
    </row>
    <row r="25" spans="1:8" ht="18" thickTop="1">
      <c r="A25" s="65"/>
      <c r="B25" s="66" t="s">
        <v>70</v>
      </c>
      <c r="C25" s="104"/>
      <c r="D25" s="106"/>
      <c r="E25" s="106"/>
      <c r="F25" s="106" t="s">
        <v>22</v>
      </c>
    </row>
    <row r="26" spans="1:8" ht="17.399999999999999">
      <c r="A26" s="65">
        <v>1</v>
      </c>
      <c r="B26" s="71" t="s">
        <v>75</v>
      </c>
      <c r="C26" s="71" t="s">
        <v>76</v>
      </c>
      <c r="D26" s="108">
        <v>25236</v>
      </c>
      <c r="E26" s="77" t="s">
        <v>273</v>
      </c>
      <c r="F26" s="111">
        <v>400</v>
      </c>
    </row>
    <row r="27" spans="1:8" ht="17.399999999999999">
      <c r="A27" s="65">
        <v>2</v>
      </c>
      <c r="B27" s="71" t="s">
        <v>75</v>
      </c>
      <c r="C27" s="71" t="s">
        <v>78</v>
      </c>
      <c r="D27" s="108">
        <v>25244</v>
      </c>
      <c r="E27" s="77" t="s">
        <v>274</v>
      </c>
      <c r="F27" s="111">
        <v>400</v>
      </c>
    </row>
    <row r="28" spans="1:8" ht="17.399999999999999">
      <c r="A28" s="65">
        <v>3</v>
      </c>
      <c r="B28" s="71" t="s">
        <v>75</v>
      </c>
      <c r="C28" s="71" t="s">
        <v>80</v>
      </c>
      <c r="D28" s="108">
        <v>25251</v>
      </c>
      <c r="E28" s="77" t="s">
        <v>275</v>
      </c>
      <c r="F28" s="111">
        <v>400</v>
      </c>
    </row>
    <row r="29" spans="1:8" ht="17.399999999999999">
      <c r="A29" s="65">
        <v>4</v>
      </c>
      <c r="B29" s="71" t="s">
        <v>75</v>
      </c>
      <c r="C29" s="71" t="s">
        <v>82</v>
      </c>
      <c r="D29" s="108">
        <v>25258</v>
      </c>
      <c r="E29" s="77" t="s">
        <v>276</v>
      </c>
      <c r="F29" s="111">
        <v>400</v>
      </c>
    </row>
    <row r="30" spans="1:8" ht="18" thickBot="1">
      <c r="A30" s="65"/>
      <c r="B30" s="59" t="s">
        <v>19</v>
      </c>
      <c r="C30" s="60"/>
      <c r="D30" s="115"/>
      <c r="E30" s="92"/>
      <c r="F30" s="94">
        <v>1600</v>
      </c>
      <c r="H30" s="171">
        <f>SUM(F26:F29)</f>
        <v>1600</v>
      </c>
    </row>
    <row r="31" spans="1:8" ht="18" thickTop="1">
      <c r="A31" s="65"/>
      <c r="B31" s="66" t="s">
        <v>86</v>
      </c>
      <c r="C31" s="67"/>
      <c r="D31" s="69"/>
      <c r="E31" s="70"/>
      <c r="F31" s="70"/>
    </row>
    <row r="32" spans="1:8" ht="17.399999999999999">
      <c r="A32" s="73">
        <v>1</v>
      </c>
      <c r="B32" s="71" t="s">
        <v>75</v>
      </c>
      <c r="C32" s="71" t="s">
        <v>91</v>
      </c>
      <c r="D32" s="76">
        <v>25236</v>
      </c>
      <c r="E32" s="77" t="s">
        <v>277</v>
      </c>
      <c r="F32" s="78">
        <v>3552.4</v>
      </c>
    </row>
    <row r="33" spans="1:8" ht="17.399999999999999">
      <c r="A33" s="73">
        <v>2</v>
      </c>
      <c r="B33" s="71" t="s">
        <v>75</v>
      </c>
      <c r="C33" s="71" t="s">
        <v>93</v>
      </c>
      <c r="D33" s="76">
        <v>25244</v>
      </c>
      <c r="E33" s="77" t="s">
        <v>278</v>
      </c>
      <c r="F33" s="78">
        <v>3349.1</v>
      </c>
    </row>
    <row r="34" spans="1:8" ht="17.399999999999999">
      <c r="A34" s="73">
        <v>3</v>
      </c>
      <c r="B34" s="71" t="s">
        <v>75</v>
      </c>
      <c r="C34" s="71" t="s">
        <v>95</v>
      </c>
      <c r="D34" s="76">
        <v>25251</v>
      </c>
      <c r="E34" s="77" t="s">
        <v>279</v>
      </c>
      <c r="F34" s="78">
        <v>3616.6</v>
      </c>
    </row>
    <row r="35" spans="1:8" ht="17.399999999999999">
      <c r="A35" s="73">
        <v>4</v>
      </c>
      <c r="B35" s="71" t="s">
        <v>75</v>
      </c>
      <c r="C35" s="71" t="s">
        <v>97</v>
      </c>
      <c r="D35" s="76">
        <v>25258</v>
      </c>
      <c r="E35" s="77" t="s">
        <v>280</v>
      </c>
      <c r="F35" s="78">
        <v>3263.5</v>
      </c>
    </row>
    <row r="36" spans="1:8" ht="18" thickBot="1">
      <c r="A36" s="65"/>
      <c r="B36" s="97" t="s">
        <v>19</v>
      </c>
      <c r="C36" s="98"/>
      <c r="D36" s="92"/>
      <c r="E36" s="92"/>
      <c r="F36" s="94">
        <v>13781.6</v>
      </c>
      <c r="H36" s="170">
        <f>SUM(F32:F35)</f>
        <v>13781.6</v>
      </c>
    </row>
    <row r="37" spans="1:8" ht="18.600000000000001" thickTop="1" thickBot="1">
      <c r="A37" s="122"/>
      <c r="B37" s="123" t="s">
        <v>111</v>
      </c>
      <c r="C37" s="124"/>
      <c r="D37" s="128"/>
      <c r="E37" s="129"/>
      <c r="F37" s="130">
        <v>80741.600000000006</v>
      </c>
      <c r="H37" s="170">
        <f>SUM(H19:H36)</f>
        <v>80741.600000000006</v>
      </c>
    </row>
    <row r="38" spans="1:8" ht="18" thickTop="1">
      <c r="A38" s="1"/>
      <c r="B38" s="131"/>
      <c r="C38" s="132"/>
      <c r="D38" s="133"/>
      <c r="E38" s="134"/>
      <c r="F38" s="134"/>
    </row>
    <row r="39" spans="1:8" ht="17.399999999999999">
      <c r="A39" s="132"/>
      <c r="B39" s="131"/>
      <c r="C39" s="132"/>
      <c r="D39" s="135"/>
      <c r="E39" s="135"/>
      <c r="F39" s="135"/>
    </row>
    <row r="40" spans="1:8" ht="17.399999999999999">
      <c r="A40" s="132"/>
      <c r="B40" s="131"/>
      <c r="C40" s="132"/>
      <c r="D40" s="135"/>
      <c r="E40" s="134"/>
      <c r="F40" s="135"/>
    </row>
    <row r="41" spans="1:8" ht="17.399999999999999">
      <c r="A41" s="132"/>
      <c r="B41" s="131"/>
      <c r="C41" s="132"/>
      <c r="D41" s="135"/>
      <c r="E41" s="134"/>
      <c r="F41" s="135"/>
    </row>
    <row r="42" spans="1:8" ht="17.399999999999999">
      <c r="A42" s="132"/>
      <c r="B42" s="131"/>
      <c r="C42" s="132"/>
      <c r="D42"/>
      <c r="E42" s="134"/>
      <c r="F42" s="135"/>
    </row>
    <row r="43" spans="1:8" ht="17.399999999999999">
      <c r="A43" s="132"/>
      <c r="B43" s="131"/>
      <c r="C43" s="132"/>
      <c r="D43" s="135"/>
      <c r="E43" s="134"/>
      <c r="F43" s="135"/>
    </row>
    <row r="44" spans="1:8" ht="17.399999999999999">
      <c r="A44" s="132"/>
      <c r="B44" s="131"/>
      <c r="C44" s="132"/>
      <c r="D44" s="135"/>
      <c r="E44" s="135"/>
      <c r="F44" s="135"/>
    </row>
    <row r="45" spans="1:8" ht="17.399999999999999">
      <c r="A45" s="132"/>
      <c r="B45" s="131"/>
      <c r="C45" s="132"/>
      <c r="D45" s="135"/>
      <c r="E45" s="135"/>
      <c r="F45" s="135"/>
    </row>
    <row r="46" spans="1:8" ht="17.399999999999999">
      <c r="A46" s="132"/>
      <c r="B46" s="131"/>
      <c r="C46" s="132"/>
      <c r="D46" s="135"/>
      <c r="E46" s="135"/>
      <c r="F46" s="135"/>
    </row>
    <row r="47" spans="1:8" ht="17.399999999999999">
      <c r="A47" s="132"/>
      <c r="B47" s="131"/>
      <c r="C47" s="132"/>
      <c r="D47" s="135"/>
      <c r="E47" s="135"/>
      <c r="F47" s="135"/>
    </row>
    <row r="48" spans="1:8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6"/>
      <c r="B58" s="136"/>
      <c r="C58" s="136"/>
      <c r="D58" s="139"/>
      <c r="E58" s="139"/>
      <c r="F58" s="139"/>
    </row>
    <row r="59" spans="1:6" ht="17.399999999999999">
      <c r="A59" s="132"/>
      <c r="B59" s="131"/>
      <c r="C59" s="132"/>
      <c r="D59" s="135"/>
      <c r="E59" s="135"/>
      <c r="F59" s="135"/>
    </row>
    <row r="60" spans="1:6" ht="17.399999999999999">
      <c r="A60" s="132"/>
      <c r="B60" s="131"/>
      <c r="C60" s="132"/>
      <c r="D60" s="135"/>
      <c r="E60" s="135"/>
      <c r="F60" s="135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494" t="s">
        <v>115</v>
      </c>
      <c r="C88" s="493"/>
      <c r="D88" s="493"/>
      <c r="E88" s="135"/>
      <c r="F88" s="135"/>
    </row>
    <row r="89" spans="1:6" ht="17.399999999999999">
      <c r="A89" s="132"/>
      <c r="B89" s="494" t="s">
        <v>116</v>
      </c>
      <c r="C89" s="493"/>
      <c r="D89" s="135"/>
      <c r="E89" s="135"/>
      <c r="F89" s="135"/>
    </row>
    <row r="90" spans="1:6" ht="17.399999999999999">
      <c r="A90" s="132"/>
      <c r="B90" s="494" t="s">
        <v>117</v>
      </c>
      <c r="C90" s="493"/>
      <c r="D90" s="135"/>
      <c r="E90" s="135"/>
      <c r="F90" s="135"/>
    </row>
    <row r="91" spans="1:6" ht="17.399999999999999">
      <c r="A91" s="132"/>
      <c r="B91" s="131"/>
      <c r="C91" s="132"/>
      <c r="D91" s="135"/>
      <c r="E91" s="135"/>
      <c r="F91" s="135"/>
    </row>
    <row r="92" spans="1:6" ht="20.399999999999999">
      <c r="A92" s="132"/>
      <c r="B92" s="140" t="s">
        <v>118</v>
      </c>
      <c r="C92" s="136" t="s">
        <v>119</v>
      </c>
      <c r="D92" s="134"/>
      <c r="E92" s="134"/>
      <c r="F92" s="134"/>
    </row>
    <row r="93" spans="1:6" ht="17.399999999999999">
      <c r="A93" s="132"/>
      <c r="B93" s="496" t="s">
        <v>120</v>
      </c>
      <c r="C93" s="493"/>
      <c r="D93" s="493"/>
      <c r="E93" s="493"/>
      <c r="F93" s="135"/>
    </row>
    <row r="94" spans="1:6" ht="17.399999999999999">
      <c r="A94" s="132"/>
      <c r="B94" s="494" t="s">
        <v>121</v>
      </c>
      <c r="C94" s="493"/>
      <c r="D94" s="493"/>
      <c r="E94" s="493"/>
      <c r="F94" s="135"/>
    </row>
    <row r="95" spans="1:6" ht="17.399999999999999">
      <c r="A95" s="132"/>
      <c r="B95" s="494" t="s">
        <v>122</v>
      </c>
      <c r="C95" s="493"/>
      <c r="D95" s="135"/>
      <c r="E95" s="135"/>
      <c r="F95" s="135"/>
    </row>
    <row r="96" spans="1:6" ht="17.399999999999999">
      <c r="A96" s="132"/>
      <c r="B96" s="494" t="s">
        <v>123</v>
      </c>
      <c r="C96" s="493"/>
      <c r="D96" s="493"/>
      <c r="E96" s="493"/>
      <c r="F96" s="493"/>
    </row>
    <row r="97" spans="1:6" ht="17.399999999999999">
      <c r="A97" s="132"/>
      <c r="B97" s="494" t="s">
        <v>124</v>
      </c>
      <c r="C97" s="493"/>
      <c r="D97" s="135"/>
      <c r="E97" s="135"/>
      <c r="F97" s="135"/>
    </row>
    <row r="98" spans="1:6" ht="17.399999999999999">
      <c r="A98" s="132"/>
      <c r="B98" s="494" t="s">
        <v>125</v>
      </c>
      <c r="C98" s="493"/>
      <c r="D98" s="493"/>
      <c r="E98" s="135"/>
      <c r="F98" s="135"/>
    </row>
    <row r="99" spans="1:6" ht="17.399999999999999">
      <c r="A99" s="132"/>
      <c r="B99" s="494" t="s">
        <v>126</v>
      </c>
      <c r="C99" s="493"/>
      <c r="D99" s="493"/>
      <c r="E99" s="493"/>
      <c r="F99" s="493"/>
    </row>
    <row r="100" spans="1:6" ht="17.399999999999999">
      <c r="A100" s="132"/>
      <c r="B100" s="494" t="s">
        <v>127</v>
      </c>
      <c r="C100" s="493"/>
      <c r="D100" s="135"/>
      <c r="E100" s="135"/>
      <c r="F100" s="135"/>
    </row>
    <row r="101" spans="1:6" ht="17.399999999999999">
      <c r="A101" s="132"/>
      <c r="B101" s="494" t="s">
        <v>128</v>
      </c>
      <c r="C101" s="493"/>
      <c r="D101" s="135"/>
      <c r="E101" s="135"/>
      <c r="F101" s="135"/>
    </row>
    <row r="102" spans="1:6" ht="17.399999999999999">
      <c r="A102" s="132"/>
      <c r="B102" s="494" t="s">
        <v>129</v>
      </c>
      <c r="C102" s="493"/>
      <c r="D102" s="135"/>
      <c r="E102" s="135"/>
      <c r="F102" s="135"/>
    </row>
    <row r="103" spans="1:6" ht="17.399999999999999">
      <c r="A103" s="132"/>
      <c r="B103" s="136" t="s">
        <v>130</v>
      </c>
      <c r="C103" s="132"/>
      <c r="D103" s="135"/>
      <c r="E103" s="135"/>
      <c r="F103" s="135"/>
    </row>
    <row r="104" spans="1:6" ht="17.399999999999999">
      <c r="A104" s="132"/>
      <c r="B104" s="494" t="s">
        <v>131</v>
      </c>
      <c r="C104" s="493"/>
      <c r="D104" s="493"/>
      <c r="E104" s="493"/>
      <c r="F104" s="493"/>
    </row>
    <row r="105" spans="1:6" ht="17.399999999999999">
      <c r="A105" s="132"/>
      <c r="B105" s="494" t="s">
        <v>132</v>
      </c>
      <c r="C105" s="493"/>
      <c r="D105" s="135"/>
      <c r="E105" s="135"/>
      <c r="F105" s="135"/>
    </row>
    <row r="106" spans="1:6" ht="17.399999999999999">
      <c r="A106" s="132"/>
      <c r="B106" s="136"/>
      <c r="C106" s="132"/>
      <c r="D106" s="135"/>
      <c r="E106" s="135"/>
      <c r="F106" s="135"/>
    </row>
    <row r="107" spans="1:6" ht="17.399999999999999">
      <c r="A107" s="132"/>
      <c r="B107" s="136"/>
      <c r="C107" s="132"/>
      <c r="D107" s="135"/>
      <c r="E107" s="135"/>
      <c r="F107" s="135"/>
    </row>
    <row r="108" spans="1:6" ht="17.399999999999999">
      <c r="A108" s="132"/>
      <c r="B108" s="136"/>
      <c r="C108" s="132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41" t="s">
        <v>133</v>
      </c>
      <c r="C125" s="28" t="s">
        <v>134</v>
      </c>
      <c r="D125" s="19"/>
      <c r="E125" s="19"/>
      <c r="F125" s="142"/>
    </row>
    <row r="126" spans="1:6" ht="17.399999999999999">
      <c r="A126" s="132"/>
      <c r="B126" s="143" t="s">
        <v>136</v>
      </c>
      <c r="C126" s="144"/>
      <c r="D126" s="147"/>
      <c r="E126" s="147"/>
      <c r="F126" s="148"/>
    </row>
    <row r="127" spans="1:6" ht="17.399999999999999">
      <c r="A127" s="132"/>
      <c r="B127" s="143" t="s">
        <v>137</v>
      </c>
      <c r="C127" s="150"/>
      <c r="D127" s="147"/>
      <c r="E127" s="147"/>
      <c r="F127" s="148"/>
    </row>
    <row r="128" spans="1:6" ht="17.399999999999999">
      <c r="A128" s="132"/>
      <c r="B128" s="143" t="s">
        <v>138</v>
      </c>
      <c r="C128" s="150"/>
      <c r="D128" s="147"/>
      <c r="E128" s="147"/>
      <c r="F128" s="148"/>
    </row>
    <row r="129" spans="1:6" ht="17.399999999999999">
      <c r="A129" s="132"/>
      <c r="B129" s="152" t="s">
        <v>139</v>
      </c>
      <c r="C129" s="153"/>
      <c r="D129" s="157"/>
      <c r="E129" s="157"/>
      <c r="F129" s="158"/>
    </row>
    <row r="130" spans="1:6" ht="17.399999999999999">
      <c r="A130" s="132"/>
      <c r="B130" s="136"/>
      <c r="C130" s="132"/>
      <c r="D130" s="135"/>
      <c r="E130" s="135"/>
      <c r="F130" s="135"/>
    </row>
    <row r="131" spans="1:6" ht="17.399999999999999">
      <c r="A131" s="132"/>
      <c r="B131" s="141" t="s">
        <v>133</v>
      </c>
      <c r="C131" s="17" t="s">
        <v>140</v>
      </c>
      <c r="D131" s="19"/>
      <c r="E131" s="19"/>
      <c r="F131" s="19"/>
    </row>
    <row r="132" spans="1:6" ht="17.399999999999999">
      <c r="A132" s="132"/>
      <c r="B132" s="141" t="s">
        <v>141</v>
      </c>
      <c r="C132" s="27"/>
      <c r="D132" s="19"/>
      <c r="E132" s="19"/>
      <c r="F132" s="19"/>
    </row>
    <row r="133" spans="1:6" ht="17.399999999999999">
      <c r="A133" s="132"/>
      <c r="B133" s="143" t="s">
        <v>142</v>
      </c>
      <c r="C133" s="144"/>
      <c r="D133" s="147"/>
      <c r="E133" s="147"/>
      <c r="F133" s="147"/>
    </row>
    <row r="134" spans="1:6" ht="17.399999999999999">
      <c r="A134" s="132"/>
      <c r="B134" s="143" t="s">
        <v>137</v>
      </c>
      <c r="C134" s="144"/>
      <c r="D134" s="147"/>
      <c r="E134" s="147"/>
      <c r="F134" s="147"/>
    </row>
    <row r="135" spans="1:6" ht="17.399999999999999">
      <c r="A135" s="132"/>
      <c r="B135" s="143" t="s">
        <v>138</v>
      </c>
      <c r="C135" s="144"/>
      <c r="D135" s="147"/>
      <c r="E135" s="147"/>
      <c r="F135" s="147"/>
    </row>
    <row r="136" spans="1:6" ht="17.399999999999999">
      <c r="A136" s="132"/>
      <c r="B136" s="143" t="s">
        <v>139</v>
      </c>
      <c r="C136" s="144"/>
      <c r="D136" s="147"/>
      <c r="E136" s="147"/>
      <c r="F136" s="147"/>
    </row>
    <row r="137" spans="1:6" ht="17.399999999999999">
      <c r="A137" s="132"/>
      <c r="B137" s="136"/>
      <c r="C137" s="132"/>
      <c r="D137" s="135"/>
      <c r="E137" s="135"/>
      <c r="F137" s="135"/>
    </row>
    <row r="138" spans="1:6" ht="17.399999999999999">
      <c r="A138" s="132"/>
      <c r="B138" s="136"/>
      <c r="C138" s="132"/>
      <c r="D138" s="135"/>
      <c r="E138" s="135"/>
      <c r="F138" s="135"/>
    </row>
    <row r="139" spans="1:6" ht="17.399999999999999">
      <c r="A139" s="132"/>
      <c r="B139" s="136"/>
      <c r="C139" s="132"/>
      <c r="D139" s="135"/>
      <c r="E139" s="135"/>
      <c r="F139" s="135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4"/>
      <c r="E142" s="134"/>
      <c r="F142" s="134"/>
    </row>
    <row r="143" spans="1:6" ht="17.399999999999999">
      <c r="A143" s="8">
        <v>3</v>
      </c>
      <c r="B143" s="28" t="s">
        <v>143</v>
      </c>
      <c r="C143" s="28" t="s">
        <v>144</v>
      </c>
      <c r="D143" s="19"/>
      <c r="E143" s="19"/>
      <c r="F143" s="19"/>
    </row>
    <row r="144" spans="1:6" ht="17.399999999999999">
      <c r="A144" s="132"/>
      <c r="B144" s="136"/>
      <c r="C144" s="132"/>
      <c r="D144" s="134"/>
      <c r="E144" s="134"/>
      <c r="F144" s="134"/>
    </row>
    <row r="145" spans="1:6" ht="17.399999999999999">
      <c r="A145" s="162"/>
      <c r="B145" s="163" t="s">
        <v>147</v>
      </c>
      <c r="C145" s="28"/>
      <c r="D145" s="19"/>
      <c r="E145" s="19"/>
      <c r="F145" s="19"/>
    </row>
    <row r="146" spans="1:6" ht="17.399999999999999">
      <c r="A146" s="8">
        <v>4</v>
      </c>
      <c r="B146" s="28" t="s">
        <v>148</v>
      </c>
      <c r="C146" s="28" t="s">
        <v>149</v>
      </c>
      <c r="D146" s="166"/>
      <c r="E146" s="166"/>
      <c r="F146" s="166"/>
    </row>
    <row r="147" spans="1:6" ht="17.399999999999999">
      <c r="A147" s="132"/>
      <c r="B147" s="495" t="s">
        <v>150</v>
      </c>
      <c r="C147" s="493"/>
      <c r="D147" s="493"/>
      <c r="E147" s="493"/>
      <c r="F147" s="134"/>
    </row>
    <row r="148" spans="1:6" ht="17.399999999999999">
      <c r="A148" s="132"/>
      <c r="B148" s="492" t="s">
        <v>151</v>
      </c>
      <c r="C148" s="493"/>
      <c r="D148" s="134"/>
      <c r="E148" s="134"/>
      <c r="F148" s="134"/>
    </row>
    <row r="149" spans="1:6" ht="17.399999999999999">
      <c r="A149" s="132"/>
      <c r="B149" s="492" t="s">
        <v>152</v>
      </c>
      <c r="C149" s="493"/>
      <c r="D149" s="134"/>
      <c r="E149" s="134"/>
      <c r="F149" s="134"/>
    </row>
    <row r="150" spans="1:6" ht="17.399999999999999">
      <c r="A150" s="132"/>
      <c r="B150" s="492" t="s">
        <v>153</v>
      </c>
      <c r="C150" s="493"/>
      <c r="D150" s="134"/>
      <c r="E150" s="134"/>
      <c r="F150" s="134"/>
    </row>
    <row r="151" spans="1:6" ht="17.399999999999999">
      <c r="A151" s="132"/>
      <c r="B151" s="492" t="s">
        <v>154</v>
      </c>
      <c r="C151" s="493"/>
      <c r="D151" s="134"/>
      <c r="E151" s="134"/>
      <c r="F151" s="134"/>
    </row>
    <row r="152" spans="1:6" ht="17.399999999999999">
      <c r="A152" s="132"/>
      <c r="B152" s="136"/>
      <c r="C152" s="132"/>
      <c r="D152" s="134"/>
      <c r="E152" s="134"/>
      <c r="F152" s="134"/>
    </row>
    <row r="153" spans="1:6" ht="17.399999999999999">
      <c r="A153" s="132"/>
      <c r="B153" s="136"/>
      <c r="C153" s="132"/>
      <c r="D153" s="134"/>
      <c r="E153" s="134"/>
      <c r="F153" s="134"/>
    </row>
    <row r="154" spans="1:6" ht="17.399999999999999">
      <c r="A154" s="132"/>
      <c r="B154" s="132"/>
      <c r="C154" s="132"/>
      <c r="D154" s="134"/>
      <c r="E154" s="134"/>
      <c r="F154" s="134"/>
    </row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</sheetData>
  <mergeCells count="24">
    <mergeCell ref="A1:F1"/>
    <mergeCell ref="A2:F2"/>
    <mergeCell ref="A3:F3"/>
    <mergeCell ref="D4:F4"/>
    <mergeCell ref="B100:C100"/>
    <mergeCell ref="B88:D88"/>
    <mergeCell ref="B89:C89"/>
    <mergeCell ref="B90:C90"/>
    <mergeCell ref="B93:E93"/>
    <mergeCell ref="B94:E94"/>
    <mergeCell ref="B95:C95"/>
    <mergeCell ref="B96:F96"/>
    <mergeCell ref="B97:C97"/>
    <mergeCell ref="B98:D98"/>
    <mergeCell ref="B99:F99"/>
    <mergeCell ref="B149:C149"/>
    <mergeCell ref="B150:C150"/>
    <mergeCell ref="B151:C151"/>
    <mergeCell ref="B101:C101"/>
    <mergeCell ref="B102:C102"/>
    <mergeCell ref="B104:F104"/>
    <mergeCell ref="B105:C105"/>
    <mergeCell ref="B147:E147"/>
    <mergeCell ref="B148:C148"/>
  </mergeCells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991A-157F-408A-AD50-9A2EB983556D}">
  <sheetPr>
    <tabColor rgb="FF00B0F0"/>
  </sheetPr>
  <dimension ref="A1:G912"/>
  <sheetViews>
    <sheetView zoomScale="80" zoomScaleNormal="80" workbookViewId="0">
      <pane ySplit="6" topLeftCell="A7" activePane="bottomLeft" state="frozen"/>
      <selection pane="bottomLeft" activeCell="J12" sqref="J12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281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121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125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3D0F-96D0-4B1E-B60B-D1AD2EAD5B79}">
  <sheetPr>
    <tabColor rgb="FF00B0F0"/>
  </sheetPr>
  <dimension ref="A1:F912"/>
  <sheetViews>
    <sheetView zoomScale="80" zoomScaleNormal="80" workbookViewId="0">
      <pane ySplit="6" topLeftCell="A7" activePane="bottomLeft" state="frozen"/>
      <selection pane="bottomLeft" activeCell="F18" sqref="F18:F19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281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6" ht="15.75" customHeight="1">
      <c r="A5" s="3"/>
      <c r="B5" s="4"/>
      <c r="C5" s="4"/>
      <c r="D5" s="4" t="s">
        <v>10</v>
      </c>
      <c r="E5" s="4" t="s">
        <v>11</v>
      </c>
      <c r="F5" s="4"/>
    </row>
    <row r="6" spans="1:6" ht="15.75" customHeight="1">
      <c r="A6" s="8"/>
      <c r="B6" s="4" t="s">
        <v>21</v>
      </c>
      <c r="C6" s="4"/>
      <c r="D6" s="4"/>
      <c r="E6" s="4"/>
      <c r="F6" s="3" t="s">
        <v>19</v>
      </c>
    </row>
    <row r="7" spans="1:6" ht="17.399999999999999">
      <c r="A7" s="8"/>
      <c r="B7" s="17"/>
      <c r="C7" s="15"/>
      <c r="D7" s="17"/>
      <c r="E7" s="6"/>
      <c r="F7" s="16"/>
    </row>
    <row r="8" spans="1:6" ht="17.399999999999999">
      <c r="A8" s="8"/>
      <c r="B8" s="28"/>
      <c r="C8" s="28"/>
      <c r="D8" s="17"/>
      <c r="E8" s="6"/>
      <c r="F8" s="120"/>
    </row>
    <row r="9" spans="1:6" ht="17.399999999999999">
      <c r="A9" s="8"/>
      <c r="B9" s="28"/>
      <c r="C9" s="28"/>
      <c r="D9" s="17"/>
      <c r="E9" s="6"/>
      <c r="F9" s="16"/>
    </row>
    <row r="10" spans="1:6" ht="18" thickBot="1">
      <c r="A10" s="8"/>
      <c r="B10" s="22" t="s">
        <v>19</v>
      </c>
      <c r="C10" s="23"/>
      <c r="D10" s="24"/>
      <c r="E10" s="24"/>
      <c r="F10" s="121">
        <v>0</v>
      </c>
    </row>
    <row r="11" spans="1:6" ht="18.600000000000001" thickTop="1" thickBot="1">
      <c r="A11" s="122"/>
      <c r="B11" s="123" t="s">
        <v>111</v>
      </c>
      <c r="C11" s="124"/>
      <c r="D11" s="126"/>
      <c r="E11" s="126"/>
      <c r="F11" s="125">
        <v>0</v>
      </c>
    </row>
    <row r="12" spans="1:6" ht="18" thickTop="1">
      <c r="A12" s="1"/>
      <c r="B12" s="131"/>
      <c r="C12" s="132"/>
      <c r="D12" s="132"/>
      <c r="E12" s="132"/>
      <c r="F12" s="132"/>
    </row>
    <row r="13" spans="1:6" ht="17.399999999999999">
      <c r="A13" s="132"/>
      <c r="B13" s="131"/>
      <c r="C13" s="132"/>
      <c r="D13" s="132"/>
      <c r="E13" s="1"/>
    </row>
    <row r="14" spans="1:6" ht="17.399999999999999">
      <c r="A14" s="132"/>
      <c r="B14" s="131"/>
      <c r="C14" s="132"/>
      <c r="D14" s="132"/>
      <c r="E14" s="1"/>
      <c r="F14" s="131"/>
    </row>
    <row r="15" spans="1:6" ht="17.399999999999999">
      <c r="A15" s="132"/>
      <c r="B15" s="131"/>
      <c r="C15" s="132"/>
      <c r="D15" s="132"/>
      <c r="E15" s="1"/>
      <c r="F15" s="131"/>
    </row>
    <row r="16" spans="1:6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F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9D3E-55A1-44B0-8D54-571356BA492A}">
  <sheetPr>
    <tabColor rgb="FF92D050"/>
  </sheetPr>
  <dimension ref="A1:T1004"/>
  <sheetViews>
    <sheetView zoomScale="70" zoomScaleNormal="70" workbookViewId="0">
      <pane ySplit="6" topLeftCell="A67" activePane="bottomLeft" state="frozen"/>
      <selection pane="bottomLeft" activeCell="L97" sqref="L97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232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48">
        <v>33170</v>
      </c>
      <c r="E26" s="49"/>
      <c r="F26" s="49"/>
      <c r="G26" s="49"/>
      <c r="H26" s="49"/>
      <c r="I26" s="49"/>
      <c r="J26" s="49"/>
      <c r="K26" s="50">
        <v>25209</v>
      </c>
      <c r="L26" s="51" t="s">
        <v>233</v>
      </c>
      <c r="M26" s="52">
        <v>33170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174">
        <v>7100</v>
      </c>
      <c r="E27" s="49"/>
      <c r="F27" s="49"/>
      <c r="G27" s="49"/>
      <c r="H27" s="49"/>
      <c r="I27" s="49"/>
      <c r="J27" s="49"/>
      <c r="K27" s="50">
        <v>25209</v>
      </c>
      <c r="L27" s="51" t="s">
        <v>234</v>
      </c>
      <c r="M27" s="52">
        <v>7100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32</v>
      </c>
      <c r="D28" s="48">
        <v>2000</v>
      </c>
      <c r="E28" s="49"/>
      <c r="F28" s="49"/>
      <c r="G28" s="49"/>
      <c r="H28" s="49"/>
      <c r="I28" s="49"/>
      <c r="J28" s="49"/>
      <c r="K28" s="50">
        <v>25209</v>
      </c>
      <c r="L28" s="51" t="s">
        <v>235</v>
      </c>
      <c r="M28" s="52">
        <v>2000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29</v>
      </c>
      <c r="C29" s="47" t="s">
        <v>30</v>
      </c>
      <c r="D29" s="48">
        <v>11770</v>
      </c>
      <c r="E29" s="49"/>
      <c r="F29" s="49"/>
      <c r="G29" s="49"/>
      <c r="H29" s="49"/>
      <c r="I29" s="49"/>
      <c r="J29" s="49"/>
      <c r="K29" s="50">
        <v>25217</v>
      </c>
      <c r="L29" s="51" t="s">
        <v>236</v>
      </c>
      <c r="M29" s="52">
        <v>11770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29</v>
      </c>
      <c r="C30" s="47" t="s">
        <v>34</v>
      </c>
      <c r="D30" s="48">
        <v>2500</v>
      </c>
      <c r="E30" s="49"/>
      <c r="F30" s="49"/>
      <c r="G30" s="49"/>
      <c r="H30" s="49"/>
      <c r="I30" s="49"/>
      <c r="J30" s="49"/>
      <c r="K30" s="50">
        <v>25217</v>
      </c>
      <c r="L30" s="51" t="s">
        <v>237</v>
      </c>
      <c r="M30" s="52">
        <v>2500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32</v>
      </c>
      <c r="D31" s="48">
        <v>1000</v>
      </c>
      <c r="E31" s="49"/>
      <c r="F31" s="49"/>
      <c r="G31" s="49"/>
      <c r="H31" s="49"/>
      <c r="I31" s="49"/>
      <c r="J31" s="49"/>
      <c r="K31" s="50">
        <v>25217</v>
      </c>
      <c r="L31" s="51" t="s">
        <v>238</v>
      </c>
      <c r="M31" s="52">
        <v>1000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30</v>
      </c>
      <c r="D32" s="48">
        <v>11770</v>
      </c>
      <c r="E32" s="49"/>
      <c r="F32" s="49"/>
      <c r="G32" s="49"/>
      <c r="H32" s="49"/>
      <c r="I32" s="49"/>
      <c r="J32" s="49"/>
      <c r="K32" s="50">
        <v>25222</v>
      </c>
      <c r="L32" s="51" t="s">
        <v>239</v>
      </c>
      <c r="M32" s="52">
        <v>11770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34</v>
      </c>
      <c r="D33" s="48">
        <v>2500</v>
      </c>
      <c r="E33" s="49"/>
      <c r="F33" s="49"/>
      <c r="G33" s="49"/>
      <c r="H33" s="49"/>
      <c r="I33" s="49"/>
      <c r="J33" s="49"/>
      <c r="K33" s="50">
        <v>25222</v>
      </c>
      <c r="L33" s="51" t="s">
        <v>240</v>
      </c>
      <c r="M33" s="52">
        <v>2500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32</v>
      </c>
      <c r="D34" s="48">
        <v>1000</v>
      </c>
      <c r="E34" s="49"/>
      <c r="F34" s="49"/>
      <c r="G34" s="49"/>
      <c r="H34" s="49"/>
      <c r="I34" s="49"/>
      <c r="J34" s="49"/>
      <c r="K34" s="50">
        <v>25222</v>
      </c>
      <c r="L34" s="51" t="s">
        <v>241</v>
      </c>
      <c r="M34" s="52">
        <v>1000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30</v>
      </c>
      <c r="D35" s="48">
        <v>11770</v>
      </c>
      <c r="E35" s="49"/>
      <c r="F35" s="49"/>
      <c r="G35" s="49"/>
      <c r="H35" s="49"/>
      <c r="I35" s="49"/>
      <c r="J35" s="49"/>
      <c r="K35" s="50">
        <v>25229</v>
      </c>
      <c r="L35" s="51" t="s">
        <v>242</v>
      </c>
      <c r="M35" s="52">
        <v>2000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34</v>
      </c>
      <c r="D36" s="48">
        <v>2500</v>
      </c>
      <c r="E36" s="49"/>
      <c r="F36" s="49"/>
      <c r="G36" s="49"/>
      <c r="H36" s="49"/>
      <c r="I36" s="49"/>
      <c r="J36" s="49"/>
      <c r="K36" s="50">
        <v>25229</v>
      </c>
      <c r="L36" s="51" t="s">
        <v>243</v>
      </c>
      <c r="M36" s="52">
        <v>2500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32</v>
      </c>
      <c r="D37" s="56">
        <v>1000</v>
      </c>
      <c r="E37" s="49"/>
      <c r="F37" s="49"/>
      <c r="G37" s="49"/>
      <c r="H37" s="49"/>
      <c r="I37" s="49"/>
      <c r="J37" s="49"/>
      <c r="K37" s="57">
        <v>25229</v>
      </c>
      <c r="L37" s="51" t="s">
        <v>244</v>
      </c>
      <c r="M37" s="58">
        <v>1000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/>
      <c r="D38" s="56"/>
      <c r="E38" s="49"/>
      <c r="F38" s="49"/>
      <c r="G38" s="49"/>
      <c r="H38" s="49"/>
      <c r="I38" s="49"/>
      <c r="J38" s="49"/>
      <c r="K38" s="57"/>
      <c r="L38" s="51"/>
      <c r="M38" s="58"/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/>
      <c r="D39" s="56"/>
      <c r="E39" s="49"/>
      <c r="F39" s="49"/>
      <c r="G39" s="49"/>
      <c r="H39" s="49"/>
      <c r="I39" s="49"/>
      <c r="J39" s="49"/>
      <c r="K39" s="57"/>
      <c r="L39" s="51"/>
      <c r="M39" s="58"/>
      <c r="N39" s="47"/>
      <c r="O39" s="46"/>
      <c r="P39" s="46"/>
      <c r="Q39" s="46"/>
      <c r="R39" s="46"/>
      <c r="S39" s="49"/>
    </row>
    <row r="40" spans="1:19" ht="23.4">
      <c r="A40" s="46"/>
      <c r="B40" s="55"/>
      <c r="C40" s="55"/>
      <c r="D40" s="56"/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88080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78310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25223</v>
      </c>
      <c r="L45" s="77" t="s">
        <v>245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25222</v>
      </c>
      <c r="L46" s="77" t="s">
        <v>246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25223</v>
      </c>
      <c r="L47" s="77" t="s">
        <v>247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1100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25209</v>
      </c>
      <c r="L70" s="77" t="s">
        <v>248</v>
      </c>
      <c r="M70" s="111">
        <v>1100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400</v>
      </c>
      <c r="E71" s="68"/>
      <c r="F71" s="68"/>
      <c r="G71" s="68"/>
      <c r="H71" s="68"/>
      <c r="I71" s="68"/>
      <c r="J71" s="68"/>
      <c r="K71" s="108">
        <v>25217</v>
      </c>
      <c r="L71" s="77" t="s">
        <v>249</v>
      </c>
      <c r="M71" s="111">
        <v>400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25222</v>
      </c>
      <c r="L72" s="77" t="s">
        <v>250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25229</v>
      </c>
      <c r="L73" s="77" t="s">
        <v>251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/>
      <c r="B74" s="75"/>
      <c r="C74" s="71"/>
      <c r="D74" s="110"/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2300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2300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16103.5</v>
      </c>
      <c r="E81" s="75"/>
      <c r="F81" s="72"/>
      <c r="G81" s="72"/>
      <c r="H81" s="72" t="s">
        <v>22</v>
      </c>
      <c r="I81" s="72" t="s">
        <v>22</v>
      </c>
      <c r="J81" s="68" t="s">
        <v>22</v>
      </c>
      <c r="K81" s="76">
        <v>25209</v>
      </c>
      <c r="L81" s="77" t="s">
        <v>252</v>
      </c>
      <c r="M81" s="78">
        <v>16103.5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2749.9</v>
      </c>
      <c r="E82" s="75"/>
      <c r="F82" s="72"/>
      <c r="G82" s="72"/>
      <c r="H82" s="72"/>
      <c r="I82" s="72" t="s">
        <v>22</v>
      </c>
      <c r="J82" s="68" t="s">
        <v>22</v>
      </c>
      <c r="K82" s="76">
        <v>25217</v>
      </c>
      <c r="L82" s="77" t="s">
        <v>253</v>
      </c>
      <c r="M82" s="78">
        <v>2749.9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3017.4</v>
      </c>
      <c r="E83" s="75"/>
      <c r="F83" s="72"/>
      <c r="G83" s="72"/>
      <c r="H83" s="72"/>
      <c r="I83" s="72"/>
      <c r="J83" s="68"/>
      <c r="K83" s="76">
        <v>25222</v>
      </c>
      <c r="L83" s="77" t="s">
        <v>254</v>
      </c>
      <c r="M83" s="78">
        <v>3017.4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3124.4</v>
      </c>
      <c r="E84" s="75"/>
      <c r="F84" s="72"/>
      <c r="G84" s="72"/>
      <c r="H84" s="72"/>
      <c r="I84" s="72"/>
      <c r="J84" s="68"/>
      <c r="K84" s="76">
        <v>25229</v>
      </c>
      <c r="L84" s="77" t="s">
        <v>255</v>
      </c>
      <c r="M84" s="78">
        <v>3124.4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/>
      <c r="E85" s="75"/>
      <c r="F85" s="72"/>
      <c r="G85" s="72"/>
      <c r="H85" s="72"/>
      <c r="I85" s="72"/>
      <c r="J85" s="68"/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24995.200000000004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24995.200000000004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SUM(D43+D48+D76+D86)</f>
        <v>118585.20000000001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SUM(M43+M48+M61+M76+M86)</f>
        <v>108815.20000000001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6B18-08C5-43BA-830E-3506C67ED449}">
  <sheetPr>
    <tabColor rgb="FF92D050"/>
  </sheetPr>
  <dimension ref="A1:H939"/>
  <sheetViews>
    <sheetView zoomScale="70" zoomScaleNormal="70" workbookViewId="0">
      <pane ySplit="6" topLeftCell="A11" activePane="bottomLeft" state="frozen"/>
      <selection pane="bottomLeft" activeCell="I32" sqref="I32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232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15.75" customHeight="1">
      <c r="A6" s="8"/>
      <c r="B6" s="4"/>
      <c r="C6" s="4"/>
      <c r="D6" s="11"/>
      <c r="E6" s="12"/>
      <c r="F6" s="12"/>
    </row>
    <row r="7" spans="1:6" ht="22.5" customHeight="1">
      <c r="A7" s="13"/>
      <c r="B7" s="39" t="s">
        <v>28</v>
      </c>
      <c r="C7" s="40"/>
      <c r="D7" s="42"/>
      <c r="E7" s="43"/>
      <c r="F7" s="43"/>
    </row>
    <row r="8" spans="1:6" ht="20.25" customHeight="1">
      <c r="A8" s="46">
        <v>1</v>
      </c>
      <c r="B8" s="47" t="s">
        <v>29</v>
      </c>
      <c r="C8" s="47" t="s">
        <v>30</v>
      </c>
      <c r="D8" s="50">
        <v>25209</v>
      </c>
      <c r="E8" s="51" t="s">
        <v>233</v>
      </c>
      <c r="F8" s="52">
        <v>33170</v>
      </c>
    </row>
    <row r="9" spans="1:6" ht="22.5" customHeight="1">
      <c r="A9" s="46">
        <v>2</v>
      </c>
      <c r="B9" s="173" t="s">
        <v>29</v>
      </c>
      <c r="C9" s="173" t="s">
        <v>34</v>
      </c>
      <c r="D9" s="50">
        <v>25209</v>
      </c>
      <c r="E9" s="51" t="s">
        <v>234</v>
      </c>
      <c r="F9" s="52">
        <v>7100</v>
      </c>
    </row>
    <row r="10" spans="1:6" ht="17.399999999999999">
      <c r="A10" s="46">
        <v>3</v>
      </c>
      <c r="B10" s="47" t="s">
        <v>29</v>
      </c>
      <c r="C10" s="47" t="s">
        <v>32</v>
      </c>
      <c r="D10" s="50">
        <v>25209</v>
      </c>
      <c r="E10" s="51" t="s">
        <v>235</v>
      </c>
      <c r="F10" s="52">
        <v>2000</v>
      </c>
    </row>
    <row r="11" spans="1:6" ht="17.399999999999999">
      <c r="A11" s="46">
        <v>4</v>
      </c>
      <c r="B11" s="47" t="s">
        <v>29</v>
      </c>
      <c r="C11" s="47" t="s">
        <v>30</v>
      </c>
      <c r="D11" s="50">
        <v>25217</v>
      </c>
      <c r="E11" s="51" t="s">
        <v>236</v>
      </c>
      <c r="F11" s="52">
        <v>11770</v>
      </c>
    </row>
    <row r="12" spans="1:6" ht="17.399999999999999">
      <c r="A12" s="46">
        <v>5</v>
      </c>
      <c r="B12" s="47" t="s">
        <v>29</v>
      </c>
      <c r="C12" s="47" t="s">
        <v>34</v>
      </c>
      <c r="D12" s="50">
        <v>25217</v>
      </c>
      <c r="E12" s="51" t="s">
        <v>237</v>
      </c>
      <c r="F12" s="52">
        <v>2500</v>
      </c>
    </row>
    <row r="13" spans="1:6" ht="17.399999999999999">
      <c r="A13" s="46">
        <v>6</v>
      </c>
      <c r="B13" s="47" t="s">
        <v>29</v>
      </c>
      <c r="C13" s="47" t="s">
        <v>32</v>
      </c>
      <c r="D13" s="50">
        <v>25217</v>
      </c>
      <c r="E13" s="51" t="s">
        <v>238</v>
      </c>
      <c r="F13" s="52">
        <v>1000</v>
      </c>
    </row>
    <row r="14" spans="1:6" ht="17.399999999999999">
      <c r="A14" s="46">
        <v>7</v>
      </c>
      <c r="B14" s="47" t="s">
        <v>29</v>
      </c>
      <c r="C14" s="47" t="s">
        <v>30</v>
      </c>
      <c r="D14" s="50">
        <v>25222</v>
      </c>
      <c r="E14" s="51" t="s">
        <v>239</v>
      </c>
      <c r="F14" s="52">
        <v>11770</v>
      </c>
    </row>
    <row r="15" spans="1:6" ht="17.399999999999999">
      <c r="A15" s="46">
        <v>8</v>
      </c>
      <c r="B15" s="47" t="s">
        <v>29</v>
      </c>
      <c r="C15" s="47" t="s">
        <v>34</v>
      </c>
      <c r="D15" s="50">
        <v>25222</v>
      </c>
      <c r="E15" s="51" t="s">
        <v>240</v>
      </c>
      <c r="F15" s="52">
        <v>2500</v>
      </c>
    </row>
    <row r="16" spans="1:6" ht="17.399999999999999">
      <c r="A16" s="46">
        <v>9</v>
      </c>
      <c r="B16" s="47" t="s">
        <v>29</v>
      </c>
      <c r="C16" s="47" t="s">
        <v>32</v>
      </c>
      <c r="D16" s="50">
        <v>25222</v>
      </c>
      <c r="E16" s="51" t="s">
        <v>241</v>
      </c>
      <c r="F16" s="52">
        <v>1000</v>
      </c>
    </row>
    <row r="17" spans="1:8" ht="17.399999999999999">
      <c r="A17" s="46">
        <v>10</v>
      </c>
      <c r="B17" s="47" t="s">
        <v>29</v>
      </c>
      <c r="C17" s="47" t="s">
        <v>30</v>
      </c>
      <c r="D17" s="50">
        <v>25229</v>
      </c>
      <c r="E17" s="51" t="s">
        <v>242</v>
      </c>
      <c r="F17" s="52">
        <v>2000</v>
      </c>
    </row>
    <row r="18" spans="1:8" ht="17.399999999999999">
      <c r="A18" s="46">
        <v>11</v>
      </c>
      <c r="B18" s="47" t="s">
        <v>29</v>
      </c>
      <c r="C18" s="47" t="s">
        <v>34</v>
      </c>
      <c r="D18" s="50">
        <v>25229</v>
      </c>
      <c r="E18" s="51" t="s">
        <v>243</v>
      </c>
      <c r="F18" s="52">
        <v>2500</v>
      </c>
    </row>
    <row r="19" spans="1:8" ht="23.4">
      <c r="A19" s="46">
        <v>12</v>
      </c>
      <c r="B19" s="55" t="s">
        <v>29</v>
      </c>
      <c r="C19" s="55" t="s">
        <v>32</v>
      </c>
      <c r="D19" s="57">
        <v>25229</v>
      </c>
      <c r="E19" s="51" t="s">
        <v>244</v>
      </c>
      <c r="F19" s="58">
        <v>1000</v>
      </c>
    </row>
    <row r="20" spans="1:8" ht="18" thickBot="1">
      <c r="A20" s="46"/>
      <c r="B20" s="59" t="s">
        <v>19</v>
      </c>
      <c r="C20" s="60"/>
      <c r="D20" s="63"/>
      <c r="E20" s="63"/>
      <c r="F20" s="64">
        <v>78310</v>
      </c>
      <c r="H20" s="170">
        <f>SUM(F8:F19)</f>
        <v>78310</v>
      </c>
    </row>
    <row r="21" spans="1:8" ht="18" thickTop="1">
      <c r="A21" s="65"/>
      <c r="B21" s="66" t="s">
        <v>53</v>
      </c>
      <c r="C21" s="67"/>
      <c r="D21" s="69"/>
      <c r="E21" s="70"/>
      <c r="F21" s="70"/>
    </row>
    <row r="22" spans="1:8" ht="17.399999999999999">
      <c r="A22" s="73">
        <v>1</v>
      </c>
      <c r="B22" s="71" t="s">
        <v>54</v>
      </c>
      <c r="C22" s="71" t="s">
        <v>55</v>
      </c>
      <c r="D22" s="76">
        <v>25223</v>
      </c>
      <c r="E22" s="77" t="s">
        <v>245</v>
      </c>
      <c r="F22" s="78">
        <v>1070</v>
      </c>
    </row>
    <row r="23" spans="1:8" ht="17.399999999999999">
      <c r="A23" s="73">
        <v>2</v>
      </c>
      <c r="B23" s="71" t="s">
        <v>57</v>
      </c>
      <c r="C23" s="71" t="s">
        <v>55</v>
      </c>
      <c r="D23" s="76">
        <v>25222</v>
      </c>
      <c r="E23" s="77" t="s">
        <v>246</v>
      </c>
      <c r="F23" s="78">
        <v>1070</v>
      </c>
    </row>
    <row r="24" spans="1:8" ht="17.399999999999999">
      <c r="A24" s="79">
        <v>3</v>
      </c>
      <c r="B24" s="80" t="s">
        <v>59</v>
      </c>
      <c r="C24" s="81" t="s">
        <v>55</v>
      </c>
      <c r="D24" s="76">
        <v>25223</v>
      </c>
      <c r="E24" s="77" t="s">
        <v>247</v>
      </c>
      <c r="F24" s="78">
        <v>1070</v>
      </c>
    </row>
    <row r="25" spans="1:8" ht="21" thickBot="1">
      <c r="A25" s="65"/>
      <c r="B25" s="59" t="s">
        <v>19</v>
      </c>
      <c r="C25" s="60"/>
      <c r="D25" s="92"/>
      <c r="E25" s="93"/>
      <c r="F25" s="94">
        <v>3210</v>
      </c>
      <c r="H25" s="170">
        <f>SUM(F22:F24)</f>
        <v>3210</v>
      </c>
    </row>
    <row r="26" spans="1:8" ht="18" thickTop="1">
      <c r="A26" s="65"/>
      <c r="B26" s="66" t="s">
        <v>70</v>
      </c>
      <c r="C26" s="104"/>
      <c r="D26" s="106"/>
      <c r="E26" s="106"/>
      <c r="F26" s="106" t="s">
        <v>22</v>
      </c>
    </row>
    <row r="27" spans="1:8" ht="17.399999999999999">
      <c r="A27" s="65">
        <v>1</v>
      </c>
      <c r="B27" s="71" t="s">
        <v>75</v>
      </c>
      <c r="C27" s="71" t="s">
        <v>76</v>
      </c>
      <c r="D27" s="108">
        <v>25209</v>
      </c>
      <c r="E27" s="77" t="s">
        <v>248</v>
      </c>
      <c r="F27" s="111">
        <v>1100</v>
      </c>
    </row>
    <row r="28" spans="1:8" ht="17.399999999999999">
      <c r="A28" s="65">
        <v>2</v>
      </c>
      <c r="B28" s="71" t="s">
        <v>75</v>
      </c>
      <c r="C28" s="71" t="s">
        <v>78</v>
      </c>
      <c r="D28" s="108">
        <v>25217</v>
      </c>
      <c r="E28" s="77" t="s">
        <v>249</v>
      </c>
      <c r="F28" s="111">
        <v>400</v>
      </c>
    </row>
    <row r="29" spans="1:8" ht="17.399999999999999">
      <c r="A29" s="65">
        <v>3</v>
      </c>
      <c r="B29" s="71" t="s">
        <v>75</v>
      </c>
      <c r="C29" s="71" t="s">
        <v>80</v>
      </c>
      <c r="D29" s="108">
        <v>25222</v>
      </c>
      <c r="E29" s="77" t="s">
        <v>250</v>
      </c>
      <c r="F29" s="111">
        <v>400</v>
      </c>
    </row>
    <row r="30" spans="1:8" ht="17.399999999999999">
      <c r="A30" s="65">
        <v>4</v>
      </c>
      <c r="B30" s="71" t="s">
        <v>75</v>
      </c>
      <c r="C30" s="71" t="s">
        <v>82</v>
      </c>
      <c r="D30" s="108">
        <v>25229</v>
      </c>
      <c r="E30" s="77" t="s">
        <v>251</v>
      </c>
      <c r="F30" s="111">
        <v>400</v>
      </c>
    </row>
    <row r="31" spans="1:8" ht="18" thickBot="1">
      <c r="A31" s="65"/>
      <c r="B31" s="59" t="s">
        <v>19</v>
      </c>
      <c r="C31" s="60"/>
      <c r="D31" s="115"/>
      <c r="E31" s="92"/>
      <c r="F31" s="94">
        <v>2300</v>
      </c>
      <c r="H31" s="171">
        <f>SUM(F27:F30)</f>
        <v>2300</v>
      </c>
    </row>
    <row r="32" spans="1:8" ht="18" thickTop="1">
      <c r="A32" s="65"/>
      <c r="B32" s="66" t="s">
        <v>86</v>
      </c>
      <c r="C32" s="67"/>
      <c r="D32" s="69"/>
      <c r="E32" s="70"/>
      <c r="F32" s="70"/>
    </row>
    <row r="33" spans="1:8" ht="17.399999999999999">
      <c r="A33" s="73">
        <v>1</v>
      </c>
      <c r="B33" s="71" t="s">
        <v>75</v>
      </c>
      <c r="C33" s="71" t="s">
        <v>91</v>
      </c>
      <c r="D33" s="76">
        <v>25209</v>
      </c>
      <c r="E33" s="77" t="s">
        <v>252</v>
      </c>
      <c r="F33" s="78">
        <v>16103.5</v>
      </c>
    </row>
    <row r="34" spans="1:8" ht="17.399999999999999">
      <c r="A34" s="73">
        <v>2</v>
      </c>
      <c r="B34" s="71" t="s">
        <v>75</v>
      </c>
      <c r="C34" s="71" t="s">
        <v>93</v>
      </c>
      <c r="D34" s="76">
        <v>25217</v>
      </c>
      <c r="E34" s="77" t="s">
        <v>253</v>
      </c>
      <c r="F34" s="78">
        <v>2749.9</v>
      </c>
    </row>
    <row r="35" spans="1:8" ht="17.399999999999999">
      <c r="A35" s="73">
        <v>3</v>
      </c>
      <c r="B35" s="71" t="s">
        <v>75</v>
      </c>
      <c r="C35" s="71" t="s">
        <v>95</v>
      </c>
      <c r="D35" s="76">
        <v>25222</v>
      </c>
      <c r="E35" s="77" t="s">
        <v>254</v>
      </c>
      <c r="F35" s="78">
        <v>3017.4</v>
      </c>
    </row>
    <row r="36" spans="1:8" ht="17.399999999999999">
      <c r="A36" s="73">
        <v>4</v>
      </c>
      <c r="B36" s="71" t="s">
        <v>75</v>
      </c>
      <c r="C36" s="71" t="s">
        <v>97</v>
      </c>
      <c r="D36" s="76">
        <v>25229</v>
      </c>
      <c r="E36" s="77" t="s">
        <v>255</v>
      </c>
      <c r="F36" s="78">
        <v>3124.4</v>
      </c>
    </row>
    <row r="37" spans="1:8" ht="18" thickBot="1">
      <c r="A37" s="65"/>
      <c r="B37" s="97" t="s">
        <v>19</v>
      </c>
      <c r="C37" s="98"/>
      <c r="D37" s="92"/>
      <c r="E37" s="92"/>
      <c r="F37" s="94">
        <v>24995.200000000004</v>
      </c>
      <c r="H37" s="170">
        <f>SUM(F33:F36)</f>
        <v>24995.200000000004</v>
      </c>
    </row>
    <row r="38" spans="1:8" ht="18.600000000000001" thickTop="1" thickBot="1">
      <c r="A38" s="122"/>
      <c r="B38" s="123" t="s">
        <v>111</v>
      </c>
      <c r="C38" s="124"/>
      <c r="D38" s="128"/>
      <c r="E38" s="129"/>
      <c r="F38" s="130">
        <v>108815.20000000001</v>
      </c>
      <c r="H38" s="175">
        <f>SUM(H20:H37)</f>
        <v>108815.20000000001</v>
      </c>
    </row>
    <row r="39" spans="1:8" ht="18" thickTop="1">
      <c r="A39" s="1"/>
      <c r="B39" s="131"/>
      <c r="C39" s="132"/>
      <c r="D39" s="133"/>
      <c r="E39" s="134"/>
      <c r="F39" s="134"/>
    </row>
    <row r="40" spans="1:8" ht="17.399999999999999">
      <c r="A40" s="132"/>
      <c r="B40" s="131"/>
      <c r="C40" s="132"/>
      <c r="D40" s="135"/>
      <c r="E40" s="135"/>
      <c r="F40" s="135"/>
    </row>
    <row r="41" spans="1:8" ht="17.399999999999999">
      <c r="A41" s="132"/>
      <c r="B41" s="131"/>
      <c r="C41" s="132"/>
      <c r="D41" s="135"/>
      <c r="E41" s="134"/>
      <c r="F41" s="135"/>
    </row>
    <row r="42" spans="1:8" ht="17.399999999999999">
      <c r="A42" s="132"/>
      <c r="B42" s="131"/>
      <c r="C42" s="132"/>
      <c r="D42" s="135"/>
      <c r="E42" s="134"/>
      <c r="F42" s="135"/>
    </row>
    <row r="43" spans="1:8" ht="17.399999999999999">
      <c r="A43" s="132"/>
      <c r="B43" s="131"/>
      <c r="C43" s="132"/>
      <c r="D43"/>
      <c r="E43" s="134"/>
      <c r="F43" s="135"/>
    </row>
    <row r="44" spans="1:8" ht="17.399999999999999">
      <c r="A44" s="132"/>
      <c r="B44" s="131"/>
      <c r="C44" s="132"/>
      <c r="D44" s="135"/>
      <c r="E44" s="134"/>
      <c r="F44" s="135"/>
    </row>
    <row r="45" spans="1:8" ht="17.399999999999999">
      <c r="A45" s="132"/>
      <c r="B45" s="131"/>
      <c r="C45" s="132"/>
      <c r="D45" s="135"/>
      <c r="E45" s="135"/>
      <c r="F45" s="135"/>
    </row>
    <row r="46" spans="1:8" ht="17.399999999999999">
      <c r="A46" s="132"/>
      <c r="B46" s="131"/>
      <c r="C46" s="132"/>
      <c r="D46" s="135"/>
      <c r="E46" s="135"/>
      <c r="F46" s="135"/>
    </row>
    <row r="47" spans="1:8" ht="17.399999999999999">
      <c r="A47" s="132"/>
      <c r="B47" s="131"/>
      <c r="C47" s="132"/>
      <c r="D47" s="135"/>
      <c r="E47" s="135"/>
      <c r="F47" s="135"/>
    </row>
    <row r="48" spans="1:8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6"/>
      <c r="B59" s="136"/>
      <c r="C59" s="136"/>
      <c r="D59" s="139"/>
      <c r="E59" s="139"/>
      <c r="F59" s="139"/>
    </row>
    <row r="60" spans="1:6" ht="17.399999999999999">
      <c r="A60" s="132"/>
      <c r="B60" s="131"/>
      <c r="C60" s="132"/>
      <c r="D60" s="135"/>
      <c r="E60" s="135"/>
      <c r="F60" s="135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494" t="s">
        <v>115</v>
      </c>
      <c r="C89" s="493"/>
      <c r="D89" s="493"/>
      <c r="E89" s="135"/>
      <c r="F89" s="135"/>
    </row>
    <row r="90" spans="1:6" ht="17.399999999999999">
      <c r="A90" s="132"/>
      <c r="B90" s="494" t="s">
        <v>116</v>
      </c>
      <c r="C90" s="493"/>
      <c r="D90" s="135"/>
      <c r="E90" s="135"/>
      <c r="F90" s="135"/>
    </row>
    <row r="91" spans="1:6" ht="17.399999999999999">
      <c r="A91" s="132"/>
      <c r="B91" s="494" t="s">
        <v>117</v>
      </c>
      <c r="C91" s="493"/>
      <c r="D91" s="135"/>
      <c r="E91" s="135"/>
      <c r="F91" s="135"/>
    </row>
    <row r="92" spans="1:6" ht="17.399999999999999">
      <c r="A92" s="132"/>
      <c r="B92" s="131"/>
      <c r="C92" s="132"/>
      <c r="D92" s="135"/>
      <c r="E92" s="135"/>
      <c r="F92" s="135"/>
    </row>
    <row r="93" spans="1:6" ht="20.399999999999999">
      <c r="A93" s="132"/>
      <c r="B93" s="140" t="s">
        <v>118</v>
      </c>
      <c r="C93" s="136" t="s">
        <v>119</v>
      </c>
      <c r="D93" s="134"/>
      <c r="E93" s="134"/>
      <c r="F93" s="134"/>
    </row>
    <row r="94" spans="1:6" ht="17.399999999999999">
      <c r="A94" s="132"/>
      <c r="B94" s="496" t="s">
        <v>120</v>
      </c>
      <c r="C94" s="493"/>
      <c r="D94" s="493"/>
      <c r="E94" s="493"/>
      <c r="F94" s="135"/>
    </row>
    <row r="95" spans="1:6" ht="17.399999999999999">
      <c r="A95" s="132"/>
      <c r="B95" s="494" t="s">
        <v>121</v>
      </c>
      <c r="C95" s="493"/>
      <c r="D95" s="493"/>
      <c r="E95" s="493"/>
      <c r="F95" s="135"/>
    </row>
    <row r="96" spans="1:6" ht="17.399999999999999">
      <c r="A96" s="132"/>
      <c r="B96" s="494" t="s">
        <v>122</v>
      </c>
      <c r="C96" s="493"/>
      <c r="D96" s="135"/>
      <c r="E96" s="135"/>
      <c r="F96" s="135"/>
    </row>
    <row r="97" spans="1:6" ht="17.399999999999999">
      <c r="A97" s="132"/>
      <c r="B97" s="494" t="s">
        <v>123</v>
      </c>
      <c r="C97" s="493"/>
      <c r="D97" s="493"/>
      <c r="E97" s="493"/>
      <c r="F97" s="493"/>
    </row>
    <row r="98" spans="1:6" ht="17.399999999999999">
      <c r="A98" s="132"/>
      <c r="B98" s="494" t="s">
        <v>124</v>
      </c>
      <c r="C98" s="493"/>
      <c r="D98" s="135"/>
      <c r="E98" s="135"/>
      <c r="F98" s="135"/>
    </row>
    <row r="99" spans="1:6" ht="17.399999999999999">
      <c r="A99" s="132"/>
      <c r="B99" s="494" t="s">
        <v>125</v>
      </c>
      <c r="C99" s="493"/>
      <c r="D99" s="493"/>
      <c r="E99" s="135"/>
      <c r="F99" s="135"/>
    </row>
    <row r="100" spans="1:6" ht="17.399999999999999">
      <c r="A100" s="132"/>
      <c r="B100" s="494" t="s">
        <v>126</v>
      </c>
      <c r="C100" s="493"/>
      <c r="D100" s="493"/>
      <c r="E100" s="493"/>
      <c r="F100" s="493"/>
    </row>
    <row r="101" spans="1:6" ht="17.399999999999999">
      <c r="A101" s="132"/>
      <c r="B101" s="494" t="s">
        <v>127</v>
      </c>
      <c r="C101" s="493"/>
      <c r="D101" s="135"/>
      <c r="E101" s="135"/>
      <c r="F101" s="135"/>
    </row>
    <row r="102" spans="1:6" ht="17.399999999999999">
      <c r="A102" s="132"/>
      <c r="B102" s="494" t="s">
        <v>128</v>
      </c>
      <c r="C102" s="493"/>
      <c r="D102" s="135"/>
      <c r="E102" s="135"/>
      <c r="F102" s="135"/>
    </row>
    <row r="103" spans="1:6" ht="17.399999999999999">
      <c r="A103" s="132"/>
      <c r="B103" s="494" t="s">
        <v>129</v>
      </c>
      <c r="C103" s="493"/>
      <c r="D103" s="135"/>
      <c r="E103" s="135"/>
      <c r="F103" s="135"/>
    </row>
    <row r="104" spans="1:6" ht="17.399999999999999">
      <c r="A104" s="132"/>
      <c r="B104" s="136" t="s">
        <v>130</v>
      </c>
      <c r="C104" s="132"/>
      <c r="D104" s="135"/>
      <c r="E104" s="135"/>
      <c r="F104" s="135"/>
    </row>
    <row r="105" spans="1:6" ht="17.399999999999999">
      <c r="A105" s="132"/>
      <c r="B105" s="494" t="s">
        <v>131</v>
      </c>
      <c r="C105" s="493"/>
      <c r="D105" s="493"/>
      <c r="E105" s="493"/>
      <c r="F105" s="493"/>
    </row>
    <row r="106" spans="1:6" ht="17.399999999999999">
      <c r="A106" s="132"/>
      <c r="B106" s="494" t="s">
        <v>132</v>
      </c>
      <c r="C106" s="493"/>
      <c r="D106" s="135"/>
      <c r="E106" s="135"/>
      <c r="F106" s="135"/>
    </row>
    <row r="107" spans="1:6" ht="17.399999999999999">
      <c r="A107" s="132"/>
      <c r="B107" s="136"/>
      <c r="C107" s="132"/>
      <c r="D107" s="135"/>
      <c r="E107" s="135"/>
      <c r="F107" s="135"/>
    </row>
    <row r="108" spans="1:6" ht="17.399999999999999">
      <c r="A108" s="132"/>
      <c r="B108" s="136"/>
      <c r="C108" s="132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41" t="s">
        <v>133</v>
      </c>
      <c r="C126" s="28" t="s">
        <v>134</v>
      </c>
      <c r="D126" s="19"/>
      <c r="E126" s="19"/>
      <c r="F126" s="142"/>
    </row>
    <row r="127" spans="1:6" ht="17.399999999999999">
      <c r="A127" s="132"/>
      <c r="B127" s="143" t="s">
        <v>136</v>
      </c>
      <c r="C127" s="144"/>
      <c r="D127" s="147"/>
      <c r="E127" s="147"/>
      <c r="F127" s="148"/>
    </row>
    <row r="128" spans="1:6" ht="17.399999999999999">
      <c r="A128" s="132"/>
      <c r="B128" s="143" t="s">
        <v>137</v>
      </c>
      <c r="C128" s="150"/>
      <c r="D128" s="147"/>
      <c r="E128" s="147"/>
      <c r="F128" s="148"/>
    </row>
    <row r="129" spans="1:6" ht="17.399999999999999">
      <c r="A129" s="132"/>
      <c r="B129" s="143" t="s">
        <v>138</v>
      </c>
      <c r="C129" s="150"/>
      <c r="D129" s="147"/>
      <c r="E129" s="147"/>
      <c r="F129" s="148"/>
    </row>
    <row r="130" spans="1:6" ht="17.399999999999999">
      <c r="A130" s="132"/>
      <c r="B130" s="152" t="s">
        <v>139</v>
      </c>
      <c r="C130" s="153"/>
      <c r="D130" s="157"/>
      <c r="E130" s="157"/>
      <c r="F130" s="158"/>
    </row>
    <row r="131" spans="1:6" ht="17.399999999999999">
      <c r="A131" s="132"/>
      <c r="B131" s="136"/>
      <c r="C131" s="132"/>
      <c r="D131" s="135"/>
      <c r="E131" s="135"/>
      <c r="F131" s="135"/>
    </row>
    <row r="132" spans="1:6" ht="17.399999999999999">
      <c r="A132" s="132"/>
      <c r="B132" s="141" t="s">
        <v>133</v>
      </c>
      <c r="C132" s="17" t="s">
        <v>140</v>
      </c>
      <c r="D132" s="19"/>
      <c r="E132" s="19"/>
      <c r="F132" s="19"/>
    </row>
    <row r="133" spans="1:6" ht="17.399999999999999">
      <c r="A133" s="132"/>
      <c r="B133" s="141" t="s">
        <v>141</v>
      </c>
      <c r="C133" s="27"/>
      <c r="D133" s="19"/>
      <c r="E133" s="19"/>
      <c r="F133" s="19"/>
    </row>
    <row r="134" spans="1:6" ht="17.399999999999999">
      <c r="A134" s="132"/>
      <c r="B134" s="143" t="s">
        <v>142</v>
      </c>
      <c r="C134" s="144"/>
      <c r="D134" s="147"/>
      <c r="E134" s="147"/>
      <c r="F134" s="147"/>
    </row>
    <row r="135" spans="1:6" ht="17.399999999999999">
      <c r="A135" s="132"/>
      <c r="B135" s="143" t="s">
        <v>137</v>
      </c>
      <c r="C135" s="144"/>
      <c r="D135" s="147"/>
      <c r="E135" s="147"/>
      <c r="F135" s="147"/>
    </row>
    <row r="136" spans="1:6" ht="17.399999999999999">
      <c r="A136" s="132"/>
      <c r="B136" s="143" t="s">
        <v>138</v>
      </c>
      <c r="C136" s="144"/>
      <c r="D136" s="147"/>
      <c r="E136" s="147"/>
      <c r="F136" s="147"/>
    </row>
    <row r="137" spans="1:6" ht="17.399999999999999">
      <c r="A137" s="132"/>
      <c r="B137" s="143" t="s">
        <v>139</v>
      </c>
      <c r="C137" s="144"/>
      <c r="D137" s="147"/>
      <c r="E137" s="147"/>
      <c r="F137" s="147"/>
    </row>
    <row r="138" spans="1:6" ht="17.399999999999999">
      <c r="A138" s="132"/>
      <c r="B138" s="136"/>
      <c r="C138" s="132"/>
      <c r="D138" s="135"/>
      <c r="E138" s="135"/>
      <c r="F138" s="135"/>
    </row>
    <row r="139" spans="1:6" ht="17.399999999999999">
      <c r="A139" s="132"/>
      <c r="B139" s="136"/>
      <c r="C139" s="132"/>
      <c r="D139" s="135"/>
      <c r="E139" s="135"/>
      <c r="F139" s="135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4"/>
      <c r="E143" s="134"/>
      <c r="F143" s="134"/>
    </row>
    <row r="144" spans="1:6" ht="17.399999999999999">
      <c r="A144" s="8">
        <v>3</v>
      </c>
      <c r="B144" s="28" t="s">
        <v>143</v>
      </c>
      <c r="C144" s="28" t="s">
        <v>144</v>
      </c>
      <c r="D144" s="19"/>
      <c r="E144" s="19"/>
      <c r="F144" s="19"/>
    </row>
    <row r="145" spans="1:6" ht="17.399999999999999">
      <c r="A145" s="132"/>
      <c r="B145" s="136"/>
      <c r="C145" s="132"/>
      <c r="D145" s="134"/>
      <c r="E145" s="134"/>
      <c r="F145" s="134"/>
    </row>
    <row r="146" spans="1:6" ht="17.399999999999999">
      <c r="A146" s="162"/>
      <c r="B146" s="163" t="s">
        <v>147</v>
      </c>
      <c r="C146" s="28"/>
      <c r="D146" s="19"/>
      <c r="E146" s="19"/>
      <c r="F146" s="19"/>
    </row>
    <row r="147" spans="1:6" ht="17.399999999999999">
      <c r="A147" s="8">
        <v>4</v>
      </c>
      <c r="B147" s="28" t="s">
        <v>148</v>
      </c>
      <c r="C147" s="28" t="s">
        <v>149</v>
      </c>
      <c r="D147" s="166"/>
      <c r="E147" s="166"/>
      <c r="F147" s="166"/>
    </row>
    <row r="148" spans="1:6" ht="17.399999999999999">
      <c r="A148" s="132"/>
      <c r="B148" s="495" t="s">
        <v>150</v>
      </c>
      <c r="C148" s="493"/>
      <c r="D148" s="493"/>
      <c r="E148" s="493"/>
      <c r="F148" s="134"/>
    </row>
    <row r="149" spans="1:6" ht="17.399999999999999">
      <c r="A149" s="132"/>
      <c r="B149" s="492" t="s">
        <v>151</v>
      </c>
      <c r="C149" s="493"/>
      <c r="D149" s="134"/>
      <c r="E149" s="134"/>
      <c r="F149" s="134"/>
    </row>
    <row r="150" spans="1:6" ht="17.399999999999999">
      <c r="A150" s="132"/>
      <c r="B150" s="492" t="s">
        <v>152</v>
      </c>
      <c r="C150" s="493"/>
      <c r="D150" s="134"/>
      <c r="E150" s="134"/>
      <c r="F150" s="134"/>
    </row>
    <row r="151" spans="1:6" ht="17.399999999999999">
      <c r="A151" s="132"/>
      <c r="B151" s="492" t="s">
        <v>153</v>
      </c>
      <c r="C151" s="493"/>
      <c r="D151" s="134"/>
      <c r="E151" s="134"/>
      <c r="F151" s="134"/>
    </row>
    <row r="152" spans="1:6" ht="17.399999999999999">
      <c r="A152" s="132"/>
      <c r="B152" s="492" t="s">
        <v>154</v>
      </c>
      <c r="C152" s="493"/>
      <c r="D152" s="134"/>
      <c r="E152" s="134"/>
      <c r="F152" s="134"/>
    </row>
    <row r="153" spans="1:6" ht="17.399999999999999">
      <c r="A153" s="132"/>
      <c r="B153" s="136"/>
      <c r="C153" s="132"/>
      <c r="D153" s="134"/>
      <c r="E153" s="134"/>
      <c r="F153" s="134"/>
    </row>
    <row r="154" spans="1:6" ht="17.399999999999999">
      <c r="A154" s="132"/>
      <c r="B154" s="136"/>
      <c r="C154" s="132"/>
      <c r="D154" s="134"/>
      <c r="E154" s="134"/>
      <c r="F154" s="134"/>
    </row>
    <row r="155" spans="1:6" ht="17.399999999999999">
      <c r="A155" s="132"/>
      <c r="B155" s="132"/>
      <c r="C155" s="132"/>
      <c r="D155" s="134"/>
      <c r="E155" s="134"/>
      <c r="F155" s="134"/>
    </row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mergeCells count="24">
    <mergeCell ref="A1:F1"/>
    <mergeCell ref="A2:F2"/>
    <mergeCell ref="A3:F3"/>
    <mergeCell ref="D4:F4"/>
    <mergeCell ref="B101:C101"/>
    <mergeCell ref="B89:D89"/>
    <mergeCell ref="B90:C90"/>
    <mergeCell ref="B91:C91"/>
    <mergeCell ref="B94:E94"/>
    <mergeCell ref="B95:E95"/>
    <mergeCell ref="B96:C96"/>
    <mergeCell ref="B97:F97"/>
    <mergeCell ref="B98:C98"/>
    <mergeCell ref="B99:D99"/>
    <mergeCell ref="B100:F100"/>
    <mergeCell ref="B150:C150"/>
    <mergeCell ref="B151:C151"/>
    <mergeCell ref="B152:C152"/>
    <mergeCell ref="B102:C102"/>
    <mergeCell ref="B103:C103"/>
    <mergeCell ref="B105:F105"/>
    <mergeCell ref="B106:C106"/>
    <mergeCell ref="B148:E148"/>
    <mergeCell ref="B149:C149"/>
  </mergeCells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E9D0-D3F6-4079-9D67-AF9B97C1FBA3}">
  <sheetPr>
    <tabColor rgb="FF92D050"/>
  </sheetPr>
  <dimension ref="A1:G912"/>
  <sheetViews>
    <sheetView zoomScale="80" zoomScaleNormal="80" workbookViewId="0">
      <pane ySplit="6" topLeftCell="A7" activePane="bottomLeft" state="frozen"/>
      <selection pane="bottomLeft" activeCell="A4" sqref="A4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256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121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125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8A39-1F97-4A9E-8DBC-BCF610AFFB11}">
  <sheetPr>
    <tabColor rgb="FF92D050"/>
  </sheetPr>
  <dimension ref="A1:F912"/>
  <sheetViews>
    <sheetView zoomScale="80" zoomScaleNormal="80" workbookViewId="0">
      <pane ySplit="6" topLeftCell="A7" activePane="bottomLeft" state="frozen"/>
      <selection pane="bottomLeft" activeCell="J27" sqref="J27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256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6" ht="15.75" customHeight="1">
      <c r="A5" s="3"/>
      <c r="B5" s="4"/>
      <c r="C5" s="4"/>
      <c r="D5" s="4" t="s">
        <v>10</v>
      </c>
      <c r="E5" s="4" t="s">
        <v>11</v>
      </c>
      <c r="F5" s="4"/>
    </row>
    <row r="6" spans="1:6" ht="15.75" customHeight="1">
      <c r="A6" s="8"/>
      <c r="B6" s="4" t="s">
        <v>21</v>
      </c>
      <c r="C6" s="4"/>
      <c r="D6" s="4"/>
      <c r="E6" s="4"/>
      <c r="F6" s="3" t="s">
        <v>19</v>
      </c>
    </row>
    <row r="7" spans="1:6" ht="17.399999999999999">
      <c r="A7" s="8"/>
      <c r="B7" s="17"/>
      <c r="C7" s="15"/>
      <c r="D7" s="17"/>
      <c r="E7" s="6"/>
      <c r="F7" s="16"/>
    </row>
    <row r="8" spans="1:6" ht="17.399999999999999">
      <c r="A8" s="8"/>
      <c r="B8" s="28"/>
      <c r="C8" s="28"/>
      <c r="D8" s="17"/>
      <c r="E8" s="6"/>
      <c r="F8" s="120"/>
    </row>
    <row r="9" spans="1:6" ht="17.399999999999999">
      <c r="A9" s="8"/>
      <c r="B9" s="28"/>
      <c r="C9" s="28"/>
      <c r="D9" s="17"/>
      <c r="E9" s="6"/>
      <c r="F9" s="16"/>
    </row>
    <row r="10" spans="1:6" ht="18" thickBot="1">
      <c r="A10" s="8"/>
      <c r="B10" s="22" t="s">
        <v>19</v>
      </c>
      <c r="C10" s="23"/>
      <c r="D10" s="24"/>
      <c r="E10" s="24"/>
      <c r="F10" s="121">
        <v>0</v>
      </c>
    </row>
    <row r="11" spans="1:6" ht="18.600000000000001" thickTop="1" thickBot="1">
      <c r="A11" s="122"/>
      <c r="B11" s="123" t="s">
        <v>111</v>
      </c>
      <c r="C11" s="124"/>
      <c r="D11" s="126"/>
      <c r="E11" s="126"/>
      <c r="F11" s="125">
        <v>0</v>
      </c>
    </row>
    <row r="12" spans="1:6" ht="18" thickTop="1">
      <c r="A12" s="1"/>
      <c r="B12" s="131"/>
      <c r="C12" s="132"/>
      <c r="D12" s="132"/>
      <c r="E12" s="132"/>
      <c r="F12" s="132"/>
    </row>
    <row r="13" spans="1:6" ht="17.399999999999999">
      <c r="A13" s="132"/>
      <c r="B13" s="131"/>
      <c r="C13" s="132"/>
      <c r="D13" s="132"/>
      <c r="E13" s="1"/>
    </row>
    <row r="14" spans="1:6" ht="17.399999999999999">
      <c r="A14" s="132"/>
      <c r="B14" s="131"/>
      <c r="C14" s="132"/>
      <c r="D14" s="132"/>
      <c r="E14" s="1"/>
      <c r="F14" s="131"/>
    </row>
    <row r="15" spans="1:6" ht="17.399999999999999">
      <c r="A15" s="132"/>
      <c r="B15" s="131"/>
      <c r="C15" s="132"/>
      <c r="D15" s="132"/>
      <c r="E15" s="1"/>
      <c r="F15" s="131"/>
    </row>
    <row r="16" spans="1:6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F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BD48-9594-4C55-B2FF-8C82D93B4D2F}">
  <sheetPr>
    <tabColor rgb="FFFFFF00"/>
  </sheetPr>
  <dimension ref="A1:T1004"/>
  <sheetViews>
    <sheetView zoomScale="70" zoomScaleNormal="70" workbookViewId="0">
      <pane ySplit="6" topLeftCell="A73" activePane="bottomLeft" state="frozen"/>
      <selection pane="bottomLeft" activeCell="D102" sqref="D102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206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36</v>
      </c>
      <c r="C26" s="47" t="s">
        <v>37</v>
      </c>
      <c r="D26" s="48">
        <v>6000</v>
      </c>
      <c r="E26" s="49"/>
      <c r="F26" s="49"/>
      <c r="G26" s="49"/>
      <c r="H26" s="49"/>
      <c r="I26" s="49"/>
      <c r="J26" s="49"/>
      <c r="K26" s="50">
        <v>25173</v>
      </c>
      <c r="L26" s="51" t="s">
        <v>207</v>
      </c>
      <c r="M26" s="52">
        <v>6000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29</v>
      </c>
      <c r="C27" s="173" t="s">
        <v>34</v>
      </c>
      <c r="D27" s="174">
        <v>11770</v>
      </c>
      <c r="E27" s="49"/>
      <c r="F27" s="49"/>
      <c r="G27" s="49"/>
      <c r="H27" s="49"/>
      <c r="I27" s="49"/>
      <c r="J27" s="49"/>
      <c r="K27" s="50">
        <v>25173</v>
      </c>
      <c r="L27" s="51" t="s">
        <v>208</v>
      </c>
      <c r="M27" s="52">
        <v>11770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34</v>
      </c>
      <c r="D28" s="48">
        <v>2500</v>
      </c>
      <c r="E28" s="49"/>
      <c r="F28" s="49"/>
      <c r="G28" s="49"/>
      <c r="H28" s="49"/>
      <c r="I28" s="49"/>
      <c r="J28" s="49"/>
      <c r="K28" s="50">
        <v>25173</v>
      </c>
      <c r="L28" s="51" t="s">
        <v>209</v>
      </c>
      <c r="M28" s="52">
        <v>2500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29</v>
      </c>
      <c r="C29" s="47" t="s">
        <v>32</v>
      </c>
      <c r="D29" s="48">
        <v>1000</v>
      </c>
      <c r="E29" s="49"/>
      <c r="F29" s="49"/>
      <c r="G29" s="49"/>
      <c r="H29" s="49"/>
      <c r="I29" s="49"/>
      <c r="J29" s="49"/>
      <c r="K29" s="50">
        <v>25173</v>
      </c>
      <c r="L29" s="51" t="s">
        <v>210</v>
      </c>
      <c r="M29" s="52">
        <v>1000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39</v>
      </c>
      <c r="C30" s="47" t="s">
        <v>37</v>
      </c>
      <c r="D30" s="48">
        <v>25000</v>
      </c>
      <c r="E30" s="49"/>
      <c r="F30" s="49"/>
      <c r="G30" s="49"/>
      <c r="H30" s="49"/>
      <c r="I30" s="49"/>
      <c r="J30" s="49"/>
      <c r="K30" s="50">
        <v>25174</v>
      </c>
      <c r="L30" s="51" t="s">
        <v>211</v>
      </c>
      <c r="M30" s="52">
        <v>25000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30</v>
      </c>
      <c r="D31" s="48">
        <v>11770</v>
      </c>
      <c r="E31" s="49"/>
      <c r="F31" s="49"/>
      <c r="G31" s="49"/>
      <c r="H31" s="49"/>
      <c r="I31" s="49"/>
      <c r="J31" s="49"/>
      <c r="K31" s="50">
        <v>25180</v>
      </c>
      <c r="L31" s="51" t="s">
        <v>212</v>
      </c>
      <c r="M31" s="52">
        <v>11770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34</v>
      </c>
      <c r="D32" s="48">
        <v>2500</v>
      </c>
      <c r="E32" s="49"/>
      <c r="F32" s="49"/>
      <c r="G32" s="49"/>
      <c r="H32" s="49"/>
      <c r="I32" s="49"/>
      <c r="J32" s="49"/>
      <c r="K32" s="50">
        <v>25180</v>
      </c>
      <c r="L32" s="51" t="s">
        <v>213</v>
      </c>
      <c r="M32" s="52">
        <v>2500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32</v>
      </c>
      <c r="D33" s="48">
        <v>1000</v>
      </c>
      <c r="E33" s="49"/>
      <c r="F33" s="49"/>
      <c r="G33" s="49"/>
      <c r="H33" s="49"/>
      <c r="I33" s="49"/>
      <c r="J33" s="49"/>
      <c r="K33" s="50">
        <v>25180</v>
      </c>
      <c r="L33" s="51" t="s">
        <v>214</v>
      </c>
      <c r="M33" s="52">
        <v>1000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30</v>
      </c>
      <c r="D34" s="48">
        <v>11770</v>
      </c>
      <c r="E34" s="49"/>
      <c r="F34" s="49"/>
      <c r="G34" s="49"/>
      <c r="H34" s="49"/>
      <c r="I34" s="49"/>
      <c r="J34" s="49"/>
      <c r="K34" s="50">
        <v>25187</v>
      </c>
      <c r="L34" s="51" t="s">
        <v>215</v>
      </c>
      <c r="M34" s="52">
        <v>11770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34</v>
      </c>
      <c r="D35" s="48">
        <v>2500</v>
      </c>
      <c r="E35" s="49"/>
      <c r="F35" s="49"/>
      <c r="G35" s="49"/>
      <c r="H35" s="49"/>
      <c r="I35" s="49"/>
      <c r="J35" s="49"/>
      <c r="K35" s="50">
        <v>25187</v>
      </c>
      <c r="L35" s="51" t="s">
        <v>216</v>
      </c>
      <c r="M35" s="52">
        <v>2500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32</v>
      </c>
      <c r="D36" s="48">
        <v>1000</v>
      </c>
      <c r="E36" s="49"/>
      <c r="F36" s="49"/>
      <c r="G36" s="49"/>
      <c r="H36" s="49"/>
      <c r="I36" s="49"/>
      <c r="J36" s="49"/>
      <c r="K36" s="50">
        <v>25187</v>
      </c>
      <c r="L36" s="51" t="s">
        <v>217</v>
      </c>
      <c r="M36" s="52">
        <v>1000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30</v>
      </c>
      <c r="D37" s="56">
        <v>11770</v>
      </c>
      <c r="E37" s="49"/>
      <c r="F37" s="49"/>
      <c r="G37" s="49"/>
      <c r="H37" s="49"/>
      <c r="I37" s="49"/>
      <c r="J37" s="49"/>
      <c r="K37" s="57">
        <v>25194</v>
      </c>
      <c r="L37" s="51" t="s">
        <v>218</v>
      </c>
      <c r="M37" s="58">
        <v>11770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34</v>
      </c>
      <c r="D38" s="56">
        <v>1000</v>
      </c>
      <c r="E38" s="49"/>
      <c r="F38" s="49"/>
      <c r="G38" s="49"/>
      <c r="H38" s="49"/>
      <c r="I38" s="49"/>
      <c r="J38" s="49"/>
      <c r="K38" s="57">
        <v>25194</v>
      </c>
      <c r="L38" s="51" t="s">
        <v>219</v>
      </c>
      <c r="M38" s="58">
        <v>1000</v>
      </c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32</v>
      </c>
      <c r="D39" s="56">
        <v>2500</v>
      </c>
      <c r="E39" s="49"/>
      <c r="F39" s="49"/>
      <c r="G39" s="49"/>
      <c r="H39" s="49"/>
      <c r="I39" s="49"/>
      <c r="J39" s="49"/>
      <c r="K39" s="57">
        <v>25194</v>
      </c>
      <c r="L39" s="51" t="s">
        <v>220</v>
      </c>
      <c r="M39" s="58">
        <v>2500</v>
      </c>
      <c r="N39" s="47"/>
      <c r="O39" s="46"/>
      <c r="P39" s="46"/>
      <c r="Q39" s="46"/>
      <c r="R39" s="46"/>
      <c r="S39" s="49"/>
    </row>
    <row r="40" spans="1:19" ht="23.4">
      <c r="A40" s="46"/>
      <c r="B40" s="55"/>
      <c r="C40" s="55"/>
      <c r="D40" s="56"/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92080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92080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25191</v>
      </c>
      <c r="L45" s="77" t="s">
        <v>221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25187</v>
      </c>
      <c r="L46" s="77" t="s">
        <v>222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25192</v>
      </c>
      <c r="L47" s="77" t="s">
        <v>223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25173</v>
      </c>
      <c r="L70" s="77" t="s">
        <v>224</v>
      </c>
      <c r="M70" s="11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400</v>
      </c>
      <c r="E71" s="68"/>
      <c r="F71" s="68"/>
      <c r="G71" s="68"/>
      <c r="H71" s="68"/>
      <c r="I71" s="68"/>
      <c r="J71" s="68"/>
      <c r="K71" s="108">
        <v>25180</v>
      </c>
      <c r="L71" s="77" t="s">
        <v>225</v>
      </c>
      <c r="M71" s="111">
        <v>400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25187</v>
      </c>
      <c r="L72" s="77" t="s">
        <v>226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25194</v>
      </c>
      <c r="L73" s="77" t="s">
        <v>227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/>
      <c r="B74" s="75"/>
      <c r="C74" s="71"/>
      <c r="D74" s="110"/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1600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1600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3969.7</v>
      </c>
      <c r="E81" s="75"/>
      <c r="F81" s="72"/>
      <c r="G81" s="72"/>
      <c r="H81" s="72" t="s">
        <v>22</v>
      </c>
      <c r="I81" s="72" t="s">
        <v>22</v>
      </c>
      <c r="J81" s="68" t="s">
        <v>22</v>
      </c>
      <c r="K81" s="76">
        <v>25173</v>
      </c>
      <c r="L81" s="77" t="s">
        <v>228</v>
      </c>
      <c r="M81" s="78">
        <v>3969.7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4996.8999999999996</v>
      </c>
      <c r="E82" s="75"/>
      <c r="F82" s="72"/>
      <c r="G82" s="72"/>
      <c r="H82" s="72"/>
      <c r="I82" s="72" t="s">
        <v>22</v>
      </c>
      <c r="J82" s="68" t="s">
        <v>22</v>
      </c>
      <c r="K82" s="76">
        <v>25180</v>
      </c>
      <c r="L82" s="77" t="s">
        <v>229</v>
      </c>
      <c r="M82" s="78">
        <v>4996.8999999999996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4162.3</v>
      </c>
      <c r="E83" s="75"/>
      <c r="F83" s="72"/>
      <c r="G83" s="72"/>
      <c r="H83" s="72"/>
      <c r="I83" s="72"/>
      <c r="J83" s="68"/>
      <c r="K83" s="76">
        <v>25187</v>
      </c>
      <c r="L83" s="77" t="s">
        <v>230</v>
      </c>
      <c r="M83" s="78">
        <v>4162.3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3862.7</v>
      </c>
      <c r="E84" s="75"/>
      <c r="F84" s="72"/>
      <c r="G84" s="72"/>
      <c r="H84" s="72"/>
      <c r="I84" s="72"/>
      <c r="J84" s="68"/>
      <c r="K84" s="76">
        <v>25194</v>
      </c>
      <c r="L84" s="77" t="s">
        <v>231</v>
      </c>
      <c r="M84" s="78">
        <v>3862.7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/>
      <c r="E85" s="75"/>
      <c r="F85" s="72"/>
      <c r="G85" s="72"/>
      <c r="H85" s="72"/>
      <c r="I85" s="72"/>
      <c r="J85" s="68"/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16991.599999999999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16991.599999999999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SUM(D43+D48+D76+D86)</f>
        <v>113881.60000000001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SUM(M43+M48+M61+M76+M86)</f>
        <v>113881.60000000001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7" right="0.7" top="0.75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58D2-3244-4C59-8D20-157902572054}">
  <sheetPr>
    <tabColor rgb="FFFFFF00"/>
  </sheetPr>
  <dimension ref="A1:G940"/>
  <sheetViews>
    <sheetView zoomScale="70" zoomScaleNormal="70" workbookViewId="0">
      <pane ySplit="5" topLeftCell="A19" activePane="bottomLeft" state="frozen"/>
      <selection pane="bottomLeft" activeCell="J32" sqref="J32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206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22.5" customHeight="1">
      <c r="A6" s="13"/>
      <c r="B6" s="39" t="s">
        <v>28</v>
      </c>
      <c r="C6" s="40"/>
      <c r="D6" s="42"/>
      <c r="E6" s="43"/>
      <c r="F6" s="43"/>
    </row>
    <row r="7" spans="1:6" ht="20.25" customHeight="1">
      <c r="A7" s="46">
        <v>1</v>
      </c>
      <c r="B7" s="47" t="s">
        <v>36</v>
      </c>
      <c r="C7" s="47" t="s">
        <v>37</v>
      </c>
      <c r="D7" s="50">
        <v>25173</v>
      </c>
      <c r="E7" s="51" t="s">
        <v>207</v>
      </c>
      <c r="F7" s="52">
        <v>6000</v>
      </c>
    </row>
    <row r="8" spans="1:6" ht="22.5" customHeight="1">
      <c r="A8" s="46">
        <v>2</v>
      </c>
      <c r="B8" s="173" t="s">
        <v>29</v>
      </c>
      <c r="C8" s="173" t="s">
        <v>34</v>
      </c>
      <c r="D8" s="50">
        <v>25173</v>
      </c>
      <c r="E8" s="51" t="s">
        <v>208</v>
      </c>
      <c r="F8" s="52">
        <v>11770</v>
      </c>
    </row>
    <row r="9" spans="1:6" ht="17.399999999999999">
      <c r="A9" s="46">
        <v>3</v>
      </c>
      <c r="B9" s="47" t="s">
        <v>29</v>
      </c>
      <c r="C9" s="47" t="s">
        <v>34</v>
      </c>
      <c r="D9" s="50">
        <v>25173</v>
      </c>
      <c r="E9" s="51" t="s">
        <v>209</v>
      </c>
      <c r="F9" s="52">
        <v>2500</v>
      </c>
    </row>
    <row r="10" spans="1:6" ht="17.399999999999999">
      <c r="A10" s="46">
        <v>4</v>
      </c>
      <c r="B10" s="47" t="s">
        <v>29</v>
      </c>
      <c r="C10" s="47" t="s">
        <v>32</v>
      </c>
      <c r="D10" s="50">
        <v>25173</v>
      </c>
      <c r="E10" s="51" t="s">
        <v>210</v>
      </c>
      <c r="F10" s="52">
        <v>1000</v>
      </c>
    </row>
    <row r="11" spans="1:6" ht="17.399999999999999">
      <c r="A11" s="46">
        <v>5</v>
      </c>
      <c r="B11" s="47" t="s">
        <v>39</v>
      </c>
      <c r="C11" s="47" t="s">
        <v>37</v>
      </c>
      <c r="D11" s="50">
        <v>25174</v>
      </c>
      <c r="E11" s="51" t="s">
        <v>211</v>
      </c>
      <c r="F11" s="52">
        <v>25000</v>
      </c>
    </row>
    <row r="12" spans="1:6" ht="17.399999999999999">
      <c r="A12" s="46">
        <v>6</v>
      </c>
      <c r="B12" s="47" t="s">
        <v>29</v>
      </c>
      <c r="C12" s="47" t="s">
        <v>30</v>
      </c>
      <c r="D12" s="50">
        <v>25180</v>
      </c>
      <c r="E12" s="51" t="s">
        <v>212</v>
      </c>
      <c r="F12" s="52">
        <v>11770</v>
      </c>
    </row>
    <row r="13" spans="1:6" ht="17.399999999999999">
      <c r="A13" s="46">
        <v>7</v>
      </c>
      <c r="B13" s="47" t="s">
        <v>29</v>
      </c>
      <c r="C13" s="47" t="s">
        <v>34</v>
      </c>
      <c r="D13" s="50">
        <v>25180</v>
      </c>
      <c r="E13" s="51" t="s">
        <v>213</v>
      </c>
      <c r="F13" s="52">
        <v>2500</v>
      </c>
    </row>
    <row r="14" spans="1:6" ht="17.399999999999999">
      <c r="A14" s="46">
        <v>8</v>
      </c>
      <c r="B14" s="47" t="s">
        <v>29</v>
      </c>
      <c r="C14" s="47" t="s">
        <v>32</v>
      </c>
      <c r="D14" s="50">
        <v>25180</v>
      </c>
      <c r="E14" s="51" t="s">
        <v>214</v>
      </c>
      <c r="F14" s="52">
        <v>1000</v>
      </c>
    </row>
    <row r="15" spans="1:6" ht="17.399999999999999">
      <c r="A15" s="46">
        <v>9</v>
      </c>
      <c r="B15" s="47" t="s">
        <v>29</v>
      </c>
      <c r="C15" s="47" t="s">
        <v>30</v>
      </c>
      <c r="D15" s="50">
        <v>25187</v>
      </c>
      <c r="E15" s="51" t="s">
        <v>215</v>
      </c>
      <c r="F15" s="52">
        <v>11770</v>
      </c>
    </row>
    <row r="16" spans="1:6" ht="17.399999999999999">
      <c r="A16" s="46">
        <v>10</v>
      </c>
      <c r="B16" s="47" t="s">
        <v>29</v>
      </c>
      <c r="C16" s="47" t="s">
        <v>34</v>
      </c>
      <c r="D16" s="50">
        <v>25187</v>
      </c>
      <c r="E16" s="51" t="s">
        <v>216</v>
      </c>
      <c r="F16" s="52">
        <v>2500</v>
      </c>
    </row>
    <row r="17" spans="1:7" ht="17.399999999999999">
      <c r="A17" s="46">
        <v>11</v>
      </c>
      <c r="B17" s="47" t="s">
        <v>29</v>
      </c>
      <c r="C17" s="47" t="s">
        <v>32</v>
      </c>
      <c r="D17" s="50">
        <v>25187</v>
      </c>
      <c r="E17" s="51" t="s">
        <v>217</v>
      </c>
      <c r="F17" s="52">
        <v>1000</v>
      </c>
    </row>
    <row r="18" spans="1:7" ht="23.4">
      <c r="A18" s="46">
        <v>12</v>
      </c>
      <c r="B18" s="55" t="s">
        <v>29</v>
      </c>
      <c r="C18" s="55" t="s">
        <v>30</v>
      </c>
      <c r="D18" s="57">
        <v>25194</v>
      </c>
      <c r="E18" s="51" t="s">
        <v>218</v>
      </c>
      <c r="F18" s="58">
        <v>11770</v>
      </c>
    </row>
    <row r="19" spans="1:7" ht="23.4">
      <c r="A19" s="46">
        <v>13</v>
      </c>
      <c r="B19" s="55" t="s">
        <v>29</v>
      </c>
      <c r="C19" s="55" t="s">
        <v>34</v>
      </c>
      <c r="D19" s="57">
        <v>25194</v>
      </c>
      <c r="E19" s="51" t="s">
        <v>219</v>
      </c>
      <c r="F19" s="58">
        <v>1000</v>
      </c>
    </row>
    <row r="20" spans="1:7" ht="23.4">
      <c r="A20" s="46">
        <v>14</v>
      </c>
      <c r="B20" s="55" t="s">
        <v>29</v>
      </c>
      <c r="C20" s="55" t="s">
        <v>32</v>
      </c>
      <c r="D20" s="57">
        <v>25194</v>
      </c>
      <c r="E20" s="51" t="s">
        <v>220</v>
      </c>
      <c r="F20" s="58">
        <v>2500</v>
      </c>
    </row>
    <row r="21" spans="1:7" ht="18" thickBot="1">
      <c r="A21" s="46"/>
      <c r="B21" s="59" t="s">
        <v>19</v>
      </c>
      <c r="C21" s="60"/>
      <c r="D21" s="63"/>
      <c r="E21" s="63"/>
      <c r="F21" s="64">
        <v>92080</v>
      </c>
      <c r="G21" s="170">
        <f>SUM(F7:F20)</f>
        <v>92080</v>
      </c>
    </row>
    <row r="22" spans="1:7" ht="18" thickTop="1">
      <c r="A22" s="65"/>
      <c r="B22" s="66" t="s">
        <v>53</v>
      </c>
      <c r="C22" s="67"/>
      <c r="D22" s="69"/>
      <c r="E22" s="70"/>
      <c r="F22" s="70"/>
    </row>
    <row r="23" spans="1:7" ht="17.399999999999999">
      <c r="A23" s="73">
        <v>1</v>
      </c>
      <c r="B23" s="71" t="s">
        <v>54</v>
      </c>
      <c r="C23" s="71" t="s">
        <v>55</v>
      </c>
      <c r="D23" s="76">
        <v>25191</v>
      </c>
      <c r="E23" s="77" t="s">
        <v>221</v>
      </c>
      <c r="F23" s="78">
        <v>1070</v>
      </c>
    </row>
    <row r="24" spans="1:7" ht="17.399999999999999">
      <c r="A24" s="73">
        <v>2</v>
      </c>
      <c r="B24" s="71" t="s">
        <v>57</v>
      </c>
      <c r="C24" s="71" t="s">
        <v>55</v>
      </c>
      <c r="D24" s="76">
        <v>25187</v>
      </c>
      <c r="E24" s="77" t="s">
        <v>222</v>
      </c>
      <c r="F24" s="78">
        <v>1070</v>
      </c>
    </row>
    <row r="25" spans="1:7" ht="17.399999999999999">
      <c r="A25" s="79">
        <v>3</v>
      </c>
      <c r="B25" s="80" t="s">
        <v>59</v>
      </c>
      <c r="C25" s="81" t="s">
        <v>55</v>
      </c>
      <c r="D25" s="76">
        <v>25192</v>
      </c>
      <c r="E25" s="77" t="s">
        <v>223</v>
      </c>
      <c r="F25" s="78">
        <v>1070</v>
      </c>
    </row>
    <row r="26" spans="1:7" ht="21" thickBot="1">
      <c r="A26" s="65"/>
      <c r="B26" s="59" t="s">
        <v>19</v>
      </c>
      <c r="C26" s="60"/>
      <c r="D26" s="92"/>
      <c r="E26" s="93"/>
      <c r="F26" s="94">
        <v>3210</v>
      </c>
      <c r="G26" s="170">
        <f>SUM(F23:F25)</f>
        <v>3210</v>
      </c>
    </row>
    <row r="27" spans="1:7" ht="18" thickTop="1">
      <c r="A27" s="65"/>
      <c r="B27" s="66" t="s">
        <v>70</v>
      </c>
      <c r="C27" s="104"/>
      <c r="D27" s="106"/>
      <c r="E27" s="106"/>
      <c r="F27" s="106" t="s">
        <v>22</v>
      </c>
    </row>
    <row r="28" spans="1:7" ht="17.399999999999999">
      <c r="A28" s="65">
        <v>1</v>
      </c>
      <c r="B28" s="71" t="s">
        <v>75</v>
      </c>
      <c r="C28" s="71" t="s">
        <v>76</v>
      </c>
      <c r="D28" s="108">
        <v>25173</v>
      </c>
      <c r="E28" s="77" t="s">
        <v>224</v>
      </c>
      <c r="F28" s="111">
        <v>400</v>
      </c>
    </row>
    <row r="29" spans="1:7" ht="17.399999999999999">
      <c r="A29" s="65">
        <v>2</v>
      </c>
      <c r="B29" s="71" t="s">
        <v>75</v>
      </c>
      <c r="C29" s="71" t="s">
        <v>78</v>
      </c>
      <c r="D29" s="108">
        <v>25180</v>
      </c>
      <c r="E29" s="77" t="s">
        <v>225</v>
      </c>
      <c r="F29" s="111">
        <v>400</v>
      </c>
    </row>
    <row r="30" spans="1:7" ht="17.399999999999999">
      <c r="A30" s="65">
        <v>3</v>
      </c>
      <c r="B30" s="71" t="s">
        <v>75</v>
      </c>
      <c r="C30" s="71" t="s">
        <v>80</v>
      </c>
      <c r="D30" s="108">
        <v>25187</v>
      </c>
      <c r="E30" s="77" t="s">
        <v>226</v>
      </c>
      <c r="F30" s="111">
        <v>400</v>
      </c>
    </row>
    <row r="31" spans="1:7" ht="17.399999999999999">
      <c r="A31" s="65">
        <v>4</v>
      </c>
      <c r="B31" s="71" t="s">
        <v>75</v>
      </c>
      <c r="C31" s="71" t="s">
        <v>82</v>
      </c>
      <c r="D31" s="108">
        <v>25194</v>
      </c>
      <c r="E31" s="77" t="s">
        <v>227</v>
      </c>
      <c r="F31" s="111">
        <v>400</v>
      </c>
    </row>
    <row r="32" spans="1:7" ht="18" thickBot="1">
      <c r="A32" s="65"/>
      <c r="B32" s="59" t="s">
        <v>19</v>
      </c>
      <c r="C32" s="60"/>
      <c r="D32" s="115"/>
      <c r="E32" s="92"/>
      <c r="F32" s="94">
        <v>1600</v>
      </c>
      <c r="G32" s="171">
        <f>SUM(F28:F31)</f>
        <v>1600</v>
      </c>
    </row>
    <row r="33" spans="1:7" ht="18" thickTop="1">
      <c r="A33" s="65"/>
      <c r="B33" s="66" t="s">
        <v>86</v>
      </c>
      <c r="C33" s="67"/>
      <c r="D33" s="69"/>
      <c r="E33" s="70"/>
      <c r="F33" s="70"/>
    </row>
    <row r="34" spans="1:7" ht="17.399999999999999">
      <c r="A34" s="73">
        <v>1</v>
      </c>
      <c r="B34" s="71" t="s">
        <v>75</v>
      </c>
      <c r="C34" s="71" t="s">
        <v>91</v>
      </c>
      <c r="D34" s="76">
        <v>25173</v>
      </c>
      <c r="E34" s="77" t="s">
        <v>228</v>
      </c>
      <c r="F34" s="78">
        <v>3969.7</v>
      </c>
    </row>
    <row r="35" spans="1:7" ht="17.399999999999999">
      <c r="A35" s="73">
        <v>2</v>
      </c>
      <c r="B35" s="71" t="s">
        <v>75</v>
      </c>
      <c r="C35" s="71" t="s">
        <v>93</v>
      </c>
      <c r="D35" s="76">
        <v>25180</v>
      </c>
      <c r="E35" s="77" t="s">
        <v>229</v>
      </c>
      <c r="F35" s="78">
        <v>4996.8999999999996</v>
      </c>
    </row>
    <row r="36" spans="1:7" ht="17.399999999999999">
      <c r="A36" s="73">
        <v>3</v>
      </c>
      <c r="B36" s="71" t="s">
        <v>75</v>
      </c>
      <c r="C36" s="71" t="s">
        <v>95</v>
      </c>
      <c r="D36" s="76">
        <v>25187</v>
      </c>
      <c r="E36" s="77" t="s">
        <v>230</v>
      </c>
      <c r="F36" s="78">
        <v>4162.3</v>
      </c>
    </row>
    <row r="37" spans="1:7" ht="17.399999999999999">
      <c r="A37" s="73">
        <v>4</v>
      </c>
      <c r="B37" s="71" t="s">
        <v>75</v>
      </c>
      <c r="C37" s="71" t="s">
        <v>97</v>
      </c>
      <c r="D37" s="76">
        <v>25194</v>
      </c>
      <c r="E37" s="77" t="s">
        <v>231</v>
      </c>
      <c r="F37" s="78">
        <v>3862.7</v>
      </c>
    </row>
    <row r="38" spans="1:7" ht="18" thickBot="1">
      <c r="A38" s="65"/>
      <c r="B38" s="97" t="s">
        <v>19</v>
      </c>
      <c r="C38" s="98"/>
      <c r="D38" s="92"/>
      <c r="E38" s="92"/>
      <c r="F38" s="94">
        <v>16991.599999999999</v>
      </c>
      <c r="G38" s="170">
        <f>SUM(F34:F37)</f>
        <v>16991.599999999999</v>
      </c>
    </row>
    <row r="39" spans="1:7" ht="18.600000000000001" thickTop="1" thickBot="1">
      <c r="A39" s="122"/>
      <c r="B39" s="123" t="s">
        <v>111</v>
      </c>
      <c r="C39" s="124"/>
      <c r="D39" s="128"/>
      <c r="E39" s="129"/>
      <c r="F39" s="130">
        <v>113881.60000000001</v>
      </c>
      <c r="G39" s="175">
        <f>SUM(G21:G38)</f>
        <v>113881.60000000001</v>
      </c>
    </row>
    <row r="40" spans="1:7" ht="18" thickTop="1">
      <c r="A40" s="1"/>
      <c r="B40" s="131"/>
      <c r="C40" s="132"/>
      <c r="D40" s="133"/>
      <c r="E40" s="134"/>
      <c r="F40" s="134"/>
    </row>
    <row r="41" spans="1:7" ht="17.399999999999999">
      <c r="A41" s="132"/>
      <c r="B41" s="131"/>
      <c r="C41" s="132"/>
      <c r="D41" s="135"/>
      <c r="E41" s="135"/>
      <c r="F41" s="135"/>
    </row>
    <row r="42" spans="1:7" ht="17.399999999999999">
      <c r="A42" s="132"/>
      <c r="B42" s="131"/>
      <c r="C42" s="132"/>
      <c r="D42" s="135"/>
      <c r="E42" s="134"/>
      <c r="F42" s="135"/>
    </row>
    <row r="43" spans="1:7" ht="17.399999999999999">
      <c r="A43" s="132"/>
      <c r="B43" s="131"/>
      <c r="C43" s="132"/>
      <c r="D43" s="135"/>
      <c r="E43" s="134"/>
      <c r="F43" s="135"/>
    </row>
    <row r="44" spans="1:7" ht="17.399999999999999">
      <c r="A44" s="132"/>
      <c r="B44" s="131"/>
      <c r="C44" s="132"/>
      <c r="D44"/>
      <c r="E44" s="134"/>
      <c r="F44" s="135"/>
    </row>
    <row r="45" spans="1:7" ht="17.399999999999999">
      <c r="A45" s="132"/>
      <c r="B45" s="131"/>
      <c r="C45" s="132"/>
      <c r="D45" s="135"/>
      <c r="E45" s="134"/>
      <c r="F45" s="135"/>
    </row>
    <row r="46" spans="1:7" ht="17.399999999999999">
      <c r="A46" s="132"/>
      <c r="B46" s="131"/>
      <c r="C46" s="132"/>
      <c r="D46" s="135"/>
      <c r="E46" s="135"/>
      <c r="F46" s="135"/>
    </row>
    <row r="47" spans="1:7" ht="17.399999999999999">
      <c r="A47" s="132"/>
      <c r="B47" s="131"/>
      <c r="C47" s="132"/>
      <c r="D47" s="135"/>
      <c r="E47" s="135"/>
      <c r="F47" s="135"/>
    </row>
    <row r="48" spans="1:7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2"/>
      <c r="B59" s="131"/>
      <c r="C59" s="132"/>
      <c r="D59" s="135"/>
      <c r="E59" s="135"/>
      <c r="F59" s="135"/>
    </row>
    <row r="60" spans="1:6" ht="17.399999999999999">
      <c r="A60" s="136"/>
      <c r="B60" s="136"/>
      <c r="C60" s="136"/>
      <c r="D60" s="139"/>
      <c r="E60" s="139"/>
      <c r="F60" s="139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131"/>
      <c r="C89" s="132"/>
      <c r="D89" s="135"/>
      <c r="E89" s="135"/>
      <c r="F89" s="135"/>
    </row>
    <row r="90" spans="1:6" ht="17.399999999999999">
      <c r="A90" s="132"/>
      <c r="B90" s="494" t="s">
        <v>115</v>
      </c>
      <c r="C90" s="493"/>
      <c r="D90" s="493"/>
      <c r="E90" s="135"/>
      <c r="F90" s="135"/>
    </row>
    <row r="91" spans="1:6" ht="17.399999999999999">
      <c r="A91" s="132"/>
      <c r="B91" s="494" t="s">
        <v>116</v>
      </c>
      <c r="C91" s="493"/>
      <c r="D91" s="135"/>
      <c r="E91" s="135"/>
      <c r="F91" s="135"/>
    </row>
    <row r="92" spans="1:6" ht="17.399999999999999">
      <c r="A92" s="132"/>
      <c r="B92" s="494" t="s">
        <v>117</v>
      </c>
      <c r="C92" s="493"/>
      <c r="D92" s="135"/>
      <c r="E92" s="135"/>
      <c r="F92" s="135"/>
    </row>
    <row r="93" spans="1:6" ht="17.399999999999999">
      <c r="A93" s="132"/>
      <c r="B93" s="131"/>
      <c r="C93" s="132"/>
      <c r="D93" s="135"/>
      <c r="E93" s="135"/>
      <c r="F93" s="135"/>
    </row>
    <row r="94" spans="1:6" ht="20.399999999999999">
      <c r="A94" s="132"/>
      <c r="B94" s="140" t="s">
        <v>118</v>
      </c>
      <c r="C94" s="136" t="s">
        <v>119</v>
      </c>
      <c r="D94" s="134"/>
      <c r="E94" s="134"/>
      <c r="F94" s="134"/>
    </row>
    <row r="95" spans="1:6" ht="17.399999999999999">
      <c r="A95" s="132"/>
      <c r="B95" s="496" t="s">
        <v>120</v>
      </c>
      <c r="C95" s="493"/>
      <c r="D95" s="493"/>
      <c r="E95" s="493"/>
      <c r="F95" s="135"/>
    </row>
    <row r="96" spans="1:6" ht="17.399999999999999">
      <c r="A96" s="132"/>
      <c r="B96" s="494" t="s">
        <v>121</v>
      </c>
      <c r="C96" s="493"/>
      <c r="D96" s="493"/>
      <c r="E96" s="493"/>
      <c r="F96" s="135"/>
    </row>
    <row r="97" spans="1:6" ht="17.399999999999999">
      <c r="A97" s="132"/>
      <c r="B97" s="494" t="s">
        <v>122</v>
      </c>
      <c r="C97" s="493"/>
      <c r="D97" s="135"/>
      <c r="E97" s="135"/>
      <c r="F97" s="135"/>
    </row>
    <row r="98" spans="1:6" ht="17.399999999999999">
      <c r="A98" s="132"/>
      <c r="B98" s="494" t="s">
        <v>123</v>
      </c>
      <c r="C98" s="493"/>
      <c r="D98" s="493"/>
      <c r="E98" s="493"/>
      <c r="F98" s="493"/>
    </row>
    <row r="99" spans="1:6" ht="17.399999999999999">
      <c r="A99" s="132"/>
      <c r="B99" s="494" t="s">
        <v>124</v>
      </c>
      <c r="C99" s="493"/>
      <c r="D99" s="135"/>
      <c r="E99" s="135"/>
      <c r="F99" s="135"/>
    </row>
    <row r="100" spans="1:6" ht="17.399999999999999">
      <c r="A100" s="132"/>
      <c r="B100" s="494" t="s">
        <v>125</v>
      </c>
      <c r="C100" s="493"/>
      <c r="D100" s="493"/>
      <c r="E100" s="135"/>
      <c r="F100" s="135"/>
    </row>
    <row r="101" spans="1:6" ht="17.399999999999999">
      <c r="A101" s="132"/>
      <c r="B101" s="494" t="s">
        <v>126</v>
      </c>
      <c r="C101" s="493"/>
      <c r="D101" s="493"/>
      <c r="E101" s="493"/>
      <c r="F101" s="493"/>
    </row>
    <row r="102" spans="1:6" ht="17.399999999999999">
      <c r="A102" s="132"/>
      <c r="B102" s="494" t="s">
        <v>127</v>
      </c>
      <c r="C102" s="493"/>
      <c r="D102" s="135"/>
      <c r="E102" s="135"/>
      <c r="F102" s="135"/>
    </row>
    <row r="103" spans="1:6" ht="17.399999999999999">
      <c r="A103" s="132"/>
      <c r="B103" s="494" t="s">
        <v>128</v>
      </c>
      <c r="C103" s="493"/>
      <c r="D103" s="135"/>
      <c r="E103" s="135"/>
      <c r="F103" s="135"/>
    </row>
    <row r="104" spans="1:6" ht="17.399999999999999">
      <c r="A104" s="132"/>
      <c r="B104" s="494" t="s">
        <v>129</v>
      </c>
      <c r="C104" s="493"/>
      <c r="D104" s="135"/>
      <c r="E104" s="135"/>
      <c r="F104" s="135"/>
    </row>
    <row r="105" spans="1:6" ht="17.399999999999999">
      <c r="A105" s="132"/>
      <c r="B105" s="136" t="s">
        <v>130</v>
      </c>
      <c r="C105" s="132"/>
      <c r="D105" s="135"/>
      <c r="E105" s="135"/>
      <c r="F105" s="135"/>
    </row>
    <row r="106" spans="1:6" ht="17.399999999999999">
      <c r="A106" s="132"/>
      <c r="B106" s="494" t="s">
        <v>131</v>
      </c>
      <c r="C106" s="493"/>
      <c r="D106" s="493"/>
      <c r="E106" s="493"/>
      <c r="F106" s="493"/>
    </row>
    <row r="107" spans="1:6" ht="17.399999999999999">
      <c r="A107" s="132"/>
      <c r="B107" s="494" t="s">
        <v>132</v>
      </c>
      <c r="C107" s="493"/>
      <c r="D107" s="135"/>
      <c r="E107" s="135"/>
      <c r="F107" s="135"/>
    </row>
    <row r="108" spans="1:6" ht="17.399999999999999">
      <c r="A108" s="132"/>
      <c r="B108" s="136"/>
      <c r="C108" s="132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36"/>
      <c r="C126" s="132"/>
      <c r="D126" s="135"/>
      <c r="E126" s="135"/>
      <c r="F126" s="135"/>
    </row>
    <row r="127" spans="1:6" ht="17.399999999999999">
      <c r="A127" s="132"/>
      <c r="B127" s="141" t="s">
        <v>133</v>
      </c>
      <c r="C127" s="28" t="s">
        <v>134</v>
      </c>
      <c r="D127" s="19"/>
      <c r="E127" s="19"/>
      <c r="F127" s="142"/>
    </row>
    <row r="128" spans="1:6" ht="17.399999999999999">
      <c r="A128" s="132"/>
      <c r="B128" s="143" t="s">
        <v>136</v>
      </c>
      <c r="C128" s="144"/>
      <c r="D128" s="147"/>
      <c r="E128" s="147"/>
      <c r="F128" s="148"/>
    </row>
    <row r="129" spans="1:6" ht="17.399999999999999">
      <c r="A129" s="132"/>
      <c r="B129" s="143" t="s">
        <v>137</v>
      </c>
      <c r="C129" s="150"/>
      <c r="D129" s="147"/>
      <c r="E129" s="147"/>
      <c r="F129" s="148"/>
    </row>
    <row r="130" spans="1:6" ht="17.399999999999999">
      <c r="A130" s="132"/>
      <c r="B130" s="143" t="s">
        <v>138</v>
      </c>
      <c r="C130" s="150"/>
      <c r="D130" s="147"/>
      <c r="E130" s="147"/>
      <c r="F130" s="148"/>
    </row>
    <row r="131" spans="1:6" ht="17.399999999999999">
      <c r="A131" s="132"/>
      <c r="B131" s="152" t="s">
        <v>139</v>
      </c>
      <c r="C131" s="153"/>
      <c r="D131" s="157"/>
      <c r="E131" s="157"/>
      <c r="F131" s="158"/>
    </row>
    <row r="132" spans="1:6" ht="17.399999999999999">
      <c r="A132" s="132"/>
      <c r="B132" s="136"/>
      <c r="C132" s="132"/>
      <c r="D132" s="135"/>
      <c r="E132" s="135"/>
      <c r="F132" s="135"/>
    </row>
    <row r="133" spans="1:6" ht="17.399999999999999">
      <c r="A133" s="132"/>
      <c r="B133" s="141" t="s">
        <v>133</v>
      </c>
      <c r="C133" s="17" t="s">
        <v>140</v>
      </c>
      <c r="D133" s="19"/>
      <c r="E133" s="19"/>
      <c r="F133" s="19"/>
    </row>
    <row r="134" spans="1:6" ht="17.399999999999999">
      <c r="A134" s="132"/>
      <c r="B134" s="141" t="s">
        <v>141</v>
      </c>
      <c r="C134" s="27"/>
      <c r="D134" s="19"/>
      <c r="E134" s="19"/>
      <c r="F134" s="19"/>
    </row>
    <row r="135" spans="1:6" ht="17.399999999999999">
      <c r="A135" s="132"/>
      <c r="B135" s="143" t="s">
        <v>142</v>
      </c>
      <c r="C135" s="144"/>
      <c r="D135" s="147"/>
      <c r="E135" s="147"/>
      <c r="F135" s="147"/>
    </row>
    <row r="136" spans="1:6" ht="17.399999999999999">
      <c r="A136" s="132"/>
      <c r="B136" s="143" t="s">
        <v>137</v>
      </c>
      <c r="C136" s="144"/>
      <c r="D136" s="147"/>
      <c r="E136" s="147"/>
      <c r="F136" s="147"/>
    </row>
    <row r="137" spans="1:6" ht="17.399999999999999">
      <c r="A137" s="132"/>
      <c r="B137" s="143" t="s">
        <v>138</v>
      </c>
      <c r="C137" s="144"/>
      <c r="D137" s="147"/>
      <c r="E137" s="147"/>
      <c r="F137" s="147"/>
    </row>
    <row r="138" spans="1:6" ht="17.399999999999999">
      <c r="A138" s="132"/>
      <c r="B138" s="143" t="s">
        <v>139</v>
      </c>
      <c r="C138" s="144"/>
      <c r="D138" s="147"/>
      <c r="E138" s="147"/>
      <c r="F138" s="147"/>
    </row>
    <row r="139" spans="1:6" ht="17.399999999999999">
      <c r="A139" s="132"/>
      <c r="B139" s="136"/>
      <c r="C139" s="132"/>
      <c r="D139" s="135"/>
      <c r="E139" s="135"/>
      <c r="F139" s="135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5"/>
      <c r="E143" s="135"/>
      <c r="F143" s="135"/>
    </row>
    <row r="144" spans="1:6" ht="17.399999999999999">
      <c r="A144" s="132"/>
      <c r="B144" s="136"/>
      <c r="C144" s="132"/>
      <c r="D144" s="134"/>
      <c r="E144" s="134"/>
      <c r="F144" s="134"/>
    </row>
    <row r="145" spans="1:6" ht="17.399999999999999">
      <c r="A145" s="8">
        <v>3</v>
      </c>
      <c r="B145" s="28" t="s">
        <v>143</v>
      </c>
      <c r="C145" s="28" t="s">
        <v>144</v>
      </c>
      <c r="D145" s="19"/>
      <c r="E145" s="19"/>
      <c r="F145" s="19"/>
    </row>
    <row r="146" spans="1:6" ht="17.399999999999999">
      <c r="A146" s="132"/>
      <c r="B146" s="136"/>
      <c r="C146" s="132"/>
      <c r="D146" s="134"/>
      <c r="E146" s="134"/>
      <c r="F146" s="134"/>
    </row>
    <row r="147" spans="1:6" ht="17.399999999999999">
      <c r="A147" s="162"/>
      <c r="B147" s="163" t="s">
        <v>147</v>
      </c>
      <c r="C147" s="28"/>
      <c r="D147" s="19"/>
      <c r="E147" s="19"/>
      <c r="F147" s="19"/>
    </row>
    <row r="148" spans="1:6" ht="17.399999999999999">
      <c r="A148" s="8">
        <v>4</v>
      </c>
      <c r="B148" s="28" t="s">
        <v>148</v>
      </c>
      <c r="C148" s="28" t="s">
        <v>149</v>
      </c>
      <c r="D148" s="166"/>
      <c r="E148" s="166"/>
      <c r="F148" s="166"/>
    </row>
    <row r="149" spans="1:6" ht="17.399999999999999">
      <c r="A149" s="132"/>
      <c r="B149" s="495" t="s">
        <v>150</v>
      </c>
      <c r="C149" s="493"/>
      <c r="D149" s="493"/>
      <c r="E149" s="493"/>
      <c r="F149" s="134"/>
    </row>
    <row r="150" spans="1:6" ht="17.399999999999999">
      <c r="A150" s="132"/>
      <c r="B150" s="492" t="s">
        <v>151</v>
      </c>
      <c r="C150" s="493"/>
      <c r="D150" s="134"/>
      <c r="E150" s="134"/>
      <c r="F150" s="134"/>
    </row>
    <row r="151" spans="1:6" ht="17.399999999999999">
      <c r="A151" s="132"/>
      <c r="B151" s="492" t="s">
        <v>152</v>
      </c>
      <c r="C151" s="493"/>
      <c r="D151" s="134"/>
      <c r="E151" s="134"/>
      <c r="F151" s="134"/>
    </row>
    <row r="152" spans="1:6" ht="17.399999999999999">
      <c r="A152" s="132"/>
      <c r="B152" s="492" t="s">
        <v>153</v>
      </c>
      <c r="C152" s="493"/>
      <c r="D152" s="134"/>
      <c r="E152" s="134"/>
      <c r="F152" s="134"/>
    </row>
    <row r="153" spans="1:6" ht="17.399999999999999">
      <c r="A153" s="132"/>
      <c r="B153" s="492" t="s">
        <v>154</v>
      </c>
      <c r="C153" s="493"/>
      <c r="D153" s="134"/>
      <c r="E153" s="134"/>
      <c r="F153" s="134"/>
    </row>
    <row r="154" spans="1:6" ht="17.399999999999999">
      <c r="A154" s="132"/>
      <c r="B154" s="136"/>
      <c r="C154" s="132"/>
      <c r="D154" s="134"/>
      <c r="E154" s="134"/>
      <c r="F154" s="134"/>
    </row>
    <row r="155" spans="1:6" ht="17.399999999999999">
      <c r="A155" s="132"/>
      <c r="B155" s="136"/>
      <c r="C155" s="132"/>
      <c r="D155" s="134"/>
      <c r="E155" s="134"/>
      <c r="F155" s="134"/>
    </row>
    <row r="156" spans="1:6" ht="17.399999999999999">
      <c r="A156" s="132"/>
      <c r="B156" s="132"/>
      <c r="C156" s="132"/>
      <c r="D156" s="134"/>
      <c r="E156" s="134"/>
      <c r="F156" s="134"/>
    </row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24">
    <mergeCell ref="A1:F1"/>
    <mergeCell ref="A2:F2"/>
    <mergeCell ref="A3:F3"/>
    <mergeCell ref="D4:F4"/>
    <mergeCell ref="B102:C102"/>
    <mergeCell ref="B90:D90"/>
    <mergeCell ref="B91:C91"/>
    <mergeCell ref="B92:C92"/>
    <mergeCell ref="B95:E95"/>
    <mergeCell ref="B96:E96"/>
    <mergeCell ref="B97:C97"/>
    <mergeCell ref="B98:F98"/>
    <mergeCell ref="B99:C99"/>
    <mergeCell ref="B100:D100"/>
    <mergeCell ref="B101:F101"/>
    <mergeCell ref="B151:C151"/>
    <mergeCell ref="B152:C152"/>
    <mergeCell ref="B153:C153"/>
    <mergeCell ref="B103:C103"/>
    <mergeCell ref="B104:C104"/>
    <mergeCell ref="B106:F106"/>
    <mergeCell ref="B107:C107"/>
    <mergeCell ref="B149:E149"/>
    <mergeCell ref="B150:C150"/>
  </mergeCells>
  <pageMargins left="0.7" right="0.7" top="0.75" bottom="0.75" header="0.3" footer="0.3"/>
  <pageSetup paperSize="9" orientation="portrait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D3D0-BD53-4336-9CC7-8338A1B02C33}">
  <sheetPr>
    <tabColor rgb="FFFFFF00"/>
  </sheetPr>
  <dimension ref="A1:G912"/>
  <sheetViews>
    <sheetView zoomScale="80" zoomScaleNormal="80" workbookViewId="0">
      <pane ySplit="6" topLeftCell="A7" activePane="bottomLeft" state="frozen"/>
      <selection pane="bottomLeft" activeCell="D19" sqref="D19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206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121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125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05B7-9DCB-443D-9817-A680490D41EB}">
  <sheetPr>
    <tabColor rgb="FFFFFF00"/>
  </sheetPr>
  <dimension ref="A1:F912"/>
  <sheetViews>
    <sheetView zoomScale="80" zoomScaleNormal="80" workbookViewId="0">
      <pane ySplit="6" topLeftCell="A7" activePane="bottomLeft" state="frozen"/>
      <selection pane="bottomLeft" activeCell="B37" sqref="B37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206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6" ht="15.75" customHeight="1">
      <c r="A5" s="3"/>
      <c r="B5" s="4"/>
      <c r="C5" s="4"/>
      <c r="D5" s="4" t="s">
        <v>10</v>
      </c>
      <c r="E5" s="4" t="s">
        <v>11</v>
      </c>
      <c r="F5" s="4"/>
    </row>
    <row r="6" spans="1:6" ht="15.75" customHeight="1">
      <c r="A6" s="8"/>
      <c r="B6" s="4" t="s">
        <v>21</v>
      </c>
      <c r="C6" s="4"/>
      <c r="D6" s="4"/>
      <c r="E6" s="4"/>
      <c r="F6" s="3" t="s">
        <v>19</v>
      </c>
    </row>
    <row r="7" spans="1:6" ht="17.399999999999999">
      <c r="A7" s="8"/>
      <c r="B7" s="17"/>
      <c r="C7" s="15"/>
      <c r="D7" s="17"/>
      <c r="E7" s="6"/>
      <c r="F7" s="16"/>
    </row>
    <row r="8" spans="1:6" ht="17.399999999999999">
      <c r="A8" s="8"/>
      <c r="B8" s="28"/>
      <c r="C8" s="28"/>
      <c r="D8" s="17"/>
      <c r="E8" s="6"/>
      <c r="F8" s="120"/>
    </row>
    <row r="9" spans="1:6" ht="17.399999999999999">
      <c r="A9" s="8"/>
      <c r="B9" s="28"/>
      <c r="C9" s="28"/>
      <c r="D9" s="17"/>
      <c r="E9" s="6"/>
      <c r="F9" s="16"/>
    </row>
    <row r="10" spans="1:6" ht="18" thickBot="1">
      <c r="A10" s="8"/>
      <c r="B10" s="22" t="s">
        <v>19</v>
      </c>
      <c r="C10" s="23"/>
      <c r="D10" s="24"/>
      <c r="E10" s="24"/>
      <c r="F10" s="121">
        <v>0</v>
      </c>
    </row>
    <row r="11" spans="1:6" ht="18.600000000000001" thickTop="1" thickBot="1">
      <c r="A11" s="122"/>
      <c r="B11" s="123" t="s">
        <v>111</v>
      </c>
      <c r="C11" s="124"/>
      <c r="D11" s="126"/>
      <c r="E11" s="126"/>
      <c r="F11" s="125">
        <v>0</v>
      </c>
    </row>
    <row r="12" spans="1:6" ht="18" thickTop="1">
      <c r="A12" s="1"/>
      <c r="B12" s="131"/>
      <c r="C12" s="132"/>
      <c r="D12" s="132"/>
      <c r="E12" s="132"/>
      <c r="F12" s="132"/>
    </row>
    <row r="13" spans="1:6" ht="17.399999999999999">
      <c r="A13" s="132"/>
      <c r="B13" s="131"/>
      <c r="C13" s="132"/>
      <c r="D13" s="132"/>
      <c r="E13" s="1"/>
    </row>
    <row r="14" spans="1:6" ht="17.399999999999999">
      <c r="A14" s="132"/>
      <c r="B14" s="131"/>
      <c r="C14" s="132"/>
      <c r="D14" s="132"/>
      <c r="E14" s="1"/>
      <c r="F14" s="131"/>
    </row>
    <row r="15" spans="1:6" ht="17.399999999999999">
      <c r="A15" s="132"/>
      <c r="B15" s="131"/>
      <c r="C15" s="132"/>
      <c r="D15" s="132"/>
      <c r="E15" s="1"/>
      <c r="F15" s="131"/>
    </row>
    <row r="16" spans="1:6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F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95CA-D631-4B70-B76A-520FFAE1FE0F}">
  <sheetPr>
    <tabColor rgb="FF92D050"/>
  </sheetPr>
  <dimension ref="A1:T1004"/>
  <sheetViews>
    <sheetView zoomScale="70" zoomScaleNormal="70" workbookViewId="0">
      <pane ySplit="6" topLeftCell="A46" activePane="bottomLeft" state="frozen"/>
      <selection pane="bottomLeft" activeCell="H95" sqref="H95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181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36</v>
      </c>
      <c r="C26" s="47" t="s">
        <v>37</v>
      </c>
      <c r="D26" s="48">
        <v>6000</v>
      </c>
      <c r="E26" s="49"/>
      <c r="F26" s="49"/>
      <c r="G26" s="49"/>
      <c r="H26" s="49"/>
      <c r="I26" s="49"/>
      <c r="J26" s="49"/>
      <c r="K26" s="50">
        <v>25143</v>
      </c>
      <c r="L26" s="51" t="s">
        <v>182</v>
      </c>
      <c r="M26" s="52">
        <v>6000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173" t="s">
        <v>39</v>
      </c>
      <c r="C27" s="173" t="s">
        <v>37</v>
      </c>
      <c r="D27" s="174">
        <v>25000</v>
      </c>
      <c r="E27" s="49"/>
      <c r="F27" s="49"/>
      <c r="G27" s="49"/>
      <c r="H27" s="49"/>
      <c r="I27" s="49"/>
      <c r="J27" s="49"/>
      <c r="K27" s="50">
        <v>25146</v>
      </c>
      <c r="L27" s="51" t="s">
        <v>183</v>
      </c>
      <c r="M27" s="52">
        <v>25000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34</v>
      </c>
      <c r="D28" s="48">
        <v>11770</v>
      </c>
      <c r="E28" s="49"/>
      <c r="F28" s="49"/>
      <c r="G28" s="49"/>
      <c r="H28" s="49"/>
      <c r="I28" s="49"/>
      <c r="J28" s="49"/>
      <c r="K28" s="50">
        <v>25147</v>
      </c>
      <c r="L28" s="51" t="s">
        <v>184</v>
      </c>
      <c r="M28" s="52">
        <v>11770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29</v>
      </c>
      <c r="C29" s="47" t="s">
        <v>34</v>
      </c>
      <c r="D29" s="48">
        <v>2500</v>
      </c>
      <c r="E29" s="49"/>
      <c r="F29" s="49"/>
      <c r="G29" s="49"/>
      <c r="H29" s="49"/>
      <c r="I29" s="49"/>
      <c r="J29" s="49"/>
      <c r="K29" s="50">
        <v>25147</v>
      </c>
      <c r="L29" s="51" t="s">
        <v>185</v>
      </c>
      <c r="M29" s="52">
        <v>2500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29</v>
      </c>
      <c r="C30" s="47" t="s">
        <v>32</v>
      </c>
      <c r="D30" s="48">
        <v>1000</v>
      </c>
      <c r="E30" s="49"/>
      <c r="F30" s="49"/>
      <c r="G30" s="49"/>
      <c r="H30" s="49"/>
      <c r="I30" s="49"/>
      <c r="J30" s="49"/>
      <c r="K30" s="50">
        <v>25147</v>
      </c>
      <c r="L30" s="51" t="s">
        <v>186</v>
      </c>
      <c r="M30" s="52">
        <v>1000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30</v>
      </c>
      <c r="D31" s="48">
        <v>14980</v>
      </c>
      <c r="E31" s="49"/>
      <c r="F31" s="49"/>
      <c r="G31" s="49"/>
      <c r="H31" s="49"/>
      <c r="I31" s="49"/>
      <c r="J31" s="49"/>
      <c r="K31" s="50">
        <v>25153</v>
      </c>
      <c r="L31" s="51" t="s">
        <v>187</v>
      </c>
      <c r="M31" s="52">
        <v>14980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34</v>
      </c>
      <c r="D32" s="48">
        <v>3200</v>
      </c>
      <c r="E32" s="49"/>
      <c r="F32" s="49"/>
      <c r="G32" s="49"/>
      <c r="H32" s="49"/>
      <c r="I32" s="49"/>
      <c r="J32" s="49"/>
      <c r="K32" s="50">
        <v>25153</v>
      </c>
      <c r="L32" s="51" t="s">
        <v>188</v>
      </c>
      <c r="M32" s="52">
        <v>3200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32</v>
      </c>
      <c r="D33" s="48">
        <v>1000</v>
      </c>
      <c r="E33" s="49"/>
      <c r="F33" s="49"/>
      <c r="G33" s="49"/>
      <c r="H33" s="49"/>
      <c r="I33" s="49"/>
      <c r="J33" s="49"/>
      <c r="K33" s="50">
        <v>25153</v>
      </c>
      <c r="L33" s="51" t="s">
        <v>189</v>
      </c>
      <c r="M33" s="52">
        <v>1000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30</v>
      </c>
      <c r="D34" s="48">
        <v>11770</v>
      </c>
      <c r="E34" s="49"/>
      <c r="F34" s="49"/>
      <c r="G34" s="49"/>
      <c r="H34" s="49"/>
      <c r="I34" s="49"/>
      <c r="J34" s="49"/>
      <c r="K34" s="50">
        <v>25159</v>
      </c>
      <c r="L34" s="51" t="s">
        <v>190</v>
      </c>
      <c r="M34" s="52">
        <v>11770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34</v>
      </c>
      <c r="D35" s="48">
        <v>3200</v>
      </c>
      <c r="E35" s="49"/>
      <c r="F35" s="49"/>
      <c r="G35" s="49"/>
      <c r="H35" s="49"/>
      <c r="I35" s="49"/>
      <c r="J35" s="49"/>
      <c r="K35" s="50">
        <v>25159</v>
      </c>
      <c r="L35" s="51" t="s">
        <v>191</v>
      </c>
      <c r="M35" s="52">
        <v>11770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32</v>
      </c>
      <c r="D36" s="48">
        <v>1000</v>
      </c>
      <c r="E36" s="49"/>
      <c r="F36" s="49"/>
      <c r="G36" s="49"/>
      <c r="H36" s="49"/>
      <c r="I36" s="49"/>
      <c r="J36" s="49"/>
      <c r="K36" s="50">
        <v>25159</v>
      </c>
      <c r="L36" s="51" t="s">
        <v>192</v>
      </c>
      <c r="M36" s="52">
        <v>1000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30</v>
      </c>
      <c r="D37" s="56">
        <v>11770</v>
      </c>
      <c r="E37" s="49"/>
      <c r="F37" s="49"/>
      <c r="G37" s="49"/>
      <c r="H37" s="49"/>
      <c r="I37" s="49"/>
      <c r="J37" s="49"/>
      <c r="K37" s="57">
        <v>25166</v>
      </c>
      <c r="L37" s="51" t="s">
        <v>193</v>
      </c>
      <c r="M37" s="58">
        <v>11770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34</v>
      </c>
      <c r="D38" s="56">
        <v>2500</v>
      </c>
      <c r="E38" s="49"/>
      <c r="F38" s="49"/>
      <c r="G38" s="49"/>
      <c r="H38" s="49"/>
      <c r="I38" s="49"/>
      <c r="J38" s="49"/>
      <c r="K38" s="57">
        <v>25166</v>
      </c>
      <c r="L38" s="51" t="s">
        <v>194</v>
      </c>
      <c r="M38" s="58">
        <v>2500</v>
      </c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32</v>
      </c>
      <c r="D39" s="56">
        <v>1000</v>
      </c>
      <c r="E39" s="49"/>
      <c r="F39" s="49"/>
      <c r="G39" s="49"/>
      <c r="H39" s="49"/>
      <c r="I39" s="49"/>
      <c r="J39" s="49"/>
      <c r="K39" s="57">
        <v>25166</v>
      </c>
      <c r="L39" s="51" t="s">
        <v>195</v>
      </c>
      <c r="M39" s="58">
        <v>1000</v>
      </c>
      <c r="N39" s="47"/>
      <c r="O39" s="46"/>
      <c r="P39" s="46"/>
      <c r="Q39" s="46"/>
      <c r="R39" s="46"/>
      <c r="S39" s="49"/>
    </row>
    <row r="40" spans="1:19" ht="23.4">
      <c r="A40" s="46"/>
      <c r="B40" s="55"/>
      <c r="C40" s="55"/>
      <c r="D40" s="56"/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96690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105260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25162</v>
      </c>
      <c r="L45" s="77" t="s">
        <v>196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25163</v>
      </c>
      <c r="L46" s="77" t="s">
        <v>170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25163</v>
      </c>
      <c r="L47" s="77" t="s">
        <v>197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25147</v>
      </c>
      <c r="L70" s="77" t="s">
        <v>198</v>
      </c>
      <c r="M70" s="11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500</v>
      </c>
      <c r="E71" s="68"/>
      <c r="F71" s="68"/>
      <c r="G71" s="68"/>
      <c r="H71" s="68"/>
      <c r="I71" s="68"/>
      <c r="J71" s="68"/>
      <c r="K71" s="108">
        <v>25153</v>
      </c>
      <c r="L71" s="77" t="s">
        <v>199</v>
      </c>
      <c r="M71" s="111">
        <v>500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25159</v>
      </c>
      <c r="L72" s="77" t="s">
        <v>200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25166</v>
      </c>
      <c r="L73" s="77" t="s">
        <v>201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/>
      <c r="B74" s="75"/>
      <c r="C74" s="71"/>
      <c r="D74" s="110"/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1700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1700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3028.1</v>
      </c>
      <c r="E81" s="75"/>
      <c r="F81" s="72"/>
      <c r="G81" s="72"/>
      <c r="H81" s="72" t="s">
        <v>22</v>
      </c>
      <c r="I81" s="72" t="s">
        <v>22</v>
      </c>
      <c r="J81" s="68" t="s">
        <v>22</v>
      </c>
      <c r="K81" s="76">
        <v>25147</v>
      </c>
      <c r="L81" s="77" t="s">
        <v>202</v>
      </c>
      <c r="M81" s="78">
        <v>3028.1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5959.9</v>
      </c>
      <c r="E82" s="75"/>
      <c r="F82" s="72"/>
      <c r="G82" s="72"/>
      <c r="H82" s="72"/>
      <c r="I82" s="72" t="s">
        <v>22</v>
      </c>
      <c r="J82" s="68" t="s">
        <v>22</v>
      </c>
      <c r="K82" s="76">
        <v>25153</v>
      </c>
      <c r="L82" s="77" t="s">
        <v>203</v>
      </c>
      <c r="M82" s="78">
        <v>5959.9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4472.6000000000004</v>
      </c>
      <c r="E83" s="75"/>
      <c r="F83" s="72"/>
      <c r="G83" s="72"/>
      <c r="H83" s="72"/>
      <c r="I83" s="72"/>
      <c r="J83" s="68"/>
      <c r="K83" s="76">
        <v>25159</v>
      </c>
      <c r="L83" s="77" t="s">
        <v>204</v>
      </c>
      <c r="M83" s="78">
        <v>4472.6000000000004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3991.1</v>
      </c>
      <c r="E84" s="75"/>
      <c r="F84" s="72"/>
      <c r="G84" s="72"/>
      <c r="H84" s="72"/>
      <c r="I84" s="72"/>
      <c r="J84" s="68"/>
      <c r="K84" s="76">
        <v>25166</v>
      </c>
      <c r="L84" s="77" t="s">
        <v>205</v>
      </c>
      <c r="M84" s="78">
        <v>3991.1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/>
      <c r="E85" s="75"/>
      <c r="F85" s="72"/>
      <c r="G85" s="72"/>
      <c r="H85" s="72"/>
      <c r="I85" s="72"/>
      <c r="J85" s="68"/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17451.7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17451.7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SUM(D43+D48+D76+D86)</f>
        <v>119051.7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SUM(M43+M48+M61+M76+M86)</f>
        <v>127621.7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8110-0F69-40C8-8C1B-F23D54B11357}">
  <sheetPr>
    <tabColor rgb="FF92D050"/>
  </sheetPr>
  <dimension ref="A1:I940"/>
  <sheetViews>
    <sheetView zoomScale="70" zoomScaleNormal="70" workbookViewId="0">
      <pane ySplit="5" topLeftCell="A12" activePane="bottomLeft" state="frozen"/>
      <selection pane="bottomLeft" activeCell="L27" sqref="L27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181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22.5" customHeight="1">
      <c r="A6" s="13"/>
      <c r="B6" s="39" t="s">
        <v>28</v>
      </c>
      <c r="C6" s="40"/>
      <c r="D6" s="42"/>
      <c r="E6" s="43"/>
      <c r="F6" s="43"/>
    </row>
    <row r="7" spans="1:6" ht="20.25" customHeight="1">
      <c r="A7" s="46">
        <v>1</v>
      </c>
      <c r="B7" s="47" t="s">
        <v>36</v>
      </c>
      <c r="C7" s="47" t="s">
        <v>37</v>
      </c>
      <c r="D7" s="50">
        <v>25143</v>
      </c>
      <c r="E7" s="51" t="s">
        <v>182</v>
      </c>
      <c r="F7" s="52">
        <v>6000</v>
      </c>
    </row>
    <row r="8" spans="1:6" ht="22.5" customHeight="1">
      <c r="A8" s="46">
        <v>2</v>
      </c>
      <c r="B8" s="173" t="s">
        <v>39</v>
      </c>
      <c r="C8" s="173" t="s">
        <v>37</v>
      </c>
      <c r="D8" s="50">
        <v>25146</v>
      </c>
      <c r="E8" s="51" t="s">
        <v>183</v>
      </c>
      <c r="F8" s="52">
        <v>25000</v>
      </c>
    </row>
    <row r="9" spans="1:6" ht="17.399999999999999">
      <c r="A9" s="46">
        <v>3</v>
      </c>
      <c r="B9" s="47" t="s">
        <v>29</v>
      </c>
      <c r="C9" s="47" t="s">
        <v>34</v>
      </c>
      <c r="D9" s="50">
        <v>25147</v>
      </c>
      <c r="E9" s="51" t="s">
        <v>184</v>
      </c>
      <c r="F9" s="52">
        <v>11770</v>
      </c>
    </row>
    <row r="10" spans="1:6" ht="17.399999999999999">
      <c r="A10" s="46">
        <v>4</v>
      </c>
      <c r="B10" s="47" t="s">
        <v>29</v>
      </c>
      <c r="C10" s="47" t="s">
        <v>34</v>
      </c>
      <c r="D10" s="50">
        <v>25147</v>
      </c>
      <c r="E10" s="51" t="s">
        <v>185</v>
      </c>
      <c r="F10" s="52">
        <v>2500</v>
      </c>
    </row>
    <row r="11" spans="1:6" ht="17.399999999999999">
      <c r="A11" s="46">
        <v>5</v>
      </c>
      <c r="B11" s="47" t="s">
        <v>29</v>
      </c>
      <c r="C11" s="47" t="s">
        <v>32</v>
      </c>
      <c r="D11" s="50">
        <v>25147</v>
      </c>
      <c r="E11" s="51" t="s">
        <v>186</v>
      </c>
      <c r="F11" s="52">
        <v>1000</v>
      </c>
    </row>
    <row r="12" spans="1:6" ht="17.399999999999999">
      <c r="A12" s="46">
        <v>6</v>
      </c>
      <c r="B12" s="47" t="s">
        <v>29</v>
      </c>
      <c r="C12" s="47" t="s">
        <v>30</v>
      </c>
      <c r="D12" s="50">
        <v>25153</v>
      </c>
      <c r="E12" s="51" t="s">
        <v>187</v>
      </c>
      <c r="F12" s="52">
        <v>14980</v>
      </c>
    </row>
    <row r="13" spans="1:6" ht="17.399999999999999">
      <c r="A13" s="46">
        <v>7</v>
      </c>
      <c r="B13" s="47" t="s">
        <v>29</v>
      </c>
      <c r="C13" s="47" t="s">
        <v>34</v>
      </c>
      <c r="D13" s="50">
        <v>25153</v>
      </c>
      <c r="E13" s="51" t="s">
        <v>188</v>
      </c>
      <c r="F13" s="52">
        <v>3200</v>
      </c>
    </row>
    <row r="14" spans="1:6" ht="17.399999999999999">
      <c r="A14" s="46">
        <v>8</v>
      </c>
      <c r="B14" s="47" t="s">
        <v>29</v>
      </c>
      <c r="C14" s="47" t="s">
        <v>32</v>
      </c>
      <c r="D14" s="50">
        <v>25153</v>
      </c>
      <c r="E14" s="51" t="s">
        <v>189</v>
      </c>
      <c r="F14" s="52">
        <v>1000</v>
      </c>
    </row>
    <row r="15" spans="1:6" ht="17.399999999999999">
      <c r="A15" s="46">
        <v>9</v>
      </c>
      <c r="B15" s="47" t="s">
        <v>29</v>
      </c>
      <c r="C15" s="47" t="s">
        <v>30</v>
      </c>
      <c r="D15" s="50">
        <v>25159</v>
      </c>
      <c r="E15" s="51" t="s">
        <v>190</v>
      </c>
      <c r="F15" s="52">
        <v>11770</v>
      </c>
    </row>
    <row r="16" spans="1:6" ht="17.399999999999999">
      <c r="A16" s="46">
        <v>10</v>
      </c>
      <c r="B16" s="47" t="s">
        <v>29</v>
      </c>
      <c r="C16" s="47" t="s">
        <v>34</v>
      </c>
      <c r="D16" s="50">
        <v>25159</v>
      </c>
      <c r="E16" s="51" t="s">
        <v>191</v>
      </c>
      <c r="F16" s="52">
        <v>11770</v>
      </c>
    </row>
    <row r="17" spans="1:8" ht="17.399999999999999">
      <c r="A17" s="46">
        <v>11</v>
      </c>
      <c r="B17" s="47" t="s">
        <v>29</v>
      </c>
      <c r="C17" s="47" t="s">
        <v>32</v>
      </c>
      <c r="D17" s="50">
        <v>25159</v>
      </c>
      <c r="E17" s="51" t="s">
        <v>192</v>
      </c>
      <c r="F17" s="52">
        <v>1000</v>
      </c>
    </row>
    <row r="18" spans="1:8" ht="23.4">
      <c r="A18" s="46">
        <v>12</v>
      </c>
      <c r="B18" s="55" t="s">
        <v>29</v>
      </c>
      <c r="C18" s="55" t="s">
        <v>30</v>
      </c>
      <c r="D18" s="57">
        <v>25166</v>
      </c>
      <c r="E18" s="51" t="s">
        <v>193</v>
      </c>
      <c r="F18" s="58">
        <v>11770</v>
      </c>
    </row>
    <row r="19" spans="1:8" ht="23.4">
      <c r="A19" s="46">
        <v>13</v>
      </c>
      <c r="B19" s="55" t="s">
        <v>29</v>
      </c>
      <c r="C19" s="55" t="s">
        <v>34</v>
      </c>
      <c r="D19" s="57">
        <v>25166</v>
      </c>
      <c r="E19" s="51" t="s">
        <v>194</v>
      </c>
      <c r="F19" s="58">
        <v>2500</v>
      </c>
    </row>
    <row r="20" spans="1:8" ht="23.4">
      <c r="A20" s="46">
        <v>14</v>
      </c>
      <c r="B20" s="55" t="s">
        <v>29</v>
      </c>
      <c r="C20" s="55" t="s">
        <v>32</v>
      </c>
      <c r="D20" s="57">
        <v>25166</v>
      </c>
      <c r="E20" s="51" t="s">
        <v>195</v>
      </c>
      <c r="F20" s="58">
        <v>1000</v>
      </c>
    </row>
    <row r="21" spans="1:8" ht="18" thickBot="1">
      <c r="A21" s="46"/>
      <c r="B21" s="59" t="s">
        <v>19</v>
      </c>
      <c r="C21" s="60"/>
      <c r="D21" s="63"/>
      <c r="E21" s="63"/>
      <c r="F21" s="64">
        <v>105260</v>
      </c>
      <c r="H21" s="170">
        <f>SUM(F7:F20)</f>
        <v>105260</v>
      </c>
    </row>
    <row r="22" spans="1:8" ht="18" thickTop="1">
      <c r="A22" s="65"/>
      <c r="B22" s="66" t="s">
        <v>53</v>
      </c>
      <c r="C22" s="67"/>
      <c r="D22" s="69"/>
      <c r="E22" s="70"/>
      <c r="F22" s="70"/>
    </row>
    <row r="23" spans="1:8" ht="17.399999999999999">
      <c r="A23" s="73">
        <v>1</v>
      </c>
      <c r="B23" s="71" t="s">
        <v>54</v>
      </c>
      <c r="C23" s="71" t="s">
        <v>55</v>
      </c>
      <c r="D23" s="76">
        <v>25162</v>
      </c>
      <c r="E23" s="77" t="s">
        <v>196</v>
      </c>
      <c r="F23" s="78">
        <v>1070</v>
      </c>
    </row>
    <row r="24" spans="1:8" ht="17.399999999999999">
      <c r="A24" s="73">
        <v>2</v>
      </c>
      <c r="B24" s="71" t="s">
        <v>57</v>
      </c>
      <c r="C24" s="71" t="s">
        <v>55</v>
      </c>
      <c r="D24" s="76">
        <v>25163</v>
      </c>
      <c r="E24" s="77" t="s">
        <v>170</v>
      </c>
      <c r="F24" s="78">
        <v>1070</v>
      </c>
    </row>
    <row r="25" spans="1:8" ht="17.399999999999999">
      <c r="A25" s="79">
        <v>3</v>
      </c>
      <c r="B25" s="80" t="s">
        <v>59</v>
      </c>
      <c r="C25" s="81" t="s">
        <v>55</v>
      </c>
      <c r="D25" s="76">
        <v>25163</v>
      </c>
      <c r="E25" s="77" t="s">
        <v>197</v>
      </c>
      <c r="F25" s="78">
        <v>1070</v>
      </c>
    </row>
    <row r="26" spans="1:8" ht="21" thickBot="1">
      <c r="A26" s="65"/>
      <c r="B26" s="59" t="s">
        <v>19</v>
      </c>
      <c r="C26" s="60"/>
      <c r="D26" s="92"/>
      <c r="E26" s="93"/>
      <c r="F26" s="94">
        <v>3210</v>
      </c>
      <c r="H26" s="170">
        <f>SUM(F23:F25)</f>
        <v>3210</v>
      </c>
    </row>
    <row r="27" spans="1:8" ht="18" thickTop="1">
      <c r="A27" s="65"/>
      <c r="B27" s="66" t="s">
        <v>70</v>
      </c>
      <c r="C27" s="104"/>
      <c r="D27" s="106"/>
      <c r="E27" s="106"/>
      <c r="F27" s="106" t="s">
        <v>22</v>
      </c>
    </row>
    <row r="28" spans="1:8" ht="17.399999999999999">
      <c r="A28" s="65">
        <v>1</v>
      </c>
      <c r="B28" s="71" t="s">
        <v>75</v>
      </c>
      <c r="C28" s="71" t="s">
        <v>76</v>
      </c>
      <c r="D28" s="108">
        <v>25147</v>
      </c>
      <c r="E28" s="77" t="s">
        <v>198</v>
      </c>
      <c r="F28" s="111">
        <v>400</v>
      </c>
    </row>
    <row r="29" spans="1:8" ht="17.399999999999999">
      <c r="A29" s="65">
        <v>2</v>
      </c>
      <c r="B29" s="71" t="s">
        <v>75</v>
      </c>
      <c r="C29" s="71" t="s">
        <v>78</v>
      </c>
      <c r="D29" s="108">
        <v>25153</v>
      </c>
      <c r="E29" s="77" t="s">
        <v>199</v>
      </c>
      <c r="F29" s="111">
        <v>500</v>
      </c>
    </row>
    <row r="30" spans="1:8" ht="17.399999999999999">
      <c r="A30" s="65">
        <v>3</v>
      </c>
      <c r="B30" s="71" t="s">
        <v>75</v>
      </c>
      <c r="C30" s="71" t="s">
        <v>80</v>
      </c>
      <c r="D30" s="108">
        <v>25159</v>
      </c>
      <c r="E30" s="77" t="s">
        <v>200</v>
      </c>
      <c r="F30" s="111">
        <v>400</v>
      </c>
    </row>
    <row r="31" spans="1:8" ht="17.399999999999999">
      <c r="A31" s="65">
        <v>4</v>
      </c>
      <c r="B31" s="71" t="s">
        <v>75</v>
      </c>
      <c r="C31" s="71" t="s">
        <v>82</v>
      </c>
      <c r="D31" s="108">
        <v>25166</v>
      </c>
      <c r="E31" s="77" t="s">
        <v>201</v>
      </c>
      <c r="F31" s="111">
        <v>400</v>
      </c>
    </row>
    <row r="32" spans="1:8" ht="18" thickBot="1">
      <c r="A32" s="65"/>
      <c r="B32" s="59" t="s">
        <v>19</v>
      </c>
      <c r="C32" s="60"/>
      <c r="D32" s="115"/>
      <c r="E32" s="92"/>
      <c r="F32" s="94">
        <v>1700</v>
      </c>
      <c r="H32" s="171">
        <f>SUM(F28:F31)</f>
        <v>1700</v>
      </c>
    </row>
    <row r="33" spans="1:9" ht="18" thickTop="1">
      <c r="A33" s="65"/>
      <c r="B33" s="66" t="s">
        <v>86</v>
      </c>
      <c r="C33" s="67"/>
      <c r="D33" s="69"/>
      <c r="E33" s="70"/>
      <c r="F33" s="70"/>
    </row>
    <row r="34" spans="1:9" ht="17.399999999999999">
      <c r="A34" s="73">
        <v>1</v>
      </c>
      <c r="B34" s="71" t="s">
        <v>75</v>
      </c>
      <c r="C34" s="71" t="s">
        <v>91</v>
      </c>
      <c r="D34" s="76">
        <v>25147</v>
      </c>
      <c r="E34" s="77" t="s">
        <v>202</v>
      </c>
      <c r="F34" s="78">
        <v>3028.1</v>
      </c>
    </row>
    <row r="35" spans="1:9" ht="17.399999999999999">
      <c r="A35" s="73">
        <v>2</v>
      </c>
      <c r="B35" s="71" t="s">
        <v>75</v>
      </c>
      <c r="C35" s="71" t="s">
        <v>93</v>
      </c>
      <c r="D35" s="76">
        <v>25153</v>
      </c>
      <c r="E35" s="77" t="s">
        <v>203</v>
      </c>
      <c r="F35" s="78">
        <v>5959.9</v>
      </c>
    </row>
    <row r="36" spans="1:9" ht="17.399999999999999">
      <c r="A36" s="73">
        <v>3</v>
      </c>
      <c r="B36" s="71" t="s">
        <v>75</v>
      </c>
      <c r="C36" s="71" t="s">
        <v>95</v>
      </c>
      <c r="D36" s="76">
        <v>25159</v>
      </c>
      <c r="E36" s="77" t="s">
        <v>204</v>
      </c>
      <c r="F36" s="78">
        <v>4472.6000000000004</v>
      </c>
    </row>
    <row r="37" spans="1:9" ht="17.399999999999999">
      <c r="A37" s="73">
        <v>4</v>
      </c>
      <c r="B37" s="71" t="s">
        <v>75</v>
      </c>
      <c r="C37" s="71" t="s">
        <v>97</v>
      </c>
      <c r="D37" s="76">
        <v>25166</v>
      </c>
      <c r="E37" s="77" t="s">
        <v>205</v>
      </c>
      <c r="F37" s="78">
        <v>3991.1</v>
      </c>
    </row>
    <row r="38" spans="1:9" ht="18" thickBot="1">
      <c r="A38" s="65"/>
      <c r="B38" s="97" t="s">
        <v>19</v>
      </c>
      <c r="C38" s="98"/>
      <c r="D38" s="92"/>
      <c r="E38" s="92"/>
      <c r="F38" s="94">
        <v>17451.7</v>
      </c>
      <c r="H38" s="170">
        <f>SUM(F34:F37)</f>
        <v>17451.7</v>
      </c>
    </row>
    <row r="39" spans="1:9" ht="18.600000000000001" thickTop="1" thickBot="1">
      <c r="A39" s="122"/>
      <c r="B39" s="123" t="s">
        <v>111</v>
      </c>
      <c r="C39" s="124"/>
      <c r="D39" s="128"/>
      <c r="E39" s="129"/>
      <c r="F39" s="130">
        <v>127621.7</v>
      </c>
      <c r="I39" s="175">
        <f>SUM(H21:H38)</f>
        <v>127621.7</v>
      </c>
    </row>
    <row r="40" spans="1:9" ht="18" thickTop="1">
      <c r="A40" s="1"/>
      <c r="B40" s="131"/>
      <c r="C40" s="132"/>
      <c r="D40" s="133"/>
      <c r="E40" s="134"/>
      <c r="F40" s="134"/>
    </row>
    <row r="41" spans="1:9" ht="17.399999999999999">
      <c r="A41" s="132"/>
      <c r="B41" s="131"/>
      <c r="C41" s="132"/>
      <c r="D41" s="135"/>
      <c r="E41" s="135"/>
      <c r="F41" s="135"/>
    </row>
    <row r="42" spans="1:9" ht="17.399999999999999">
      <c r="A42" s="132"/>
      <c r="B42" s="131"/>
      <c r="C42" s="132"/>
      <c r="D42" s="135"/>
      <c r="E42" s="134"/>
      <c r="F42" s="135"/>
    </row>
    <row r="43" spans="1:9" ht="17.399999999999999">
      <c r="A43" s="132"/>
      <c r="B43" s="131"/>
      <c r="C43" s="132"/>
      <c r="D43" s="135"/>
      <c r="E43" s="134"/>
      <c r="F43" s="135"/>
    </row>
    <row r="44" spans="1:9" ht="17.399999999999999">
      <c r="A44" s="132"/>
      <c r="B44" s="131"/>
      <c r="C44" s="132"/>
      <c r="D44"/>
      <c r="E44" s="134"/>
      <c r="F44" s="135"/>
    </row>
    <row r="45" spans="1:9" ht="17.399999999999999">
      <c r="A45" s="132"/>
      <c r="B45" s="131"/>
      <c r="C45" s="132"/>
      <c r="D45" s="135"/>
      <c r="E45" s="134"/>
      <c r="F45" s="135"/>
    </row>
    <row r="46" spans="1:9" ht="17.399999999999999">
      <c r="A46" s="132"/>
      <c r="B46" s="131"/>
      <c r="C46" s="132"/>
      <c r="D46" s="135"/>
      <c r="E46" s="135"/>
      <c r="F46" s="135"/>
    </row>
    <row r="47" spans="1:9" ht="17.399999999999999">
      <c r="A47" s="132"/>
      <c r="B47" s="131"/>
      <c r="C47" s="132"/>
      <c r="D47" s="135"/>
      <c r="E47" s="135"/>
      <c r="F47" s="135"/>
    </row>
    <row r="48" spans="1:9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2"/>
      <c r="B59" s="131"/>
      <c r="C59" s="132"/>
      <c r="D59" s="135"/>
      <c r="E59" s="135"/>
      <c r="F59" s="135"/>
    </row>
    <row r="60" spans="1:6" ht="17.399999999999999">
      <c r="A60" s="136"/>
      <c r="B60" s="136"/>
      <c r="C60" s="136"/>
      <c r="D60" s="139"/>
      <c r="E60" s="139"/>
      <c r="F60" s="139"/>
    </row>
    <row r="61" spans="1:6" ht="17.399999999999999">
      <c r="A61" s="132"/>
      <c r="B61" s="131"/>
      <c r="C61" s="132"/>
      <c r="D61" s="135"/>
      <c r="E61" s="135"/>
      <c r="F61" s="135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131"/>
      <c r="C89" s="132"/>
      <c r="D89" s="135"/>
      <c r="E89" s="135"/>
      <c r="F89" s="135"/>
    </row>
    <row r="90" spans="1:6" ht="17.399999999999999">
      <c r="A90" s="132"/>
      <c r="B90" s="494" t="s">
        <v>115</v>
      </c>
      <c r="C90" s="493"/>
      <c r="D90" s="493"/>
      <c r="E90" s="135"/>
      <c r="F90" s="135"/>
    </row>
    <row r="91" spans="1:6" ht="17.399999999999999">
      <c r="A91" s="132"/>
      <c r="B91" s="494" t="s">
        <v>116</v>
      </c>
      <c r="C91" s="493"/>
      <c r="D91" s="135"/>
      <c r="E91" s="135"/>
      <c r="F91" s="135"/>
    </row>
    <row r="92" spans="1:6" ht="17.399999999999999">
      <c r="A92" s="132"/>
      <c r="B92" s="494" t="s">
        <v>117</v>
      </c>
      <c r="C92" s="493"/>
      <c r="D92" s="135"/>
      <c r="E92" s="135"/>
      <c r="F92" s="135"/>
    </row>
    <row r="93" spans="1:6" ht="17.399999999999999">
      <c r="A93" s="132"/>
      <c r="B93" s="131"/>
      <c r="C93" s="132"/>
      <c r="D93" s="135"/>
      <c r="E93" s="135"/>
      <c r="F93" s="135"/>
    </row>
    <row r="94" spans="1:6" ht="20.399999999999999">
      <c r="A94" s="132"/>
      <c r="B94" s="140" t="s">
        <v>118</v>
      </c>
      <c r="C94" s="136" t="s">
        <v>119</v>
      </c>
      <c r="D94" s="134"/>
      <c r="E94" s="134"/>
      <c r="F94" s="134"/>
    </row>
    <row r="95" spans="1:6" ht="17.399999999999999">
      <c r="A95" s="132"/>
      <c r="B95" s="496" t="s">
        <v>120</v>
      </c>
      <c r="C95" s="493"/>
      <c r="D95" s="493"/>
      <c r="E95" s="493"/>
      <c r="F95" s="135"/>
    </row>
    <row r="96" spans="1:6" ht="17.399999999999999">
      <c r="A96" s="132"/>
      <c r="B96" s="494" t="s">
        <v>121</v>
      </c>
      <c r="C96" s="493"/>
      <c r="D96" s="493"/>
      <c r="E96" s="493"/>
      <c r="F96" s="135"/>
    </row>
    <row r="97" spans="1:6" ht="17.399999999999999">
      <c r="A97" s="132"/>
      <c r="B97" s="494" t="s">
        <v>122</v>
      </c>
      <c r="C97" s="493"/>
      <c r="D97" s="135"/>
      <c r="E97" s="135"/>
      <c r="F97" s="135"/>
    </row>
    <row r="98" spans="1:6" ht="17.399999999999999">
      <c r="A98" s="132"/>
      <c r="B98" s="494" t="s">
        <v>123</v>
      </c>
      <c r="C98" s="493"/>
      <c r="D98" s="493"/>
      <c r="E98" s="493"/>
      <c r="F98" s="493"/>
    </row>
    <row r="99" spans="1:6" ht="17.399999999999999">
      <c r="A99" s="132"/>
      <c r="B99" s="494" t="s">
        <v>124</v>
      </c>
      <c r="C99" s="493"/>
      <c r="D99" s="135"/>
      <c r="E99" s="135"/>
      <c r="F99" s="135"/>
    </row>
    <row r="100" spans="1:6" ht="17.399999999999999">
      <c r="A100" s="132"/>
      <c r="B100" s="494" t="s">
        <v>125</v>
      </c>
      <c r="C100" s="493"/>
      <c r="D100" s="493"/>
      <c r="E100" s="135"/>
      <c r="F100" s="135"/>
    </row>
    <row r="101" spans="1:6" ht="17.399999999999999">
      <c r="A101" s="132"/>
      <c r="B101" s="494" t="s">
        <v>126</v>
      </c>
      <c r="C101" s="493"/>
      <c r="D101" s="493"/>
      <c r="E101" s="493"/>
      <c r="F101" s="493"/>
    </row>
    <row r="102" spans="1:6" ht="17.399999999999999">
      <c r="A102" s="132"/>
      <c r="B102" s="494" t="s">
        <v>127</v>
      </c>
      <c r="C102" s="493"/>
      <c r="D102" s="135"/>
      <c r="E102" s="135"/>
      <c r="F102" s="135"/>
    </row>
    <row r="103" spans="1:6" ht="17.399999999999999">
      <c r="A103" s="132"/>
      <c r="B103" s="494" t="s">
        <v>128</v>
      </c>
      <c r="C103" s="493"/>
      <c r="D103" s="135"/>
      <c r="E103" s="135"/>
      <c r="F103" s="135"/>
    </row>
    <row r="104" spans="1:6" ht="17.399999999999999">
      <c r="A104" s="132"/>
      <c r="B104" s="494" t="s">
        <v>129</v>
      </c>
      <c r="C104" s="493"/>
      <c r="D104" s="135"/>
      <c r="E104" s="135"/>
      <c r="F104" s="135"/>
    </row>
    <row r="105" spans="1:6" ht="17.399999999999999">
      <c r="A105" s="132"/>
      <c r="B105" s="136" t="s">
        <v>130</v>
      </c>
      <c r="C105" s="132"/>
      <c r="D105" s="135"/>
      <c r="E105" s="135"/>
      <c r="F105" s="135"/>
    </row>
    <row r="106" spans="1:6" ht="17.399999999999999">
      <c r="A106" s="132"/>
      <c r="B106" s="494" t="s">
        <v>131</v>
      </c>
      <c r="C106" s="493"/>
      <c r="D106" s="493"/>
      <c r="E106" s="493"/>
      <c r="F106" s="493"/>
    </row>
    <row r="107" spans="1:6" ht="17.399999999999999">
      <c r="A107" s="132"/>
      <c r="B107" s="494" t="s">
        <v>132</v>
      </c>
      <c r="C107" s="493"/>
      <c r="D107" s="135"/>
      <c r="E107" s="135"/>
      <c r="F107" s="135"/>
    </row>
    <row r="108" spans="1:6" ht="17.399999999999999">
      <c r="A108" s="132"/>
      <c r="B108" s="136"/>
      <c r="C108" s="132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36"/>
      <c r="C126" s="132"/>
      <c r="D126" s="135"/>
      <c r="E126" s="135"/>
      <c r="F126" s="135"/>
    </row>
    <row r="127" spans="1:6" ht="17.399999999999999">
      <c r="A127" s="132"/>
      <c r="B127" s="141" t="s">
        <v>133</v>
      </c>
      <c r="C127" s="28" t="s">
        <v>134</v>
      </c>
      <c r="D127" s="19"/>
      <c r="E127" s="19"/>
      <c r="F127" s="142"/>
    </row>
    <row r="128" spans="1:6" ht="17.399999999999999">
      <c r="A128" s="132"/>
      <c r="B128" s="143" t="s">
        <v>136</v>
      </c>
      <c r="C128" s="144"/>
      <c r="D128" s="147"/>
      <c r="E128" s="147"/>
      <c r="F128" s="148"/>
    </row>
    <row r="129" spans="1:6" ht="17.399999999999999">
      <c r="A129" s="132"/>
      <c r="B129" s="143" t="s">
        <v>137</v>
      </c>
      <c r="C129" s="150"/>
      <c r="D129" s="147"/>
      <c r="E129" s="147"/>
      <c r="F129" s="148"/>
    </row>
    <row r="130" spans="1:6" ht="17.399999999999999">
      <c r="A130" s="132"/>
      <c r="B130" s="143" t="s">
        <v>138</v>
      </c>
      <c r="C130" s="150"/>
      <c r="D130" s="147"/>
      <c r="E130" s="147"/>
      <c r="F130" s="148"/>
    </row>
    <row r="131" spans="1:6" ht="17.399999999999999">
      <c r="A131" s="132"/>
      <c r="B131" s="152" t="s">
        <v>139</v>
      </c>
      <c r="C131" s="153"/>
      <c r="D131" s="157"/>
      <c r="E131" s="157"/>
      <c r="F131" s="158"/>
    </row>
    <row r="132" spans="1:6" ht="17.399999999999999">
      <c r="A132" s="132"/>
      <c r="B132" s="136"/>
      <c r="C132" s="132"/>
      <c r="D132" s="135"/>
      <c r="E132" s="135"/>
      <c r="F132" s="135"/>
    </row>
    <row r="133" spans="1:6" ht="17.399999999999999">
      <c r="A133" s="132"/>
      <c r="B133" s="141" t="s">
        <v>133</v>
      </c>
      <c r="C133" s="17" t="s">
        <v>140</v>
      </c>
      <c r="D133" s="19"/>
      <c r="E133" s="19"/>
      <c r="F133" s="19"/>
    </row>
    <row r="134" spans="1:6" ht="17.399999999999999">
      <c r="A134" s="132"/>
      <c r="B134" s="141" t="s">
        <v>141</v>
      </c>
      <c r="C134" s="27"/>
      <c r="D134" s="19"/>
      <c r="E134" s="19"/>
      <c r="F134" s="19"/>
    </row>
    <row r="135" spans="1:6" ht="17.399999999999999">
      <c r="A135" s="132"/>
      <c r="B135" s="143" t="s">
        <v>142</v>
      </c>
      <c r="C135" s="144"/>
      <c r="D135" s="147"/>
      <c r="E135" s="147"/>
      <c r="F135" s="147"/>
    </row>
    <row r="136" spans="1:6" ht="17.399999999999999">
      <c r="A136" s="132"/>
      <c r="B136" s="143" t="s">
        <v>137</v>
      </c>
      <c r="C136" s="144"/>
      <c r="D136" s="147"/>
      <c r="E136" s="147"/>
      <c r="F136" s="147"/>
    </row>
    <row r="137" spans="1:6" ht="17.399999999999999">
      <c r="A137" s="132"/>
      <c r="B137" s="143" t="s">
        <v>138</v>
      </c>
      <c r="C137" s="144"/>
      <c r="D137" s="147"/>
      <c r="E137" s="147"/>
      <c r="F137" s="147"/>
    </row>
    <row r="138" spans="1:6" ht="17.399999999999999">
      <c r="A138" s="132"/>
      <c r="B138" s="143" t="s">
        <v>139</v>
      </c>
      <c r="C138" s="144"/>
      <c r="D138" s="147"/>
      <c r="E138" s="147"/>
      <c r="F138" s="147"/>
    </row>
    <row r="139" spans="1:6" ht="17.399999999999999">
      <c r="A139" s="132"/>
      <c r="B139" s="136"/>
      <c r="C139" s="132"/>
      <c r="D139" s="135"/>
      <c r="E139" s="135"/>
      <c r="F139" s="135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5"/>
      <c r="E143" s="135"/>
      <c r="F143" s="135"/>
    </row>
    <row r="144" spans="1:6" ht="17.399999999999999">
      <c r="A144" s="132"/>
      <c r="B144" s="136"/>
      <c r="C144" s="132"/>
      <c r="D144" s="134"/>
      <c r="E144" s="134"/>
      <c r="F144" s="134"/>
    </row>
    <row r="145" spans="1:6" ht="17.399999999999999">
      <c r="A145" s="8">
        <v>3</v>
      </c>
      <c r="B145" s="28" t="s">
        <v>143</v>
      </c>
      <c r="C145" s="28" t="s">
        <v>144</v>
      </c>
      <c r="D145" s="19"/>
      <c r="E145" s="19"/>
      <c r="F145" s="19"/>
    </row>
    <row r="146" spans="1:6" ht="17.399999999999999">
      <c r="A146" s="132"/>
      <c r="B146" s="136"/>
      <c r="C146" s="132"/>
      <c r="D146" s="134"/>
      <c r="E146" s="134"/>
      <c r="F146" s="134"/>
    </row>
    <row r="147" spans="1:6" ht="17.399999999999999">
      <c r="A147" s="162"/>
      <c r="B147" s="163" t="s">
        <v>147</v>
      </c>
      <c r="C147" s="28"/>
      <c r="D147" s="19"/>
      <c r="E147" s="19"/>
      <c r="F147" s="19"/>
    </row>
    <row r="148" spans="1:6" ht="17.399999999999999">
      <c r="A148" s="8">
        <v>4</v>
      </c>
      <c r="B148" s="28" t="s">
        <v>148</v>
      </c>
      <c r="C148" s="28" t="s">
        <v>149</v>
      </c>
      <c r="D148" s="166"/>
      <c r="E148" s="166"/>
      <c r="F148" s="166"/>
    </row>
    <row r="149" spans="1:6" ht="17.399999999999999">
      <c r="A149" s="132"/>
      <c r="B149" s="495" t="s">
        <v>150</v>
      </c>
      <c r="C149" s="493"/>
      <c r="D149" s="493"/>
      <c r="E149" s="493"/>
      <c r="F149" s="134"/>
    </row>
    <row r="150" spans="1:6" ht="17.399999999999999">
      <c r="A150" s="132"/>
      <c r="B150" s="492" t="s">
        <v>151</v>
      </c>
      <c r="C150" s="493"/>
      <c r="D150" s="134"/>
      <c r="E150" s="134"/>
      <c r="F150" s="134"/>
    </row>
    <row r="151" spans="1:6" ht="17.399999999999999">
      <c r="A151" s="132"/>
      <c r="B151" s="492" t="s">
        <v>152</v>
      </c>
      <c r="C151" s="493"/>
      <c r="D151" s="134"/>
      <c r="E151" s="134"/>
      <c r="F151" s="134"/>
    </row>
    <row r="152" spans="1:6" ht="17.399999999999999">
      <c r="A152" s="132"/>
      <c r="B152" s="492" t="s">
        <v>153</v>
      </c>
      <c r="C152" s="493"/>
      <c r="D152" s="134"/>
      <c r="E152" s="134"/>
      <c r="F152" s="134"/>
    </row>
    <row r="153" spans="1:6" ht="17.399999999999999">
      <c r="A153" s="132"/>
      <c r="B153" s="492" t="s">
        <v>154</v>
      </c>
      <c r="C153" s="493"/>
      <c r="D153" s="134"/>
      <c r="E153" s="134"/>
      <c r="F153" s="134"/>
    </row>
    <row r="154" spans="1:6" ht="17.399999999999999">
      <c r="A154" s="132"/>
      <c r="B154" s="136"/>
      <c r="C154" s="132"/>
      <c r="D154" s="134"/>
      <c r="E154" s="134"/>
      <c r="F154" s="134"/>
    </row>
    <row r="155" spans="1:6" ht="17.399999999999999">
      <c r="A155" s="132"/>
      <c r="B155" s="136"/>
      <c r="C155" s="132"/>
      <c r="D155" s="134"/>
      <c r="E155" s="134"/>
      <c r="F155" s="134"/>
    </row>
    <row r="156" spans="1:6" ht="17.399999999999999">
      <c r="A156" s="132"/>
      <c r="B156" s="132"/>
      <c r="C156" s="132"/>
      <c r="D156" s="134"/>
      <c r="E156" s="134"/>
      <c r="F156" s="134"/>
    </row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24">
    <mergeCell ref="A1:F1"/>
    <mergeCell ref="A2:F2"/>
    <mergeCell ref="A3:F3"/>
    <mergeCell ref="D4:F4"/>
    <mergeCell ref="B102:C102"/>
    <mergeCell ref="B90:D90"/>
    <mergeCell ref="B91:C91"/>
    <mergeCell ref="B92:C92"/>
    <mergeCell ref="B95:E95"/>
    <mergeCell ref="B96:E96"/>
    <mergeCell ref="B97:C97"/>
    <mergeCell ref="B98:F98"/>
    <mergeCell ref="B99:C99"/>
    <mergeCell ref="B100:D100"/>
    <mergeCell ref="B101:F101"/>
    <mergeCell ref="B151:C151"/>
    <mergeCell ref="B152:C152"/>
    <mergeCell ref="B153:C153"/>
    <mergeCell ref="B103:C103"/>
    <mergeCell ref="B104:C104"/>
    <mergeCell ref="B106:F106"/>
    <mergeCell ref="B107:C107"/>
    <mergeCell ref="B149:E149"/>
    <mergeCell ref="B150:C150"/>
  </mergeCells>
  <pageMargins left="0.7" right="0.7" top="0.75" bottom="0.75" header="0.3" footer="0.3"/>
  <pageSetup paperSize="9" orientation="portrait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BDF5-C1CC-4BB3-AEA4-257872CE0891}">
  <sheetPr>
    <tabColor rgb="FF92D050"/>
  </sheetPr>
  <dimension ref="A1:G912"/>
  <sheetViews>
    <sheetView zoomScale="80" zoomScaleNormal="80" workbookViewId="0">
      <pane ySplit="6" topLeftCell="A7" activePane="bottomLeft" state="frozen"/>
      <selection pane="bottomLeft" activeCell="D41" sqref="D41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181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121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125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G1"/>
    <mergeCell ref="A2:G2"/>
    <mergeCell ref="A3:G3"/>
    <mergeCell ref="E4:G4"/>
    <mergeCell ref="E16:F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E687-BAAB-4A53-8D9D-FAC00ECBD26F}">
  <sheetPr>
    <tabColor rgb="FF92D050"/>
  </sheetPr>
  <dimension ref="A1:F912"/>
  <sheetViews>
    <sheetView zoomScale="80" zoomScaleNormal="80" workbookViewId="0">
      <pane ySplit="6" topLeftCell="A7" activePane="bottomLeft" state="frozen"/>
      <selection pane="bottomLeft" activeCell="A4" sqref="A4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181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6" ht="15.75" customHeight="1">
      <c r="A5" s="3"/>
      <c r="B5" s="4"/>
      <c r="C5" s="4"/>
      <c r="D5" s="4" t="s">
        <v>10</v>
      </c>
      <c r="E5" s="4" t="s">
        <v>11</v>
      </c>
      <c r="F5" s="4"/>
    </row>
    <row r="6" spans="1:6" ht="15.75" customHeight="1">
      <c r="A6" s="8"/>
      <c r="B6" s="4" t="s">
        <v>21</v>
      </c>
      <c r="C6" s="4"/>
      <c r="D6" s="4"/>
      <c r="E6" s="4"/>
      <c r="F6" s="3" t="s">
        <v>19</v>
      </c>
    </row>
    <row r="7" spans="1:6" ht="17.399999999999999">
      <c r="A7" s="8"/>
      <c r="B7" s="17"/>
      <c r="C7" s="15"/>
      <c r="D7" s="17"/>
      <c r="E7" s="6"/>
      <c r="F7" s="16"/>
    </row>
    <row r="8" spans="1:6" ht="17.399999999999999">
      <c r="A8" s="8"/>
      <c r="B8" s="28"/>
      <c r="C8" s="28"/>
      <c r="D8" s="17"/>
      <c r="E8" s="6"/>
      <c r="F8" s="120"/>
    </row>
    <row r="9" spans="1:6" ht="17.399999999999999">
      <c r="A9" s="8"/>
      <c r="B9" s="28"/>
      <c r="C9" s="28"/>
      <c r="D9" s="17"/>
      <c r="E9" s="6"/>
      <c r="F9" s="16"/>
    </row>
    <row r="10" spans="1:6" ht="18" thickBot="1">
      <c r="A10" s="8"/>
      <c r="B10" s="22" t="s">
        <v>19</v>
      </c>
      <c r="C10" s="23"/>
      <c r="D10" s="24"/>
      <c r="E10" s="24"/>
      <c r="F10" s="121">
        <v>0</v>
      </c>
    </row>
    <row r="11" spans="1:6" ht="18.600000000000001" thickTop="1" thickBot="1">
      <c r="A11" s="122"/>
      <c r="B11" s="123" t="s">
        <v>111</v>
      </c>
      <c r="C11" s="124"/>
      <c r="D11" s="126"/>
      <c r="E11" s="126"/>
      <c r="F11" s="125">
        <v>0</v>
      </c>
    </row>
    <row r="12" spans="1:6" ht="18" thickTop="1">
      <c r="A12" s="1"/>
      <c r="B12" s="131"/>
      <c r="C12" s="132"/>
      <c r="D12" s="132"/>
      <c r="E12" s="132"/>
      <c r="F12" s="132"/>
    </row>
    <row r="13" spans="1:6" ht="17.399999999999999">
      <c r="A13" s="132"/>
      <c r="B13" s="131"/>
      <c r="C13" s="132"/>
      <c r="D13" s="132"/>
      <c r="E13" s="1"/>
    </row>
    <row r="14" spans="1:6" ht="17.399999999999999">
      <c r="A14" s="132"/>
      <c r="B14" s="131"/>
      <c r="C14" s="132"/>
      <c r="D14" s="132"/>
      <c r="E14" s="1"/>
      <c r="F14" s="131"/>
    </row>
    <row r="15" spans="1:6" ht="17.399999999999999">
      <c r="A15" s="132"/>
      <c r="B15" s="131"/>
      <c r="C15" s="132"/>
      <c r="D15" s="132"/>
      <c r="E15" s="1"/>
      <c r="F15" s="131"/>
    </row>
    <row r="16" spans="1:6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F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B0DB-E946-4CEF-9FE7-DD5768CA9C06}">
  <sheetPr>
    <tabColor rgb="FF92D050"/>
  </sheetPr>
  <dimension ref="A1:T1004"/>
  <sheetViews>
    <sheetView zoomScale="80" zoomScaleNormal="80" workbookViewId="0">
      <pane ySplit="6" topLeftCell="A79" activePane="bottomLeft" state="frozen"/>
      <selection pane="bottomLeft" activeCell="K97" sqref="K97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2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39</v>
      </c>
      <c r="C26" s="47" t="s">
        <v>37</v>
      </c>
      <c r="D26" s="48">
        <v>25000</v>
      </c>
      <c r="E26" s="49"/>
      <c r="F26" s="49"/>
      <c r="G26" s="49"/>
      <c r="H26" s="49"/>
      <c r="I26" s="49"/>
      <c r="J26" s="49"/>
      <c r="K26" s="50">
        <v>25112</v>
      </c>
      <c r="L26" s="51" t="s">
        <v>155</v>
      </c>
      <c r="M26" s="52">
        <v>25000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53" t="s">
        <v>36</v>
      </c>
      <c r="C27" s="53" t="s">
        <v>37</v>
      </c>
      <c r="D27" s="54">
        <v>6000</v>
      </c>
      <c r="E27" s="49"/>
      <c r="F27" s="49"/>
      <c r="G27" s="49"/>
      <c r="H27" s="49"/>
      <c r="I27" s="49"/>
      <c r="J27" s="49"/>
      <c r="K27" s="50">
        <v>25113</v>
      </c>
      <c r="L27" s="51" t="s">
        <v>156</v>
      </c>
      <c r="M27" s="52">
        <v>6000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30</v>
      </c>
      <c r="D28" s="48">
        <v>11770</v>
      </c>
      <c r="E28" s="49"/>
      <c r="F28" s="49"/>
      <c r="G28" s="49"/>
      <c r="H28" s="49"/>
      <c r="I28" s="49"/>
      <c r="J28" s="49"/>
      <c r="K28" s="50">
        <v>25117</v>
      </c>
      <c r="L28" s="51" t="s">
        <v>157</v>
      </c>
      <c r="M28" s="52">
        <v>11770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29</v>
      </c>
      <c r="C29" s="47" t="s">
        <v>34</v>
      </c>
      <c r="D29" s="48">
        <v>2500</v>
      </c>
      <c r="E29" s="49"/>
      <c r="F29" s="49"/>
      <c r="G29" s="49"/>
      <c r="H29" s="49"/>
      <c r="I29" s="49"/>
      <c r="J29" s="49"/>
      <c r="K29" s="50">
        <v>25117</v>
      </c>
      <c r="L29" s="51" t="s">
        <v>158</v>
      </c>
      <c r="M29" s="52">
        <v>2500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29</v>
      </c>
      <c r="C30" s="47" t="s">
        <v>32</v>
      </c>
      <c r="D30" s="48">
        <v>1000</v>
      </c>
      <c r="E30" s="49"/>
      <c r="F30" s="49"/>
      <c r="G30" s="49"/>
      <c r="H30" s="49"/>
      <c r="I30" s="49"/>
      <c r="J30" s="49"/>
      <c r="K30" s="50">
        <v>25117</v>
      </c>
      <c r="L30" s="51" t="s">
        <v>159</v>
      </c>
      <c r="M30" s="52">
        <v>1000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30</v>
      </c>
      <c r="D31" s="48">
        <v>11770</v>
      </c>
      <c r="E31" s="49"/>
      <c r="F31" s="49"/>
      <c r="G31" s="49"/>
      <c r="H31" s="49"/>
      <c r="I31" s="49"/>
      <c r="J31" s="49"/>
      <c r="K31" s="50">
        <v>25125</v>
      </c>
      <c r="L31" s="51" t="s">
        <v>160</v>
      </c>
      <c r="M31" s="52">
        <v>11770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34</v>
      </c>
      <c r="D32" s="48">
        <v>2500</v>
      </c>
      <c r="E32" s="49"/>
      <c r="F32" s="49"/>
      <c r="G32" s="49"/>
      <c r="H32" s="49"/>
      <c r="I32" s="49"/>
      <c r="J32" s="49"/>
      <c r="K32" s="50">
        <v>25125</v>
      </c>
      <c r="L32" s="51" t="s">
        <v>161</v>
      </c>
      <c r="M32" s="52">
        <v>2500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32</v>
      </c>
      <c r="D33" s="48">
        <v>1000</v>
      </c>
      <c r="E33" s="49"/>
      <c r="F33" s="49"/>
      <c r="G33" s="49"/>
      <c r="H33" s="49"/>
      <c r="I33" s="49"/>
      <c r="J33" s="49"/>
      <c r="K33" s="50">
        <v>25125</v>
      </c>
      <c r="L33" s="51" t="s">
        <v>162</v>
      </c>
      <c r="M33" s="52">
        <v>1000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30</v>
      </c>
      <c r="D34" s="48">
        <v>11770</v>
      </c>
      <c r="E34" s="49"/>
      <c r="F34" s="49"/>
      <c r="G34" s="49"/>
      <c r="H34" s="49"/>
      <c r="I34" s="49"/>
      <c r="J34" s="49"/>
      <c r="K34" s="50">
        <v>25131</v>
      </c>
      <c r="L34" s="51" t="s">
        <v>163</v>
      </c>
      <c r="M34" s="52">
        <v>11770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34</v>
      </c>
      <c r="D35" s="48">
        <v>2500</v>
      </c>
      <c r="E35" s="49"/>
      <c r="F35" s="49"/>
      <c r="G35" s="49"/>
      <c r="H35" s="49"/>
      <c r="I35" s="49"/>
      <c r="J35" s="49"/>
      <c r="K35" s="50">
        <v>25131</v>
      </c>
      <c r="L35" s="51" t="s">
        <v>164</v>
      </c>
      <c r="M35" s="52">
        <v>2500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32</v>
      </c>
      <c r="D36" s="48">
        <v>1000</v>
      </c>
      <c r="E36" s="49"/>
      <c r="F36" s="49"/>
      <c r="G36" s="49"/>
      <c r="H36" s="49"/>
      <c r="I36" s="49"/>
      <c r="J36" s="49"/>
      <c r="K36" s="50">
        <v>25131</v>
      </c>
      <c r="L36" s="51" t="s">
        <v>165</v>
      </c>
      <c r="M36" s="52">
        <v>1000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30</v>
      </c>
      <c r="D37" s="56">
        <v>11770</v>
      </c>
      <c r="E37" s="49"/>
      <c r="F37" s="49"/>
      <c r="G37" s="49"/>
      <c r="H37" s="49"/>
      <c r="I37" s="49"/>
      <c r="J37" s="49"/>
      <c r="K37" s="57">
        <v>25138</v>
      </c>
      <c r="L37" s="51" t="s">
        <v>166</v>
      </c>
      <c r="M37" s="58">
        <v>11770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34</v>
      </c>
      <c r="D38" s="56">
        <v>2500</v>
      </c>
      <c r="E38" s="49"/>
      <c r="F38" s="49"/>
      <c r="G38" s="49"/>
      <c r="H38" s="49"/>
      <c r="I38" s="49"/>
      <c r="J38" s="49"/>
      <c r="K38" s="57">
        <v>25138</v>
      </c>
      <c r="L38" s="51" t="s">
        <v>167</v>
      </c>
      <c r="M38" s="58">
        <v>2500</v>
      </c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32</v>
      </c>
      <c r="D39" s="56">
        <v>1000</v>
      </c>
      <c r="E39" s="49"/>
      <c r="F39" s="49"/>
      <c r="G39" s="49"/>
      <c r="H39" s="49"/>
      <c r="I39" s="49"/>
      <c r="J39" s="49"/>
      <c r="K39" s="57">
        <v>25138</v>
      </c>
      <c r="L39" s="51" t="s">
        <v>168</v>
      </c>
      <c r="M39" s="58">
        <v>1000</v>
      </c>
      <c r="N39" s="47"/>
      <c r="O39" s="46"/>
      <c r="P39" s="46"/>
      <c r="Q39" s="46"/>
      <c r="R39" s="46"/>
      <c r="S39" s="49"/>
    </row>
    <row r="40" spans="1:19" ht="23.4">
      <c r="A40" s="46"/>
      <c r="B40" s="55"/>
      <c r="C40" s="55"/>
      <c r="D40" s="56"/>
      <c r="E40" s="49"/>
      <c r="F40" s="49"/>
      <c r="G40" s="49"/>
      <c r="H40" s="49"/>
      <c r="I40" s="49"/>
      <c r="J40" s="49"/>
      <c r="K40" s="57"/>
      <c r="L40" s="51"/>
      <c r="M40" s="58"/>
      <c r="N40" s="47"/>
      <c r="O40" s="46"/>
      <c r="P40" s="46"/>
      <c r="Q40" s="46"/>
      <c r="R40" s="46"/>
      <c r="S40" s="49"/>
    </row>
    <row r="41" spans="1:19" ht="23.4">
      <c r="A41" s="46"/>
      <c r="B41" s="55"/>
      <c r="C41" s="55"/>
      <c r="D41" s="56"/>
      <c r="E41" s="49"/>
      <c r="F41" s="49"/>
      <c r="G41" s="49"/>
      <c r="H41" s="49"/>
      <c r="I41" s="49"/>
      <c r="J41" s="49"/>
      <c r="K41" s="57"/>
      <c r="L41" s="51"/>
      <c r="M41" s="58"/>
      <c r="N41" s="47"/>
      <c r="O41" s="46"/>
      <c r="P41" s="46"/>
      <c r="Q41" s="46"/>
      <c r="R41" s="46"/>
      <c r="S41" s="49"/>
    </row>
    <row r="42" spans="1:19" ht="23.4">
      <c r="A42" s="46"/>
      <c r="B42" s="55"/>
      <c r="C42" s="55"/>
      <c r="D42" s="56"/>
      <c r="E42" s="49"/>
      <c r="F42" s="49"/>
      <c r="G42" s="49"/>
      <c r="H42" s="49"/>
      <c r="I42" s="49"/>
      <c r="J42" s="49"/>
      <c r="K42" s="57"/>
      <c r="L42" s="51"/>
      <c r="M42" s="58"/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92080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92080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25130</v>
      </c>
      <c r="L45" s="77" t="s">
        <v>169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25129</v>
      </c>
      <c r="L46" s="77" t="s">
        <v>170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25131</v>
      </c>
      <c r="L47" s="77" t="s">
        <v>171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>
        <f>SUM(M59:M60)</f>
        <v>0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25117</v>
      </c>
      <c r="L70" s="77" t="s">
        <v>172</v>
      </c>
      <c r="M70" s="11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400</v>
      </c>
      <c r="E71" s="68"/>
      <c r="F71" s="68"/>
      <c r="G71" s="68"/>
      <c r="H71" s="68"/>
      <c r="I71" s="68"/>
      <c r="J71" s="68"/>
      <c r="K71" s="108">
        <v>25125</v>
      </c>
      <c r="L71" s="77" t="s">
        <v>173</v>
      </c>
      <c r="M71" s="111">
        <v>400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25131</v>
      </c>
      <c r="L72" s="77" t="s">
        <v>174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25138</v>
      </c>
      <c r="L73" s="77" t="s">
        <v>175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/>
      <c r="B74" s="75"/>
      <c r="C74" s="71"/>
      <c r="D74" s="110"/>
      <c r="E74" s="68"/>
      <c r="F74" s="68"/>
      <c r="G74" s="68"/>
      <c r="H74" s="68"/>
      <c r="I74" s="68"/>
      <c r="J74" s="68"/>
      <c r="K74" s="112"/>
      <c r="L74" s="77"/>
      <c r="M74" s="111"/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SUM(D70:D75)</f>
        <v>1600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1600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/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/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/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3873.4</v>
      </c>
      <c r="E81" s="75"/>
      <c r="F81" s="72"/>
      <c r="G81" s="72"/>
      <c r="H81" s="72" t="s">
        <v>22</v>
      </c>
      <c r="I81" s="72" t="s">
        <v>22</v>
      </c>
      <c r="J81" s="68" t="s">
        <v>22</v>
      </c>
      <c r="K81" s="76">
        <v>25117</v>
      </c>
      <c r="L81" s="77" t="s">
        <v>176</v>
      </c>
      <c r="M81" s="78">
        <v>3873.4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4183.7</v>
      </c>
      <c r="E82" s="75"/>
      <c r="F82" s="72"/>
      <c r="G82" s="72"/>
      <c r="H82" s="72"/>
      <c r="I82" s="72" t="s">
        <v>22</v>
      </c>
      <c r="J82" s="68" t="s">
        <v>22</v>
      </c>
      <c r="K82" s="76">
        <v>25125</v>
      </c>
      <c r="L82" s="77" t="s">
        <v>177</v>
      </c>
      <c r="M82" s="78">
        <v>4183.7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3852</v>
      </c>
      <c r="E83" s="75"/>
      <c r="F83" s="72"/>
      <c r="G83" s="72"/>
      <c r="H83" s="72"/>
      <c r="I83" s="72"/>
      <c r="J83" s="68"/>
      <c r="K83" s="76">
        <v>25131</v>
      </c>
      <c r="L83" s="77" t="s">
        <v>178</v>
      </c>
      <c r="M83" s="78">
        <v>3852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4440.5</v>
      </c>
      <c r="E84" s="75"/>
      <c r="F84" s="72"/>
      <c r="G84" s="72"/>
      <c r="H84" s="72"/>
      <c r="I84" s="72"/>
      <c r="J84" s="68"/>
      <c r="K84" s="76">
        <v>25138</v>
      </c>
      <c r="L84" s="77" t="s">
        <v>179</v>
      </c>
      <c r="M84" s="78">
        <v>4440.5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/>
      <c r="E85" s="75"/>
      <c r="F85" s="72"/>
      <c r="G85" s="72"/>
      <c r="H85" s="72"/>
      <c r="I85" s="72"/>
      <c r="J85" s="68"/>
      <c r="K85" s="117"/>
      <c r="L85" s="77"/>
      <c r="M85" s="111"/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16349.6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16349.6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SUM(D43+D48+D76+D86)</f>
        <v>113239.6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SUM(M43+M48+M61+M76+M86)</f>
        <v>113239.6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P105:S105"/>
    <mergeCell ref="P106:R106"/>
    <mergeCell ref="P107:R107"/>
    <mergeCell ref="J108:K108"/>
    <mergeCell ref="N108:O108"/>
    <mergeCell ref="P108:R108"/>
    <mergeCell ref="A1:S1"/>
    <mergeCell ref="A2:S2"/>
    <mergeCell ref="A3:S3"/>
    <mergeCell ref="E4:J4"/>
    <mergeCell ref="K4:M4"/>
    <mergeCell ref="N4:S4"/>
  </mergeCells>
  <pageMargins left="0.7" right="0.7" top="0.75" bottom="0.75" header="0.3" footer="0.3"/>
  <pageSetup paperSize="9" orientation="portrait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9B5D-5C21-4E25-8C60-A34DC2C3F972}">
  <sheetPr>
    <tabColor rgb="FF92D050"/>
  </sheetPr>
  <dimension ref="A1:H941"/>
  <sheetViews>
    <sheetView zoomScale="80" zoomScaleNormal="80" workbookViewId="0">
      <pane ySplit="6" topLeftCell="A10" activePane="bottomLeft" state="frozen"/>
      <selection pane="bottomLeft" activeCell="B51" sqref="B51"/>
    </sheetView>
  </sheetViews>
  <sheetFormatPr defaultColWidth="14.5546875" defaultRowHeight="14.4"/>
  <cols>
    <col min="2" max="2" width="19.5546875" customWidth="1"/>
    <col min="3" max="3" width="26.109375" customWidth="1"/>
    <col min="4" max="5" width="14.5546875" style="169"/>
    <col min="6" max="6" width="15.44140625" style="169" bestFit="1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0" t="s">
        <v>8</v>
      </c>
      <c r="E4" s="501"/>
      <c r="F4" s="502"/>
    </row>
    <row r="5" spans="1:6" ht="15.75" customHeight="1">
      <c r="A5" s="3"/>
      <c r="B5" s="4"/>
      <c r="C5" s="4"/>
      <c r="D5" s="7" t="s">
        <v>14</v>
      </c>
      <c r="E5" s="7" t="s">
        <v>15</v>
      </c>
      <c r="F5" s="7" t="s">
        <v>16</v>
      </c>
    </row>
    <row r="6" spans="1:6" ht="15.75" customHeight="1">
      <c r="A6" s="8"/>
      <c r="B6" s="4"/>
      <c r="C6" s="4"/>
      <c r="D6" s="11"/>
      <c r="E6" s="12"/>
      <c r="F6" s="12"/>
    </row>
    <row r="7" spans="1:6" ht="22.5" customHeight="1">
      <c r="A7" s="13"/>
      <c r="B7" s="39" t="s">
        <v>28</v>
      </c>
      <c r="C7" s="40"/>
      <c r="D7" s="42"/>
      <c r="E7" s="43"/>
      <c r="F7" s="43"/>
    </row>
    <row r="8" spans="1:6" ht="20.25" customHeight="1">
      <c r="A8" s="46">
        <v>1</v>
      </c>
      <c r="B8" s="47" t="s">
        <v>39</v>
      </c>
      <c r="C8" s="47" t="s">
        <v>37</v>
      </c>
      <c r="D8" s="50">
        <v>25112</v>
      </c>
      <c r="E8" s="51" t="s">
        <v>155</v>
      </c>
      <c r="F8" s="52">
        <v>25000</v>
      </c>
    </row>
    <row r="9" spans="1:6" ht="22.5" customHeight="1">
      <c r="A9" s="46">
        <v>2</v>
      </c>
      <c r="B9" s="53" t="s">
        <v>36</v>
      </c>
      <c r="C9" s="53" t="s">
        <v>37</v>
      </c>
      <c r="D9" s="50">
        <v>25113</v>
      </c>
      <c r="E9" s="51" t="s">
        <v>156</v>
      </c>
      <c r="F9" s="52">
        <v>6000</v>
      </c>
    </row>
    <row r="10" spans="1:6" ht="17.399999999999999">
      <c r="A10" s="46">
        <v>3</v>
      </c>
      <c r="B10" s="47" t="s">
        <v>29</v>
      </c>
      <c r="C10" s="47" t="s">
        <v>30</v>
      </c>
      <c r="D10" s="50">
        <v>25117</v>
      </c>
      <c r="E10" s="51" t="s">
        <v>157</v>
      </c>
      <c r="F10" s="52">
        <v>11770</v>
      </c>
    </row>
    <row r="11" spans="1:6" ht="17.399999999999999">
      <c r="A11" s="46">
        <v>4</v>
      </c>
      <c r="B11" s="47" t="s">
        <v>29</v>
      </c>
      <c r="C11" s="47" t="s">
        <v>34</v>
      </c>
      <c r="D11" s="50">
        <v>25117</v>
      </c>
      <c r="E11" s="51" t="s">
        <v>158</v>
      </c>
      <c r="F11" s="52">
        <v>2500</v>
      </c>
    </row>
    <row r="12" spans="1:6" ht="17.399999999999999">
      <c r="A12" s="46">
        <v>5</v>
      </c>
      <c r="B12" s="47" t="s">
        <v>29</v>
      </c>
      <c r="C12" s="47" t="s">
        <v>32</v>
      </c>
      <c r="D12" s="50">
        <v>25117</v>
      </c>
      <c r="E12" s="51" t="s">
        <v>159</v>
      </c>
      <c r="F12" s="52">
        <v>1000</v>
      </c>
    </row>
    <row r="13" spans="1:6" ht="17.399999999999999">
      <c r="A13" s="46">
        <v>6</v>
      </c>
      <c r="B13" s="47" t="s">
        <v>29</v>
      </c>
      <c r="C13" s="47" t="s">
        <v>30</v>
      </c>
      <c r="D13" s="50">
        <v>25125</v>
      </c>
      <c r="E13" s="51" t="s">
        <v>160</v>
      </c>
      <c r="F13" s="52">
        <v>11770</v>
      </c>
    </row>
    <row r="14" spans="1:6" ht="17.399999999999999">
      <c r="A14" s="46">
        <v>7</v>
      </c>
      <c r="B14" s="47" t="s">
        <v>29</v>
      </c>
      <c r="C14" s="47" t="s">
        <v>34</v>
      </c>
      <c r="D14" s="50">
        <v>25125</v>
      </c>
      <c r="E14" s="51" t="s">
        <v>161</v>
      </c>
      <c r="F14" s="52">
        <v>2500</v>
      </c>
    </row>
    <row r="15" spans="1:6" ht="17.399999999999999">
      <c r="A15" s="46">
        <v>8</v>
      </c>
      <c r="B15" s="47" t="s">
        <v>29</v>
      </c>
      <c r="C15" s="47" t="s">
        <v>32</v>
      </c>
      <c r="D15" s="50">
        <v>25125</v>
      </c>
      <c r="E15" s="51" t="s">
        <v>162</v>
      </c>
      <c r="F15" s="52">
        <v>1000</v>
      </c>
    </row>
    <row r="16" spans="1:6" ht="17.399999999999999">
      <c r="A16" s="46">
        <v>9</v>
      </c>
      <c r="B16" s="47" t="s">
        <v>29</v>
      </c>
      <c r="C16" s="47" t="s">
        <v>30</v>
      </c>
      <c r="D16" s="50">
        <v>25131</v>
      </c>
      <c r="E16" s="51" t="s">
        <v>163</v>
      </c>
      <c r="F16" s="52">
        <v>11770</v>
      </c>
    </row>
    <row r="17" spans="1:8" ht="17.399999999999999">
      <c r="A17" s="46">
        <v>10</v>
      </c>
      <c r="B17" s="47" t="s">
        <v>29</v>
      </c>
      <c r="C17" s="47" t="s">
        <v>34</v>
      </c>
      <c r="D17" s="50">
        <v>25131</v>
      </c>
      <c r="E17" s="51" t="s">
        <v>164</v>
      </c>
      <c r="F17" s="52">
        <v>2500</v>
      </c>
    </row>
    <row r="18" spans="1:8" ht="17.399999999999999">
      <c r="A18" s="46">
        <v>11</v>
      </c>
      <c r="B18" s="47" t="s">
        <v>29</v>
      </c>
      <c r="C18" s="47" t="s">
        <v>32</v>
      </c>
      <c r="D18" s="50">
        <v>25131</v>
      </c>
      <c r="E18" s="51" t="s">
        <v>165</v>
      </c>
      <c r="F18" s="52">
        <v>1000</v>
      </c>
    </row>
    <row r="19" spans="1:8" ht="23.4">
      <c r="A19" s="46">
        <v>12</v>
      </c>
      <c r="B19" s="55" t="s">
        <v>29</v>
      </c>
      <c r="C19" s="55" t="s">
        <v>30</v>
      </c>
      <c r="D19" s="57">
        <v>25138</v>
      </c>
      <c r="E19" s="51" t="s">
        <v>166</v>
      </c>
      <c r="F19" s="58">
        <v>11770</v>
      </c>
    </row>
    <row r="20" spans="1:8" ht="23.4">
      <c r="A20" s="46">
        <v>13</v>
      </c>
      <c r="B20" s="55" t="s">
        <v>29</v>
      </c>
      <c r="C20" s="55" t="s">
        <v>34</v>
      </c>
      <c r="D20" s="57">
        <v>25138</v>
      </c>
      <c r="E20" s="51" t="s">
        <v>167</v>
      </c>
      <c r="F20" s="58">
        <v>2500</v>
      </c>
    </row>
    <row r="21" spans="1:8" ht="23.4">
      <c r="A21" s="46">
        <v>14</v>
      </c>
      <c r="B21" s="55" t="s">
        <v>29</v>
      </c>
      <c r="C21" s="55" t="s">
        <v>32</v>
      </c>
      <c r="D21" s="57">
        <v>25138</v>
      </c>
      <c r="E21" s="51" t="s">
        <v>168</v>
      </c>
      <c r="F21" s="58">
        <v>1000</v>
      </c>
    </row>
    <row r="22" spans="1:8" ht="18" thickBot="1">
      <c r="A22" s="46"/>
      <c r="B22" s="59" t="s">
        <v>19</v>
      </c>
      <c r="C22" s="60"/>
      <c r="D22" s="63"/>
      <c r="E22" s="63"/>
      <c r="F22" s="64">
        <v>92080</v>
      </c>
      <c r="H22" s="170">
        <f>SUM(F8:F21)</f>
        <v>92080</v>
      </c>
    </row>
    <row r="23" spans="1:8" ht="18" thickTop="1">
      <c r="A23" s="65"/>
      <c r="B23" s="66" t="s">
        <v>53</v>
      </c>
      <c r="C23" s="67"/>
      <c r="D23" s="69"/>
      <c r="E23" s="70"/>
      <c r="F23" s="70"/>
    </row>
    <row r="24" spans="1:8" ht="17.399999999999999">
      <c r="A24" s="73">
        <v>1</v>
      </c>
      <c r="B24" s="71" t="s">
        <v>54</v>
      </c>
      <c r="C24" s="71" t="s">
        <v>55</v>
      </c>
      <c r="D24" s="76">
        <v>25130</v>
      </c>
      <c r="E24" s="77" t="s">
        <v>169</v>
      </c>
      <c r="F24" s="78">
        <v>1070</v>
      </c>
    </row>
    <row r="25" spans="1:8" ht="17.399999999999999">
      <c r="A25" s="73">
        <v>2</v>
      </c>
      <c r="B25" s="71" t="s">
        <v>57</v>
      </c>
      <c r="C25" s="71" t="s">
        <v>55</v>
      </c>
      <c r="D25" s="76">
        <v>25129</v>
      </c>
      <c r="E25" s="77" t="s">
        <v>170</v>
      </c>
      <c r="F25" s="78">
        <v>1070</v>
      </c>
    </row>
    <row r="26" spans="1:8" ht="17.399999999999999">
      <c r="A26" s="79">
        <v>3</v>
      </c>
      <c r="B26" s="80" t="s">
        <v>59</v>
      </c>
      <c r="C26" s="81" t="s">
        <v>55</v>
      </c>
      <c r="D26" s="76">
        <v>25131</v>
      </c>
      <c r="E26" s="77" t="s">
        <v>171</v>
      </c>
      <c r="F26" s="78">
        <v>1070</v>
      </c>
    </row>
    <row r="27" spans="1:8" ht="21" thickBot="1">
      <c r="A27" s="65"/>
      <c r="B27" s="59" t="s">
        <v>19</v>
      </c>
      <c r="C27" s="60"/>
      <c r="D27" s="92"/>
      <c r="E27" s="93"/>
      <c r="F27" s="94">
        <v>3210</v>
      </c>
      <c r="H27" s="170">
        <f>SUM(F24:F26)</f>
        <v>3210</v>
      </c>
    </row>
    <row r="28" spans="1:8" ht="18" thickTop="1">
      <c r="A28" s="65"/>
      <c r="B28" s="66" t="s">
        <v>70</v>
      </c>
      <c r="C28" s="104"/>
      <c r="D28" s="106"/>
      <c r="E28" s="106"/>
      <c r="F28" s="106" t="s">
        <v>22</v>
      </c>
    </row>
    <row r="29" spans="1:8" ht="17.399999999999999">
      <c r="A29" s="65">
        <v>1</v>
      </c>
      <c r="B29" s="71" t="s">
        <v>75</v>
      </c>
      <c r="C29" s="71" t="s">
        <v>76</v>
      </c>
      <c r="D29" s="108">
        <v>25117</v>
      </c>
      <c r="E29" s="77" t="s">
        <v>172</v>
      </c>
      <c r="F29" s="111">
        <v>400</v>
      </c>
    </row>
    <row r="30" spans="1:8" ht="17.399999999999999">
      <c r="A30" s="65">
        <v>2</v>
      </c>
      <c r="B30" s="71" t="s">
        <v>75</v>
      </c>
      <c r="C30" s="71" t="s">
        <v>78</v>
      </c>
      <c r="D30" s="108">
        <v>25125</v>
      </c>
      <c r="E30" s="77" t="s">
        <v>173</v>
      </c>
      <c r="F30" s="111">
        <v>400</v>
      </c>
    </row>
    <row r="31" spans="1:8" ht="17.399999999999999">
      <c r="A31" s="65">
        <v>3</v>
      </c>
      <c r="B31" s="71" t="s">
        <v>75</v>
      </c>
      <c r="C31" s="71" t="s">
        <v>80</v>
      </c>
      <c r="D31" s="108">
        <v>25131</v>
      </c>
      <c r="E31" s="77" t="s">
        <v>174</v>
      </c>
      <c r="F31" s="111">
        <v>400</v>
      </c>
    </row>
    <row r="32" spans="1:8" ht="17.399999999999999">
      <c r="A32" s="65">
        <v>4</v>
      </c>
      <c r="B32" s="71" t="s">
        <v>75</v>
      </c>
      <c r="C32" s="71" t="s">
        <v>82</v>
      </c>
      <c r="D32" s="108">
        <v>25138</v>
      </c>
      <c r="E32" s="77" t="s">
        <v>175</v>
      </c>
      <c r="F32" s="111">
        <v>400</v>
      </c>
    </row>
    <row r="33" spans="1:8" ht="18" thickBot="1">
      <c r="A33" s="65"/>
      <c r="B33" s="59" t="s">
        <v>19</v>
      </c>
      <c r="C33" s="60"/>
      <c r="D33" s="115"/>
      <c r="E33" s="92"/>
      <c r="F33" s="94">
        <v>1600</v>
      </c>
      <c r="H33" s="171">
        <f>SUM(F29:F32)</f>
        <v>1600</v>
      </c>
    </row>
    <row r="34" spans="1:8" ht="18" thickTop="1">
      <c r="A34" s="65"/>
      <c r="B34" s="66" t="s">
        <v>86</v>
      </c>
      <c r="C34" s="67"/>
      <c r="D34" s="69"/>
      <c r="E34" s="70"/>
      <c r="F34" s="70"/>
    </row>
    <row r="35" spans="1:8" ht="17.399999999999999">
      <c r="A35" s="73">
        <v>1</v>
      </c>
      <c r="B35" s="71" t="s">
        <v>75</v>
      </c>
      <c r="C35" s="71" t="s">
        <v>91</v>
      </c>
      <c r="D35" s="76">
        <v>25117</v>
      </c>
      <c r="E35" s="77" t="s">
        <v>176</v>
      </c>
      <c r="F35" s="78">
        <v>3873.4</v>
      </c>
    </row>
    <row r="36" spans="1:8" ht="17.399999999999999">
      <c r="A36" s="73">
        <v>2</v>
      </c>
      <c r="B36" s="71" t="s">
        <v>75</v>
      </c>
      <c r="C36" s="71" t="s">
        <v>93</v>
      </c>
      <c r="D36" s="76">
        <v>25125</v>
      </c>
      <c r="E36" s="77" t="s">
        <v>177</v>
      </c>
      <c r="F36" s="78">
        <v>4183.7</v>
      </c>
    </row>
    <row r="37" spans="1:8" ht="17.399999999999999">
      <c r="A37" s="73">
        <v>3</v>
      </c>
      <c r="B37" s="71" t="s">
        <v>75</v>
      </c>
      <c r="C37" s="71" t="s">
        <v>95</v>
      </c>
      <c r="D37" s="76">
        <v>25131</v>
      </c>
      <c r="E37" s="77" t="s">
        <v>178</v>
      </c>
      <c r="F37" s="78">
        <v>3852</v>
      </c>
    </row>
    <row r="38" spans="1:8" ht="17.399999999999999">
      <c r="A38" s="73">
        <v>4</v>
      </c>
      <c r="B38" s="71" t="s">
        <v>75</v>
      </c>
      <c r="C38" s="71" t="s">
        <v>97</v>
      </c>
      <c r="D38" s="76">
        <v>25138</v>
      </c>
      <c r="E38" s="77" t="s">
        <v>179</v>
      </c>
      <c r="F38" s="78">
        <v>4440.5</v>
      </c>
    </row>
    <row r="39" spans="1:8" ht="18" thickBot="1">
      <c r="A39" s="65"/>
      <c r="B39" s="97" t="s">
        <v>19</v>
      </c>
      <c r="C39" s="98"/>
      <c r="D39" s="92"/>
      <c r="E39" s="92"/>
      <c r="F39" s="94">
        <v>16349.6</v>
      </c>
      <c r="H39" s="170">
        <f>SUM(F35:F38)</f>
        <v>16349.6</v>
      </c>
    </row>
    <row r="40" spans="1:8" ht="18.600000000000001" thickTop="1" thickBot="1">
      <c r="A40" s="122"/>
      <c r="B40" s="123" t="s">
        <v>111</v>
      </c>
      <c r="C40" s="124"/>
      <c r="D40" s="128"/>
      <c r="E40" s="129"/>
      <c r="F40" s="130">
        <v>113239.6</v>
      </c>
      <c r="H40" s="172">
        <f>SUM(H22:H39)</f>
        <v>113239.6</v>
      </c>
    </row>
    <row r="41" spans="1:8" ht="18" thickTop="1">
      <c r="A41" s="1"/>
      <c r="B41" s="131"/>
      <c r="C41" s="132"/>
      <c r="D41" s="133"/>
      <c r="E41" s="134"/>
      <c r="F41" s="134"/>
    </row>
    <row r="42" spans="1:8" ht="17.399999999999999">
      <c r="A42" s="132"/>
      <c r="B42" s="131"/>
      <c r="C42" s="132"/>
      <c r="D42" s="135"/>
      <c r="E42" s="135"/>
      <c r="F42" s="135"/>
    </row>
    <row r="43" spans="1:8" ht="17.399999999999999">
      <c r="A43" s="132"/>
      <c r="B43" s="131"/>
      <c r="C43" s="132"/>
      <c r="D43" s="135"/>
      <c r="E43" s="134"/>
      <c r="F43" s="135"/>
    </row>
    <row r="44" spans="1:8" ht="17.399999999999999">
      <c r="A44" s="132"/>
      <c r="B44" s="131"/>
      <c r="C44" s="132"/>
      <c r="D44" s="135"/>
      <c r="E44" s="134"/>
      <c r="F44" s="135"/>
    </row>
    <row r="45" spans="1:8" ht="17.399999999999999">
      <c r="A45" s="132"/>
      <c r="B45" s="131"/>
      <c r="C45" s="132"/>
      <c r="D45"/>
      <c r="E45" s="134"/>
      <c r="F45" s="135"/>
    </row>
    <row r="46" spans="1:8" ht="17.399999999999999">
      <c r="A46" s="132"/>
      <c r="B46" s="131"/>
      <c r="C46" s="132"/>
      <c r="D46" s="135"/>
      <c r="E46" s="134"/>
      <c r="F46" s="135"/>
    </row>
    <row r="47" spans="1:8" ht="17.399999999999999">
      <c r="A47" s="132"/>
      <c r="B47" s="131"/>
      <c r="C47" s="132"/>
      <c r="D47" s="135"/>
      <c r="E47" s="135"/>
      <c r="F47" s="135"/>
    </row>
    <row r="48" spans="1:8" ht="17.399999999999999">
      <c r="A48" s="132"/>
      <c r="B48" s="131"/>
      <c r="C48" s="132"/>
      <c r="D48" s="135"/>
      <c r="E48" s="135"/>
      <c r="F48" s="135"/>
    </row>
    <row r="49" spans="1:6" ht="17.399999999999999">
      <c r="A49" s="132"/>
      <c r="B49" s="131"/>
      <c r="C49" s="132"/>
      <c r="D49" s="135"/>
      <c r="E49" s="135"/>
      <c r="F49" s="135"/>
    </row>
    <row r="50" spans="1:6" ht="17.399999999999999">
      <c r="A50" s="132"/>
      <c r="B50" s="131"/>
      <c r="C50" s="132"/>
      <c r="D50" s="135"/>
      <c r="E50" s="135"/>
      <c r="F50" s="135"/>
    </row>
    <row r="51" spans="1:6" ht="17.399999999999999">
      <c r="A51" s="132"/>
      <c r="B51" s="131"/>
      <c r="C51" s="132"/>
      <c r="D51" s="135"/>
      <c r="E51" s="135"/>
      <c r="F51" s="135"/>
    </row>
    <row r="52" spans="1:6" ht="17.399999999999999">
      <c r="A52" s="132"/>
      <c r="B52" s="131"/>
      <c r="C52" s="132"/>
      <c r="D52" s="135"/>
      <c r="E52" s="135"/>
      <c r="F52" s="135"/>
    </row>
    <row r="53" spans="1:6" ht="17.399999999999999">
      <c r="A53" s="132"/>
      <c r="B53" s="131"/>
      <c r="C53" s="132"/>
      <c r="D53" s="135"/>
      <c r="E53" s="135"/>
      <c r="F53" s="135"/>
    </row>
    <row r="54" spans="1:6" ht="17.399999999999999">
      <c r="A54" s="132"/>
      <c r="B54" s="131"/>
      <c r="C54" s="132"/>
      <c r="D54" s="135"/>
      <c r="E54" s="135"/>
      <c r="F54" s="135"/>
    </row>
    <row r="55" spans="1:6" ht="17.399999999999999">
      <c r="A55" s="132"/>
      <c r="B55" s="131"/>
      <c r="C55" s="132"/>
      <c r="D55" s="135"/>
      <c r="E55" s="135"/>
      <c r="F55" s="135"/>
    </row>
    <row r="56" spans="1:6" ht="17.399999999999999">
      <c r="A56" s="132"/>
      <c r="B56" s="131"/>
      <c r="C56" s="132"/>
      <c r="D56" s="135"/>
      <c r="E56" s="135"/>
      <c r="F56" s="135"/>
    </row>
    <row r="57" spans="1:6" ht="17.399999999999999">
      <c r="A57" s="132"/>
      <c r="B57" s="131"/>
      <c r="C57" s="132"/>
      <c r="D57" s="135"/>
      <c r="E57" s="135"/>
      <c r="F57" s="135"/>
    </row>
    <row r="58" spans="1:6" ht="17.399999999999999">
      <c r="A58" s="132"/>
      <c r="B58" s="131"/>
      <c r="C58" s="132"/>
      <c r="D58" s="135"/>
      <c r="E58" s="135"/>
      <c r="F58" s="135"/>
    </row>
    <row r="59" spans="1:6" ht="17.399999999999999">
      <c r="A59" s="132"/>
      <c r="B59" s="131"/>
      <c r="C59" s="132"/>
      <c r="D59" s="135"/>
      <c r="E59" s="135"/>
      <c r="F59" s="135"/>
    </row>
    <row r="60" spans="1:6" ht="17.399999999999999">
      <c r="A60" s="132"/>
      <c r="B60" s="131"/>
      <c r="C60" s="132"/>
      <c r="D60" s="135"/>
      <c r="E60" s="135"/>
      <c r="F60" s="135"/>
    </row>
    <row r="61" spans="1:6" ht="17.399999999999999">
      <c r="A61" s="136"/>
      <c r="B61" s="136"/>
      <c r="C61" s="136"/>
      <c r="D61" s="139"/>
      <c r="E61" s="139"/>
      <c r="F61" s="139"/>
    </row>
    <row r="62" spans="1:6" ht="17.399999999999999">
      <c r="A62" s="132"/>
      <c r="B62" s="131"/>
      <c r="C62" s="132"/>
      <c r="D62" s="135"/>
      <c r="E62" s="135"/>
      <c r="F62" s="135"/>
    </row>
    <row r="63" spans="1:6" ht="17.399999999999999">
      <c r="A63" s="132"/>
      <c r="B63" s="131"/>
      <c r="C63" s="132"/>
      <c r="D63" s="135"/>
      <c r="E63" s="135"/>
      <c r="F63" s="135"/>
    </row>
    <row r="64" spans="1:6" ht="17.399999999999999">
      <c r="A64" s="132"/>
      <c r="B64" s="131"/>
      <c r="C64" s="132"/>
      <c r="D64" s="135"/>
      <c r="E64" s="135"/>
      <c r="F64" s="135"/>
    </row>
    <row r="65" spans="1:6" ht="17.399999999999999">
      <c r="A65" s="132"/>
      <c r="B65" s="131"/>
      <c r="C65" s="132"/>
      <c r="D65" s="135"/>
      <c r="E65" s="135"/>
      <c r="F65" s="135"/>
    </row>
    <row r="66" spans="1:6" ht="17.399999999999999">
      <c r="A66" s="132"/>
      <c r="B66" s="131"/>
      <c r="C66" s="132"/>
      <c r="D66" s="135"/>
      <c r="E66" s="135"/>
      <c r="F66" s="135"/>
    </row>
    <row r="67" spans="1:6" ht="17.399999999999999">
      <c r="A67" s="132"/>
      <c r="B67" s="131"/>
      <c r="C67" s="132"/>
      <c r="D67" s="135"/>
      <c r="E67" s="135"/>
      <c r="F67" s="135"/>
    </row>
    <row r="68" spans="1:6" ht="17.399999999999999">
      <c r="A68" s="132"/>
      <c r="B68" s="131"/>
      <c r="C68" s="132"/>
      <c r="D68" s="135"/>
      <c r="E68" s="135"/>
      <c r="F68" s="135"/>
    </row>
    <row r="69" spans="1:6" ht="17.399999999999999">
      <c r="A69" s="132"/>
      <c r="B69" s="131"/>
      <c r="C69" s="132"/>
      <c r="D69" s="135"/>
      <c r="E69" s="135"/>
      <c r="F69" s="135"/>
    </row>
    <row r="70" spans="1:6" ht="17.399999999999999">
      <c r="A70" s="132"/>
      <c r="B70" s="131"/>
      <c r="C70" s="132"/>
      <c r="D70" s="135"/>
      <c r="E70" s="135"/>
      <c r="F70" s="135"/>
    </row>
    <row r="71" spans="1:6" ht="17.399999999999999">
      <c r="A71" s="132"/>
      <c r="B71" s="131"/>
      <c r="C71" s="132"/>
      <c r="D71" s="135"/>
      <c r="E71" s="135"/>
      <c r="F71" s="135"/>
    </row>
    <row r="72" spans="1:6" ht="17.399999999999999">
      <c r="A72" s="132"/>
      <c r="B72" s="131"/>
      <c r="C72" s="132"/>
      <c r="D72" s="135"/>
      <c r="E72" s="135"/>
      <c r="F72" s="135"/>
    </row>
    <row r="73" spans="1:6" ht="17.399999999999999">
      <c r="A73" s="132"/>
      <c r="B73" s="131"/>
      <c r="C73" s="132"/>
      <c r="D73" s="135"/>
      <c r="E73" s="135"/>
      <c r="F73" s="135"/>
    </row>
    <row r="74" spans="1:6" ht="17.399999999999999">
      <c r="A74" s="132"/>
      <c r="B74" s="131"/>
      <c r="C74" s="132"/>
      <c r="D74" s="135"/>
      <c r="E74" s="135"/>
      <c r="F74" s="135"/>
    </row>
    <row r="75" spans="1:6" ht="17.399999999999999">
      <c r="A75" s="132"/>
      <c r="B75" s="131"/>
      <c r="C75" s="132"/>
      <c r="D75" s="135"/>
      <c r="E75" s="135"/>
      <c r="F75" s="135"/>
    </row>
    <row r="76" spans="1:6" ht="17.399999999999999">
      <c r="A76" s="132"/>
      <c r="B76" s="131"/>
      <c r="C76" s="132"/>
      <c r="D76" s="135"/>
      <c r="E76" s="135"/>
      <c r="F76" s="135"/>
    </row>
    <row r="77" spans="1:6" ht="17.399999999999999">
      <c r="A77" s="132"/>
      <c r="B77" s="131"/>
      <c r="C77" s="132"/>
      <c r="D77" s="135"/>
      <c r="E77" s="135"/>
      <c r="F77" s="135"/>
    </row>
    <row r="78" spans="1:6" ht="17.399999999999999">
      <c r="A78" s="132"/>
      <c r="B78" s="131"/>
      <c r="C78" s="132"/>
      <c r="D78" s="135"/>
      <c r="E78" s="135"/>
      <c r="F78" s="135"/>
    </row>
    <row r="79" spans="1:6" ht="17.399999999999999">
      <c r="A79" s="132"/>
      <c r="B79" s="131"/>
      <c r="C79" s="132"/>
      <c r="D79" s="135"/>
      <c r="E79" s="135"/>
      <c r="F79" s="135"/>
    </row>
    <row r="80" spans="1:6" ht="17.399999999999999">
      <c r="A80" s="132"/>
      <c r="B80" s="131"/>
      <c r="C80" s="132"/>
      <c r="D80" s="135"/>
      <c r="E80" s="135"/>
      <c r="F80" s="135"/>
    </row>
    <row r="81" spans="1:6" ht="17.399999999999999">
      <c r="A81" s="132"/>
      <c r="B81" s="131"/>
      <c r="C81" s="132"/>
      <c r="D81" s="135"/>
      <c r="E81" s="135"/>
      <c r="F81" s="135"/>
    </row>
    <row r="82" spans="1:6" ht="17.399999999999999">
      <c r="A82" s="132"/>
      <c r="B82" s="131"/>
      <c r="C82" s="132"/>
      <c r="D82" s="135"/>
      <c r="E82" s="135"/>
      <c r="F82" s="135"/>
    </row>
    <row r="83" spans="1:6" ht="17.399999999999999">
      <c r="A83" s="132"/>
      <c r="B83" s="131"/>
      <c r="C83" s="132"/>
      <c r="D83" s="135"/>
      <c r="E83" s="135"/>
      <c r="F83" s="135"/>
    </row>
    <row r="84" spans="1:6" ht="17.399999999999999">
      <c r="A84" s="132"/>
      <c r="B84" s="131"/>
      <c r="C84" s="132"/>
      <c r="D84" s="135"/>
      <c r="E84" s="135"/>
      <c r="F84" s="135"/>
    </row>
    <row r="85" spans="1:6" ht="17.399999999999999">
      <c r="A85" s="132"/>
      <c r="B85" s="131"/>
      <c r="C85" s="132"/>
      <c r="D85" s="135"/>
      <c r="E85" s="135"/>
      <c r="F85" s="135"/>
    </row>
    <row r="86" spans="1:6" ht="17.399999999999999">
      <c r="A86" s="132"/>
      <c r="B86" s="131"/>
      <c r="C86" s="132"/>
      <c r="D86" s="135"/>
      <c r="E86" s="135"/>
      <c r="F86" s="135"/>
    </row>
    <row r="87" spans="1:6" ht="17.399999999999999">
      <c r="A87" s="132"/>
      <c r="B87" s="131"/>
      <c r="C87" s="132"/>
      <c r="D87" s="135"/>
      <c r="E87" s="135"/>
      <c r="F87" s="135"/>
    </row>
    <row r="88" spans="1:6" ht="17.399999999999999">
      <c r="A88" s="132"/>
      <c r="B88" s="131"/>
      <c r="C88" s="132"/>
      <c r="D88" s="135"/>
      <c r="E88" s="135"/>
      <c r="F88" s="135"/>
    </row>
    <row r="89" spans="1:6" ht="17.399999999999999">
      <c r="A89" s="132"/>
      <c r="B89" s="131"/>
      <c r="C89" s="132"/>
      <c r="D89" s="135"/>
      <c r="E89" s="135"/>
      <c r="F89" s="135"/>
    </row>
    <row r="90" spans="1:6" ht="17.399999999999999">
      <c r="A90" s="132"/>
      <c r="B90" s="131"/>
      <c r="C90" s="132"/>
      <c r="D90" s="135"/>
      <c r="E90" s="135"/>
      <c r="F90" s="135"/>
    </row>
    <row r="91" spans="1:6" ht="17.399999999999999">
      <c r="A91" s="132"/>
      <c r="B91" s="494" t="s">
        <v>115</v>
      </c>
      <c r="C91" s="493"/>
      <c r="D91" s="493"/>
      <c r="E91" s="135"/>
      <c r="F91" s="135"/>
    </row>
    <row r="92" spans="1:6" ht="17.399999999999999">
      <c r="A92" s="132"/>
      <c r="B92" s="494" t="s">
        <v>116</v>
      </c>
      <c r="C92" s="493"/>
      <c r="D92" s="135"/>
      <c r="E92" s="135"/>
      <c r="F92" s="135"/>
    </row>
    <row r="93" spans="1:6" ht="17.399999999999999">
      <c r="A93" s="132"/>
      <c r="B93" s="494" t="s">
        <v>117</v>
      </c>
      <c r="C93" s="493"/>
      <c r="D93" s="135"/>
      <c r="E93" s="135"/>
      <c r="F93" s="135"/>
    </row>
    <row r="94" spans="1:6" ht="17.399999999999999">
      <c r="A94" s="132"/>
      <c r="B94" s="131"/>
      <c r="C94" s="132"/>
      <c r="D94" s="135"/>
      <c r="E94" s="135"/>
      <c r="F94" s="135"/>
    </row>
    <row r="95" spans="1:6" ht="20.399999999999999">
      <c r="A95" s="132"/>
      <c r="B95" s="140" t="s">
        <v>118</v>
      </c>
      <c r="C95" s="136" t="s">
        <v>119</v>
      </c>
      <c r="D95" s="134"/>
      <c r="E95" s="134"/>
      <c r="F95" s="134"/>
    </row>
    <row r="96" spans="1:6" ht="17.399999999999999">
      <c r="A96" s="132"/>
      <c r="B96" s="496" t="s">
        <v>120</v>
      </c>
      <c r="C96" s="493"/>
      <c r="D96" s="493"/>
      <c r="E96" s="493"/>
      <c r="F96" s="135"/>
    </row>
    <row r="97" spans="1:6" ht="17.399999999999999">
      <c r="A97" s="132"/>
      <c r="B97" s="494" t="s">
        <v>121</v>
      </c>
      <c r="C97" s="493"/>
      <c r="D97" s="493"/>
      <c r="E97" s="493"/>
      <c r="F97" s="135"/>
    </row>
    <row r="98" spans="1:6" ht="17.399999999999999">
      <c r="A98" s="132"/>
      <c r="B98" s="494" t="s">
        <v>122</v>
      </c>
      <c r="C98" s="493"/>
      <c r="D98" s="135"/>
      <c r="E98" s="135"/>
      <c r="F98" s="135"/>
    </row>
    <row r="99" spans="1:6" ht="17.399999999999999">
      <c r="A99" s="132"/>
      <c r="B99" s="494" t="s">
        <v>123</v>
      </c>
      <c r="C99" s="493"/>
      <c r="D99" s="493"/>
      <c r="E99" s="493"/>
      <c r="F99" s="493"/>
    </row>
    <row r="100" spans="1:6" ht="17.399999999999999">
      <c r="A100" s="132"/>
      <c r="B100" s="494" t="s">
        <v>124</v>
      </c>
      <c r="C100" s="493"/>
      <c r="D100" s="135"/>
      <c r="E100" s="135"/>
      <c r="F100" s="135"/>
    </row>
    <row r="101" spans="1:6" ht="17.399999999999999">
      <c r="A101" s="132"/>
      <c r="B101" s="494" t="s">
        <v>125</v>
      </c>
      <c r="C101" s="493"/>
      <c r="D101" s="493"/>
      <c r="E101" s="135"/>
      <c r="F101" s="135"/>
    </row>
    <row r="102" spans="1:6" ht="17.399999999999999">
      <c r="A102" s="132"/>
      <c r="B102" s="494" t="s">
        <v>126</v>
      </c>
      <c r="C102" s="493"/>
      <c r="D102" s="493"/>
      <c r="E102" s="493"/>
      <c r="F102" s="493"/>
    </row>
    <row r="103" spans="1:6" ht="17.399999999999999">
      <c r="A103" s="132"/>
      <c r="B103" s="494" t="s">
        <v>127</v>
      </c>
      <c r="C103" s="493"/>
      <c r="D103" s="135"/>
      <c r="E103" s="135"/>
      <c r="F103" s="135"/>
    </row>
    <row r="104" spans="1:6" ht="17.399999999999999">
      <c r="A104" s="132"/>
      <c r="B104" s="494" t="s">
        <v>128</v>
      </c>
      <c r="C104" s="493"/>
      <c r="D104" s="135"/>
      <c r="E104" s="135"/>
      <c r="F104" s="135"/>
    </row>
    <row r="105" spans="1:6" ht="17.399999999999999">
      <c r="A105" s="132"/>
      <c r="B105" s="494" t="s">
        <v>129</v>
      </c>
      <c r="C105" s="493"/>
      <c r="D105" s="135"/>
      <c r="E105" s="135"/>
      <c r="F105" s="135"/>
    </row>
    <row r="106" spans="1:6" ht="17.399999999999999">
      <c r="A106" s="132"/>
      <c r="B106" s="136" t="s">
        <v>130</v>
      </c>
      <c r="C106" s="132"/>
      <c r="D106" s="135"/>
      <c r="E106" s="135"/>
      <c r="F106" s="135"/>
    </row>
    <row r="107" spans="1:6" ht="17.399999999999999">
      <c r="A107" s="132"/>
      <c r="B107" s="494" t="s">
        <v>131</v>
      </c>
      <c r="C107" s="493"/>
      <c r="D107" s="493"/>
      <c r="E107" s="493"/>
      <c r="F107" s="493"/>
    </row>
    <row r="108" spans="1:6" ht="17.399999999999999">
      <c r="A108" s="132"/>
      <c r="B108" s="494" t="s">
        <v>132</v>
      </c>
      <c r="C108" s="493"/>
      <c r="D108" s="135"/>
      <c r="E108" s="135"/>
      <c r="F108" s="135"/>
    </row>
    <row r="109" spans="1:6" ht="17.399999999999999">
      <c r="A109" s="132"/>
      <c r="B109" s="136"/>
      <c r="C109" s="132"/>
      <c r="D109" s="135"/>
      <c r="E109" s="135"/>
      <c r="F109" s="135"/>
    </row>
    <row r="110" spans="1:6" ht="17.399999999999999">
      <c r="A110" s="132"/>
      <c r="B110" s="136"/>
      <c r="C110" s="132"/>
      <c r="D110" s="135"/>
      <c r="E110" s="135"/>
      <c r="F110" s="135"/>
    </row>
    <row r="111" spans="1:6" ht="17.399999999999999">
      <c r="A111" s="132"/>
      <c r="B111" s="136"/>
      <c r="C111" s="132"/>
      <c r="D111" s="135"/>
      <c r="E111" s="135"/>
      <c r="F111" s="135"/>
    </row>
    <row r="112" spans="1:6" ht="17.399999999999999">
      <c r="A112" s="132"/>
      <c r="B112" s="136"/>
      <c r="C112" s="132"/>
      <c r="D112" s="135"/>
      <c r="E112" s="135"/>
      <c r="F112" s="135"/>
    </row>
    <row r="113" spans="1:6" ht="17.399999999999999">
      <c r="A113" s="132"/>
      <c r="B113" s="136"/>
      <c r="C113" s="132"/>
      <c r="D113" s="135"/>
      <c r="E113" s="135"/>
      <c r="F113" s="135"/>
    </row>
    <row r="114" spans="1:6" ht="17.399999999999999">
      <c r="A114" s="132"/>
      <c r="B114" s="136"/>
      <c r="C114" s="132"/>
      <c r="D114" s="135"/>
      <c r="E114" s="135"/>
      <c r="F114" s="135"/>
    </row>
    <row r="115" spans="1:6" ht="17.399999999999999">
      <c r="A115" s="132"/>
      <c r="B115" s="136"/>
      <c r="C115" s="132"/>
      <c r="D115" s="135"/>
      <c r="E115" s="135"/>
      <c r="F115" s="135"/>
    </row>
    <row r="116" spans="1:6" ht="17.399999999999999">
      <c r="A116" s="132"/>
      <c r="B116" s="136"/>
      <c r="C116" s="132"/>
      <c r="D116" s="135"/>
      <c r="E116" s="135"/>
      <c r="F116" s="135"/>
    </row>
    <row r="117" spans="1:6" ht="17.399999999999999">
      <c r="A117" s="132"/>
      <c r="B117" s="136"/>
      <c r="C117" s="132"/>
      <c r="D117" s="135"/>
      <c r="E117" s="135"/>
      <c r="F117" s="135"/>
    </row>
    <row r="118" spans="1:6" ht="17.399999999999999">
      <c r="A118" s="132"/>
      <c r="B118" s="136"/>
      <c r="C118" s="132"/>
      <c r="D118" s="135"/>
      <c r="E118" s="135"/>
      <c r="F118" s="135"/>
    </row>
    <row r="119" spans="1:6" ht="17.399999999999999">
      <c r="A119" s="132"/>
      <c r="B119" s="136"/>
      <c r="C119" s="132"/>
      <c r="D119" s="135"/>
      <c r="E119" s="135"/>
      <c r="F119" s="135"/>
    </row>
    <row r="120" spans="1:6" ht="17.399999999999999">
      <c r="A120" s="132"/>
      <c r="B120" s="136"/>
      <c r="C120" s="132"/>
      <c r="D120" s="135"/>
      <c r="E120" s="135"/>
      <c r="F120" s="135"/>
    </row>
    <row r="121" spans="1:6" ht="17.399999999999999">
      <c r="A121" s="132"/>
      <c r="B121" s="136"/>
      <c r="C121" s="132"/>
      <c r="D121" s="135"/>
      <c r="E121" s="135"/>
      <c r="F121" s="135"/>
    </row>
    <row r="122" spans="1:6" ht="17.399999999999999">
      <c r="A122" s="132"/>
      <c r="B122" s="136"/>
      <c r="C122" s="132"/>
      <c r="D122" s="135"/>
      <c r="E122" s="135"/>
      <c r="F122" s="135"/>
    </row>
    <row r="123" spans="1:6" ht="17.399999999999999">
      <c r="A123" s="132"/>
      <c r="B123" s="136"/>
      <c r="C123" s="132"/>
      <c r="D123" s="135"/>
      <c r="E123" s="135"/>
      <c r="F123" s="135"/>
    </row>
    <row r="124" spans="1:6" ht="17.399999999999999">
      <c r="A124" s="132"/>
      <c r="B124" s="136"/>
      <c r="C124" s="132"/>
      <c r="D124" s="135"/>
      <c r="E124" s="135"/>
      <c r="F124" s="135"/>
    </row>
    <row r="125" spans="1:6" ht="17.399999999999999">
      <c r="A125" s="132"/>
      <c r="B125" s="136"/>
      <c r="C125" s="132"/>
      <c r="D125" s="135"/>
      <c r="E125" s="135"/>
      <c r="F125" s="135"/>
    </row>
    <row r="126" spans="1:6" ht="17.399999999999999">
      <c r="A126" s="132"/>
      <c r="B126" s="136"/>
      <c r="C126" s="132"/>
      <c r="D126" s="135"/>
      <c r="E126" s="135"/>
      <c r="F126" s="135"/>
    </row>
    <row r="127" spans="1:6" ht="17.399999999999999">
      <c r="A127" s="132"/>
      <c r="B127" s="136"/>
      <c r="C127" s="132"/>
      <c r="D127" s="135"/>
      <c r="E127" s="135"/>
      <c r="F127" s="135"/>
    </row>
    <row r="128" spans="1:6" ht="17.399999999999999">
      <c r="A128" s="132"/>
      <c r="B128" s="141" t="s">
        <v>133</v>
      </c>
      <c r="C128" s="28" t="s">
        <v>134</v>
      </c>
      <c r="D128" s="19"/>
      <c r="E128" s="19"/>
      <c r="F128" s="142"/>
    </row>
    <row r="129" spans="1:6" ht="17.399999999999999">
      <c r="A129" s="132"/>
      <c r="B129" s="143" t="s">
        <v>136</v>
      </c>
      <c r="C129" s="144"/>
      <c r="D129" s="147"/>
      <c r="E129" s="147"/>
      <c r="F129" s="148"/>
    </row>
    <row r="130" spans="1:6" ht="17.399999999999999">
      <c r="A130" s="132"/>
      <c r="B130" s="143" t="s">
        <v>137</v>
      </c>
      <c r="C130" s="150"/>
      <c r="D130" s="147"/>
      <c r="E130" s="147"/>
      <c r="F130" s="148"/>
    </row>
    <row r="131" spans="1:6" ht="17.399999999999999">
      <c r="A131" s="132"/>
      <c r="B131" s="143" t="s">
        <v>138</v>
      </c>
      <c r="C131" s="150"/>
      <c r="D131" s="147"/>
      <c r="E131" s="147"/>
      <c r="F131" s="148"/>
    </row>
    <row r="132" spans="1:6" ht="17.399999999999999">
      <c r="A132" s="132"/>
      <c r="B132" s="152" t="s">
        <v>139</v>
      </c>
      <c r="C132" s="153"/>
      <c r="D132" s="157"/>
      <c r="E132" s="157"/>
      <c r="F132" s="158"/>
    </row>
    <row r="133" spans="1:6" ht="17.399999999999999">
      <c r="A133" s="132"/>
      <c r="B133" s="136"/>
      <c r="C133" s="132"/>
      <c r="D133" s="135"/>
      <c r="E133" s="135"/>
      <c r="F133" s="135"/>
    </row>
    <row r="134" spans="1:6" ht="17.399999999999999">
      <c r="A134" s="132"/>
      <c r="B134" s="141" t="s">
        <v>133</v>
      </c>
      <c r="C134" s="17" t="s">
        <v>140</v>
      </c>
      <c r="D134" s="19"/>
      <c r="E134" s="19"/>
      <c r="F134" s="19"/>
    </row>
    <row r="135" spans="1:6" ht="17.399999999999999">
      <c r="A135" s="132"/>
      <c r="B135" s="141" t="s">
        <v>141</v>
      </c>
      <c r="C135" s="27"/>
      <c r="D135" s="19"/>
      <c r="E135" s="19"/>
      <c r="F135" s="19"/>
    </row>
    <row r="136" spans="1:6" ht="17.399999999999999">
      <c r="A136" s="132"/>
      <c r="B136" s="143" t="s">
        <v>142</v>
      </c>
      <c r="C136" s="144"/>
      <c r="D136" s="147"/>
      <c r="E136" s="147"/>
      <c r="F136" s="147"/>
    </row>
    <row r="137" spans="1:6" ht="17.399999999999999">
      <c r="A137" s="132"/>
      <c r="B137" s="143" t="s">
        <v>137</v>
      </c>
      <c r="C137" s="144"/>
      <c r="D137" s="147"/>
      <c r="E137" s="147"/>
      <c r="F137" s="147"/>
    </row>
    <row r="138" spans="1:6" ht="17.399999999999999">
      <c r="A138" s="132"/>
      <c r="B138" s="143" t="s">
        <v>138</v>
      </c>
      <c r="C138" s="144"/>
      <c r="D138" s="147"/>
      <c r="E138" s="147"/>
      <c r="F138" s="147"/>
    </row>
    <row r="139" spans="1:6" ht="17.399999999999999">
      <c r="A139" s="132"/>
      <c r="B139" s="143" t="s">
        <v>139</v>
      </c>
      <c r="C139" s="144"/>
      <c r="D139" s="147"/>
      <c r="E139" s="147"/>
      <c r="F139" s="147"/>
    </row>
    <row r="140" spans="1:6" ht="17.399999999999999">
      <c r="A140" s="132"/>
      <c r="B140" s="136"/>
      <c r="C140" s="132"/>
      <c r="D140" s="135"/>
      <c r="E140" s="135"/>
      <c r="F140" s="135"/>
    </row>
    <row r="141" spans="1:6" ht="17.399999999999999">
      <c r="A141" s="132"/>
      <c r="B141" s="136"/>
      <c r="C141" s="132"/>
      <c r="D141" s="135"/>
      <c r="E141" s="135"/>
      <c r="F141" s="135"/>
    </row>
    <row r="142" spans="1:6" ht="17.399999999999999">
      <c r="A142" s="132"/>
      <c r="B142" s="136"/>
      <c r="C142" s="132"/>
      <c r="D142" s="135"/>
      <c r="E142" s="135"/>
      <c r="F142" s="135"/>
    </row>
    <row r="143" spans="1:6" ht="17.399999999999999">
      <c r="A143" s="132"/>
      <c r="B143" s="136"/>
      <c r="C143" s="132"/>
      <c r="D143" s="135"/>
      <c r="E143" s="135"/>
      <c r="F143" s="135"/>
    </row>
    <row r="144" spans="1:6" ht="17.399999999999999">
      <c r="A144" s="132"/>
      <c r="B144" s="136"/>
      <c r="C144" s="132"/>
      <c r="D144" s="135"/>
      <c r="E144" s="135"/>
      <c r="F144" s="135"/>
    </row>
    <row r="145" spans="1:6" ht="17.399999999999999">
      <c r="A145" s="132"/>
      <c r="B145" s="136"/>
      <c r="C145" s="132"/>
      <c r="D145" s="134"/>
      <c r="E145" s="134"/>
      <c r="F145" s="134"/>
    </row>
    <row r="146" spans="1:6" ht="17.399999999999999">
      <c r="A146" s="8">
        <v>3</v>
      </c>
      <c r="B146" s="28" t="s">
        <v>143</v>
      </c>
      <c r="C146" s="28" t="s">
        <v>144</v>
      </c>
      <c r="D146" s="19"/>
      <c r="E146" s="19"/>
      <c r="F146" s="19"/>
    </row>
    <row r="147" spans="1:6" ht="17.399999999999999">
      <c r="A147" s="132"/>
      <c r="B147" s="136"/>
      <c r="C147" s="132"/>
      <c r="D147" s="134"/>
      <c r="E147" s="134"/>
      <c r="F147" s="134"/>
    </row>
    <row r="148" spans="1:6" ht="17.399999999999999">
      <c r="A148" s="162"/>
      <c r="B148" s="163" t="s">
        <v>147</v>
      </c>
      <c r="C148" s="28"/>
      <c r="D148" s="19"/>
      <c r="E148" s="19"/>
      <c r="F148" s="19"/>
    </row>
    <row r="149" spans="1:6" ht="17.399999999999999">
      <c r="A149" s="8">
        <v>4</v>
      </c>
      <c r="B149" s="28" t="s">
        <v>148</v>
      </c>
      <c r="C149" s="28" t="s">
        <v>149</v>
      </c>
      <c r="D149" s="166"/>
      <c r="E149" s="166"/>
      <c r="F149" s="166"/>
    </row>
    <row r="150" spans="1:6" ht="17.399999999999999">
      <c r="A150" s="132"/>
      <c r="B150" s="495" t="s">
        <v>150</v>
      </c>
      <c r="C150" s="493"/>
      <c r="D150" s="493"/>
      <c r="E150" s="493"/>
      <c r="F150" s="134"/>
    </row>
    <row r="151" spans="1:6" ht="17.399999999999999">
      <c r="A151" s="132"/>
      <c r="B151" s="492" t="s">
        <v>151</v>
      </c>
      <c r="C151" s="493"/>
      <c r="D151" s="134"/>
      <c r="E151" s="134"/>
      <c r="F151" s="134"/>
    </row>
    <row r="152" spans="1:6" ht="17.399999999999999">
      <c r="A152" s="132"/>
      <c r="B152" s="492" t="s">
        <v>152</v>
      </c>
      <c r="C152" s="493"/>
      <c r="D152" s="134"/>
      <c r="E152" s="134"/>
      <c r="F152" s="134"/>
    </row>
    <row r="153" spans="1:6" ht="17.399999999999999">
      <c r="A153" s="132"/>
      <c r="B153" s="492" t="s">
        <v>153</v>
      </c>
      <c r="C153" s="493"/>
      <c r="D153" s="134"/>
      <c r="E153" s="134"/>
      <c r="F153" s="134"/>
    </row>
    <row r="154" spans="1:6" ht="17.399999999999999">
      <c r="A154" s="132"/>
      <c r="B154" s="492" t="s">
        <v>154</v>
      </c>
      <c r="C154" s="493"/>
      <c r="D154" s="134"/>
      <c r="E154" s="134"/>
      <c r="F154" s="134"/>
    </row>
    <row r="155" spans="1:6" ht="17.399999999999999">
      <c r="A155" s="132"/>
      <c r="B155" s="136"/>
      <c r="C155" s="132"/>
      <c r="D155" s="134"/>
      <c r="E155" s="134"/>
      <c r="F155" s="134"/>
    </row>
    <row r="156" spans="1:6" ht="17.399999999999999">
      <c r="A156" s="132"/>
      <c r="B156" s="136"/>
      <c r="C156" s="132"/>
      <c r="D156" s="134"/>
      <c r="E156" s="134"/>
      <c r="F156" s="134"/>
    </row>
    <row r="157" spans="1:6" ht="17.399999999999999">
      <c r="A157" s="132"/>
      <c r="B157" s="132"/>
      <c r="C157" s="132"/>
      <c r="D157" s="134"/>
      <c r="E157" s="134"/>
      <c r="F157" s="134"/>
    </row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</sheetData>
  <mergeCells count="24">
    <mergeCell ref="A1:F1"/>
    <mergeCell ref="A2:F2"/>
    <mergeCell ref="A3:F3"/>
    <mergeCell ref="D4:F4"/>
    <mergeCell ref="B103:C103"/>
    <mergeCell ref="B91:D91"/>
    <mergeCell ref="B92:C92"/>
    <mergeCell ref="B93:C93"/>
    <mergeCell ref="B96:E96"/>
    <mergeCell ref="B97:E97"/>
    <mergeCell ref="B98:C98"/>
    <mergeCell ref="B99:F99"/>
    <mergeCell ref="B100:C100"/>
    <mergeCell ref="B101:D101"/>
    <mergeCell ref="B102:F102"/>
    <mergeCell ref="B152:C152"/>
    <mergeCell ref="B153:C153"/>
    <mergeCell ref="B154:C154"/>
    <mergeCell ref="B104:C104"/>
    <mergeCell ref="B105:C105"/>
    <mergeCell ref="B107:F107"/>
    <mergeCell ref="B108:C108"/>
    <mergeCell ref="B150:E150"/>
    <mergeCell ref="B151:C151"/>
  </mergeCells>
  <pageMargins left="0.7" right="0.7" top="0.75" bottom="0.75" header="0.3" footer="0.3"/>
  <pageSetup paperSize="9" orientation="portrait" horizontalDpi="4294967293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2BD1-783A-4C4F-A9DF-22E8DE289230}">
  <sheetPr>
    <tabColor rgb="FF92D050"/>
  </sheetPr>
  <dimension ref="A1:G912"/>
  <sheetViews>
    <sheetView zoomScale="80" zoomScaleNormal="80" workbookViewId="0">
      <pane ySplit="6" topLeftCell="A7" activePane="bottomLeft" state="frozen"/>
      <selection pane="bottomLeft" activeCell="C18" sqref="C18"/>
    </sheetView>
  </sheetViews>
  <sheetFormatPr defaultColWidth="14.5546875" defaultRowHeight="14.4"/>
  <cols>
    <col min="2" max="2" width="19.5546875" customWidth="1"/>
    <col min="3" max="3" width="26.109375" customWidth="1"/>
    <col min="4" max="4" width="18" customWidth="1"/>
  </cols>
  <sheetData>
    <row r="1" spans="1:7" ht="15.75" customHeight="1">
      <c r="A1" s="497" t="s">
        <v>0</v>
      </c>
      <c r="B1" s="493"/>
      <c r="C1" s="493"/>
      <c r="D1" s="493"/>
      <c r="E1" s="493"/>
      <c r="F1" s="493"/>
      <c r="G1" s="493"/>
    </row>
    <row r="2" spans="1:7" ht="15.75" customHeight="1">
      <c r="A2" s="497" t="s">
        <v>1</v>
      </c>
      <c r="B2" s="493"/>
      <c r="C2" s="493"/>
      <c r="D2" s="493"/>
      <c r="E2" s="493"/>
      <c r="F2" s="493"/>
      <c r="G2" s="493"/>
    </row>
    <row r="3" spans="1:7" ht="15.75" customHeight="1">
      <c r="A3" s="498" t="s">
        <v>2</v>
      </c>
      <c r="B3" s="499"/>
      <c r="C3" s="499"/>
      <c r="D3" s="499"/>
      <c r="E3" s="499"/>
      <c r="F3" s="499"/>
      <c r="G3" s="499"/>
    </row>
    <row r="4" spans="1:7" ht="15.75" customHeight="1">
      <c r="A4" s="3" t="s">
        <v>3</v>
      </c>
      <c r="B4" s="4" t="s">
        <v>4</v>
      </c>
      <c r="C4" s="4" t="s">
        <v>5</v>
      </c>
      <c r="D4" s="2"/>
      <c r="E4" s="503" t="s">
        <v>9</v>
      </c>
      <c r="F4" s="504"/>
      <c r="G4" s="505"/>
    </row>
    <row r="5" spans="1:7" ht="15.75" customHeight="1">
      <c r="A5" s="3"/>
      <c r="B5" s="4"/>
      <c r="C5" s="4"/>
      <c r="D5" s="4" t="s">
        <v>180</v>
      </c>
      <c r="E5" s="4" t="s">
        <v>10</v>
      </c>
      <c r="F5" s="4" t="s">
        <v>11</v>
      </c>
      <c r="G5" s="4"/>
    </row>
    <row r="6" spans="1:7" ht="15.75" customHeight="1">
      <c r="A6" s="8"/>
      <c r="B6" s="4" t="s">
        <v>21</v>
      </c>
      <c r="C6" s="4"/>
      <c r="D6" s="4"/>
      <c r="E6" s="4"/>
      <c r="F6" s="4"/>
      <c r="G6" s="3" t="s">
        <v>19</v>
      </c>
    </row>
    <row r="7" spans="1:7" ht="17.399999999999999">
      <c r="A7" s="8"/>
      <c r="B7" s="17"/>
      <c r="C7" s="15"/>
      <c r="D7" s="15"/>
      <c r="E7" s="17"/>
      <c r="F7" s="6"/>
      <c r="G7" s="16"/>
    </row>
    <row r="8" spans="1:7" ht="17.399999999999999">
      <c r="A8" s="8"/>
      <c r="B8" s="28"/>
      <c r="C8" s="28"/>
      <c r="D8" s="28"/>
      <c r="E8" s="17"/>
      <c r="F8" s="6"/>
      <c r="G8" s="120"/>
    </row>
    <row r="9" spans="1:7" ht="17.399999999999999">
      <c r="A9" s="8"/>
      <c r="B9" s="28"/>
      <c r="C9" s="28"/>
      <c r="D9" s="28"/>
      <c r="E9" s="17"/>
      <c r="F9" s="6"/>
      <c r="G9" s="16"/>
    </row>
    <row r="10" spans="1:7" ht="18" thickBot="1">
      <c r="A10" s="8"/>
      <c r="B10" s="22" t="s">
        <v>19</v>
      </c>
      <c r="C10" s="23"/>
      <c r="D10" s="23"/>
      <c r="E10" s="24"/>
      <c r="F10" s="24"/>
      <c r="G10" s="121">
        <v>0</v>
      </c>
    </row>
    <row r="11" spans="1:7" ht="18.600000000000001" thickTop="1" thickBot="1">
      <c r="A11" s="122"/>
      <c r="B11" s="123" t="s">
        <v>111</v>
      </c>
      <c r="C11" s="124"/>
      <c r="D11" s="124"/>
      <c r="E11" s="126"/>
      <c r="F11" s="126"/>
      <c r="G11" s="125">
        <v>0</v>
      </c>
    </row>
    <row r="12" spans="1:7" ht="18" thickTop="1">
      <c r="A12" s="1"/>
      <c r="B12" s="131"/>
      <c r="C12" s="132"/>
      <c r="D12" s="132"/>
      <c r="E12" s="132"/>
      <c r="F12" s="132"/>
      <c r="G12" s="132"/>
    </row>
    <row r="13" spans="1:7" ht="17.399999999999999">
      <c r="A13" s="132"/>
      <c r="B13" s="131"/>
      <c r="C13" s="132"/>
      <c r="D13" s="132"/>
      <c r="E13" s="132"/>
      <c r="F13" s="1"/>
    </row>
    <row r="14" spans="1:7" ht="17.399999999999999">
      <c r="A14" s="132"/>
      <c r="B14" s="131"/>
      <c r="C14" s="132"/>
      <c r="D14" s="132"/>
      <c r="E14" s="132"/>
      <c r="F14" s="1"/>
      <c r="G14" s="131"/>
    </row>
    <row r="15" spans="1:7" ht="17.399999999999999">
      <c r="A15" s="132"/>
      <c r="B15" s="131"/>
      <c r="C15" s="132"/>
      <c r="D15" s="132"/>
      <c r="E15" s="132"/>
      <c r="F15" s="1"/>
      <c r="G15" s="131"/>
    </row>
    <row r="16" spans="1:7" ht="17.399999999999999">
      <c r="A16" s="132"/>
      <c r="B16" s="131"/>
      <c r="C16" s="132"/>
      <c r="D16" s="132"/>
      <c r="E16" s="494"/>
      <c r="F16" s="493"/>
      <c r="G16" s="131"/>
    </row>
    <row r="17" spans="1:7" ht="17.399999999999999">
      <c r="A17" s="132"/>
      <c r="B17" s="131"/>
      <c r="C17" s="132"/>
      <c r="D17" s="132"/>
      <c r="E17" s="132"/>
      <c r="F17" s="1"/>
      <c r="G17" s="132"/>
    </row>
    <row r="18" spans="1:7" ht="17.399999999999999">
      <c r="A18" s="132"/>
      <c r="B18" s="131"/>
      <c r="C18" s="132"/>
      <c r="D18" s="132"/>
      <c r="E18" s="132"/>
      <c r="F18" s="1"/>
      <c r="G18" s="132"/>
    </row>
    <row r="19" spans="1:7" ht="17.399999999999999">
      <c r="A19" s="132"/>
      <c r="B19" s="131"/>
      <c r="C19" s="132"/>
      <c r="D19" s="132"/>
      <c r="E19" s="132"/>
      <c r="F19" s="1"/>
      <c r="G19" s="132"/>
    </row>
    <row r="20" spans="1:7" ht="17.399999999999999">
      <c r="A20" s="132"/>
      <c r="B20" s="131"/>
      <c r="C20" s="132"/>
      <c r="D20" s="132"/>
      <c r="E20" s="132"/>
      <c r="F20" s="1"/>
      <c r="G20" s="131"/>
    </row>
    <row r="21" spans="1:7" ht="17.399999999999999">
      <c r="A21" s="132"/>
      <c r="B21" s="131"/>
      <c r="C21" s="132"/>
      <c r="D21" s="132"/>
      <c r="E21" s="132"/>
      <c r="F21" s="1"/>
      <c r="G21" s="131"/>
    </row>
    <row r="22" spans="1:7" ht="17.399999999999999">
      <c r="A22" s="132"/>
      <c r="B22" s="131"/>
      <c r="C22" s="132"/>
      <c r="D22" s="132"/>
      <c r="E22" s="132"/>
      <c r="F22" s="1"/>
      <c r="G22" s="131"/>
    </row>
    <row r="23" spans="1:7" ht="17.399999999999999">
      <c r="A23" s="132"/>
      <c r="B23" s="131"/>
      <c r="C23" s="132"/>
      <c r="D23" s="132"/>
      <c r="E23" s="132"/>
      <c r="F23" s="1"/>
      <c r="G23" s="131"/>
    </row>
    <row r="24" spans="1:7" ht="17.399999999999999">
      <c r="A24" s="132"/>
      <c r="B24" s="131"/>
      <c r="C24" s="132"/>
      <c r="D24" s="132"/>
      <c r="E24" s="132"/>
      <c r="F24" s="1"/>
      <c r="G24" s="131"/>
    </row>
    <row r="25" spans="1:7" ht="17.399999999999999">
      <c r="A25" s="132"/>
      <c r="B25" s="131"/>
      <c r="C25" s="132"/>
      <c r="D25" s="132"/>
      <c r="E25" s="132"/>
      <c r="F25" s="1"/>
      <c r="G25" s="131"/>
    </row>
    <row r="26" spans="1:7" ht="17.399999999999999">
      <c r="A26" s="132"/>
      <c r="B26" s="131"/>
      <c r="C26" s="132"/>
      <c r="D26" s="132"/>
      <c r="E26" s="132"/>
      <c r="F26" s="1"/>
      <c r="G26" s="131"/>
    </row>
    <row r="27" spans="1:7" ht="17.399999999999999">
      <c r="A27" s="132"/>
      <c r="B27" s="131"/>
      <c r="C27" s="132"/>
      <c r="D27" s="132"/>
      <c r="E27" s="132"/>
      <c r="F27" s="1"/>
      <c r="G27" s="131"/>
    </row>
    <row r="28" spans="1:7" ht="17.399999999999999">
      <c r="A28" s="132"/>
      <c r="B28" s="131"/>
      <c r="C28" s="132"/>
      <c r="D28" s="132"/>
      <c r="E28" s="132"/>
      <c r="F28" s="1"/>
      <c r="G28" s="131"/>
    </row>
    <row r="29" spans="1:7" ht="17.399999999999999">
      <c r="A29" s="132"/>
      <c r="B29" s="131"/>
      <c r="C29" s="132"/>
      <c r="D29" s="132"/>
      <c r="E29" s="132"/>
      <c r="F29" s="1"/>
      <c r="G29" s="131"/>
    </row>
    <row r="30" spans="1:7" ht="17.399999999999999">
      <c r="A30" s="132"/>
      <c r="B30" s="131"/>
      <c r="C30" s="132"/>
      <c r="D30" s="132"/>
      <c r="E30" s="132"/>
      <c r="F30" s="1"/>
      <c r="G30" s="131"/>
    </row>
    <row r="31" spans="1:7" ht="17.399999999999999">
      <c r="A31" s="132"/>
      <c r="B31" s="131"/>
      <c r="C31" s="132"/>
      <c r="D31" s="132"/>
      <c r="E31" s="132"/>
      <c r="F31" s="1"/>
      <c r="G31" s="131"/>
    </row>
    <row r="32" spans="1:7" ht="17.399999999999999">
      <c r="A32" s="136"/>
      <c r="B32" s="136"/>
      <c r="C32" s="136"/>
      <c r="D32" s="136"/>
      <c r="E32" s="136"/>
      <c r="F32" s="136"/>
      <c r="G32" s="136"/>
    </row>
    <row r="33" spans="1:7" ht="17.399999999999999">
      <c r="A33" s="132"/>
      <c r="B33" s="131"/>
      <c r="C33" s="132"/>
      <c r="D33" s="132"/>
      <c r="E33" s="132"/>
      <c r="F33" s="1"/>
      <c r="G33" s="131"/>
    </row>
    <row r="34" spans="1:7" ht="17.399999999999999">
      <c r="A34" s="132"/>
      <c r="B34" s="131"/>
      <c r="C34" s="132"/>
      <c r="D34" s="132"/>
      <c r="E34" s="132"/>
      <c r="F34" s="1"/>
      <c r="G34" s="131"/>
    </row>
    <row r="35" spans="1:7" ht="17.399999999999999">
      <c r="A35" s="132"/>
      <c r="B35" s="131"/>
      <c r="C35" s="132"/>
      <c r="D35" s="132"/>
      <c r="E35" s="132"/>
      <c r="F35" s="1"/>
      <c r="G35" s="131"/>
    </row>
    <row r="36" spans="1:7" ht="17.399999999999999">
      <c r="A36" s="132"/>
      <c r="B36" s="131"/>
      <c r="C36" s="132"/>
      <c r="D36" s="132"/>
      <c r="E36" s="132"/>
      <c r="F36" s="1"/>
      <c r="G36" s="131"/>
    </row>
    <row r="37" spans="1:7" ht="17.399999999999999">
      <c r="A37" s="132"/>
      <c r="B37" s="131"/>
      <c r="C37" s="132"/>
      <c r="D37" s="132"/>
      <c r="E37" s="132"/>
      <c r="F37" s="1"/>
      <c r="G37" s="131"/>
    </row>
    <row r="38" spans="1:7" ht="17.399999999999999">
      <c r="A38" s="132"/>
      <c r="B38" s="131"/>
      <c r="C38" s="132"/>
      <c r="D38" s="132"/>
      <c r="E38" s="132"/>
      <c r="F38" s="1"/>
      <c r="G38" s="131"/>
    </row>
    <row r="39" spans="1:7" ht="17.399999999999999">
      <c r="A39" s="132"/>
      <c r="B39" s="131"/>
      <c r="C39" s="132"/>
      <c r="D39" s="132"/>
      <c r="E39" s="132"/>
      <c r="F39" s="1"/>
      <c r="G39" s="131"/>
    </row>
    <row r="40" spans="1:7" ht="17.399999999999999">
      <c r="A40" s="132"/>
      <c r="B40" s="131"/>
      <c r="C40" s="132"/>
      <c r="D40" s="132"/>
      <c r="E40" s="132"/>
      <c r="F40" s="1"/>
      <c r="G40" s="131"/>
    </row>
    <row r="41" spans="1:7" ht="17.399999999999999">
      <c r="A41" s="132"/>
      <c r="B41" s="131"/>
      <c r="C41" s="132"/>
      <c r="D41" s="132"/>
      <c r="E41" s="132"/>
      <c r="F41" s="1"/>
      <c r="G41" s="131"/>
    </row>
    <row r="42" spans="1:7" ht="17.399999999999999">
      <c r="A42" s="132"/>
      <c r="B42" s="131"/>
      <c r="C42" s="132"/>
      <c r="D42" s="132"/>
      <c r="E42" s="132"/>
      <c r="F42" s="1"/>
      <c r="G42" s="131"/>
    </row>
    <row r="43" spans="1:7" ht="17.399999999999999">
      <c r="A43" s="132"/>
      <c r="B43" s="131"/>
      <c r="C43" s="132"/>
      <c r="D43" s="132"/>
      <c r="E43" s="132"/>
      <c r="F43" s="1"/>
      <c r="G43" s="131"/>
    </row>
    <row r="44" spans="1:7" ht="17.399999999999999">
      <c r="A44" s="132"/>
      <c r="B44" s="131"/>
      <c r="C44" s="132"/>
      <c r="D44" s="132"/>
      <c r="E44" s="132"/>
      <c r="F44" s="1"/>
      <c r="G44" s="131"/>
    </row>
    <row r="45" spans="1:7" ht="17.399999999999999">
      <c r="A45" s="132"/>
      <c r="B45" s="131"/>
      <c r="C45" s="132"/>
      <c r="D45" s="132"/>
      <c r="E45" s="132"/>
      <c r="F45" s="1"/>
      <c r="G45" s="131"/>
    </row>
    <row r="46" spans="1:7" ht="17.399999999999999">
      <c r="A46" s="132"/>
      <c r="B46" s="131"/>
      <c r="C46" s="132"/>
      <c r="D46" s="132"/>
      <c r="E46" s="132"/>
      <c r="F46" s="1"/>
      <c r="G46" s="131"/>
    </row>
    <row r="47" spans="1:7" ht="17.399999999999999">
      <c r="A47" s="132"/>
      <c r="B47" s="131"/>
      <c r="C47" s="132"/>
      <c r="D47" s="132"/>
      <c r="E47" s="132"/>
      <c r="F47" s="1"/>
      <c r="G47" s="131"/>
    </row>
    <row r="48" spans="1:7" ht="17.399999999999999">
      <c r="A48" s="132"/>
      <c r="B48" s="131"/>
      <c r="C48" s="132"/>
      <c r="D48" s="132"/>
      <c r="E48" s="132"/>
      <c r="F48" s="1"/>
      <c r="G48" s="131"/>
    </row>
    <row r="49" spans="1:7" ht="17.399999999999999">
      <c r="A49" s="132"/>
      <c r="B49" s="131"/>
      <c r="C49" s="132"/>
      <c r="D49" s="132"/>
      <c r="E49" s="132"/>
      <c r="F49" s="1"/>
      <c r="G49" s="131"/>
    </row>
    <row r="50" spans="1:7" ht="17.399999999999999">
      <c r="A50" s="132"/>
      <c r="B50" s="131"/>
      <c r="C50" s="132"/>
      <c r="D50" s="132"/>
      <c r="E50" s="132"/>
      <c r="F50" s="1"/>
      <c r="G50" s="131"/>
    </row>
    <row r="51" spans="1:7" ht="17.399999999999999">
      <c r="A51" s="132"/>
      <c r="B51" s="131"/>
      <c r="C51" s="132"/>
      <c r="D51" s="132"/>
      <c r="E51" s="132"/>
      <c r="F51" s="1"/>
      <c r="G51" s="131"/>
    </row>
    <row r="52" spans="1:7" ht="17.399999999999999">
      <c r="A52" s="132"/>
      <c r="B52" s="131"/>
      <c r="C52" s="132"/>
      <c r="D52" s="132"/>
      <c r="E52" s="132"/>
      <c r="F52" s="1"/>
      <c r="G52" s="131"/>
    </row>
    <row r="53" spans="1:7" ht="17.399999999999999">
      <c r="A53" s="132"/>
      <c r="B53" s="131"/>
      <c r="C53" s="132"/>
      <c r="D53" s="132"/>
      <c r="E53" s="132"/>
      <c r="F53" s="1"/>
      <c r="G53" s="131"/>
    </row>
    <row r="54" spans="1:7" ht="17.399999999999999">
      <c r="A54" s="132"/>
      <c r="B54" s="131"/>
      <c r="C54" s="132"/>
      <c r="D54" s="132"/>
      <c r="E54" s="132"/>
      <c r="F54" s="1"/>
      <c r="G54" s="131"/>
    </row>
    <row r="55" spans="1:7" ht="17.399999999999999">
      <c r="A55" s="132"/>
      <c r="B55" s="131"/>
      <c r="C55" s="132"/>
      <c r="D55" s="132"/>
      <c r="E55" s="132"/>
      <c r="F55" s="1"/>
      <c r="G55" s="131"/>
    </row>
    <row r="56" spans="1:7" ht="17.399999999999999">
      <c r="A56" s="132"/>
      <c r="B56" s="131"/>
      <c r="C56" s="132"/>
      <c r="D56" s="132"/>
      <c r="E56" s="132"/>
      <c r="F56" s="1"/>
      <c r="G56" s="131"/>
    </row>
    <row r="57" spans="1:7" ht="17.399999999999999">
      <c r="A57" s="132"/>
      <c r="B57" s="131"/>
      <c r="C57" s="132"/>
      <c r="D57" s="132"/>
      <c r="E57" s="132"/>
      <c r="F57" s="1"/>
      <c r="G57" s="131"/>
    </row>
    <row r="58" spans="1:7" ht="17.399999999999999">
      <c r="A58" s="132"/>
      <c r="B58" s="131"/>
      <c r="C58" s="132"/>
      <c r="D58" s="132"/>
      <c r="E58" s="132"/>
      <c r="F58" s="1"/>
      <c r="G58" s="131"/>
    </row>
    <row r="59" spans="1:7" ht="17.399999999999999">
      <c r="A59" s="132"/>
      <c r="B59" s="131"/>
      <c r="C59" s="132"/>
      <c r="D59" s="132"/>
      <c r="E59" s="132"/>
      <c r="F59" s="1"/>
      <c r="G59" s="131"/>
    </row>
    <row r="60" spans="1:7" ht="17.399999999999999">
      <c r="A60" s="132"/>
      <c r="B60" s="131"/>
      <c r="C60" s="132"/>
      <c r="D60" s="132"/>
      <c r="E60" s="132"/>
      <c r="F60" s="1"/>
      <c r="G60" s="131"/>
    </row>
    <row r="61" spans="1:7" ht="17.399999999999999">
      <c r="A61" s="132"/>
      <c r="B61" s="131"/>
      <c r="C61" s="132"/>
      <c r="D61" s="132"/>
      <c r="E61" s="132"/>
      <c r="F61" s="1"/>
      <c r="G61" s="131"/>
    </row>
    <row r="62" spans="1:7" ht="17.399999999999999">
      <c r="A62" s="132"/>
      <c r="B62" s="494" t="s">
        <v>115</v>
      </c>
      <c r="C62" s="493"/>
      <c r="E62" s="132"/>
      <c r="F62" s="1"/>
      <c r="G62" s="131"/>
    </row>
    <row r="63" spans="1:7" ht="17.399999999999999">
      <c r="A63" s="132"/>
      <c r="B63" s="494" t="s">
        <v>116</v>
      </c>
      <c r="C63" s="493"/>
      <c r="E63" s="132"/>
      <c r="F63" s="1"/>
      <c r="G63" s="131"/>
    </row>
    <row r="64" spans="1:7" ht="17.399999999999999">
      <c r="A64" s="132"/>
      <c r="B64" s="494" t="s">
        <v>117</v>
      </c>
      <c r="C64" s="493"/>
      <c r="E64" s="132"/>
      <c r="F64" s="1"/>
      <c r="G64" s="131"/>
    </row>
    <row r="65" spans="1:7" ht="17.399999999999999">
      <c r="A65" s="132"/>
      <c r="B65" s="131"/>
      <c r="C65" s="132"/>
      <c r="D65" s="132"/>
      <c r="E65" s="132"/>
      <c r="F65" s="1"/>
      <c r="G65" s="131"/>
    </row>
    <row r="66" spans="1:7" ht="20.399999999999999">
      <c r="A66" s="132"/>
      <c r="B66" s="140" t="s">
        <v>118</v>
      </c>
      <c r="C66" s="136" t="s">
        <v>119</v>
      </c>
      <c r="D66" s="136"/>
      <c r="E66" s="132"/>
      <c r="F66" s="1"/>
      <c r="G66" s="132"/>
    </row>
    <row r="67" spans="1:7" ht="17.399999999999999">
      <c r="A67" s="132"/>
      <c r="B67" s="496" t="s">
        <v>120</v>
      </c>
      <c r="C67" s="493"/>
      <c r="E67" s="132"/>
      <c r="F67" s="1"/>
      <c r="G67" s="131"/>
    </row>
    <row r="68" spans="1:7" ht="17.399999999999999">
      <c r="A68" s="132"/>
      <c r="B68" s="494" t="s">
        <v>121</v>
      </c>
      <c r="C68" s="493"/>
      <c r="E68" s="132"/>
      <c r="F68" s="1"/>
      <c r="G68" s="132"/>
    </row>
    <row r="69" spans="1:7" ht="17.399999999999999">
      <c r="A69" s="132"/>
      <c r="B69" s="494" t="s">
        <v>122</v>
      </c>
      <c r="C69" s="493"/>
      <c r="E69" s="132"/>
      <c r="F69" s="1"/>
      <c r="G69" s="132"/>
    </row>
    <row r="70" spans="1:7" ht="17.399999999999999">
      <c r="A70" s="132"/>
      <c r="B70" s="494" t="s">
        <v>123</v>
      </c>
      <c r="C70" s="493"/>
      <c r="E70" s="132"/>
      <c r="F70" s="1"/>
      <c r="G70" s="132"/>
    </row>
    <row r="71" spans="1:7" ht="17.399999999999999">
      <c r="A71" s="132"/>
      <c r="B71" s="494" t="s">
        <v>124</v>
      </c>
      <c r="C71" s="493"/>
      <c r="E71" s="132"/>
      <c r="F71" s="1"/>
      <c r="G71" s="132"/>
    </row>
    <row r="72" spans="1:7" ht="17.399999999999999">
      <c r="A72" s="132"/>
      <c r="B72" s="494" t="s">
        <v>125</v>
      </c>
      <c r="C72" s="493"/>
      <c r="E72" s="132"/>
      <c r="F72" s="1"/>
      <c r="G72" s="132"/>
    </row>
    <row r="73" spans="1:7" ht="17.399999999999999">
      <c r="A73" s="132"/>
      <c r="B73" s="494" t="s">
        <v>126</v>
      </c>
      <c r="C73" s="493"/>
      <c r="E73" s="132"/>
      <c r="F73" s="1"/>
      <c r="G73" s="132"/>
    </row>
    <row r="74" spans="1:7" ht="17.399999999999999">
      <c r="A74" s="132"/>
      <c r="B74" s="494" t="s">
        <v>127</v>
      </c>
      <c r="C74" s="493"/>
      <c r="E74" s="132"/>
      <c r="F74" s="1"/>
      <c r="G74" s="132"/>
    </row>
    <row r="75" spans="1:7" ht="17.399999999999999">
      <c r="A75" s="132"/>
      <c r="B75" s="494" t="s">
        <v>128</v>
      </c>
      <c r="C75" s="493"/>
      <c r="E75" s="132"/>
      <c r="F75" s="1"/>
      <c r="G75" s="132"/>
    </row>
    <row r="76" spans="1:7" ht="17.399999999999999">
      <c r="A76" s="132"/>
      <c r="B76" s="494" t="s">
        <v>129</v>
      </c>
      <c r="C76" s="493"/>
      <c r="E76" s="132"/>
      <c r="F76" s="1"/>
      <c r="G76" s="132"/>
    </row>
    <row r="77" spans="1:7" ht="17.399999999999999">
      <c r="A77" s="132"/>
      <c r="B77" s="136" t="s">
        <v>130</v>
      </c>
      <c r="C77" s="132"/>
      <c r="D77" s="132"/>
      <c r="E77" s="132"/>
      <c r="F77" s="1"/>
      <c r="G77" s="132"/>
    </row>
    <row r="78" spans="1:7" ht="17.399999999999999">
      <c r="A78" s="132"/>
      <c r="B78" s="494" t="s">
        <v>131</v>
      </c>
      <c r="C78" s="493"/>
      <c r="E78" s="132"/>
      <c r="F78" s="1"/>
      <c r="G78" s="132"/>
    </row>
    <row r="79" spans="1:7" ht="17.399999999999999">
      <c r="A79" s="132"/>
      <c r="B79" s="494" t="s">
        <v>132</v>
      </c>
      <c r="C79" s="493"/>
      <c r="E79" s="132"/>
      <c r="F79" s="1"/>
      <c r="G79" s="132"/>
    </row>
    <row r="80" spans="1:7" ht="17.399999999999999">
      <c r="A80" s="132"/>
      <c r="B80" s="136"/>
      <c r="C80" s="132"/>
      <c r="D80" s="132"/>
      <c r="E80" s="132"/>
      <c r="F80" s="1"/>
      <c r="G80" s="132"/>
    </row>
    <row r="81" spans="1:7" ht="17.399999999999999">
      <c r="A81" s="132"/>
      <c r="B81" s="136"/>
      <c r="C81" s="132"/>
      <c r="D81" s="132"/>
      <c r="E81" s="132"/>
      <c r="F81" s="1"/>
      <c r="G81" s="132"/>
    </row>
    <row r="82" spans="1:7" ht="17.399999999999999">
      <c r="A82" s="132"/>
      <c r="B82" s="136"/>
      <c r="C82" s="132"/>
      <c r="D82" s="132"/>
      <c r="E82" s="132"/>
      <c r="F82" s="1"/>
      <c r="G82" s="132"/>
    </row>
    <row r="83" spans="1:7" ht="17.399999999999999">
      <c r="A83" s="132"/>
      <c r="B83" s="136"/>
      <c r="C83" s="132"/>
      <c r="D83" s="132"/>
      <c r="E83" s="132"/>
      <c r="F83" s="1"/>
      <c r="G83" s="132"/>
    </row>
    <row r="84" spans="1:7" ht="17.399999999999999">
      <c r="A84" s="132"/>
      <c r="B84" s="136"/>
      <c r="C84" s="132"/>
      <c r="D84" s="132"/>
      <c r="E84" s="132"/>
      <c r="F84" s="1"/>
      <c r="G84" s="132"/>
    </row>
    <row r="85" spans="1:7" ht="17.399999999999999">
      <c r="A85" s="132"/>
      <c r="B85" s="136"/>
      <c r="C85" s="132"/>
      <c r="D85" s="132"/>
      <c r="E85" s="132"/>
      <c r="F85" s="1"/>
      <c r="G85" s="132"/>
    </row>
    <row r="86" spans="1:7" ht="17.399999999999999">
      <c r="A86" s="132"/>
      <c r="B86" s="136"/>
      <c r="C86" s="132"/>
      <c r="D86" s="132"/>
      <c r="E86" s="132"/>
      <c r="F86" s="1"/>
      <c r="G86" s="132"/>
    </row>
    <row r="87" spans="1:7" ht="17.399999999999999">
      <c r="A87" s="132"/>
      <c r="B87" s="136"/>
      <c r="C87" s="132"/>
      <c r="D87" s="132"/>
      <c r="E87" s="132"/>
      <c r="F87" s="1"/>
      <c r="G87" s="132"/>
    </row>
    <row r="88" spans="1:7" ht="17.399999999999999">
      <c r="A88" s="132"/>
      <c r="B88" s="136"/>
      <c r="C88" s="132"/>
      <c r="D88" s="132"/>
      <c r="E88" s="132"/>
      <c r="F88" s="1"/>
      <c r="G88" s="132"/>
    </row>
    <row r="89" spans="1:7" ht="17.399999999999999">
      <c r="A89" s="132"/>
      <c r="B89" s="136"/>
      <c r="C89" s="132"/>
      <c r="D89" s="132"/>
      <c r="E89" s="132"/>
      <c r="F89" s="1"/>
      <c r="G89" s="132"/>
    </row>
    <row r="90" spans="1:7" ht="17.399999999999999">
      <c r="A90" s="132"/>
      <c r="B90" s="136"/>
      <c r="C90" s="132"/>
      <c r="D90" s="132"/>
      <c r="E90" s="132"/>
      <c r="F90" s="1"/>
      <c r="G90" s="132"/>
    </row>
    <row r="91" spans="1:7" ht="17.399999999999999">
      <c r="A91" s="132"/>
      <c r="B91" s="136"/>
      <c r="C91" s="132"/>
      <c r="D91" s="132"/>
      <c r="E91" s="132"/>
      <c r="F91" s="1"/>
      <c r="G91" s="132"/>
    </row>
    <row r="92" spans="1:7" ht="17.399999999999999">
      <c r="A92" s="132"/>
      <c r="B92" s="136"/>
      <c r="C92" s="132"/>
      <c r="D92" s="132"/>
      <c r="E92" s="132"/>
      <c r="F92" s="1"/>
      <c r="G92" s="132"/>
    </row>
    <row r="93" spans="1:7" ht="17.399999999999999">
      <c r="A93" s="132"/>
      <c r="B93" s="136"/>
      <c r="C93" s="132"/>
      <c r="D93" s="132"/>
      <c r="E93" s="132"/>
      <c r="F93" s="1"/>
      <c r="G93" s="132"/>
    </row>
    <row r="94" spans="1:7" ht="17.399999999999999">
      <c r="A94" s="132"/>
      <c r="B94" s="136"/>
      <c r="C94" s="132"/>
      <c r="D94" s="132"/>
      <c r="E94" s="132"/>
      <c r="F94" s="1"/>
      <c r="G94" s="132"/>
    </row>
    <row r="95" spans="1:7" ht="17.399999999999999">
      <c r="A95" s="132"/>
      <c r="B95" s="136"/>
      <c r="C95" s="132"/>
      <c r="D95" s="132"/>
      <c r="E95" s="132"/>
      <c r="F95" s="1"/>
      <c r="G95" s="132"/>
    </row>
    <row r="96" spans="1:7" ht="17.399999999999999">
      <c r="A96" s="132"/>
      <c r="B96" s="136"/>
      <c r="C96" s="132"/>
      <c r="D96" s="132"/>
      <c r="E96" s="132"/>
      <c r="F96" s="1"/>
      <c r="G96" s="132"/>
    </row>
    <row r="97" spans="1:7" ht="17.399999999999999">
      <c r="A97" s="132"/>
      <c r="B97" s="136"/>
      <c r="C97" s="132"/>
      <c r="D97" s="132"/>
      <c r="E97" s="132"/>
      <c r="F97" s="1"/>
      <c r="G97" s="132"/>
    </row>
    <row r="98" spans="1:7" ht="17.399999999999999">
      <c r="A98" s="132"/>
      <c r="B98" s="136"/>
      <c r="C98" s="132"/>
      <c r="D98" s="132"/>
      <c r="E98" s="132"/>
      <c r="F98" s="1"/>
      <c r="G98" s="132"/>
    </row>
    <row r="99" spans="1:7" ht="17.399999999999999">
      <c r="A99" s="132"/>
      <c r="B99" s="141" t="s">
        <v>133</v>
      </c>
      <c r="C99" s="28" t="s">
        <v>134</v>
      </c>
      <c r="D99" s="28"/>
      <c r="E99" s="27"/>
      <c r="F99" s="6"/>
      <c r="G99" s="131" t="s">
        <v>22</v>
      </c>
    </row>
    <row r="100" spans="1:7" ht="17.399999999999999">
      <c r="A100" s="132"/>
      <c r="B100" s="143" t="s">
        <v>136</v>
      </c>
      <c r="C100" s="144"/>
      <c r="D100" s="144"/>
      <c r="E100" s="144"/>
      <c r="F100" s="144"/>
      <c r="G100" s="149"/>
    </row>
    <row r="101" spans="1:7" ht="17.399999999999999">
      <c r="A101" s="132"/>
      <c r="B101" s="143" t="s">
        <v>137</v>
      </c>
      <c r="C101" s="150"/>
      <c r="D101" s="150"/>
      <c r="E101" s="144"/>
      <c r="F101" s="145"/>
      <c r="G101" s="151"/>
    </row>
    <row r="102" spans="1:7" ht="17.399999999999999">
      <c r="A102" s="132"/>
      <c r="B102" s="143" t="s">
        <v>138</v>
      </c>
      <c r="C102" s="150"/>
      <c r="D102" s="150"/>
      <c r="E102" s="144"/>
      <c r="F102" s="145"/>
      <c r="G102" s="151"/>
    </row>
    <row r="103" spans="1:7" ht="17.399999999999999">
      <c r="A103" s="132"/>
      <c r="B103" s="152" t="s">
        <v>139</v>
      </c>
      <c r="C103" s="153"/>
      <c r="D103" s="153"/>
      <c r="E103" s="154"/>
      <c r="F103" s="155"/>
      <c r="G103" s="159"/>
    </row>
    <row r="104" spans="1:7" ht="17.399999999999999">
      <c r="A104" s="132"/>
      <c r="B104" s="136"/>
      <c r="C104" s="132"/>
      <c r="D104" s="132"/>
      <c r="E104" s="132"/>
      <c r="F104" s="1"/>
      <c r="G104" s="132"/>
    </row>
    <row r="105" spans="1:7" ht="17.399999999999999">
      <c r="A105" s="132"/>
      <c r="B105" s="141" t="s">
        <v>133</v>
      </c>
      <c r="C105" s="17" t="s">
        <v>140</v>
      </c>
      <c r="D105" s="17"/>
      <c r="E105" s="17"/>
      <c r="F105" s="6"/>
      <c r="G105" s="131" t="s">
        <v>22</v>
      </c>
    </row>
    <row r="106" spans="1:7" ht="17.399999999999999">
      <c r="A106" s="132"/>
      <c r="B106" s="141" t="s">
        <v>141</v>
      </c>
      <c r="C106" s="27"/>
      <c r="D106" s="27"/>
      <c r="E106" s="17"/>
      <c r="F106" s="6"/>
      <c r="G106" s="131"/>
    </row>
    <row r="107" spans="1:7" ht="17.399999999999999">
      <c r="A107" s="132"/>
      <c r="B107" s="143" t="s">
        <v>142</v>
      </c>
      <c r="C107" s="144"/>
      <c r="D107" s="144"/>
      <c r="E107" s="160"/>
      <c r="F107" s="145"/>
      <c r="G107" s="151"/>
    </row>
    <row r="108" spans="1:7" ht="17.399999999999999">
      <c r="A108" s="132"/>
      <c r="B108" s="143" t="s">
        <v>137</v>
      </c>
      <c r="C108" s="144"/>
      <c r="D108" s="144"/>
      <c r="E108" s="160"/>
      <c r="F108" s="145"/>
      <c r="G108" s="151"/>
    </row>
    <row r="109" spans="1:7" ht="17.399999999999999">
      <c r="A109" s="132"/>
      <c r="B109" s="143" t="s">
        <v>138</v>
      </c>
      <c r="C109" s="144"/>
      <c r="D109" s="144"/>
      <c r="E109" s="160"/>
      <c r="F109" s="145"/>
      <c r="G109" s="151"/>
    </row>
    <row r="110" spans="1:7" ht="17.399999999999999">
      <c r="A110" s="132"/>
      <c r="B110" s="143" t="s">
        <v>139</v>
      </c>
      <c r="C110" s="144"/>
      <c r="D110" s="144"/>
      <c r="E110" s="160"/>
      <c r="F110" s="145"/>
      <c r="G110" s="151"/>
    </row>
    <row r="111" spans="1:7" ht="17.399999999999999">
      <c r="A111" s="132"/>
      <c r="B111" s="136"/>
      <c r="C111" s="132"/>
      <c r="D111" s="132"/>
      <c r="E111" s="132"/>
      <c r="F111" s="1"/>
      <c r="G111" s="132"/>
    </row>
    <row r="112" spans="1:7" ht="17.399999999999999">
      <c r="A112" s="132"/>
      <c r="B112" s="136"/>
      <c r="C112" s="132"/>
      <c r="D112" s="132"/>
      <c r="E112" s="132"/>
      <c r="F112" s="1"/>
      <c r="G112" s="132"/>
    </row>
    <row r="113" spans="1:7" ht="17.399999999999999">
      <c r="A113" s="132"/>
      <c r="B113" s="136"/>
      <c r="C113" s="132"/>
      <c r="D113" s="132"/>
      <c r="E113" s="132"/>
      <c r="F113" s="1"/>
      <c r="G113" s="132"/>
    </row>
    <row r="114" spans="1:7" ht="17.399999999999999">
      <c r="A114" s="132"/>
      <c r="B114" s="136"/>
      <c r="C114" s="132"/>
      <c r="D114" s="132"/>
      <c r="E114" s="132"/>
      <c r="F114" s="1"/>
      <c r="G114" s="132"/>
    </row>
    <row r="115" spans="1:7" ht="17.399999999999999">
      <c r="A115" s="132"/>
      <c r="B115" s="136"/>
      <c r="C115" s="132"/>
      <c r="D115" s="132"/>
      <c r="E115" s="132"/>
      <c r="F115" s="1"/>
      <c r="G115" s="132"/>
    </row>
    <row r="116" spans="1:7" ht="17.399999999999999">
      <c r="A116" s="132"/>
      <c r="B116" s="136"/>
      <c r="C116" s="132"/>
      <c r="D116" s="132"/>
      <c r="E116" s="132"/>
      <c r="F116" s="1"/>
      <c r="G116" s="1"/>
    </row>
    <row r="117" spans="1:7" ht="17.399999999999999">
      <c r="A117" s="8">
        <v>3</v>
      </c>
      <c r="B117" s="28" t="s">
        <v>143</v>
      </c>
      <c r="C117" s="28" t="s">
        <v>144</v>
      </c>
      <c r="D117" s="28"/>
      <c r="E117" s="17" t="s">
        <v>145</v>
      </c>
      <c r="F117" s="6">
        <v>18</v>
      </c>
      <c r="G117" s="131" t="s">
        <v>146</v>
      </c>
    </row>
    <row r="118" spans="1:7" ht="17.399999999999999">
      <c r="A118" s="132"/>
      <c r="B118" s="136"/>
      <c r="C118" s="132"/>
      <c r="D118" s="132"/>
      <c r="E118" s="132"/>
      <c r="F118" s="1"/>
      <c r="G118" s="132"/>
    </row>
    <row r="119" spans="1:7" ht="17.399999999999999">
      <c r="A119" s="162"/>
      <c r="B119" s="163" t="s">
        <v>147</v>
      </c>
      <c r="C119" s="28"/>
      <c r="D119" s="28"/>
      <c r="E119" s="17"/>
      <c r="F119" s="6"/>
      <c r="G119" s="131" t="s">
        <v>22</v>
      </c>
    </row>
    <row r="120" spans="1:7" ht="17.399999999999999">
      <c r="A120" s="8">
        <v>4</v>
      </c>
      <c r="B120" s="28" t="s">
        <v>148</v>
      </c>
      <c r="C120" s="28" t="s">
        <v>149</v>
      </c>
      <c r="D120" s="28"/>
      <c r="E120" s="167"/>
      <c r="F120" s="4"/>
      <c r="G120" s="168" t="s">
        <v>22</v>
      </c>
    </row>
    <row r="121" spans="1:7" ht="17.399999999999999">
      <c r="A121" s="132"/>
      <c r="B121" s="495" t="s">
        <v>150</v>
      </c>
      <c r="C121" s="493"/>
      <c r="E121" s="132"/>
      <c r="F121" s="1"/>
      <c r="G121" s="132"/>
    </row>
    <row r="122" spans="1:7" ht="17.399999999999999">
      <c r="A122" s="132"/>
      <c r="B122" s="492" t="s">
        <v>151</v>
      </c>
      <c r="C122" s="493"/>
      <c r="E122" s="132"/>
      <c r="F122" s="1"/>
      <c r="G122" s="132"/>
    </row>
    <row r="123" spans="1:7" ht="17.399999999999999">
      <c r="A123" s="132"/>
      <c r="B123" s="492" t="s">
        <v>152</v>
      </c>
      <c r="C123" s="493"/>
      <c r="E123" s="132"/>
      <c r="F123" s="1"/>
      <c r="G123" s="132"/>
    </row>
    <row r="124" spans="1:7" ht="17.399999999999999">
      <c r="A124" s="132"/>
      <c r="B124" s="492" t="s">
        <v>153</v>
      </c>
      <c r="C124" s="493"/>
      <c r="E124" s="132"/>
      <c r="F124" s="1"/>
      <c r="G124" s="132"/>
    </row>
    <row r="125" spans="1:7" ht="17.399999999999999">
      <c r="A125" s="132"/>
      <c r="B125" s="492" t="s">
        <v>154</v>
      </c>
      <c r="C125" s="493"/>
      <c r="E125" s="132"/>
      <c r="F125" s="1"/>
      <c r="G125" s="132"/>
    </row>
    <row r="126" spans="1:7" ht="17.399999999999999">
      <c r="A126" s="132"/>
      <c r="B126" s="136"/>
      <c r="C126" s="132"/>
      <c r="D126" s="132"/>
      <c r="E126" s="132"/>
      <c r="F126" s="1"/>
      <c r="G126" s="132"/>
    </row>
    <row r="127" spans="1:7" ht="17.399999999999999">
      <c r="A127" s="132"/>
      <c r="B127" s="136"/>
      <c r="C127" s="132"/>
      <c r="D127" s="132"/>
      <c r="E127" s="132"/>
      <c r="F127" s="1"/>
      <c r="G127" s="132"/>
    </row>
    <row r="128" spans="1:7" ht="17.399999999999999">
      <c r="A128" s="132"/>
      <c r="B128" s="132"/>
      <c r="C128" s="132"/>
      <c r="D128" s="132"/>
      <c r="E128" s="132"/>
      <c r="F128" s="132"/>
      <c r="G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E16:F16"/>
    <mergeCell ref="A1:G1"/>
    <mergeCell ref="A2:G2"/>
    <mergeCell ref="A3:G3"/>
    <mergeCell ref="E4:G4"/>
    <mergeCell ref="B74:C74"/>
    <mergeCell ref="B62:C62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123:C123"/>
    <mergeCell ref="B124:C124"/>
    <mergeCell ref="B125:C125"/>
    <mergeCell ref="B75:C75"/>
    <mergeCell ref="B76:C76"/>
    <mergeCell ref="B78:C78"/>
    <mergeCell ref="B79:C79"/>
    <mergeCell ref="B121:C121"/>
    <mergeCell ref="B122:C122"/>
  </mergeCells>
  <pageMargins left="0.7" right="0.7" top="0.75" bottom="0.75" header="0.3" footer="0.3"/>
  <pageSetup paperSize="9" orientation="portrait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FA6B-0DC3-4C3B-A629-F2521939F9E2}">
  <sheetPr>
    <tabColor rgb="FF92D050"/>
  </sheetPr>
  <dimension ref="A1:F912"/>
  <sheetViews>
    <sheetView zoomScale="80" zoomScaleNormal="80" workbookViewId="0">
      <pane ySplit="6" topLeftCell="A7" activePane="bottomLeft" state="frozen"/>
      <selection pane="bottomLeft" activeCell="H17" sqref="H17"/>
    </sheetView>
  </sheetViews>
  <sheetFormatPr defaultColWidth="14.5546875" defaultRowHeight="14.4"/>
  <cols>
    <col min="2" max="2" width="19.5546875" customWidth="1"/>
    <col min="3" max="3" width="26.109375" customWidth="1"/>
  </cols>
  <sheetData>
    <row r="1" spans="1:6" ht="15.75" customHeight="1">
      <c r="A1" s="497" t="s">
        <v>0</v>
      </c>
      <c r="B1" s="493"/>
      <c r="C1" s="493"/>
      <c r="D1" s="493"/>
      <c r="E1" s="493"/>
      <c r="F1" s="493"/>
    </row>
    <row r="2" spans="1:6" ht="15.75" customHeight="1">
      <c r="A2" s="497" t="s">
        <v>1</v>
      </c>
      <c r="B2" s="493"/>
      <c r="C2" s="493"/>
      <c r="D2" s="493"/>
      <c r="E2" s="493"/>
      <c r="F2" s="493"/>
    </row>
    <row r="3" spans="1:6" ht="15.75" customHeight="1">
      <c r="A3" s="498" t="s">
        <v>2</v>
      </c>
      <c r="B3" s="499"/>
      <c r="C3" s="499"/>
      <c r="D3" s="499"/>
      <c r="E3" s="499"/>
      <c r="F3" s="499"/>
    </row>
    <row r="4" spans="1:6" ht="15.75" customHeight="1">
      <c r="A4" s="3" t="s">
        <v>3</v>
      </c>
      <c r="B4" s="4" t="s">
        <v>4</v>
      </c>
      <c r="C4" s="4" t="s">
        <v>5</v>
      </c>
      <c r="D4" s="503" t="s">
        <v>9</v>
      </c>
      <c r="E4" s="504"/>
      <c r="F4" s="505"/>
    </row>
    <row r="5" spans="1:6" ht="15.75" customHeight="1">
      <c r="A5" s="3"/>
      <c r="B5" s="4"/>
      <c r="C5" s="4"/>
      <c r="D5" s="4" t="s">
        <v>10</v>
      </c>
      <c r="E5" s="4" t="s">
        <v>11</v>
      </c>
      <c r="F5" s="4"/>
    </row>
    <row r="6" spans="1:6" ht="15.75" customHeight="1">
      <c r="A6" s="8"/>
      <c r="B6" s="4" t="s">
        <v>21</v>
      </c>
      <c r="C6" s="4"/>
      <c r="D6" s="4"/>
      <c r="E6" s="4"/>
      <c r="F6" s="3" t="s">
        <v>19</v>
      </c>
    </row>
    <row r="7" spans="1:6" ht="17.399999999999999">
      <c r="A7" s="8"/>
      <c r="B7" s="17"/>
      <c r="C7" s="15"/>
      <c r="D7" s="17"/>
      <c r="E7" s="6"/>
      <c r="F7" s="16"/>
    </row>
    <row r="8" spans="1:6" ht="17.399999999999999">
      <c r="A8" s="8"/>
      <c r="B8" s="28"/>
      <c r="C8" s="28"/>
      <c r="D8" s="17"/>
      <c r="E8" s="6"/>
      <c r="F8" s="120"/>
    </row>
    <row r="9" spans="1:6" ht="17.399999999999999">
      <c r="A9" s="8"/>
      <c r="B9" s="28"/>
      <c r="C9" s="28"/>
      <c r="D9" s="17"/>
      <c r="E9" s="6"/>
      <c r="F9" s="16"/>
    </row>
    <row r="10" spans="1:6" ht="18" thickBot="1">
      <c r="A10" s="8"/>
      <c r="B10" s="22" t="s">
        <v>19</v>
      </c>
      <c r="C10" s="23"/>
      <c r="D10" s="24"/>
      <c r="E10" s="24"/>
      <c r="F10" s="121">
        <v>0</v>
      </c>
    </row>
    <row r="11" spans="1:6" ht="18.600000000000001" thickTop="1" thickBot="1">
      <c r="A11" s="122"/>
      <c r="B11" s="123" t="s">
        <v>111</v>
      </c>
      <c r="C11" s="124"/>
      <c r="D11" s="126"/>
      <c r="E11" s="126"/>
      <c r="F11" s="125">
        <v>0</v>
      </c>
    </row>
    <row r="12" spans="1:6" ht="18" thickTop="1">
      <c r="A12" s="1"/>
      <c r="B12" s="131"/>
      <c r="C12" s="132"/>
      <c r="D12" s="132"/>
      <c r="E12" s="132"/>
      <c r="F12" s="132"/>
    </row>
    <row r="13" spans="1:6" ht="17.399999999999999">
      <c r="A13" s="132"/>
      <c r="B13" s="131"/>
      <c r="C13" s="132"/>
      <c r="D13" s="132"/>
      <c r="E13" s="1"/>
    </row>
    <row r="14" spans="1:6" ht="17.399999999999999">
      <c r="A14" s="132"/>
      <c r="B14" s="131"/>
      <c r="C14" s="132"/>
      <c r="D14" s="132"/>
      <c r="E14" s="1"/>
      <c r="F14" s="131"/>
    </row>
    <row r="15" spans="1:6" ht="17.399999999999999">
      <c r="A15" s="132"/>
      <c r="B15" s="131"/>
      <c r="C15" s="132"/>
      <c r="D15" s="132"/>
      <c r="E15" s="1"/>
      <c r="F15" s="131"/>
    </row>
    <row r="16" spans="1:6" ht="17.399999999999999">
      <c r="A16" s="132"/>
      <c r="B16" s="131"/>
      <c r="C16" s="132"/>
      <c r="D16" s="494"/>
      <c r="E16" s="493"/>
      <c r="F16" s="131"/>
    </row>
    <row r="17" spans="1:6" ht="17.399999999999999">
      <c r="A17" s="132"/>
      <c r="B17" s="131"/>
      <c r="C17" s="132"/>
      <c r="D17" s="132"/>
      <c r="E17" s="1"/>
      <c r="F17" s="132"/>
    </row>
    <row r="18" spans="1:6" ht="17.399999999999999">
      <c r="A18" s="132"/>
      <c r="B18" s="131"/>
      <c r="C18" s="132"/>
      <c r="D18" s="132"/>
      <c r="E18" s="1"/>
      <c r="F18" s="132"/>
    </row>
    <row r="19" spans="1:6" ht="17.399999999999999">
      <c r="A19" s="132"/>
      <c r="B19" s="131"/>
      <c r="C19" s="132"/>
      <c r="D19" s="132"/>
      <c r="E19" s="1"/>
      <c r="F19" s="132"/>
    </row>
    <row r="20" spans="1:6" ht="17.399999999999999">
      <c r="A20" s="132"/>
      <c r="B20" s="131"/>
      <c r="C20" s="132"/>
      <c r="D20" s="132"/>
      <c r="E20" s="1"/>
      <c r="F20" s="131"/>
    </row>
    <row r="21" spans="1:6" ht="17.399999999999999">
      <c r="A21" s="132"/>
      <c r="B21" s="131"/>
      <c r="C21" s="132"/>
      <c r="D21" s="132"/>
      <c r="E21" s="1"/>
      <c r="F21" s="131"/>
    </row>
    <row r="22" spans="1:6" ht="17.399999999999999">
      <c r="A22" s="132"/>
      <c r="B22" s="131"/>
      <c r="C22" s="132"/>
      <c r="D22" s="132"/>
      <c r="E22" s="1"/>
      <c r="F22" s="131"/>
    </row>
    <row r="23" spans="1:6" ht="17.399999999999999">
      <c r="A23" s="132"/>
      <c r="B23" s="131"/>
      <c r="C23" s="132"/>
      <c r="D23" s="132"/>
      <c r="E23" s="1"/>
      <c r="F23" s="131"/>
    </row>
    <row r="24" spans="1:6" ht="17.399999999999999">
      <c r="A24" s="132"/>
      <c r="B24" s="131"/>
      <c r="C24" s="132"/>
      <c r="D24" s="132"/>
      <c r="E24" s="1"/>
      <c r="F24" s="131"/>
    </row>
    <row r="25" spans="1:6" ht="17.399999999999999">
      <c r="A25" s="132"/>
      <c r="B25" s="131"/>
      <c r="C25" s="132"/>
      <c r="D25" s="132"/>
      <c r="E25" s="1"/>
      <c r="F25" s="131"/>
    </row>
    <row r="26" spans="1:6" ht="17.399999999999999">
      <c r="A26" s="132"/>
      <c r="B26" s="131"/>
      <c r="C26" s="132"/>
      <c r="D26" s="132"/>
      <c r="E26" s="1"/>
      <c r="F26" s="131"/>
    </row>
    <row r="27" spans="1:6" ht="17.399999999999999">
      <c r="A27" s="132"/>
      <c r="B27" s="131"/>
      <c r="C27" s="132"/>
      <c r="D27" s="132"/>
      <c r="E27" s="1"/>
      <c r="F27" s="131"/>
    </row>
    <row r="28" spans="1:6" ht="17.399999999999999">
      <c r="A28" s="132"/>
      <c r="B28" s="131"/>
      <c r="C28" s="132"/>
      <c r="D28" s="132"/>
      <c r="E28" s="1"/>
      <c r="F28" s="131"/>
    </row>
    <row r="29" spans="1:6" ht="17.399999999999999">
      <c r="A29" s="132"/>
      <c r="B29" s="131"/>
      <c r="C29" s="132"/>
      <c r="D29" s="132"/>
      <c r="E29" s="1"/>
      <c r="F29" s="131"/>
    </row>
    <row r="30" spans="1:6" ht="17.399999999999999">
      <c r="A30" s="132"/>
      <c r="B30" s="131"/>
      <c r="C30" s="132"/>
      <c r="D30" s="132"/>
      <c r="E30" s="1"/>
      <c r="F30" s="131"/>
    </row>
    <row r="31" spans="1:6" ht="17.399999999999999">
      <c r="A31" s="132"/>
      <c r="B31" s="131"/>
      <c r="C31" s="132"/>
      <c r="D31" s="132"/>
      <c r="E31" s="1"/>
      <c r="F31" s="131"/>
    </row>
    <row r="32" spans="1:6" ht="17.399999999999999">
      <c r="A32" s="136"/>
      <c r="B32" s="136"/>
      <c r="C32" s="136"/>
      <c r="D32" s="136"/>
      <c r="E32" s="136"/>
      <c r="F32" s="136"/>
    </row>
    <row r="33" spans="1:6" ht="17.399999999999999">
      <c r="A33" s="132"/>
      <c r="B33" s="131"/>
      <c r="C33" s="132"/>
      <c r="D33" s="132"/>
      <c r="E33" s="1"/>
      <c r="F33" s="131"/>
    </row>
    <row r="34" spans="1:6" ht="17.399999999999999">
      <c r="A34" s="132"/>
      <c r="B34" s="131"/>
      <c r="C34" s="132"/>
      <c r="D34" s="132"/>
      <c r="E34" s="1"/>
      <c r="F34" s="131"/>
    </row>
    <row r="35" spans="1:6" ht="17.399999999999999">
      <c r="A35" s="132"/>
      <c r="B35" s="131"/>
      <c r="C35" s="132"/>
      <c r="D35" s="132"/>
      <c r="E35" s="1"/>
      <c r="F35" s="131"/>
    </row>
    <row r="36" spans="1:6" ht="17.399999999999999">
      <c r="A36" s="132"/>
      <c r="B36" s="131"/>
      <c r="C36" s="132"/>
      <c r="D36" s="132"/>
      <c r="E36" s="1"/>
      <c r="F36" s="131"/>
    </row>
    <row r="37" spans="1:6" ht="17.399999999999999">
      <c r="A37" s="132"/>
      <c r="B37" s="131"/>
      <c r="C37" s="132"/>
      <c r="D37" s="132"/>
      <c r="E37" s="1"/>
      <c r="F37" s="131"/>
    </row>
    <row r="38" spans="1:6" ht="17.399999999999999">
      <c r="A38" s="132"/>
      <c r="B38" s="131"/>
      <c r="C38" s="132"/>
      <c r="D38" s="132"/>
      <c r="E38" s="1"/>
      <c r="F38" s="131"/>
    </row>
    <row r="39" spans="1:6" ht="17.399999999999999">
      <c r="A39" s="132"/>
      <c r="B39" s="131"/>
      <c r="C39" s="132"/>
      <c r="D39" s="132"/>
      <c r="E39" s="1"/>
      <c r="F39" s="131"/>
    </row>
    <row r="40" spans="1:6" ht="17.399999999999999">
      <c r="A40" s="132"/>
      <c r="B40" s="131"/>
      <c r="C40" s="132"/>
      <c r="D40" s="132"/>
      <c r="E40" s="1"/>
      <c r="F40" s="131"/>
    </row>
    <row r="41" spans="1:6" ht="17.399999999999999">
      <c r="A41" s="132"/>
      <c r="B41" s="131"/>
      <c r="C41" s="132"/>
      <c r="D41" s="132"/>
      <c r="E41" s="1"/>
      <c r="F41" s="131"/>
    </row>
    <row r="42" spans="1:6" ht="17.399999999999999">
      <c r="A42" s="132"/>
      <c r="B42" s="131"/>
      <c r="C42" s="132"/>
      <c r="D42" s="132"/>
      <c r="E42" s="1"/>
      <c r="F42" s="131"/>
    </row>
    <row r="43" spans="1:6" ht="17.399999999999999">
      <c r="A43" s="132"/>
      <c r="B43" s="131"/>
      <c r="C43" s="132"/>
      <c r="D43" s="132"/>
      <c r="E43" s="1"/>
      <c r="F43" s="131"/>
    </row>
    <row r="44" spans="1:6" ht="17.399999999999999">
      <c r="A44" s="132"/>
      <c r="B44" s="131"/>
      <c r="C44" s="132"/>
      <c r="D44" s="132"/>
      <c r="E44" s="1"/>
      <c r="F44" s="131"/>
    </row>
    <row r="45" spans="1:6" ht="17.399999999999999">
      <c r="A45" s="132"/>
      <c r="B45" s="131"/>
      <c r="C45" s="132"/>
      <c r="D45" s="132"/>
      <c r="E45" s="1"/>
      <c r="F45" s="131"/>
    </row>
    <row r="46" spans="1:6" ht="17.399999999999999">
      <c r="A46" s="132"/>
      <c r="B46" s="131"/>
      <c r="C46" s="132"/>
      <c r="D46" s="132"/>
      <c r="E46" s="1"/>
      <c r="F46" s="131"/>
    </row>
    <row r="47" spans="1:6" ht="17.399999999999999">
      <c r="A47" s="132"/>
      <c r="B47" s="131"/>
      <c r="C47" s="132"/>
      <c r="D47" s="132"/>
      <c r="E47" s="1"/>
      <c r="F47" s="131"/>
    </row>
    <row r="48" spans="1:6" ht="17.399999999999999">
      <c r="A48" s="132"/>
      <c r="B48" s="131"/>
      <c r="C48" s="132"/>
      <c r="D48" s="132"/>
      <c r="E48" s="1"/>
      <c r="F48" s="131"/>
    </row>
    <row r="49" spans="1:6" ht="17.399999999999999">
      <c r="A49" s="132"/>
      <c r="B49" s="131"/>
      <c r="C49" s="132"/>
      <c r="D49" s="132"/>
      <c r="E49" s="1"/>
      <c r="F49" s="131"/>
    </row>
    <row r="50" spans="1:6" ht="17.399999999999999">
      <c r="A50" s="132"/>
      <c r="B50" s="131"/>
      <c r="C50" s="132"/>
      <c r="D50" s="132"/>
      <c r="E50" s="1"/>
      <c r="F50" s="131"/>
    </row>
    <row r="51" spans="1:6" ht="17.399999999999999">
      <c r="A51" s="132"/>
      <c r="B51" s="131"/>
      <c r="C51" s="132"/>
      <c r="D51" s="132"/>
      <c r="E51" s="1"/>
      <c r="F51" s="131"/>
    </row>
    <row r="52" spans="1:6" ht="17.399999999999999">
      <c r="A52" s="132"/>
      <c r="B52" s="131"/>
      <c r="C52" s="132"/>
      <c r="D52" s="132"/>
      <c r="E52" s="1"/>
      <c r="F52" s="131"/>
    </row>
    <row r="53" spans="1:6" ht="17.399999999999999">
      <c r="A53" s="132"/>
      <c r="B53" s="131"/>
      <c r="C53" s="132"/>
      <c r="D53" s="132"/>
      <c r="E53" s="1"/>
      <c r="F53" s="131"/>
    </row>
    <row r="54" spans="1:6" ht="17.399999999999999">
      <c r="A54" s="132"/>
      <c r="B54" s="131"/>
      <c r="C54" s="132"/>
      <c r="D54" s="132"/>
      <c r="E54" s="1"/>
      <c r="F54" s="131"/>
    </row>
    <row r="55" spans="1:6" ht="17.399999999999999">
      <c r="A55" s="132"/>
      <c r="B55" s="131"/>
      <c r="C55" s="132"/>
      <c r="D55" s="132"/>
      <c r="E55" s="1"/>
      <c r="F55" s="131"/>
    </row>
    <row r="56" spans="1:6" ht="17.399999999999999">
      <c r="A56" s="132"/>
      <c r="B56" s="131"/>
      <c r="C56" s="132"/>
      <c r="D56" s="132"/>
      <c r="E56" s="1"/>
      <c r="F56" s="131"/>
    </row>
    <row r="57" spans="1:6" ht="17.399999999999999">
      <c r="A57" s="132"/>
      <c r="B57" s="131"/>
      <c r="C57" s="132"/>
      <c r="D57" s="132"/>
      <c r="E57" s="1"/>
      <c r="F57" s="131"/>
    </row>
    <row r="58" spans="1:6" ht="17.399999999999999">
      <c r="A58" s="132"/>
      <c r="B58" s="131"/>
      <c r="C58" s="132"/>
      <c r="D58" s="132"/>
      <c r="E58" s="1"/>
      <c r="F58" s="131"/>
    </row>
    <row r="59" spans="1:6" ht="17.399999999999999">
      <c r="A59" s="132"/>
      <c r="B59" s="131"/>
      <c r="C59" s="132"/>
      <c r="D59" s="132"/>
      <c r="E59" s="1"/>
      <c r="F59" s="131"/>
    </row>
    <row r="60" spans="1:6" ht="17.399999999999999">
      <c r="A60" s="132"/>
      <c r="B60" s="131"/>
      <c r="C60" s="132"/>
      <c r="D60" s="132"/>
      <c r="E60" s="1"/>
      <c r="F60" s="131"/>
    </row>
    <row r="61" spans="1:6" ht="17.399999999999999">
      <c r="A61" s="132"/>
      <c r="B61" s="131"/>
      <c r="C61" s="132"/>
      <c r="D61" s="132"/>
      <c r="E61" s="1"/>
      <c r="F61" s="131"/>
    </row>
    <row r="62" spans="1:6" ht="17.399999999999999">
      <c r="A62" s="132"/>
      <c r="B62" s="494" t="s">
        <v>115</v>
      </c>
      <c r="C62" s="493"/>
      <c r="D62" s="132"/>
      <c r="E62" s="1"/>
      <c r="F62" s="131"/>
    </row>
    <row r="63" spans="1:6" ht="17.399999999999999">
      <c r="A63" s="132"/>
      <c r="B63" s="494" t="s">
        <v>116</v>
      </c>
      <c r="C63" s="493"/>
      <c r="D63" s="132"/>
      <c r="E63" s="1"/>
      <c r="F63" s="131"/>
    </row>
    <row r="64" spans="1:6" ht="17.399999999999999">
      <c r="A64" s="132"/>
      <c r="B64" s="494" t="s">
        <v>117</v>
      </c>
      <c r="C64" s="493"/>
      <c r="D64" s="132"/>
      <c r="E64" s="1"/>
      <c r="F64" s="131"/>
    </row>
    <row r="65" spans="1:6" ht="17.399999999999999">
      <c r="A65" s="132"/>
      <c r="B65" s="131"/>
      <c r="C65" s="132"/>
      <c r="D65" s="132"/>
      <c r="E65" s="1"/>
      <c r="F65" s="131"/>
    </row>
    <row r="66" spans="1:6" ht="20.399999999999999">
      <c r="A66" s="132"/>
      <c r="B66" s="140" t="s">
        <v>118</v>
      </c>
      <c r="C66" s="136" t="s">
        <v>119</v>
      </c>
      <c r="D66" s="132"/>
      <c r="E66" s="1"/>
      <c r="F66" s="132"/>
    </row>
    <row r="67" spans="1:6" ht="17.399999999999999">
      <c r="A67" s="132"/>
      <c r="B67" s="496" t="s">
        <v>120</v>
      </c>
      <c r="C67" s="493"/>
      <c r="D67" s="132"/>
      <c r="E67" s="1"/>
      <c r="F67" s="131"/>
    </row>
    <row r="68" spans="1:6" ht="17.399999999999999">
      <c r="A68" s="132"/>
      <c r="B68" s="494" t="s">
        <v>121</v>
      </c>
      <c r="C68" s="493"/>
      <c r="D68" s="132"/>
      <c r="E68" s="1"/>
      <c r="F68" s="132"/>
    </row>
    <row r="69" spans="1:6" ht="17.399999999999999">
      <c r="A69" s="132"/>
      <c r="B69" s="494" t="s">
        <v>122</v>
      </c>
      <c r="C69" s="493"/>
      <c r="D69" s="132"/>
      <c r="E69" s="1"/>
      <c r="F69" s="132"/>
    </row>
    <row r="70" spans="1:6" ht="17.399999999999999">
      <c r="A70" s="132"/>
      <c r="B70" s="494" t="s">
        <v>123</v>
      </c>
      <c r="C70" s="493"/>
      <c r="D70" s="132"/>
      <c r="E70" s="1"/>
      <c r="F70" s="132"/>
    </row>
    <row r="71" spans="1:6" ht="17.399999999999999">
      <c r="A71" s="132"/>
      <c r="B71" s="494" t="s">
        <v>124</v>
      </c>
      <c r="C71" s="493"/>
      <c r="D71" s="132"/>
      <c r="E71" s="1"/>
      <c r="F71" s="132"/>
    </row>
    <row r="72" spans="1:6" ht="17.399999999999999">
      <c r="A72" s="132"/>
      <c r="B72" s="494" t="s">
        <v>125</v>
      </c>
      <c r="C72" s="493"/>
      <c r="D72" s="132"/>
      <c r="E72" s="1"/>
      <c r="F72" s="132"/>
    </row>
    <row r="73" spans="1:6" ht="17.399999999999999">
      <c r="A73" s="132"/>
      <c r="B73" s="494" t="s">
        <v>126</v>
      </c>
      <c r="C73" s="493"/>
      <c r="D73" s="132"/>
      <c r="E73" s="1"/>
      <c r="F73" s="132"/>
    </row>
    <row r="74" spans="1:6" ht="17.399999999999999">
      <c r="A74" s="132"/>
      <c r="B74" s="494" t="s">
        <v>127</v>
      </c>
      <c r="C74" s="493"/>
      <c r="D74" s="132"/>
      <c r="E74" s="1"/>
      <c r="F74" s="132"/>
    </row>
    <row r="75" spans="1:6" ht="17.399999999999999">
      <c r="A75" s="132"/>
      <c r="B75" s="494" t="s">
        <v>128</v>
      </c>
      <c r="C75" s="493"/>
      <c r="D75" s="132"/>
      <c r="E75" s="1"/>
      <c r="F75" s="132"/>
    </row>
    <row r="76" spans="1:6" ht="17.399999999999999">
      <c r="A76" s="132"/>
      <c r="B76" s="494" t="s">
        <v>129</v>
      </c>
      <c r="C76" s="493"/>
      <c r="D76" s="132"/>
      <c r="E76" s="1"/>
      <c r="F76" s="132"/>
    </row>
    <row r="77" spans="1:6" ht="17.399999999999999">
      <c r="A77" s="132"/>
      <c r="B77" s="136" t="s">
        <v>130</v>
      </c>
      <c r="C77" s="132"/>
      <c r="D77" s="132"/>
      <c r="E77" s="1"/>
      <c r="F77" s="132"/>
    </row>
    <row r="78" spans="1:6" ht="17.399999999999999">
      <c r="A78" s="132"/>
      <c r="B78" s="494" t="s">
        <v>131</v>
      </c>
      <c r="C78" s="493"/>
      <c r="D78" s="132"/>
      <c r="E78" s="1"/>
      <c r="F78" s="132"/>
    </row>
    <row r="79" spans="1:6" ht="17.399999999999999">
      <c r="A79" s="132"/>
      <c r="B79" s="494" t="s">
        <v>132</v>
      </c>
      <c r="C79" s="493"/>
      <c r="D79" s="132"/>
      <c r="E79" s="1"/>
      <c r="F79" s="132"/>
    </row>
    <row r="80" spans="1:6" ht="17.399999999999999">
      <c r="A80" s="132"/>
      <c r="B80" s="136"/>
      <c r="C80" s="132"/>
      <c r="D80" s="132"/>
      <c r="E80" s="1"/>
      <c r="F80" s="132"/>
    </row>
    <row r="81" spans="1:6" ht="17.399999999999999">
      <c r="A81" s="132"/>
      <c r="B81" s="136"/>
      <c r="C81" s="132"/>
      <c r="D81" s="132"/>
      <c r="E81" s="1"/>
      <c r="F81" s="132"/>
    </row>
    <row r="82" spans="1:6" ht="17.399999999999999">
      <c r="A82" s="132"/>
      <c r="B82" s="136"/>
      <c r="C82" s="132"/>
      <c r="D82" s="132"/>
      <c r="E82" s="1"/>
      <c r="F82" s="132"/>
    </row>
    <row r="83" spans="1:6" ht="17.399999999999999">
      <c r="A83" s="132"/>
      <c r="B83" s="136"/>
      <c r="C83" s="132"/>
      <c r="D83" s="132"/>
      <c r="E83" s="1"/>
      <c r="F83" s="132"/>
    </row>
    <row r="84" spans="1:6" ht="17.399999999999999">
      <c r="A84" s="132"/>
      <c r="B84" s="136"/>
      <c r="C84" s="132"/>
      <c r="D84" s="132"/>
      <c r="E84" s="1"/>
      <c r="F84" s="132"/>
    </row>
    <row r="85" spans="1:6" ht="17.399999999999999">
      <c r="A85" s="132"/>
      <c r="B85" s="136"/>
      <c r="C85" s="132"/>
      <c r="D85" s="132"/>
      <c r="E85" s="1"/>
      <c r="F85" s="132"/>
    </row>
    <row r="86" spans="1:6" ht="17.399999999999999">
      <c r="A86" s="132"/>
      <c r="B86" s="136"/>
      <c r="C86" s="132"/>
      <c r="D86" s="132"/>
      <c r="E86" s="1"/>
      <c r="F86" s="132"/>
    </row>
    <row r="87" spans="1:6" ht="17.399999999999999">
      <c r="A87" s="132"/>
      <c r="B87" s="136"/>
      <c r="C87" s="132"/>
      <c r="D87" s="132"/>
      <c r="E87" s="1"/>
      <c r="F87" s="132"/>
    </row>
    <row r="88" spans="1:6" ht="17.399999999999999">
      <c r="A88" s="132"/>
      <c r="B88" s="136"/>
      <c r="C88" s="132"/>
      <c r="D88" s="132"/>
      <c r="E88" s="1"/>
      <c r="F88" s="132"/>
    </row>
    <row r="89" spans="1:6" ht="17.399999999999999">
      <c r="A89" s="132"/>
      <c r="B89" s="136"/>
      <c r="C89" s="132"/>
      <c r="D89" s="132"/>
      <c r="E89" s="1"/>
      <c r="F89" s="132"/>
    </row>
    <row r="90" spans="1:6" ht="17.399999999999999">
      <c r="A90" s="132"/>
      <c r="B90" s="136"/>
      <c r="C90" s="132"/>
      <c r="D90" s="132"/>
      <c r="E90" s="1"/>
      <c r="F90" s="132"/>
    </row>
    <row r="91" spans="1:6" ht="17.399999999999999">
      <c r="A91" s="132"/>
      <c r="B91" s="136"/>
      <c r="C91" s="132"/>
      <c r="D91" s="132"/>
      <c r="E91" s="1"/>
      <c r="F91" s="132"/>
    </row>
    <row r="92" spans="1:6" ht="17.399999999999999">
      <c r="A92" s="132"/>
      <c r="B92" s="136"/>
      <c r="C92" s="132"/>
      <c r="D92" s="132"/>
      <c r="E92" s="1"/>
      <c r="F92" s="132"/>
    </row>
    <row r="93" spans="1:6" ht="17.399999999999999">
      <c r="A93" s="132"/>
      <c r="B93" s="136"/>
      <c r="C93" s="132"/>
      <c r="D93" s="132"/>
      <c r="E93" s="1"/>
      <c r="F93" s="132"/>
    </row>
    <row r="94" spans="1:6" ht="17.399999999999999">
      <c r="A94" s="132"/>
      <c r="B94" s="136"/>
      <c r="C94" s="132"/>
      <c r="D94" s="132"/>
      <c r="E94" s="1"/>
      <c r="F94" s="132"/>
    </row>
    <row r="95" spans="1:6" ht="17.399999999999999">
      <c r="A95" s="132"/>
      <c r="B95" s="136"/>
      <c r="C95" s="132"/>
      <c r="D95" s="132"/>
      <c r="E95" s="1"/>
      <c r="F95" s="132"/>
    </row>
    <row r="96" spans="1:6" ht="17.399999999999999">
      <c r="A96" s="132"/>
      <c r="B96" s="136"/>
      <c r="C96" s="132"/>
      <c r="D96" s="132"/>
      <c r="E96" s="1"/>
      <c r="F96" s="132"/>
    </row>
    <row r="97" spans="1:6" ht="17.399999999999999">
      <c r="A97" s="132"/>
      <c r="B97" s="136"/>
      <c r="C97" s="132"/>
      <c r="D97" s="132"/>
      <c r="E97" s="1"/>
      <c r="F97" s="132"/>
    </row>
    <row r="98" spans="1:6" ht="17.399999999999999">
      <c r="A98" s="132"/>
      <c r="B98" s="136"/>
      <c r="C98" s="132"/>
      <c r="D98" s="132"/>
      <c r="E98" s="1"/>
      <c r="F98" s="132"/>
    </row>
    <row r="99" spans="1:6" ht="17.399999999999999">
      <c r="A99" s="132"/>
      <c r="B99" s="141" t="s">
        <v>133</v>
      </c>
      <c r="C99" s="28" t="s">
        <v>134</v>
      </c>
      <c r="D99" s="27"/>
      <c r="E99" s="6"/>
      <c r="F99" s="131" t="s">
        <v>22</v>
      </c>
    </row>
    <row r="100" spans="1:6" ht="17.399999999999999">
      <c r="A100" s="132"/>
      <c r="B100" s="143" t="s">
        <v>136</v>
      </c>
      <c r="C100" s="144"/>
      <c r="D100" s="144"/>
      <c r="E100" s="144"/>
      <c r="F100" s="149"/>
    </row>
    <row r="101" spans="1:6" ht="17.399999999999999">
      <c r="A101" s="132"/>
      <c r="B101" s="143" t="s">
        <v>137</v>
      </c>
      <c r="C101" s="150"/>
      <c r="D101" s="144"/>
      <c r="E101" s="145"/>
      <c r="F101" s="151"/>
    </row>
    <row r="102" spans="1:6" ht="17.399999999999999">
      <c r="A102" s="132"/>
      <c r="B102" s="143" t="s">
        <v>138</v>
      </c>
      <c r="C102" s="150"/>
      <c r="D102" s="144"/>
      <c r="E102" s="145"/>
      <c r="F102" s="151"/>
    </row>
    <row r="103" spans="1:6" ht="17.399999999999999">
      <c r="A103" s="132"/>
      <c r="B103" s="152" t="s">
        <v>139</v>
      </c>
      <c r="C103" s="153"/>
      <c r="D103" s="154"/>
      <c r="E103" s="155"/>
      <c r="F103" s="159"/>
    </row>
    <row r="104" spans="1:6" ht="17.399999999999999">
      <c r="A104" s="132"/>
      <c r="B104" s="136"/>
      <c r="C104" s="132"/>
      <c r="D104" s="132"/>
      <c r="E104" s="1"/>
      <c r="F104" s="132"/>
    </row>
    <row r="105" spans="1:6" ht="17.399999999999999">
      <c r="A105" s="132"/>
      <c r="B105" s="141" t="s">
        <v>133</v>
      </c>
      <c r="C105" s="17" t="s">
        <v>140</v>
      </c>
      <c r="D105" s="17"/>
      <c r="E105" s="6"/>
      <c r="F105" s="131" t="s">
        <v>22</v>
      </c>
    </row>
    <row r="106" spans="1:6" ht="17.399999999999999">
      <c r="A106" s="132"/>
      <c r="B106" s="141" t="s">
        <v>141</v>
      </c>
      <c r="C106" s="27"/>
      <c r="D106" s="17"/>
      <c r="E106" s="6"/>
      <c r="F106" s="131"/>
    </row>
    <row r="107" spans="1:6" ht="17.399999999999999">
      <c r="A107" s="132"/>
      <c r="B107" s="143" t="s">
        <v>142</v>
      </c>
      <c r="C107" s="144"/>
      <c r="D107" s="160"/>
      <c r="E107" s="145"/>
      <c r="F107" s="151"/>
    </row>
    <row r="108" spans="1:6" ht="17.399999999999999">
      <c r="A108" s="132"/>
      <c r="B108" s="143" t="s">
        <v>137</v>
      </c>
      <c r="C108" s="144"/>
      <c r="D108" s="160"/>
      <c r="E108" s="145"/>
      <c r="F108" s="151"/>
    </row>
    <row r="109" spans="1:6" ht="17.399999999999999">
      <c r="A109" s="132"/>
      <c r="B109" s="143" t="s">
        <v>138</v>
      </c>
      <c r="C109" s="144"/>
      <c r="D109" s="160"/>
      <c r="E109" s="145"/>
      <c r="F109" s="151"/>
    </row>
    <row r="110" spans="1:6" ht="17.399999999999999">
      <c r="A110" s="132"/>
      <c r="B110" s="143" t="s">
        <v>139</v>
      </c>
      <c r="C110" s="144"/>
      <c r="D110" s="160"/>
      <c r="E110" s="145"/>
      <c r="F110" s="151"/>
    </row>
    <row r="111" spans="1:6" ht="17.399999999999999">
      <c r="A111" s="132"/>
      <c r="B111" s="136"/>
      <c r="C111" s="132"/>
      <c r="D111" s="132"/>
      <c r="E111" s="1"/>
      <c r="F111" s="132"/>
    </row>
    <row r="112" spans="1:6" ht="17.399999999999999">
      <c r="A112" s="132"/>
      <c r="B112" s="136"/>
      <c r="C112" s="132"/>
      <c r="D112" s="132"/>
      <c r="E112" s="1"/>
      <c r="F112" s="132"/>
    </row>
    <row r="113" spans="1:6" ht="17.399999999999999">
      <c r="A113" s="132"/>
      <c r="B113" s="136"/>
      <c r="C113" s="132"/>
      <c r="D113" s="132"/>
      <c r="E113" s="1"/>
      <c r="F113" s="132"/>
    </row>
    <row r="114" spans="1:6" ht="17.399999999999999">
      <c r="A114" s="132"/>
      <c r="B114" s="136"/>
      <c r="C114" s="132"/>
      <c r="D114" s="132"/>
      <c r="E114" s="1"/>
      <c r="F114" s="132"/>
    </row>
    <row r="115" spans="1:6" ht="17.399999999999999">
      <c r="A115" s="132"/>
      <c r="B115" s="136"/>
      <c r="C115" s="132"/>
      <c r="D115" s="132"/>
      <c r="E115" s="1"/>
      <c r="F115" s="132"/>
    </row>
    <row r="116" spans="1:6" ht="17.399999999999999">
      <c r="A116" s="132"/>
      <c r="B116" s="136"/>
      <c r="C116" s="132"/>
      <c r="D116" s="132"/>
      <c r="E116" s="1"/>
      <c r="F116" s="1"/>
    </row>
    <row r="117" spans="1:6" ht="17.399999999999999">
      <c r="A117" s="8">
        <v>3</v>
      </c>
      <c r="B117" s="28" t="s">
        <v>143</v>
      </c>
      <c r="C117" s="28" t="s">
        <v>144</v>
      </c>
      <c r="D117" s="17" t="s">
        <v>145</v>
      </c>
      <c r="E117" s="6">
        <v>18</v>
      </c>
      <c r="F117" s="131" t="s">
        <v>146</v>
      </c>
    </row>
    <row r="118" spans="1:6" ht="17.399999999999999">
      <c r="A118" s="132"/>
      <c r="B118" s="136"/>
      <c r="C118" s="132"/>
      <c r="D118" s="132"/>
      <c r="E118" s="1"/>
      <c r="F118" s="132"/>
    </row>
    <row r="119" spans="1:6" ht="17.399999999999999">
      <c r="A119" s="162"/>
      <c r="B119" s="163" t="s">
        <v>147</v>
      </c>
      <c r="C119" s="28"/>
      <c r="D119" s="17"/>
      <c r="E119" s="6"/>
      <c r="F119" s="131" t="s">
        <v>22</v>
      </c>
    </row>
    <row r="120" spans="1:6" ht="17.399999999999999">
      <c r="A120" s="8">
        <v>4</v>
      </c>
      <c r="B120" s="28" t="s">
        <v>148</v>
      </c>
      <c r="C120" s="28" t="s">
        <v>149</v>
      </c>
      <c r="D120" s="167"/>
      <c r="E120" s="4"/>
      <c r="F120" s="168" t="s">
        <v>22</v>
      </c>
    </row>
    <row r="121" spans="1:6" ht="17.399999999999999">
      <c r="A121" s="132"/>
      <c r="B121" s="495" t="s">
        <v>150</v>
      </c>
      <c r="C121" s="493"/>
      <c r="D121" s="132"/>
      <c r="E121" s="1"/>
      <c r="F121" s="132"/>
    </row>
    <row r="122" spans="1:6" ht="17.399999999999999">
      <c r="A122" s="132"/>
      <c r="B122" s="492" t="s">
        <v>151</v>
      </c>
      <c r="C122" s="493"/>
      <c r="D122" s="132"/>
      <c r="E122" s="1"/>
      <c r="F122" s="132"/>
    </row>
    <row r="123" spans="1:6" ht="17.399999999999999">
      <c r="A123" s="132"/>
      <c r="B123" s="492" t="s">
        <v>152</v>
      </c>
      <c r="C123" s="493"/>
      <c r="D123" s="132"/>
      <c r="E123" s="1"/>
      <c r="F123" s="132"/>
    </row>
    <row r="124" spans="1:6" ht="17.399999999999999">
      <c r="A124" s="132"/>
      <c r="B124" s="492" t="s">
        <v>153</v>
      </c>
      <c r="C124" s="493"/>
      <c r="D124" s="132"/>
      <c r="E124" s="1"/>
      <c r="F124" s="132"/>
    </row>
    <row r="125" spans="1:6" ht="17.399999999999999">
      <c r="A125" s="132"/>
      <c r="B125" s="492" t="s">
        <v>154</v>
      </c>
      <c r="C125" s="493"/>
      <c r="D125" s="132"/>
      <c r="E125" s="1"/>
      <c r="F125" s="132"/>
    </row>
    <row r="126" spans="1:6" ht="17.399999999999999">
      <c r="A126" s="132"/>
      <c r="B126" s="136"/>
      <c r="C126" s="132"/>
      <c r="D126" s="132"/>
      <c r="E126" s="1"/>
      <c r="F126" s="132"/>
    </row>
    <row r="127" spans="1:6" ht="17.399999999999999">
      <c r="A127" s="132"/>
      <c r="B127" s="136"/>
      <c r="C127" s="132"/>
      <c r="D127" s="132"/>
      <c r="E127" s="1"/>
      <c r="F127" s="132"/>
    </row>
    <row r="128" spans="1:6" ht="17.399999999999999">
      <c r="A128" s="132"/>
      <c r="B128" s="132"/>
      <c r="C128" s="132"/>
      <c r="D128" s="132"/>
      <c r="E128" s="132"/>
      <c r="F128" s="132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5">
    <mergeCell ref="B62:C62"/>
    <mergeCell ref="A1:F1"/>
    <mergeCell ref="A2:F2"/>
    <mergeCell ref="A3:F3"/>
    <mergeCell ref="D4:F4"/>
    <mergeCell ref="D16:E16"/>
    <mergeCell ref="B76:C76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125:C125"/>
    <mergeCell ref="B78:C78"/>
    <mergeCell ref="B79:C79"/>
    <mergeCell ref="B121:C121"/>
    <mergeCell ref="B122:C122"/>
    <mergeCell ref="B123:C123"/>
    <mergeCell ref="B124:C124"/>
  </mergeCells>
  <pageMargins left="0.7" right="0.7" top="0.75" bottom="0.75" header="0.3" footer="0.3"/>
  <pageSetup paperSize="9" orientation="portrait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C61-6E52-4780-A588-C95C42E7BBEF}">
  <dimension ref="A1:T1004"/>
  <sheetViews>
    <sheetView zoomScale="80" zoomScaleNormal="80" workbookViewId="0">
      <pane ySplit="6" topLeftCell="A20" activePane="bottomLeft" state="frozen"/>
      <selection pane="bottomLeft" activeCell="C46" sqref="C46"/>
    </sheetView>
  </sheetViews>
  <sheetFormatPr defaultColWidth="14.5546875" defaultRowHeight="14.4"/>
  <cols>
    <col min="2" max="2" width="19.5546875" customWidth="1"/>
    <col min="3" max="3" width="26.109375" customWidth="1"/>
    <col min="4" max="4" width="15.44140625" bestFit="1" customWidth="1"/>
    <col min="11" max="12" width="14.5546875" style="169"/>
    <col min="13" max="13" width="15.44140625" style="169" bestFit="1" customWidth="1"/>
  </cols>
  <sheetData>
    <row r="1" spans="1:19" ht="15.75" customHeight="1">
      <c r="A1" s="497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</row>
    <row r="2" spans="1:19" ht="15.75" customHeight="1">
      <c r="A2" s="497" t="s">
        <v>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</row>
    <row r="3" spans="1:19" ht="15.75" customHeight="1">
      <c r="A3" s="498" t="s">
        <v>2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1:19" ht="15.75" customHeight="1">
      <c r="A4" s="3" t="s">
        <v>3</v>
      </c>
      <c r="B4" s="4" t="s">
        <v>4</v>
      </c>
      <c r="C4" s="4" t="s">
        <v>5</v>
      </c>
      <c r="D4" s="4" t="s">
        <v>6</v>
      </c>
      <c r="E4" s="503" t="s">
        <v>7</v>
      </c>
      <c r="F4" s="504"/>
      <c r="G4" s="504"/>
      <c r="H4" s="504"/>
      <c r="I4" s="504"/>
      <c r="J4" s="505"/>
      <c r="K4" s="500" t="s">
        <v>8</v>
      </c>
      <c r="L4" s="501"/>
      <c r="M4" s="502"/>
      <c r="N4" s="503" t="s">
        <v>9</v>
      </c>
      <c r="O4" s="504"/>
      <c r="P4" s="504"/>
      <c r="Q4" s="504"/>
      <c r="R4" s="504"/>
      <c r="S4" s="505"/>
    </row>
    <row r="5" spans="1:19" ht="15.75" customHeight="1">
      <c r="A5" s="3"/>
      <c r="B5" s="4"/>
      <c r="C5" s="4"/>
      <c r="D5" s="5"/>
      <c r="E5" s="4" t="s">
        <v>10</v>
      </c>
      <c r="F5" s="4" t="s">
        <v>11</v>
      </c>
      <c r="G5" s="6" t="s">
        <v>12</v>
      </c>
      <c r="H5" s="4" t="s">
        <v>13</v>
      </c>
      <c r="I5" s="4"/>
      <c r="J5" s="4"/>
      <c r="K5" s="7" t="s">
        <v>14</v>
      </c>
      <c r="L5" s="7" t="s">
        <v>15</v>
      </c>
      <c r="M5" s="7" t="s">
        <v>16</v>
      </c>
      <c r="N5" s="4" t="s">
        <v>10</v>
      </c>
      <c r="O5" s="4" t="s">
        <v>11</v>
      </c>
      <c r="P5" s="6" t="s">
        <v>12</v>
      </c>
      <c r="Q5" s="4" t="s">
        <v>13</v>
      </c>
      <c r="R5" s="4"/>
      <c r="S5" s="4"/>
    </row>
    <row r="6" spans="1:19" ht="15.75" customHeight="1">
      <c r="A6" s="8"/>
      <c r="B6" s="4"/>
      <c r="C6" s="4"/>
      <c r="D6" s="5"/>
      <c r="E6" s="4"/>
      <c r="F6" s="4"/>
      <c r="G6" s="4" t="s">
        <v>17</v>
      </c>
      <c r="H6" s="2" t="s">
        <v>16</v>
      </c>
      <c r="I6" s="9" t="s">
        <v>18</v>
      </c>
      <c r="J6" s="10" t="s">
        <v>19</v>
      </c>
      <c r="K6" s="11"/>
      <c r="L6" s="12"/>
      <c r="M6" s="12"/>
      <c r="N6" s="4"/>
      <c r="O6" s="4"/>
      <c r="P6" s="4" t="s">
        <v>17</v>
      </c>
      <c r="Q6" s="2" t="s">
        <v>16</v>
      </c>
      <c r="R6" s="9" t="s">
        <v>18</v>
      </c>
      <c r="S6" s="3" t="s">
        <v>19</v>
      </c>
    </row>
    <row r="7" spans="1:19" ht="15.75" customHeight="1">
      <c r="A7" s="13"/>
      <c r="B7" s="14" t="s">
        <v>20</v>
      </c>
      <c r="C7" s="15"/>
      <c r="D7" s="16"/>
      <c r="E7" s="17"/>
      <c r="F7" s="6"/>
      <c r="G7" s="6"/>
      <c r="H7" s="6"/>
      <c r="I7" s="6"/>
      <c r="J7" s="6"/>
      <c r="K7" s="18"/>
      <c r="L7" s="19"/>
      <c r="M7" s="19"/>
      <c r="N7" s="17"/>
      <c r="O7" s="6"/>
      <c r="P7" s="6"/>
      <c r="Q7" s="6"/>
      <c r="R7" s="6"/>
      <c r="S7" s="16"/>
    </row>
    <row r="8" spans="1:19" ht="15.75" customHeight="1">
      <c r="A8" s="13">
        <v>1</v>
      </c>
      <c r="B8" s="20"/>
      <c r="C8" s="21" t="s">
        <v>21</v>
      </c>
      <c r="D8" s="16"/>
      <c r="E8" s="16"/>
      <c r="F8" s="16"/>
      <c r="G8" s="16"/>
      <c r="H8" s="16"/>
      <c r="I8" s="16"/>
      <c r="J8" s="16"/>
      <c r="K8" s="18"/>
      <c r="L8" s="19"/>
      <c r="M8" s="19"/>
      <c r="N8" s="17"/>
      <c r="O8" s="6"/>
      <c r="P8" s="6"/>
      <c r="Q8" s="6"/>
      <c r="R8" s="6"/>
      <c r="S8" s="16"/>
    </row>
    <row r="9" spans="1:19" ht="15.75" customHeight="1" thickBot="1">
      <c r="A9" s="13"/>
      <c r="B9" s="22" t="s">
        <v>19</v>
      </c>
      <c r="C9" s="23"/>
      <c r="D9" s="24">
        <v>0</v>
      </c>
      <c r="E9" s="24"/>
      <c r="F9" s="24"/>
      <c r="G9" s="24"/>
      <c r="H9" s="24" t="s">
        <v>22</v>
      </c>
      <c r="I9" s="24" t="s">
        <v>22</v>
      </c>
      <c r="J9" s="24" t="s">
        <v>22</v>
      </c>
      <c r="K9" s="25"/>
      <c r="L9" s="26"/>
      <c r="M9" s="26" t="s">
        <v>22</v>
      </c>
      <c r="N9" s="24"/>
      <c r="O9" s="24"/>
      <c r="P9" s="24"/>
      <c r="Q9" s="24" t="s">
        <v>22</v>
      </c>
      <c r="R9" s="24" t="s">
        <v>22</v>
      </c>
      <c r="S9" s="24" t="s">
        <v>22</v>
      </c>
    </row>
    <row r="10" spans="1:19" ht="15.75" customHeight="1" thickTop="1">
      <c r="A10" s="13"/>
      <c r="B10" s="14" t="s">
        <v>23</v>
      </c>
      <c r="C10" s="15"/>
      <c r="D10" s="16"/>
      <c r="E10" s="16"/>
      <c r="F10" s="16"/>
      <c r="G10" s="16"/>
      <c r="H10" s="16"/>
      <c r="I10" s="16"/>
      <c r="J10" s="16"/>
      <c r="K10" s="18"/>
      <c r="L10" s="19"/>
      <c r="M10" s="19"/>
      <c r="N10" s="17"/>
      <c r="O10" s="6"/>
      <c r="P10" s="6"/>
      <c r="Q10" s="6"/>
      <c r="R10" s="6"/>
      <c r="S10" s="16"/>
    </row>
    <row r="11" spans="1:19" ht="15.75" customHeight="1">
      <c r="A11" s="13">
        <v>1</v>
      </c>
      <c r="B11" s="27"/>
      <c r="C11" s="28"/>
      <c r="D11" s="6">
        <v>0</v>
      </c>
      <c r="E11" s="29"/>
      <c r="F11" s="6"/>
      <c r="G11" s="6"/>
      <c r="H11" s="6"/>
      <c r="I11" s="30"/>
      <c r="J11" s="16" t="s">
        <v>22</v>
      </c>
      <c r="K11" s="7"/>
      <c r="L11" s="18"/>
      <c r="M11" s="19">
        <v>0</v>
      </c>
      <c r="N11" s="29"/>
      <c r="O11" s="6"/>
      <c r="P11" s="6"/>
      <c r="Q11" s="6" t="s">
        <v>22</v>
      </c>
      <c r="R11" s="31" t="s">
        <v>22</v>
      </c>
      <c r="S11" s="16" t="s">
        <v>22</v>
      </c>
    </row>
    <row r="12" spans="1:19" ht="15.75" customHeight="1" thickBot="1">
      <c r="A12" s="13"/>
      <c r="B12" s="22" t="s">
        <v>19</v>
      </c>
      <c r="C12" s="23"/>
      <c r="D12" s="24">
        <v>0</v>
      </c>
      <c r="E12" s="24"/>
      <c r="F12" s="24"/>
      <c r="G12" s="24"/>
      <c r="H12" s="24" t="s">
        <v>22</v>
      </c>
      <c r="I12" s="31"/>
      <c r="J12" s="24" t="s">
        <v>22</v>
      </c>
      <c r="K12" s="26"/>
      <c r="L12" s="26"/>
      <c r="M12" s="26" t="s">
        <v>22</v>
      </c>
      <c r="N12" s="24"/>
      <c r="O12" s="24"/>
      <c r="P12" s="24"/>
      <c r="Q12" s="24" t="s">
        <v>22</v>
      </c>
      <c r="R12" s="32" t="s">
        <v>22</v>
      </c>
      <c r="S12" s="24" t="s">
        <v>22</v>
      </c>
    </row>
    <row r="13" spans="1:19" ht="15.75" customHeight="1" thickTop="1">
      <c r="A13" s="13"/>
      <c r="B13" s="14" t="s">
        <v>24</v>
      </c>
      <c r="C13" s="15"/>
      <c r="D13" s="16"/>
      <c r="E13" s="16"/>
      <c r="F13" s="16"/>
      <c r="G13" s="16"/>
      <c r="H13" s="16"/>
      <c r="I13" s="33"/>
      <c r="J13" s="16"/>
      <c r="K13" s="18"/>
      <c r="L13" s="19"/>
      <c r="M13" s="19"/>
      <c r="N13" s="17"/>
      <c r="O13" s="6"/>
      <c r="P13" s="6"/>
      <c r="Q13" s="6"/>
      <c r="R13" s="6"/>
      <c r="S13" s="16"/>
    </row>
    <row r="14" spans="1:19" ht="15.75" customHeight="1">
      <c r="A14" s="13">
        <v>1</v>
      </c>
      <c r="B14" s="27"/>
      <c r="C14" s="21" t="s">
        <v>21</v>
      </c>
      <c r="D14" s="16"/>
      <c r="E14" s="16"/>
      <c r="F14" s="16"/>
      <c r="G14" s="16"/>
      <c r="H14" s="16"/>
      <c r="I14" s="16"/>
      <c r="J14" s="16"/>
      <c r="K14" s="18"/>
      <c r="L14" s="19"/>
      <c r="M14" s="19"/>
      <c r="N14" s="17"/>
      <c r="O14" s="6"/>
      <c r="P14" s="6"/>
      <c r="Q14" s="6"/>
      <c r="R14" s="16"/>
      <c r="S14" s="16"/>
    </row>
    <row r="15" spans="1:19" ht="15.75" customHeight="1" thickBot="1">
      <c r="A15" s="13"/>
      <c r="B15" s="22" t="s">
        <v>19</v>
      </c>
      <c r="C15" s="23"/>
      <c r="D15" s="24">
        <v>0</v>
      </c>
      <c r="E15" s="24"/>
      <c r="F15" s="24"/>
      <c r="G15" s="24"/>
      <c r="H15" s="24" t="s">
        <v>22</v>
      </c>
      <c r="I15" s="24" t="s">
        <v>22</v>
      </c>
      <c r="J15" s="24" t="s">
        <v>22</v>
      </c>
      <c r="K15" s="25"/>
      <c r="L15" s="26"/>
      <c r="M15" s="26" t="s">
        <v>22</v>
      </c>
      <c r="N15" s="24"/>
      <c r="O15" s="24"/>
      <c r="P15" s="24"/>
      <c r="Q15" s="24" t="s">
        <v>22</v>
      </c>
      <c r="R15" s="24" t="s">
        <v>22</v>
      </c>
      <c r="S15" s="24" t="s">
        <v>22</v>
      </c>
    </row>
    <row r="16" spans="1:19" ht="15.75" customHeight="1" thickTop="1">
      <c r="A16" s="13"/>
      <c r="B16" s="14" t="s">
        <v>25</v>
      </c>
      <c r="C16" s="15"/>
      <c r="D16" s="16"/>
      <c r="E16" s="16"/>
      <c r="F16" s="16"/>
      <c r="G16" s="16"/>
      <c r="H16" s="16"/>
      <c r="I16" s="16"/>
      <c r="J16" s="16"/>
      <c r="K16" s="18"/>
      <c r="L16" s="19"/>
      <c r="M16" s="19"/>
      <c r="N16" s="17"/>
      <c r="O16" s="6"/>
      <c r="P16" s="6"/>
      <c r="Q16" s="6"/>
      <c r="R16" s="6"/>
      <c r="S16" s="16"/>
    </row>
    <row r="17" spans="1:19" ht="15.75" customHeight="1">
      <c r="A17" s="13">
        <v>1</v>
      </c>
      <c r="B17" s="20"/>
      <c r="C17" s="21" t="s">
        <v>21</v>
      </c>
      <c r="D17" s="16"/>
      <c r="E17" s="16"/>
      <c r="F17" s="16"/>
      <c r="G17" s="16"/>
      <c r="H17" s="16"/>
      <c r="I17" s="16"/>
      <c r="J17" s="16"/>
      <c r="K17" s="18"/>
      <c r="L17" s="19"/>
      <c r="M17" s="19"/>
      <c r="N17" s="17"/>
      <c r="O17" s="6"/>
      <c r="P17" s="6"/>
      <c r="Q17" s="6"/>
      <c r="R17" s="6"/>
      <c r="S17" s="16"/>
    </row>
    <row r="18" spans="1:19" ht="15.75" customHeight="1" thickBot="1">
      <c r="A18" s="13"/>
      <c r="B18" s="22" t="s">
        <v>19</v>
      </c>
      <c r="C18" s="23"/>
      <c r="D18" s="24">
        <v>0</v>
      </c>
      <c r="E18" s="24"/>
      <c r="F18" s="24"/>
      <c r="G18" s="24"/>
      <c r="H18" s="24" t="s">
        <v>22</v>
      </c>
      <c r="I18" s="24" t="s">
        <v>22</v>
      </c>
      <c r="J18" s="24" t="s">
        <v>22</v>
      </c>
      <c r="K18" s="25"/>
      <c r="L18" s="26"/>
      <c r="M18" s="26" t="s">
        <v>22</v>
      </c>
      <c r="N18" s="24"/>
      <c r="O18" s="24"/>
      <c r="P18" s="24"/>
      <c r="Q18" s="24" t="s">
        <v>22</v>
      </c>
      <c r="R18" s="24" t="s">
        <v>22</v>
      </c>
      <c r="S18" s="24" t="s">
        <v>22</v>
      </c>
    </row>
    <row r="19" spans="1:19" ht="15.75" customHeight="1" thickTop="1">
      <c r="A19" s="13"/>
      <c r="B19" s="14" t="s">
        <v>26</v>
      </c>
      <c r="C19" s="15"/>
      <c r="D19" s="16"/>
      <c r="E19" s="16"/>
      <c r="F19" s="16"/>
      <c r="G19" s="16"/>
      <c r="H19" s="16"/>
      <c r="I19" s="16"/>
      <c r="J19" s="16"/>
      <c r="K19" s="18"/>
      <c r="L19" s="19"/>
      <c r="M19" s="19"/>
      <c r="N19" s="17"/>
      <c r="O19" s="6"/>
      <c r="P19" s="6"/>
      <c r="Q19" s="6"/>
      <c r="R19" s="6"/>
      <c r="S19" s="16"/>
    </row>
    <row r="20" spans="1:19" ht="15.75" customHeight="1">
      <c r="A20" s="13">
        <v>1</v>
      </c>
      <c r="B20" s="20"/>
      <c r="C20" s="21" t="s">
        <v>21</v>
      </c>
      <c r="D20" s="16"/>
      <c r="E20" s="16"/>
      <c r="F20" s="16"/>
      <c r="G20" s="16"/>
      <c r="H20" s="16"/>
      <c r="I20" s="16"/>
      <c r="J20" s="16"/>
      <c r="K20" s="18"/>
      <c r="L20" s="19"/>
      <c r="M20" s="19"/>
      <c r="N20" s="17"/>
      <c r="O20" s="6"/>
      <c r="P20" s="6"/>
      <c r="Q20" s="6"/>
      <c r="R20" s="6"/>
      <c r="S20" s="16"/>
    </row>
    <row r="21" spans="1:19" ht="15.75" customHeight="1" thickBot="1">
      <c r="A21" s="13"/>
      <c r="B21" s="22" t="s">
        <v>19</v>
      </c>
      <c r="C21" s="23"/>
      <c r="D21" s="24">
        <v>0</v>
      </c>
      <c r="E21" s="24"/>
      <c r="F21" s="24"/>
      <c r="G21" s="24"/>
      <c r="H21" s="24" t="s">
        <v>22</v>
      </c>
      <c r="I21" s="24" t="s">
        <v>22</v>
      </c>
      <c r="J21" s="24" t="s">
        <v>22</v>
      </c>
      <c r="K21" s="25"/>
      <c r="L21" s="26"/>
      <c r="M21" s="26" t="s">
        <v>22</v>
      </c>
      <c r="N21" s="24"/>
      <c r="O21" s="24"/>
      <c r="P21" s="24"/>
      <c r="Q21" s="24" t="s">
        <v>22</v>
      </c>
      <c r="R21" s="24" t="s">
        <v>22</v>
      </c>
      <c r="S21" s="24" t="s">
        <v>22</v>
      </c>
    </row>
    <row r="22" spans="1:19" ht="15.75" customHeight="1" thickTop="1">
      <c r="A22" s="13"/>
      <c r="B22" s="14" t="s">
        <v>27</v>
      </c>
      <c r="C22" s="15"/>
      <c r="D22" s="16"/>
      <c r="E22" s="16"/>
      <c r="F22" s="16"/>
      <c r="G22" s="16"/>
      <c r="H22" s="16"/>
      <c r="I22" s="16"/>
      <c r="J22" s="16"/>
      <c r="K22" s="18"/>
      <c r="L22" s="19"/>
      <c r="M22" s="19"/>
      <c r="N22" s="17"/>
      <c r="O22" s="6"/>
      <c r="P22" s="6"/>
      <c r="Q22" s="6"/>
      <c r="R22" s="6"/>
      <c r="S22" s="16"/>
    </row>
    <row r="23" spans="1:19" ht="15.75" customHeight="1">
      <c r="A23" s="13">
        <v>1</v>
      </c>
      <c r="B23" s="20"/>
      <c r="C23" s="21" t="s">
        <v>21</v>
      </c>
      <c r="D23" s="16"/>
      <c r="E23" s="16"/>
      <c r="F23" s="16"/>
      <c r="G23" s="16"/>
      <c r="H23" s="16"/>
      <c r="I23" s="16"/>
      <c r="J23" s="16"/>
      <c r="K23" s="18"/>
      <c r="L23" s="19"/>
      <c r="M23" s="19"/>
      <c r="N23" s="17"/>
      <c r="O23" s="6"/>
      <c r="P23" s="6"/>
      <c r="Q23" s="6"/>
      <c r="R23" s="6"/>
      <c r="S23" s="16"/>
    </row>
    <row r="24" spans="1:19" ht="15.75" customHeight="1" thickBot="1">
      <c r="A24" s="13"/>
      <c r="B24" s="34" t="s">
        <v>19</v>
      </c>
      <c r="C24" s="35"/>
      <c r="D24" s="36">
        <v>0</v>
      </c>
      <c r="E24" s="36"/>
      <c r="F24" s="36"/>
      <c r="G24" s="36"/>
      <c r="H24" s="36" t="s">
        <v>22</v>
      </c>
      <c r="I24" s="36" t="s">
        <v>22</v>
      </c>
      <c r="J24" s="36" t="s">
        <v>22</v>
      </c>
      <c r="K24" s="37"/>
      <c r="L24" s="38"/>
      <c r="M24" s="38" t="s">
        <v>22</v>
      </c>
      <c r="N24" s="36"/>
      <c r="O24" s="36"/>
      <c r="P24" s="36"/>
      <c r="Q24" s="36" t="s">
        <v>22</v>
      </c>
      <c r="R24" s="36" t="s">
        <v>22</v>
      </c>
      <c r="S24" s="36" t="s">
        <v>22</v>
      </c>
    </row>
    <row r="25" spans="1:19" ht="22.5" customHeight="1" thickTop="1">
      <c r="A25" s="13"/>
      <c r="B25" s="39" t="s">
        <v>28</v>
      </c>
      <c r="C25" s="40"/>
      <c r="D25" s="41"/>
      <c r="E25" s="41"/>
      <c r="F25" s="41"/>
      <c r="G25" s="41"/>
      <c r="H25" s="41"/>
      <c r="I25" s="41"/>
      <c r="J25" s="41"/>
      <c r="K25" s="42"/>
      <c r="L25" s="43"/>
      <c r="M25" s="43"/>
      <c r="N25" s="44"/>
      <c r="O25" s="45"/>
      <c r="P25" s="45"/>
      <c r="Q25" s="45"/>
      <c r="R25" s="45"/>
      <c r="S25" s="41"/>
    </row>
    <row r="26" spans="1:19" ht="20.25" customHeight="1">
      <c r="A26" s="46">
        <v>1</v>
      </c>
      <c r="B26" s="47" t="s">
        <v>29</v>
      </c>
      <c r="C26" s="47" t="s">
        <v>30</v>
      </c>
      <c r="D26" s="48">
        <v>11770</v>
      </c>
      <c r="E26" s="49"/>
      <c r="F26" s="49"/>
      <c r="G26" s="49"/>
      <c r="H26" s="49"/>
      <c r="I26" s="49"/>
      <c r="J26" s="49"/>
      <c r="K26" s="50">
        <v>25082</v>
      </c>
      <c r="L26" s="51" t="s">
        <v>31</v>
      </c>
      <c r="M26" s="52">
        <v>11770</v>
      </c>
      <c r="N26" s="47"/>
      <c r="O26" s="46"/>
      <c r="P26" s="46"/>
      <c r="Q26" s="46"/>
      <c r="R26" s="46"/>
      <c r="S26" s="49"/>
    </row>
    <row r="27" spans="1:19" ht="22.5" customHeight="1">
      <c r="A27" s="46">
        <v>2</v>
      </c>
      <c r="B27" s="53" t="s">
        <v>29</v>
      </c>
      <c r="C27" s="53" t="s">
        <v>32</v>
      </c>
      <c r="D27" s="54">
        <v>1000</v>
      </c>
      <c r="E27" s="49"/>
      <c r="F27" s="49"/>
      <c r="G27" s="49"/>
      <c r="H27" s="49"/>
      <c r="I27" s="49"/>
      <c r="J27" s="49"/>
      <c r="K27" s="50">
        <v>25082</v>
      </c>
      <c r="L27" s="51" t="s">
        <v>33</v>
      </c>
      <c r="M27" s="52">
        <v>1000</v>
      </c>
      <c r="N27" s="47"/>
      <c r="O27" s="46"/>
      <c r="P27" s="46"/>
      <c r="Q27" s="46"/>
      <c r="R27" s="46"/>
      <c r="S27" s="49"/>
    </row>
    <row r="28" spans="1:19" ht="17.399999999999999">
      <c r="A28" s="46">
        <v>3</v>
      </c>
      <c r="B28" s="47" t="s">
        <v>29</v>
      </c>
      <c r="C28" s="47" t="s">
        <v>34</v>
      </c>
      <c r="D28" s="48">
        <v>2500</v>
      </c>
      <c r="E28" s="49"/>
      <c r="F28" s="49"/>
      <c r="G28" s="49"/>
      <c r="H28" s="49"/>
      <c r="I28" s="49"/>
      <c r="J28" s="49"/>
      <c r="K28" s="50">
        <v>25082</v>
      </c>
      <c r="L28" s="51" t="s">
        <v>35</v>
      </c>
      <c r="M28" s="52">
        <v>2500</v>
      </c>
      <c r="N28" s="47"/>
      <c r="O28" s="46"/>
      <c r="P28" s="46"/>
      <c r="Q28" s="46"/>
      <c r="R28" s="46"/>
      <c r="S28" s="49"/>
    </row>
    <row r="29" spans="1:19" ht="17.399999999999999">
      <c r="A29" s="46">
        <v>4</v>
      </c>
      <c r="B29" s="47" t="s">
        <v>36</v>
      </c>
      <c r="C29" s="47" t="s">
        <v>37</v>
      </c>
      <c r="D29" s="48">
        <v>6000</v>
      </c>
      <c r="E29" s="49"/>
      <c r="F29" s="49"/>
      <c r="G29" s="49"/>
      <c r="H29" s="49"/>
      <c r="I29" s="49"/>
      <c r="J29" s="49"/>
      <c r="K29" s="50">
        <v>25083</v>
      </c>
      <c r="L29" s="51" t="s">
        <v>38</v>
      </c>
      <c r="M29" s="52">
        <v>6000</v>
      </c>
      <c r="N29" s="47"/>
      <c r="O29" s="46"/>
      <c r="P29" s="46"/>
      <c r="Q29" s="46"/>
      <c r="R29" s="46"/>
      <c r="S29" s="49"/>
    </row>
    <row r="30" spans="1:19" ht="17.399999999999999">
      <c r="A30" s="46">
        <v>5</v>
      </c>
      <c r="B30" s="47" t="s">
        <v>39</v>
      </c>
      <c r="C30" s="47" t="s">
        <v>37</v>
      </c>
      <c r="D30" s="48">
        <v>25000</v>
      </c>
      <c r="E30" s="49"/>
      <c r="F30" s="49"/>
      <c r="G30" s="49"/>
      <c r="H30" s="49"/>
      <c r="I30" s="49"/>
      <c r="J30" s="49"/>
      <c r="K30" s="50">
        <v>25085</v>
      </c>
      <c r="L30" s="51" t="s">
        <v>40</v>
      </c>
      <c r="M30" s="52">
        <v>25000</v>
      </c>
      <c r="N30" s="47"/>
      <c r="O30" s="46"/>
      <c r="P30" s="46"/>
      <c r="Q30" s="46"/>
      <c r="R30" s="46"/>
      <c r="S30" s="49"/>
    </row>
    <row r="31" spans="1:19" ht="17.399999999999999">
      <c r="A31" s="46">
        <v>6</v>
      </c>
      <c r="B31" s="47" t="s">
        <v>29</v>
      </c>
      <c r="C31" s="47" t="s">
        <v>30</v>
      </c>
      <c r="D31" s="48">
        <v>11770</v>
      </c>
      <c r="E31" s="49"/>
      <c r="F31" s="49"/>
      <c r="G31" s="49"/>
      <c r="H31" s="49"/>
      <c r="I31" s="49"/>
      <c r="J31" s="49"/>
      <c r="K31" s="50">
        <v>25091</v>
      </c>
      <c r="L31" s="51" t="s">
        <v>41</v>
      </c>
      <c r="M31" s="52">
        <v>11770</v>
      </c>
      <c r="N31" s="47"/>
      <c r="O31" s="46"/>
      <c r="P31" s="46"/>
      <c r="Q31" s="46"/>
      <c r="R31" s="46"/>
      <c r="S31" s="49"/>
    </row>
    <row r="32" spans="1:19" ht="17.399999999999999">
      <c r="A32" s="46">
        <v>7</v>
      </c>
      <c r="B32" s="47" t="s">
        <v>29</v>
      </c>
      <c r="C32" s="47" t="s">
        <v>34</v>
      </c>
      <c r="D32" s="48">
        <v>2500</v>
      </c>
      <c r="E32" s="49"/>
      <c r="F32" s="49"/>
      <c r="G32" s="49"/>
      <c r="H32" s="49"/>
      <c r="I32" s="49"/>
      <c r="J32" s="49"/>
      <c r="K32" s="50">
        <v>25091</v>
      </c>
      <c r="L32" s="51" t="s">
        <v>42</v>
      </c>
      <c r="M32" s="52">
        <v>2500</v>
      </c>
      <c r="N32" s="47"/>
      <c r="O32" s="46"/>
      <c r="P32" s="46"/>
      <c r="Q32" s="46"/>
      <c r="R32" s="46"/>
      <c r="S32" s="49"/>
    </row>
    <row r="33" spans="1:19" ht="17.399999999999999">
      <c r="A33" s="46">
        <v>8</v>
      </c>
      <c r="B33" s="47" t="s">
        <v>29</v>
      </c>
      <c r="C33" s="47" t="s">
        <v>32</v>
      </c>
      <c r="D33" s="48">
        <v>1000</v>
      </c>
      <c r="E33" s="49"/>
      <c r="F33" s="49"/>
      <c r="G33" s="49"/>
      <c r="H33" s="49"/>
      <c r="I33" s="49"/>
      <c r="J33" s="49"/>
      <c r="K33" s="50">
        <v>25091</v>
      </c>
      <c r="L33" s="51" t="s">
        <v>43</v>
      </c>
      <c r="M33" s="52">
        <v>1000</v>
      </c>
      <c r="N33" s="47"/>
      <c r="O33" s="46"/>
      <c r="P33" s="46"/>
      <c r="Q33" s="46"/>
      <c r="R33" s="46"/>
      <c r="S33" s="49"/>
    </row>
    <row r="34" spans="1:19" ht="17.399999999999999">
      <c r="A34" s="46">
        <v>9</v>
      </c>
      <c r="B34" s="47" t="s">
        <v>29</v>
      </c>
      <c r="C34" s="47" t="s">
        <v>30</v>
      </c>
      <c r="D34" s="48">
        <v>11770</v>
      </c>
      <c r="E34" s="49"/>
      <c r="F34" s="49"/>
      <c r="G34" s="49"/>
      <c r="H34" s="49"/>
      <c r="I34" s="49"/>
      <c r="J34" s="49"/>
      <c r="K34" s="50">
        <v>25097</v>
      </c>
      <c r="L34" s="51" t="s">
        <v>44</v>
      </c>
      <c r="M34" s="52">
        <v>11770</v>
      </c>
      <c r="N34" s="47"/>
      <c r="O34" s="46"/>
      <c r="P34" s="46"/>
      <c r="Q34" s="46"/>
      <c r="R34" s="46"/>
      <c r="S34" s="49"/>
    </row>
    <row r="35" spans="1:19" ht="17.399999999999999">
      <c r="A35" s="46">
        <v>10</v>
      </c>
      <c r="B35" s="47" t="s">
        <v>29</v>
      </c>
      <c r="C35" s="47" t="s">
        <v>34</v>
      </c>
      <c r="D35" s="48">
        <v>2500</v>
      </c>
      <c r="E35" s="49"/>
      <c r="F35" s="49"/>
      <c r="G35" s="49"/>
      <c r="H35" s="49"/>
      <c r="I35" s="49"/>
      <c r="J35" s="49"/>
      <c r="K35" s="50">
        <v>25097</v>
      </c>
      <c r="L35" s="51" t="s">
        <v>45</v>
      </c>
      <c r="M35" s="52">
        <v>2500</v>
      </c>
      <c r="N35" s="47"/>
      <c r="O35" s="46"/>
      <c r="P35" s="46"/>
      <c r="Q35" s="46"/>
      <c r="R35" s="46"/>
      <c r="S35" s="49"/>
    </row>
    <row r="36" spans="1:19" ht="17.399999999999999">
      <c r="A36" s="46">
        <v>11</v>
      </c>
      <c r="B36" s="47" t="s">
        <v>29</v>
      </c>
      <c r="C36" s="47" t="s">
        <v>32</v>
      </c>
      <c r="D36" s="48">
        <v>1000</v>
      </c>
      <c r="E36" s="49"/>
      <c r="F36" s="49"/>
      <c r="G36" s="49"/>
      <c r="H36" s="49"/>
      <c r="I36" s="49"/>
      <c r="J36" s="49"/>
      <c r="K36" s="50">
        <v>25097</v>
      </c>
      <c r="L36" s="51" t="s">
        <v>46</v>
      </c>
      <c r="M36" s="52">
        <v>1000</v>
      </c>
      <c r="N36" s="47"/>
      <c r="O36" s="46"/>
      <c r="P36" s="46"/>
      <c r="Q36" s="46"/>
      <c r="R36" s="46"/>
      <c r="S36" s="49"/>
    </row>
    <row r="37" spans="1:19" ht="23.4">
      <c r="A37" s="46">
        <v>12</v>
      </c>
      <c r="B37" s="55" t="s">
        <v>29</v>
      </c>
      <c r="C37" s="55" t="s">
        <v>30</v>
      </c>
      <c r="D37" s="56">
        <v>11770</v>
      </c>
      <c r="E37" s="49"/>
      <c r="F37" s="49"/>
      <c r="G37" s="49"/>
      <c r="H37" s="49"/>
      <c r="I37" s="49"/>
      <c r="J37" s="49"/>
      <c r="K37" s="57">
        <v>25103</v>
      </c>
      <c r="L37" s="51" t="s">
        <v>47</v>
      </c>
      <c r="M37" s="58">
        <v>11770</v>
      </c>
      <c r="N37" s="47"/>
      <c r="O37" s="46"/>
      <c r="P37" s="46"/>
      <c r="Q37" s="46"/>
      <c r="R37" s="46"/>
      <c r="S37" s="49"/>
    </row>
    <row r="38" spans="1:19" ht="23.4">
      <c r="A38" s="46">
        <v>13</v>
      </c>
      <c r="B38" s="55" t="s">
        <v>29</v>
      </c>
      <c r="C38" s="55" t="s">
        <v>34</v>
      </c>
      <c r="D38" s="56">
        <v>2500</v>
      </c>
      <c r="E38" s="49"/>
      <c r="F38" s="49"/>
      <c r="G38" s="49"/>
      <c r="H38" s="49"/>
      <c r="I38" s="49"/>
      <c r="J38" s="49"/>
      <c r="K38" s="57">
        <v>25103</v>
      </c>
      <c r="L38" s="51" t="s">
        <v>48</v>
      </c>
      <c r="M38" s="58">
        <v>2500</v>
      </c>
      <c r="N38" s="47"/>
      <c r="O38" s="46"/>
      <c r="P38" s="46"/>
      <c r="Q38" s="46"/>
      <c r="R38" s="46"/>
      <c r="S38" s="49"/>
    </row>
    <row r="39" spans="1:19" ht="23.4">
      <c r="A39" s="46">
        <v>14</v>
      </c>
      <c r="B39" s="55" t="s">
        <v>29</v>
      </c>
      <c r="C39" s="55" t="s">
        <v>32</v>
      </c>
      <c r="D39" s="56">
        <v>1000</v>
      </c>
      <c r="E39" s="49"/>
      <c r="F39" s="49"/>
      <c r="G39" s="49"/>
      <c r="H39" s="49"/>
      <c r="I39" s="49"/>
      <c r="J39" s="49"/>
      <c r="K39" s="57">
        <v>25103</v>
      </c>
      <c r="L39" s="51" t="s">
        <v>49</v>
      </c>
      <c r="M39" s="58">
        <v>1000</v>
      </c>
      <c r="N39" s="47"/>
      <c r="O39" s="46"/>
      <c r="P39" s="46"/>
      <c r="Q39" s="46"/>
      <c r="R39" s="46"/>
      <c r="S39" s="49"/>
    </row>
    <row r="40" spans="1:19" ht="23.4">
      <c r="A40" s="46">
        <v>15</v>
      </c>
      <c r="B40" s="55" t="s">
        <v>29</v>
      </c>
      <c r="C40" s="55" t="s">
        <v>30</v>
      </c>
      <c r="D40" s="56">
        <v>11770</v>
      </c>
      <c r="E40" s="49"/>
      <c r="F40" s="49"/>
      <c r="G40" s="49"/>
      <c r="H40" s="49"/>
      <c r="I40" s="49"/>
      <c r="J40" s="49"/>
      <c r="K40" s="57">
        <v>25110</v>
      </c>
      <c r="L40" s="51" t="s">
        <v>50</v>
      </c>
      <c r="M40" s="58">
        <v>11770</v>
      </c>
      <c r="N40" s="47"/>
      <c r="O40" s="46"/>
      <c r="P40" s="46"/>
      <c r="Q40" s="46"/>
      <c r="R40" s="46"/>
      <c r="S40" s="49"/>
    </row>
    <row r="41" spans="1:19" ht="23.4">
      <c r="A41" s="46">
        <v>16</v>
      </c>
      <c r="B41" s="55" t="s">
        <v>29</v>
      </c>
      <c r="C41" s="55" t="s">
        <v>34</v>
      </c>
      <c r="D41" s="56">
        <v>2500</v>
      </c>
      <c r="E41" s="49"/>
      <c r="F41" s="49"/>
      <c r="G41" s="49"/>
      <c r="H41" s="49"/>
      <c r="I41" s="49"/>
      <c r="J41" s="49"/>
      <c r="K41" s="57">
        <v>25110</v>
      </c>
      <c r="L41" s="51" t="s">
        <v>51</v>
      </c>
      <c r="M41" s="58">
        <v>2500</v>
      </c>
      <c r="N41" s="47"/>
      <c r="O41" s="46"/>
      <c r="P41" s="46"/>
      <c r="Q41" s="46"/>
      <c r="R41" s="46"/>
      <c r="S41" s="49"/>
    </row>
    <row r="42" spans="1:19" ht="23.4">
      <c r="A42" s="46">
        <v>17</v>
      </c>
      <c r="B42" s="55" t="s">
        <v>29</v>
      </c>
      <c r="C42" s="55" t="s">
        <v>32</v>
      </c>
      <c r="D42" s="56">
        <v>1000</v>
      </c>
      <c r="E42" s="49"/>
      <c r="F42" s="49"/>
      <c r="G42" s="49"/>
      <c r="H42" s="49"/>
      <c r="I42" s="49"/>
      <c r="J42" s="49"/>
      <c r="K42" s="57">
        <v>25110</v>
      </c>
      <c r="L42" s="51" t="s">
        <v>52</v>
      </c>
      <c r="M42" s="58">
        <v>1000</v>
      </c>
      <c r="N42" s="47"/>
      <c r="O42" s="46"/>
      <c r="P42" s="46"/>
      <c r="Q42" s="46"/>
      <c r="R42" s="46"/>
      <c r="S42" s="49"/>
    </row>
    <row r="43" spans="1:19" ht="18" thickBot="1">
      <c r="A43" s="46"/>
      <c r="B43" s="59" t="s">
        <v>19</v>
      </c>
      <c r="C43" s="60"/>
      <c r="D43" s="61">
        <f>SUM(D26:D42)</f>
        <v>107350</v>
      </c>
      <c r="E43" s="62"/>
      <c r="F43" s="62"/>
      <c r="G43" s="62"/>
      <c r="H43" s="62" t="s">
        <v>22</v>
      </c>
      <c r="I43" s="62" t="s">
        <v>22</v>
      </c>
      <c r="J43" s="62" t="s">
        <v>22</v>
      </c>
      <c r="K43" s="63"/>
      <c r="L43" s="63"/>
      <c r="M43" s="64">
        <f>SUM(M26:M42)</f>
        <v>107350</v>
      </c>
      <c r="N43" s="62"/>
      <c r="O43" s="62"/>
      <c r="P43" s="62"/>
      <c r="Q43" s="62" t="s">
        <v>22</v>
      </c>
      <c r="R43" s="62" t="s">
        <v>22</v>
      </c>
      <c r="S43" s="62" t="s">
        <v>22</v>
      </c>
    </row>
    <row r="44" spans="1:19" ht="18" thickTop="1">
      <c r="A44" s="65"/>
      <c r="B44" s="66" t="s">
        <v>53</v>
      </c>
      <c r="C44" s="67"/>
      <c r="D44" s="68"/>
      <c r="E44" s="68"/>
      <c r="F44" s="68"/>
      <c r="G44" s="68"/>
      <c r="H44" s="68"/>
      <c r="I44" s="68"/>
      <c r="J44" s="68"/>
      <c r="K44" s="69"/>
      <c r="L44" s="70"/>
      <c r="M44" s="70"/>
      <c r="N44" s="71"/>
      <c r="O44" s="72"/>
      <c r="P44" s="72"/>
      <c r="Q44" s="72"/>
      <c r="R44" s="72"/>
      <c r="S44" s="68"/>
    </row>
    <row r="45" spans="1:19" ht="17.399999999999999">
      <c r="A45" s="73">
        <v>1</v>
      </c>
      <c r="B45" s="71" t="s">
        <v>54</v>
      </c>
      <c r="C45" s="71" t="s">
        <v>55</v>
      </c>
      <c r="D45" s="74">
        <v>1070</v>
      </c>
      <c r="E45" s="75"/>
      <c r="F45" s="72"/>
      <c r="G45" s="72"/>
      <c r="H45" s="72"/>
      <c r="I45" s="72" t="s">
        <v>22</v>
      </c>
      <c r="J45" s="68" t="s">
        <v>22</v>
      </c>
      <c r="K45" s="76">
        <v>25100</v>
      </c>
      <c r="L45" s="77" t="s">
        <v>56</v>
      </c>
      <c r="M45" s="78">
        <v>1070</v>
      </c>
      <c r="N45" s="68"/>
      <c r="O45" s="72"/>
      <c r="P45" s="72"/>
      <c r="Q45" s="72" t="s">
        <v>22</v>
      </c>
      <c r="R45" s="72" t="s">
        <v>22</v>
      </c>
      <c r="S45" s="68" t="s">
        <v>22</v>
      </c>
    </row>
    <row r="46" spans="1:19" ht="17.399999999999999">
      <c r="A46" s="73">
        <v>2</v>
      </c>
      <c r="B46" s="71" t="s">
        <v>57</v>
      </c>
      <c r="C46" s="71" t="s">
        <v>55</v>
      </c>
      <c r="D46" s="74">
        <v>1070</v>
      </c>
      <c r="E46" s="75"/>
      <c r="F46" s="72"/>
      <c r="G46" s="72"/>
      <c r="H46" s="72"/>
      <c r="I46" s="72" t="s">
        <v>22</v>
      </c>
      <c r="J46" s="68" t="s">
        <v>22</v>
      </c>
      <c r="K46" s="76">
        <v>25099</v>
      </c>
      <c r="L46" s="77" t="s">
        <v>58</v>
      </c>
      <c r="M46" s="78">
        <v>1070</v>
      </c>
      <c r="N46" s="68"/>
      <c r="O46" s="68"/>
      <c r="P46" s="68"/>
      <c r="Q46" s="72" t="s">
        <v>22</v>
      </c>
      <c r="R46" s="72" t="s">
        <v>22</v>
      </c>
      <c r="S46" s="68" t="s">
        <v>22</v>
      </c>
    </row>
    <row r="47" spans="1:19" ht="17.399999999999999">
      <c r="A47" s="79">
        <v>3</v>
      </c>
      <c r="B47" s="80" t="s">
        <v>59</v>
      </c>
      <c r="C47" s="81" t="s">
        <v>55</v>
      </c>
      <c r="D47" s="74">
        <v>1070</v>
      </c>
      <c r="E47" s="82"/>
      <c r="F47" s="83"/>
      <c r="G47" s="84"/>
      <c r="H47" s="85"/>
      <c r="I47" s="83"/>
      <c r="J47" s="86"/>
      <c r="K47" s="76">
        <v>25100</v>
      </c>
      <c r="L47" s="77" t="s">
        <v>60</v>
      </c>
      <c r="M47" s="78">
        <v>1070</v>
      </c>
      <c r="N47" s="87"/>
      <c r="O47" s="88"/>
      <c r="P47" s="89"/>
      <c r="Q47" s="72"/>
      <c r="R47" s="72"/>
      <c r="S47" s="68"/>
    </row>
    <row r="48" spans="1:19" ht="21" thickBot="1">
      <c r="A48" s="65"/>
      <c r="B48" s="59" t="s">
        <v>19</v>
      </c>
      <c r="C48" s="60"/>
      <c r="D48" s="90">
        <f>SUM(D45:D47)</f>
        <v>3210</v>
      </c>
      <c r="E48" s="91"/>
      <c r="F48" s="91"/>
      <c r="G48" s="62"/>
      <c r="H48" s="62" t="s">
        <v>22</v>
      </c>
      <c r="I48" s="91" t="s">
        <v>22</v>
      </c>
      <c r="J48" s="91" t="s">
        <v>22</v>
      </c>
      <c r="K48" s="92"/>
      <c r="L48" s="93"/>
      <c r="M48" s="94">
        <f>SUM(M45:M47)</f>
        <v>3210</v>
      </c>
      <c r="N48" s="91"/>
      <c r="O48" s="62"/>
      <c r="P48" s="62"/>
      <c r="Q48" s="91" t="s">
        <v>22</v>
      </c>
      <c r="R48" s="91" t="s">
        <v>22</v>
      </c>
      <c r="S48" s="91" t="s">
        <v>22</v>
      </c>
    </row>
    <row r="49" spans="1:19" ht="18" thickTop="1">
      <c r="A49" s="65"/>
      <c r="B49" s="66" t="s">
        <v>61</v>
      </c>
      <c r="C49" s="67"/>
      <c r="D49" s="68"/>
      <c r="E49" s="68"/>
      <c r="F49" s="68"/>
      <c r="G49" s="68"/>
      <c r="H49" s="68"/>
      <c r="I49" s="68"/>
      <c r="J49" s="68"/>
      <c r="K49" s="69"/>
      <c r="L49" s="70"/>
      <c r="M49" s="70"/>
      <c r="N49" s="71"/>
      <c r="O49" s="72"/>
      <c r="P49" s="72"/>
      <c r="Q49" s="72"/>
      <c r="R49" s="72"/>
      <c r="S49" s="68"/>
    </row>
    <row r="50" spans="1:19" ht="17.399999999999999">
      <c r="A50" s="65">
        <v>1</v>
      </c>
      <c r="B50" s="95"/>
      <c r="C50" s="96" t="s">
        <v>21</v>
      </c>
      <c r="D50" s="68"/>
      <c r="E50" s="68"/>
      <c r="F50" s="68"/>
      <c r="G50" s="68"/>
      <c r="H50" s="68"/>
      <c r="I50" s="68"/>
      <c r="J50" s="68"/>
      <c r="K50" s="69"/>
      <c r="L50" s="70"/>
      <c r="M50" s="70"/>
      <c r="N50" s="71"/>
      <c r="O50" s="72"/>
      <c r="P50" s="72"/>
      <c r="Q50" s="72"/>
      <c r="R50" s="72"/>
      <c r="S50" s="68"/>
    </row>
    <row r="51" spans="1:19" ht="18" thickBot="1">
      <c r="A51" s="65"/>
      <c r="B51" s="97" t="s">
        <v>19</v>
      </c>
      <c r="C51" s="98"/>
      <c r="D51" s="91">
        <v>0</v>
      </c>
      <c r="E51" s="91"/>
      <c r="F51" s="91"/>
      <c r="G51" s="91"/>
      <c r="H51" s="91" t="s">
        <v>22</v>
      </c>
      <c r="I51" s="91" t="s">
        <v>22</v>
      </c>
      <c r="J51" s="91" t="s">
        <v>22</v>
      </c>
      <c r="K51" s="99"/>
      <c r="L51" s="92"/>
      <c r="M51" s="92" t="s">
        <v>22</v>
      </c>
      <c r="N51" s="91"/>
      <c r="O51" s="91"/>
      <c r="P51" s="91"/>
      <c r="Q51" s="91" t="s">
        <v>22</v>
      </c>
      <c r="R51" s="91" t="s">
        <v>22</v>
      </c>
      <c r="S51" s="91" t="s">
        <v>22</v>
      </c>
    </row>
    <row r="52" spans="1:19" ht="18" thickTop="1">
      <c r="A52" s="65"/>
      <c r="B52" s="66" t="s">
        <v>62</v>
      </c>
      <c r="C52" s="67"/>
      <c r="D52" s="68"/>
      <c r="E52" s="68"/>
      <c r="F52" s="68"/>
      <c r="G52" s="68"/>
      <c r="H52" s="68"/>
      <c r="I52" s="68"/>
      <c r="J52" s="68"/>
      <c r="K52" s="69"/>
      <c r="L52" s="70"/>
      <c r="M52" s="70"/>
      <c r="N52" s="71"/>
      <c r="O52" s="72"/>
      <c r="P52" s="72"/>
      <c r="Q52" s="72"/>
      <c r="R52" s="72"/>
      <c r="S52" s="68"/>
    </row>
    <row r="53" spans="1:19" ht="17.399999999999999">
      <c r="A53" s="65">
        <v>1</v>
      </c>
      <c r="B53" s="95"/>
      <c r="C53" s="96" t="s">
        <v>21</v>
      </c>
      <c r="D53" s="68"/>
      <c r="E53" s="68"/>
      <c r="F53" s="68"/>
      <c r="G53" s="68"/>
      <c r="H53" s="68"/>
      <c r="I53" s="68"/>
      <c r="J53" s="68"/>
      <c r="K53" s="69"/>
      <c r="L53" s="70"/>
      <c r="M53" s="70"/>
      <c r="N53" s="71"/>
      <c r="O53" s="72"/>
      <c r="P53" s="72"/>
      <c r="Q53" s="72"/>
      <c r="R53" s="72"/>
      <c r="S53" s="68"/>
    </row>
    <row r="54" spans="1:19" ht="18" thickBot="1">
      <c r="A54" s="65"/>
      <c r="B54" s="97" t="s">
        <v>19</v>
      </c>
      <c r="C54" s="98"/>
      <c r="D54" s="91">
        <v>0</v>
      </c>
      <c r="E54" s="91"/>
      <c r="F54" s="91"/>
      <c r="G54" s="91"/>
      <c r="H54" s="91" t="s">
        <v>22</v>
      </c>
      <c r="I54" s="91" t="s">
        <v>22</v>
      </c>
      <c r="J54" s="91" t="s">
        <v>22</v>
      </c>
      <c r="K54" s="99"/>
      <c r="L54" s="92"/>
      <c r="M54" s="92" t="s">
        <v>22</v>
      </c>
      <c r="N54" s="91"/>
      <c r="O54" s="91"/>
      <c r="P54" s="91"/>
      <c r="Q54" s="91" t="s">
        <v>22</v>
      </c>
      <c r="R54" s="91" t="s">
        <v>22</v>
      </c>
      <c r="S54" s="91" t="s">
        <v>22</v>
      </c>
    </row>
    <row r="55" spans="1:19" ht="18" thickTop="1">
      <c r="A55" s="65"/>
      <c r="B55" s="66" t="s">
        <v>63</v>
      </c>
      <c r="C55" s="67"/>
      <c r="D55" s="68"/>
      <c r="E55" s="68"/>
      <c r="F55" s="68"/>
      <c r="G55" s="68"/>
      <c r="H55" s="68"/>
      <c r="I55" s="68"/>
      <c r="J55" s="68"/>
      <c r="K55" s="69"/>
      <c r="L55" s="70"/>
      <c r="M55" s="70"/>
      <c r="N55" s="71"/>
      <c r="O55" s="72"/>
      <c r="P55" s="72"/>
      <c r="Q55" s="72"/>
      <c r="R55" s="72"/>
      <c r="S55" s="68"/>
    </row>
    <row r="56" spans="1:19" ht="17.399999999999999">
      <c r="A56" s="65">
        <v>1</v>
      </c>
      <c r="B56" s="71"/>
      <c r="C56" s="75"/>
      <c r="D56" s="72" t="s">
        <v>22</v>
      </c>
      <c r="E56" s="100"/>
      <c r="F56" s="72"/>
      <c r="G56" s="72"/>
      <c r="H56" s="72"/>
      <c r="I56" s="72"/>
      <c r="J56" s="68"/>
      <c r="K56" s="101"/>
      <c r="L56" s="77"/>
      <c r="M56" s="77"/>
      <c r="N56" s="100"/>
      <c r="O56" s="72"/>
      <c r="P56" s="72"/>
      <c r="Q56" s="72"/>
      <c r="R56" s="72"/>
      <c r="S56" s="68"/>
    </row>
    <row r="57" spans="1:19" ht="18" thickBot="1">
      <c r="A57" s="65"/>
      <c r="B57" s="97" t="s">
        <v>19</v>
      </c>
      <c r="C57" s="98"/>
      <c r="D57" s="91">
        <v>0</v>
      </c>
      <c r="E57" s="91"/>
      <c r="F57" s="91"/>
      <c r="G57" s="91"/>
      <c r="H57" s="91" t="s">
        <v>22</v>
      </c>
      <c r="I57" s="91" t="s">
        <v>22</v>
      </c>
      <c r="J57" s="91" t="s">
        <v>22</v>
      </c>
      <c r="K57" s="92"/>
      <c r="L57" s="92"/>
      <c r="M57" s="99" t="s">
        <v>22</v>
      </c>
      <c r="N57" s="91"/>
      <c r="O57" s="91"/>
      <c r="P57" s="91"/>
      <c r="Q57" s="91" t="s">
        <v>22</v>
      </c>
      <c r="R57" s="91" t="s">
        <v>22</v>
      </c>
      <c r="S57" s="91" t="s">
        <v>22</v>
      </c>
    </row>
    <row r="58" spans="1:19" ht="18" thickTop="1">
      <c r="A58" s="65"/>
      <c r="B58" s="66" t="s">
        <v>64</v>
      </c>
      <c r="C58" s="67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1"/>
      <c r="O58" s="72"/>
      <c r="P58" s="72"/>
      <c r="Q58" s="72"/>
      <c r="R58" s="72"/>
      <c r="S58" s="68"/>
    </row>
    <row r="59" spans="1:19" ht="17.399999999999999">
      <c r="A59" s="65">
        <v>1</v>
      </c>
      <c r="B59" s="71" t="s">
        <v>65</v>
      </c>
      <c r="C59" s="71" t="s">
        <v>66</v>
      </c>
      <c r="D59" s="68"/>
      <c r="E59" s="82"/>
      <c r="F59" s="72"/>
      <c r="G59" s="72"/>
      <c r="H59" s="72" t="s">
        <v>22</v>
      </c>
      <c r="I59" s="72"/>
      <c r="J59" s="68" t="s">
        <v>22</v>
      </c>
      <c r="K59" s="70"/>
      <c r="L59" s="102"/>
      <c r="M59" s="70" t="s">
        <v>22</v>
      </c>
      <c r="N59" s="82"/>
      <c r="O59" s="72"/>
      <c r="P59" s="72"/>
      <c r="Q59" s="72" t="s">
        <v>22</v>
      </c>
      <c r="R59" s="72"/>
      <c r="S59" s="68" t="s">
        <v>22</v>
      </c>
    </row>
    <row r="60" spans="1:19" ht="17.399999999999999">
      <c r="A60" s="65"/>
      <c r="B60" s="96" t="s">
        <v>67</v>
      </c>
      <c r="C60" s="75"/>
      <c r="D60" s="75"/>
      <c r="E60" s="89"/>
      <c r="F60" s="72"/>
      <c r="G60" s="72"/>
      <c r="H60" s="72"/>
      <c r="I60" s="72"/>
      <c r="J60" s="68"/>
      <c r="K60" s="70"/>
      <c r="L60" s="70"/>
      <c r="M60" s="70" t="s">
        <v>22</v>
      </c>
      <c r="N60" s="71"/>
      <c r="O60" s="72"/>
      <c r="P60" s="72"/>
      <c r="Q60" s="72"/>
      <c r="R60" s="72"/>
      <c r="S60" s="68" t="s">
        <v>22</v>
      </c>
    </row>
    <row r="61" spans="1:19" ht="18" thickBot="1">
      <c r="A61" s="65"/>
      <c r="B61" s="103"/>
      <c r="C61" s="91"/>
      <c r="D61" s="91">
        <v>0</v>
      </c>
      <c r="E61" s="62"/>
      <c r="F61" s="91"/>
      <c r="G61" s="91"/>
      <c r="H61" s="91" t="s">
        <v>22</v>
      </c>
      <c r="I61" s="91" t="s">
        <v>22</v>
      </c>
      <c r="J61" s="91" t="s">
        <v>22</v>
      </c>
      <c r="K61" s="92"/>
      <c r="L61" s="92"/>
      <c r="M61" s="92" t="s">
        <v>22</v>
      </c>
      <c r="N61" s="91"/>
      <c r="O61" s="91"/>
      <c r="P61" s="91"/>
      <c r="Q61" s="91" t="s">
        <v>22</v>
      </c>
      <c r="R61" s="91" t="s">
        <v>22</v>
      </c>
      <c r="S61" s="91" t="s">
        <v>22</v>
      </c>
    </row>
    <row r="62" spans="1:19" ht="18" thickTop="1">
      <c r="A62" s="65"/>
      <c r="B62" s="66" t="s">
        <v>68</v>
      </c>
      <c r="C62" s="67"/>
      <c r="D62" s="68"/>
      <c r="E62" s="68"/>
      <c r="F62" s="68"/>
      <c r="G62" s="68"/>
      <c r="H62" s="68"/>
      <c r="I62" s="68"/>
      <c r="J62" s="68"/>
      <c r="K62" s="69"/>
      <c r="L62" s="70"/>
      <c r="M62" s="70"/>
      <c r="N62" s="71"/>
      <c r="O62" s="72"/>
      <c r="P62" s="72"/>
      <c r="Q62" s="72"/>
      <c r="R62" s="72"/>
      <c r="S62" s="68"/>
    </row>
    <row r="63" spans="1:19" ht="17.399999999999999">
      <c r="A63" s="65"/>
      <c r="B63" s="75"/>
      <c r="C63" s="71" t="s">
        <v>21</v>
      </c>
      <c r="D63" s="75"/>
      <c r="E63" s="71"/>
      <c r="F63" s="72"/>
      <c r="G63" s="72"/>
      <c r="H63" s="72"/>
      <c r="I63" s="72"/>
      <c r="J63" s="68"/>
      <c r="K63" s="69"/>
      <c r="L63" s="70"/>
      <c r="M63" s="70"/>
      <c r="N63" s="71"/>
      <c r="O63" s="72"/>
      <c r="P63" s="72"/>
      <c r="Q63" s="72"/>
      <c r="R63" s="72"/>
      <c r="S63" s="68"/>
    </row>
    <row r="64" spans="1:19" ht="18" thickBot="1">
      <c r="A64" s="65"/>
      <c r="B64" s="97" t="s">
        <v>19</v>
      </c>
      <c r="C64" s="98"/>
      <c r="D64" s="91">
        <v>0</v>
      </c>
      <c r="E64" s="91"/>
      <c r="F64" s="91"/>
      <c r="G64" s="91"/>
      <c r="H64" s="91" t="s">
        <v>22</v>
      </c>
      <c r="I64" s="91" t="s">
        <v>22</v>
      </c>
      <c r="J64" s="91" t="s">
        <v>22</v>
      </c>
      <c r="K64" s="99"/>
      <c r="L64" s="92"/>
      <c r="M64" s="92" t="s">
        <v>22</v>
      </c>
      <c r="N64" s="91"/>
      <c r="O64" s="91"/>
      <c r="P64" s="91"/>
      <c r="Q64" s="91" t="s">
        <v>22</v>
      </c>
      <c r="R64" s="91" t="s">
        <v>22</v>
      </c>
      <c r="S64" s="91" t="s">
        <v>22</v>
      </c>
    </row>
    <row r="65" spans="1:19" ht="18" thickTop="1">
      <c r="A65" s="65"/>
      <c r="B65" s="66" t="s">
        <v>69</v>
      </c>
      <c r="C65" s="67"/>
      <c r="D65" s="68"/>
      <c r="E65" s="68"/>
      <c r="F65" s="68"/>
      <c r="G65" s="68"/>
      <c r="H65" s="68"/>
      <c r="I65" s="68"/>
      <c r="J65" s="68"/>
      <c r="K65" s="69"/>
      <c r="L65" s="70"/>
      <c r="M65" s="70"/>
      <c r="N65" s="71"/>
      <c r="O65" s="72"/>
      <c r="P65" s="72"/>
      <c r="Q65" s="72"/>
      <c r="R65" s="72"/>
      <c r="S65" s="68"/>
    </row>
    <row r="66" spans="1:19" ht="18" thickBot="1">
      <c r="A66" s="65"/>
      <c r="B66" s="97" t="s">
        <v>19</v>
      </c>
      <c r="C66" s="98"/>
      <c r="D66" s="91">
        <v>0</v>
      </c>
      <c r="E66" s="91"/>
      <c r="F66" s="91"/>
      <c r="G66" s="91"/>
      <c r="H66" s="91" t="s">
        <v>22</v>
      </c>
      <c r="I66" s="91" t="s">
        <v>22</v>
      </c>
      <c r="J66" s="91" t="s">
        <v>22</v>
      </c>
      <c r="K66" s="92"/>
      <c r="L66" s="92"/>
      <c r="M66" s="92" t="s">
        <v>22</v>
      </c>
      <c r="N66" s="91"/>
      <c r="O66" s="91"/>
      <c r="P66" s="91"/>
      <c r="Q66" s="91" t="s">
        <v>22</v>
      </c>
      <c r="R66" s="91" t="s">
        <v>22</v>
      </c>
      <c r="S66" s="91" t="s">
        <v>22</v>
      </c>
    </row>
    <row r="67" spans="1:19" ht="18" thickTop="1">
      <c r="A67" s="65"/>
      <c r="B67" s="66" t="s">
        <v>70</v>
      </c>
      <c r="C67" s="104"/>
      <c r="D67" s="68" t="s">
        <v>22</v>
      </c>
      <c r="E67" s="105"/>
      <c r="F67" s="105"/>
      <c r="G67" s="105"/>
      <c r="H67" s="68" t="s">
        <v>22</v>
      </c>
      <c r="I67" s="105" t="s">
        <v>22</v>
      </c>
      <c r="J67" s="105" t="s">
        <v>22</v>
      </c>
      <c r="K67" s="106"/>
      <c r="L67" s="106"/>
      <c r="M67" s="106" t="s">
        <v>22</v>
      </c>
      <c r="N67" s="105"/>
      <c r="O67" s="105"/>
      <c r="P67" s="68"/>
      <c r="Q67" s="105" t="s">
        <v>22</v>
      </c>
      <c r="R67" s="68" t="s">
        <v>22</v>
      </c>
      <c r="S67" s="68" t="s">
        <v>22</v>
      </c>
    </row>
    <row r="68" spans="1:19" ht="17.399999999999999">
      <c r="A68" s="65">
        <v>1</v>
      </c>
      <c r="B68" s="71" t="s">
        <v>71</v>
      </c>
      <c r="C68" s="71" t="s">
        <v>72</v>
      </c>
      <c r="D68" s="107">
        <v>0</v>
      </c>
      <c r="E68" s="105"/>
      <c r="F68" s="105"/>
      <c r="G68" s="105"/>
      <c r="H68" s="105" t="s">
        <v>22</v>
      </c>
      <c r="I68" s="105" t="s">
        <v>22</v>
      </c>
      <c r="J68" s="105" t="s">
        <v>22</v>
      </c>
      <c r="K68" s="108"/>
      <c r="L68" s="77"/>
      <c r="M68" s="109"/>
      <c r="N68" s="105"/>
      <c r="O68" s="105"/>
      <c r="P68" s="105"/>
      <c r="Q68" s="105" t="s">
        <v>22</v>
      </c>
      <c r="R68" s="105" t="s">
        <v>22</v>
      </c>
      <c r="S68" s="105" t="s">
        <v>22</v>
      </c>
    </row>
    <row r="69" spans="1:19" ht="17.399999999999999">
      <c r="A69" s="65">
        <v>2</v>
      </c>
      <c r="B69" s="71" t="s">
        <v>73</v>
      </c>
      <c r="C69" s="71" t="s">
        <v>72</v>
      </c>
      <c r="D69" s="68" t="s">
        <v>74</v>
      </c>
      <c r="E69" s="68"/>
      <c r="F69" s="68"/>
      <c r="G69" s="68"/>
      <c r="H69" s="68" t="s">
        <v>22</v>
      </c>
      <c r="I69" s="68" t="s">
        <v>22</v>
      </c>
      <c r="J69" s="68" t="s">
        <v>22</v>
      </c>
      <c r="K69" s="108"/>
      <c r="L69" s="77"/>
      <c r="M69" s="70"/>
      <c r="N69" s="68"/>
      <c r="O69" s="68"/>
      <c r="P69" s="68"/>
      <c r="Q69" s="68" t="s">
        <v>22</v>
      </c>
      <c r="R69" s="68" t="s">
        <v>22</v>
      </c>
      <c r="S69" s="68" t="s">
        <v>22</v>
      </c>
    </row>
    <row r="70" spans="1:19" ht="17.399999999999999">
      <c r="A70" s="65">
        <v>3</v>
      </c>
      <c r="B70" s="71" t="s">
        <v>75</v>
      </c>
      <c r="C70" s="71" t="s">
        <v>76</v>
      </c>
      <c r="D70" s="110">
        <v>400</v>
      </c>
      <c r="E70" s="68"/>
      <c r="F70" s="68"/>
      <c r="G70" s="68"/>
      <c r="H70" s="68" t="s">
        <v>22</v>
      </c>
      <c r="I70" s="68" t="s">
        <v>22</v>
      </c>
      <c r="J70" s="68" t="s">
        <v>22</v>
      </c>
      <c r="K70" s="108">
        <v>25082</v>
      </c>
      <c r="L70" s="77" t="s">
        <v>77</v>
      </c>
      <c r="M70" s="111">
        <v>400</v>
      </c>
      <c r="N70" s="68"/>
      <c r="O70" s="68"/>
      <c r="P70" s="68"/>
      <c r="Q70" s="68" t="s">
        <v>22</v>
      </c>
      <c r="R70" s="68" t="s">
        <v>22</v>
      </c>
      <c r="S70" s="68" t="s">
        <v>22</v>
      </c>
    </row>
    <row r="71" spans="1:19" ht="17.399999999999999">
      <c r="A71" s="65">
        <v>4</v>
      </c>
      <c r="B71" s="71" t="s">
        <v>75</v>
      </c>
      <c r="C71" s="71" t="s">
        <v>78</v>
      </c>
      <c r="D71" s="110">
        <v>400</v>
      </c>
      <c r="E71" s="68"/>
      <c r="F71" s="68"/>
      <c r="G71" s="68"/>
      <c r="H71" s="68"/>
      <c r="I71" s="68"/>
      <c r="J71" s="68"/>
      <c r="K71" s="108">
        <v>25091</v>
      </c>
      <c r="L71" s="77" t="s">
        <v>79</v>
      </c>
      <c r="M71" s="111">
        <v>400</v>
      </c>
      <c r="N71" s="68"/>
      <c r="O71" s="68"/>
      <c r="P71" s="68"/>
      <c r="Q71" s="68"/>
      <c r="R71" s="68"/>
      <c r="S71" s="68"/>
    </row>
    <row r="72" spans="1:19" ht="17.399999999999999">
      <c r="A72" s="65">
        <v>5</v>
      </c>
      <c r="B72" s="71" t="s">
        <v>75</v>
      </c>
      <c r="C72" s="71" t="s">
        <v>80</v>
      </c>
      <c r="D72" s="110">
        <v>400</v>
      </c>
      <c r="E72" s="68"/>
      <c r="F72" s="68"/>
      <c r="G72" s="68"/>
      <c r="H72" s="68"/>
      <c r="I72" s="68"/>
      <c r="J72" s="68"/>
      <c r="K72" s="108">
        <v>25097</v>
      </c>
      <c r="L72" s="77" t="s">
        <v>81</v>
      </c>
      <c r="M72" s="111">
        <v>400</v>
      </c>
      <c r="N72" s="68"/>
      <c r="O72" s="68"/>
      <c r="P72" s="68"/>
      <c r="Q72" s="68"/>
      <c r="R72" s="68"/>
      <c r="S72" s="68"/>
    </row>
    <row r="73" spans="1:19" ht="17.399999999999999">
      <c r="A73" s="65">
        <v>6</v>
      </c>
      <c r="B73" s="71" t="s">
        <v>75</v>
      </c>
      <c r="C73" s="71" t="s">
        <v>82</v>
      </c>
      <c r="D73" s="110">
        <v>400</v>
      </c>
      <c r="E73" s="68"/>
      <c r="F73" s="68"/>
      <c r="G73" s="68"/>
      <c r="H73" s="68"/>
      <c r="I73" s="68"/>
      <c r="J73" s="68"/>
      <c r="K73" s="108">
        <v>25103</v>
      </c>
      <c r="L73" s="77" t="s">
        <v>83</v>
      </c>
      <c r="M73" s="111">
        <v>400</v>
      </c>
      <c r="N73" s="68"/>
      <c r="O73" s="68"/>
      <c r="P73" s="68"/>
      <c r="Q73" s="68"/>
      <c r="R73" s="68"/>
      <c r="S73" s="68"/>
    </row>
    <row r="74" spans="1:19" ht="23.4">
      <c r="A74" s="65">
        <v>7</v>
      </c>
      <c r="B74" s="75" t="s">
        <v>75</v>
      </c>
      <c r="C74" s="71" t="s">
        <v>84</v>
      </c>
      <c r="D74" s="110">
        <v>400</v>
      </c>
      <c r="E74" s="68"/>
      <c r="F74" s="68"/>
      <c r="G74" s="68"/>
      <c r="H74" s="68"/>
      <c r="I74" s="68"/>
      <c r="J74" s="68"/>
      <c r="K74" s="112">
        <v>25110</v>
      </c>
      <c r="L74" s="77" t="s">
        <v>85</v>
      </c>
      <c r="M74" s="111">
        <v>400</v>
      </c>
      <c r="N74" s="68"/>
      <c r="O74" s="68"/>
      <c r="P74" s="68"/>
      <c r="Q74" s="68"/>
      <c r="R74" s="68"/>
      <c r="S74" s="68"/>
    </row>
    <row r="75" spans="1:19" ht="17.399999999999999">
      <c r="A75" s="65"/>
      <c r="B75" s="113"/>
      <c r="C75" s="113"/>
      <c r="D75" s="89"/>
      <c r="E75" s="89"/>
      <c r="F75" s="89"/>
      <c r="G75" s="68"/>
      <c r="H75" s="89"/>
      <c r="I75" s="68"/>
      <c r="J75" s="68"/>
      <c r="K75" s="114"/>
      <c r="L75" s="77" t="s">
        <v>22</v>
      </c>
      <c r="M75" s="70" t="s">
        <v>22</v>
      </c>
      <c r="N75" s="68"/>
      <c r="O75" s="68"/>
      <c r="P75" s="89"/>
      <c r="Q75" s="68" t="s">
        <v>22</v>
      </c>
      <c r="R75" s="89" t="s">
        <v>22</v>
      </c>
      <c r="S75" s="68" t="s">
        <v>22</v>
      </c>
    </row>
    <row r="76" spans="1:19" ht="18" thickBot="1">
      <c r="A76" s="65"/>
      <c r="B76" s="59" t="s">
        <v>19</v>
      </c>
      <c r="C76" s="60"/>
      <c r="D76" s="61">
        <f>SUM(D68:D75)</f>
        <v>2000</v>
      </c>
      <c r="E76" s="62"/>
      <c r="F76" s="62"/>
      <c r="G76" s="91"/>
      <c r="H76" s="62" t="s">
        <v>22</v>
      </c>
      <c r="I76" s="91" t="s">
        <v>22</v>
      </c>
      <c r="J76" s="91" t="s">
        <v>22</v>
      </c>
      <c r="K76" s="115"/>
      <c r="L76" s="92"/>
      <c r="M76" s="94">
        <f>SUM(M68:M75)</f>
        <v>2000</v>
      </c>
      <c r="N76" s="91"/>
      <c r="O76" s="91"/>
      <c r="P76" s="62"/>
      <c r="Q76" s="91" t="s">
        <v>22</v>
      </c>
      <c r="R76" s="62" t="s">
        <v>22</v>
      </c>
      <c r="S76" s="91" t="s">
        <v>22</v>
      </c>
    </row>
    <row r="77" spans="1:19" ht="18" thickTop="1">
      <c r="A77" s="65"/>
      <c r="B77" s="66" t="s">
        <v>86</v>
      </c>
      <c r="C77" s="67"/>
      <c r="D77" s="68"/>
      <c r="E77" s="68"/>
      <c r="F77" s="68"/>
      <c r="G77" s="68"/>
      <c r="H77" s="68"/>
      <c r="I77" s="68"/>
      <c r="J77" s="68"/>
      <c r="K77" s="69"/>
      <c r="L77" s="70"/>
      <c r="M77" s="70"/>
      <c r="N77" s="71"/>
      <c r="O77" s="72"/>
      <c r="P77" s="72"/>
      <c r="Q77" s="72"/>
      <c r="R77" s="72"/>
      <c r="S77" s="68"/>
    </row>
    <row r="78" spans="1:19" ht="17.399999999999999">
      <c r="A78" s="73">
        <v>1</v>
      </c>
      <c r="B78" s="71" t="s">
        <v>87</v>
      </c>
      <c r="C78" s="71" t="s">
        <v>88</v>
      </c>
      <c r="D78" s="74">
        <v>0</v>
      </c>
      <c r="E78" s="75"/>
      <c r="F78" s="72"/>
      <c r="G78" s="72"/>
      <c r="H78" s="72"/>
      <c r="I78" s="72" t="s">
        <v>22</v>
      </c>
      <c r="J78" s="68" t="s">
        <v>22</v>
      </c>
      <c r="K78" s="76"/>
      <c r="L78" s="77"/>
      <c r="M78" s="78" t="s">
        <v>22</v>
      </c>
      <c r="N78" s="71"/>
      <c r="O78" s="72"/>
      <c r="P78" s="72"/>
      <c r="Q78" s="72" t="s">
        <v>22</v>
      </c>
      <c r="R78" s="72" t="s">
        <v>22</v>
      </c>
      <c r="S78" s="68" t="s">
        <v>22</v>
      </c>
    </row>
    <row r="79" spans="1:19" ht="17.399999999999999">
      <c r="A79" s="73">
        <v>2</v>
      </c>
      <c r="B79" s="71" t="s">
        <v>89</v>
      </c>
      <c r="C79" s="71" t="s">
        <v>88</v>
      </c>
      <c r="D79" s="68" t="s">
        <v>22</v>
      </c>
      <c r="E79" s="75"/>
      <c r="F79" s="72"/>
      <c r="G79" s="72"/>
      <c r="H79" s="72"/>
      <c r="I79" s="72"/>
      <c r="J79" s="68" t="s">
        <v>22</v>
      </c>
      <c r="K79" s="116"/>
      <c r="L79" s="116"/>
      <c r="M79" s="70" t="s">
        <v>22</v>
      </c>
      <c r="N79" s="71"/>
      <c r="O79" s="72"/>
      <c r="P79" s="72"/>
      <c r="Q79" s="72" t="s">
        <v>22</v>
      </c>
      <c r="R79" s="72" t="s">
        <v>22</v>
      </c>
      <c r="S79" s="68" t="s">
        <v>22</v>
      </c>
    </row>
    <row r="80" spans="1:19" ht="17.399999999999999">
      <c r="A80" s="73">
        <v>3</v>
      </c>
      <c r="B80" s="71" t="s">
        <v>90</v>
      </c>
      <c r="C80" s="71" t="s">
        <v>88</v>
      </c>
      <c r="D80" s="68" t="s">
        <v>22</v>
      </c>
      <c r="E80" s="75"/>
      <c r="F80" s="72"/>
      <c r="G80" s="72"/>
      <c r="H80" s="72" t="s">
        <v>22</v>
      </c>
      <c r="I80" s="72" t="s">
        <v>22</v>
      </c>
      <c r="J80" s="68" t="s">
        <v>22</v>
      </c>
      <c r="K80" s="77"/>
      <c r="L80" s="77"/>
      <c r="M80" s="70" t="s">
        <v>22</v>
      </c>
      <c r="N80" s="71"/>
      <c r="O80" s="72"/>
      <c r="P80" s="72"/>
      <c r="Q80" s="72" t="s">
        <v>22</v>
      </c>
      <c r="R80" s="72" t="s">
        <v>22</v>
      </c>
      <c r="S80" s="68" t="s">
        <v>22</v>
      </c>
    </row>
    <row r="81" spans="1:19" ht="17.399999999999999">
      <c r="A81" s="73">
        <v>4</v>
      </c>
      <c r="B81" s="71" t="s">
        <v>75</v>
      </c>
      <c r="C81" s="71" t="s">
        <v>91</v>
      </c>
      <c r="D81" s="74">
        <v>3370.5</v>
      </c>
      <c r="E81" s="75"/>
      <c r="F81" s="72"/>
      <c r="G81" s="72"/>
      <c r="H81" s="72" t="s">
        <v>22</v>
      </c>
      <c r="I81" s="72" t="s">
        <v>22</v>
      </c>
      <c r="J81" s="68" t="s">
        <v>22</v>
      </c>
      <c r="K81" s="76">
        <v>25082</v>
      </c>
      <c r="L81" s="77" t="s">
        <v>92</v>
      </c>
      <c r="M81" s="78">
        <v>3370.5</v>
      </c>
      <c r="N81" s="71"/>
      <c r="O81" s="72"/>
      <c r="P81" s="72"/>
      <c r="Q81" s="72" t="s">
        <v>22</v>
      </c>
      <c r="R81" s="72" t="s">
        <v>22</v>
      </c>
      <c r="S81" s="68" t="s">
        <v>22</v>
      </c>
    </row>
    <row r="82" spans="1:19" ht="17.399999999999999">
      <c r="A82" s="73">
        <v>5</v>
      </c>
      <c r="B82" s="71" t="s">
        <v>75</v>
      </c>
      <c r="C82" s="71" t="s">
        <v>93</v>
      </c>
      <c r="D82" s="74">
        <v>2889</v>
      </c>
      <c r="E82" s="75"/>
      <c r="F82" s="72"/>
      <c r="G82" s="72"/>
      <c r="H82" s="72"/>
      <c r="I82" s="72" t="s">
        <v>22</v>
      </c>
      <c r="J82" s="68" t="s">
        <v>22</v>
      </c>
      <c r="K82" s="76">
        <v>25091</v>
      </c>
      <c r="L82" s="77" t="s">
        <v>94</v>
      </c>
      <c r="M82" s="78">
        <v>2889</v>
      </c>
      <c r="N82" s="71"/>
      <c r="O82" s="72"/>
      <c r="P82" s="72"/>
      <c r="Q82" s="72" t="s">
        <v>22</v>
      </c>
      <c r="R82" s="72" t="s">
        <v>22</v>
      </c>
      <c r="S82" s="68" t="s">
        <v>22</v>
      </c>
    </row>
    <row r="83" spans="1:19" ht="17.399999999999999">
      <c r="A83" s="73">
        <v>6</v>
      </c>
      <c r="B83" s="71" t="s">
        <v>75</v>
      </c>
      <c r="C83" s="71" t="s">
        <v>95</v>
      </c>
      <c r="D83" s="74">
        <v>3488.2</v>
      </c>
      <c r="E83" s="75"/>
      <c r="F83" s="72"/>
      <c r="G83" s="72"/>
      <c r="H83" s="72"/>
      <c r="I83" s="72"/>
      <c r="J83" s="68"/>
      <c r="K83" s="76">
        <v>25097</v>
      </c>
      <c r="L83" s="77" t="s">
        <v>96</v>
      </c>
      <c r="M83" s="78">
        <v>3488.2</v>
      </c>
      <c r="N83" s="71"/>
      <c r="O83" s="72"/>
      <c r="P83" s="72"/>
      <c r="Q83" s="72"/>
      <c r="R83" s="72"/>
      <c r="S83" s="68"/>
    </row>
    <row r="84" spans="1:19" ht="17.399999999999999">
      <c r="A84" s="73">
        <v>7</v>
      </c>
      <c r="B84" s="71" t="s">
        <v>75</v>
      </c>
      <c r="C84" s="71" t="s">
        <v>97</v>
      </c>
      <c r="D84" s="74">
        <v>3488.2</v>
      </c>
      <c r="E84" s="75"/>
      <c r="F84" s="72"/>
      <c r="G84" s="72"/>
      <c r="H84" s="72"/>
      <c r="I84" s="72"/>
      <c r="J84" s="68"/>
      <c r="K84" s="76">
        <v>25103</v>
      </c>
      <c r="L84" s="77" t="s">
        <v>98</v>
      </c>
      <c r="M84" s="78">
        <v>3488.2</v>
      </c>
      <c r="N84" s="71"/>
      <c r="O84" s="72"/>
      <c r="P84" s="72"/>
      <c r="Q84" s="72"/>
      <c r="R84" s="72"/>
      <c r="S84" s="68"/>
    </row>
    <row r="85" spans="1:19" ht="23.4">
      <c r="A85" s="73">
        <v>8</v>
      </c>
      <c r="B85" s="71" t="s">
        <v>75</v>
      </c>
      <c r="C85" s="71" t="s">
        <v>99</v>
      </c>
      <c r="D85" s="110">
        <v>3156.5</v>
      </c>
      <c r="E85" s="75"/>
      <c r="F85" s="72"/>
      <c r="G85" s="72"/>
      <c r="H85" s="72"/>
      <c r="I85" s="72"/>
      <c r="J85" s="68"/>
      <c r="K85" s="117">
        <v>25110</v>
      </c>
      <c r="L85" s="77" t="s">
        <v>100</v>
      </c>
      <c r="M85" s="111">
        <v>3156.5</v>
      </c>
      <c r="N85" s="71"/>
      <c r="O85" s="72"/>
      <c r="P85" s="72"/>
      <c r="Q85" s="72"/>
      <c r="R85" s="72"/>
      <c r="S85" s="68"/>
    </row>
    <row r="86" spans="1:19" ht="18" thickBot="1">
      <c r="A86" s="65"/>
      <c r="B86" s="97" t="s">
        <v>19</v>
      </c>
      <c r="C86" s="98"/>
      <c r="D86" s="90">
        <f>SUM(D81:D85)</f>
        <v>16392.400000000001</v>
      </c>
      <c r="E86" s="91"/>
      <c r="F86" s="91"/>
      <c r="G86" s="91"/>
      <c r="H86" s="91" t="s">
        <v>22</v>
      </c>
      <c r="I86" s="91" t="s">
        <v>22</v>
      </c>
      <c r="J86" s="91" t="s">
        <v>22</v>
      </c>
      <c r="K86" s="92"/>
      <c r="L86" s="92"/>
      <c r="M86" s="94">
        <f>SUM(M78:M85)</f>
        <v>16392.400000000001</v>
      </c>
      <c r="N86" s="91"/>
      <c r="O86" s="91"/>
      <c r="P86" s="91"/>
      <c r="Q86" s="91" t="s">
        <v>22</v>
      </c>
      <c r="R86" s="91" t="s">
        <v>22</v>
      </c>
      <c r="S86" s="91" t="s">
        <v>22</v>
      </c>
    </row>
    <row r="87" spans="1:19" ht="18" thickTop="1">
      <c r="A87" s="65"/>
      <c r="B87" s="66" t="s">
        <v>101</v>
      </c>
      <c r="C87" s="67"/>
      <c r="D87" s="68" t="s">
        <v>22</v>
      </c>
      <c r="E87" s="68"/>
      <c r="F87" s="68"/>
      <c r="G87" s="68"/>
      <c r="H87" s="68"/>
      <c r="I87" s="68"/>
      <c r="J87" s="68"/>
      <c r="K87" s="69"/>
      <c r="L87" s="70"/>
      <c r="M87" s="70"/>
      <c r="N87" s="71"/>
      <c r="O87" s="72"/>
      <c r="P87" s="72"/>
      <c r="Q87" s="72"/>
      <c r="R87" s="72"/>
      <c r="S87" s="68"/>
    </row>
    <row r="88" spans="1:19" ht="17.399999999999999">
      <c r="A88" s="65">
        <v>1</v>
      </c>
      <c r="B88" s="95"/>
      <c r="C88" s="96" t="s">
        <v>21</v>
      </c>
      <c r="D88" s="68" t="s">
        <v>22</v>
      </c>
      <c r="E88" s="68"/>
      <c r="F88" s="68"/>
      <c r="G88" s="68"/>
      <c r="H88" s="68"/>
      <c r="I88" s="68"/>
      <c r="J88" s="68"/>
      <c r="K88" s="69"/>
      <c r="L88" s="70"/>
      <c r="M88" s="70"/>
      <c r="N88" s="71"/>
      <c r="O88" s="72"/>
      <c r="P88" s="72"/>
      <c r="Q88" s="72"/>
      <c r="R88" s="72"/>
      <c r="S88" s="68"/>
    </row>
    <row r="89" spans="1:19" ht="18" thickBot="1">
      <c r="A89" s="65"/>
      <c r="B89" s="97" t="s">
        <v>19</v>
      </c>
      <c r="C89" s="98"/>
      <c r="D89" s="91">
        <v>0</v>
      </c>
      <c r="E89" s="91"/>
      <c r="F89" s="91"/>
      <c r="G89" s="91"/>
      <c r="H89" s="91" t="s">
        <v>22</v>
      </c>
      <c r="I89" s="91" t="s">
        <v>22</v>
      </c>
      <c r="J89" s="91" t="s">
        <v>22</v>
      </c>
      <c r="K89" s="99"/>
      <c r="L89" s="92"/>
      <c r="M89" s="92" t="s">
        <v>22</v>
      </c>
      <c r="N89" s="91"/>
      <c r="O89" s="91"/>
      <c r="P89" s="91"/>
      <c r="Q89" s="91" t="s">
        <v>22</v>
      </c>
      <c r="R89" s="91" t="s">
        <v>22</v>
      </c>
      <c r="S89" s="91" t="s">
        <v>22</v>
      </c>
    </row>
    <row r="90" spans="1:19" ht="18" thickTop="1">
      <c r="A90" s="65"/>
      <c r="B90" s="66" t="s">
        <v>102</v>
      </c>
      <c r="C90" s="67"/>
      <c r="D90" s="68"/>
      <c r="E90" s="68"/>
      <c r="F90" s="68"/>
      <c r="G90" s="68"/>
      <c r="H90" s="68"/>
      <c r="I90" s="68"/>
      <c r="J90" s="68"/>
      <c r="K90" s="69"/>
      <c r="L90" s="70"/>
      <c r="M90" s="70"/>
      <c r="N90" s="71"/>
      <c r="O90" s="72"/>
      <c r="P90" s="72"/>
      <c r="Q90" s="72"/>
      <c r="R90" s="72"/>
      <c r="S90" s="68"/>
    </row>
    <row r="91" spans="1:19" ht="17.399999999999999">
      <c r="A91" s="65">
        <v>1</v>
      </c>
      <c r="B91" s="95"/>
      <c r="C91" s="75"/>
      <c r="D91" s="68" t="s">
        <v>22</v>
      </c>
      <c r="E91" s="68"/>
      <c r="F91" s="68"/>
      <c r="G91" s="68"/>
      <c r="H91" s="68"/>
      <c r="I91" s="68"/>
      <c r="J91" s="68"/>
      <c r="K91" s="77"/>
      <c r="L91" s="70"/>
      <c r="M91" s="70" t="s">
        <v>22</v>
      </c>
      <c r="N91" s="71"/>
      <c r="O91" s="72"/>
      <c r="P91" s="72"/>
      <c r="Q91" s="72"/>
      <c r="R91" s="72"/>
      <c r="S91" s="68"/>
    </row>
    <row r="92" spans="1:19" ht="18" thickBot="1">
      <c r="A92" s="65"/>
      <c r="B92" s="97" t="s">
        <v>19</v>
      </c>
      <c r="C92" s="98"/>
      <c r="D92" s="91">
        <v>0</v>
      </c>
      <c r="E92" s="91"/>
      <c r="F92" s="91"/>
      <c r="G92" s="91"/>
      <c r="H92" s="91" t="s">
        <v>22</v>
      </c>
      <c r="I92" s="91" t="s">
        <v>22</v>
      </c>
      <c r="J92" s="91" t="s">
        <v>22</v>
      </c>
      <c r="K92" s="99"/>
      <c r="L92" s="92"/>
      <c r="M92" s="92" t="s">
        <v>22</v>
      </c>
      <c r="N92" s="91"/>
      <c r="O92" s="91"/>
      <c r="P92" s="91"/>
      <c r="Q92" s="91" t="s">
        <v>22</v>
      </c>
      <c r="R92" s="91" t="s">
        <v>22</v>
      </c>
      <c r="S92" s="91" t="s">
        <v>22</v>
      </c>
    </row>
    <row r="93" spans="1:19" ht="18" thickTop="1">
      <c r="A93" s="65"/>
      <c r="B93" s="66" t="s">
        <v>103</v>
      </c>
      <c r="C93" s="67"/>
      <c r="D93" s="68"/>
      <c r="E93" s="68"/>
      <c r="F93" s="68"/>
      <c r="G93" s="68"/>
      <c r="H93" s="68"/>
      <c r="I93" s="68"/>
      <c r="J93" s="68"/>
      <c r="K93" s="69"/>
      <c r="L93" s="70"/>
      <c r="M93" s="70"/>
      <c r="N93" s="71"/>
      <c r="O93" s="72"/>
      <c r="P93" s="72"/>
      <c r="Q93" s="72"/>
      <c r="R93" s="72"/>
      <c r="S93" s="68"/>
    </row>
    <row r="94" spans="1:19" ht="17.399999999999999">
      <c r="A94" s="65"/>
      <c r="B94" s="75"/>
      <c r="C94" s="96" t="s">
        <v>21</v>
      </c>
      <c r="D94" s="75"/>
      <c r="E94" s="71"/>
      <c r="F94" s="72"/>
      <c r="G94" s="72"/>
      <c r="H94" s="72"/>
      <c r="I94" s="72"/>
      <c r="J94" s="68"/>
      <c r="K94" s="69"/>
      <c r="L94" s="70"/>
      <c r="M94" s="70"/>
      <c r="N94" s="71"/>
      <c r="O94" s="72"/>
      <c r="P94" s="72"/>
      <c r="Q94" s="72"/>
      <c r="R94" s="72"/>
      <c r="S94" s="68"/>
    </row>
    <row r="95" spans="1:19" ht="18" thickBot="1">
      <c r="A95" s="65"/>
      <c r="B95" s="97" t="s">
        <v>19</v>
      </c>
      <c r="C95" s="98"/>
      <c r="D95" s="91">
        <v>0</v>
      </c>
      <c r="E95" s="91"/>
      <c r="F95" s="91"/>
      <c r="G95" s="91"/>
      <c r="H95" s="91" t="s">
        <v>22</v>
      </c>
      <c r="I95" s="91" t="s">
        <v>22</v>
      </c>
      <c r="J95" s="91" t="s">
        <v>22</v>
      </c>
      <c r="K95" s="99"/>
      <c r="L95" s="92"/>
      <c r="M95" s="92" t="s">
        <v>22</v>
      </c>
      <c r="N95" s="91"/>
      <c r="O95" s="91"/>
      <c r="P95" s="91"/>
      <c r="Q95" s="91" t="s">
        <v>22</v>
      </c>
      <c r="R95" s="91" t="s">
        <v>22</v>
      </c>
      <c r="S95" s="91" t="s">
        <v>22</v>
      </c>
    </row>
    <row r="96" spans="1:19" ht="18" thickTop="1">
      <c r="A96" s="65"/>
      <c r="B96" s="66" t="s">
        <v>104</v>
      </c>
      <c r="C96" s="67"/>
      <c r="D96" s="68"/>
      <c r="E96" s="68"/>
      <c r="F96" s="68"/>
      <c r="G96" s="68"/>
      <c r="H96" s="68"/>
      <c r="I96" s="68"/>
      <c r="J96" s="68"/>
      <c r="K96" s="69"/>
      <c r="L96" s="70"/>
      <c r="M96" s="70"/>
      <c r="N96" s="71"/>
      <c r="O96" s="72"/>
      <c r="P96" s="72"/>
      <c r="Q96" s="72"/>
      <c r="R96" s="72"/>
      <c r="S96" s="68"/>
    </row>
    <row r="97" spans="1:20" ht="17.399999999999999">
      <c r="A97" s="65"/>
      <c r="B97" s="75"/>
      <c r="C97" s="96" t="s">
        <v>21</v>
      </c>
      <c r="D97" s="75"/>
      <c r="E97" s="75"/>
      <c r="F97" s="72"/>
      <c r="G97" s="72"/>
      <c r="H97" s="72"/>
      <c r="I97" s="72"/>
      <c r="J97" s="75"/>
      <c r="K97" s="70"/>
      <c r="L97" s="70"/>
      <c r="M97" s="118"/>
      <c r="N97" s="75"/>
      <c r="O97" s="72"/>
      <c r="P97" s="72"/>
      <c r="Q97" s="72"/>
      <c r="R97" s="72"/>
      <c r="S97" s="68"/>
    </row>
    <row r="98" spans="1:20" ht="18" thickBot="1">
      <c r="A98" s="65"/>
      <c r="B98" s="97" t="s">
        <v>19</v>
      </c>
      <c r="C98" s="98"/>
      <c r="D98" s="91">
        <v>0</v>
      </c>
      <c r="E98" s="91"/>
      <c r="F98" s="91"/>
      <c r="G98" s="91"/>
      <c r="H98" s="91" t="s">
        <v>22</v>
      </c>
      <c r="I98" s="91" t="s">
        <v>22</v>
      </c>
      <c r="J98" s="91" t="s">
        <v>22</v>
      </c>
      <c r="K98" s="92"/>
      <c r="L98" s="92"/>
      <c r="M98" s="92" t="s">
        <v>22</v>
      </c>
      <c r="N98" s="91"/>
      <c r="O98" s="91"/>
      <c r="P98" s="91"/>
      <c r="Q98" s="91" t="s">
        <v>22</v>
      </c>
      <c r="R98" s="91" t="s">
        <v>22</v>
      </c>
      <c r="S98" s="91" t="s">
        <v>22</v>
      </c>
    </row>
    <row r="99" spans="1:20" ht="18" thickTop="1">
      <c r="A99" s="8"/>
      <c r="B99" s="17" t="s">
        <v>105</v>
      </c>
      <c r="C99" s="15"/>
      <c r="D99" s="16"/>
      <c r="E99" s="16"/>
      <c r="F99" s="16"/>
      <c r="G99" s="16"/>
      <c r="H99" s="16"/>
      <c r="I99" s="16"/>
      <c r="J99" s="16"/>
      <c r="K99" s="18"/>
      <c r="L99" s="19"/>
      <c r="M99" s="19"/>
      <c r="N99" s="17"/>
      <c r="O99" s="6"/>
      <c r="P99" s="6"/>
      <c r="Q99" s="6"/>
      <c r="R99" s="6"/>
      <c r="S99" s="16"/>
    </row>
    <row r="100" spans="1:20" ht="17.399999999999999">
      <c r="A100" s="8">
        <v>1</v>
      </c>
      <c r="B100" s="28" t="s">
        <v>106</v>
      </c>
      <c r="C100" s="28" t="s">
        <v>107</v>
      </c>
      <c r="D100" s="27"/>
      <c r="E100" s="17" t="s">
        <v>108</v>
      </c>
      <c r="F100" s="6"/>
      <c r="G100" s="6"/>
      <c r="H100" s="119"/>
      <c r="I100" s="6"/>
      <c r="J100" s="120"/>
      <c r="K100" s="19"/>
      <c r="L100" s="19"/>
      <c r="M100" s="19"/>
      <c r="N100" s="17"/>
      <c r="O100" s="6"/>
      <c r="P100" s="6"/>
      <c r="Q100" s="119"/>
      <c r="R100" s="6"/>
      <c r="S100" s="120"/>
      <c r="T100" t="s">
        <v>109</v>
      </c>
    </row>
    <row r="101" spans="1:20" ht="17.399999999999999">
      <c r="A101" s="8"/>
      <c r="B101" s="28" t="s">
        <v>110</v>
      </c>
      <c r="C101" s="28"/>
      <c r="D101" s="27"/>
      <c r="E101" s="17"/>
      <c r="F101" s="6"/>
      <c r="G101" s="6"/>
      <c r="H101" s="6" t="s">
        <v>22</v>
      </c>
      <c r="I101" s="6"/>
      <c r="J101" s="16" t="s">
        <v>22</v>
      </c>
      <c r="K101" s="19"/>
      <c r="L101" s="19"/>
      <c r="M101" s="19" t="s">
        <v>22</v>
      </c>
      <c r="N101" s="17"/>
      <c r="O101" s="6"/>
      <c r="P101" s="6"/>
      <c r="Q101" s="6" t="s">
        <v>22</v>
      </c>
      <c r="R101" s="6"/>
      <c r="S101" s="16" t="s">
        <v>22</v>
      </c>
    </row>
    <row r="102" spans="1:20" ht="18" thickBot="1">
      <c r="A102" s="8"/>
      <c r="B102" s="22" t="s">
        <v>19</v>
      </c>
      <c r="C102" s="23"/>
      <c r="D102" s="24">
        <v>0</v>
      </c>
      <c r="E102" s="24"/>
      <c r="F102" s="24"/>
      <c r="G102" s="24"/>
      <c r="H102" s="121">
        <v>0</v>
      </c>
      <c r="I102" s="24" t="s">
        <v>22</v>
      </c>
      <c r="J102" s="121">
        <v>0</v>
      </c>
      <c r="K102" s="26"/>
      <c r="L102" s="26"/>
      <c r="M102" s="26" t="s">
        <v>22</v>
      </c>
      <c r="N102" s="24"/>
      <c r="O102" s="24"/>
      <c r="P102" s="24"/>
      <c r="Q102" s="121">
        <v>0</v>
      </c>
      <c r="R102" s="24" t="s">
        <v>22</v>
      </c>
      <c r="S102" s="121">
        <v>0</v>
      </c>
    </row>
    <row r="103" spans="1:20" ht="18.600000000000001" thickTop="1" thickBot="1">
      <c r="A103" s="122"/>
      <c r="B103" s="123" t="s">
        <v>111</v>
      </c>
      <c r="C103" s="124"/>
      <c r="D103" s="125">
        <f>SUM(D43+D48+D76+D86+D102)</f>
        <v>128952.4</v>
      </c>
      <c r="E103" s="126"/>
      <c r="F103" s="126"/>
      <c r="G103" s="126"/>
      <c r="H103" s="125">
        <v>0</v>
      </c>
      <c r="I103" s="127" t="s">
        <v>22</v>
      </c>
      <c r="J103" s="125">
        <v>0</v>
      </c>
      <c r="K103" s="128"/>
      <c r="L103" s="129"/>
      <c r="M103" s="130">
        <f>SUM(M43+M48+M76+M86)</f>
        <v>128952.4</v>
      </c>
      <c r="N103" s="126"/>
      <c r="O103" s="126"/>
      <c r="P103" s="126"/>
      <c r="Q103" s="125">
        <v>0</v>
      </c>
      <c r="R103" s="127" t="s">
        <v>22</v>
      </c>
      <c r="S103" s="125">
        <v>0</v>
      </c>
    </row>
    <row r="104" spans="1:20" ht="18" thickTop="1">
      <c r="A104" s="1"/>
      <c r="B104" s="131"/>
      <c r="C104" s="132"/>
      <c r="D104" s="132"/>
      <c r="E104" s="132"/>
      <c r="F104" s="132"/>
      <c r="G104" s="132"/>
      <c r="H104" s="132"/>
      <c r="I104" s="132"/>
      <c r="J104" s="132"/>
      <c r="K104" s="133"/>
      <c r="L104" s="134"/>
      <c r="M104" s="134"/>
      <c r="N104" s="132"/>
      <c r="O104" s="132"/>
      <c r="P104" s="132"/>
      <c r="Q104" s="132"/>
      <c r="R104" s="132"/>
      <c r="S104" s="132"/>
    </row>
    <row r="105" spans="1:20" ht="17.399999999999999">
      <c r="A105" s="132"/>
      <c r="B105" s="131"/>
      <c r="C105" s="132"/>
      <c r="D105" s="131"/>
      <c r="E105" s="132"/>
      <c r="F105" s="132"/>
      <c r="G105" s="132"/>
      <c r="H105" s="132"/>
      <c r="I105" s="132"/>
      <c r="J105" s="131"/>
      <c r="K105" s="135"/>
      <c r="L105" s="135"/>
      <c r="M105" s="135"/>
      <c r="N105" s="132"/>
      <c r="O105" s="1"/>
      <c r="P105" s="494" t="s">
        <v>112</v>
      </c>
      <c r="Q105" s="493"/>
      <c r="R105" s="493"/>
      <c r="S105" s="493"/>
    </row>
    <row r="106" spans="1:20" ht="17.399999999999999">
      <c r="A106" s="132"/>
      <c r="B106" s="131"/>
      <c r="C106" s="132"/>
      <c r="D106" s="131"/>
      <c r="E106" s="132"/>
      <c r="F106" s="132"/>
      <c r="G106" s="132"/>
      <c r="H106" s="132"/>
      <c r="I106" s="136"/>
      <c r="J106" s="132"/>
      <c r="K106" s="135"/>
      <c r="L106" s="134"/>
      <c r="M106" s="135"/>
      <c r="N106" s="132"/>
      <c r="O106" s="1"/>
      <c r="P106" s="494" t="s">
        <v>113</v>
      </c>
      <c r="Q106" s="493"/>
      <c r="R106" s="493"/>
      <c r="S106" s="131"/>
    </row>
    <row r="107" spans="1:20" ht="17.399999999999999">
      <c r="A107" s="132"/>
      <c r="B107" s="131"/>
      <c r="C107" s="132"/>
      <c r="D107" s="131"/>
      <c r="E107" s="132"/>
      <c r="F107" s="132"/>
      <c r="G107" s="132"/>
      <c r="H107" s="132"/>
      <c r="I107" s="132"/>
      <c r="J107" s="132"/>
      <c r="K107" s="135"/>
      <c r="L107" s="134"/>
      <c r="M107" s="135"/>
      <c r="N107" s="132"/>
      <c r="O107" s="1"/>
      <c r="P107" s="497" t="s">
        <v>114</v>
      </c>
      <c r="Q107" s="493"/>
      <c r="R107" s="493"/>
      <c r="S107" s="131"/>
    </row>
    <row r="108" spans="1:20" ht="17.399999999999999">
      <c r="A108" s="132"/>
      <c r="B108" s="131"/>
      <c r="C108" s="132"/>
      <c r="D108" s="131"/>
      <c r="E108" s="132"/>
      <c r="F108" s="132"/>
      <c r="G108" s="132"/>
      <c r="H108" s="132"/>
      <c r="I108" s="132"/>
      <c r="J108" s="494"/>
      <c r="K108" s="493"/>
      <c r="L108" s="134"/>
      <c r="M108" s="135"/>
      <c r="N108" s="494"/>
      <c r="O108" s="493"/>
      <c r="P108" s="497"/>
      <c r="Q108" s="493"/>
      <c r="R108" s="493"/>
      <c r="S108" s="131"/>
    </row>
    <row r="109" spans="1:20" ht="17.399999999999999">
      <c r="A109" s="132"/>
      <c r="B109" s="131"/>
      <c r="C109" s="132"/>
      <c r="D109" s="131"/>
      <c r="E109" s="132"/>
      <c r="F109" s="132"/>
      <c r="G109" s="132"/>
      <c r="H109" s="132"/>
      <c r="I109" s="132"/>
      <c r="J109" s="132"/>
      <c r="K109" s="135"/>
      <c r="L109" s="134"/>
      <c r="M109" s="135"/>
      <c r="N109" s="132"/>
      <c r="O109" s="1"/>
      <c r="P109" s="1"/>
      <c r="Q109" s="131"/>
      <c r="R109" s="131"/>
      <c r="S109" s="132"/>
    </row>
    <row r="110" spans="1:20" ht="17.399999999999999">
      <c r="A110" s="132"/>
      <c r="B110" s="131"/>
      <c r="C110" s="132"/>
      <c r="D110" s="131"/>
      <c r="E110" s="132"/>
      <c r="F110" s="132"/>
      <c r="G110" s="132"/>
      <c r="H110" s="132"/>
      <c r="I110" s="132"/>
      <c r="J110" s="131"/>
      <c r="K110" s="135"/>
      <c r="L110" s="135"/>
      <c r="M110" s="135"/>
      <c r="N110" s="132"/>
      <c r="O110" s="1"/>
      <c r="P110" s="1"/>
      <c r="Q110" s="131"/>
      <c r="R110" s="131"/>
      <c r="S110" s="132"/>
    </row>
    <row r="111" spans="1:20" ht="17.399999999999999">
      <c r="A111" s="132"/>
      <c r="B111" s="131"/>
      <c r="C111" s="132"/>
      <c r="D111" s="131"/>
      <c r="E111" s="132"/>
      <c r="F111" s="132"/>
      <c r="G111" s="132"/>
      <c r="H111" s="132"/>
      <c r="I111" s="132"/>
      <c r="J111" s="131"/>
      <c r="K111" s="135"/>
      <c r="L111" s="135"/>
      <c r="M111" s="135"/>
      <c r="N111" s="132"/>
      <c r="O111" s="1"/>
      <c r="P111" s="1"/>
      <c r="Q111" s="131"/>
      <c r="R111" s="131"/>
      <c r="S111" s="132"/>
    </row>
    <row r="112" spans="1:20" ht="17.399999999999999">
      <c r="A112" s="132"/>
      <c r="B112" s="131"/>
      <c r="C112" s="132"/>
      <c r="D112" s="131"/>
      <c r="E112" s="132"/>
      <c r="F112" s="132"/>
      <c r="G112" s="132"/>
      <c r="H112" s="132"/>
      <c r="I112" s="132"/>
      <c r="J112" s="131"/>
      <c r="K112" s="135"/>
      <c r="L112" s="135"/>
      <c r="M112" s="135"/>
      <c r="N112" s="132"/>
      <c r="O112" s="1"/>
      <c r="P112" s="1"/>
      <c r="Q112" s="131"/>
      <c r="R112" s="131"/>
      <c r="S112" s="131"/>
    </row>
    <row r="113" spans="1:19" ht="17.399999999999999">
      <c r="A113" s="132"/>
      <c r="B113" s="131"/>
      <c r="C113" s="132"/>
      <c r="D113" s="131"/>
      <c r="E113" s="132"/>
      <c r="F113" s="132"/>
      <c r="G113" s="132"/>
      <c r="H113" s="132"/>
      <c r="I113" s="132"/>
      <c r="J113" s="131"/>
      <c r="K113" s="135"/>
      <c r="L113" s="135"/>
      <c r="M113" s="135"/>
      <c r="N113" s="132"/>
      <c r="O113" s="1"/>
      <c r="P113" s="1"/>
      <c r="Q113" s="131"/>
      <c r="R113" s="131"/>
      <c r="S113" s="131"/>
    </row>
    <row r="114" spans="1:19" ht="17.399999999999999">
      <c r="A114" s="132"/>
      <c r="B114" s="131"/>
      <c r="C114" s="132"/>
      <c r="D114" s="131"/>
      <c r="E114" s="132"/>
      <c r="F114" s="132"/>
      <c r="G114" s="132"/>
      <c r="H114" s="132"/>
      <c r="I114" s="132"/>
      <c r="J114" s="131"/>
      <c r="K114" s="135"/>
      <c r="L114" s="135"/>
      <c r="M114" s="135"/>
      <c r="N114" s="132"/>
      <c r="O114" s="1"/>
      <c r="P114" s="1"/>
      <c r="Q114" s="131"/>
      <c r="R114" s="131"/>
      <c r="S114" s="131"/>
    </row>
    <row r="115" spans="1:19" ht="17.399999999999999">
      <c r="A115" s="132"/>
      <c r="B115" s="131"/>
      <c r="C115" s="132"/>
      <c r="D115" s="131"/>
      <c r="E115" s="132"/>
      <c r="F115" s="132"/>
      <c r="G115" s="132"/>
      <c r="H115" s="132"/>
      <c r="I115" s="132"/>
      <c r="J115" s="131"/>
      <c r="K115" s="135"/>
      <c r="L115" s="135"/>
      <c r="M115" s="135"/>
      <c r="N115" s="132"/>
      <c r="O115" s="1"/>
      <c r="P115" s="1"/>
      <c r="Q115" s="131"/>
      <c r="R115" s="131"/>
      <c r="S115" s="131"/>
    </row>
    <row r="116" spans="1:19" ht="17.399999999999999">
      <c r="A116" s="132"/>
      <c r="B116" s="131"/>
      <c r="C116" s="132"/>
      <c r="D116" s="131"/>
      <c r="E116" s="132"/>
      <c r="F116" s="132"/>
      <c r="G116" s="132"/>
      <c r="H116" s="132"/>
      <c r="I116" s="132"/>
      <c r="J116" s="131"/>
      <c r="K116" s="135"/>
      <c r="L116" s="135"/>
      <c r="M116" s="135"/>
      <c r="N116" s="132"/>
      <c r="O116" s="1"/>
      <c r="P116" s="1"/>
      <c r="Q116" s="131"/>
      <c r="R116" s="131"/>
      <c r="S116" s="131"/>
    </row>
    <row r="117" spans="1:19" ht="17.399999999999999">
      <c r="A117" s="132"/>
      <c r="B117" s="131"/>
      <c r="C117" s="132"/>
      <c r="D117" s="131"/>
      <c r="E117" s="132"/>
      <c r="F117" s="132"/>
      <c r="G117" s="132"/>
      <c r="H117" s="132"/>
      <c r="I117" s="132"/>
      <c r="J117" s="131"/>
      <c r="K117" s="135"/>
      <c r="L117" s="135"/>
      <c r="M117" s="135"/>
      <c r="N117" s="132"/>
      <c r="O117" s="1"/>
      <c r="P117" s="1"/>
      <c r="Q117" s="131"/>
      <c r="R117" s="131"/>
      <c r="S117" s="131"/>
    </row>
    <row r="118" spans="1:19" ht="17.399999999999999">
      <c r="A118" s="132"/>
      <c r="B118" s="131"/>
      <c r="C118" s="132"/>
      <c r="D118" s="131"/>
      <c r="E118" s="132"/>
      <c r="F118" s="132"/>
      <c r="G118" s="132"/>
      <c r="H118" s="132"/>
      <c r="I118" s="132"/>
      <c r="J118" s="131"/>
      <c r="K118" s="135"/>
      <c r="L118" s="135"/>
      <c r="M118" s="135"/>
      <c r="N118" s="132"/>
      <c r="O118" s="1"/>
      <c r="P118" s="1"/>
      <c r="Q118" s="131"/>
      <c r="R118" s="131"/>
      <c r="S118" s="131"/>
    </row>
    <row r="119" spans="1:19" ht="17.399999999999999">
      <c r="A119" s="132"/>
      <c r="B119" s="131"/>
      <c r="C119" s="132"/>
      <c r="D119" s="131"/>
      <c r="E119" s="132"/>
      <c r="F119" s="132"/>
      <c r="G119" s="132"/>
      <c r="H119" s="132"/>
      <c r="I119" s="132"/>
      <c r="J119" s="131"/>
      <c r="K119" s="135"/>
      <c r="L119" s="135"/>
      <c r="M119" s="135"/>
      <c r="N119" s="132"/>
      <c r="O119" s="1"/>
      <c r="P119" s="137"/>
      <c r="Q119" s="138"/>
      <c r="R119" s="131"/>
      <c r="S119" s="131"/>
    </row>
    <row r="120" spans="1:19" ht="17.399999999999999">
      <c r="A120" s="132"/>
      <c r="B120" s="131"/>
      <c r="C120" s="132"/>
      <c r="D120" s="131"/>
      <c r="E120" s="132"/>
      <c r="F120" s="132"/>
      <c r="G120" s="132"/>
      <c r="H120" s="132"/>
      <c r="I120" s="132"/>
      <c r="J120" s="131"/>
      <c r="K120" s="135"/>
      <c r="L120" s="135"/>
      <c r="M120" s="135"/>
      <c r="N120" s="132"/>
      <c r="O120" s="1"/>
      <c r="P120" s="1"/>
      <c r="Q120" s="131"/>
      <c r="R120" s="131"/>
      <c r="S120" s="131"/>
    </row>
    <row r="121" spans="1:19" ht="17.399999999999999">
      <c r="A121" s="132"/>
      <c r="B121" s="131"/>
      <c r="C121" s="132"/>
      <c r="D121" s="131"/>
      <c r="E121" s="132"/>
      <c r="F121" s="132"/>
      <c r="G121" s="132"/>
      <c r="H121" s="132"/>
      <c r="I121" s="132"/>
      <c r="J121" s="131"/>
      <c r="K121" s="135"/>
      <c r="L121" s="135"/>
      <c r="M121" s="135"/>
      <c r="N121" s="132"/>
      <c r="O121" s="1"/>
      <c r="P121" s="1"/>
      <c r="Q121" s="131"/>
      <c r="R121" s="131"/>
      <c r="S121" s="131"/>
    </row>
    <row r="122" spans="1:19" ht="17.399999999999999">
      <c r="A122" s="132"/>
      <c r="B122" s="131"/>
      <c r="C122" s="132"/>
      <c r="D122" s="131"/>
      <c r="E122" s="132"/>
      <c r="F122" s="132"/>
      <c r="G122" s="132"/>
      <c r="H122" s="132"/>
      <c r="I122" s="132"/>
      <c r="J122" s="131"/>
      <c r="K122" s="135"/>
      <c r="L122" s="135"/>
      <c r="M122" s="135"/>
      <c r="N122" s="132"/>
      <c r="O122" s="1"/>
      <c r="P122" s="1"/>
      <c r="Q122" s="131"/>
      <c r="R122" s="131"/>
      <c r="S122" s="131"/>
    </row>
    <row r="123" spans="1:19" ht="17.399999999999999">
      <c r="A123" s="132"/>
      <c r="B123" s="131"/>
      <c r="C123" s="132"/>
      <c r="D123" s="131"/>
      <c r="E123" s="132"/>
      <c r="F123" s="132"/>
      <c r="G123" s="132"/>
      <c r="H123" s="132"/>
      <c r="I123" s="132"/>
      <c r="J123" s="131"/>
      <c r="K123" s="135"/>
      <c r="L123" s="135"/>
      <c r="M123" s="135"/>
      <c r="N123" s="132"/>
      <c r="O123" s="1"/>
      <c r="P123" s="1"/>
      <c r="Q123" s="131"/>
      <c r="R123" s="131"/>
      <c r="S123" s="131"/>
    </row>
    <row r="124" spans="1:19" ht="17.399999999999999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9"/>
      <c r="L124" s="139"/>
      <c r="M124" s="139"/>
      <c r="N124" s="136"/>
      <c r="O124" s="136"/>
      <c r="P124" s="136"/>
      <c r="Q124" s="136"/>
      <c r="R124" s="136"/>
      <c r="S124" s="136"/>
    </row>
    <row r="125" spans="1:19" ht="17.399999999999999">
      <c r="A125" s="132"/>
      <c r="B125" s="131"/>
      <c r="C125" s="132"/>
      <c r="D125" s="131"/>
      <c r="E125" s="132"/>
      <c r="F125" s="132"/>
      <c r="G125" s="132"/>
      <c r="H125" s="132"/>
      <c r="I125" s="132"/>
      <c r="J125" s="131"/>
      <c r="K125" s="135"/>
      <c r="L125" s="135"/>
      <c r="M125" s="135"/>
      <c r="N125" s="132"/>
      <c r="O125" s="1"/>
      <c r="P125" s="1"/>
      <c r="Q125" s="1"/>
      <c r="R125" s="1"/>
      <c r="S125" s="131"/>
    </row>
    <row r="126" spans="1:19" ht="17.399999999999999">
      <c r="A126" s="132"/>
      <c r="B126" s="131"/>
      <c r="C126" s="132"/>
      <c r="D126" s="131"/>
      <c r="E126" s="132"/>
      <c r="F126" s="132"/>
      <c r="G126" s="132"/>
      <c r="H126" s="132"/>
      <c r="I126" s="132"/>
      <c r="J126" s="131"/>
      <c r="K126" s="135"/>
      <c r="L126" s="135"/>
      <c r="M126" s="135"/>
      <c r="N126" s="132"/>
      <c r="O126" s="1"/>
      <c r="P126" s="1"/>
      <c r="Q126" s="1"/>
      <c r="R126" s="1"/>
      <c r="S126" s="131"/>
    </row>
    <row r="127" spans="1:19" ht="17.399999999999999">
      <c r="A127" s="132"/>
      <c r="B127" s="131"/>
      <c r="C127" s="132"/>
      <c r="D127" s="131"/>
      <c r="E127" s="132"/>
      <c r="F127" s="132"/>
      <c r="G127" s="132"/>
      <c r="H127" s="132"/>
      <c r="I127" s="132"/>
      <c r="J127" s="131"/>
      <c r="K127" s="135"/>
      <c r="L127" s="135"/>
      <c r="M127" s="135"/>
      <c r="N127" s="132"/>
      <c r="O127" s="1"/>
      <c r="P127" s="1"/>
      <c r="Q127" s="1"/>
      <c r="R127" s="1"/>
      <c r="S127" s="131"/>
    </row>
    <row r="128" spans="1:19" ht="17.399999999999999">
      <c r="A128" s="132"/>
      <c r="B128" s="131"/>
      <c r="C128" s="132"/>
      <c r="D128" s="131"/>
      <c r="E128" s="132"/>
      <c r="F128" s="132"/>
      <c r="G128" s="132"/>
      <c r="H128" s="132"/>
      <c r="I128" s="132"/>
      <c r="J128" s="131"/>
      <c r="K128" s="135"/>
      <c r="L128" s="135"/>
      <c r="M128" s="135"/>
      <c r="N128" s="132"/>
      <c r="O128" s="1"/>
      <c r="P128" s="1"/>
      <c r="Q128" s="1"/>
      <c r="R128" s="1"/>
      <c r="S128" s="131"/>
    </row>
    <row r="129" spans="1:19" ht="17.399999999999999">
      <c r="A129" s="132"/>
      <c r="B129" s="131"/>
      <c r="C129" s="132"/>
      <c r="D129" s="131"/>
      <c r="E129" s="132"/>
      <c r="F129" s="132"/>
      <c r="G129" s="132"/>
      <c r="H129" s="132"/>
      <c r="I129" s="132"/>
      <c r="J129" s="131"/>
      <c r="K129" s="135"/>
      <c r="L129" s="135"/>
      <c r="M129" s="135"/>
      <c r="N129" s="132"/>
      <c r="O129" s="1"/>
      <c r="P129" s="1"/>
      <c r="Q129" s="1"/>
      <c r="R129" s="1"/>
      <c r="S129" s="131"/>
    </row>
    <row r="130" spans="1:19" ht="17.399999999999999">
      <c r="A130" s="132"/>
      <c r="B130" s="131"/>
      <c r="C130" s="132"/>
      <c r="D130" s="131"/>
      <c r="E130" s="132"/>
      <c r="F130" s="132"/>
      <c r="G130" s="132"/>
      <c r="H130" s="132"/>
      <c r="I130" s="132"/>
      <c r="J130" s="131"/>
      <c r="K130" s="135"/>
      <c r="L130" s="135"/>
      <c r="M130" s="135"/>
      <c r="N130" s="132"/>
      <c r="O130" s="1"/>
      <c r="P130" s="1"/>
      <c r="Q130" s="1"/>
      <c r="R130" s="1"/>
      <c r="S130" s="131"/>
    </row>
    <row r="131" spans="1:19" ht="17.399999999999999">
      <c r="A131" s="132"/>
      <c r="B131" s="131"/>
      <c r="C131" s="132"/>
      <c r="D131" s="131"/>
      <c r="E131" s="132"/>
      <c r="F131" s="132"/>
      <c r="G131" s="132"/>
      <c r="H131" s="132"/>
      <c r="I131" s="132"/>
      <c r="J131" s="131"/>
      <c r="K131" s="135"/>
      <c r="L131" s="135"/>
      <c r="M131" s="135"/>
      <c r="N131" s="132"/>
      <c r="O131" s="1"/>
      <c r="P131" s="1"/>
      <c r="Q131" s="1"/>
      <c r="R131" s="1"/>
      <c r="S131" s="131"/>
    </row>
    <row r="132" spans="1:19" ht="17.399999999999999">
      <c r="A132" s="132"/>
      <c r="B132" s="131"/>
      <c r="C132" s="132"/>
      <c r="D132" s="131"/>
      <c r="E132" s="132"/>
      <c r="F132" s="132"/>
      <c r="G132" s="132"/>
      <c r="H132" s="132"/>
      <c r="I132" s="132"/>
      <c r="J132" s="131"/>
      <c r="K132" s="135"/>
      <c r="L132" s="135"/>
      <c r="M132" s="135"/>
      <c r="N132" s="132"/>
      <c r="O132" s="1"/>
      <c r="P132" s="1"/>
      <c r="Q132" s="1"/>
      <c r="R132" s="1"/>
      <c r="S132" s="131"/>
    </row>
    <row r="133" spans="1:19" ht="17.399999999999999">
      <c r="A133" s="132"/>
      <c r="B133" s="131"/>
      <c r="C133" s="132"/>
      <c r="D133" s="131"/>
      <c r="E133" s="132"/>
      <c r="F133" s="132"/>
      <c r="G133" s="132"/>
      <c r="H133" s="132"/>
      <c r="I133" s="132"/>
      <c r="J133" s="131"/>
      <c r="K133" s="135"/>
      <c r="L133" s="135"/>
      <c r="M133" s="135"/>
      <c r="N133" s="132"/>
      <c r="O133" s="1"/>
      <c r="P133" s="1"/>
      <c r="Q133" s="1"/>
      <c r="R133" s="1"/>
      <c r="S133" s="131"/>
    </row>
    <row r="134" spans="1:19" ht="17.399999999999999">
      <c r="A134" s="132"/>
      <c r="B134" s="131"/>
      <c r="C134" s="132"/>
      <c r="D134" s="131"/>
      <c r="E134" s="132"/>
      <c r="F134" s="132"/>
      <c r="G134" s="132"/>
      <c r="H134" s="132"/>
      <c r="I134" s="132"/>
      <c r="J134" s="131"/>
      <c r="K134" s="135"/>
      <c r="L134" s="135"/>
      <c r="M134" s="135"/>
      <c r="N134" s="132"/>
      <c r="O134" s="1"/>
      <c r="P134" s="1"/>
      <c r="Q134" s="1"/>
      <c r="R134" s="1"/>
      <c r="S134" s="131"/>
    </row>
    <row r="135" spans="1:19" ht="17.399999999999999">
      <c r="A135" s="132"/>
      <c r="B135" s="131"/>
      <c r="C135" s="132"/>
      <c r="D135" s="131"/>
      <c r="E135" s="132"/>
      <c r="F135" s="132"/>
      <c r="G135" s="132"/>
      <c r="H135" s="132"/>
      <c r="I135" s="132"/>
      <c r="J135" s="131"/>
      <c r="K135" s="135"/>
      <c r="L135" s="135"/>
      <c r="M135" s="135"/>
      <c r="N135" s="132"/>
      <c r="O135" s="1"/>
      <c r="P135" s="1"/>
      <c r="Q135" s="1"/>
      <c r="R135" s="1"/>
      <c r="S135" s="131"/>
    </row>
    <row r="136" spans="1:19" ht="17.399999999999999">
      <c r="A136" s="132"/>
      <c r="B136" s="131"/>
      <c r="C136" s="132"/>
      <c r="D136" s="131"/>
      <c r="E136" s="132"/>
      <c r="F136" s="132"/>
      <c r="G136" s="132"/>
      <c r="H136" s="132"/>
      <c r="I136" s="132"/>
      <c r="J136" s="131"/>
      <c r="K136" s="135"/>
      <c r="L136" s="135"/>
      <c r="M136" s="135"/>
      <c r="N136" s="132"/>
      <c r="O136" s="1"/>
      <c r="P136" s="1"/>
      <c r="Q136" s="1"/>
      <c r="R136" s="1"/>
      <c r="S136" s="131"/>
    </row>
    <row r="137" spans="1:19" ht="17.399999999999999">
      <c r="A137" s="132"/>
      <c r="B137" s="131"/>
      <c r="C137" s="132"/>
      <c r="D137" s="131"/>
      <c r="E137" s="132"/>
      <c r="F137" s="132"/>
      <c r="G137" s="132"/>
      <c r="H137" s="132"/>
      <c r="I137" s="132"/>
      <c r="J137" s="131"/>
      <c r="K137" s="135"/>
      <c r="L137" s="135"/>
      <c r="M137" s="135"/>
      <c r="N137" s="132"/>
      <c r="O137" s="1"/>
      <c r="P137" s="1"/>
      <c r="Q137" s="1"/>
      <c r="R137" s="1"/>
      <c r="S137" s="131"/>
    </row>
    <row r="138" spans="1:19" ht="17.399999999999999">
      <c r="A138" s="132"/>
      <c r="B138" s="131"/>
      <c r="C138" s="132"/>
      <c r="D138" s="131"/>
      <c r="E138" s="132"/>
      <c r="F138" s="132"/>
      <c r="G138" s="132"/>
      <c r="H138" s="132"/>
      <c r="I138" s="132"/>
      <c r="J138" s="131"/>
      <c r="K138" s="135"/>
      <c r="L138" s="135"/>
      <c r="M138" s="135"/>
      <c r="N138" s="132"/>
      <c r="O138" s="1"/>
      <c r="P138" s="1"/>
      <c r="Q138" s="1"/>
      <c r="R138" s="1"/>
      <c r="S138" s="131"/>
    </row>
    <row r="139" spans="1:19" ht="17.399999999999999">
      <c r="A139" s="132"/>
      <c r="B139" s="131"/>
      <c r="C139" s="132"/>
      <c r="D139" s="131"/>
      <c r="E139" s="132"/>
      <c r="F139" s="132"/>
      <c r="G139" s="132"/>
      <c r="H139" s="132"/>
      <c r="I139" s="132"/>
      <c r="J139" s="131"/>
      <c r="K139" s="135"/>
      <c r="L139" s="135"/>
      <c r="M139" s="135"/>
      <c r="N139" s="132"/>
      <c r="O139" s="1"/>
      <c r="P139" s="1"/>
      <c r="Q139" s="1"/>
      <c r="R139" s="1"/>
      <c r="S139" s="131"/>
    </row>
    <row r="140" spans="1:19" ht="17.399999999999999">
      <c r="A140" s="132"/>
      <c r="B140" s="131"/>
      <c r="C140" s="132"/>
      <c r="D140" s="131"/>
      <c r="E140" s="132"/>
      <c r="F140" s="132"/>
      <c r="G140" s="132"/>
      <c r="H140" s="132"/>
      <c r="I140" s="132"/>
      <c r="J140" s="131"/>
      <c r="K140" s="135"/>
      <c r="L140" s="135"/>
      <c r="M140" s="135"/>
      <c r="N140" s="132"/>
      <c r="O140" s="1"/>
      <c r="P140" s="1"/>
      <c r="Q140" s="1"/>
      <c r="R140" s="1"/>
      <c r="S140" s="131"/>
    </row>
    <row r="141" spans="1:19" ht="17.399999999999999">
      <c r="A141" s="132"/>
      <c r="B141" s="131"/>
      <c r="C141" s="132"/>
      <c r="D141" s="131"/>
      <c r="E141" s="132"/>
      <c r="F141" s="132"/>
      <c r="G141" s="132"/>
      <c r="H141" s="132"/>
      <c r="I141" s="132"/>
      <c r="J141" s="131"/>
      <c r="K141" s="135"/>
      <c r="L141" s="135"/>
      <c r="M141" s="135"/>
      <c r="N141" s="132"/>
      <c r="O141" s="1"/>
      <c r="P141" s="1"/>
      <c r="Q141" s="1"/>
      <c r="R141" s="1"/>
      <c r="S141" s="131"/>
    </row>
    <row r="142" spans="1:19" ht="17.399999999999999">
      <c r="A142" s="132"/>
      <c r="B142" s="131"/>
      <c r="C142" s="132"/>
      <c r="D142" s="131"/>
      <c r="E142" s="132"/>
      <c r="F142" s="132"/>
      <c r="G142" s="132"/>
      <c r="H142" s="132"/>
      <c r="I142" s="132"/>
      <c r="J142" s="131"/>
      <c r="K142" s="135"/>
      <c r="L142" s="135"/>
      <c r="M142" s="135"/>
      <c r="N142" s="132"/>
      <c r="O142" s="1"/>
      <c r="P142" s="1"/>
      <c r="Q142" s="1"/>
      <c r="R142" s="1"/>
      <c r="S142" s="131"/>
    </row>
    <row r="143" spans="1:19" ht="17.399999999999999">
      <c r="A143" s="132"/>
      <c r="B143" s="131"/>
      <c r="C143" s="132"/>
      <c r="D143" s="131"/>
      <c r="E143" s="132"/>
      <c r="F143" s="132"/>
      <c r="G143" s="132"/>
      <c r="H143" s="132"/>
      <c r="I143" s="132"/>
      <c r="J143" s="131"/>
      <c r="K143" s="135"/>
      <c r="L143" s="135"/>
      <c r="M143" s="135"/>
      <c r="N143" s="132"/>
      <c r="O143" s="1"/>
      <c r="P143" s="1"/>
      <c r="Q143" s="1"/>
      <c r="R143" s="1"/>
      <c r="S143" s="131"/>
    </row>
    <row r="144" spans="1:19" ht="17.399999999999999">
      <c r="A144" s="132"/>
      <c r="B144" s="131"/>
      <c r="C144" s="132"/>
      <c r="D144" s="131"/>
      <c r="E144" s="132"/>
      <c r="F144" s="132"/>
      <c r="G144" s="132"/>
      <c r="H144" s="132"/>
      <c r="I144" s="132"/>
      <c r="J144" s="131"/>
      <c r="K144" s="135"/>
      <c r="L144" s="135"/>
      <c r="M144" s="135"/>
      <c r="N144" s="132"/>
      <c r="O144" s="1"/>
      <c r="P144" s="1"/>
      <c r="Q144" s="1"/>
      <c r="R144" s="1"/>
      <c r="S144" s="131"/>
    </row>
    <row r="145" spans="1:19" ht="17.399999999999999">
      <c r="A145" s="132"/>
      <c r="B145" s="131"/>
      <c r="C145" s="132"/>
      <c r="D145" s="131"/>
      <c r="E145" s="132"/>
      <c r="F145" s="132"/>
      <c r="G145" s="132"/>
      <c r="H145" s="132"/>
      <c r="I145" s="132"/>
      <c r="J145" s="131"/>
      <c r="K145" s="135"/>
      <c r="L145" s="135"/>
      <c r="M145" s="135"/>
      <c r="N145" s="132"/>
      <c r="O145" s="1"/>
      <c r="P145" s="1"/>
      <c r="Q145" s="1"/>
      <c r="R145" s="1"/>
      <c r="S145" s="131"/>
    </row>
    <row r="146" spans="1:19" ht="17.399999999999999">
      <c r="A146" s="132"/>
      <c r="B146" s="131"/>
      <c r="C146" s="132"/>
      <c r="D146" s="131"/>
      <c r="E146" s="132"/>
      <c r="F146" s="132"/>
      <c r="G146" s="132"/>
      <c r="H146" s="132"/>
      <c r="I146" s="132"/>
      <c r="J146" s="131"/>
      <c r="K146" s="135"/>
      <c r="L146" s="135"/>
      <c r="M146" s="135"/>
      <c r="N146" s="132"/>
      <c r="O146" s="1"/>
      <c r="P146" s="1"/>
      <c r="Q146" s="1"/>
      <c r="R146" s="1"/>
      <c r="S146" s="131"/>
    </row>
    <row r="147" spans="1:19" ht="17.399999999999999">
      <c r="A147" s="132"/>
      <c r="B147" s="131"/>
      <c r="C147" s="132"/>
      <c r="D147" s="131"/>
      <c r="E147" s="132"/>
      <c r="F147" s="132"/>
      <c r="G147" s="132"/>
      <c r="H147" s="132"/>
      <c r="I147" s="132"/>
      <c r="J147" s="131"/>
      <c r="K147" s="135"/>
      <c r="L147" s="135"/>
      <c r="M147" s="135"/>
      <c r="N147" s="132"/>
      <c r="O147" s="1"/>
      <c r="P147" s="1"/>
      <c r="Q147" s="1"/>
      <c r="R147" s="1"/>
      <c r="S147" s="131"/>
    </row>
    <row r="148" spans="1:19" ht="17.399999999999999">
      <c r="A148" s="132"/>
      <c r="B148" s="131"/>
      <c r="C148" s="132"/>
      <c r="D148" s="131"/>
      <c r="E148" s="132"/>
      <c r="F148" s="132"/>
      <c r="G148" s="132"/>
      <c r="H148" s="132"/>
      <c r="I148" s="132"/>
      <c r="J148" s="131"/>
      <c r="K148" s="135"/>
      <c r="L148" s="135"/>
      <c r="M148" s="135"/>
      <c r="N148" s="132"/>
      <c r="O148" s="1"/>
      <c r="P148" s="1"/>
      <c r="Q148" s="1"/>
      <c r="R148" s="1"/>
      <c r="S148" s="131"/>
    </row>
    <row r="149" spans="1:19" ht="17.399999999999999">
      <c r="A149" s="132"/>
      <c r="B149" s="131"/>
      <c r="C149" s="132"/>
      <c r="D149" s="131"/>
      <c r="E149" s="132"/>
      <c r="F149" s="132"/>
      <c r="G149" s="132"/>
      <c r="H149" s="132"/>
      <c r="I149" s="132"/>
      <c r="J149" s="131"/>
      <c r="K149" s="135"/>
      <c r="L149" s="135"/>
      <c r="M149" s="135"/>
      <c r="N149" s="132"/>
      <c r="O149" s="1"/>
      <c r="P149" s="1"/>
      <c r="Q149" s="1"/>
      <c r="R149" s="1"/>
      <c r="S149" s="131"/>
    </row>
    <row r="150" spans="1:19" ht="17.399999999999999">
      <c r="A150" s="132"/>
      <c r="B150" s="131"/>
      <c r="C150" s="132"/>
      <c r="D150" s="131"/>
      <c r="E150" s="132"/>
      <c r="F150" s="132"/>
      <c r="G150" s="132"/>
      <c r="H150" s="132"/>
      <c r="I150" s="132"/>
      <c r="J150" s="131"/>
      <c r="K150" s="135"/>
      <c r="L150" s="135"/>
      <c r="M150" s="135"/>
      <c r="N150" s="132"/>
      <c r="O150" s="1"/>
      <c r="P150" s="1"/>
      <c r="Q150" s="1"/>
      <c r="R150" s="1"/>
      <c r="S150" s="131"/>
    </row>
    <row r="151" spans="1:19" ht="17.399999999999999">
      <c r="A151" s="132"/>
      <c r="B151" s="131"/>
      <c r="C151" s="132"/>
      <c r="D151" s="131"/>
      <c r="E151" s="132"/>
      <c r="F151" s="132"/>
      <c r="G151" s="132"/>
      <c r="H151" s="132"/>
      <c r="I151" s="132"/>
      <c r="J151" s="131"/>
      <c r="K151" s="135"/>
      <c r="L151" s="135"/>
      <c r="M151" s="135"/>
      <c r="N151" s="132"/>
      <c r="O151" s="1"/>
      <c r="P151" s="1"/>
      <c r="Q151" s="1"/>
      <c r="R151" s="1"/>
      <c r="S151" s="131"/>
    </row>
    <row r="152" spans="1:19" ht="17.399999999999999">
      <c r="A152" s="132"/>
      <c r="B152" s="131"/>
      <c r="C152" s="132"/>
      <c r="D152" s="131"/>
      <c r="E152" s="132"/>
      <c r="F152" s="132"/>
      <c r="G152" s="132"/>
      <c r="H152" s="132"/>
      <c r="I152" s="132"/>
      <c r="J152" s="131"/>
      <c r="K152" s="135"/>
      <c r="L152" s="135"/>
      <c r="M152" s="135"/>
      <c r="N152" s="132"/>
      <c r="O152" s="1"/>
      <c r="P152" s="1"/>
      <c r="Q152" s="1"/>
      <c r="R152" s="1"/>
      <c r="S152" s="131"/>
    </row>
    <row r="153" spans="1:19" ht="17.399999999999999">
      <c r="A153" s="132"/>
      <c r="B153" s="131"/>
      <c r="C153" s="132"/>
      <c r="D153" s="131"/>
      <c r="E153" s="132"/>
      <c r="F153" s="132"/>
      <c r="G153" s="132"/>
      <c r="H153" s="132"/>
      <c r="I153" s="132"/>
      <c r="J153" s="131"/>
      <c r="K153" s="135"/>
      <c r="L153" s="135"/>
      <c r="M153" s="135"/>
      <c r="N153" s="132"/>
      <c r="O153" s="1"/>
      <c r="P153" s="1"/>
      <c r="Q153" s="1"/>
      <c r="R153" s="1"/>
      <c r="S153" s="131"/>
    </row>
    <row r="154" spans="1:19" ht="17.399999999999999">
      <c r="A154" s="132"/>
      <c r="B154" s="494" t="s">
        <v>115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135"/>
      <c r="M154" s="135"/>
      <c r="N154" s="132"/>
      <c r="O154" s="1"/>
      <c r="P154" s="1"/>
      <c r="Q154" s="1"/>
      <c r="R154" s="1"/>
      <c r="S154" s="131"/>
    </row>
    <row r="155" spans="1:19" ht="17.399999999999999">
      <c r="A155" s="132"/>
      <c r="B155" s="494" t="s">
        <v>116</v>
      </c>
      <c r="C155" s="493"/>
      <c r="D155" s="493"/>
      <c r="E155" s="493"/>
      <c r="F155" s="493"/>
      <c r="G155" s="493"/>
      <c r="H155" s="493"/>
      <c r="I155" s="132"/>
      <c r="J155" s="131"/>
      <c r="K155" s="135"/>
      <c r="L155" s="135"/>
      <c r="M155" s="135"/>
      <c r="N155" s="132"/>
      <c r="O155" s="1"/>
      <c r="P155" s="1"/>
      <c r="Q155" s="1"/>
      <c r="R155" s="1"/>
      <c r="S155" s="131"/>
    </row>
    <row r="156" spans="1:19" ht="17.399999999999999">
      <c r="A156" s="132"/>
      <c r="B156" s="494" t="s">
        <v>117</v>
      </c>
      <c r="C156" s="493"/>
      <c r="D156" s="131"/>
      <c r="E156" s="132"/>
      <c r="F156" s="132"/>
      <c r="G156" s="132"/>
      <c r="H156" s="132"/>
      <c r="I156" s="132"/>
      <c r="J156" s="131"/>
      <c r="K156" s="135"/>
      <c r="L156" s="135"/>
      <c r="M156" s="135"/>
      <c r="N156" s="132"/>
      <c r="O156" s="1"/>
      <c r="P156" s="1"/>
      <c r="Q156" s="1"/>
      <c r="R156" s="1"/>
      <c r="S156" s="131"/>
    </row>
    <row r="157" spans="1:19" ht="17.399999999999999">
      <c r="A157" s="132"/>
      <c r="B157" s="131"/>
      <c r="C157" s="132"/>
      <c r="D157" s="131"/>
      <c r="E157" s="132"/>
      <c r="F157" s="132"/>
      <c r="G157" s="132"/>
      <c r="H157" s="132"/>
      <c r="I157" s="132"/>
      <c r="J157" s="131"/>
      <c r="K157" s="135"/>
      <c r="L157" s="135"/>
      <c r="M157" s="135"/>
      <c r="N157" s="132"/>
      <c r="O157" s="1"/>
      <c r="P157" s="1"/>
      <c r="Q157" s="1"/>
      <c r="R157" s="1"/>
      <c r="S157" s="131"/>
    </row>
    <row r="158" spans="1:19" ht="20.399999999999999">
      <c r="A158" s="132"/>
      <c r="B158" s="140" t="s">
        <v>118</v>
      </c>
      <c r="C158" s="494" t="s">
        <v>119</v>
      </c>
      <c r="D158" s="493"/>
      <c r="E158" s="493"/>
      <c r="F158" s="493"/>
      <c r="G158" s="493"/>
      <c r="H158" s="493"/>
      <c r="I158" s="493"/>
      <c r="J158" s="132"/>
      <c r="K158" s="134"/>
      <c r="L158" s="134"/>
      <c r="M158" s="134"/>
      <c r="N158" s="132"/>
      <c r="O158" s="1"/>
      <c r="P158" s="1"/>
      <c r="Q158" s="1"/>
      <c r="R158" s="1"/>
      <c r="S158" s="132"/>
    </row>
    <row r="159" spans="1:19" ht="17.399999999999999">
      <c r="A159" s="132"/>
      <c r="B159" s="496" t="s">
        <v>120</v>
      </c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135"/>
      <c r="N159" s="132"/>
      <c r="O159" s="1"/>
      <c r="P159" s="1"/>
      <c r="Q159" s="1"/>
      <c r="R159" s="1"/>
      <c r="S159" s="131"/>
    </row>
    <row r="160" spans="1:19" ht="17.399999999999999">
      <c r="A160" s="132"/>
      <c r="B160" s="494" t="s">
        <v>121</v>
      </c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135"/>
      <c r="N160" s="132"/>
      <c r="O160" s="1"/>
      <c r="P160" s="1"/>
      <c r="Q160" s="1"/>
      <c r="R160" s="1"/>
      <c r="S160" s="132"/>
    </row>
    <row r="161" spans="1:19" ht="17.399999999999999">
      <c r="A161" s="132"/>
      <c r="B161" s="494" t="s">
        <v>122</v>
      </c>
      <c r="C161" s="493"/>
      <c r="D161" s="493"/>
      <c r="E161" s="493"/>
      <c r="F161" s="493"/>
      <c r="G161" s="493"/>
      <c r="H161" s="1"/>
      <c r="I161" s="1"/>
      <c r="J161" s="131"/>
      <c r="K161" s="135"/>
      <c r="L161" s="135"/>
      <c r="M161" s="135"/>
      <c r="N161" s="132"/>
      <c r="O161" s="1"/>
      <c r="P161" s="1"/>
      <c r="Q161" s="1"/>
      <c r="R161" s="1"/>
      <c r="S161" s="132"/>
    </row>
    <row r="162" spans="1:19" ht="17.399999999999999">
      <c r="A162" s="132"/>
      <c r="B162" s="494" t="s">
        <v>123</v>
      </c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132"/>
      <c r="O162" s="1"/>
      <c r="P162" s="1"/>
      <c r="Q162" s="1"/>
      <c r="R162" s="1"/>
      <c r="S162" s="132"/>
    </row>
    <row r="163" spans="1:19" ht="17.399999999999999">
      <c r="A163" s="132"/>
      <c r="B163" s="494" t="s">
        <v>124</v>
      </c>
      <c r="C163" s="493"/>
      <c r="D163" s="493"/>
      <c r="E163" s="493"/>
      <c r="F163" s="1"/>
      <c r="G163" s="1"/>
      <c r="H163" s="1"/>
      <c r="I163" s="1"/>
      <c r="J163" s="131"/>
      <c r="K163" s="135"/>
      <c r="L163" s="135"/>
      <c r="M163" s="135"/>
      <c r="N163" s="132"/>
      <c r="O163" s="1"/>
      <c r="P163" s="1"/>
      <c r="Q163" s="1"/>
      <c r="R163" s="1"/>
      <c r="S163" s="132"/>
    </row>
    <row r="164" spans="1:19" ht="17.399999999999999">
      <c r="A164" s="132"/>
      <c r="B164" s="494" t="s">
        <v>125</v>
      </c>
      <c r="C164" s="493"/>
      <c r="D164" s="493"/>
      <c r="E164" s="493"/>
      <c r="F164" s="493"/>
      <c r="G164" s="493"/>
      <c r="H164" s="493"/>
      <c r="I164" s="493"/>
      <c r="J164" s="493"/>
      <c r="K164" s="493"/>
      <c r="L164" s="135"/>
      <c r="M164" s="135"/>
      <c r="N164" s="132"/>
      <c r="O164" s="1"/>
      <c r="P164" s="1"/>
      <c r="Q164" s="1"/>
      <c r="R164" s="1"/>
      <c r="S164" s="132"/>
    </row>
    <row r="165" spans="1:19" ht="17.399999999999999">
      <c r="A165" s="132"/>
      <c r="B165" s="494" t="s">
        <v>126</v>
      </c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132"/>
      <c r="O165" s="1"/>
      <c r="P165" s="1"/>
      <c r="Q165" s="1"/>
      <c r="R165" s="1"/>
      <c r="S165" s="132"/>
    </row>
    <row r="166" spans="1:19" ht="17.399999999999999">
      <c r="A166" s="132"/>
      <c r="B166" s="494" t="s">
        <v>127</v>
      </c>
      <c r="C166" s="493"/>
      <c r="D166" s="493"/>
      <c r="E166" s="493"/>
      <c r="F166" s="493"/>
      <c r="G166" s="493"/>
      <c r="H166" s="493"/>
      <c r="I166" s="493"/>
      <c r="J166" s="493"/>
      <c r="K166" s="135"/>
      <c r="L166" s="135"/>
      <c r="M166" s="135"/>
      <c r="N166" s="132"/>
      <c r="O166" s="1"/>
      <c r="P166" s="1"/>
      <c r="Q166" s="1"/>
      <c r="R166" s="1"/>
      <c r="S166" s="132"/>
    </row>
    <row r="167" spans="1:19" ht="17.399999999999999">
      <c r="A167" s="132"/>
      <c r="B167" s="494" t="s">
        <v>128</v>
      </c>
      <c r="C167" s="493"/>
      <c r="D167" s="493"/>
      <c r="E167" s="493"/>
      <c r="F167" s="1"/>
      <c r="G167" s="1"/>
      <c r="H167" s="1"/>
      <c r="I167" s="1"/>
      <c r="J167" s="131"/>
      <c r="K167" s="135"/>
      <c r="L167" s="135"/>
      <c r="M167" s="135"/>
      <c r="N167" s="132"/>
      <c r="O167" s="1"/>
      <c r="P167" s="1"/>
      <c r="Q167" s="1"/>
      <c r="R167" s="1"/>
      <c r="S167" s="132"/>
    </row>
    <row r="168" spans="1:19" ht="17.399999999999999">
      <c r="A168" s="132"/>
      <c r="B168" s="494" t="s">
        <v>129</v>
      </c>
      <c r="C168" s="493"/>
      <c r="D168" s="493"/>
      <c r="E168" s="132"/>
      <c r="F168" s="1"/>
      <c r="G168" s="1"/>
      <c r="H168" s="1"/>
      <c r="I168" s="1"/>
      <c r="J168" s="131"/>
      <c r="K168" s="135"/>
      <c r="L168" s="135"/>
      <c r="M168" s="135"/>
      <c r="N168" s="132"/>
      <c r="O168" s="1"/>
      <c r="P168" s="1"/>
      <c r="Q168" s="1"/>
      <c r="R168" s="1"/>
      <c r="S168" s="132"/>
    </row>
    <row r="169" spans="1:19" ht="17.399999999999999">
      <c r="A169" s="132"/>
      <c r="B169" s="136" t="s">
        <v>130</v>
      </c>
      <c r="C169" s="132"/>
      <c r="D169" s="131"/>
      <c r="E169" s="132"/>
      <c r="F169" s="1"/>
      <c r="G169" s="1"/>
      <c r="H169" s="1"/>
      <c r="I169" s="1"/>
      <c r="J169" s="131"/>
      <c r="K169" s="135"/>
      <c r="L169" s="135"/>
      <c r="M169" s="135"/>
      <c r="N169" s="132"/>
      <c r="O169" s="1"/>
      <c r="P169" s="1"/>
      <c r="Q169" s="1"/>
      <c r="R169" s="1"/>
      <c r="S169" s="132"/>
    </row>
    <row r="170" spans="1:19" ht="17.399999999999999">
      <c r="A170" s="132"/>
      <c r="B170" s="494" t="s">
        <v>131</v>
      </c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132"/>
      <c r="O170" s="1"/>
      <c r="P170" s="1"/>
      <c r="Q170" s="1"/>
      <c r="R170" s="1"/>
      <c r="S170" s="132"/>
    </row>
    <row r="171" spans="1:19" ht="17.399999999999999">
      <c r="A171" s="132"/>
      <c r="B171" s="494" t="s">
        <v>132</v>
      </c>
      <c r="C171" s="493"/>
      <c r="D171" s="493"/>
      <c r="E171" s="493"/>
      <c r="F171" s="493"/>
      <c r="G171" s="493"/>
      <c r="H171" s="493"/>
      <c r="I171" s="493"/>
      <c r="J171" s="493"/>
      <c r="K171" s="135"/>
      <c r="L171" s="135"/>
      <c r="M171" s="135"/>
      <c r="N171" s="132"/>
      <c r="O171" s="1"/>
      <c r="P171" s="1"/>
      <c r="Q171" s="1"/>
      <c r="R171" s="1"/>
      <c r="S171" s="132"/>
    </row>
    <row r="172" spans="1:19" ht="17.399999999999999">
      <c r="A172" s="132"/>
      <c r="B172" s="136"/>
      <c r="C172" s="132"/>
      <c r="D172" s="131"/>
      <c r="E172" s="132"/>
      <c r="F172" s="1"/>
      <c r="G172" s="1"/>
      <c r="H172" s="1"/>
      <c r="I172" s="1"/>
      <c r="J172" s="131"/>
      <c r="K172" s="135"/>
      <c r="L172" s="135"/>
      <c r="M172" s="135"/>
      <c r="N172" s="132"/>
      <c r="O172" s="1"/>
      <c r="P172" s="1"/>
      <c r="Q172" s="1"/>
      <c r="R172" s="1"/>
      <c r="S172" s="132"/>
    </row>
    <row r="173" spans="1:19" ht="17.399999999999999">
      <c r="A173" s="132"/>
      <c r="B173" s="136"/>
      <c r="C173" s="132"/>
      <c r="D173" s="131"/>
      <c r="E173" s="132"/>
      <c r="F173" s="1"/>
      <c r="G173" s="1"/>
      <c r="H173" s="1"/>
      <c r="I173" s="1"/>
      <c r="J173" s="131"/>
      <c r="K173" s="135"/>
      <c r="L173" s="135"/>
      <c r="M173" s="135"/>
      <c r="N173" s="132"/>
      <c r="O173" s="1"/>
      <c r="P173" s="1"/>
      <c r="Q173" s="1"/>
      <c r="R173" s="1"/>
      <c r="S173" s="132"/>
    </row>
    <row r="174" spans="1:19" ht="17.399999999999999">
      <c r="A174" s="132"/>
      <c r="B174" s="136"/>
      <c r="C174" s="132"/>
      <c r="D174" s="131"/>
      <c r="E174" s="132"/>
      <c r="F174" s="1"/>
      <c r="G174" s="1"/>
      <c r="H174" s="1"/>
      <c r="I174" s="1"/>
      <c r="J174" s="131"/>
      <c r="K174" s="135"/>
      <c r="L174" s="135"/>
      <c r="M174" s="135"/>
      <c r="N174" s="132"/>
      <c r="O174" s="1"/>
      <c r="P174" s="1"/>
      <c r="Q174" s="1"/>
      <c r="R174" s="1"/>
      <c r="S174" s="132"/>
    </row>
    <row r="175" spans="1:19" ht="17.399999999999999">
      <c r="A175" s="132"/>
      <c r="B175" s="136"/>
      <c r="C175" s="132"/>
      <c r="D175" s="131"/>
      <c r="E175" s="132"/>
      <c r="F175" s="1"/>
      <c r="G175" s="1"/>
      <c r="H175" s="1"/>
      <c r="I175" s="1"/>
      <c r="J175" s="131"/>
      <c r="K175" s="135"/>
      <c r="L175" s="135"/>
      <c r="M175" s="135"/>
      <c r="N175" s="132"/>
      <c r="O175" s="1"/>
      <c r="P175" s="1"/>
      <c r="Q175" s="1"/>
      <c r="R175" s="1"/>
      <c r="S175" s="132"/>
    </row>
    <row r="176" spans="1:19" ht="17.399999999999999">
      <c r="A176" s="132"/>
      <c r="B176" s="136"/>
      <c r="C176" s="132"/>
      <c r="D176" s="131"/>
      <c r="E176" s="132"/>
      <c r="F176" s="1"/>
      <c r="G176" s="1"/>
      <c r="H176" s="1"/>
      <c r="I176" s="1"/>
      <c r="J176" s="131"/>
      <c r="K176" s="135"/>
      <c r="L176" s="135"/>
      <c r="M176" s="135"/>
      <c r="N176" s="132"/>
      <c r="O176" s="1"/>
      <c r="P176" s="1"/>
      <c r="Q176" s="1"/>
      <c r="R176" s="1"/>
      <c r="S176" s="132"/>
    </row>
    <row r="177" spans="1:19" ht="17.399999999999999">
      <c r="A177" s="132"/>
      <c r="B177" s="136"/>
      <c r="C177" s="132"/>
      <c r="D177" s="131"/>
      <c r="E177" s="132"/>
      <c r="F177" s="1"/>
      <c r="G177" s="1"/>
      <c r="H177" s="1"/>
      <c r="I177" s="1"/>
      <c r="J177" s="131"/>
      <c r="K177" s="135"/>
      <c r="L177" s="135"/>
      <c r="M177" s="135"/>
      <c r="N177" s="132"/>
      <c r="O177" s="1"/>
      <c r="P177" s="1"/>
      <c r="Q177" s="1"/>
      <c r="R177" s="1"/>
      <c r="S177" s="132"/>
    </row>
    <row r="178" spans="1:19" ht="17.399999999999999">
      <c r="A178" s="132"/>
      <c r="B178" s="136"/>
      <c r="C178" s="132"/>
      <c r="D178" s="131"/>
      <c r="E178" s="132"/>
      <c r="F178" s="1"/>
      <c r="G178" s="1"/>
      <c r="H178" s="1"/>
      <c r="I178" s="1"/>
      <c r="J178" s="131"/>
      <c r="K178" s="135"/>
      <c r="L178" s="135"/>
      <c r="M178" s="135"/>
      <c r="N178" s="132"/>
      <c r="O178" s="1"/>
      <c r="P178" s="1"/>
      <c r="Q178" s="1"/>
      <c r="R178" s="1"/>
      <c r="S178" s="132"/>
    </row>
    <row r="179" spans="1:19" ht="17.399999999999999">
      <c r="A179" s="132"/>
      <c r="B179" s="136"/>
      <c r="C179" s="132"/>
      <c r="D179" s="131"/>
      <c r="E179" s="132"/>
      <c r="F179" s="1"/>
      <c r="G179" s="1"/>
      <c r="H179" s="1"/>
      <c r="I179" s="1"/>
      <c r="J179" s="131"/>
      <c r="K179" s="135"/>
      <c r="L179" s="135"/>
      <c r="M179" s="135"/>
      <c r="N179" s="132"/>
      <c r="O179" s="1"/>
      <c r="P179" s="1"/>
      <c r="Q179" s="1"/>
      <c r="R179" s="1"/>
      <c r="S179" s="132"/>
    </row>
    <row r="180" spans="1:19" ht="17.399999999999999">
      <c r="A180" s="132"/>
      <c r="B180" s="136"/>
      <c r="C180" s="132"/>
      <c r="D180" s="131"/>
      <c r="E180" s="132"/>
      <c r="F180" s="1"/>
      <c r="G180" s="1"/>
      <c r="H180" s="1"/>
      <c r="I180" s="1"/>
      <c r="J180" s="131"/>
      <c r="K180" s="135"/>
      <c r="L180" s="135"/>
      <c r="M180" s="135"/>
      <c r="N180" s="132"/>
      <c r="O180" s="1"/>
      <c r="P180" s="1"/>
      <c r="Q180" s="1"/>
      <c r="R180" s="1"/>
      <c r="S180" s="132"/>
    </row>
    <row r="181" spans="1:19" ht="17.399999999999999">
      <c r="A181" s="132"/>
      <c r="B181" s="136"/>
      <c r="C181" s="132"/>
      <c r="D181" s="131"/>
      <c r="E181" s="132"/>
      <c r="F181" s="1"/>
      <c r="G181" s="1"/>
      <c r="H181" s="1"/>
      <c r="I181" s="1"/>
      <c r="J181" s="131"/>
      <c r="K181" s="135"/>
      <c r="L181" s="135"/>
      <c r="M181" s="135"/>
      <c r="N181" s="132"/>
      <c r="O181" s="1"/>
      <c r="P181" s="1"/>
      <c r="Q181" s="1"/>
      <c r="R181" s="1"/>
      <c r="S181" s="132"/>
    </row>
    <row r="182" spans="1:19" ht="17.399999999999999">
      <c r="A182" s="132"/>
      <c r="B182" s="136"/>
      <c r="C182" s="132"/>
      <c r="D182" s="131"/>
      <c r="E182" s="132"/>
      <c r="F182" s="1"/>
      <c r="G182" s="1"/>
      <c r="H182" s="1"/>
      <c r="I182" s="1"/>
      <c r="J182" s="131"/>
      <c r="K182" s="135"/>
      <c r="L182" s="135"/>
      <c r="M182" s="135"/>
      <c r="N182" s="132"/>
      <c r="O182" s="1"/>
      <c r="P182" s="1"/>
      <c r="Q182" s="1"/>
      <c r="R182" s="1"/>
      <c r="S182" s="132"/>
    </row>
    <row r="183" spans="1:19" ht="17.399999999999999">
      <c r="A183" s="132"/>
      <c r="B183" s="136"/>
      <c r="C183" s="132"/>
      <c r="D183" s="131"/>
      <c r="E183" s="132"/>
      <c r="F183" s="1"/>
      <c r="G183" s="1"/>
      <c r="H183" s="1"/>
      <c r="I183" s="1"/>
      <c r="J183" s="131"/>
      <c r="K183" s="135"/>
      <c r="L183" s="135"/>
      <c r="M183" s="135"/>
      <c r="N183" s="132"/>
      <c r="O183" s="1"/>
      <c r="P183" s="1"/>
      <c r="Q183" s="1"/>
      <c r="R183" s="1"/>
      <c r="S183" s="132"/>
    </row>
    <row r="184" spans="1:19" ht="17.399999999999999">
      <c r="A184" s="132"/>
      <c r="B184" s="136"/>
      <c r="C184" s="132"/>
      <c r="D184" s="131"/>
      <c r="E184" s="132"/>
      <c r="F184" s="1"/>
      <c r="G184" s="1"/>
      <c r="H184" s="1"/>
      <c r="I184" s="1"/>
      <c r="J184" s="131"/>
      <c r="K184" s="135"/>
      <c r="L184" s="135"/>
      <c r="M184" s="135"/>
      <c r="N184" s="132"/>
      <c r="O184" s="1"/>
      <c r="P184" s="1"/>
      <c r="Q184" s="1"/>
      <c r="R184" s="1"/>
      <c r="S184" s="132"/>
    </row>
    <row r="185" spans="1:19" ht="17.399999999999999">
      <c r="A185" s="132"/>
      <c r="B185" s="136"/>
      <c r="C185" s="132"/>
      <c r="D185" s="131"/>
      <c r="E185" s="132"/>
      <c r="F185" s="1"/>
      <c r="G185" s="1"/>
      <c r="H185" s="1"/>
      <c r="I185" s="1"/>
      <c r="J185" s="131"/>
      <c r="K185" s="135"/>
      <c r="L185" s="135"/>
      <c r="M185" s="135"/>
      <c r="N185" s="132"/>
      <c r="O185" s="1"/>
      <c r="P185" s="1"/>
      <c r="Q185" s="1"/>
      <c r="R185" s="1"/>
      <c r="S185" s="132"/>
    </row>
    <row r="186" spans="1:19" ht="17.399999999999999">
      <c r="A186" s="132"/>
      <c r="B186" s="136"/>
      <c r="C186" s="132"/>
      <c r="D186" s="131"/>
      <c r="E186" s="132"/>
      <c r="F186" s="1"/>
      <c r="G186" s="1"/>
      <c r="H186" s="1"/>
      <c r="I186" s="1"/>
      <c r="J186" s="131"/>
      <c r="K186" s="135"/>
      <c r="L186" s="135"/>
      <c r="M186" s="135"/>
      <c r="N186" s="132"/>
      <c r="O186" s="1"/>
      <c r="P186" s="1"/>
      <c r="Q186" s="1"/>
      <c r="R186" s="1"/>
      <c r="S186" s="132"/>
    </row>
    <row r="187" spans="1:19" ht="17.399999999999999">
      <c r="A187" s="132"/>
      <c r="B187" s="136"/>
      <c r="C187" s="132"/>
      <c r="D187" s="131"/>
      <c r="E187" s="132"/>
      <c r="F187" s="1"/>
      <c r="G187" s="1"/>
      <c r="H187" s="1"/>
      <c r="I187" s="1"/>
      <c r="J187" s="131"/>
      <c r="K187" s="135"/>
      <c r="L187" s="135"/>
      <c r="M187" s="135"/>
      <c r="N187" s="132"/>
      <c r="O187" s="1"/>
      <c r="P187" s="1"/>
      <c r="Q187" s="1"/>
      <c r="R187" s="1"/>
      <c r="S187" s="132"/>
    </row>
    <row r="188" spans="1:19" ht="17.399999999999999">
      <c r="A188" s="132"/>
      <c r="B188" s="136"/>
      <c r="C188" s="132"/>
      <c r="D188" s="131"/>
      <c r="E188" s="132"/>
      <c r="F188" s="1"/>
      <c r="G188" s="1"/>
      <c r="H188" s="1"/>
      <c r="I188" s="1"/>
      <c r="J188" s="131"/>
      <c r="K188" s="135"/>
      <c r="L188" s="135"/>
      <c r="M188" s="135"/>
      <c r="N188" s="132"/>
      <c r="O188" s="1"/>
      <c r="P188" s="1"/>
      <c r="Q188" s="1"/>
      <c r="R188" s="1"/>
      <c r="S188" s="132"/>
    </row>
    <row r="189" spans="1:19" ht="17.399999999999999">
      <c r="A189" s="132"/>
      <c r="B189" s="136"/>
      <c r="C189" s="132"/>
      <c r="D189" s="131"/>
      <c r="E189" s="132"/>
      <c r="F189" s="1"/>
      <c r="G189" s="1"/>
      <c r="H189" s="1"/>
      <c r="I189" s="1"/>
      <c r="J189" s="131"/>
      <c r="K189" s="135"/>
      <c r="L189" s="135"/>
      <c r="M189" s="135"/>
      <c r="N189" s="132"/>
      <c r="O189" s="1"/>
      <c r="P189" s="1"/>
      <c r="Q189" s="1"/>
      <c r="R189" s="1"/>
      <c r="S189" s="132"/>
    </row>
    <row r="190" spans="1:19" ht="17.399999999999999">
      <c r="A190" s="132"/>
      <c r="B190" s="136"/>
      <c r="C190" s="132"/>
      <c r="D190" s="131"/>
      <c r="E190" s="132"/>
      <c r="F190" s="1"/>
      <c r="G190" s="1"/>
      <c r="H190" s="1"/>
      <c r="I190" s="1"/>
      <c r="J190" s="131"/>
      <c r="K190" s="135"/>
      <c r="L190" s="135"/>
      <c r="M190" s="135"/>
      <c r="N190" s="132"/>
      <c r="O190" s="1"/>
      <c r="P190" s="1"/>
      <c r="Q190" s="1"/>
      <c r="R190" s="1"/>
      <c r="S190" s="132"/>
    </row>
    <row r="191" spans="1:19" ht="17.399999999999999">
      <c r="A191" s="132"/>
      <c r="B191" s="141" t="s">
        <v>133</v>
      </c>
      <c r="C191" s="28" t="s">
        <v>134</v>
      </c>
      <c r="D191" s="6" t="s">
        <v>135</v>
      </c>
      <c r="E191" s="27"/>
      <c r="F191" s="6"/>
      <c r="G191" s="6"/>
      <c r="H191" s="6"/>
      <c r="I191" s="6"/>
      <c r="J191" s="16" t="s">
        <v>22</v>
      </c>
      <c r="K191" s="19"/>
      <c r="L191" s="19"/>
      <c r="M191" s="142"/>
      <c r="N191" s="27"/>
      <c r="O191" s="6"/>
      <c r="P191" s="6"/>
      <c r="Q191" s="6"/>
      <c r="R191" s="6"/>
      <c r="S191" s="131" t="s">
        <v>22</v>
      </c>
    </row>
    <row r="192" spans="1:19" ht="17.399999999999999">
      <c r="A192" s="132"/>
      <c r="B192" s="143" t="s">
        <v>136</v>
      </c>
      <c r="C192" s="144"/>
      <c r="D192" s="144"/>
      <c r="E192" s="144"/>
      <c r="F192" s="145"/>
      <c r="G192" s="145"/>
      <c r="H192" s="145"/>
      <c r="I192" s="145"/>
      <c r="J192" s="146"/>
      <c r="K192" s="147"/>
      <c r="L192" s="147"/>
      <c r="M192" s="148"/>
      <c r="N192" s="144"/>
      <c r="O192" s="144"/>
      <c r="P192" s="144"/>
      <c r="Q192" s="144"/>
      <c r="R192" s="144"/>
      <c r="S192" s="149"/>
    </row>
    <row r="193" spans="1:19" ht="17.399999999999999">
      <c r="A193" s="132"/>
      <c r="B193" s="143" t="s">
        <v>137</v>
      </c>
      <c r="C193" s="150"/>
      <c r="D193" s="144"/>
      <c r="E193" s="144"/>
      <c r="F193" s="145"/>
      <c r="G193" s="145"/>
      <c r="H193" s="145"/>
      <c r="I193" s="145"/>
      <c r="J193" s="146"/>
      <c r="K193" s="147"/>
      <c r="L193" s="147"/>
      <c r="M193" s="148"/>
      <c r="N193" s="144"/>
      <c r="O193" s="145"/>
      <c r="P193" s="145"/>
      <c r="Q193" s="145"/>
      <c r="R193" s="145"/>
      <c r="S193" s="151"/>
    </row>
    <row r="194" spans="1:19" ht="17.399999999999999">
      <c r="A194" s="132"/>
      <c r="B194" s="143" t="s">
        <v>138</v>
      </c>
      <c r="C194" s="150"/>
      <c r="D194" s="144"/>
      <c r="E194" s="144"/>
      <c r="F194" s="145"/>
      <c r="G194" s="145"/>
      <c r="H194" s="145"/>
      <c r="I194" s="145"/>
      <c r="J194" s="146"/>
      <c r="K194" s="147"/>
      <c r="L194" s="147"/>
      <c r="M194" s="148"/>
      <c r="N194" s="144"/>
      <c r="O194" s="145"/>
      <c r="P194" s="145"/>
      <c r="Q194" s="145"/>
      <c r="R194" s="145"/>
      <c r="S194" s="151"/>
    </row>
    <row r="195" spans="1:19" ht="17.399999999999999">
      <c r="A195" s="132"/>
      <c r="B195" s="152" t="s">
        <v>139</v>
      </c>
      <c r="C195" s="153"/>
      <c r="D195" s="154"/>
      <c r="E195" s="154"/>
      <c r="F195" s="155"/>
      <c r="G195" s="155"/>
      <c r="H195" s="155"/>
      <c r="I195" s="155"/>
      <c r="J195" s="156"/>
      <c r="K195" s="157"/>
      <c r="L195" s="157"/>
      <c r="M195" s="158"/>
      <c r="N195" s="154"/>
      <c r="O195" s="155"/>
      <c r="P195" s="155"/>
      <c r="Q195" s="155"/>
      <c r="R195" s="155"/>
      <c r="S195" s="159"/>
    </row>
    <row r="196" spans="1:19" ht="17.399999999999999">
      <c r="A196" s="132"/>
      <c r="B196" s="136"/>
      <c r="C196" s="132"/>
      <c r="D196" s="131"/>
      <c r="E196" s="132"/>
      <c r="F196" s="1"/>
      <c r="G196" s="1"/>
      <c r="H196" s="1"/>
      <c r="I196" s="1"/>
      <c r="J196" s="131"/>
      <c r="K196" s="135"/>
      <c r="L196" s="135"/>
      <c r="M196" s="135"/>
      <c r="N196" s="132"/>
      <c r="O196" s="1"/>
      <c r="P196" s="1"/>
      <c r="Q196" s="1"/>
      <c r="R196" s="1"/>
      <c r="S196" s="132"/>
    </row>
    <row r="197" spans="1:19" ht="17.399999999999999">
      <c r="A197" s="132"/>
      <c r="B197" s="141" t="s">
        <v>133</v>
      </c>
      <c r="C197" s="17" t="s">
        <v>140</v>
      </c>
      <c r="D197" s="6" t="s">
        <v>135</v>
      </c>
      <c r="E197" s="27"/>
      <c r="F197" s="6"/>
      <c r="G197" s="6"/>
      <c r="H197" s="6"/>
      <c r="I197" s="6"/>
      <c r="J197" s="16" t="s">
        <v>22</v>
      </c>
      <c r="K197" s="19"/>
      <c r="L197" s="19"/>
      <c r="M197" s="19"/>
      <c r="N197" s="17"/>
      <c r="O197" s="6"/>
      <c r="P197" s="6"/>
      <c r="Q197" s="6"/>
      <c r="R197" s="6"/>
      <c r="S197" s="131" t="s">
        <v>22</v>
      </c>
    </row>
    <row r="198" spans="1:19" ht="17.399999999999999">
      <c r="A198" s="132"/>
      <c r="B198" s="141" t="s">
        <v>141</v>
      </c>
      <c r="C198" s="27"/>
      <c r="D198" s="16"/>
      <c r="E198" s="27"/>
      <c r="F198" s="6"/>
      <c r="G198" s="6"/>
      <c r="H198" s="6"/>
      <c r="I198" s="6"/>
      <c r="J198" s="16"/>
      <c r="K198" s="19"/>
      <c r="L198" s="19"/>
      <c r="M198" s="19"/>
      <c r="N198" s="17"/>
      <c r="O198" s="6"/>
      <c r="P198" s="6"/>
      <c r="Q198" s="6"/>
      <c r="R198" s="6"/>
      <c r="S198" s="131"/>
    </row>
    <row r="199" spans="1:19" ht="17.399999999999999">
      <c r="A199" s="132"/>
      <c r="B199" s="143" t="s">
        <v>142</v>
      </c>
      <c r="C199" s="144"/>
      <c r="D199" s="146"/>
      <c r="E199" s="144"/>
      <c r="F199" s="145"/>
      <c r="G199" s="145"/>
      <c r="H199" s="145"/>
      <c r="I199" s="145"/>
      <c r="J199" s="146"/>
      <c r="K199" s="147"/>
      <c r="L199" s="147"/>
      <c r="M199" s="147"/>
      <c r="N199" s="160"/>
      <c r="O199" s="145"/>
      <c r="P199" s="145"/>
      <c r="Q199" s="145"/>
      <c r="R199" s="145"/>
      <c r="S199" s="151"/>
    </row>
    <row r="200" spans="1:19" ht="17.399999999999999">
      <c r="A200" s="132"/>
      <c r="B200" s="143" t="s">
        <v>137</v>
      </c>
      <c r="C200" s="144"/>
      <c r="D200" s="146"/>
      <c r="E200" s="144"/>
      <c r="F200" s="145"/>
      <c r="G200" s="145"/>
      <c r="H200" s="145"/>
      <c r="I200" s="145"/>
      <c r="J200" s="146"/>
      <c r="K200" s="147"/>
      <c r="L200" s="147"/>
      <c r="M200" s="147"/>
      <c r="N200" s="160"/>
      <c r="O200" s="145"/>
      <c r="P200" s="145"/>
      <c r="Q200" s="145"/>
      <c r="R200" s="145"/>
      <c r="S200" s="151"/>
    </row>
    <row r="201" spans="1:19" ht="17.399999999999999">
      <c r="A201" s="132"/>
      <c r="B201" s="143" t="s">
        <v>138</v>
      </c>
      <c r="C201" s="144"/>
      <c r="D201" s="146"/>
      <c r="E201" s="144"/>
      <c r="F201" s="145"/>
      <c r="G201" s="145"/>
      <c r="H201" s="145"/>
      <c r="I201" s="145"/>
      <c r="J201" s="146"/>
      <c r="K201" s="147"/>
      <c r="L201" s="147"/>
      <c r="M201" s="147"/>
      <c r="N201" s="160"/>
      <c r="O201" s="145"/>
      <c r="P201" s="145"/>
      <c r="Q201" s="145"/>
      <c r="R201" s="145"/>
      <c r="S201" s="151"/>
    </row>
    <row r="202" spans="1:19" ht="17.399999999999999">
      <c r="A202" s="132"/>
      <c r="B202" s="143" t="s">
        <v>139</v>
      </c>
      <c r="C202" s="144"/>
      <c r="D202" s="146"/>
      <c r="E202" s="144"/>
      <c r="F202" s="145"/>
      <c r="G202" s="145"/>
      <c r="H202" s="145"/>
      <c r="I202" s="145"/>
      <c r="J202" s="146"/>
      <c r="K202" s="147"/>
      <c r="L202" s="147"/>
      <c r="M202" s="147"/>
      <c r="N202" s="160"/>
      <c r="O202" s="145"/>
      <c r="P202" s="145"/>
      <c r="Q202" s="145"/>
      <c r="R202" s="145"/>
      <c r="S202" s="151"/>
    </row>
    <row r="203" spans="1:19" ht="17.399999999999999">
      <c r="A203" s="132"/>
      <c r="B203" s="136"/>
      <c r="C203" s="132"/>
      <c r="D203" s="131"/>
      <c r="E203" s="132"/>
      <c r="F203" s="1"/>
      <c r="G203" s="1"/>
      <c r="H203" s="1"/>
      <c r="I203" s="1"/>
      <c r="J203" s="131"/>
      <c r="K203" s="135"/>
      <c r="L203" s="135"/>
      <c r="M203" s="135"/>
      <c r="N203" s="132"/>
      <c r="O203" s="1"/>
      <c r="P203" s="1"/>
      <c r="Q203" s="1"/>
      <c r="R203" s="1"/>
      <c r="S203" s="132"/>
    </row>
    <row r="204" spans="1:19" ht="17.399999999999999">
      <c r="A204" s="132"/>
      <c r="B204" s="136"/>
      <c r="C204" s="132"/>
      <c r="D204" s="131"/>
      <c r="E204" s="132"/>
      <c r="F204" s="1"/>
      <c r="G204" s="1"/>
      <c r="H204" s="1"/>
      <c r="I204" s="1"/>
      <c r="J204" s="131"/>
      <c r="K204" s="135"/>
      <c r="L204" s="135"/>
      <c r="M204" s="135"/>
      <c r="N204" s="132"/>
      <c r="O204" s="1"/>
      <c r="P204" s="1"/>
      <c r="Q204" s="1"/>
      <c r="R204" s="1"/>
      <c r="S204" s="132"/>
    </row>
    <row r="205" spans="1:19" ht="17.399999999999999">
      <c r="A205" s="132"/>
      <c r="B205" s="136"/>
      <c r="C205" s="132"/>
      <c r="D205" s="131"/>
      <c r="E205" s="132"/>
      <c r="F205" s="1"/>
      <c r="G205" s="1"/>
      <c r="H205" s="1"/>
      <c r="I205" s="1"/>
      <c r="J205" s="131"/>
      <c r="K205" s="135"/>
      <c r="L205" s="135"/>
      <c r="M205" s="135"/>
      <c r="N205" s="132"/>
      <c r="O205" s="1"/>
      <c r="P205" s="1"/>
      <c r="Q205" s="1"/>
      <c r="R205" s="1"/>
      <c r="S205" s="132"/>
    </row>
    <row r="206" spans="1:19" ht="17.399999999999999">
      <c r="A206" s="132"/>
      <c r="B206" s="136"/>
      <c r="C206" s="132"/>
      <c r="D206" s="131"/>
      <c r="E206" s="132"/>
      <c r="F206" s="1"/>
      <c r="G206" s="1"/>
      <c r="H206" s="1"/>
      <c r="I206" s="1"/>
      <c r="J206" s="131"/>
      <c r="K206" s="135"/>
      <c r="L206" s="135"/>
      <c r="M206" s="135"/>
      <c r="N206" s="132"/>
      <c r="O206" s="1"/>
      <c r="P206" s="1"/>
      <c r="Q206" s="1"/>
      <c r="R206" s="1"/>
      <c r="S206" s="132"/>
    </row>
    <row r="207" spans="1:19" ht="17.399999999999999">
      <c r="A207" s="132"/>
      <c r="B207" s="136"/>
      <c r="C207" s="132"/>
      <c r="D207" s="131"/>
      <c r="E207" s="132"/>
      <c r="F207" s="1"/>
      <c r="G207" s="1"/>
      <c r="H207" s="1"/>
      <c r="I207" s="1"/>
      <c r="J207" s="131"/>
      <c r="K207" s="135"/>
      <c r="L207" s="135"/>
      <c r="M207" s="135"/>
      <c r="N207" s="132"/>
      <c r="O207" s="1"/>
      <c r="P207" s="1"/>
      <c r="Q207" s="1"/>
      <c r="R207" s="1"/>
      <c r="S207" s="132"/>
    </row>
    <row r="208" spans="1:19" ht="17.399999999999999">
      <c r="A208" s="132"/>
      <c r="B208" s="136"/>
      <c r="C208" s="132"/>
      <c r="D208" s="131"/>
      <c r="E208" s="132"/>
      <c r="F208" s="132"/>
      <c r="G208" s="132"/>
      <c r="H208" s="132"/>
      <c r="I208" s="132"/>
      <c r="J208" s="132"/>
      <c r="K208" s="134"/>
      <c r="L208" s="134"/>
      <c r="M208" s="134"/>
      <c r="N208" s="132"/>
      <c r="O208" s="1"/>
      <c r="P208" s="1"/>
      <c r="Q208" s="1"/>
      <c r="R208" s="1"/>
      <c r="S208" s="1"/>
    </row>
    <row r="209" spans="1:19" ht="17.399999999999999">
      <c r="A209" s="8">
        <v>3</v>
      </c>
      <c r="B209" s="28" t="s">
        <v>143</v>
      </c>
      <c r="C209" s="28" t="s">
        <v>144</v>
      </c>
      <c r="D209" s="161">
        <v>56000</v>
      </c>
      <c r="E209" s="17" t="s">
        <v>145</v>
      </c>
      <c r="F209" s="6">
        <v>18</v>
      </c>
      <c r="G209" s="6"/>
      <c r="H209" s="6"/>
      <c r="I209" s="6"/>
      <c r="J209" s="16" t="s">
        <v>146</v>
      </c>
      <c r="K209" s="19"/>
      <c r="L209" s="19"/>
      <c r="M209" s="19"/>
      <c r="N209" s="17" t="s">
        <v>145</v>
      </c>
      <c r="O209" s="6">
        <v>18</v>
      </c>
      <c r="P209" s="6"/>
      <c r="Q209" s="6"/>
      <c r="R209" s="6"/>
      <c r="S209" s="131" t="s">
        <v>146</v>
      </c>
    </row>
    <row r="210" spans="1:19" ht="17.399999999999999">
      <c r="A210" s="132"/>
      <c r="B210" s="136"/>
      <c r="C210" s="132"/>
      <c r="D210" s="131"/>
      <c r="E210" s="132"/>
      <c r="F210" s="132"/>
      <c r="G210" s="132"/>
      <c r="H210" s="132"/>
      <c r="I210" s="132"/>
      <c r="J210" s="132"/>
      <c r="K210" s="134"/>
      <c r="L210" s="134"/>
      <c r="M210" s="134"/>
      <c r="N210" s="132"/>
      <c r="O210" s="1"/>
      <c r="P210" s="1"/>
      <c r="Q210" s="1"/>
      <c r="R210" s="1"/>
      <c r="S210" s="132"/>
    </row>
    <row r="211" spans="1:19" ht="17.399999999999999">
      <c r="A211" s="162"/>
      <c r="B211" s="163" t="s">
        <v>147</v>
      </c>
      <c r="C211" s="28"/>
      <c r="D211" s="27"/>
      <c r="E211" s="17"/>
      <c r="F211" s="6"/>
      <c r="G211" s="6"/>
      <c r="H211" s="6"/>
      <c r="I211" s="6"/>
      <c r="J211" s="16"/>
      <c r="K211" s="19"/>
      <c r="L211" s="19"/>
      <c r="M211" s="19"/>
      <c r="N211" s="17"/>
      <c r="O211" s="6"/>
      <c r="P211" s="6"/>
      <c r="Q211" s="6"/>
      <c r="R211" s="6"/>
      <c r="S211" s="131" t="s">
        <v>22</v>
      </c>
    </row>
    <row r="212" spans="1:19" ht="17.399999999999999">
      <c r="A212" s="8">
        <v>4</v>
      </c>
      <c r="B212" s="28" t="s">
        <v>148</v>
      </c>
      <c r="C212" s="28" t="s">
        <v>149</v>
      </c>
      <c r="D212" s="164">
        <v>2237400</v>
      </c>
      <c r="E212" s="17"/>
      <c r="F212" s="6"/>
      <c r="G212" s="6"/>
      <c r="H212" s="6"/>
      <c r="I212" s="6"/>
      <c r="J212" s="165" t="s">
        <v>22</v>
      </c>
      <c r="K212" s="166"/>
      <c r="L212" s="166"/>
      <c r="M212" s="166"/>
      <c r="N212" s="167"/>
      <c r="O212" s="4"/>
      <c r="P212" s="4"/>
      <c r="Q212" s="4"/>
      <c r="R212" s="4"/>
      <c r="S212" s="168" t="s">
        <v>22</v>
      </c>
    </row>
    <row r="213" spans="1:19" ht="17.399999999999999">
      <c r="A213" s="132"/>
      <c r="B213" s="495" t="s">
        <v>150</v>
      </c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134"/>
      <c r="N213" s="132"/>
      <c r="O213" s="1"/>
      <c r="P213" s="1"/>
      <c r="Q213" s="1"/>
      <c r="R213" s="1"/>
      <c r="S213" s="132"/>
    </row>
    <row r="214" spans="1:19" ht="17.399999999999999">
      <c r="A214" s="132"/>
      <c r="B214" s="492" t="s">
        <v>151</v>
      </c>
      <c r="C214" s="493"/>
      <c r="D214" s="493"/>
      <c r="E214" s="493"/>
      <c r="F214" s="493"/>
      <c r="G214" s="493"/>
      <c r="H214" s="132"/>
      <c r="I214" s="132"/>
      <c r="J214" s="132"/>
      <c r="K214" s="134"/>
      <c r="L214" s="134"/>
      <c r="M214" s="134"/>
      <c r="N214" s="132"/>
      <c r="O214" s="1"/>
      <c r="P214" s="1"/>
      <c r="Q214" s="1"/>
      <c r="R214" s="1"/>
      <c r="S214" s="132"/>
    </row>
    <row r="215" spans="1:19" ht="17.399999999999999">
      <c r="A215" s="132"/>
      <c r="B215" s="492" t="s">
        <v>152</v>
      </c>
      <c r="C215" s="493"/>
      <c r="D215" s="493"/>
      <c r="E215" s="493"/>
      <c r="F215" s="493"/>
      <c r="G215" s="493"/>
      <c r="H215" s="132"/>
      <c r="I215" s="132"/>
      <c r="J215" s="132"/>
      <c r="K215" s="134"/>
      <c r="L215" s="134"/>
      <c r="M215" s="134"/>
      <c r="N215" s="132"/>
      <c r="O215" s="1"/>
      <c r="P215" s="1"/>
      <c r="Q215" s="1"/>
      <c r="R215" s="1"/>
      <c r="S215" s="132"/>
    </row>
    <row r="216" spans="1:19" ht="17.399999999999999">
      <c r="A216" s="132"/>
      <c r="B216" s="492" t="s">
        <v>153</v>
      </c>
      <c r="C216" s="493"/>
      <c r="D216" s="493"/>
      <c r="E216" s="493"/>
      <c r="F216" s="493"/>
      <c r="G216" s="493"/>
      <c r="H216" s="132"/>
      <c r="I216" s="132"/>
      <c r="J216" s="132"/>
      <c r="K216" s="134"/>
      <c r="L216" s="134"/>
      <c r="M216" s="134"/>
      <c r="N216" s="132"/>
      <c r="O216" s="1"/>
      <c r="P216" s="1"/>
      <c r="Q216" s="1"/>
      <c r="R216" s="1"/>
      <c r="S216" s="132"/>
    </row>
    <row r="217" spans="1:19" ht="17.399999999999999">
      <c r="A217" s="132"/>
      <c r="B217" s="492" t="s">
        <v>154</v>
      </c>
      <c r="C217" s="493"/>
      <c r="D217" s="131"/>
      <c r="E217" s="132"/>
      <c r="F217" s="132"/>
      <c r="G217" s="132"/>
      <c r="H217" s="132"/>
      <c r="I217" s="132"/>
      <c r="J217" s="132"/>
      <c r="K217" s="134"/>
      <c r="L217" s="134"/>
      <c r="M217" s="134"/>
      <c r="N217" s="132"/>
      <c r="O217" s="1"/>
      <c r="P217" s="1"/>
      <c r="Q217" s="1"/>
      <c r="R217" s="1"/>
      <c r="S217" s="132"/>
    </row>
    <row r="218" spans="1:19" ht="17.399999999999999">
      <c r="A218" s="132"/>
      <c r="B218" s="136"/>
      <c r="C218" s="132"/>
      <c r="D218" s="131"/>
      <c r="E218" s="132"/>
      <c r="F218" s="132"/>
      <c r="G218" s="132"/>
      <c r="H218" s="132"/>
      <c r="I218" s="132"/>
      <c r="J218" s="132"/>
      <c r="K218" s="134"/>
      <c r="L218" s="134"/>
      <c r="M218" s="134"/>
      <c r="N218" s="132"/>
      <c r="O218" s="1"/>
      <c r="P218" s="1"/>
      <c r="Q218" s="1"/>
      <c r="R218" s="1"/>
      <c r="S218" s="132"/>
    </row>
    <row r="219" spans="1:19" ht="17.399999999999999">
      <c r="A219" s="132"/>
      <c r="B219" s="136"/>
      <c r="C219" s="132"/>
      <c r="D219" s="131"/>
      <c r="E219" s="132"/>
      <c r="F219" s="132"/>
      <c r="G219" s="132"/>
      <c r="H219" s="132"/>
      <c r="I219" s="132"/>
      <c r="J219" s="132"/>
      <c r="K219" s="134"/>
      <c r="L219" s="134"/>
      <c r="M219" s="134"/>
      <c r="N219" s="132"/>
      <c r="O219" s="1"/>
      <c r="P219" s="1"/>
      <c r="Q219" s="1"/>
      <c r="R219" s="1"/>
      <c r="S219" s="132"/>
    </row>
    <row r="220" spans="1:19" ht="17.399999999999999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4"/>
      <c r="L220" s="134"/>
      <c r="M220" s="134"/>
      <c r="N220" s="132"/>
      <c r="O220" s="132"/>
      <c r="P220" s="132"/>
      <c r="Q220" s="132"/>
      <c r="R220" s="132"/>
      <c r="S220" s="132"/>
    </row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A1:S1"/>
    <mergeCell ref="A2:S2"/>
    <mergeCell ref="A3:S3"/>
    <mergeCell ref="E4:J4"/>
    <mergeCell ref="K4:M4"/>
    <mergeCell ref="N4:S4"/>
    <mergeCell ref="P105:S105"/>
    <mergeCell ref="P106:R106"/>
    <mergeCell ref="P107:R107"/>
    <mergeCell ref="J108:K108"/>
    <mergeCell ref="N108:O108"/>
    <mergeCell ref="P108:R108"/>
    <mergeCell ref="B166:J166"/>
    <mergeCell ref="B154:K154"/>
    <mergeCell ref="B155:H155"/>
    <mergeCell ref="B156:C156"/>
    <mergeCell ref="C158:I158"/>
    <mergeCell ref="B159:L159"/>
    <mergeCell ref="B160:L160"/>
    <mergeCell ref="B161:G161"/>
    <mergeCell ref="B162:M162"/>
    <mergeCell ref="B163:E163"/>
    <mergeCell ref="B164:K164"/>
    <mergeCell ref="B165:M165"/>
    <mergeCell ref="B215:G215"/>
    <mergeCell ref="B216:G216"/>
    <mergeCell ref="B217:C217"/>
    <mergeCell ref="B167:E167"/>
    <mergeCell ref="B168:D168"/>
    <mergeCell ref="B170:M170"/>
    <mergeCell ref="B171:J171"/>
    <mergeCell ref="B213:L213"/>
    <mergeCell ref="B214:G2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มิย.69</vt:lpstr>
      <vt:lpstr>รับชำระ มิย.69</vt:lpstr>
      <vt:lpstr>แนบ มิย.69</vt:lpstr>
      <vt:lpstr>เรียง มิย.69</vt:lpstr>
      <vt:lpstr>พค.69</vt:lpstr>
      <vt:lpstr>รับชำระ พค.69</vt:lpstr>
      <vt:lpstr>แนบ พค.69</vt:lpstr>
      <vt:lpstr>เรียง พค.69</vt:lpstr>
      <vt:lpstr>เรียง เมย.69</vt:lpstr>
      <vt:lpstr>แนบ เมย.69</vt:lpstr>
      <vt:lpstr>รับชำระ เมย.69</vt:lpstr>
      <vt:lpstr>เมย.69</vt:lpstr>
      <vt:lpstr>(ท่าส่ง) เม.ย.69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 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2026-08-14T07:04:46Z</cp:lastPrinted>
  <dcterms:created xsi:type="dcterms:W3CDTF">2025-10-06T08:38:26Z</dcterms:created>
  <dcterms:modified xsi:type="dcterms:W3CDTF">2026-08-14T07:04:59Z</dcterms:modified>
</cp:coreProperties>
</file>