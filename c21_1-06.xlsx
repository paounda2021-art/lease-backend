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FB50B04C-3CCF-4D17-BA68-87C1EA7B5E94}" xr6:coauthVersionLast="47" xr6:coauthVersionMax="47" xr10:uidLastSave="{00000000-0000-0000-0000-000000000000}"/>
  <bookViews>
    <workbookView xWindow="-108" yWindow="-108" windowWidth="23256" windowHeight="12456" xr2:uid="{6BC6E720-5C71-46F1-968F-C39DABCD950A}"/>
  </bookViews>
  <sheets>
    <sheet name="มิย.69" sheetId="36" r:id="rId1"/>
    <sheet name="รับชำระ มิย.69" sheetId="37" r:id="rId2"/>
    <sheet name="แนบ มิย.69" sheetId="38" r:id="rId3"/>
    <sheet name="เรียง มิย.69" sheetId="40" r:id="rId4"/>
    <sheet name="เรียง พ.ค.69" sheetId="35" r:id="rId5"/>
    <sheet name="แนบ พ.ค.69" sheetId="34" r:id="rId6"/>
    <sheet name="รับชำระ พ.ค.69" sheetId="33" r:id="rId7"/>
    <sheet name="พ.ค.69" sheetId="32" r:id="rId8"/>
    <sheet name="(ท่าส่ง) พ.ค.69" sheetId="31" r:id="rId9"/>
    <sheet name="เรียง เมย.69" sheetId="30" r:id="rId10"/>
    <sheet name="แนบ เมย.69" sheetId="29" r:id="rId11"/>
    <sheet name="รับชำระ เมย.69" sheetId="28" r:id="rId12"/>
    <sheet name="เมย.69" sheetId="26" r:id="rId13"/>
    <sheet name="(ท่าส่ง) เม.ย.69" sheetId="27" r:id="rId14"/>
    <sheet name="มีค.69" sheetId="22" r:id="rId15"/>
    <sheet name="รับชำระ มีค.69" sheetId="23" r:id="rId16"/>
    <sheet name="แนบ มีค.69" sheetId="24" r:id="rId17"/>
    <sheet name="เรียง มีค.69" sheetId="25" r:id="rId18"/>
    <sheet name="กพ.69" sheetId="18" r:id="rId19"/>
    <sheet name="รับชำระ กพ.69" sheetId="19" r:id="rId20"/>
    <sheet name="แนบ กพ.69" sheetId="20" r:id="rId21"/>
    <sheet name="เรียง กพ.69" sheetId="21" r:id="rId22"/>
    <sheet name="มค.69" sheetId="14" r:id="rId23"/>
    <sheet name="รับชำระ มค.69" sheetId="15" r:id="rId24"/>
    <sheet name="แนบ มค.69" sheetId="16" r:id="rId25"/>
    <sheet name="เรียง มค.69" sheetId="17" r:id="rId26"/>
    <sheet name="ธค.68" sheetId="10" r:id="rId27"/>
    <sheet name="รับชำระ ธค.68" sheetId="11" r:id="rId28"/>
    <sheet name="แนบ ธค.68" sheetId="12" r:id="rId29"/>
    <sheet name="เรียง ธค.68" sheetId="13" r:id="rId30"/>
    <sheet name="พย.68" sheetId="6" r:id="rId31"/>
    <sheet name="รับชำระ พย.68" sheetId="7" r:id="rId32"/>
    <sheet name="แนบ พย.68" sheetId="8" r:id="rId33"/>
    <sheet name="เรียง พย.68" sheetId="9" r:id="rId34"/>
    <sheet name="ตค.68" sheetId="2" r:id="rId35"/>
    <sheet name="รับชำระ ตค.68" sheetId="3" r:id="rId36"/>
    <sheet name="แนบ ตค.68" sheetId="4" r:id="rId37"/>
    <sheet name="เรียง ตค.68" sheetId="5" r:id="rId38"/>
    <sheet name="กย.68" sheetId="1" r:id="rId39"/>
  </sheets>
  <definedNames>
    <definedName name="_xlnm.Print_Titles" localSheetId="8">'(ท่าส่ง) พ.ค.69'!$1:$5</definedName>
    <definedName name="_xlnm.Print_Titles" localSheetId="12">เมย.69!$1:$5</definedName>
    <definedName name="_xlnm.Print_Titles" localSheetId="9">'เรียง เมย.69'!$1:$5</definedName>
    <definedName name="_xlnm.Print_Titles" localSheetId="21">'เรียง กพ.69'!$1:$5</definedName>
    <definedName name="_xlnm.Print_Titles" localSheetId="37">'เรียง ตค.68'!$1:$5</definedName>
    <definedName name="_xlnm.Print_Titles" localSheetId="29">'เรียง ธค.68'!$1:$5</definedName>
    <definedName name="_xlnm.Print_Titles" localSheetId="4">'เรียง พ.ค.69'!$1:$5</definedName>
    <definedName name="_xlnm.Print_Titles" localSheetId="33">'เรียง พย.68'!$1:$5</definedName>
    <definedName name="_xlnm.Print_Titles" localSheetId="25">'เรียง มค.69'!$1:$5</definedName>
    <definedName name="_xlnm.Print_Titles" localSheetId="3">'เรียง มิย.69'!$1:$5</definedName>
    <definedName name="_xlnm.Print_Titles" localSheetId="17">'เรียง มีค.69'!$1:$5</definedName>
    <definedName name="_xlnm.Print_Titles" localSheetId="10">'แนบ เมย.69'!$1:$5</definedName>
    <definedName name="_xlnm.Print_Titles" localSheetId="20">'แนบ กพ.69'!$1:$5</definedName>
    <definedName name="_xlnm.Print_Titles" localSheetId="36">'แนบ ตค.68'!$1:$5</definedName>
    <definedName name="_xlnm.Print_Titles" localSheetId="28">'แนบ ธค.68'!$1:$5</definedName>
    <definedName name="_xlnm.Print_Titles" localSheetId="5">'แนบ พ.ค.69'!$1:$5</definedName>
    <definedName name="_xlnm.Print_Titles" localSheetId="32">'แนบ พย.68'!$1:$5</definedName>
    <definedName name="_xlnm.Print_Titles" localSheetId="24">'แนบ มค.69'!$1:$5</definedName>
    <definedName name="_xlnm.Print_Titles" localSheetId="2">'แนบ มิย.69'!$1:$5</definedName>
    <definedName name="_xlnm.Print_Titles" localSheetId="16">'แนบ มีค.69'!$1:$5</definedName>
    <definedName name="_xlnm.Print_Titles" localSheetId="18">กพ.69!$1:$5</definedName>
    <definedName name="_xlnm.Print_Titles" localSheetId="38">กย.68!$1:$5</definedName>
    <definedName name="_xlnm.Print_Titles" localSheetId="34">ตค.68!$1:$5</definedName>
    <definedName name="_xlnm.Print_Titles" localSheetId="26">ธค.68!$1:$5</definedName>
    <definedName name="_xlnm.Print_Titles" localSheetId="7">'พ.ค.69'!$1:$5</definedName>
    <definedName name="_xlnm.Print_Titles" localSheetId="30">พย.68!$1:$5</definedName>
    <definedName name="_xlnm.Print_Titles" localSheetId="22">มค.69!$1:$5</definedName>
    <definedName name="_xlnm.Print_Titles" localSheetId="0">มิย.69!$1:$5</definedName>
    <definedName name="_xlnm.Print_Titles" localSheetId="14">มีค.69!$1:$5</definedName>
    <definedName name="_xlnm.Print_Titles" localSheetId="11">'รับชำระ เมย.69'!$1:$5</definedName>
    <definedName name="_xlnm.Print_Titles" localSheetId="19">'รับชำระ กพ.69'!$1:$5</definedName>
    <definedName name="_xlnm.Print_Titles" localSheetId="35">'รับชำระ ตค.68'!$1:$5</definedName>
    <definedName name="_xlnm.Print_Titles" localSheetId="27">'รับชำระ ธค.68'!$1:$5</definedName>
    <definedName name="_xlnm.Print_Titles" localSheetId="6">'รับชำระ พ.ค.69'!$1:$5</definedName>
    <definedName name="_xlnm.Print_Titles" localSheetId="31">'รับชำระ พย.68'!$1:$5</definedName>
    <definedName name="_xlnm.Print_Titles" localSheetId="23">'รับชำระ มค.69'!$1:$5</definedName>
    <definedName name="_xlnm.Print_Titles" localSheetId="1">'รับชำระ มิย.69'!$1:$5</definedName>
    <definedName name="_xlnm.Print_Titles" localSheetId="15">'รับชำระ มีค.69'!$1:$5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38" l="1"/>
  <c r="H38" i="40"/>
  <c r="H24" i="40"/>
  <c r="H17" i="40"/>
  <c r="H11" i="40"/>
  <c r="I39" i="40" s="1"/>
  <c r="J39" i="38"/>
  <c r="I38" i="38"/>
  <c r="I24" i="38"/>
  <c r="I17" i="38"/>
  <c r="I11" i="38"/>
  <c r="I30" i="37"/>
  <c r="I22" i="37"/>
  <c r="I11" i="37"/>
  <c r="J31" i="37" s="1"/>
  <c r="G179" i="36"/>
  <c r="O85" i="36"/>
  <c r="Q206" i="36"/>
  <c r="O206" i="36"/>
  <c r="I206" i="36"/>
  <c r="H206" i="36"/>
  <c r="G206" i="36"/>
  <c r="Q200" i="36"/>
  <c r="O200" i="36"/>
  <c r="I192" i="36"/>
  <c r="G192" i="36"/>
  <c r="Q190" i="36"/>
  <c r="O190" i="36"/>
  <c r="Q189" i="36"/>
  <c r="Q192" i="36" s="1"/>
  <c r="O189" i="36"/>
  <c r="O192" i="36" s="1"/>
  <c r="Q184" i="36"/>
  <c r="P184" i="36"/>
  <c r="O184" i="36"/>
  <c r="I184" i="36"/>
  <c r="H184" i="36"/>
  <c r="G184" i="36"/>
  <c r="I179" i="36"/>
  <c r="H179" i="36"/>
  <c r="D179" i="36"/>
  <c r="O178" i="36"/>
  <c r="O177" i="36"/>
  <c r="Q177" i="36" s="1"/>
  <c r="O176" i="36"/>
  <c r="Q176" i="36" s="1"/>
  <c r="P173" i="36"/>
  <c r="D173" i="36"/>
  <c r="P111" i="36"/>
  <c r="P207" i="36" s="1"/>
  <c r="L111" i="36"/>
  <c r="I111" i="36"/>
  <c r="H111" i="36"/>
  <c r="G111" i="36"/>
  <c r="D111" i="36"/>
  <c r="Q110" i="36"/>
  <c r="Q109" i="36"/>
  <c r="Q108" i="36"/>
  <c r="Q107" i="36"/>
  <c r="Q106" i="36"/>
  <c r="Q105" i="36"/>
  <c r="Q104" i="36"/>
  <c r="Q103" i="36"/>
  <c r="Q102" i="36"/>
  <c r="Q101" i="36"/>
  <c r="Q100" i="36"/>
  <c r="Q99" i="36"/>
  <c r="Q98" i="36"/>
  <c r="Q97" i="36"/>
  <c r="Q96" i="36"/>
  <c r="Q95" i="36"/>
  <c r="Q94" i="36"/>
  <c r="Q93" i="36"/>
  <c r="O93" i="36"/>
  <c r="Q92" i="36"/>
  <c r="O92" i="36"/>
  <c r="Q91" i="36"/>
  <c r="O91" i="36"/>
  <c r="Q90" i="36"/>
  <c r="O90" i="36"/>
  <c r="Q89" i="36"/>
  <c r="O89" i="36"/>
  <c r="Q88" i="36"/>
  <c r="O88" i="36"/>
  <c r="Q87" i="36"/>
  <c r="Q86" i="36"/>
  <c r="O86" i="36" s="1"/>
  <c r="Q85" i="36"/>
  <c r="Q84" i="36"/>
  <c r="O84" i="36" s="1"/>
  <c r="Q83" i="36"/>
  <c r="O83" i="36" s="1"/>
  <c r="Q82" i="36"/>
  <c r="O82" i="36" s="1"/>
  <c r="Q81" i="36"/>
  <c r="O81" i="36" s="1"/>
  <c r="Q80" i="36"/>
  <c r="O80" i="36" s="1"/>
  <c r="Q79" i="36"/>
  <c r="Q78" i="36"/>
  <c r="Q77" i="36"/>
  <c r="L75" i="36"/>
  <c r="I75" i="36"/>
  <c r="H75" i="36"/>
  <c r="H173" i="36" s="1"/>
  <c r="G75" i="36"/>
  <c r="D75" i="36"/>
  <c r="Q74" i="36"/>
  <c r="O74" i="36"/>
  <c r="Q73" i="36"/>
  <c r="O73" i="36"/>
  <c r="Q72" i="36"/>
  <c r="O72" i="36"/>
  <c r="Q71" i="36"/>
  <c r="Q70" i="36"/>
  <c r="Q69" i="36"/>
  <c r="O69" i="36"/>
  <c r="Q68" i="36"/>
  <c r="O68" i="36"/>
  <c r="Q67" i="36"/>
  <c r="O67" i="36"/>
  <c r="Q66" i="36"/>
  <c r="O66" i="36"/>
  <c r="Q65" i="36"/>
  <c r="O65" i="36"/>
  <c r="Q64" i="36"/>
  <c r="O64" i="36"/>
  <c r="Q63" i="36"/>
  <c r="O63" i="36"/>
  <c r="Q62" i="36"/>
  <c r="O62" i="36"/>
  <c r="Q61" i="36"/>
  <c r="O61" i="36"/>
  <c r="Q60" i="36"/>
  <c r="O60" i="36"/>
  <c r="Q59" i="36"/>
  <c r="O59" i="36"/>
  <c r="Q58" i="36"/>
  <c r="O58" i="36"/>
  <c r="Q57" i="36"/>
  <c r="O57" i="36"/>
  <c r="Q56" i="36"/>
  <c r="O56" i="36"/>
  <c r="Q55" i="36"/>
  <c r="O55" i="36"/>
  <c r="Q54" i="36"/>
  <c r="O54" i="36"/>
  <c r="Q53" i="36"/>
  <c r="O53" i="36"/>
  <c r="Q52" i="36"/>
  <c r="O52" i="36"/>
  <c r="Q51" i="36"/>
  <c r="O51" i="36"/>
  <c r="Q50" i="36"/>
  <c r="O50" i="36"/>
  <c r="Q49" i="36"/>
  <c r="O49" i="36"/>
  <c r="Q48" i="36"/>
  <c r="P48" i="36"/>
  <c r="O48" i="36"/>
  <c r="Q47" i="36"/>
  <c r="O47" i="36"/>
  <c r="Q46" i="36"/>
  <c r="O46" i="36"/>
  <c r="Q45" i="36"/>
  <c r="O45" i="36"/>
  <c r="Q44" i="36"/>
  <c r="O44" i="36"/>
  <c r="Q43" i="36"/>
  <c r="O43" i="36"/>
  <c r="Q42" i="36"/>
  <c r="O42" i="36"/>
  <c r="Q30" i="36"/>
  <c r="O30" i="36"/>
  <c r="L30" i="36"/>
  <c r="G30" i="36"/>
  <c r="I30" i="36" s="1"/>
  <c r="D30" i="36"/>
  <c r="D207" i="36" s="1"/>
  <c r="F60" i="35"/>
  <c r="F53" i="35"/>
  <c r="F39" i="35"/>
  <c r="F29" i="35"/>
  <c r="H60" i="34"/>
  <c r="G53" i="34"/>
  <c r="G54" i="34" s="1"/>
  <c r="G39" i="34"/>
  <c r="G60" i="34"/>
  <c r="G29" i="34"/>
  <c r="F40" i="33"/>
  <c r="F48" i="33"/>
  <c r="F20" i="33"/>
  <c r="I30" i="32"/>
  <c r="G30" i="32"/>
  <c r="L111" i="32"/>
  <c r="Q78" i="32"/>
  <c r="Q79" i="32"/>
  <c r="Q80" i="32"/>
  <c r="Q81" i="32"/>
  <c r="Q82" i="32"/>
  <c r="Q83" i="32"/>
  <c r="Q84" i="32"/>
  <c r="Q85" i="32"/>
  <c r="Q86" i="32"/>
  <c r="Q87" i="32"/>
  <c r="Q88" i="32"/>
  <c r="Q89" i="32"/>
  <c r="Q90" i="32"/>
  <c r="Q91" i="32"/>
  <c r="Q92" i="32"/>
  <c r="Q93" i="32"/>
  <c r="Q94" i="32"/>
  <c r="Q95" i="32"/>
  <c r="Q96" i="32"/>
  <c r="Q97" i="32"/>
  <c r="Q98" i="32"/>
  <c r="Q99" i="32"/>
  <c r="Q100" i="32"/>
  <c r="Q101" i="32"/>
  <c r="Q102" i="32"/>
  <c r="Q103" i="32"/>
  <c r="Q104" i="32"/>
  <c r="Q105" i="32"/>
  <c r="Q106" i="32"/>
  <c r="Q107" i="32"/>
  <c r="Q108" i="32"/>
  <c r="Q109" i="32"/>
  <c r="Q110" i="32"/>
  <c r="Q77" i="32"/>
  <c r="Q71" i="32"/>
  <c r="Q72" i="32"/>
  <c r="Q73" i="32"/>
  <c r="Q74" i="32"/>
  <c r="Q70" i="32"/>
  <c r="Q69" i="32"/>
  <c r="Q206" i="32"/>
  <c r="O206" i="32"/>
  <c r="I206" i="32"/>
  <c r="H206" i="32"/>
  <c r="G206" i="32"/>
  <c r="Q200" i="32"/>
  <c r="O200" i="32"/>
  <c r="I192" i="32"/>
  <c r="G192" i="32"/>
  <c r="Q190" i="32"/>
  <c r="O190" i="32"/>
  <c r="Q189" i="32"/>
  <c r="Q192" i="32" s="1"/>
  <c r="O189" i="32"/>
  <c r="O192" i="32" s="1"/>
  <c r="Q184" i="32"/>
  <c r="P184" i="32"/>
  <c r="O184" i="32"/>
  <c r="I184" i="32"/>
  <c r="H184" i="32"/>
  <c r="G184" i="32"/>
  <c r="I179" i="32"/>
  <c r="H179" i="32"/>
  <c r="G179" i="32"/>
  <c r="D179" i="32"/>
  <c r="O178" i="32"/>
  <c r="O179" i="32" s="1"/>
  <c r="O177" i="32"/>
  <c r="Q177" i="32" s="1"/>
  <c r="O176" i="32"/>
  <c r="Q176" i="32" s="1"/>
  <c r="P173" i="32"/>
  <c r="D173" i="32"/>
  <c r="P111" i="32"/>
  <c r="P207" i="32" s="1"/>
  <c r="I111" i="32"/>
  <c r="H111" i="32"/>
  <c r="G111" i="32"/>
  <c r="D111" i="32"/>
  <c r="D207" i="32" s="1"/>
  <c r="O93" i="32"/>
  <c r="O92" i="32"/>
  <c r="O91" i="32"/>
  <c r="O90" i="32"/>
  <c r="O89" i="32"/>
  <c r="O88" i="32"/>
  <c r="L75" i="32"/>
  <c r="I75" i="32"/>
  <c r="H75" i="32"/>
  <c r="G75" i="32"/>
  <c r="D75" i="32"/>
  <c r="O74" i="32"/>
  <c r="O73" i="32"/>
  <c r="O72" i="32"/>
  <c r="O69" i="32"/>
  <c r="Q68" i="32"/>
  <c r="O68" i="32"/>
  <c r="Q67" i="32"/>
  <c r="O67" i="32"/>
  <c r="Q66" i="32"/>
  <c r="O66" i="32"/>
  <c r="Q65" i="32"/>
  <c r="O65" i="32"/>
  <c r="Q64" i="32"/>
  <c r="O64" i="32"/>
  <c r="Q63" i="32"/>
  <c r="O63" i="32"/>
  <c r="Q62" i="32"/>
  <c r="O62" i="32"/>
  <c r="Q61" i="32"/>
  <c r="O61" i="32"/>
  <c r="Q60" i="32"/>
  <c r="O60" i="32"/>
  <c r="Q59" i="32"/>
  <c r="O59" i="32"/>
  <c r="Q58" i="32"/>
  <c r="O58" i="32"/>
  <c r="Q57" i="32"/>
  <c r="O57" i="32"/>
  <c r="Q56" i="32"/>
  <c r="O56" i="32"/>
  <c r="Q55" i="32"/>
  <c r="O55" i="32"/>
  <c r="Q54" i="32"/>
  <c r="O54" i="32"/>
  <c r="Q53" i="32"/>
  <c r="O53" i="32"/>
  <c r="Q52" i="32"/>
  <c r="O52" i="32"/>
  <c r="Q51" i="32"/>
  <c r="O51" i="32"/>
  <c r="Q50" i="32"/>
  <c r="O50" i="32"/>
  <c r="Q49" i="32"/>
  <c r="O49" i="32"/>
  <c r="Q48" i="32"/>
  <c r="P48" i="32"/>
  <c r="O48" i="32"/>
  <c r="Q47" i="32"/>
  <c r="O47" i="32"/>
  <c r="Q46" i="32"/>
  <c r="O46" i="32"/>
  <c r="Q45" i="32"/>
  <c r="O45" i="32"/>
  <c r="Q44" i="32"/>
  <c r="O44" i="32"/>
  <c r="Q43" i="32"/>
  <c r="O43" i="32"/>
  <c r="Q42" i="32"/>
  <c r="O42" i="32"/>
  <c r="Q30" i="32"/>
  <c r="O30" i="32"/>
  <c r="L30" i="32"/>
  <c r="D30" i="32"/>
  <c r="O206" i="31"/>
  <c r="I206" i="31"/>
  <c r="H206" i="31"/>
  <c r="G206" i="31"/>
  <c r="Q200" i="31"/>
  <c r="Q206" i="31" s="1"/>
  <c r="O200" i="31"/>
  <c r="I192" i="31"/>
  <c r="G192" i="31"/>
  <c r="Q190" i="31"/>
  <c r="O190" i="31"/>
  <c r="Q189" i="31"/>
  <c r="Q192" i="31" s="1"/>
  <c r="O189" i="31"/>
  <c r="O192" i="31" s="1"/>
  <c r="Q184" i="31"/>
  <c r="P184" i="31"/>
  <c r="O184" i="31"/>
  <c r="I184" i="31"/>
  <c r="H184" i="31"/>
  <c r="G184" i="31"/>
  <c r="I179" i="31"/>
  <c r="H179" i="31"/>
  <c r="G179" i="31"/>
  <c r="D179" i="31"/>
  <c r="Q178" i="31"/>
  <c r="O177" i="31"/>
  <c r="Q177" i="31" s="1"/>
  <c r="O176" i="31"/>
  <c r="Q176" i="31" s="1"/>
  <c r="P111" i="31"/>
  <c r="P207" i="31" s="1"/>
  <c r="L111" i="31"/>
  <c r="I111" i="31"/>
  <c r="H111" i="31"/>
  <c r="G111" i="31"/>
  <c r="D111" i="31"/>
  <c r="O93" i="31"/>
  <c r="Q92" i="31"/>
  <c r="O92" i="31"/>
  <c r="Q91" i="31"/>
  <c r="O91" i="31"/>
  <c r="Q90" i="31"/>
  <c r="Q111" i="31" s="1"/>
  <c r="O90" i="31"/>
  <c r="Q89" i="31"/>
  <c r="O89" i="31"/>
  <c r="Q88" i="31"/>
  <c r="O88" i="31"/>
  <c r="O111" i="31" s="1"/>
  <c r="L75" i="31"/>
  <c r="I75" i="31"/>
  <c r="I173" i="31" s="1"/>
  <c r="H75" i="31"/>
  <c r="H173" i="31" s="1"/>
  <c r="G75" i="31"/>
  <c r="G207" i="31" s="1"/>
  <c r="D75" i="31"/>
  <c r="D173" i="31" s="1"/>
  <c r="Q74" i="31"/>
  <c r="O74" i="31"/>
  <c r="Q73" i="31"/>
  <c r="O73" i="31"/>
  <c r="Q72" i="31"/>
  <c r="O72" i="31"/>
  <c r="Q71" i="31"/>
  <c r="O71" i="31"/>
  <c r="Q70" i="31"/>
  <c r="O70" i="31"/>
  <c r="Q69" i="31"/>
  <c r="O69" i="31"/>
  <c r="Q68" i="31"/>
  <c r="O68" i="31"/>
  <c r="Q67" i="31"/>
  <c r="O67" i="31"/>
  <c r="Q66" i="31"/>
  <c r="O66" i="31"/>
  <c r="Q65" i="31"/>
  <c r="O65" i="31"/>
  <c r="Q64" i="31"/>
  <c r="O64" i="31"/>
  <c r="Q63" i="31"/>
  <c r="O63" i="31"/>
  <c r="Q62" i="31"/>
  <c r="O62" i="31"/>
  <c r="Q61" i="31"/>
  <c r="O61" i="31"/>
  <c r="Q60" i="31"/>
  <c r="O60" i="31"/>
  <c r="Q59" i="31"/>
  <c r="O59" i="31"/>
  <c r="Q58" i="31"/>
  <c r="O58" i="31"/>
  <c r="Q57" i="31"/>
  <c r="O57" i="31"/>
  <c r="Q56" i="31"/>
  <c r="O56" i="31"/>
  <c r="Q55" i="31"/>
  <c r="O55" i="31"/>
  <c r="Q54" i="31"/>
  <c r="O54" i="31"/>
  <c r="Q53" i="31"/>
  <c r="O53" i="31"/>
  <c r="Q52" i="31"/>
  <c r="O52" i="31"/>
  <c r="Q51" i="31"/>
  <c r="O51" i="31"/>
  <c r="Q50" i="31"/>
  <c r="O50" i="31"/>
  <c r="Q49" i="31"/>
  <c r="O49" i="31"/>
  <c r="Q48" i="31"/>
  <c r="P48" i="31"/>
  <c r="O48" i="31"/>
  <c r="Q47" i="31"/>
  <c r="O47" i="31"/>
  <c r="Q46" i="31"/>
  <c r="O46" i="31"/>
  <c r="Q45" i="31"/>
  <c r="O45" i="31"/>
  <c r="Q44" i="31"/>
  <c r="O44" i="31"/>
  <c r="Q43" i="31"/>
  <c r="O43" i="31"/>
  <c r="Q42" i="31"/>
  <c r="Q75" i="31" s="1"/>
  <c r="O42" i="31"/>
  <c r="O75" i="31" s="1"/>
  <c r="L30" i="31"/>
  <c r="L207" i="31" s="1"/>
  <c r="D30" i="31"/>
  <c r="D207" i="31" s="1"/>
  <c r="J46" i="29"/>
  <c r="F41" i="30"/>
  <c r="F11" i="30"/>
  <c r="F17" i="30"/>
  <c r="G46" i="29"/>
  <c r="O30" i="26"/>
  <c r="Q30" i="26"/>
  <c r="G22" i="29"/>
  <c r="G16" i="29"/>
  <c r="G15" i="29"/>
  <c r="G8" i="29"/>
  <c r="F46" i="28"/>
  <c r="F45" i="28"/>
  <c r="F33" i="28"/>
  <c r="F10" i="28"/>
  <c r="Q28" i="26"/>
  <c r="O28" i="26"/>
  <c r="O206" i="27"/>
  <c r="I206" i="27"/>
  <c r="H206" i="27"/>
  <c r="G206" i="27"/>
  <c r="Q200" i="27"/>
  <c r="Q206" i="27" s="1"/>
  <c r="O200" i="27"/>
  <c r="Q192" i="27"/>
  <c r="I192" i="27"/>
  <c r="G192" i="27"/>
  <c r="Q190" i="27"/>
  <c r="O190" i="27"/>
  <c r="Q189" i="27"/>
  <c r="O189" i="27"/>
  <c r="O192" i="27" s="1"/>
  <c r="Q184" i="27"/>
  <c r="P184" i="27"/>
  <c r="O184" i="27"/>
  <c r="I184" i="27"/>
  <c r="H184" i="27"/>
  <c r="G184" i="27"/>
  <c r="I179" i="27"/>
  <c r="H179" i="27"/>
  <c r="G179" i="27"/>
  <c r="D179" i="27"/>
  <c r="Q178" i="27"/>
  <c r="O177" i="27"/>
  <c r="Q177" i="27" s="1"/>
  <c r="O176" i="27"/>
  <c r="P111" i="27"/>
  <c r="L111" i="27"/>
  <c r="I111" i="27"/>
  <c r="H111" i="27"/>
  <c r="G111" i="27"/>
  <c r="D111" i="27"/>
  <c r="O93" i="27"/>
  <c r="Q92" i="27"/>
  <c r="O92" i="27"/>
  <c r="Q91" i="27"/>
  <c r="O91" i="27"/>
  <c r="Q90" i="27"/>
  <c r="O90" i="27"/>
  <c r="Q89" i="27"/>
  <c r="O89" i="27"/>
  <c r="Q88" i="27"/>
  <c r="Q111" i="27" s="1"/>
  <c r="O88" i="27"/>
  <c r="O111" i="27" s="1"/>
  <c r="L75" i="27"/>
  <c r="I75" i="27"/>
  <c r="H75" i="27"/>
  <c r="H173" i="27" s="1"/>
  <c r="G75" i="27"/>
  <c r="D75" i="27"/>
  <c r="D173" i="27" s="1"/>
  <c r="Q74" i="27"/>
  <c r="O74" i="27"/>
  <c r="Q73" i="27"/>
  <c r="O73" i="27"/>
  <c r="Q72" i="27"/>
  <c r="O72" i="27"/>
  <c r="Q71" i="27"/>
  <c r="O71" i="27"/>
  <c r="Q70" i="27"/>
  <c r="O70" i="27"/>
  <c r="Q69" i="27"/>
  <c r="O69" i="27"/>
  <c r="Q68" i="27"/>
  <c r="O68" i="27"/>
  <c r="Q67" i="27"/>
  <c r="O67" i="27"/>
  <c r="Q66" i="27"/>
  <c r="O66" i="27"/>
  <c r="Q65" i="27"/>
  <c r="O65" i="27"/>
  <c r="Q64" i="27"/>
  <c r="O64" i="27"/>
  <c r="Q63" i="27"/>
  <c r="O63" i="27"/>
  <c r="Q62" i="27"/>
  <c r="O62" i="27"/>
  <c r="Q61" i="27"/>
  <c r="O61" i="27"/>
  <c r="Q60" i="27"/>
  <c r="Q75" i="27" s="1"/>
  <c r="O60" i="27"/>
  <c r="O75" i="27" s="1"/>
  <c r="Q59" i="27"/>
  <c r="O59" i="27"/>
  <c r="Q58" i="27"/>
  <c r="O58" i="27"/>
  <c r="Q57" i="27"/>
  <c r="O57" i="27"/>
  <c r="Q56" i="27"/>
  <c r="O56" i="27"/>
  <c r="Q55" i="27"/>
  <c r="O55" i="27"/>
  <c r="Q54" i="27"/>
  <c r="O54" i="27"/>
  <c r="Q53" i="27"/>
  <c r="O53" i="27"/>
  <c r="Q52" i="27"/>
  <c r="O52" i="27"/>
  <c r="Q51" i="27"/>
  <c r="O51" i="27"/>
  <c r="Q50" i="27"/>
  <c r="O50" i="27"/>
  <c r="Q49" i="27"/>
  <c r="O49" i="27"/>
  <c r="Q48" i="27"/>
  <c r="P48" i="27"/>
  <c r="O48" i="27"/>
  <c r="Q47" i="27"/>
  <c r="O47" i="27"/>
  <c r="Q46" i="27"/>
  <c r="O46" i="27"/>
  <c r="Q45" i="27"/>
  <c r="O45" i="27"/>
  <c r="Q44" i="27"/>
  <c r="O44" i="27"/>
  <c r="Q43" i="27"/>
  <c r="O43" i="27"/>
  <c r="Q42" i="27"/>
  <c r="O42" i="27"/>
  <c r="L30" i="27"/>
  <c r="D30" i="27"/>
  <c r="D207" i="27" s="1"/>
  <c r="D207" i="26"/>
  <c r="O206" i="26"/>
  <c r="I206" i="26"/>
  <c r="H206" i="26"/>
  <c r="G206" i="26"/>
  <c r="Q200" i="26"/>
  <c r="Q206" i="26" s="1"/>
  <c r="O200" i="26"/>
  <c r="I192" i="26"/>
  <c r="G192" i="26"/>
  <c r="Q190" i="26"/>
  <c r="O190" i="26"/>
  <c r="Q189" i="26"/>
  <c r="Q192" i="26" s="1"/>
  <c r="O189" i="26"/>
  <c r="O192" i="26" s="1"/>
  <c r="Q184" i="26"/>
  <c r="P184" i="26"/>
  <c r="O184" i="26"/>
  <c r="I184" i="26"/>
  <c r="H184" i="26"/>
  <c r="G184" i="26"/>
  <c r="I179" i="26"/>
  <c r="H179" i="26"/>
  <c r="G179" i="26"/>
  <c r="D179" i="26"/>
  <c r="O178" i="26"/>
  <c r="Q178" i="26" s="1"/>
  <c r="O177" i="26"/>
  <c r="Q177" i="26" s="1"/>
  <c r="O176" i="26"/>
  <c r="D173" i="26"/>
  <c r="P111" i="26"/>
  <c r="L111" i="26"/>
  <c r="I111" i="26"/>
  <c r="H111" i="26"/>
  <c r="G111" i="26"/>
  <c r="D111" i="26"/>
  <c r="O93" i="26"/>
  <c r="Q92" i="26"/>
  <c r="O92" i="26"/>
  <c r="Q91" i="26"/>
  <c r="O91" i="26"/>
  <c r="Q90" i="26"/>
  <c r="O90" i="26"/>
  <c r="Q89" i="26"/>
  <c r="O89" i="26"/>
  <c r="Q88" i="26"/>
  <c r="Q111" i="26" s="1"/>
  <c r="O88" i="26"/>
  <c r="O111" i="26" s="1"/>
  <c r="L75" i="26"/>
  <c r="I75" i="26"/>
  <c r="H75" i="26"/>
  <c r="H173" i="26" s="1"/>
  <c r="G75" i="26"/>
  <c r="G173" i="26" s="1"/>
  <c r="D75" i="26"/>
  <c r="Q74" i="26"/>
  <c r="O74" i="26"/>
  <c r="Q73" i="26"/>
  <c r="O73" i="26"/>
  <c r="Q72" i="26"/>
  <c r="O72" i="26"/>
  <c r="Q71" i="26"/>
  <c r="O71" i="26"/>
  <c r="Q70" i="26"/>
  <c r="O70" i="26"/>
  <c r="Q69" i="26"/>
  <c r="O69" i="26"/>
  <c r="Q68" i="26"/>
  <c r="O68" i="26"/>
  <c r="Q67" i="26"/>
  <c r="O67" i="26"/>
  <c r="Q66" i="26"/>
  <c r="O66" i="26"/>
  <c r="Q65" i="26"/>
  <c r="O65" i="26"/>
  <c r="Q64" i="26"/>
  <c r="O64" i="26"/>
  <c r="Q63" i="26"/>
  <c r="O63" i="26"/>
  <c r="Q62" i="26"/>
  <c r="O62" i="26"/>
  <c r="Q61" i="26"/>
  <c r="O61" i="26"/>
  <c r="Q60" i="26"/>
  <c r="O60" i="26"/>
  <c r="Q59" i="26"/>
  <c r="O59" i="26"/>
  <c r="Q58" i="26"/>
  <c r="O58" i="26"/>
  <c r="Q57" i="26"/>
  <c r="O57" i="26"/>
  <c r="Q56" i="26"/>
  <c r="O56" i="26"/>
  <c r="Q55" i="26"/>
  <c r="O55" i="26"/>
  <c r="Q54" i="26"/>
  <c r="O54" i="26"/>
  <c r="Q53" i="26"/>
  <c r="O53" i="26"/>
  <c r="Q52" i="26"/>
  <c r="O52" i="26"/>
  <c r="Q51" i="26"/>
  <c r="O51" i="26"/>
  <c r="Q50" i="26"/>
  <c r="O50" i="26"/>
  <c r="Q49" i="26"/>
  <c r="O49" i="26"/>
  <c r="Q48" i="26"/>
  <c r="P48" i="26"/>
  <c r="O48" i="26"/>
  <c r="Q47" i="26"/>
  <c r="O47" i="26"/>
  <c r="Q46" i="26"/>
  <c r="O46" i="26"/>
  <c r="Q45" i="26"/>
  <c r="O45" i="26"/>
  <c r="Q44" i="26"/>
  <c r="O44" i="26"/>
  <c r="Q43" i="26"/>
  <c r="O43" i="26"/>
  <c r="Q42" i="26"/>
  <c r="O42" i="26"/>
  <c r="L30" i="26"/>
  <c r="D30" i="26"/>
  <c r="I25" i="25"/>
  <c r="H52" i="25"/>
  <c r="H39" i="25"/>
  <c r="I52" i="25" s="1"/>
  <c r="I31" i="25"/>
  <c r="I56" i="24"/>
  <c r="I43" i="24"/>
  <c r="J56" i="24" s="1"/>
  <c r="J35" i="24"/>
  <c r="I27" i="24"/>
  <c r="I23" i="24"/>
  <c r="J29" i="24" s="1"/>
  <c r="H48" i="23"/>
  <c r="H20" i="23"/>
  <c r="I49" i="23" s="1"/>
  <c r="H40" i="23"/>
  <c r="O178" i="22"/>
  <c r="O179" i="36" l="1"/>
  <c r="L207" i="36"/>
  <c r="Q111" i="36"/>
  <c r="O111" i="36"/>
  <c r="O75" i="36"/>
  <c r="Q75" i="36"/>
  <c r="G173" i="36"/>
  <c r="I173" i="36"/>
  <c r="I207" i="36" s="1"/>
  <c r="Q173" i="36"/>
  <c r="Q178" i="36"/>
  <c r="Q179" i="36" s="1"/>
  <c r="Q207" i="36" s="1"/>
  <c r="G207" i="36"/>
  <c r="L173" i="36"/>
  <c r="F54" i="35"/>
  <c r="G60" i="35" s="1"/>
  <c r="F49" i="33"/>
  <c r="G173" i="32"/>
  <c r="H173" i="32"/>
  <c r="O111" i="32"/>
  <c r="Q111" i="32"/>
  <c r="L207" i="32"/>
  <c r="G207" i="32"/>
  <c r="O75" i="32"/>
  <c r="O207" i="32" s="1"/>
  <c r="Q75" i="32"/>
  <c r="Q173" i="32" s="1"/>
  <c r="Q178" i="32"/>
  <c r="Q179" i="32" s="1"/>
  <c r="L173" i="32"/>
  <c r="O173" i="32"/>
  <c r="O207" i="31"/>
  <c r="O173" i="31"/>
  <c r="Q173" i="31"/>
  <c r="Q179" i="31"/>
  <c r="Q207" i="31" s="1"/>
  <c r="G173" i="31"/>
  <c r="L173" i="31"/>
  <c r="O179" i="31"/>
  <c r="P173" i="31"/>
  <c r="I207" i="31"/>
  <c r="O75" i="26"/>
  <c r="O173" i="26" s="1"/>
  <c r="O179" i="27"/>
  <c r="Q176" i="27"/>
  <c r="Q179" i="27" s="1"/>
  <c r="P173" i="27"/>
  <c r="P207" i="27"/>
  <c r="I173" i="27"/>
  <c r="I207" i="27"/>
  <c r="G173" i="27"/>
  <c r="G207" i="27"/>
  <c r="Q207" i="27"/>
  <c r="Q173" i="27"/>
  <c r="O207" i="27"/>
  <c r="O173" i="27"/>
  <c r="L207" i="27"/>
  <c r="L173" i="27"/>
  <c r="G207" i="26"/>
  <c r="Q75" i="26"/>
  <c r="Q173" i="26" s="1"/>
  <c r="O179" i="26"/>
  <c r="Q176" i="26"/>
  <c r="Q179" i="26" s="1"/>
  <c r="P173" i="26"/>
  <c r="P207" i="26"/>
  <c r="L173" i="26"/>
  <c r="L207" i="26"/>
  <c r="I173" i="26"/>
  <c r="I207" i="26"/>
  <c r="Q207" i="26"/>
  <c r="O207" i="26"/>
  <c r="I53" i="25"/>
  <c r="J57" i="24"/>
  <c r="P207" i="22"/>
  <c r="D207" i="22"/>
  <c r="Q206" i="22"/>
  <c r="O206" i="22"/>
  <c r="I206" i="22"/>
  <c r="H206" i="22"/>
  <c r="G206" i="22"/>
  <c r="Q200" i="22"/>
  <c r="O200" i="22"/>
  <c r="Q192" i="22"/>
  <c r="O192" i="22"/>
  <c r="I192" i="22"/>
  <c r="G192" i="22"/>
  <c r="Q190" i="22"/>
  <c r="O190" i="22"/>
  <c r="Q189" i="22"/>
  <c r="O189" i="22"/>
  <c r="Q184" i="22"/>
  <c r="P184" i="22"/>
  <c r="O184" i="22"/>
  <c r="I184" i="22"/>
  <c r="H184" i="22"/>
  <c r="G184" i="22"/>
  <c r="I179" i="22"/>
  <c r="H179" i="22"/>
  <c r="G179" i="22"/>
  <c r="D179" i="22"/>
  <c r="Q178" i="22"/>
  <c r="O177" i="22"/>
  <c r="Q177" i="22" s="1"/>
  <c r="O176" i="22"/>
  <c r="Q176" i="22" s="1"/>
  <c r="P173" i="22"/>
  <c r="D173" i="22"/>
  <c r="P111" i="22"/>
  <c r="L111" i="22"/>
  <c r="I111" i="22"/>
  <c r="H111" i="22"/>
  <c r="G111" i="22"/>
  <c r="D111" i="22"/>
  <c r="O93" i="22"/>
  <c r="Q92" i="22"/>
  <c r="O92" i="22"/>
  <c r="Q91" i="22"/>
  <c r="O91" i="22"/>
  <c r="Q90" i="22"/>
  <c r="O90" i="22"/>
  <c r="Q89" i="22"/>
  <c r="O89" i="22"/>
  <c r="Q88" i="22"/>
  <c r="O88" i="22"/>
  <c r="L75" i="22"/>
  <c r="I75" i="22"/>
  <c r="I173" i="22" s="1"/>
  <c r="I207" i="22" s="1"/>
  <c r="H75" i="22"/>
  <c r="H173" i="22" s="1"/>
  <c r="G75" i="22"/>
  <c r="G207" i="22" s="1"/>
  <c r="D75" i="22"/>
  <c r="Q74" i="22"/>
  <c r="O74" i="22"/>
  <c r="Q73" i="22"/>
  <c r="O73" i="22"/>
  <c r="Q72" i="22"/>
  <c r="O72" i="22"/>
  <c r="Q71" i="22"/>
  <c r="O71" i="22"/>
  <c r="Q70" i="22"/>
  <c r="O70" i="22"/>
  <c r="Q69" i="22"/>
  <c r="O69" i="22"/>
  <c r="Q68" i="22"/>
  <c r="O68" i="22"/>
  <c r="Q67" i="22"/>
  <c r="O67" i="22"/>
  <c r="Q66" i="22"/>
  <c r="O66" i="22"/>
  <c r="Q65" i="22"/>
  <c r="O65" i="22"/>
  <c r="Q64" i="22"/>
  <c r="O64" i="22"/>
  <c r="Q63" i="22"/>
  <c r="O63" i="22"/>
  <c r="Q62" i="22"/>
  <c r="O62" i="22"/>
  <c r="Q61" i="22"/>
  <c r="O61" i="22"/>
  <c r="Q60" i="22"/>
  <c r="O60" i="22"/>
  <c r="Q59" i="22"/>
  <c r="O59" i="22"/>
  <c r="Q58" i="22"/>
  <c r="O58" i="22"/>
  <c r="Q57" i="22"/>
  <c r="O57" i="22"/>
  <c r="Q56" i="22"/>
  <c r="O56" i="22"/>
  <c r="Q55" i="22"/>
  <c r="O55" i="22"/>
  <c r="Q54" i="22"/>
  <c r="O54" i="22"/>
  <c r="Q53" i="22"/>
  <c r="O53" i="22"/>
  <c r="Q52" i="22"/>
  <c r="O52" i="22"/>
  <c r="Q51" i="22"/>
  <c r="O51" i="22"/>
  <c r="Q50" i="22"/>
  <c r="O50" i="22"/>
  <c r="Q49" i="22"/>
  <c r="O49" i="22"/>
  <c r="Q48" i="22"/>
  <c r="P48" i="22"/>
  <c r="O48" i="22"/>
  <c r="Q47" i="22"/>
  <c r="O47" i="22"/>
  <c r="Q46" i="22"/>
  <c r="O46" i="22"/>
  <c r="Q45" i="22"/>
  <c r="O45" i="22"/>
  <c r="Q44" i="22"/>
  <c r="O44" i="22"/>
  <c r="Q43" i="22"/>
  <c r="O43" i="22"/>
  <c r="Q42" i="22"/>
  <c r="O42" i="22"/>
  <c r="L30" i="22"/>
  <c r="D30" i="22"/>
  <c r="H19" i="21"/>
  <c r="F19" i="21"/>
  <c r="I21" i="20"/>
  <c r="G21" i="20"/>
  <c r="D179" i="18"/>
  <c r="O179" i="18"/>
  <c r="H179" i="18"/>
  <c r="I179" i="18"/>
  <c r="G179" i="18"/>
  <c r="G192" i="18"/>
  <c r="G206" i="18"/>
  <c r="Q179" i="18"/>
  <c r="Q178" i="18"/>
  <c r="O178" i="18"/>
  <c r="O207" i="36" l="1"/>
  <c r="O173" i="36"/>
  <c r="Q207" i="32"/>
  <c r="Q75" i="22"/>
  <c r="Q179" i="22"/>
  <c r="O179" i="22"/>
  <c r="O111" i="22"/>
  <c r="Q111" i="22"/>
  <c r="Q207" i="22"/>
  <c r="L207" i="22"/>
  <c r="O75" i="22"/>
  <c r="G173" i="22"/>
  <c r="L173" i="22"/>
  <c r="O173" i="22"/>
  <c r="Q173" i="22"/>
  <c r="G207" i="18"/>
  <c r="J14" i="21"/>
  <c r="F13" i="21"/>
  <c r="H40" i="21"/>
  <c r="H26" i="21"/>
  <c r="I42" i="20"/>
  <c r="I28" i="20"/>
  <c r="I15" i="20"/>
  <c r="I11" i="20"/>
  <c r="I52" i="19"/>
  <c r="H51" i="19"/>
  <c r="H22" i="19"/>
  <c r="H43" i="19"/>
  <c r="O207" i="22" l="1"/>
  <c r="K16" i="20"/>
  <c r="J19" i="21"/>
  <c r="J26" i="21" s="1"/>
  <c r="J41" i="21" s="1"/>
  <c r="K21" i="20"/>
  <c r="K28" i="20" s="1"/>
  <c r="K43" i="20" s="1"/>
  <c r="H206" i="18" l="1"/>
  <c r="I206" i="18"/>
  <c r="Q46" i="18"/>
  <c r="Q47" i="18"/>
  <c r="Q48" i="18"/>
  <c r="Q49" i="18"/>
  <c r="Q50" i="18"/>
  <c r="Q52" i="18"/>
  <c r="Q53" i="18"/>
  <c r="Q54" i="18"/>
  <c r="Q55" i="18"/>
  <c r="Q56" i="18"/>
  <c r="Q57" i="18"/>
  <c r="Q58" i="18"/>
  <c r="Q59" i="18"/>
  <c r="Q60" i="18"/>
  <c r="O74" i="18"/>
  <c r="I192" i="18"/>
  <c r="Q190" i="18"/>
  <c r="O190" i="18"/>
  <c r="Q189" i="18"/>
  <c r="O189" i="18"/>
  <c r="Q200" i="18"/>
  <c r="Q206" i="18" s="1"/>
  <c r="O200" i="18"/>
  <c r="O206" i="18" s="1"/>
  <c r="Q184" i="18"/>
  <c r="P184" i="18"/>
  <c r="O184" i="18"/>
  <c r="I184" i="18"/>
  <c r="H184" i="18"/>
  <c r="G184" i="18"/>
  <c r="O177" i="18"/>
  <c r="Q177" i="18" s="1"/>
  <c r="O176" i="18"/>
  <c r="Q176" i="18" s="1"/>
  <c r="P111" i="18"/>
  <c r="P173" i="18" s="1"/>
  <c r="L111" i="18"/>
  <c r="I111" i="18"/>
  <c r="H111" i="18"/>
  <c r="G111" i="18"/>
  <c r="D111" i="18"/>
  <c r="O93" i="18"/>
  <c r="Q92" i="18"/>
  <c r="O92" i="18"/>
  <c r="Q91" i="18"/>
  <c r="O91" i="18"/>
  <c r="Q90" i="18"/>
  <c r="O90" i="18"/>
  <c r="Q89" i="18"/>
  <c r="O89" i="18"/>
  <c r="Q88" i="18"/>
  <c r="O88" i="18"/>
  <c r="L75" i="18"/>
  <c r="I75" i="18"/>
  <c r="I173" i="18" s="1"/>
  <c r="H75" i="18"/>
  <c r="H173" i="18" s="1"/>
  <c r="G75" i="18"/>
  <c r="G173" i="18" s="1"/>
  <c r="D75" i="18"/>
  <c r="Q74" i="18"/>
  <c r="Q73" i="18"/>
  <c r="O73" i="18"/>
  <c r="Q72" i="18"/>
  <c r="O72" i="18"/>
  <c r="Q71" i="18"/>
  <c r="O71" i="18"/>
  <c r="Q70" i="18"/>
  <c r="O70" i="18"/>
  <c r="Q69" i="18"/>
  <c r="O69" i="18"/>
  <c r="Q68" i="18"/>
  <c r="O68" i="18"/>
  <c r="Q67" i="18"/>
  <c r="O67" i="18"/>
  <c r="Q66" i="18"/>
  <c r="O66" i="18"/>
  <c r="Q65" i="18"/>
  <c r="O65" i="18"/>
  <c r="Q64" i="18"/>
  <c r="O64" i="18"/>
  <c r="Q63" i="18"/>
  <c r="O63" i="18"/>
  <c r="Q62" i="18"/>
  <c r="O62" i="18"/>
  <c r="Q61" i="18"/>
  <c r="O61" i="18"/>
  <c r="O60" i="18"/>
  <c r="O59" i="18"/>
  <c r="O58" i="18"/>
  <c r="O57" i="18"/>
  <c r="O56" i="18"/>
  <c r="O55" i="18"/>
  <c r="O54" i="18"/>
  <c r="O53" i="18"/>
  <c r="O52" i="18"/>
  <c r="Q51" i="18"/>
  <c r="O51" i="18"/>
  <c r="O50" i="18"/>
  <c r="O49" i="18"/>
  <c r="P48" i="18"/>
  <c r="O48" i="18"/>
  <c r="O47" i="18"/>
  <c r="O46" i="18"/>
  <c r="Q45" i="18"/>
  <c r="O45" i="18"/>
  <c r="Q44" i="18"/>
  <c r="O44" i="18"/>
  <c r="Q43" i="18"/>
  <c r="O43" i="18"/>
  <c r="Q42" i="18"/>
  <c r="O42" i="18"/>
  <c r="L30" i="18"/>
  <c r="L173" i="18" s="1"/>
  <c r="D30" i="18"/>
  <c r="H16" i="17"/>
  <c r="F15" i="17"/>
  <c r="F12" i="17"/>
  <c r="K52" i="16"/>
  <c r="K53" i="16"/>
  <c r="I52" i="16"/>
  <c r="I44" i="16"/>
  <c r="I29" i="16"/>
  <c r="K24" i="16"/>
  <c r="I24" i="16"/>
  <c r="I20" i="16"/>
  <c r="H35" i="15"/>
  <c r="H34" i="15"/>
  <c r="H26" i="15"/>
  <c r="H17" i="15"/>
  <c r="Q90" i="14"/>
  <c r="Q91" i="14"/>
  <c r="Q92" i="14"/>
  <c r="Q93" i="14"/>
  <c r="Q94" i="14"/>
  <c r="O90" i="14"/>
  <c r="O91" i="14"/>
  <c r="O92" i="14"/>
  <c r="O93" i="14"/>
  <c r="O94" i="14"/>
  <c r="O95" i="14"/>
  <c r="Q89" i="14"/>
  <c r="O89" i="14"/>
  <c r="Q73" i="14"/>
  <c r="O73" i="14"/>
  <c r="Q72" i="14"/>
  <c r="O72" i="14"/>
  <c r="O77" i="14"/>
  <c r="Q76" i="14"/>
  <c r="Q77" i="14"/>
  <c r="Q75" i="14"/>
  <c r="Q74" i="14"/>
  <c r="O75" i="14"/>
  <c r="O74" i="14"/>
  <c r="D173" i="18" l="1"/>
  <c r="P207" i="18"/>
  <c r="D207" i="18"/>
  <c r="O192" i="18"/>
  <c r="Q192" i="18"/>
  <c r="Q111" i="18"/>
  <c r="O111" i="18"/>
  <c r="L207" i="18"/>
  <c r="I207" i="18"/>
  <c r="O75" i="18"/>
  <c r="Q75" i="18"/>
  <c r="G210" i="14"/>
  <c r="I202" i="14"/>
  <c r="G202" i="14"/>
  <c r="Q200" i="14"/>
  <c r="O200" i="14"/>
  <c r="Q199" i="14"/>
  <c r="O199" i="14"/>
  <c r="Q190" i="14"/>
  <c r="O190" i="14"/>
  <c r="Q188" i="14"/>
  <c r="P188" i="14"/>
  <c r="O188" i="14"/>
  <c r="I188" i="14"/>
  <c r="H188" i="14"/>
  <c r="G188" i="14"/>
  <c r="I183" i="14"/>
  <c r="H183" i="14"/>
  <c r="G183" i="14"/>
  <c r="D183" i="14"/>
  <c r="O182" i="14"/>
  <c r="Q182" i="14" s="1"/>
  <c r="O181" i="14"/>
  <c r="O183" i="14" s="1"/>
  <c r="P116" i="14"/>
  <c r="P211" i="14" s="1"/>
  <c r="L116" i="14"/>
  <c r="I116" i="14"/>
  <c r="H116" i="14"/>
  <c r="G116" i="14"/>
  <c r="D116" i="14"/>
  <c r="O116" i="14"/>
  <c r="L77" i="14"/>
  <c r="I77" i="14"/>
  <c r="I211" i="14" s="1"/>
  <c r="H77" i="14"/>
  <c r="G77" i="14"/>
  <c r="D77" i="14"/>
  <c r="Q71" i="14"/>
  <c r="O71" i="14"/>
  <c r="Q70" i="14"/>
  <c r="O70" i="14"/>
  <c r="Q69" i="14"/>
  <c r="O69" i="14"/>
  <c r="Q68" i="14"/>
  <c r="O68" i="14"/>
  <c r="Q67" i="14"/>
  <c r="O67" i="14"/>
  <c r="Q66" i="14"/>
  <c r="O66" i="14"/>
  <c r="Q65" i="14"/>
  <c r="O65" i="14"/>
  <c r="Q64" i="14"/>
  <c r="O64" i="14"/>
  <c r="Q63" i="14"/>
  <c r="O63" i="14"/>
  <c r="Q62" i="14"/>
  <c r="O62" i="14"/>
  <c r="Q61" i="14"/>
  <c r="O61" i="14"/>
  <c r="Q60" i="14"/>
  <c r="O60" i="14"/>
  <c r="Q59" i="14"/>
  <c r="O59" i="14"/>
  <c r="Q58" i="14"/>
  <c r="O58" i="14"/>
  <c r="Q57" i="14"/>
  <c r="O57" i="14"/>
  <c r="Q56" i="14"/>
  <c r="O56" i="14"/>
  <c r="Q55" i="14"/>
  <c r="O55" i="14"/>
  <c r="Q54" i="14"/>
  <c r="O54" i="14"/>
  <c r="Q53" i="14"/>
  <c r="O53" i="14"/>
  <c r="Q52" i="14"/>
  <c r="O52" i="14"/>
  <c r="Q51" i="14"/>
  <c r="O51" i="14"/>
  <c r="Q50" i="14"/>
  <c r="P50" i="14"/>
  <c r="O50" i="14"/>
  <c r="Q49" i="14"/>
  <c r="O49" i="14"/>
  <c r="Q48" i="14"/>
  <c r="O48" i="14"/>
  <c r="Q47" i="14"/>
  <c r="O47" i="14"/>
  <c r="Q46" i="14"/>
  <c r="O46" i="14"/>
  <c r="Q45" i="14"/>
  <c r="O45" i="14"/>
  <c r="Q44" i="14"/>
  <c r="O44" i="14"/>
  <c r="L32" i="14"/>
  <c r="D32" i="14"/>
  <c r="D211" i="14" s="1"/>
  <c r="F11" i="13"/>
  <c r="I37" i="12"/>
  <c r="I13" i="12"/>
  <c r="I9" i="12"/>
  <c r="K13" i="12" s="1"/>
  <c r="K37" i="12" s="1"/>
  <c r="K42" i="12" s="1"/>
  <c r="H46" i="11"/>
  <c r="H45" i="11"/>
  <c r="H38" i="11"/>
  <c r="H17" i="11"/>
  <c r="H117" i="10"/>
  <c r="I117" i="10"/>
  <c r="G117" i="10"/>
  <c r="Q173" i="18" l="1"/>
  <c r="O173" i="18"/>
  <c r="Q207" i="18"/>
  <c r="O207" i="18"/>
  <c r="O202" i="14"/>
  <c r="G211" i="14"/>
  <c r="Q202" i="14"/>
  <c r="Q181" i="14"/>
  <c r="Q183" i="14" s="1"/>
  <c r="L211" i="14"/>
  <c r="O211" i="14"/>
  <c r="Q116" i="14"/>
  <c r="F11" i="9"/>
  <c r="G211" i="10"/>
  <c r="I203" i="10"/>
  <c r="G203" i="10"/>
  <c r="Q201" i="10"/>
  <c r="O201" i="10"/>
  <c r="Q200" i="10"/>
  <c r="O200" i="10"/>
  <c r="Q191" i="10"/>
  <c r="Q203" i="10" s="1"/>
  <c r="O191" i="10"/>
  <c r="O203" i="10" s="1"/>
  <c r="Q189" i="10"/>
  <c r="P189" i="10"/>
  <c r="O189" i="10"/>
  <c r="I189" i="10"/>
  <c r="H189" i="10"/>
  <c r="G189" i="10"/>
  <c r="I184" i="10"/>
  <c r="H184" i="10"/>
  <c r="G184" i="10"/>
  <c r="D184" i="10"/>
  <c r="O183" i="10"/>
  <c r="Q183" i="10" s="1"/>
  <c r="O182" i="10"/>
  <c r="O184" i="10" s="1"/>
  <c r="P117" i="10"/>
  <c r="P212" i="10" s="1"/>
  <c r="L117" i="10"/>
  <c r="D117" i="10"/>
  <c r="O93" i="10"/>
  <c r="O117" i="10" s="1"/>
  <c r="L78" i="10"/>
  <c r="I78" i="10"/>
  <c r="H78" i="10"/>
  <c r="G78" i="10"/>
  <c r="D78" i="10"/>
  <c r="Q77" i="10"/>
  <c r="O77" i="10"/>
  <c r="Q76" i="10"/>
  <c r="O76" i="10"/>
  <c r="Q75" i="10"/>
  <c r="O75" i="10"/>
  <c r="Q74" i="10"/>
  <c r="O74" i="10"/>
  <c r="Q73" i="10"/>
  <c r="O73" i="10"/>
  <c r="Q72" i="10"/>
  <c r="O72" i="10"/>
  <c r="Q71" i="10"/>
  <c r="O71" i="10"/>
  <c r="Q70" i="10"/>
  <c r="O70" i="10"/>
  <c r="Q69" i="10"/>
  <c r="O69" i="10"/>
  <c r="Q68" i="10"/>
  <c r="O68" i="10"/>
  <c r="Q67" i="10"/>
  <c r="O67" i="10"/>
  <c r="Q66" i="10"/>
  <c r="O66" i="10"/>
  <c r="Q65" i="10"/>
  <c r="O65" i="10"/>
  <c r="Q64" i="10"/>
  <c r="O64" i="10"/>
  <c r="Q63" i="10"/>
  <c r="O63" i="10"/>
  <c r="Q62" i="10"/>
  <c r="O62" i="10"/>
  <c r="Q61" i="10"/>
  <c r="O61" i="10"/>
  <c r="Q60" i="10"/>
  <c r="O60" i="10"/>
  <c r="Q59" i="10"/>
  <c r="O59" i="10"/>
  <c r="Q58" i="10"/>
  <c r="O58" i="10"/>
  <c r="Q57" i="10"/>
  <c r="O57" i="10"/>
  <c r="Q56" i="10"/>
  <c r="O56" i="10"/>
  <c r="Q55" i="10"/>
  <c r="O55" i="10"/>
  <c r="Q54" i="10"/>
  <c r="O54" i="10"/>
  <c r="Q53" i="10"/>
  <c r="O53" i="10"/>
  <c r="Q52" i="10"/>
  <c r="O52" i="10"/>
  <c r="Q51" i="10"/>
  <c r="O51" i="10"/>
  <c r="Q50" i="10"/>
  <c r="P50" i="10"/>
  <c r="O50" i="10"/>
  <c r="Q49" i="10"/>
  <c r="O49" i="10"/>
  <c r="Q48" i="10"/>
  <c r="O48" i="10"/>
  <c r="Q47" i="10"/>
  <c r="O47" i="10"/>
  <c r="Q46" i="10"/>
  <c r="O46" i="10"/>
  <c r="Q45" i="10"/>
  <c r="O45" i="10"/>
  <c r="Q44" i="10"/>
  <c r="O44" i="10"/>
  <c r="L32" i="10"/>
  <c r="D32" i="10"/>
  <c r="D212" i="10" s="1"/>
  <c r="H36" i="9"/>
  <c r="H28" i="9"/>
  <c r="H16" i="9"/>
  <c r="I12" i="9"/>
  <c r="K38" i="8"/>
  <c r="J39" i="8"/>
  <c r="I38" i="8"/>
  <c r="I30" i="8"/>
  <c r="I18" i="8"/>
  <c r="J14" i="8"/>
  <c r="I13" i="8"/>
  <c r="I10" i="8"/>
  <c r="H46" i="7"/>
  <c r="H44" i="7"/>
  <c r="H37" i="7"/>
  <c r="H17" i="7"/>
  <c r="P117" i="6"/>
  <c r="Q117" i="6"/>
  <c r="O117" i="6"/>
  <c r="Q93" i="6"/>
  <c r="O93" i="6"/>
  <c r="D32" i="6"/>
  <c r="Q211" i="14" l="1"/>
  <c r="G212" i="10"/>
  <c r="I212" i="10"/>
  <c r="L212" i="10"/>
  <c r="Q78" i="10"/>
  <c r="O78" i="10"/>
  <c r="O212" i="10" s="1"/>
  <c r="Q182" i="10"/>
  <c r="Q184" i="10" s="1"/>
  <c r="Q93" i="10"/>
  <c r="Q117" i="10" s="1"/>
  <c r="Q212" i="10" s="1"/>
  <c r="J36" i="9"/>
  <c r="I37" i="9"/>
  <c r="G211" i="6" l="1"/>
  <c r="I203" i="6"/>
  <c r="G203" i="6"/>
  <c r="Q201" i="6"/>
  <c r="O201" i="6"/>
  <c r="Q200" i="6"/>
  <c r="O200" i="6"/>
  <c r="Q191" i="6"/>
  <c r="Q203" i="6" s="1"/>
  <c r="O191" i="6"/>
  <c r="O203" i="6" s="1"/>
  <c r="Q189" i="6"/>
  <c r="P189" i="6"/>
  <c r="P212" i="6" s="1"/>
  <c r="O189" i="6"/>
  <c r="I189" i="6"/>
  <c r="H189" i="6"/>
  <c r="G189" i="6"/>
  <c r="I184" i="6"/>
  <c r="H184" i="6"/>
  <c r="G184" i="6"/>
  <c r="D184" i="6"/>
  <c r="O183" i="6"/>
  <c r="Q183" i="6" s="1"/>
  <c r="O182" i="6"/>
  <c r="O184" i="6" s="1"/>
  <c r="L117" i="6"/>
  <c r="D117" i="6"/>
  <c r="L78" i="6"/>
  <c r="I78" i="6"/>
  <c r="H78" i="6"/>
  <c r="G78" i="6"/>
  <c r="D78" i="6"/>
  <c r="Q77" i="6"/>
  <c r="O77" i="6"/>
  <c r="Q76" i="6"/>
  <c r="O76" i="6"/>
  <c r="Q75" i="6"/>
  <c r="O75" i="6"/>
  <c r="Q74" i="6"/>
  <c r="O74" i="6"/>
  <c r="Q73" i="6"/>
  <c r="O73" i="6"/>
  <c r="Q72" i="6"/>
  <c r="O72" i="6"/>
  <c r="Q71" i="6"/>
  <c r="O71" i="6"/>
  <c r="Q70" i="6"/>
  <c r="O70" i="6"/>
  <c r="Q69" i="6"/>
  <c r="O69" i="6"/>
  <c r="Q68" i="6"/>
  <c r="O68" i="6"/>
  <c r="Q67" i="6"/>
  <c r="O67" i="6"/>
  <c r="Q66" i="6"/>
  <c r="O66" i="6"/>
  <c r="Q65" i="6"/>
  <c r="O65" i="6"/>
  <c r="Q64" i="6"/>
  <c r="O64" i="6"/>
  <c r="Q63" i="6"/>
  <c r="O63" i="6"/>
  <c r="Q62" i="6"/>
  <c r="O62" i="6"/>
  <c r="Q61" i="6"/>
  <c r="O61" i="6"/>
  <c r="Q60" i="6"/>
  <c r="O60" i="6"/>
  <c r="Q59" i="6"/>
  <c r="O59" i="6"/>
  <c r="Q58" i="6"/>
  <c r="O58" i="6"/>
  <c r="Q57" i="6"/>
  <c r="O57" i="6"/>
  <c r="Q56" i="6"/>
  <c r="O56" i="6"/>
  <c r="Q55" i="6"/>
  <c r="O55" i="6"/>
  <c r="Q54" i="6"/>
  <c r="O54" i="6"/>
  <c r="Q53" i="6"/>
  <c r="O53" i="6"/>
  <c r="Q52" i="6"/>
  <c r="O52" i="6"/>
  <c r="Q51" i="6"/>
  <c r="O51" i="6"/>
  <c r="Q50" i="6"/>
  <c r="P50" i="6"/>
  <c r="O50" i="6"/>
  <c r="Q49" i="6"/>
  <c r="O49" i="6"/>
  <c r="Q48" i="6"/>
  <c r="O48" i="6"/>
  <c r="Q47" i="6"/>
  <c r="O47" i="6"/>
  <c r="Q46" i="6"/>
  <c r="O46" i="6"/>
  <c r="Q45" i="6"/>
  <c r="O45" i="6"/>
  <c r="Q44" i="6"/>
  <c r="O44" i="6"/>
  <c r="L32" i="6"/>
  <c r="H35" i="5"/>
  <c r="H27" i="5"/>
  <c r="H15" i="5"/>
  <c r="H10" i="5"/>
  <c r="H35" i="4"/>
  <c r="H27" i="4"/>
  <c r="H15" i="4"/>
  <c r="H10" i="4"/>
  <c r="H36" i="4" s="1"/>
  <c r="I45" i="3"/>
  <c r="H44" i="3"/>
  <c r="H17" i="3"/>
  <c r="H36" i="3"/>
  <c r="O78" i="6" l="1"/>
  <c r="O212" i="6" s="1"/>
  <c r="Q78" i="6"/>
  <c r="D212" i="6"/>
  <c r="G212" i="6"/>
  <c r="I212" i="6"/>
  <c r="L212" i="6"/>
  <c r="Q182" i="6"/>
  <c r="Q184" i="6" s="1"/>
  <c r="Q212" i="6" s="1"/>
  <c r="H36" i="5"/>
  <c r="G211" i="2" l="1"/>
  <c r="I203" i="2"/>
  <c r="G203" i="2"/>
  <c r="Q201" i="2"/>
  <c r="O201" i="2"/>
  <c r="Q200" i="2"/>
  <c r="O200" i="2"/>
  <c r="Q191" i="2"/>
  <c r="Q203" i="2" s="1"/>
  <c r="O191" i="2"/>
  <c r="O203" i="2" s="1"/>
  <c r="Q189" i="2"/>
  <c r="P189" i="2"/>
  <c r="P212" i="2" s="1"/>
  <c r="O189" i="2"/>
  <c r="I189" i="2"/>
  <c r="H189" i="2"/>
  <c r="G189" i="2"/>
  <c r="I184" i="2"/>
  <c r="H184" i="2"/>
  <c r="G184" i="2"/>
  <c r="D184" i="2"/>
  <c r="O183" i="2"/>
  <c r="Q183" i="2" s="1"/>
  <c r="O182" i="2"/>
  <c r="Q182" i="2" s="1"/>
  <c r="L117" i="2"/>
  <c r="D117" i="2"/>
  <c r="L78" i="2"/>
  <c r="I78" i="2"/>
  <c r="I212" i="2" s="1"/>
  <c r="H78" i="2"/>
  <c r="G78" i="2"/>
  <c r="G212" i="2" s="1"/>
  <c r="D78" i="2"/>
  <c r="D212" i="2" s="1"/>
  <c r="Q77" i="2"/>
  <c r="O77" i="2"/>
  <c r="Q76" i="2"/>
  <c r="O76" i="2"/>
  <c r="Q75" i="2"/>
  <c r="O75" i="2"/>
  <c r="Q74" i="2"/>
  <c r="O74" i="2"/>
  <c r="Q73" i="2"/>
  <c r="O73" i="2"/>
  <c r="Q72" i="2"/>
  <c r="O72" i="2"/>
  <c r="Q71" i="2"/>
  <c r="O71" i="2"/>
  <c r="Q70" i="2"/>
  <c r="O70" i="2"/>
  <c r="Q69" i="2"/>
  <c r="O69" i="2"/>
  <c r="Q68" i="2"/>
  <c r="O68" i="2"/>
  <c r="Q67" i="2"/>
  <c r="O67" i="2"/>
  <c r="Q66" i="2"/>
  <c r="O66" i="2"/>
  <c r="Q65" i="2"/>
  <c r="O65" i="2"/>
  <c r="Q64" i="2"/>
  <c r="O64" i="2"/>
  <c r="Q63" i="2"/>
  <c r="O63" i="2"/>
  <c r="Q62" i="2"/>
  <c r="O62" i="2"/>
  <c r="Q61" i="2"/>
  <c r="O61" i="2"/>
  <c r="Q60" i="2"/>
  <c r="O60" i="2"/>
  <c r="Q59" i="2"/>
  <c r="O59" i="2"/>
  <c r="Q58" i="2"/>
  <c r="O58" i="2"/>
  <c r="Q57" i="2"/>
  <c r="O57" i="2"/>
  <c r="Q56" i="2"/>
  <c r="O56" i="2"/>
  <c r="Q55" i="2"/>
  <c r="O55" i="2"/>
  <c r="Q54" i="2"/>
  <c r="O54" i="2"/>
  <c r="Q53" i="2"/>
  <c r="O53" i="2"/>
  <c r="Q52" i="2"/>
  <c r="O52" i="2"/>
  <c r="Q51" i="2"/>
  <c r="O51" i="2"/>
  <c r="Q50" i="2"/>
  <c r="P50" i="2"/>
  <c r="O50" i="2"/>
  <c r="Q49" i="2"/>
  <c r="O49" i="2"/>
  <c r="Q48" i="2"/>
  <c r="O48" i="2"/>
  <c r="Q47" i="2"/>
  <c r="O47" i="2"/>
  <c r="Q46" i="2"/>
  <c r="O46" i="2"/>
  <c r="Q45" i="2"/>
  <c r="O45" i="2"/>
  <c r="Q44" i="2"/>
  <c r="O44" i="2"/>
  <c r="L32" i="2"/>
  <c r="L212" i="1"/>
  <c r="G211" i="1"/>
  <c r="I203" i="1"/>
  <c r="G203" i="1"/>
  <c r="Q201" i="1"/>
  <c r="O201" i="1"/>
  <c r="Q200" i="1"/>
  <c r="O200" i="1"/>
  <c r="Q191" i="1"/>
  <c r="Q203" i="1" s="1"/>
  <c r="O191" i="1"/>
  <c r="O203" i="1" s="1"/>
  <c r="Q189" i="1"/>
  <c r="P189" i="1"/>
  <c r="P212" i="1" s="1"/>
  <c r="O189" i="1"/>
  <c r="I189" i="1"/>
  <c r="H189" i="1"/>
  <c r="G189" i="1"/>
  <c r="I184" i="1"/>
  <c r="H184" i="1"/>
  <c r="G184" i="1"/>
  <c r="D184" i="1"/>
  <c r="O183" i="1"/>
  <c r="Q183" i="1" s="1"/>
  <c r="O182" i="1"/>
  <c r="Q182" i="1" s="1"/>
  <c r="Q184" i="1" s="1"/>
  <c r="L117" i="1"/>
  <c r="D117" i="1"/>
  <c r="L78" i="1"/>
  <c r="I78" i="1"/>
  <c r="I212" i="1" s="1"/>
  <c r="H78" i="1"/>
  <c r="G78" i="1"/>
  <c r="G212" i="1" s="1"/>
  <c r="D78" i="1"/>
  <c r="D212" i="1" s="1"/>
  <c r="Q77" i="1"/>
  <c r="O77" i="1"/>
  <c r="Q76" i="1"/>
  <c r="O76" i="1"/>
  <c r="Q75" i="1"/>
  <c r="O75" i="1"/>
  <c r="Q74" i="1"/>
  <c r="O74" i="1"/>
  <c r="Q73" i="1"/>
  <c r="O73" i="1"/>
  <c r="Q72" i="1"/>
  <c r="O72" i="1"/>
  <c r="Q71" i="1"/>
  <c r="O71" i="1"/>
  <c r="Q70" i="1"/>
  <c r="O70" i="1"/>
  <c r="Q69" i="1"/>
  <c r="O69" i="1"/>
  <c r="Q68" i="1"/>
  <c r="O68" i="1"/>
  <c r="Q67" i="1"/>
  <c r="O67" i="1"/>
  <c r="Q66" i="1"/>
  <c r="O66" i="1"/>
  <c r="Q65" i="1"/>
  <c r="O65" i="1"/>
  <c r="Q64" i="1"/>
  <c r="O64" i="1"/>
  <c r="Q63" i="1"/>
  <c r="O63" i="1"/>
  <c r="Q62" i="1"/>
  <c r="O62" i="1"/>
  <c r="Q61" i="1"/>
  <c r="O61" i="1"/>
  <c r="Q60" i="1"/>
  <c r="O60" i="1"/>
  <c r="Q59" i="1"/>
  <c r="O59" i="1"/>
  <c r="Q58" i="1"/>
  <c r="O58" i="1"/>
  <c r="Q57" i="1"/>
  <c r="O57" i="1"/>
  <c r="Q56" i="1"/>
  <c r="O56" i="1"/>
  <c r="Q55" i="1"/>
  <c r="O55" i="1"/>
  <c r="Q54" i="1"/>
  <c r="O54" i="1"/>
  <c r="Q53" i="1"/>
  <c r="O53" i="1"/>
  <c r="Q52" i="1"/>
  <c r="O52" i="1"/>
  <c r="Q51" i="1"/>
  <c r="O51" i="1"/>
  <c r="Q50" i="1"/>
  <c r="P50" i="1"/>
  <c r="O50" i="1"/>
  <c r="Q49" i="1"/>
  <c r="O49" i="1"/>
  <c r="Q48" i="1"/>
  <c r="O48" i="1"/>
  <c r="Q47" i="1"/>
  <c r="O47" i="1"/>
  <c r="Q46" i="1"/>
  <c r="O46" i="1"/>
  <c r="Q45" i="1"/>
  <c r="O45" i="1"/>
  <c r="Q44" i="1"/>
  <c r="Q78" i="1" s="1"/>
  <c r="O44" i="1"/>
  <c r="O78" i="1" s="1"/>
  <c r="L32" i="1"/>
  <c r="Q184" i="2" l="1"/>
  <c r="L212" i="2"/>
  <c r="O78" i="2"/>
  <c r="Q78" i="2"/>
  <c r="Q212" i="2" s="1"/>
  <c r="O184" i="2"/>
  <c r="O212" i="2" s="1"/>
  <c r="O212" i="1"/>
  <c r="Q212" i="1"/>
  <c r="O184" i="1"/>
  <c r="I173" i="32" l="1"/>
  <c r="I207" i="32" s="1"/>
</calcChain>
</file>

<file path=xl/sharedStrings.xml><?xml version="1.0" encoding="utf-8"?>
<sst xmlns="http://schemas.openxmlformats.org/spreadsheetml/2006/main" count="6284" uniqueCount="475">
  <si>
    <t>สำนักงานท่าเทียบเรือประมงสตูล</t>
  </si>
  <si>
    <t>รายละเอียดหนี้ค้างชำระค่าธรรมเนียมและค่าเช่าอาคารและที่ดิน</t>
  </si>
  <si>
    <t>ประจำเดือน กันยายน 2568</t>
  </si>
  <si>
    <t>ลำดับ</t>
  </si>
  <si>
    <t>รายชื่อ</t>
  </si>
  <si>
    <t>สถานที่ตั้ง</t>
  </si>
  <si>
    <t>อัตรา</t>
  </si>
  <si>
    <t>ค้างชำระยกมา</t>
  </si>
  <si>
    <t>รับชำระ</t>
  </si>
  <si>
    <t>ค้างชำระยกไป</t>
  </si>
  <si>
    <t>หมายเหตุ</t>
  </si>
  <si>
    <t>หนังสือทวงถามหนี้</t>
  </si>
  <si>
    <t>ส่ง สกม.บอกเลิกสัญญา</t>
  </si>
  <si>
    <t>สกม. บอกเลิกสัญญาแล้ว</t>
  </si>
  <si>
    <t>รับสภาพหนี้</t>
  </si>
  <si>
    <t>ส่ง สกม.ดำเนินคดี</t>
  </si>
  <si>
    <t>คำพิพากษา</t>
  </si>
  <si>
    <t>ค่าฤชาธรรมเนียม</t>
  </si>
  <si>
    <t>หมายบังคับคดี</t>
  </si>
  <si>
    <t>สืบทรัพย์</t>
  </si>
  <si>
    <t>ค่าเช่า</t>
  </si>
  <si>
    <t>ค้างตั้งแต่</t>
  </si>
  <si>
    <t>เดือน</t>
  </si>
  <si>
    <t>ยอดหนี้</t>
  </si>
  <si>
    <t>ค่าธรรมเนียม</t>
  </si>
  <si>
    <t>ภาษี</t>
  </si>
  <si>
    <t>รวม</t>
  </si>
  <si>
    <t>วดป.</t>
  </si>
  <si>
    <t>เลขที่ใบเสร็จ</t>
  </si>
  <si>
    <t>จำนวนเงิน</t>
  </si>
  <si>
    <t>ค่าบริการสัตว์น้ำ 4600100</t>
  </si>
  <si>
    <t>ค่าธรรมเนียมสัตว์น้ำผ่านท่า 4600200</t>
  </si>
  <si>
    <t>นายทักษิณ  สุภาพ</t>
  </si>
  <si>
    <t>ค่าธรรมเนียมรถผ่านท่า 4600300</t>
  </si>
  <si>
    <t xml:space="preserve"> </t>
  </si>
  <si>
    <t>ค่าธรรมเนียมน้ำแข็งผ่านท่า 4600400</t>
  </si>
  <si>
    <t>นายบราเหม  ฮะยีบิลัง</t>
  </si>
  <si>
    <t>ค่าธรรมเนียมน้ำมันผ่านท่า 4600500</t>
  </si>
  <si>
    <t>ค่าธรรมเนียมใช้เครื่องชั่ง 4600600</t>
  </si>
  <si>
    <t>ค่าธรรมเนียมใช้สถานที่ 4600700</t>
  </si>
  <si>
    <t>นายสุรเชษฐ์  ตรังค์คุณากร</t>
  </si>
  <si>
    <t>อนุมัติยกเลิก กษ1709.6/89ลว.12/3/68</t>
  </si>
  <si>
    <t>นายชัยวัฒน์   ม่วงไหมทอง</t>
  </si>
  <si>
    <t>446/22299</t>
  </si>
  <si>
    <t>นายสาฮีดุล  เหมปันดัน</t>
  </si>
  <si>
    <t>447/22321</t>
  </si>
  <si>
    <t>นางสาวไรหย๊ะ  ชายเสย</t>
  </si>
  <si>
    <t>447/22319</t>
  </si>
  <si>
    <t>*ยกยอดมาไม่มีเนื่องจาก ท่าสตูลไม่ได้ใส่เมื่อเดือน มค.68วันที่ 31/1/68 เล่มที่ 443/22131เป็นเงิน 535.- บาท</t>
  </si>
  <si>
    <t>ค่าธรรมเนียมอื่น ๆ 4600800</t>
  </si>
  <si>
    <t>ค่าเช่าที่จำหน่ายน้ำแข็งและตั้งเครื่องโม่ 4601100</t>
  </si>
  <si>
    <t>ค่าธรรมเนียมใช้เครน 4601300</t>
  </si>
  <si>
    <t>ค่าเช่าอาคารและที่ดิน 4700400</t>
  </si>
  <si>
    <t>อาคารพาณิชย์ 30 คูหา</t>
  </si>
  <si>
    <t>บ.อันดามันทรานสปอร์ตมาริเนอร์ จก.</t>
  </si>
  <si>
    <t>256-258</t>
  </si>
  <si>
    <t xml:space="preserve">** ยกเลิก/ส่งคืนพื้นที่ 31 ม.ค.66 </t>
  </si>
  <si>
    <t>ว่าง</t>
  </si>
  <si>
    <t xml:space="preserve">** ยกเลิก/ส่งคืนพื้นที่ 31 พ.ค.66 </t>
  </si>
  <si>
    <t>261-262</t>
  </si>
  <si>
    <t>** ยกเลิก/ส่งคืนพื้นที่ 1 ม.ค.66</t>
  </si>
  <si>
    <t>263-264</t>
  </si>
  <si>
    <t>นายสุนทร  อุไร</t>
  </si>
  <si>
    <t>265-266</t>
  </si>
  <si>
    <t>**ยกเลิก 31 มกราคม 2568</t>
  </si>
  <si>
    <t>นายณัฐวุฒิ  โกบบาหลี</t>
  </si>
  <si>
    <t>006/0275</t>
  </si>
  <si>
    <t>** ยกเลิก/ส่งคืนพื้นที่ 31 ม.ค.66</t>
  </si>
  <si>
    <t>นส.มูรีนา  นิมะ</t>
  </si>
  <si>
    <t>**หนี้ระหว่างดำเนินคดี</t>
  </si>
  <si>
    <t>นางกรุณา  ไชยวานิช</t>
  </si>
  <si>
    <t>269-270</t>
  </si>
  <si>
    <t>006/0279</t>
  </si>
  <si>
    <t>นายนิสิทธิ์ หลงสาระ</t>
  </si>
  <si>
    <t>ส.ค.68</t>
  </si>
  <si>
    <t>006/0289</t>
  </si>
  <si>
    <t>นางเจ๊ะสู  หลังกอลอ</t>
  </si>
  <si>
    <t>**ยกเลิก/ส่งคืนพื้นที่ 30 พ.ย.66</t>
  </si>
  <si>
    <t>นายชูโชค  แซ่หลี</t>
  </si>
  <si>
    <t>88-89</t>
  </si>
  <si>
    <t>005/0277</t>
  </si>
  <si>
    <t>นายสุชาติ  หลงกูนัน</t>
  </si>
  <si>
    <t>278-279</t>
  </si>
  <si>
    <t>นางวงสิริ  เอี่ยวเหล็ก</t>
  </si>
  <si>
    <t>006/0285</t>
  </si>
  <si>
    <t>นายตรังปกรณ์  พรพิมลวัฒน์</t>
  </si>
  <si>
    <t>273-276</t>
  </si>
  <si>
    <t>**หนี้อยู่ระหว่างดำเนินคดี</t>
  </si>
  <si>
    <t>271-272</t>
  </si>
  <si>
    <t>อาคารแพปลา 5 คูหา</t>
  </si>
  <si>
    <t>115/2</t>
  </si>
  <si>
    <t>**ยกเลิก 31 ต.ค.65</t>
  </si>
  <si>
    <t>115/3</t>
  </si>
  <si>
    <t>นายชาติชาย  ชุมพล</t>
  </si>
  <si>
    <t>115/4</t>
  </si>
  <si>
    <t>115/5</t>
  </si>
  <si>
    <t>115/6</t>
  </si>
  <si>
    <t>อาคารพาณิชย์ 2 ชั้นครึ่ง</t>
  </si>
  <si>
    <t>นายไพบูลย์  โลหะตันติวรกุล</t>
  </si>
  <si>
    <t>311-312</t>
  </si>
  <si>
    <t>อนุมัติยกเลิก กษ1709.6/207ลว.25/6/68</t>
  </si>
  <si>
    <t>ขอยกเลิก 26 มิย.68</t>
  </si>
  <si>
    <t>อาคารจำหน่ายน้ำแข็ง</t>
  </si>
  <si>
    <t>อนุมัติยกเลิก กษ1709.6/97ลว.27/3/68</t>
  </si>
  <si>
    <t>ค่าเช่าที่ดิน สัญญา 3 ปี</t>
  </si>
  <si>
    <t>นายสมหมาย  คาคะวารีย์</t>
  </si>
  <si>
    <t>006/0280</t>
  </si>
  <si>
    <t>006/0281</t>
  </si>
  <si>
    <t>*เริ่ม 1 เม.ย.67 สัญญา 1 ปี</t>
  </si>
  <si>
    <t>นายชาญชัย  ออมทรัพย์สิน</t>
  </si>
  <si>
    <t>006/0272</t>
  </si>
  <si>
    <t>*ปรับค่าเช่าเพิ่ม 15% จากเดิม 3,000  1 ม.ค.68</t>
  </si>
  <si>
    <t>นายสาและ  โตะดิน</t>
  </si>
  <si>
    <t>006/0273</t>
  </si>
  <si>
    <t>*ปรับค่าเช่าเพิ่ม 15% จากเดิม 3,300  1 ม.ค.68</t>
  </si>
  <si>
    <t>นางซาฝีน่า  วัฒนะ</t>
  </si>
  <si>
    <t>006/0278</t>
  </si>
  <si>
    <t>ค่าเช่าที่อื่น ๆ 4700700</t>
  </si>
  <si>
    <t>ค่าเช่าทรัพย์สิน (รายปี)</t>
  </si>
  <si>
    <t>นางสาวปิยะนุช  นิยมเดชา</t>
  </si>
  <si>
    <t>*** ยกเลิกสัญญา กษ.1708.2/155 ลว.7 กค.66 นำเงินประกันสัญญามาหักหนี้ค้างชำระ ตามเลขที่ 412/41200 วันที่ 20/12/61 จำนวนเงิน 10,000 บาท</t>
  </si>
  <si>
    <t>นายอดิศร  สุขศรี</t>
  </si>
  <si>
    <t>006/0274</t>
  </si>
  <si>
    <t xml:space="preserve"> (โรงหลัว)</t>
  </si>
  <si>
    <t>นายสุนทร  สงชัย</t>
  </si>
  <si>
    <t>006/0284</t>
  </si>
  <si>
    <t>อนุมัติยกเลิก กษ1709.6/90ลว.12/3/68</t>
  </si>
  <si>
    <t>ร้านค้าแผงลอย</t>
  </si>
  <si>
    <t>นายสุวิทย์  นิมะ</t>
  </si>
  <si>
    <t>*นำเงินประกันสัญญามาหักเป็นค่าเช่า</t>
  </si>
  <si>
    <t>นางระหยา  โกบบาหลี</t>
  </si>
  <si>
    <t>006/0282</t>
  </si>
  <si>
    <t>นายโสภณ   กรดมาก</t>
  </si>
  <si>
    <t>006/0287</t>
  </si>
  <si>
    <t>นางสุนีย์  หมัดวิเศษ</t>
  </si>
  <si>
    <t>006/0283</t>
  </si>
  <si>
    <t>ร้านค้าชุมชน</t>
  </si>
  <si>
    <t>นายสุรินทร์  หลงกูนัน</t>
  </si>
  <si>
    <t>006/0288</t>
  </si>
  <si>
    <t>ปรับปรุงการรับชำระ เนื่องจาก ทร.สต.ลืมลงรายการรับชำระของเดือน พค.68</t>
  </si>
  <si>
    <t>ห้องน้ำสาธารณะ</t>
  </si>
  <si>
    <t>นายหมัดเด่น  หมันส๊ะ</t>
  </si>
  <si>
    <t>จอดพักรถยนต์</t>
  </si>
  <si>
    <t>นายสุกรี  สำลี</t>
  </si>
  <si>
    <t>นายเจ๊ะหลี  นิยมเดชา</t>
  </si>
  <si>
    <t>**ยกเลิก 31 ธันวาคม 2567</t>
  </si>
  <si>
    <t>นางทัศนีย์  เหะหมัด</t>
  </si>
  <si>
    <t>นายอับดุลลาห์  ปูหยัง</t>
  </si>
  <si>
    <t>ยกเลิก กษ1709.6/129 ลว8เม.ย.68</t>
  </si>
  <si>
    <t>นางฮายีเราะห์  หวังนุรักษ์</t>
  </si>
  <si>
    <t>ยกเลิก กษ1709.6/91 ลว12มีค.68</t>
  </si>
  <si>
    <t>นายชาญชัย  ยีอา</t>
  </si>
  <si>
    <t>**ยกเลิก 2 มกราคม 2568</t>
  </si>
  <si>
    <t>นายยะโกบ  จางวาง</t>
  </si>
  <si>
    <t xml:space="preserve">นายเจ๊ะละ  ปูหยัง </t>
  </si>
  <si>
    <t>ยกเลิก กษ1709.6/361 ลว26ธค.67</t>
  </si>
  <si>
    <t>นายอุหมาก  หมั่นสง่า</t>
  </si>
  <si>
    <t>นายยงยุท  ลีลานนท์</t>
  </si>
  <si>
    <t>ยกเลิก กษ1709.6/362 ลว26ธค.67</t>
  </si>
  <si>
    <t>นายมาฮำหมัดนอร์  อยู่ดี</t>
  </si>
  <si>
    <t>นายอุดม     มีงาม</t>
  </si>
  <si>
    <t>อนุมัติยกเลิก กษ1709.6/92 ลว.12/3/68</t>
  </si>
  <si>
    <t>นายสาแหละ  ปูหัด</t>
  </si>
  <si>
    <t>อนุมัติยกเลิก กษ1709.6/86 ลว.6/3/68</t>
  </si>
  <si>
    <t>นายรอฮีม  สุมาลี</t>
  </si>
  <si>
    <t>อนุมัติยกเลิก กษ1709.6/130 ลว.11/4/68</t>
  </si>
  <si>
    <t>น.ส.วัลยา  บุญเทพ</t>
  </si>
  <si>
    <t>นายหวันสักรี  เหมปันดัน</t>
  </si>
  <si>
    <t>ค่าสุขาภิบาล 4701420</t>
  </si>
  <si>
    <t>ค่าจำหน่ายน้ำประปา 4700200</t>
  </si>
  <si>
    <t>ค่าจำหน่ายไฟฟ้า 4700300</t>
  </si>
  <si>
    <t>สิทธิการเช่าโอนเป็นรายได้ 4700900</t>
  </si>
  <si>
    <t>-</t>
  </si>
  <si>
    <t xml:space="preserve">  ช่วงสัญญา 1 กพ.63-31 มค.66</t>
  </si>
  <si>
    <t xml:space="preserve">นายประพันธ์  กรดมาก </t>
  </si>
  <si>
    <t>นางจริน  กั่วพานิช</t>
  </si>
  <si>
    <t xml:space="preserve">  *ยกเลิกตามบันทึก กษ 1705.3/28</t>
  </si>
  <si>
    <t>** ยกเลิกสัญญา/ส่งคืนพื้นที่ 1 ม.ค.66</t>
  </si>
  <si>
    <t xml:space="preserve">  ลว. 3 มี.ค.65 เรื่องการจัดเก็บค่า</t>
  </si>
  <si>
    <t xml:space="preserve">  อายุสัญญาเช่า</t>
  </si>
  <si>
    <t>นายถาวร  ถิ่นกาแบง</t>
  </si>
  <si>
    <t>** ยกเลิกสัญญา/ส่งคืนพื้นที่ 1 ก.พ.66</t>
  </si>
  <si>
    <t xml:space="preserve">  **นำเงินประกันสัญญามาหักค่าต่ออายุฯ</t>
  </si>
  <si>
    <r>
      <t xml:space="preserve">นส.มูรีนา  นิมะ   </t>
    </r>
    <r>
      <rPr>
        <u/>
        <sz val="16"/>
        <color indexed="8"/>
        <rFont val="TH Sarabun New"/>
        <family val="2"/>
      </rPr>
      <t>บอกเลิกสัญญา</t>
    </r>
  </si>
  <si>
    <t xml:space="preserve">    ช่วงสัญญา 1 กพ.54-31 มค.57</t>
  </si>
  <si>
    <t xml:space="preserve">    ช่วงสัญญา 1 กพ.57-31 มค.60</t>
  </si>
  <si>
    <t xml:space="preserve">    ช่วงสัญญา 1 กพ.60-31 มค.63</t>
  </si>
  <si>
    <t xml:space="preserve">   ช่วงสัญญา 1 กพ.63-31 มค.66</t>
  </si>
  <si>
    <t>นส.กุลวดี  เกษมปิติ</t>
  </si>
  <si>
    <t>นางเจ๊ะสู  หลังกอล</t>
  </si>
  <si>
    <t xml:space="preserve">   ช่วงสัญญา 1 กพ.57-31 มค.60</t>
  </si>
  <si>
    <t>ยกเลิกเช่า 1 พย.66</t>
  </si>
  <si>
    <t xml:space="preserve">   ช่วงสัญญา 1 กพ.60-31 มค.63</t>
  </si>
  <si>
    <t>นายเสนอ  ขอจิตต์เมตต์</t>
  </si>
  <si>
    <t>ช่วงสัญญา 1 กพ.63-31 มค.66</t>
  </si>
  <si>
    <t>ช่วงสัญญา 1 กพ.66-31 มค.67</t>
  </si>
  <si>
    <t>นายวันชัย  วรรณรัตน์</t>
  </si>
  <si>
    <t>นายเกียรติศักดิ์ กู้เจริญพันธุ์</t>
  </si>
  <si>
    <t>*ยกเลิก 1 พ.ค.65 ชำระค่าต่ออายุสัญญา</t>
  </si>
  <si>
    <t>นายสุชาติ หลงกูนัน</t>
  </si>
  <si>
    <t>เช่า 27 เดือน ตั้งแต่ 1 ก.พ.63-30 เม.ย.65</t>
  </si>
  <si>
    <t xml:space="preserve">  ช่วง 1 ธค.57-30พย.60 เหลือ  6,520.-</t>
  </si>
  <si>
    <t xml:space="preserve"> ช่วง 1 ธค.60-30พย.63 เหลือ  12,360.-</t>
  </si>
  <si>
    <t>อนุมัติยกเลิก กษ1709.6/89,90ลว.12/3/68</t>
  </si>
  <si>
    <t>โรงจอดรถยนต์</t>
  </si>
  <si>
    <t>เช่าที่ดิน 3 ปี</t>
  </si>
  <si>
    <t>*สัญญาตั้งแต่ 1 ม.ค.66 - 31 .ค.68</t>
  </si>
  <si>
    <t>นายสมนึก สุภาพ</t>
  </si>
  <si>
    <t>รายได้เบ็ดเตล็ด 4701600</t>
  </si>
  <si>
    <t>ค่าภาษีโรงเรือน</t>
  </si>
  <si>
    <t>ค่าประกันอัคคีภัย (เงินรับฝากต่าง ๆ 2130200)</t>
  </si>
  <si>
    <t>ค่าตอบแทนเพื่อใช้ประโยชน์พื้นที่ถือเป็นส่วนหนึ่งของค่าเสียหาย</t>
  </si>
  <si>
    <t>กค.-สค.68</t>
  </si>
  <si>
    <t>กค.-กย.68</t>
  </si>
  <si>
    <t>ปรับทุกเดือน</t>
  </si>
  <si>
    <t>นายสมนึก    สุภาพ</t>
  </si>
  <si>
    <t>บอกเลิกสัญญา</t>
  </si>
  <si>
    <t>หนี้อยู่ระหว่างดำเนินคดี</t>
  </si>
  <si>
    <t>ส.ค.60-ส.ค.68</t>
  </si>
  <si>
    <t>ส.ค.60-ก.ย.68</t>
  </si>
  <si>
    <t>*อยู่ระหว่างพิจารณาคดีที่ศาลจังหวัดสตูล</t>
  </si>
  <si>
    <t xml:space="preserve">ค่าสิทธิการเช่าโอนเป็นรายได้  </t>
  </si>
  <si>
    <t>ช่วงสัญญา 1 กพ.54-31 มค.57</t>
  </si>
  <si>
    <t>ช่วงสัญญา 1 กพ.57-31 มค.60</t>
  </si>
  <si>
    <t>ช่วงสัญญา 1 กพ.60-31 มค.63</t>
  </si>
  <si>
    <t>นางอารีย์  วนิชกุลพิทักษ์  *บอกเลิกสัญญา</t>
  </si>
  <si>
    <t>ตค.59-มค.67</t>
  </si>
  <si>
    <t xml:space="preserve">*ส่งหนังสือหยุดหนี้ตามบันทึก </t>
  </si>
  <si>
    <t xml:space="preserve">   ที่ กษ1709.6/41ลว. 20 ก.พ.67</t>
  </si>
  <si>
    <t>พค.-พย.65</t>
  </si>
  <si>
    <t>*ส่งหนังสือขอยกเลิกที่ กษ1709.6/247</t>
  </si>
  <si>
    <t xml:space="preserve"> ลว.23 พ.ย.65 ผู้เช่าไม่ได้อยู่ในพื้นที่</t>
  </si>
  <si>
    <t>ค่าสิทธิการเช่าโอนเป็นรายได้</t>
  </si>
  <si>
    <t xml:space="preserve">*หักเงินประกัน 14,400บาท </t>
  </si>
  <si>
    <t>มี.ค.- มิ.ย.68</t>
  </si>
  <si>
    <t>ผออ.อนุมัติบอกเลิก 9 มิย.68 กษ1709.6/155 ลว29เมย.68</t>
  </si>
  <si>
    <t>มี.ค.-มิ.ย.68</t>
  </si>
  <si>
    <t>ผออ.อนุมัติบอกเลิก 9 มิย.68 กษ1709.6/154 ลว29เมย.68</t>
  </si>
  <si>
    <t>หนี้ดำเนินดคี/ศาลพิพากษา</t>
  </si>
  <si>
    <r>
      <t xml:space="preserve">นางวรีย์กานท์   วิชิตวงศกร </t>
    </r>
    <r>
      <rPr>
        <u/>
        <sz val="16"/>
        <color indexed="8"/>
        <rFont val="TH Sarabun New"/>
        <family val="2"/>
      </rPr>
      <t>บอกเลิกสัญญา</t>
    </r>
  </si>
  <si>
    <t>รอศาลพิพากษา</t>
  </si>
  <si>
    <t xml:space="preserve"> - อาคารพาณิชย์ คูหา 263-264</t>
  </si>
  <si>
    <t>ตค.58-มค.63</t>
  </si>
  <si>
    <t>รวมดอกเบี้ย</t>
  </si>
  <si>
    <t xml:space="preserve"> - สิทธิการเช่าโอนเป็นรายได้</t>
  </si>
  <si>
    <t xml:space="preserve"> - ประกันอัคคีภัย</t>
  </si>
  <si>
    <t xml:space="preserve"> - ดอกเบี้ย 7.5/ปี ของเงินต้น 195,129.32 (ดอกเบี้ย 19,975.48 บาท แบ่งเป็น ดอกเบี้ยอาคารพาณิชย์ 19,307.98 และ ดอกเบี้ยประกันอัคคีภัย 667.50 บาท)</t>
  </si>
  <si>
    <t xml:space="preserve">  *** ศาลนัดฟังคำพิพากษาเมื่อวันที่ 3/9/63 รอหนังสือพิจารณาจากศาล จ.สงขลา ***</t>
  </si>
  <si>
    <t>รวมทั้งสิ้น</t>
  </si>
  <si>
    <t>ประจำเดือน ตุลาคม 2568</t>
  </si>
  <si>
    <t>กค.-ตค.68</t>
  </si>
  <si>
    <t>ส.ค.60-ต.ค.68</t>
  </si>
  <si>
    <t>448/22352</t>
  </si>
  <si>
    <t>448/22367</t>
  </si>
  <si>
    <t>448/22366</t>
  </si>
  <si>
    <t>007/0305</t>
  </si>
  <si>
    <t>007/0308</t>
  </si>
  <si>
    <t>007/0311</t>
  </si>
  <si>
    <t>007/0302</t>
  </si>
  <si>
    <t>007/0312</t>
  </si>
  <si>
    <t>007/0303</t>
  </si>
  <si>
    <t>007/0307</t>
  </si>
  <si>
    <t>007/0304</t>
  </si>
  <si>
    <t>007/0301</t>
  </si>
  <si>
    <t>007/0310</t>
  </si>
  <si>
    <t>007/0314</t>
  </si>
  <si>
    <t>007/0316</t>
  </si>
  <si>
    <t>007/0313</t>
  </si>
  <si>
    <t>007/0315</t>
  </si>
  <si>
    <t>หนี้ปกติ</t>
  </si>
  <si>
    <t>ค่าตอบแทน</t>
  </si>
  <si>
    <t>หนี้ดำเนินคดี</t>
  </si>
  <si>
    <t>รวมหนี้ปกติ+ค่าตอบแทน+หนี้ระหว่างดำนเนิคดี+หนี้ดำเนินคดี</t>
  </si>
  <si>
    <t>หนี้ค้าง 1 เดือน</t>
  </si>
  <si>
    <t>ประจำเดือน พฤศจิกายน 2568</t>
  </si>
  <si>
    <t>กค.-พย.68</t>
  </si>
  <si>
    <t>ส.ค.60-พ.ย.68</t>
  </si>
  <si>
    <t>นายศิวกร   จิตต์ดี</t>
  </si>
  <si>
    <t>448/22372</t>
  </si>
  <si>
    <t>448/22391</t>
  </si>
  <si>
    <t>448/22392</t>
  </si>
  <si>
    <t>007/0321</t>
  </si>
  <si>
    <t>007/0323</t>
  </si>
  <si>
    <t>007/0328</t>
  </si>
  <si>
    <t>007/0331</t>
  </si>
  <si>
    <t>007/0325</t>
  </si>
  <si>
    <t>007/0324</t>
  </si>
  <si>
    <t>007/0320</t>
  </si>
  <si>
    <t>007/0318</t>
  </si>
  <si>
    <t>007/0319</t>
  </si>
  <si>
    <t>007/0317</t>
  </si>
  <si>
    <t>007/0329</t>
  </si>
  <si>
    <t>007/0326</t>
  </si>
  <si>
    <t>007/0330</t>
  </si>
  <si>
    <t>007/0327</t>
  </si>
  <si>
    <t>พย.68</t>
  </si>
  <si>
    <t>รับล่วงหน้า</t>
  </si>
  <si>
    <t>หนี้ปกติ+หนี้ค่าตอบแทน+หนี้อยู่ระหว่างดำเนินคดี+หนี้ดำเนินคดี</t>
  </si>
  <si>
    <t>หนี้ปกติ+หนี้อยู่ระหว่างดำเนินคดี+หนี้ดำเนินคดี</t>
  </si>
  <si>
    <t>หนี้ 1 เดือน</t>
  </si>
  <si>
    <t>ประจำเดือน ธันวาคม 2568</t>
  </si>
  <si>
    <t>กค.-ธค.68</t>
  </si>
  <si>
    <t>ส.ค.60-ธ.ค.68</t>
  </si>
  <si>
    <t>001/0004</t>
  </si>
  <si>
    <t>449/22403</t>
  </si>
  <si>
    <t>498/22402</t>
  </si>
  <si>
    <t>007/0336</t>
  </si>
  <si>
    <t>007/0338</t>
  </si>
  <si>
    <t>007/0343</t>
  </si>
  <si>
    <t>007/0341</t>
  </si>
  <si>
    <t>007/0349</t>
  </si>
  <si>
    <t>007/0339,0344</t>
  </si>
  <si>
    <t>007/0340,0345</t>
  </si>
  <si>
    <t>007/0334</t>
  </si>
  <si>
    <t>007/0333</t>
  </si>
  <si>
    <t>007/0332</t>
  </si>
  <si>
    <t>007/0335</t>
  </si>
  <si>
    <t>007/0342</t>
  </si>
  <si>
    <t>007/0347</t>
  </si>
  <si>
    <t>007/0348</t>
  </si>
  <si>
    <t>007/0350</t>
  </si>
  <si>
    <t>ธค.68</t>
  </si>
  <si>
    <t>หนี้ปกติ+ดำเนินคดี</t>
  </si>
  <si>
    <t>หนี้ปกติ+ดำเนินคดี+ค่าเสียหาย</t>
  </si>
  <si>
    <t>ประจำเดือน มกราคม 2569</t>
  </si>
  <si>
    <t>กค.68-มค.69</t>
  </si>
  <si>
    <t>ส.ค.60-ม.ค.69</t>
  </si>
  <si>
    <t>449/22405</t>
  </si>
  <si>
    <t>449/22423</t>
  </si>
  <si>
    <t>498/22422</t>
  </si>
  <si>
    <t>008/0356</t>
  </si>
  <si>
    <t>008/0358</t>
  </si>
  <si>
    <t>ธค68-มค69</t>
  </si>
  <si>
    <t>008/0353</t>
  </si>
  <si>
    <t>008/0363</t>
  </si>
  <si>
    <t>มค.69</t>
  </si>
  <si>
    <t>008/0351</t>
  </si>
  <si>
    <t>008/0354</t>
  </si>
  <si>
    <t>008/0355</t>
  </si>
  <si>
    <t>008/0352</t>
  </si>
  <si>
    <t>008/0361</t>
  </si>
  <si>
    <t>008/0365</t>
  </si>
  <si>
    <t>008/0359</t>
  </si>
  <si>
    <t>008/0366</t>
  </si>
  <si>
    <t>008/0367</t>
  </si>
  <si>
    <t>รวมหนี้ปกติ</t>
  </si>
  <si>
    <t>รวมหนี้ปกติ+ค่าเสียหาย+ฟ้อง</t>
  </si>
  <si>
    <t>รวมหนี้ฟ้อง</t>
  </si>
  <si>
    <t>หนี้ค้าง 2 เดือน</t>
  </si>
  <si>
    <t>ประจำเดือน กุมภาพันธ์ 2569</t>
  </si>
  <si>
    <t>กค.68-กพ.69</t>
  </si>
  <si>
    <t>449/22426</t>
  </si>
  <si>
    <t>449/22446</t>
  </si>
  <si>
    <t>449/22444</t>
  </si>
  <si>
    <t>008/0375</t>
  </si>
  <si>
    <t>008/0378</t>
  </si>
  <si>
    <t>008/0374</t>
  </si>
  <si>
    <t>008/0384</t>
  </si>
  <si>
    <t>008/0368</t>
  </si>
  <si>
    <t>กพ.69</t>
  </si>
  <si>
    <t>008/0369</t>
  </si>
  <si>
    <t>008/0371</t>
  </si>
  <si>
    <t>008/0377</t>
  </si>
  <si>
    <t>008/0370</t>
  </si>
  <si>
    <t>008/0372</t>
  </si>
  <si>
    <t>008/0379</t>
  </si>
  <si>
    <t>008/0385</t>
  </si>
  <si>
    <t>008/0383</t>
  </si>
  <si>
    <t>008/0386</t>
  </si>
  <si>
    <t>008/0387</t>
  </si>
  <si>
    <t>*3</t>
  </si>
  <si>
    <t>หนี้ปกติ+ค่าตอบแทน</t>
  </si>
  <si>
    <t>หนี้ปกติ+ค่าตอบแทน+หนี้อยู่ระหว่างดำเนินคดี</t>
  </si>
  <si>
    <t>หนี้ปกติ+ค่าตอบแทน+หนี้อยู่ระหว่างดำเนินคดี+หนี้ดำเนินดคี/ศาลพิพากษา</t>
  </si>
  <si>
    <t>รวมหนี้ปกติทั้งสิ้น</t>
  </si>
  <si>
    <t>1 เมย.67-ถึงปัญจจุบัน เป็นค่าเสียหาย</t>
  </si>
  <si>
    <t>เมย.67-มค.69</t>
  </si>
  <si>
    <t>เมย.67-กพ.69</t>
  </si>
  <si>
    <t>ส.ค.60-มี.ค.67</t>
  </si>
  <si>
    <t>*อยู่ระหว่างพิจารณาคดีที่ศาลจังหวัดสตูลรวมดอกเบี้ย</t>
  </si>
  <si>
    <t>ประจำเดือน มีนาคม 2569</t>
  </si>
  <si>
    <t>กค.68-มีค.69</t>
  </si>
  <si>
    <t>เมย.67-มีค.69</t>
  </si>
  <si>
    <t>449/22447</t>
  </si>
  <si>
    <t>450/22462</t>
  </si>
  <si>
    <t>450/22463</t>
  </si>
  <si>
    <t>008/0394</t>
  </si>
  <si>
    <t>008/0396</t>
  </si>
  <si>
    <t>มีค.69</t>
  </si>
  <si>
    <t>008/0391</t>
  </si>
  <si>
    <t>008/0406</t>
  </si>
  <si>
    <t>008/0398</t>
  </si>
  <si>
    <t>008/0399</t>
  </si>
  <si>
    <t>008/0389</t>
  </si>
  <si>
    <t>008/0393</t>
  </si>
  <si>
    <t>008/0392</t>
  </si>
  <si>
    <t>008/0390</t>
  </si>
  <si>
    <t>009/0404</t>
  </si>
  <si>
    <t>009/0401</t>
  </si>
  <si>
    <t>009/0403</t>
  </si>
  <si>
    <t>008/0397</t>
  </si>
  <si>
    <t>รวมค่าตอบแทน</t>
  </si>
  <si>
    <t>รวมหนี้บอกเลิก+ดำเนินคดี</t>
  </si>
  <si>
    <t>รวมหนี้ปกติ+หนี้ค่าตอบแทน+หนี้บอกเลิก+ดำเนินคดี</t>
  </si>
  <si>
    <t>ประจำเดือน เมษายน 2569</t>
  </si>
  <si>
    <t>กค.68-เมย.69</t>
  </si>
  <si>
    <t>เมย.67-เมย.69</t>
  </si>
  <si>
    <t>450/22466</t>
  </si>
  <si>
    <t>450/22481</t>
  </si>
  <si>
    <t>009/0414</t>
  </si>
  <si>
    <t>009/0415</t>
  </si>
  <si>
    <t>กพ.69-มีค.69</t>
  </si>
  <si>
    <t>009/0416</t>
  </si>
  <si>
    <t>009/0412</t>
  </si>
  <si>
    <t>009/0423</t>
  </si>
  <si>
    <t>009/0425</t>
  </si>
  <si>
    <t>009/0426</t>
  </si>
  <si>
    <t>009/0409</t>
  </si>
  <si>
    <t>009/0408</t>
  </si>
  <si>
    <t>009/0410</t>
  </si>
  <si>
    <t>009/0411</t>
  </si>
  <si>
    <t>009/0418</t>
  </si>
  <si>
    <t>009/0420</t>
  </si>
  <si>
    <t>16,29/4/1969</t>
  </si>
  <si>
    <t>009/0417,0430</t>
  </si>
  <si>
    <t>.</t>
  </si>
  <si>
    <t>009/0421</t>
  </si>
  <si>
    <t>009/0407</t>
  </si>
  <si>
    <r>
      <t xml:space="preserve">นส.มูรีนา  นิมะ   </t>
    </r>
    <r>
      <rPr>
        <u/>
        <sz val="16"/>
        <color indexed="8"/>
        <rFont val="TH SarabunPSK"/>
        <family val="2"/>
      </rPr>
      <t>บอกเลิกสัญญา</t>
    </r>
  </si>
  <si>
    <t>กค.68-เม.ย.69</t>
  </si>
  <si>
    <t>เมย.67-เม.ย.69</t>
  </si>
  <si>
    <r>
      <t xml:space="preserve">นางวรีย์กานท์   วิชิตวงศกร </t>
    </r>
    <r>
      <rPr>
        <u/>
        <sz val="16"/>
        <color indexed="8"/>
        <rFont val="TH SarabunPSK"/>
        <family val="2"/>
      </rPr>
      <t>บอกเลิกสัญญา</t>
    </r>
  </si>
  <si>
    <t>ประจำเดือน พฤษภาคม 2569</t>
  </si>
  <si>
    <t>450/22484</t>
  </si>
  <si>
    <t>450/22483,485</t>
  </si>
  <si>
    <t>450/22497</t>
  </si>
  <si>
    <t>009/0439</t>
  </si>
  <si>
    <t>009/0437</t>
  </si>
  <si>
    <t>009/0433</t>
  </si>
  <si>
    <t>009/0446</t>
  </si>
  <si>
    <t>009/0442</t>
  </si>
  <si>
    <t>เม.ย69</t>
  </si>
  <si>
    <t>009/0444</t>
  </si>
  <si>
    <t>009/0434</t>
  </si>
  <si>
    <t>009/0435</t>
  </si>
  <si>
    <t>009/0431</t>
  </si>
  <si>
    <t>009/0432</t>
  </si>
  <si>
    <t>26/25/69</t>
  </si>
  <si>
    <t>009/0448</t>
  </si>
  <si>
    <t>009/0445</t>
  </si>
  <si>
    <t>009/0450</t>
  </si>
  <si>
    <t>009/0440</t>
  </si>
  <si>
    <t>กค.68-เม.ย69</t>
  </si>
  <si>
    <t>กค.68-พ.ค.69</t>
  </si>
  <si>
    <t>เมย.67-พ.ค..69</t>
  </si>
  <si>
    <t xml:space="preserve"> เม.ย.69</t>
  </si>
  <si>
    <t xml:space="preserve"> พ.ค.69</t>
  </si>
  <si>
    <t>ประจำเดือน มิถุนายน 2569</t>
  </si>
  <si>
    <t>1121/56021</t>
  </si>
  <si>
    <t>1121/56030</t>
  </si>
  <si>
    <t>1121/56006</t>
  </si>
  <si>
    <t>010/0458</t>
  </si>
  <si>
    <t>010/0460</t>
  </si>
  <si>
    <t>010/0455</t>
  </si>
  <si>
    <t>010/0465</t>
  </si>
  <si>
    <t>010/0466</t>
  </si>
  <si>
    <t>010/0467</t>
  </si>
  <si>
    <t>0108/0453</t>
  </si>
  <si>
    <t>010/0463</t>
  </si>
  <si>
    <t>010/0457</t>
  </si>
  <si>
    <t>010/0456</t>
  </si>
  <si>
    <t>010/0475</t>
  </si>
  <si>
    <t>010/0461</t>
  </si>
  <si>
    <t>010/0454</t>
  </si>
  <si>
    <t xml:space="preserve">หนี้ 1 เดือน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</si>
</sst>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d/m/yy"/>
    <numFmt numFmtId="166" formatCode="_-* #,##0_-;\-* #,##0_-;_-* &quot;-&quot;??_-;_-@_-"/>
  </numFmts>
  <fonts count="31">
    <font>
      <sz val="10"/>
      <name val="Arial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sz val="16"/>
      <color rgb="FFFF0000"/>
      <name val="TH Sarabun New"/>
      <family val="2"/>
    </font>
    <font>
      <u/>
      <sz val="16"/>
      <color theme="1"/>
      <name val="TH Sarabun New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3"/>
      <color theme="1"/>
      <name val="Angsana New"/>
      <family val="1"/>
    </font>
    <font>
      <sz val="8"/>
      <color theme="1"/>
      <name val="TH Sarabun New"/>
      <family val="2"/>
    </font>
    <font>
      <sz val="12"/>
      <name val="Angsana New"/>
      <family val="1"/>
    </font>
    <font>
      <sz val="14"/>
      <color theme="1"/>
      <name val="TH Sarabun New"/>
      <family val="2"/>
    </font>
    <font>
      <u/>
      <sz val="16"/>
      <color indexed="8"/>
      <name val="TH Sarabun New"/>
      <family val="2"/>
    </font>
    <font>
      <sz val="14"/>
      <name val="TH Sarabun New"/>
      <family val="2"/>
    </font>
    <font>
      <b/>
      <sz val="16"/>
      <color theme="1"/>
      <name val="TH Sarabun New"/>
      <family val="2"/>
    </font>
    <font>
      <sz val="8"/>
      <name val="Arial"/>
      <family val="2"/>
    </font>
    <font>
      <u val="double"/>
      <sz val="16"/>
      <color theme="1"/>
      <name val="TH Sarabun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  <font>
      <sz val="8"/>
      <color theme="1"/>
      <name val="TH SarabunPSK"/>
      <family val="2"/>
    </font>
    <font>
      <sz val="12"/>
      <name val="TH SarabunPSK"/>
      <family val="2"/>
    </font>
    <font>
      <sz val="14"/>
      <color theme="1"/>
      <name val="TH SarabunPSK"/>
      <family val="2"/>
    </font>
    <font>
      <u/>
      <sz val="16"/>
      <color indexed="8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 New"/>
      <family val="2"/>
      <charset val="222"/>
    </font>
    <font>
      <sz val="12"/>
      <color rgb="FFFF0000"/>
      <name val="Angsana New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9">
    <xf numFmtId="0" fontId="0" fillId="0" borderId="0" xfId="0"/>
    <xf numFmtId="0" fontId="5" fillId="0" borderId="0" xfId="0" applyFont="1"/>
    <xf numFmtId="164" fontId="5" fillId="0" borderId="0" xfId="2" applyFont="1" applyFill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164" fontId="5" fillId="0" borderId="8" xfId="1" applyFont="1" applyFill="1" applyBorder="1" applyAlignment="1"/>
    <xf numFmtId="0" fontId="6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5" fillId="0" borderId="8" xfId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/>
    <xf numFmtId="0" fontId="7" fillId="0" borderId="2" xfId="0" applyFont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5" fontId="5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5" fontId="5" fillId="2" borderId="17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5" fillId="0" borderId="10" xfId="0" applyFont="1" applyBorder="1"/>
    <xf numFmtId="165" fontId="5" fillId="2" borderId="10" xfId="0" applyNumberFormat="1" applyFont="1" applyFill="1" applyBorder="1"/>
    <xf numFmtId="0" fontId="5" fillId="2" borderId="10" xfId="0" applyFont="1" applyFill="1" applyBorder="1"/>
    <xf numFmtId="164" fontId="5" fillId="0" borderId="2" xfId="2" applyFont="1" applyFill="1" applyBorder="1"/>
    <xf numFmtId="0" fontId="5" fillId="2" borderId="2" xfId="0" applyFont="1" applyFill="1" applyBorder="1" applyAlignment="1">
      <alignment horizontal="left"/>
    </xf>
    <xf numFmtId="164" fontId="5" fillId="2" borderId="2" xfId="2" applyFont="1" applyFill="1" applyBorder="1"/>
    <xf numFmtId="164" fontId="5" fillId="0" borderId="2" xfId="2" applyFont="1" applyFill="1" applyBorder="1" applyAlignment="1">
      <alignment horizontal="center"/>
    </xf>
    <xf numFmtId="0" fontId="5" fillId="0" borderId="3" xfId="0" applyFont="1" applyBorder="1"/>
    <xf numFmtId="164" fontId="5" fillId="0" borderId="19" xfId="0" applyNumberFormat="1" applyFont="1" applyBorder="1"/>
    <xf numFmtId="164" fontId="5" fillId="2" borderId="19" xfId="0" applyNumberFormat="1" applyFont="1" applyFill="1" applyBorder="1"/>
    <xf numFmtId="164" fontId="5" fillId="0" borderId="19" xfId="0" applyNumberFormat="1" applyFont="1" applyBorder="1" applyAlignment="1">
      <alignment horizontal="center"/>
    </xf>
    <xf numFmtId="164" fontId="5" fillId="0" borderId="10" xfId="0" applyNumberFormat="1" applyFont="1" applyBorder="1"/>
    <xf numFmtId="164" fontId="5" fillId="2" borderId="10" xfId="0" applyNumberFormat="1" applyFont="1" applyFill="1" applyBorder="1"/>
    <xf numFmtId="164" fontId="5" fillId="0" borderId="2" xfId="0" applyNumberFormat="1" applyFont="1" applyBorder="1"/>
    <xf numFmtId="165" fontId="5" fillId="2" borderId="2" xfId="0" applyNumberFormat="1" applyFont="1" applyFill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164" fontId="5" fillId="0" borderId="17" xfId="0" applyNumberFormat="1" applyFont="1" applyBorder="1"/>
    <xf numFmtId="0" fontId="5" fillId="0" borderId="17" xfId="0" applyFont="1" applyBorder="1"/>
    <xf numFmtId="165" fontId="5" fillId="2" borderId="17" xfId="0" applyNumberFormat="1" applyFont="1" applyFill="1" applyBorder="1"/>
    <xf numFmtId="0" fontId="5" fillId="2" borderId="17" xfId="0" applyFont="1" applyFill="1" applyBorder="1"/>
    <xf numFmtId="164" fontId="5" fillId="2" borderId="17" xfId="0" applyNumberFormat="1" applyFont="1" applyFill="1" applyBorder="1"/>
    <xf numFmtId="17" fontId="5" fillId="0" borderId="2" xfId="0" applyNumberFormat="1" applyFont="1" applyBorder="1" applyAlignment="1">
      <alignment horizontal="center"/>
    </xf>
    <xf numFmtId="165" fontId="8" fillId="2" borderId="2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8" fillId="2" borderId="2" xfId="0" applyNumberFormat="1" applyFont="1" applyFill="1" applyBorder="1"/>
    <xf numFmtId="164" fontId="8" fillId="0" borderId="10" xfId="0" applyNumberFormat="1" applyFont="1" applyBorder="1"/>
    <xf numFmtId="164" fontId="8" fillId="0" borderId="2" xfId="2" applyFont="1" applyBorder="1"/>
    <xf numFmtId="0" fontId="5" fillId="0" borderId="14" xfId="0" applyFont="1" applyBorder="1"/>
    <xf numFmtId="165" fontId="5" fillId="2" borderId="14" xfId="0" applyNumberFormat="1" applyFont="1" applyFill="1" applyBorder="1"/>
    <xf numFmtId="0" fontId="5" fillId="2" borderId="14" xfId="0" applyFont="1" applyFill="1" applyBorder="1"/>
    <xf numFmtId="164" fontId="5" fillId="2" borderId="14" xfId="0" applyNumberFormat="1" applyFont="1" applyFill="1" applyBorder="1"/>
    <xf numFmtId="164" fontId="5" fillId="0" borderId="14" xfId="0" applyNumberFormat="1" applyFont="1" applyBorder="1"/>
    <xf numFmtId="0" fontId="5" fillId="0" borderId="19" xfId="0" applyFont="1" applyBorder="1"/>
    <xf numFmtId="165" fontId="5" fillId="2" borderId="19" xfId="0" applyNumberFormat="1" applyFont="1" applyFill="1" applyBorder="1"/>
    <xf numFmtId="0" fontId="5" fillId="2" borderId="19" xfId="0" applyFont="1" applyFill="1" applyBorder="1"/>
    <xf numFmtId="0" fontId="5" fillId="0" borderId="19" xfId="0" applyFont="1" applyBorder="1" applyAlignment="1">
      <alignment horizontal="center"/>
    </xf>
    <xf numFmtId="164" fontId="8" fillId="2" borderId="2" xfId="2" applyFont="1" applyFill="1" applyBorder="1" applyAlignment="1">
      <alignment horizontal="right"/>
    </xf>
    <xf numFmtId="14" fontId="8" fillId="2" borderId="2" xfId="0" applyNumberFormat="1" applyFont="1" applyFill="1" applyBorder="1" applyAlignment="1">
      <alignment horizontal="center"/>
    </xf>
    <xf numFmtId="164" fontId="8" fillId="2" borderId="2" xfId="2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164" fontId="4" fillId="0" borderId="2" xfId="2" applyFont="1" applyFill="1" applyBorder="1"/>
    <xf numFmtId="17" fontId="4" fillId="0" borderId="2" xfId="0" applyNumberFormat="1" applyFont="1" applyBorder="1" applyAlignment="1">
      <alignment horizontal="center"/>
    </xf>
    <xf numFmtId="164" fontId="4" fillId="0" borderId="2" xfId="2" applyFont="1" applyFill="1" applyBorder="1" applyAlignment="1">
      <alignment horizontal="center"/>
    </xf>
    <xf numFmtId="164" fontId="4" fillId="0" borderId="2" xfId="0" applyNumberFormat="1" applyFont="1" applyBorder="1"/>
    <xf numFmtId="165" fontId="9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4" fontId="9" fillId="2" borderId="2" xfId="2" applyFont="1" applyFill="1" applyBorder="1"/>
    <xf numFmtId="0" fontId="4" fillId="0" borderId="0" xfId="0" applyFont="1"/>
    <xf numFmtId="164" fontId="4" fillId="0" borderId="0" xfId="2" applyFont="1" applyFill="1"/>
    <xf numFmtId="164" fontId="5" fillId="0" borderId="10" xfId="2" applyFont="1" applyFill="1" applyBorder="1"/>
    <xf numFmtId="164" fontId="5" fillId="0" borderId="10" xfId="2" applyFont="1" applyFill="1" applyBorder="1" applyAlignment="1">
      <alignment horizontal="center"/>
    </xf>
    <xf numFmtId="164" fontId="8" fillId="2" borderId="10" xfId="2" applyFont="1" applyFill="1" applyBorder="1"/>
    <xf numFmtId="164" fontId="8" fillId="0" borderId="2" xfId="2" applyFont="1" applyFill="1" applyBorder="1"/>
    <xf numFmtId="0" fontId="11" fillId="3" borderId="2" xfId="0" applyFont="1" applyFill="1" applyBorder="1" applyAlignment="1">
      <alignment horizontal="center"/>
    </xf>
    <xf numFmtId="164" fontId="5" fillId="0" borderId="17" xfId="1" applyFont="1" applyFill="1" applyBorder="1"/>
    <xf numFmtId="164" fontId="5" fillId="2" borderId="17" xfId="1" applyFont="1" applyFill="1" applyBorder="1"/>
    <xf numFmtId="164" fontId="5" fillId="0" borderId="17" xfId="0" applyNumberFormat="1" applyFont="1" applyBorder="1" applyAlignment="1">
      <alignment horizontal="center"/>
    </xf>
    <xf numFmtId="164" fontId="8" fillId="0" borderId="14" xfId="0" applyNumberFormat="1" applyFont="1" applyBorder="1"/>
    <xf numFmtId="164" fontId="8" fillId="0" borderId="14" xfId="2" applyFont="1" applyFill="1" applyBorder="1"/>
    <xf numFmtId="0" fontId="5" fillId="0" borderId="20" xfId="0" applyFont="1" applyBorder="1"/>
    <xf numFmtId="0" fontId="5" fillId="0" borderId="21" xfId="0" applyFont="1" applyBorder="1"/>
    <xf numFmtId="164" fontId="5" fillId="0" borderId="14" xfId="2" applyFont="1" applyFill="1" applyBorder="1"/>
    <xf numFmtId="164" fontId="5" fillId="0" borderId="21" xfId="0" applyNumberFormat="1" applyFont="1" applyBorder="1"/>
    <xf numFmtId="165" fontId="5" fillId="2" borderId="21" xfId="0" applyNumberFormat="1" applyFont="1" applyFill="1" applyBorder="1"/>
    <xf numFmtId="0" fontId="5" fillId="2" borderId="21" xfId="0" applyFont="1" applyFill="1" applyBorder="1"/>
    <xf numFmtId="164" fontId="5" fillId="2" borderId="21" xfId="0" applyNumberFormat="1" applyFont="1" applyFill="1" applyBorder="1"/>
    <xf numFmtId="0" fontId="5" fillId="0" borderId="2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64" fontId="5" fillId="2" borderId="2" xfId="2" applyFon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horizontal="center"/>
    </xf>
    <xf numFmtId="164" fontId="8" fillId="2" borderId="2" xfId="1" applyFont="1" applyFill="1" applyBorder="1" applyAlignment="1">
      <alignment horizontal="center"/>
    </xf>
    <xf numFmtId="17" fontId="8" fillId="4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7" fontId="12" fillId="4" borderId="2" xfId="0" applyNumberFormat="1" applyFont="1" applyFill="1" applyBorder="1" applyAlignment="1">
      <alignment horizontal="center"/>
    </xf>
    <xf numFmtId="164" fontId="5" fillId="0" borderId="3" xfId="2" applyFont="1" applyFill="1" applyBorder="1"/>
    <xf numFmtId="165" fontId="8" fillId="2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64" fontId="8" fillId="2" borderId="3" xfId="2" applyFont="1" applyFill="1" applyBorder="1" applyAlignment="1">
      <alignment horizontal="right"/>
    </xf>
    <xf numFmtId="0" fontId="5" fillId="0" borderId="6" xfId="0" applyFont="1" applyBorder="1"/>
    <xf numFmtId="0" fontId="4" fillId="0" borderId="2" xfId="3" applyFont="1" applyBorder="1"/>
    <xf numFmtId="164" fontId="4" fillId="0" borderId="2" xfId="4" applyFont="1" applyBorder="1"/>
    <xf numFmtId="164" fontId="5" fillId="0" borderId="2" xfId="1" applyFont="1" applyFill="1" applyBorder="1"/>
    <xf numFmtId="164" fontId="5" fillId="0" borderId="14" xfId="0" applyNumberFormat="1" applyFont="1" applyBorder="1" applyAlignment="1">
      <alignment horizontal="center"/>
    </xf>
    <xf numFmtId="164" fontId="8" fillId="0" borderId="14" xfId="2" applyFont="1" applyBorder="1"/>
    <xf numFmtId="165" fontId="5" fillId="2" borderId="10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5" fillId="2" borderId="10" xfId="2" applyFont="1" applyFill="1" applyBorder="1" applyAlignment="1">
      <alignment horizontal="right"/>
    </xf>
    <xf numFmtId="164" fontId="8" fillId="0" borderId="10" xfId="2" applyFont="1" applyBorder="1"/>
    <xf numFmtId="164" fontId="5" fillId="0" borderId="10" xfId="1" applyFont="1" applyFill="1" applyBorder="1"/>
    <xf numFmtId="165" fontId="8" fillId="2" borderId="10" xfId="0" applyNumberFormat="1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164" fontId="8" fillId="2" borderId="10" xfId="2" applyFont="1" applyFill="1" applyBorder="1" applyAlignment="1">
      <alignment horizontal="right"/>
    </xf>
    <xf numFmtId="165" fontId="4" fillId="2" borderId="2" xfId="3" applyNumberFormat="1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164" fontId="4" fillId="2" borderId="2" xfId="5" applyFont="1" applyFill="1" applyBorder="1" applyAlignment="1">
      <alignment horizontal="right"/>
    </xf>
    <xf numFmtId="0" fontId="5" fillId="0" borderId="22" xfId="0" applyFont="1" applyBorder="1"/>
    <xf numFmtId="0" fontId="13" fillId="0" borderId="2" xfId="0" applyFont="1" applyBorder="1"/>
    <xf numFmtId="164" fontId="8" fillId="2" borderId="2" xfId="2" applyFont="1" applyFill="1" applyBorder="1" applyAlignment="1">
      <alignment horizontal="center"/>
    </xf>
    <xf numFmtId="0" fontId="5" fillId="0" borderId="22" xfId="0" applyFont="1" applyBorder="1" applyAlignment="1">
      <alignment vertical="center"/>
    </xf>
    <xf numFmtId="165" fontId="5" fillId="2" borderId="19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164" fontId="4" fillId="2" borderId="2" xfId="2" applyFont="1" applyFill="1" applyBorder="1"/>
    <xf numFmtId="0" fontId="6" fillId="0" borderId="2" xfId="0" applyFont="1" applyBorder="1"/>
    <xf numFmtId="164" fontId="6" fillId="0" borderId="2" xfId="2" applyFont="1" applyFill="1" applyBorder="1"/>
    <xf numFmtId="164" fontId="5" fillId="0" borderId="2" xfId="2" applyFont="1" applyFill="1" applyBorder="1" applyAlignment="1">
      <alignment horizontal="right"/>
    </xf>
    <xf numFmtId="164" fontId="8" fillId="0" borderId="10" xfId="1" applyFont="1" applyBorder="1"/>
    <xf numFmtId="165" fontId="5" fillId="2" borderId="2" xfId="0" applyNumberFormat="1" applyFont="1" applyFill="1" applyBorder="1" applyAlignment="1">
      <alignment horizontal="left"/>
    </xf>
    <xf numFmtId="0" fontId="7" fillId="0" borderId="10" xfId="0" applyFont="1" applyBorder="1" applyAlignment="1">
      <alignment horizontal="center"/>
    </xf>
    <xf numFmtId="164" fontId="5" fillId="0" borderId="21" xfId="2" applyFont="1" applyFill="1" applyBorder="1"/>
    <xf numFmtId="165" fontId="5" fillId="2" borderId="21" xfId="0" applyNumberFormat="1" applyFont="1" applyFill="1" applyBorder="1" applyAlignment="1">
      <alignment horizontal="center"/>
    </xf>
    <xf numFmtId="164" fontId="5" fillId="2" borderId="21" xfId="2" applyFont="1" applyFill="1" applyBorder="1"/>
    <xf numFmtId="164" fontId="5" fillId="0" borderId="19" xfId="2" applyFont="1" applyFill="1" applyBorder="1"/>
    <xf numFmtId="164" fontId="5" fillId="2" borderId="19" xfId="2" applyFont="1" applyFill="1" applyBorder="1"/>
    <xf numFmtId="164" fontId="5" fillId="0" borderId="19" xfId="2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164" fontId="5" fillId="2" borderId="10" xfId="2" applyFont="1" applyFill="1" applyBorder="1"/>
    <xf numFmtId="164" fontId="5" fillId="2" borderId="14" xfId="2" applyFont="1" applyFill="1" applyBorder="1"/>
    <xf numFmtId="164" fontId="5" fillId="0" borderId="17" xfId="2" applyFont="1" applyFill="1" applyBorder="1"/>
    <xf numFmtId="164" fontId="5" fillId="2" borderId="17" xfId="2" applyFont="1" applyFill="1" applyBorder="1"/>
    <xf numFmtId="0" fontId="5" fillId="0" borderId="0" xfId="0" applyFont="1" applyAlignment="1">
      <alignment horizontal="center"/>
    </xf>
    <xf numFmtId="164" fontId="5" fillId="0" borderId="0" xfId="2" applyFont="1" applyFill="1" applyBorder="1"/>
    <xf numFmtId="164" fontId="5" fillId="0" borderId="0" xfId="0" applyNumberFormat="1" applyFont="1"/>
    <xf numFmtId="165" fontId="5" fillId="2" borderId="0" xfId="0" applyNumberFormat="1" applyFont="1" applyFill="1"/>
    <xf numFmtId="0" fontId="5" fillId="2" borderId="0" xfId="0" applyFont="1" applyFill="1"/>
    <xf numFmtId="164" fontId="5" fillId="2" borderId="0" xfId="2" applyFont="1" applyFill="1" applyBorder="1"/>
    <xf numFmtId="0" fontId="5" fillId="0" borderId="23" xfId="0" applyFont="1" applyBorder="1"/>
    <xf numFmtId="0" fontId="5" fillId="0" borderId="10" xfId="0" applyFont="1" applyBorder="1" applyAlignment="1">
      <alignment horizontal="left"/>
    </xf>
    <xf numFmtId="0" fontId="5" fillId="0" borderId="24" xfId="0" applyFont="1" applyBorder="1"/>
    <xf numFmtId="164" fontId="5" fillId="0" borderId="24" xfId="2" applyFont="1" applyFill="1" applyBorder="1"/>
    <xf numFmtId="164" fontId="5" fillId="0" borderId="24" xfId="0" applyNumberFormat="1" applyFont="1" applyBorder="1"/>
    <xf numFmtId="165" fontId="5" fillId="2" borderId="24" xfId="0" applyNumberFormat="1" applyFont="1" applyFill="1" applyBorder="1" applyAlignment="1">
      <alignment horizontal="center"/>
    </xf>
    <xf numFmtId="0" fontId="5" fillId="2" borderId="24" xfId="0" applyFont="1" applyFill="1" applyBorder="1"/>
    <xf numFmtId="164" fontId="5" fillId="2" borderId="24" xfId="2" applyFont="1" applyFill="1" applyBorder="1"/>
    <xf numFmtId="0" fontId="5" fillId="0" borderId="24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165" fontId="5" fillId="2" borderId="24" xfId="0" applyNumberFormat="1" applyFont="1" applyFill="1" applyBorder="1"/>
    <xf numFmtId="0" fontId="4" fillId="0" borderId="25" xfId="0" applyFont="1" applyBorder="1" applyAlignment="1">
      <alignment horizontal="center"/>
    </xf>
    <xf numFmtId="0" fontId="4" fillId="0" borderId="25" xfId="0" applyFont="1" applyBorder="1" applyAlignment="1">
      <alignment horizontal="left"/>
    </xf>
    <xf numFmtId="0" fontId="4" fillId="0" borderId="25" xfId="0" applyFont="1" applyBorder="1"/>
    <xf numFmtId="164" fontId="4" fillId="0" borderId="25" xfId="2" applyFont="1" applyFill="1" applyBorder="1"/>
    <xf numFmtId="0" fontId="4" fillId="0" borderId="25" xfId="0" applyFont="1" applyBorder="1" applyAlignment="1">
      <alignment horizontal="center" vertical="center"/>
    </xf>
    <xf numFmtId="165" fontId="4" fillId="2" borderId="25" xfId="0" applyNumberFormat="1" applyFont="1" applyFill="1" applyBorder="1"/>
    <xf numFmtId="0" fontId="4" fillId="2" borderId="25" xfId="0" applyFont="1" applyFill="1" applyBorder="1"/>
    <xf numFmtId="164" fontId="4" fillId="2" borderId="25" xfId="2" applyFont="1" applyFill="1" applyBorder="1"/>
    <xf numFmtId="164" fontId="8" fillId="0" borderId="25" xfId="0" applyNumberFormat="1" applyFont="1" applyBorder="1"/>
    <xf numFmtId="0" fontId="5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5" fillId="0" borderId="25" xfId="3" applyFont="1" applyBorder="1"/>
    <xf numFmtId="164" fontId="5" fillId="0" borderId="25" xfId="2" applyFont="1" applyFill="1" applyBorder="1"/>
    <xf numFmtId="0" fontId="5" fillId="0" borderId="25" xfId="0" applyFont="1" applyBorder="1"/>
    <xf numFmtId="0" fontId="5" fillId="0" borderId="25" xfId="0" applyFont="1" applyBorder="1" applyAlignment="1">
      <alignment horizontal="center" vertical="center"/>
    </xf>
    <xf numFmtId="165" fontId="5" fillId="2" borderId="25" xfId="0" applyNumberFormat="1" applyFont="1" applyFill="1" applyBorder="1"/>
    <xf numFmtId="0" fontId="5" fillId="2" borderId="25" xfId="0" applyFont="1" applyFill="1" applyBorder="1"/>
    <xf numFmtId="164" fontId="5" fillId="2" borderId="25" xfId="2" applyFont="1" applyFill="1" applyBorder="1"/>
    <xf numFmtId="0" fontId="5" fillId="0" borderId="26" xfId="0" applyFont="1" applyBorder="1"/>
    <xf numFmtId="0" fontId="5" fillId="0" borderId="26" xfId="0" applyFont="1" applyBorder="1" applyAlignment="1">
      <alignment horizontal="center"/>
    </xf>
    <xf numFmtId="164" fontId="8" fillId="0" borderId="25" xfId="2" applyFont="1" applyBorder="1"/>
    <xf numFmtId="14" fontId="5" fillId="0" borderId="0" xfId="0" applyNumberFormat="1" applyFont="1"/>
    <xf numFmtId="0" fontId="5" fillId="0" borderId="21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164" fontId="5" fillId="0" borderId="27" xfId="2" applyFont="1" applyFill="1" applyBorder="1"/>
    <xf numFmtId="165" fontId="5" fillId="2" borderId="27" xfId="0" applyNumberFormat="1" applyFont="1" applyFill="1" applyBorder="1"/>
    <xf numFmtId="0" fontId="5" fillId="2" borderId="27" xfId="0" applyFont="1" applyFill="1" applyBorder="1"/>
    <xf numFmtId="164" fontId="5" fillId="2" borderId="27" xfId="2" applyFont="1" applyFill="1" applyBorder="1"/>
    <xf numFmtId="0" fontId="5" fillId="0" borderId="27" xfId="0" applyFont="1" applyBorder="1"/>
    <xf numFmtId="0" fontId="5" fillId="0" borderId="27" xfId="0" applyFont="1" applyBorder="1" applyAlignment="1">
      <alignment horizontal="center"/>
    </xf>
    <xf numFmtId="164" fontId="8" fillId="0" borderId="27" xfId="0" applyNumberFormat="1" applyFont="1" applyBorder="1"/>
    <xf numFmtId="164" fontId="8" fillId="0" borderId="27" xfId="2" applyFont="1" applyBorder="1"/>
    <xf numFmtId="0" fontId="7" fillId="0" borderId="25" xfId="0" applyFont="1" applyBorder="1" applyAlignment="1">
      <alignment horizontal="center"/>
    </xf>
    <xf numFmtId="0" fontId="4" fillId="0" borderId="25" xfId="3" applyFont="1" applyBorder="1" applyAlignment="1">
      <alignment horizontal="center" shrinkToFit="1"/>
    </xf>
    <xf numFmtId="0" fontId="4" fillId="0" borderId="25" xfId="3" applyFont="1" applyBorder="1" applyAlignment="1">
      <alignment horizontal="center"/>
    </xf>
    <xf numFmtId="164" fontId="4" fillId="0" borderId="25" xfId="5" applyFont="1" applyBorder="1"/>
    <xf numFmtId="165" fontId="8" fillId="2" borderId="25" xfId="0" applyNumberFormat="1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164" fontId="8" fillId="2" borderId="25" xfId="2" applyFont="1" applyFill="1" applyBorder="1" applyAlignment="1">
      <alignment horizontal="right"/>
    </xf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4" fillId="0" borderId="21" xfId="0" applyFont="1" applyBorder="1"/>
    <xf numFmtId="164" fontId="4" fillId="0" borderId="21" xfId="2" applyFont="1" applyFill="1" applyBorder="1"/>
    <xf numFmtId="165" fontId="4" fillId="2" borderId="21" xfId="0" applyNumberFormat="1" applyFont="1" applyFill="1" applyBorder="1"/>
    <xf numFmtId="0" fontId="4" fillId="2" borderId="21" xfId="0" applyFont="1" applyFill="1" applyBorder="1"/>
    <xf numFmtId="164" fontId="4" fillId="2" borderId="21" xfId="2" applyFont="1" applyFill="1" applyBorder="1"/>
    <xf numFmtId="164" fontId="8" fillId="0" borderId="28" xfId="0" applyNumberFormat="1" applyFont="1" applyBorder="1"/>
    <xf numFmtId="164" fontId="8" fillId="0" borderId="28" xfId="2" applyFont="1" applyBorder="1"/>
    <xf numFmtId="0" fontId="4" fillId="0" borderId="28" xfId="0" applyFont="1" applyBorder="1"/>
    <xf numFmtId="0" fontId="5" fillId="0" borderId="14" xfId="0" applyFont="1" applyBorder="1" applyAlignment="1">
      <alignment horizontal="left"/>
    </xf>
    <xf numFmtId="164" fontId="5" fillId="0" borderId="14" xfId="2" applyFont="1" applyFill="1" applyBorder="1" applyAlignment="1">
      <alignment horizontal="center"/>
    </xf>
    <xf numFmtId="164" fontId="5" fillId="2" borderId="21" xfId="1" applyFont="1" applyFill="1" applyBorder="1"/>
    <xf numFmtId="164" fontId="5" fillId="2" borderId="2" xfId="1" applyFont="1" applyFill="1" applyBorder="1"/>
    <xf numFmtId="165" fontId="5" fillId="2" borderId="3" xfId="0" applyNumberFormat="1" applyFont="1" applyFill="1" applyBorder="1"/>
    <xf numFmtId="0" fontId="5" fillId="2" borderId="3" xfId="0" applyFont="1" applyFill="1" applyBorder="1"/>
    <xf numFmtId="164" fontId="5" fillId="2" borderId="3" xfId="0" applyNumberFormat="1" applyFont="1" applyFill="1" applyBorder="1"/>
    <xf numFmtId="164" fontId="5" fillId="0" borderId="2" xfId="1" applyFont="1" applyFill="1" applyBorder="1" applyAlignment="1">
      <alignment horizontal="center"/>
    </xf>
    <xf numFmtId="164" fontId="5" fillId="0" borderId="17" xfId="1" applyFont="1" applyFill="1" applyBorder="1" applyAlignment="1">
      <alignment horizontal="center"/>
    </xf>
    <xf numFmtId="164" fontId="5" fillId="0" borderId="21" xfId="1" applyFont="1" applyFill="1" applyBorder="1"/>
    <xf numFmtId="164" fontId="5" fillId="0" borderId="0" xfId="1" applyFont="1" applyFill="1"/>
    <xf numFmtId="164" fontId="5" fillId="2" borderId="0" xfId="1" applyFont="1" applyFill="1"/>
    <xf numFmtId="164" fontId="15" fillId="2" borderId="0" xfId="0" applyNumberFormat="1" applyFont="1" applyFill="1"/>
    <xf numFmtId="0" fontId="5" fillId="2" borderId="0" xfId="0" applyFont="1" applyFill="1" applyAlignment="1">
      <alignment horizontal="center"/>
    </xf>
    <xf numFmtId="2" fontId="16" fillId="0" borderId="0" xfId="0" applyNumberFormat="1" applyFont="1"/>
    <xf numFmtId="166" fontId="5" fillId="0" borderId="10" xfId="1" applyNumberFormat="1" applyFont="1" applyFill="1" applyBorder="1"/>
    <xf numFmtId="166" fontId="5" fillId="0" borderId="2" xfId="1" applyNumberFormat="1" applyFont="1" applyFill="1" applyBorder="1"/>
    <xf numFmtId="164" fontId="5" fillId="3" borderId="0" xfId="0" applyNumberFormat="1" applyFont="1" applyFill="1"/>
    <xf numFmtId="164" fontId="5" fillId="3" borderId="2" xfId="2" applyFont="1" applyFill="1" applyBorder="1"/>
    <xf numFmtId="164" fontId="4" fillId="3" borderId="2" xfId="2" applyFont="1" applyFill="1" applyBorder="1"/>
    <xf numFmtId="164" fontId="5" fillId="3" borderId="10" xfId="2" applyFont="1" applyFill="1" applyBorder="1"/>
    <xf numFmtId="164" fontId="5" fillId="5" borderId="0" xfId="0" applyNumberFormat="1" applyFont="1" applyFill="1"/>
    <xf numFmtId="0" fontId="5" fillId="0" borderId="4" xfId="0" applyFont="1" applyBorder="1" applyAlignment="1">
      <alignment horizontal="center" vertical="center"/>
    </xf>
    <xf numFmtId="0" fontId="5" fillId="0" borderId="26" xfId="3" applyFont="1" applyBorder="1"/>
    <xf numFmtId="164" fontId="5" fillId="3" borderId="0" xfId="1" applyFont="1" applyFill="1"/>
    <xf numFmtId="43" fontId="5" fillId="0" borderId="0" xfId="0" applyNumberFormat="1" applyFont="1"/>
    <xf numFmtId="43" fontId="5" fillId="3" borderId="0" xfId="0" applyNumberFormat="1" applyFont="1" applyFill="1"/>
    <xf numFmtId="43" fontId="5" fillId="5" borderId="0" xfId="0" applyNumberFormat="1" applyFont="1" applyFill="1"/>
    <xf numFmtId="3" fontId="5" fillId="0" borderId="10" xfId="0" applyNumberFormat="1" applyFont="1" applyBorder="1" applyAlignment="1">
      <alignment horizontal="center"/>
    </xf>
    <xf numFmtId="17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7" fontId="5" fillId="0" borderId="14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65" fontId="4" fillId="2" borderId="2" xfId="0" applyNumberFormat="1" applyFont="1" applyFill="1" applyBorder="1"/>
    <xf numFmtId="164" fontId="8" fillId="0" borderId="2" xfId="0" applyNumberFormat="1" applyFont="1" applyBorder="1"/>
    <xf numFmtId="0" fontId="5" fillId="0" borderId="2" xfId="3" applyFont="1" applyBorder="1"/>
    <xf numFmtId="0" fontId="7" fillId="0" borderId="2" xfId="0" applyFont="1" applyBorder="1" applyAlignment="1">
      <alignment horizontal="center" vertical="center"/>
    </xf>
    <xf numFmtId="164" fontId="5" fillId="0" borderId="3" xfId="1" applyFont="1" applyFill="1" applyBorder="1"/>
    <xf numFmtId="166" fontId="5" fillId="0" borderId="3" xfId="1" applyNumberFormat="1" applyFont="1" applyFill="1" applyBorder="1"/>
    <xf numFmtId="165" fontId="5" fillId="2" borderId="3" xfId="0" applyNumberFormat="1" applyFont="1" applyFill="1" applyBorder="1" applyAlignment="1">
      <alignment horizontal="center"/>
    </xf>
    <xf numFmtId="164" fontId="5" fillId="2" borderId="3" xfId="2" applyFont="1" applyFill="1" applyBorder="1"/>
    <xf numFmtId="164" fontId="8" fillId="0" borderId="3" xfId="2" applyFont="1" applyBorder="1"/>
    <xf numFmtId="164" fontId="5" fillId="0" borderId="0" xfId="1" applyFont="1"/>
    <xf numFmtId="164" fontId="5" fillId="0" borderId="0" xfId="1" applyFont="1" applyAlignment="1">
      <alignment vertical="center"/>
    </xf>
    <xf numFmtId="164" fontId="4" fillId="0" borderId="0" xfId="1" applyFont="1"/>
    <xf numFmtId="164" fontId="5" fillId="5" borderId="0" xfId="1" applyFont="1" applyFill="1"/>
    <xf numFmtId="0" fontId="6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5" fillId="0" borderId="21" xfId="1" applyFont="1" applyFill="1" applyBorder="1" applyAlignment="1">
      <alignment horizontal="center"/>
    </xf>
    <xf numFmtId="166" fontId="5" fillId="0" borderId="2" xfId="1" applyNumberFormat="1" applyFont="1" applyBorder="1"/>
    <xf numFmtId="0" fontId="5" fillId="0" borderId="29" xfId="0" applyFont="1" applyBorder="1" applyAlignment="1">
      <alignment horizontal="center"/>
    </xf>
    <xf numFmtId="0" fontId="20" fillId="0" borderId="0" xfId="0" applyFont="1"/>
    <xf numFmtId="164" fontId="20" fillId="0" borderId="0" xfId="2" applyFont="1" applyFill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0" fillId="0" borderId="7" xfId="0" applyFont="1" applyBorder="1"/>
    <xf numFmtId="0" fontId="20" fillId="0" borderId="8" xfId="0" applyFont="1" applyBorder="1"/>
    <xf numFmtId="164" fontId="20" fillId="0" borderId="8" xfId="1" applyFont="1" applyFill="1" applyBorder="1" applyAlignment="1"/>
    <xf numFmtId="0" fontId="21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165" fontId="20" fillId="2" borderId="6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64" fontId="20" fillId="0" borderId="8" xfId="1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165" fontId="20" fillId="2" borderId="2" xfId="0" applyNumberFormat="1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2" xfId="0" applyFont="1" applyBorder="1"/>
    <xf numFmtId="0" fontId="22" fillId="0" borderId="2" xfId="0" applyFont="1" applyBorder="1" applyAlignment="1">
      <alignment horizontal="left" vertic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165" fontId="20" fillId="2" borderId="14" xfId="0" applyNumberFormat="1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165" fontId="20" fillId="2" borderId="17" xfId="0" applyNumberFormat="1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/>
    </xf>
    <xf numFmtId="0" fontId="22" fillId="0" borderId="2" xfId="0" applyFont="1" applyBorder="1" applyAlignment="1">
      <alignment horizontal="left"/>
    </xf>
    <xf numFmtId="0" fontId="20" fillId="0" borderId="10" xfId="0" applyFont="1" applyBorder="1"/>
    <xf numFmtId="165" fontId="20" fillId="2" borderId="10" xfId="0" applyNumberFormat="1" applyFont="1" applyFill="1" applyBorder="1"/>
    <xf numFmtId="0" fontId="20" fillId="2" borderId="10" xfId="0" applyFont="1" applyFill="1" applyBorder="1"/>
    <xf numFmtId="164" fontId="20" fillId="0" borderId="2" xfId="2" applyFont="1" applyFill="1" applyBorder="1"/>
    <xf numFmtId="0" fontId="20" fillId="2" borderId="2" xfId="0" applyFont="1" applyFill="1" applyBorder="1" applyAlignment="1">
      <alignment horizontal="left"/>
    </xf>
    <xf numFmtId="164" fontId="20" fillId="2" borderId="2" xfId="2" applyFont="1" applyFill="1" applyBorder="1"/>
    <xf numFmtId="164" fontId="20" fillId="0" borderId="2" xfId="2" applyFont="1" applyFill="1" applyBorder="1" applyAlignment="1">
      <alignment horizontal="center"/>
    </xf>
    <xf numFmtId="164" fontId="20" fillId="0" borderId="19" xfId="0" applyNumberFormat="1" applyFont="1" applyBorder="1"/>
    <xf numFmtId="164" fontId="20" fillId="2" borderId="19" xfId="0" applyNumberFormat="1" applyFont="1" applyFill="1" applyBorder="1"/>
    <xf numFmtId="164" fontId="20" fillId="0" borderId="19" xfId="0" applyNumberFormat="1" applyFont="1" applyBorder="1" applyAlignment="1">
      <alignment horizontal="center"/>
    </xf>
    <xf numFmtId="164" fontId="20" fillId="0" borderId="10" xfId="0" applyNumberFormat="1" applyFont="1" applyBorder="1"/>
    <xf numFmtId="164" fontId="20" fillId="2" borderId="10" xfId="0" applyNumberFormat="1" applyFont="1" applyFill="1" applyBorder="1"/>
    <xf numFmtId="164" fontId="20" fillId="0" borderId="2" xfId="0" applyNumberFormat="1" applyFont="1" applyBorder="1"/>
    <xf numFmtId="165" fontId="20" fillId="2" borderId="2" xfId="0" applyNumberFormat="1" applyFont="1" applyFill="1" applyBorder="1"/>
    <xf numFmtId="0" fontId="20" fillId="2" borderId="2" xfId="0" applyFont="1" applyFill="1" applyBorder="1"/>
    <xf numFmtId="164" fontId="20" fillId="2" borderId="2" xfId="0" applyNumberFormat="1" applyFont="1" applyFill="1" applyBorder="1"/>
    <xf numFmtId="164" fontId="20" fillId="0" borderId="17" xfId="0" applyNumberFormat="1" applyFont="1" applyBorder="1"/>
    <xf numFmtId="0" fontId="20" fillId="0" borderId="17" xfId="0" applyFont="1" applyBorder="1"/>
    <xf numFmtId="165" fontId="20" fillId="2" borderId="17" xfId="0" applyNumberFormat="1" applyFont="1" applyFill="1" applyBorder="1"/>
    <xf numFmtId="0" fontId="20" fillId="2" borderId="17" xfId="0" applyFont="1" applyFill="1" applyBorder="1"/>
    <xf numFmtId="164" fontId="20" fillId="2" borderId="17" xfId="0" applyNumberFormat="1" applyFont="1" applyFill="1" applyBorder="1"/>
    <xf numFmtId="17" fontId="20" fillId="0" borderId="2" xfId="0" applyNumberFormat="1" applyFont="1" applyBorder="1" applyAlignment="1">
      <alignment horizontal="center"/>
    </xf>
    <xf numFmtId="165" fontId="23" fillId="2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164" fontId="23" fillId="2" borderId="2" xfId="0" applyNumberFormat="1" applyFont="1" applyFill="1" applyBorder="1"/>
    <xf numFmtId="164" fontId="23" fillId="0" borderId="10" xfId="0" applyNumberFormat="1" applyFont="1" applyBorder="1"/>
    <xf numFmtId="164" fontId="23" fillId="0" borderId="2" xfId="2" applyFont="1" applyBorder="1"/>
    <xf numFmtId="0" fontId="20" fillId="0" borderId="3" xfId="0" applyFont="1" applyBorder="1"/>
    <xf numFmtId="164" fontId="20" fillId="0" borderId="14" xfId="0" applyNumberFormat="1" applyFont="1" applyBorder="1"/>
    <xf numFmtId="0" fontId="20" fillId="0" borderId="14" xfId="0" applyFont="1" applyBorder="1"/>
    <xf numFmtId="165" fontId="20" fillId="2" borderId="14" xfId="0" applyNumberFormat="1" applyFont="1" applyFill="1" applyBorder="1"/>
    <xf numFmtId="0" fontId="20" fillId="2" borderId="14" xfId="0" applyFont="1" applyFill="1" applyBorder="1"/>
    <xf numFmtId="164" fontId="20" fillId="2" borderId="14" xfId="0" applyNumberFormat="1" applyFont="1" applyFill="1" applyBorder="1"/>
    <xf numFmtId="0" fontId="20" fillId="0" borderId="19" xfId="0" applyFont="1" applyBorder="1"/>
    <xf numFmtId="165" fontId="20" fillId="2" borderId="19" xfId="0" applyNumberFormat="1" applyFont="1" applyFill="1" applyBorder="1"/>
    <xf numFmtId="0" fontId="20" fillId="2" borderId="19" xfId="0" applyFont="1" applyFill="1" applyBorder="1"/>
    <xf numFmtId="0" fontId="20" fillId="0" borderId="19" xfId="0" applyFont="1" applyBorder="1" applyAlignment="1">
      <alignment horizontal="center"/>
    </xf>
    <xf numFmtId="164" fontId="20" fillId="4" borderId="2" xfId="2" applyFont="1" applyFill="1" applyBorder="1"/>
    <xf numFmtId="164" fontId="23" fillId="2" borderId="2" xfId="2" applyFont="1" applyFill="1" applyBorder="1" applyAlignment="1">
      <alignment horizontal="right"/>
    </xf>
    <xf numFmtId="0" fontId="20" fillId="4" borderId="2" xfId="0" applyFont="1" applyFill="1" applyBorder="1" applyAlignment="1">
      <alignment horizontal="center"/>
    </xf>
    <xf numFmtId="0" fontId="20" fillId="4" borderId="2" xfId="0" applyFont="1" applyFill="1" applyBorder="1"/>
    <xf numFmtId="164" fontId="20" fillId="4" borderId="2" xfId="2" applyFont="1" applyFill="1" applyBorder="1" applyAlignment="1">
      <alignment horizontal="center"/>
    </xf>
    <xf numFmtId="164" fontId="20" fillId="4" borderId="2" xfId="0" applyNumberFormat="1" applyFont="1" applyFill="1" applyBorder="1"/>
    <xf numFmtId="165" fontId="20" fillId="2" borderId="10" xfId="0" applyNumberFormat="1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2" xfId="0" applyFont="1" applyFill="1" applyBorder="1"/>
    <xf numFmtId="0" fontId="19" fillId="4" borderId="4" xfId="0" applyFont="1" applyFill="1" applyBorder="1"/>
    <xf numFmtId="164" fontId="19" fillId="4" borderId="2" xfId="2" applyFont="1" applyFill="1" applyBorder="1"/>
    <xf numFmtId="17" fontId="19" fillId="4" borderId="2" xfId="0" applyNumberFormat="1" applyFont="1" applyFill="1" applyBorder="1" applyAlignment="1">
      <alignment horizontal="center"/>
    </xf>
    <xf numFmtId="164" fontId="19" fillId="4" borderId="2" xfId="2" applyFont="1" applyFill="1" applyBorder="1" applyAlignment="1">
      <alignment horizontal="center"/>
    </xf>
    <xf numFmtId="164" fontId="19" fillId="4" borderId="2" xfId="0" applyNumberFormat="1" applyFont="1" applyFill="1" applyBorder="1"/>
    <xf numFmtId="17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0" xfId="0" applyFont="1"/>
    <xf numFmtId="164" fontId="19" fillId="0" borderId="0" xfId="2" applyFont="1" applyFill="1"/>
    <xf numFmtId="164" fontId="20" fillId="4" borderId="10" xfId="2" applyFont="1" applyFill="1" applyBorder="1"/>
    <xf numFmtId="0" fontId="20" fillId="4" borderId="10" xfId="0" applyFont="1" applyFill="1" applyBorder="1" applyAlignment="1">
      <alignment horizontal="center"/>
    </xf>
    <xf numFmtId="164" fontId="20" fillId="4" borderId="10" xfId="2" applyFont="1" applyFill="1" applyBorder="1" applyAlignment="1">
      <alignment horizontal="center"/>
    </xf>
    <xf numFmtId="14" fontId="20" fillId="2" borderId="2" xfId="0" applyNumberFormat="1" applyFont="1" applyFill="1" applyBorder="1" applyAlignment="1">
      <alignment horizontal="center"/>
    </xf>
    <xf numFmtId="164" fontId="20" fillId="2" borderId="2" xfId="2" applyFont="1" applyFill="1" applyBorder="1" applyAlignment="1">
      <alignment horizontal="right"/>
    </xf>
    <xf numFmtId="164" fontId="23" fillId="0" borderId="2" xfId="2" applyFont="1" applyFill="1" applyBorder="1"/>
    <xf numFmtId="0" fontId="24" fillId="3" borderId="2" xfId="0" applyFont="1" applyFill="1" applyBorder="1" applyAlignment="1">
      <alignment horizontal="center"/>
    </xf>
    <xf numFmtId="164" fontId="20" fillId="0" borderId="17" xfId="1" applyFont="1" applyFill="1" applyBorder="1"/>
    <xf numFmtId="164" fontId="20" fillId="2" borderId="17" xfId="1" applyFont="1" applyFill="1" applyBorder="1"/>
    <xf numFmtId="164" fontId="20" fillId="0" borderId="17" xfId="0" applyNumberFormat="1" applyFont="1" applyBorder="1" applyAlignment="1">
      <alignment horizontal="center"/>
    </xf>
    <xf numFmtId="164" fontId="23" fillId="0" borderId="14" xfId="0" applyNumberFormat="1" applyFont="1" applyBorder="1"/>
    <xf numFmtId="164" fontId="23" fillId="0" borderId="14" xfId="2" applyFont="1" applyFill="1" applyBorder="1"/>
    <xf numFmtId="0" fontId="20" fillId="0" borderId="20" xfId="0" applyFont="1" applyBorder="1"/>
    <xf numFmtId="0" fontId="20" fillId="0" borderId="21" xfId="0" applyFont="1" applyBorder="1"/>
    <xf numFmtId="164" fontId="20" fillId="0" borderId="14" xfId="2" applyFont="1" applyFill="1" applyBorder="1"/>
    <xf numFmtId="164" fontId="20" fillId="0" borderId="21" xfId="0" applyNumberFormat="1" applyFont="1" applyBorder="1"/>
    <xf numFmtId="165" fontId="20" fillId="2" borderId="21" xfId="0" applyNumberFormat="1" applyFont="1" applyFill="1" applyBorder="1"/>
    <xf numFmtId="0" fontId="20" fillId="2" borderId="21" xfId="0" applyFont="1" applyFill="1" applyBorder="1"/>
    <xf numFmtId="164" fontId="20" fillId="2" borderId="21" xfId="0" applyNumberFormat="1" applyFont="1" applyFill="1" applyBorder="1"/>
    <xf numFmtId="0" fontId="20" fillId="0" borderId="2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3" fontId="20" fillId="4" borderId="2" xfId="0" applyNumberFormat="1" applyFont="1" applyFill="1" applyBorder="1" applyAlignment="1">
      <alignment horizontal="center"/>
    </xf>
    <xf numFmtId="17" fontId="23" fillId="4" borderId="2" xfId="0" applyNumberFormat="1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164" fontId="19" fillId="0" borderId="2" xfId="2" applyFont="1" applyFill="1" applyBorder="1"/>
    <xf numFmtId="14" fontId="23" fillId="2" borderId="2" xfId="0" applyNumberFormat="1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7" fontId="25" fillId="4" borderId="2" xfId="0" applyNumberFormat="1" applyFont="1" applyFill="1" applyBorder="1" applyAlignment="1">
      <alignment horizontal="center"/>
    </xf>
    <xf numFmtId="17" fontId="26" fillId="0" borderId="2" xfId="0" applyNumberFormat="1" applyFont="1" applyBorder="1" applyAlignment="1">
      <alignment horizontal="center"/>
    </xf>
    <xf numFmtId="0" fontId="20" fillId="4" borderId="3" xfId="0" applyFont="1" applyFill="1" applyBorder="1"/>
    <xf numFmtId="164" fontId="20" fillId="4" borderId="3" xfId="2" applyFont="1" applyFill="1" applyBorder="1"/>
    <xf numFmtId="0" fontId="20" fillId="0" borderId="6" xfId="0" applyFont="1" applyBorder="1"/>
    <xf numFmtId="0" fontId="19" fillId="4" borderId="2" xfId="3" applyFont="1" applyFill="1" applyBorder="1"/>
    <xf numFmtId="164" fontId="19" fillId="4" borderId="2" xfId="4" applyFont="1" applyFill="1" applyBorder="1"/>
    <xf numFmtId="164" fontId="20" fillId="4" borderId="2" xfId="1" applyFont="1" applyFill="1" applyBorder="1"/>
    <xf numFmtId="164" fontId="20" fillId="0" borderId="14" xfId="0" applyNumberFormat="1" applyFont="1" applyBorder="1" applyAlignment="1">
      <alignment horizontal="center"/>
    </xf>
    <xf numFmtId="164" fontId="23" fillId="0" borderId="14" xfId="2" applyFont="1" applyBorder="1"/>
    <xf numFmtId="164" fontId="20" fillId="2" borderId="10" xfId="2" applyFont="1" applyFill="1" applyBorder="1" applyAlignment="1">
      <alignment horizontal="right"/>
    </xf>
    <xf numFmtId="164" fontId="23" fillId="0" borderId="10" xfId="2" applyFont="1" applyBorder="1"/>
    <xf numFmtId="164" fontId="20" fillId="0" borderId="10" xfId="2" applyFont="1" applyFill="1" applyBorder="1"/>
    <xf numFmtId="164" fontId="20" fillId="0" borderId="10" xfId="1" applyFont="1" applyFill="1" applyBorder="1"/>
    <xf numFmtId="165" fontId="23" fillId="2" borderId="10" xfId="0" applyNumberFormat="1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164" fontId="23" fillId="2" borderId="10" xfId="2" applyFont="1" applyFill="1" applyBorder="1" applyAlignment="1">
      <alignment horizontal="right"/>
    </xf>
    <xf numFmtId="165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164" fontId="19" fillId="2" borderId="2" xfId="5" applyFont="1" applyFill="1" applyBorder="1" applyAlignment="1">
      <alignment horizontal="right"/>
    </xf>
    <xf numFmtId="0" fontId="20" fillId="0" borderId="22" xfId="0" applyFont="1" applyBorder="1"/>
    <xf numFmtId="0" fontId="26" fillId="0" borderId="2" xfId="0" applyFont="1" applyBorder="1"/>
    <xf numFmtId="164" fontId="23" fillId="2" borderId="2" xfId="2" applyFont="1" applyFill="1" applyBorder="1" applyAlignment="1">
      <alignment horizontal="center"/>
    </xf>
    <xf numFmtId="0" fontId="20" fillId="0" borderId="22" xfId="0" applyFont="1" applyBorder="1" applyAlignment="1">
      <alignment vertical="center"/>
    </xf>
    <xf numFmtId="165" fontId="20" fillId="2" borderId="19" xfId="0" applyNumberFormat="1" applyFont="1" applyFill="1" applyBorder="1" applyAlignment="1">
      <alignment horizontal="center"/>
    </xf>
    <xf numFmtId="165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/>
    <xf numFmtId="164" fontId="19" fillId="2" borderId="2" xfId="2" applyFont="1" applyFill="1" applyBorder="1"/>
    <xf numFmtId="0" fontId="21" fillId="0" borderId="2" xfId="0" applyFont="1" applyBorder="1"/>
    <xf numFmtId="164" fontId="21" fillId="0" borderId="2" xfId="2" applyFont="1" applyFill="1" applyBorder="1"/>
    <xf numFmtId="164" fontId="20" fillId="0" borderId="2" xfId="2" applyFont="1" applyFill="1" applyBorder="1" applyAlignment="1">
      <alignment horizontal="right"/>
    </xf>
    <xf numFmtId="164" fontId="23" fillId="0" borderId="10" xfId="1" applyFont="1" applyBorder="1"/>
    <xf numFmtId="165" fontId="20" fillId="2" borderId="2" xfId="0" applyNumberFormat="1" applyFont="1" applyFill="1" applyBorder="1" applyAlignment="1">
      <alignment horizontal="left"/>
    </xf>
    <xf numFmtId="0" fontId="22" fillId="0" borderId="10" xfId="0" applyFont="1" applyBorder="1" applyAlignment="1">
      <alignment horizontal="center"/>
    </xf>
    <xf numFmtId="164" fontId="20" fillId="0" borderId="21" xfId="2" applyFont="1" applyFill="1" applyBorder="1"/>
    <xf numFmtId="165" fontId="20" fillId="2" borderId="21" xfId="0" applyNumberFormat="1" applyFont="1" applyFill="1" applyBorder="1" applyAlignment="1">
      <alignment horizontal="center"/>
    </xf>
    <xf numFmtId="164" fontId="20" fillId="2" borderId="21" xfId="2" applyFont="1" applyFill="1" applyBorder="1"/>
    <xf numFmtId="164" fontId="20" fillId="0" borderId="19" xfId="2" applyFont="1" applyFill="1" applyBorder="1"/>
    <xf numFmtId="164" fontId="20" fillId="2" borderId="19" xfId="2" applyFont="1" applyFill="1" applyBorder="1"/>
    <xf numFmtId="164" fontId="20" fillId="0" borderId="19" xfId="2" applyFont="1" applyFill="1" applyBorder="1" applyAlignment="1">
      <alignment horizontal="center"/>
    </xf>
    <xf numFmtId="0" fontId="22" fillId="0" borderId="10" xfId="0" applyFont="1" applyBorder="1" applyAlignment="1">
      <alignment horizontal="left"/>
    </xf>
    <xf numFmtId="164" fontId="20" fillId="2" borderId="10" xfId="2" applyFont="1" applyFill="1" applyBorder="1"/>
    <xf numFmtId="164" fontId="20" fillId="2" borderId="14" xfId="2" applyFont="1" applyFill="1" applyBorder="1"/>
    <xf numFmtId="164" fontId="20" fillId="0" borderId="17" xfId="2" applyFont="1" applyFill="1" applyBorder="1"/>
    <xf numFmtId="164" fontId="20" fillId="2" borderId="17" xfId="2" applyFont="1" applyFill="1" applyBorder="1"/>
    <xf numFmtId="0" fontId="20" fillId="0" borderId="0" xfId="0" applyFont="1" applyAlignment="1">
      <alignment horizontal="center"/>
    </xf>
    <xf numFmtId="164" fontId="20" fillId="0" borderId="0" xfId="2" applyFont="1" applyFill="1" applyBorder="1"/>
    <xf numFmtId="164" fontId="20" fillId="0" borderId="0" xfId="0" applyNumberFormat="1" applyFont="1"/>
    <xf numFmtId="165" fontId="20" fillId="2" borderId="0" xfId="0" applyNumberFormat="1" applyFont="1" applyFill="1"/>
    <xf numFmtId="0" fontId="20" fillId="2" borderId="0" xfId="0" applyFont="1" applyFill="1"/>
    <xf numFmtId="164" fontId="20" fillId="2" borderId="0" xfId="2" applyFont="1" applyFill="1" applyBorder="1"/>
    <xf numFmtId="0" fontId="20" fillId="0" borderId="23" xfId="0" applyFont="1" applyBorder="1"/>
    <xf numFmtId="0" fontId="20" fillId="0" borderId="10" xfId="0" applyFont="1" applyBorder="1" applyAlignment="1">
      <alignment horizontal="left"/>
    </xf>
    <xf numFmtId="166" fontId="20" fillId="0" borderId="10" xfId="1" applyNumberFormat="1" applyFont="1" applyFill="1" applyBorder="1"/>
    <xf numFmtId="0" fontId="26" fillId="0" borderId="10" xfId="0" applyFont="1" applyBorder="1"/>
    <xf numFmtId="164" fontId="20" fillId="0" borderId="2" xfId="1" applyFont="1" applyFill="1" applyBorder="1"/>
    <xf numFmtId="166" fontId="20" fillId="0" borderId="2" xfId="1" applyNumberFormat="1" applyFont="1" applyFill="1" applyBorder="1"/>
    <xf numFmtId="164" fontId="20" fillId="0" borderId="3" xfId="2" applyFont="1" applyFill="1" applyBorder="1"/>
    <xf numFmtId="164" fontId="20" fillId="0" borderId="3" xfId="1" applyFont="1" applyFill="1" applyBorder="1"/>
    <xf numFmtId="166" fontId="20" fillId="0" borderId="3" xfId="1" applyNumberFormat="1" applyFont="1" applyFill="1" applyBorder="1"/>
    <xf numFmtId="165" fontId="20" fillId="2" borderId="3" xfId="0" applyNumberFormat="1" applyFont="1" applyFill="1" applyBorder="1" applyAlignment="1">
      <alignment horizontal="center"/>
    </xf>
    <xf numFmtId="0" fontId="20" fillId="2" borderId="3" xfId="0" applyFont="1" applyFill="1" applyBorder="1"/>
    <xf numFmtId="164" fontId="20" fillId="2" borderId="3" xfId="2" applyFont="1" applyFill="1" applyBorder="1"/>
    <xf numFmtId="164" fontId="23" fillId="0" borderId="3" xfId="2" applyFont="1" applyBorder="1"/>
    <xf numFmtId="0" fontId="20" fillId="0" borderId="24" xfId="0" applyFont="1" applyBorder="1"/>
    <xf numFmtId="164" fontId="20" fillId="0" borderId="24" xfId="2" applyFont="1" applyFill="1" applyBorder="1"/>
    <xf numFmtId="164" fontId="20" fillId="0" borderId="24" xfId="0" applyNumberFormat="1" applyFont="1" applyBorder="1"/>
    <xf numFmtId="165" fontId="20" fillId="2" borderId="24" xfId="0" applyNumberFormat="1" applyFont="1" applyFill="1" applyBorder="1" applyAlignment="1">
      <alignment horizontal="center"/>
    </xf>
    <xf numFmtId="0" fontId="20" fillId="2" borderId="24" xfId="0" applyFont="1" applyFill="1" applyBorder="1"/>
    <xf numFmtId="164" fontId="20" fillId="2" borderId="24" xfId="2" applyFont="1" applyFill="1" applyBorder="1"/>
    <xf numFmtId="0" fontId="20" fillId="0" borderId="24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165" fontId="20" fillId="2" borderId="24" xfId="0" applyNumberFormat="1" applyFont="1" applyFill="1" applyBorder="1"/>
    <xf numFmtId="0" fontId="20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0" fontId="20" fillId="0" borderId="25" xfId="0" applyFont="1" applyBorder="1"/>
    <xf numFmtId="164" fontId="20" fillId="0" borderId="25" xfId="2" applyFont="1" applyFill="1" applyBorder="1"/>
    <xf numFmtId="0" fontId="20" fillId="0" borderId="25" xfId="0" applyFont="1" applyBorder="1" applyAlignment="1">
      <alignment horizontal="center" vertical="center"/>
    </xf>
    <xf numFmtId="165" fontId="20" fillId="2" borderId="25" xfId="0" applyNumberFormat="1" applyFont="1" applyFill="1" applyBorder="1"/>
    <xf numFmtId="0" fontId="20" fillId="2" borderId="25" xfId="0" applyFont="1" applyFill="1" applyBorder="1"/>
    <xf numFmtId="164" fontId="20" fillId="2" borderId="25" xfId="2" applyFont="1" applyFill="1" applyBorder="1"/>
    <xf numFmtId="164" fontId="23" fillId="0" borderId="25" xfId="0" applyNumberFormat="1" applyFont="1" applyBorder="1"/>
    <xf numFmtId="164" fontId="23" fillId="0" borderId="25" xfId="2" applyFont="1" applyBorder="1"/>
    <xf numFmtId="0" fontId="20" fillId="0" borderId="21" xfId="0" applyFont="1" applyBorder="1" applyAlignment="1">
      <alignment horizontal="left"/>
    </xf>
    <xf numFmtId="0" fontId="20" fillId="0" borderId="21" xfId="0" applyFont="1" applyBorder="1" applyAlignment="1">
      <alignment horizontal="center" vertical="center"/>
    </xf>
    <xf numFmtId="164" fontId="20" fillId="0" borderId="27" xfId="2" applyFont="1" applyFill="1" applyBorder="1"/>
    <xf numFmtId="165" fontId="20" fillId="2" borderId="27" xfId="0" applyNumberFormat="1" applyFont="1" applyFill="1" applyBorder="1"/>
    <xf numFmtId="0" fontId="20" fillId="2" borderId="27" xfId="0" applyFont="1" applyFill="1" applyBorder="1"/>
    <xf numFmtId="164" fontId="20" fillId="2" borderId="27" xfId="2" applyFont="1" applyFill="1" applyBorder="1"/>
    <xf numFmtId="0" fontId="20" fillId="0" borderId="27" xfId="0" applyFont="1" applyBorder="1"/>
    <xf numFmtId="0" fontId="20" fillId="0" borderId="27" xfId="0" applyFont="1" applyBorder="1" applyAlignment="1">
      <alignment horizontal="center"/>
    </xf>
    <xf numFmtId="164" fontId="23" fillId="0" borderId="27" xfId="0" applyNumberFormat="1" applyFont="1" applyBorder="1"/>
    <xf numFmtId="164" fontId="23" fillId="0" borderId="27" xfId="2" applyFont="1" applyBorder="1"/>
    <xf numFmtId="0" fontId="19" fillId="0" borderId="25" xfId="0" applyFont="1" applyBorder="1" applyAlignment="1">
      <alignment horizontal="center"/>
    </xf>
    <xf numFmtId="0" fontId="19" fillId="0" borderId="25" xfId="0" applyFont="1" applyBorder="1" applyAlignment="1">
      <alignment horizontal="left"/>
    </xf>
    <xf numFmtId="0" fontId="19" fillId="0" borderId="25" xfId="0" applyFont="1" applyBorder="1"/>
    <xf numFmtId="164" fontId="19" fillId="0" borderId="25" xfId="2" applyFont="1" applyFill="1" applyBorder="1"/>
    <xf numFmtId="165" fontId="19" fillId="2" borderId="25" xfId="0" applyNumberFormat="1" applyFont="1" applyFill="1" applyBorder="1"/>
    <xf numFmtId="0" fontId="19" fillId="2" borderId="25" xfId="0" applyFont="1" applyFill="1" applyBorder="1"/>
    <xf numFmtId="164" fontId="19" fillId="2" borderId="25" xfId="2" applyFont="1" applyFill="1" applyBorder="1"/>
    <xf numFmtId="0" fontId="22" fillId="0" borderId="25" xfId="0" applyFont="1" applyBorder="1" applyAlignment="1">
      <alignment horizontal="center"/>
    </xf>
    <xf numFmtId="0" fontId="19" fillId="0" borderId="25" xfId="3" applyFont="1" applyBorder="1" applyAlignment="1">
      <alignment horizontal="center" shrinkToFit="1"/>
    </xf>
    <xf numFmtId="0" fontId="19" fillId="0" borderId="25" xfId="3" applyFont="1" applyBorder="1" applyAlignment="1">
      <alignment horizontal="center"/>
    </xf>
    <xf numFmtId="164" fontId="19" fillId="0" borderId="25" xfId="5" applyFont="1" applyBorder="1"/>
    <xf numFmtId="165" fontId="23" fillId="2" borderId="25" xfId="0" applyNumberFormat="1" applyFont="1" applyFill="1" applyBorder="1" applyAlignment="1">
      <alignment horizontal="center"/>
    </xf>
    <xf numFmtId="0" fontId="23" fillId="2" borderId="25" xfId="0" applyFont="1" applyFill="1" applyBorder="1" applyAlignment="1">
      <alignment horizontal="center"/>
    </xf>
    <xf numFmtId="164" fontId="23" fillId="2" borderId="25" xfId="2" applyFont="1" applyFill="1" applyBorder="1" applyAlignment="1">
      <alignment horizontal="right"/>
    </xf>
    <xf numFmtId="0" fontId="19" fillId="0" borderId="21" xfId="0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21" xfId="0" applyFont="1" applyBorder="1"/>
    <xf numFmtId="164" fontId="19" fillId="0" borderId="21" xfId="2" applyFont="1" applyFill="1" applyBorder="1"/>
    <xf numFmtId="165" fontId="19" fillId="2" borderId="21" xfId="0" applyNumberFormat="1" applyFont="1" applyFill="1" applyBorder="1"/>
    <xf numFmtId="0" fontId="19" fillId="2" borderId="21" xfId="0" applyFont="1" applyFill="1" applyBorder="1"/>
    <xf numFmtId="164" fontId="19" fillId="2" borderId="21" xfId="2" applyFont="1" applyFill="1" applyBorder="1"/>
    <xf numFmtId="164" fontId="23" fillId="0" borderId="28" xfId="0" applyNumberFormat="1" applyFont="1" applyBorder="1"/>
    <xf numFmtId="164" fontId="23" fillId="0" borderId="28" xfId="2" applyFont="1" applyBorder="1"/>
    <xf numFmtId="0" fontId="19" fillId="0" borderId="28" xfId="0" applyFont="1" applyBorder="1"/>
    <xf numFmtId="0" fontId="20" fillId="0" borderId="14" xfId="0" applyFont="1" applyBorder="1" applyAlignment="1">
      <alignment horizontal="left"/>
    </xf>
    <xf numFmtId="164" fontId="20" fillId="0" borderId="14" xfId="2" applyFont="1" applyFill="1" applyBorder="1" applyAlignment="1">
      <alignment horizontal="center"/>
    </xf>
    <xf numFmtId="0" fontId="20" fillId="0" borderId="26" xfId="0" applyFont="1" applyBorder="1"/>
    <xf numFmtId="164" fontId="20" fillId="2" borderId="21" xfId="1" applyFont="1" applyFill="1" applyBorder="1"/>
    <xf numFmtId="164" fontId="20" fillId="2" borderId="2" xfId="1" applyFont="1" applyFill="1" applyBorder="1"/>
    <xf numFmtId="165" fontId="20" fillId="2" borderId="3" xfId="0" applyNumberFormat="1" applyFont="1" applyFill="1" applyBorder="1"/>
    <xf numFmtId="164" fontId="20" fillId="2" borderId="3" xfId="0" applyNumberFormat="1" applyFont="1" applyFill="1" applyBorder="1"/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center" vertical="center"/>
    </xf>
    <xf numFmtId="165" fontId="19" fillId="2" borderId="2" xfId="0" applyNumberFormat="1" applyFont="1" applyFill="1" applyBorder="1"/>
    <xf numFmtId="164" fontId="23" fillId="0" borderId="2" xfId="0" applyNumberFormat="1" applyFont="1" applyBorder="1"/>
    <xf numFmtId="0" fontId="20" fillId="0" borderId="2" xfId="3" applyFont="1" applyBorder="1"/>
    <xf numFmtId="14" fontId="20" fillId="0" borderId="0" xfId="0" applyNumberFormat="1" applyFont="1"/>
    <xf numFmtId="164" fontId="20" fillId="0" borderId="2" xfId="1" applyFont="1" applyFill="1" applyBorder="1" applyAlignment="1">
      <alignment horizontal="center"/>
    </xf>
    <xf numFmtId="164" fontId="20" fillId="0" borderId="17" xfId="1" applyFont="1" applyFill="1" applyBorder="1" applyAlignment="1">
      <alignment horizontal="center"/>
    </xf>
    <xf numFmtId="164" fontId="20" fillId="0" borderId="21" xfId="1" applyFont="1" applyFill="1" applyBorder="1"/>
    <xf numFmtId="164" fontId="20" fillId="0" borderId="0" xfId="1" applyFont="1" applyFill="1"/>
    <xf numFmtId="164" fontId="20" fillId="2" borderId="0" xfId="1" applyFont="1" applyFill="1"/>
    <xf numFmtId="164" fontId="23" fillId="2" borderId="0" xfId="0" applyNumberFormat="1" applyFont="1" applyFill="1"/>
    <xf numFmtId="0" fontId="20" fillId="2" borderId="0" xfId="0" applyFont="1" applyFill="1" applyAlignment="1">
      <alignment horizontal="center"/>
    </xf>
    <xf numFmtId="2" fontId="28" fillId="0" borderId="0" xfId="0" applyNumberFormat="1" applyFont="1"/>
    <xf numFmtId="0" fontId="5" fillId="4" borderId="4" xfId="0" applyFont="1" applyFill="1" applyBorder="1" applyAlignment="1">
      <alignment horizontal="center"/>
    </xf>
    <xf numFmtId="165" fontId="5" fillId="4" borderId="6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65" fontId="5" fillId="4" borderId="10" xfId="0" applyNumberFormat="1" applyFont="1" applyFill="1" applyBorder="1"/>
    <xf numFmtId="0" fontId="5" fillId="4" borderId="10" xfId="0" applyFont="1" applyFill="1" applyBorder="1"/>
    <xf numFmtId="165" fontId="20" fillId="4" borderId="10" xfId="0" applyNumberFormat="1" applyFont="1" applyFill="1" applyBorder="1" applyAlignment="1">
      <alignment horizontal="center"/>
    </xf>
    <xf numFmtId="164" fontId="20" fillId="4" borderId="10" xfId="0" applyNumberFormat="1" applyFont="1" applyFill="1" applyBorder="1"/>
    <xf numFmtId="165" fontId="20" fillId="4" borderId="2" xfId="0" applyNumberFormat="1" applyFont="1" applyFill="1" applyBorder="1" applyAlignment="1">
      <alignment horizontal="center"/>
    </xf>
    <xf numFmtId="14" fontId="20" fillId="4" borderId="2" xfId="0" applyNumberFormat="1" applyFont="1" applyFill="1" applyBorder="1" applyAlignment="1">
      <alignment horizontal="center"/>
    </xf>
    <xf numFmtId="164" fontId="20" fillId="4" borderId="2" xfId="2" applyFont="1" applyFill="1" applyBorder="1" applyAlignment="1">
      <alignment horizontal="right"/>
    </xf>
    <xf numFmtId="164" fontId="5" fillId="4" borderId="17" xfId="0" applyNumberFormat="1" applyFont="1" applyFill="1" applyBorder="1"/>
    <xf numFmtId="164" fontId="5" fillId="4" borderId="17" xfId="1" applyFont="1" applyFill="1" applyBorder="1"/>
    <xf numFmtId="164" fontId="5" fillId="4" borderId="10" xfId="0" applyNumberFormat="1" applyFont="1" applyFill="1" applyBorder="1"/>
    <xf numFmtId="165" fontId="5" fillId="4" borderId="14" xfId="0" applyNumberFormat="1" applyFont="1" applyFill="1" applyBorder="1"/>
    <xf numFmtId="0" fontId="5" fillId="4" borderId="14" xfId="0" applyFont="1" applyFill="1" applyBorder="1"/>
    <xf numFmtId="164" fontId="5" fillId="4" borderId="14" xfId="0" applyNumberFormat="1" applyFont="1" applyFill="1" applyBorder="1"/>
    <xf numFmtId="165" fontId="5" fillId="4" borderId="19" xfId="0" applyNumberFormat="1" applyFont="1" applyFill="1" applyBorder="1"/>
    <xf numFmtId="0" fontId="5" fillId="4" borderId="19" xfId="0" applyFont="1" applyFill="1" applyBorder="1"/>
    <xf numFmtId="164" fontId="5" fillId="4" borderId="19" xfId="0" applyNumberFormat="1" applyFont="1" applyFill="1" applyBorder="1"/>
    <xf numFmtId="165" fontId="5" fillId="4" borderId="21" xfId="0" applyNumberFormat="1" applyFont="1" applyFill="1" applyBorder="1"/>
    <xf numFmtId="0" fontId="5" fillId="4" borderId="21" xfId="0" applyFont="1" applyFill="1" applyBorder="1"/>
    <xf numFmtId="164" fontId="5" fillId="4" borderId="21" xfId="0" applyNumberFormat="1" applyFont="1" applyFill="1" applyBorder="1"/>
    <xf numFmtId="165" fontId="5" fillId="4" borderId="2" xfId="0" applyNumberFormat="1" applyFont="1" applyFill="1" applyBorder="1"/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17" xfId="0" applyNumberFormat="1" applyFont="1" applyFill="1" applyBorder="1"/>
    <xf numFmtId="0" fontId="5" fillId="4" borderId="17" xfId="0" applyFont="1" applyFill="1" applyBorder="1"/>
    <xf numFmtId="165" fontId="23" fillId="4" borderId="2" xfId="0" applyNumberFormat="1" applyFont="1" applyFill="1" applyBorder="1" applyAlignment="1">
      <alignment horizontal="center"/>
    </xf>
    <xf numFmtId="164" fontId="23" fillId="4" borderId="2" xfId="2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4" fontId="5" fillId="4" borderId="10" xfId="2" applyFont="1" applyFill="1" applyBorder="1" applyAlignment="1">
      <alignment horizontal="right"/>
    </xf>
    <xf numFmtId="165" fontId="23" fillId="4" borderId="10" xfId="0" applyNumberFormat="1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164" fontId="23" fillId="4" borderId="10" xfId="2" applyFont="1" applyFill="1" applyBorder="1" applyAlignment="1">
      <alignment horizontal="right"/>
    </xf>
    <xf numFmtId="164" fontId="5" fillId="4" borderId="2" xfId="2" applyFont="1" applyFill="1" applyBorder="1" applyAlignment="1">
      <alignment horizontal="right"/>
    </xf>
    <xf numFmtId="14" fontId="23" fillId="4" borderId="2" xfId="0" applyNumberFormat="1" applyFont="1" applyFill="1" applyBorder="1" applyAlignment="1">
      <alignment horizontal="center"/>
    </xf>
    <xf numFmtId="165" fontId="5" fillId="4" borderId="0" xfId="0" applyNumberFormat="1" applyFont="1" applyFill="1"/>
    <xf numFmtId="0" fontId="5" fillId="4" borderId="0" xfId="0" applyFont="1" applyFill="1"/>
    <xf numFmtId="164" fontId="5" fillId="4" borderId="0" xfId="1" applyFont="1" applyFill="1"/>
    <xf numFmtId="164" fontId="15" fillId="4" borderId="0" xfId="0" applyNumberFormat="1" applyFont="1" applyFill="1"/>
    <xf numFmtId="0" fontId="5" fillId="4" borderId="0" xfId="0" applyFont="1" applyFill="1" applyAlignment="1">
      <alignment horizontal="center"/>
    </xf>
    <xf numFmtId="164" fontId="5" fillId="7" borderId="17" xfId="1" applyFont="1" applyFill="1" applyBorder="1"/>
    <xf numFmtId="164" fontId="5" fillId="7" borderId="14" xfId="0" applyNumberFormat="1" applyFont="1" applyFill="1" applyBorder="1"/>
    <xf numFmtId="164" fontId="5" fillId="7" borderId="17" xfId="0" applyNumberFormat="1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0" borderId="29" xfId="0" applyFont="1" applyBorder="1"/>
    <xf numFmtId="0" fontId="4" fillId="0" borderId="1" xfId="0" applyFont="1" applyBorder="1"/>
    <xf numFmtId="0" fontId="5" fillId="0" borderId="4" xfId="0" applyFont="1" applyBorder="1"/>
    <xf numFmtId="0" fontId="5" fillId="0" borderId="5" xfId="0" applyFont="1" applyBorder="1"/>
    <xf numFmtId="164" fontId="5" fillId="7" borderId="14" xfId="2" applyFont="1" applyFill="1" applyBorder="1"/>
    <xf numFmtId="164" fontId="8" fillId="4" borderId="14" xfId="2" applyFont="1" applyFill="1" applyBorder="1"/>
    <xf numFmtId="164" fontId="5" fillId="4" borderId="29" xfId="0" applyNumberFormat="1" applyFont="1" applyFill="1" applyBorder="1"/>
    <xf numFmtId="0" fontId="6" fillId="0" borderId="4" xfId="0" applyFont="1" applyBorder="1"/>
    <xf numFmtId="164" fontId="6" fillId="4" borderId="2" xfId="2" applyFont="1" applyFill="1" applyBorder="1"/>
    <xf numFmtId="17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2" xfId="2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29" fillId="0" borderId="2" xfId="0" applyFont="1" applyBorder="1"/>
    <xf numFmtId="164" fontId="29" fillId="0" borderId="2" xfId="2" applyFont="1" applyFill="1" applyBorder="1"/>
    <xf numFmtId="17" fontId="30" fillId="4" borderId="2" xfId="0" applyNumberFormat="1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164" fontId="20" fillId="0" borderId="0" xfId="6" applyFont="1" applyFill="1"/>
    <xf numFmtId="164" fontId="20" fillId="0" borderId="2" xfId="6" applyFont="1" applyFill="1" applyBorder="1"/>
    <xf numFmtId="164" fontId="20" fillId="2" borderId="2" xfId="6" applyFont="1" applyFill="1" applyBorder="1"/>
    <xf numFmtId="164" fontId="20" fillId="0" borderId="2" xfId="6" applyFont="1" applyFill="1" applyBorder="1" applyAlignment="1">
      <alignment horizontal="center"/>
    </xf>
    <xf numFmtId="164" fontId="23" fillId="0" borderId="2" xfId="6" applyFont="1" applyBorder="1"/>
    <xf numFmtId="164" fontId="20" fillId="4" borderId="2" xfId="6" applyFont="1" applyFill="1" applyBorder="1"/>
    <xf numFmtId="164" fontId="23" fillId="2" borderId="2" xfId="6" applyFont="1" applyFill="1" applyBorder="1" applyAlignment="1">
      <alignment horizontal="right"/>
    </xf>
    <xf numFmtId="164" fontId="20" fillId="4" borderId="2" xfId="6" applyFont="1" applyFill="1" applyBorder="1" applyAlignment="1">
      <alignment horizontal="center"/>
    </xf>
    <xf numFmtId="164" fontId="19" fillId="4" borderId="2" xfId="6" applyFont="1" applyFill="1" applyBorder="1"/>
    <xf numFmtId="164" fontId="19" fillId="4" borderId="2" xfId="6" applyFont="1" applyFill="1" applyBorder="1" applyAlignment="1">
      <alignment horizontal="center"/>
    </xf>
    <xf numFmtId="164" fontId="19" fillId="0" borderId="0" xfId="6" applyFont="1" applyFill="1"/>
    <xf numFmtId="164" fontId="20" fillId="4" borderId="10" xfId="6" applyFont="1" applyFill="1" applyBorder="1"/>
    <xf numFmtId="164" fontId="20" fillId="4" borderId="10" xfId="6" applyFont="1" applyFill="1" applyBorder="1" applyAlignment="1">
      <alignment horizontal="center"/>
    </xf>
    <xf numFmtId="164" fontId="20" fillId="2" borderId="2" xfId="6" applyFont="1" applyFill="1" applyBorder="1" applyAlignment="1">
      <alignment horizontal="right"/>
    </xf>
    <xf numFmtId="164" fontId="23" fillId="0" borderId="2" xfId="6" applyFont="1" applyFill="1" applyBorder="1"/>
    <xf numFmtId="164" fontId="23" fillId="0" borderId="14" xfId="6" applyFont="1" applyFill="1" applyBorder="1"/>
    <xf numFmtId="164" fontId="20" fillId="0" borderId="14" xfId="6" applyFont="1" applyFill="1" applyBorder="1"/>
    <xf numFmtId="17" fontId="20" fillId="4" borderId="2" xfId="0" applyNumberFormat="1" applyFont="1" applyFill="1" applyBorder="1" applyAlignment="1">
      <alignment horizontal="center"/>
    </xf>
    <xf numFmtId="164" fontId="19" fillId="0" borderId="2" xfId="6" applyFont="1" applyFill="1" applyBorder="1"/>
    <xf numFmtId="164" fontId="20" fillId="4" borderId="3" xfId="6" applyFont="1" applyFill="1" applyBorder="1"/>
    <xf numFmtId="0" fontId="19" fillId="4" borderId="2" xfId="7" applyFont="1" applyFill="1" applyBorder="1"/>
    <xf numFmtId="164" fontId="19" fillId="4" borderId="2" xfId="8" applyFont="1" applyFill="1" applyBorder="1"/>
    <xf numFmtId="164" fontId="23" fillId="0" borderId="14" xfId="6" applyFont="1" applyBorder="1"/>
    <xf numFmtId="164" fontId="20" fillId="2" borderId="10" xfId="6" applyFont="1" applyFill="1" applyBorder="1" applyAlignment="1">
      <alignment horizontal="right"/>
    </xf>
    <xf numFmtId="164" fontId="23" fillId="0" borderId="10" xfId="6" applyFont="1" applyBorder="1"/>
    <xf numFmtId="164" fontId="20" fillId="0" borderId="10" xfId="6" applyFont="1" applyFill="1" applyBorder="1"/>
    <xf numFmtId="164" fontId="23" fillId="2" borderId="10" xfId="6" applyFont="1" applyFill="1" applyBorder="1" applyAlignment="1">
      <alignment horizontal="right"/>
    </xf>
    <xf numFmtId="165" fontId="19" fillId="2" borderId="2" xfId="7" applyNumberFormat="1" applyFont="1" applyFill="1" applyBorder="1" applyAlignment="1">
      <alignment horizontal="center"/>
    </xf>
    <xf numFmtId="0" fontId="19" fillId="2" borderId="2" xfId="7" applyFont="1" applyFill="1" applyBorder="1" applyAlignment="1">
      <alignment horizontal="center"/>
    </xf>
    <xf numFmtId="164" fontId="19" fillId="2" borderId="2" xfId="9" applyFont="1" applyFill="1" applyBorder="1" applyAlignment="1">
      <alignment horizontal="right"/>
    </xf>
    <xf numFmtId="164" fontId="23" fillId="2" borderId="2" xfId="6" applyFont="1" applyFill="1" applyBorder="1" applyAlignment="1">
      <alignment horizontal="center"/>
    </xf>
    <xf numFmtId="164" fontId="19" fillId="2" borderId="2" xfId="6" applyFont="1" applyFill="1" applyBorder="1"/>
    <xf numFmtId="164" fontId="21" fillId="0" borderId="2" xfId="6" applyFont="1" applyFill="1" applyBorder="1"/>
    <xf numFmtId="164" fontId="20" fillId="0" borderId="2" xfId="6" applyFont="1" applyFill="1" applyBorder="1" applyAlignment="1">
      <alignment horizontal="right"/>
    </xf>
    <xf numFmtId="164" fontId="20" fillId="0" borderId="21" xfId="6" applyFont="1" applyFill="1" applyBorder="1"/>
    <xf numFmtId="164" fontId="20" fillId="2" borderId="21" xfId="6" applyFont="1" applyFill="1" applyBorder="1"/>
    <xf numFmtId="164" fontId="20" fillId="0" borderId="19" xfId="6" applyFont="1" applyFill="1" applyBorder="1"/>
    <xf numFmtId="164" fontId="20" fillId="2" borderId="19" xfId="6" applyFont="1" applyFill="1" applyBorder="1"/>
    <xf numFmtId="164" fontId="20" fillId="0" borderId="19" xfId="6" applyFont="1" applyFill="1" applyBorder="1" applyAlignment="1">
      <alignment horizontal="center"/>
    </xf>
    <xf numFmtId="164" fontId="20" fillId="2" borderId="10" xfId="6" applyFont="1" applyFill="1" applyBorder="1"/>
    <xf numFmtId="164" fontId="20" fillId="2" borderId="14" xfId="6" applyFont="1" applyFill="1" applyBorder="1"/>
    <xf numFmtId="164" fontId="20" fillId="0" borderId="17" xfId="6" applyFont="1" applyFill="1" applyBorder="1"/>
    <xf numFmtId="164" fontId="20" fillId="2" borderId="17" xfId="6" applyFont="1" applyFill="1" applyBorder="1"/>
    <xf numFmtId="164" fontId="20" fillId="0" borderId="0" xfId="6" applyFont="1" applyFill="1" applyBorder="1"/>
    <xf numFmtId="164" fontId="20" fillId="2" borderId="0" xfId="6" applyFont="1" applyFill="1" applyBorder="1"/>
    <xf numFmtId="164" fontId="20" fillId="0" borderId="3" xfId="6" applyFont="1" applyFill="1" applyBorder="1"/>
    <xf numFmtId="164" fontId="20" fillId="2" borderId="3" xfId="6" applyFont="1" applyFill="1" applyBorder="1"/>
    <xf numFmtId="164" fontId="23" fillId="0" borderId="3" xfId="6" applyFont="1" applyBorder="1"/>
    <xf numFmtId="164" fontId="20" fillId="0" borderId="24" xfId="6" applyFont="1" applyFill="1" applyBorder="1"/>
    <xf numFmtId="164" fontId="20" fillId="2" borderId="24" xfId="6" applyFont="1" applyFill="1" applyBorder="1"/>
    <xf numFmtId="164" fontId="20" fillId="0" borderId="25" xfId="6" applyFont="1" applyFill="1" applyBorder="1"/>
    <xf numFmtId="164" fontId="20" fillId="2" borderId="25" xfId="6" applyFont="1" applyFill="1" applyBorder="1"/>
    <xf numFmtId="164" fontId="23" fillId="0" borderId="25" xfId="6" applyFont="1" applyBorder="1"/>
    <xf numFmtId="164" fontId="20" fillId="0" borderId="27" xfId="6" applyFont="1" applyFill="1" applyBorder="1"/>
    <xf numFmtId="164" fontId="20" fillId="2" borderId="27" xfId="6" applyFont="1" applyFill="1" applyBorder="1"/>
    <xf numFmtId="164" fontId="23" fillId="0" borderId="27" xfId="6" applyFont="1" applyBorder="1"/>
    <xf numFmtId="164" fontId="19" fillId="0" borderId="25" xfId="6" applyFont="1" applyFill="1" applyBorder="1"/>
    <xf numFmtId="164" fontId="19" fillId="2" borderId="25" xfId="6" applyFont="1" applyFill="1" applyBorder="1"/>
    <xf numFmtId="0" fontId="19" fillId="0" borderId="25" xfId="7" applyFont="1" applyBorder="1" applyAlignment="1">
      <alignment horizontal="center" shrinkToFit="1"/>
    </xf>
    <xf numFmtId="0" fontId="19" fillId="0" borderId="25" xfId="7" applyFont="1" applyBorder="1" applyAlignment="1">
      <alignment horizontal="center"/>
    </xf>
    <xf numFmtId="164" fontId="19" fillId="0" borderId="25" xfId="9" applyFont="1" applyBorder="1"/>
    <xf numFmtId="164" fontId="23" fillId="2" borderId="25" xfId="6" applyFont="1" applyFill="1" applyBorder="1" applyAlignment="1">
      <alignment horizontal="right"/>
    </xf>
    <xf numFmtId="164" fontId="19" fillId="0" borderId="21" xfId="6" applyFont="1" applyFill="1" applyBorder="1"/>
    <xf numFmtId="164" fontId="19" fillId="2" borderId="21" xfId="6" applyFont="1" applyFill="1" applyBorder="1"/>
    <xf numFmtId="164" fontId="23" fillId="0" borderId="28" xfId="6" applyFont="1" applyBorder="1"/>
    <xf numFmtId="164" fontId="20" fillId="0" borderId="14" xfId="6" applyFont="1" applyFill="1" applyBorder="1" applyAlignment="1">
      <alignment horizontal="center"/>
    </xf>
    <xf numFmtId="0" fontId="20" fillId="0" borderId="2" xfId="7" applyFont="1" applyBorder="1"/>
    <xf numFmtId="164" fontId="4" fillId="0" borderId="10" xfId="0" applyNumberFormat="1" applyFont="1" applyBorder="1"/>
    <xf numFmtId="164" fontId="4" fillId="0" borderId="2" xfId="2" applyFont="1" applyBorder="1"/>
    <xf numFmtId="164" fontId="4" fillId="0" borderId="14" xfId="0" applyNumberFormat="1" applyFont="1" applyBorder="1"/>
    <xf numFmtId="164" fontId="4" fillId="0" borderId="14" xfId="2" applyFont="1" applyBorder="1"/>
    <xf numFmtId="0" fontId="4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/>
    <xf numFmtId="164" fontId="4" fillId="2" borderId="2" xfId="2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164" fontId="4" fillId="4" borderId="14" xfId="2" applyFont="1" applyFill="1" applyBorder="1"/>
    <xf numFmtId="14" fontId="4" fillId="2" borderId="2" xfId="0" applyNumberFormat="1" applyFont="1" applyFill="1" applyBorder="1" applyAlignment="1">
      <alignment horizontal="center"/>
    </xf>
    <xf numFmtId="17" fontId="4" fillId="4" borderId="2" xfId="0" applyNumberFormat="1" applyFont="1" applyFill="1" applyBorder="1" applyAlignment="1">
      <alignment horizontal="center"/>
    </xf>
    <xf numFmtId="164" fontId="4" fillId="0" borderId="10" xfId="2" applyFont="1" applyBorder="1"/>
    <xf numFmtId="165" fontId="4" fillId="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164" fontId="4" fillId="2" borderId="10" xfId="2" applyFont="1" applyFill="1" applyBorder="1" applyAlignment="1">
      <alignment horizontal="right"/>
    </xf>
    <xf numFmtId="164" fontId="4" fillId="2" borderId="2" xfId="2" applyFont="1" applyFill="1" applyBorder="1" applyAlignment="1">
      <alignment horizontal="center"/>
    </xf>
    <xf numFmtId="164" fontId="4" fillId="0" borderId="10" xfId="1" applyFont="1" applyBorder="1"/>
    <xf numFmtId="164" fontId="4" fillId="0" borderId="3" xfId="2" applyFont="1" applyBorder="1"/>
    <xf numFmtId="164" fontId="4" fillId="0" borderId="25" xfId="0" applyNumberFormat="1" applyFont="1" applyBorder="1"/>
    <xf numFmtId="164" fontId="4" fillId="0" borderId="25" xfId="2" applyFont="1" applyBorder="1"/>
    <xf numFmtId="164" fontId="4" fillId="0" borderId="27" xfId="0" applyNumberFormat="1" applyFont="1" applyBorder="1"/>
    <xf numFmtId="164" fontId="4" fillId="0" borderId="27" xfId="2" applyFont="1" applyBorder="1"/>
    <xf numFmtId="165" fontId="4" fillId="2" borderId="25" xfId="0" applyNumberFormat="1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164" fontId="4" fillId="2" borderId="25" xfId="2" applyFont="1" applyFill="1" applyBorder="1" applyAlignment="1">
      <alignment horizontal="right"/>
    </xf>
    <xf numFmtId="164" fontId="4" fillId="0" borderId="28" xfId="0" applyNumberFormat="1" applyFont="1" applyBorder="1"/>
    <xf numFmtId="164" fontId="4" fillId="0" borderId="28" xfId="2" applyFont="1" applyBorder="1"/>
    <xf numFmtId="164" fontId="4" fillId="2" borderId="0" xfId="0" applyNumberFormat="1" applyFont="1" applyFill="1"/>
    <xf numFmtId="164" fontId="6" fillId="0" borderId="10" xfId="0" applyNumberFormat="1" applyFont="1" applyBorder="1"/>
    <xf numFmtId="164" fontId="6" fillId="0" borderId="2" xfId="2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left"/>
    </xf>
    <xf numFmtId="0" fontId="20" fillId="5" borderId="5" xfId="0" applyFont="1" applyFill="1" applyBorder="1" applyAlignment="1">
      <alignment horizontal="left"/>
    </xf>
    <xf numFmtId="0" fontId="20" fillId="5" borderId="6" xfId="0" applyFont="1" applyFill="1" applyBorder="1" applyAlignment="1">
      <alignment horizontal="left"/>
    </xf>
    <xf numFmtId="0" fontId="22" fillId="3" borderId="1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2" fillId="3" borderId="12" xfId="0" applyFont="1" applyFill="1" applyBorder="1" applyAlignment="1">
      <alignment horizontal="left"/>
    </xf>
    <xf numFmtId="0" fontId="20" fillId="0" borderId="22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</cellXfs>
  <cellStyles count="10">
    <cellStyle name="Comma" xfId="1" builtinId="3"/>
    <cellStyle name="Normal" xfId="0" builtinId="0"/>
    <cellStyle name="จุลภาค 2" xfId="2" xr:uid="{A93888F8-37E3-4CAB-80B4-92166A999161}"/>
    <cellStyle name="จุลภาค 2 2" xfId="6" xr:uid="{B5B3FC59-1EF0-4178-8666-E165BBF30185}"/>
    <cellStyle name="จุลภาค 5" xfId="4" xr:uid="{F6AF4406-BBE9-46C3-8479-4AD911B7FBCC}"/>
    <cellStyle name="จุลภาค 5 2" xfId="8" xr:uid="{72D0BC8B-89AB-405A-9B01-EC1EDA5396D3}"/>
    <cellStyle name="จุลภาค 7" xfId="5" xr:uid="{0FED18DB-AC2D-4673-BA76-2E1865E377DB}"/>
    <cellStyle name="จุลภาค 7 2" xfId="9" xr:uid="{0FF882F5-E595-46A3-842E-07703644FA23}"/>
    <cellStyle name="ปกติ 4" xfId="3" xr:uid="{2CD558FB-297C-427E-B386-F9FA9C45961F}"/>
    <cellStyle name="ปกติ 4 2" xfId="7" xr:uid="{E2E124C8-6F95-4D1B-831A-B78DB82BC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FD77-F21F-4330-B908-A77028E7519D}">
  <sheetPr>
    <tabColor rgb="FF92D050"/>
  </sheetPr>
  <dimension ref="A1:AD979"/>
  <sheetViews>
    <sheetView tabSelected="1" zoomScale="83" zoomScaleNormal="83" zoomScaleSheetLayoutView="87" workbookViewId="0">
      <pane ySplit="6" topLeftCell="A61" activePane="bottomLeft" state="frozen"/>
      <selection activeCell="I147" sqref="I147"/>
      <selection pane="bottomLeft" activeCell="H64" sqref="H64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4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457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.8" hidden="1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399999999999999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hidden="1" customHeight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hidden="1" customHeight="1" thickBot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hidden="1" customHeight="1" thickTop="1" thickBot="1">
      <c r="A12" s="29"/>
      <c r="B12" s="25" t="s">
        <v>26</v>
      </c>
      <c r="C12" s="29"/>
      <c r="D12" s="54">
        <v>0</v>
      </c>
      <c r="E12" s="54"/>
      <c r="F12" s="54"/>
      <c r="G12" s="54">
        <v>0</v>
      </c>
      <c r="H12" s="54">
        <v>0</v>
      </c>
      <c r="I12" s="54">
        <v>0</v>
      </c>
      <c r="J12" s="55"/>
      <c r="K12" s="55"/>
      <c r="L12" s="55"/>
      <c r="M12" s="54"/>
      <c r="N12" s="56"/>
      <c r="O12" s="54">
        <v>0</v>
      </c>
      <c r="P12" s="54">
        <v>0</v>
      </c>
      <c r="Q12" s="54">
        <v>0</v>
      </c>
      <c r="R12" s="29"/>
    </row>
    <row r="13" spans="1:30" ht="22.8" hidden="1" customHeight="1" thickTop="1">
      <c r="A13" s="29"/>
      <c r="B13" s="45" t="s">
        <v>33</v>
      </c>
      <c r="C13" s="29"/>
      <c r="D13" s="57"/>
      <c r="E13" s="46"/>
      <c r="F13" s="46"/>
      <c r="G13" s="57"/>
      <c r="H13" s="57"/>
      <c r="I13" s="57"/>
      <c r="J13" s="47"/>
      <c r="K13" s="48"/>
      <c r="L13" s="58"/>
      <c r="M13" s="46"/>
      <c r="N13" s="28"/>
      <c r="O13" s="57"/>
      <c r="P13" s="57"/>
      <c r="Q13" s="57"/>
      <c r="R13" s="46"/>
    </row>
    <row r="14" spans="1:30" ht="23.4" hidden="1" customHeight="1">
      <c r="A14" s="25"/>
      <c r="B14" s="25"/>
      <c r="C14" s="29"/>
      <c r="D14" s="59"/>
      <c r="E14" s="29"/>
      <c r="F14" s="29"/>
      <c r="G14" s="59" t="s">
        <v>34</v>
      </c>
      <c r="H14" s="59" t="s">
        <v>34</v>
      </c>
      <c r="I14" s="59" t="s">
        <v>34</v>
      </c>
      <c r="J14" s="60"/>
      <c r="K14" s="61"/>
      <c r="L14" s="62"/>
      <c r="M14" s="29"/>
      <c r="N14" s="25"/>
      <c r="O14" s="59" t="s">
        <v>34</v>
      </c>
      <c r="P14" s="59" t="s">
        <v>34</v>
      </c>
      <c r="Q14" s="59" t="s">
        <v>34</v>
      </c>
      <c r="R14" s="29"/>
    </row>
    <row r="15" spans="1:30" ht="17.399999999999999" hidden="1" customHeight="1" thickBot="1">
      <c r="A15" s="29"/>
      <c r="B15" s="25" t="s">
        <v>26</v>
      </c>
      <c r="C15" s="29"/>
      <c r="D15" s="63">
        <v>0</v>
      </c>
      <c r="E15" s="64"/>
      <c r="F15" s="64"/>
      <c r="G15" s="63">
        <v>0</v>
      </c>
      <c r="H15" s="63">
        <v>0</v>
      </c>
      <c r="I15" s="63">
        <v>0</v>
      </c>
      <c r="J15" s="65"/>
      <c r="K15" s="66"/>
      <c r="L15" s="67"/>
      <c r="M15" s="64"/>
      <c r="N15" s="41"/>
      <c r="O15" s="63">
        <v>0</v>
      </c>
      <c r="P15" s="63">
        <v>0</v>
      </c>
      <c r="Q15" s="63">
        <v>0</v>
      </c>
      <c r="R15" s="29"/>
      <c r="V15" s="49"/>
    </row>
    <row r="16" spans="1:30" ht="25.2" hidden="1" thickTop="1">
      <c r="A16" s="29"/>
      <c r="B16" s="45" t="s">
        <v>35</v>
      </c>
      <c r="C16" s="29"/>
      <c r="D16" s="46"/>
      <c r="E16" s="46"/>
      <c r="F16" s="46"/>
      <c r="G16" s="46"/>
      <c r="H16" s="46"/>
      <c r="I16" s="46"/>
      <c r="J16" s="47"/>
      <c r="K16" s="48"/>
      <c r="L16" s="48"/>
      <c r="M16" s="46"/>
      <c r="N16" s="28"/>
      <c r="O16" s="46"/>
      <c r="P16" s="46"/>
      <c r="Q16" s="46"/>
      <c r="R16" s="46"/>
    </row>
    <row r="17" spans="1:20" ht="25.2" hidden="1" thickBot="1">
      <c r="A17" s="25">
        <v>1</v>
      </c>
      <c r="B17" s="29" t="s">
        <v>36</v>
      </c>
      <c r="C17" s="29"/>
      <c r="D17" s="49">
        <v>0</v>
      </c>
      <c r="E17" s="68"/>
      <c r="F17" s="25"/>
      <c r="G17" s="59">
        <v>0</v>
      </c>
      <c r="H17" s="59">
        <v>0</v>
      </c>
      <c r="I17" s="59">
        <v>0</v>
      </c>
      <c r="J17" s="153"/>
      <c r="K17" s="700"/>
      <c r="L17" s="701"/>
      <c r="M17" s="68"/>
      <c r="N17" s="25"/>
      <c r="O17" s="696">
        <v>0</v>
      </c>
      <c r="P17" s="697">
        <v>0</v>
      </c>
      <c r="Q17" s="697">
        <v>0</v>
      </c>
      <c r="R17" s="29"/>
    </row>
    <row r="18" spans="1:20" ht="25.8" hidden="1" thickTop="1" thickBot="1">
      <c r="A18" s="29"/>
      <c r="B18" s="25" t="s">
        <v>26</v>
      </c>
      <c r="C18" s="29"/>
      <c r="D18" s="54">
        <v>0</v>
      </c>
      <c r="E18" s="54"/>
      <c r="F18" s="54"/>
      <c r="G18" s="54">
        <v>0</v>
      </c>
      <c r="H18" s="54">
        <v>0</v>
      </c>
      <c r="I18" s="54">
        <v>0</v>
      </c>
      <c r="J18" s="55"/>
      <c r="K18" s="55"/>
      <c r="L18" s="55"/>
      <c r="M18" s="54"/>
      <c r="N18" s="56"/>
      <c r="O18" s="54">
        <v>0</v>
      </c>
      <c r="P18" s="54">
        <v>0</v>
      </c>
      <c r="Q18" s="54">
        <v>0</v>
      </c>
      <c r="R18" s="53"/>
    </row>
    <row r="19" spans="1:20" ht="25.2" hidden="1" thickTop="1">
      <c r="A19" s="29"/>
      <c r="B19" s="45" t="s">
        <v>37</v>
      </c>
      <c r="C19" s="29"/>
      <c r="D19" s="57"/>
      <c r="E19" s="46"/>
      <c r="F19" s="46"/>
      <c r="G19" s="57"/>
      <c r="H19" s="57"/>
      <c r="I19" s="57"/>
      <c r="J19" s="47"/>
      <c r="K19" s="48"/>
      <c r="L19" s="58"/>
      <c r="M19" s="46"/>
      <c r="N19" s="28"/>
      <c r="O19" s="57"/>
      <c r="P19" s="57"/>
      <c r="Q19" s="57"/>
      <c r="R19" s="29"/>
    </row>
    <row r="20" spans="1:20" ht="25.2" hidden="1" thickBot="1">
      <c r="A20" s="25">
        <v>1</v>
      </c>
      <c r="B20" s="25"/>
      <c r="C20" s="29"/>
      <c r="D20" s="78"/>
      <c r="E20" s="74"/>
      <c r="F20" s="74"/>
      <c r="G20" s="78"/>
      <c r="H20" s="78"/>
      <c r="I20" s="78"/>
      <c r="J20" s="75"/>
      <c r="K20" s="76"/>
      <c r="L20" s="77"/>
      <c r="M20" s="74"/>
      <c r="N20" s="34"/>
      <c r="O20" s="78"/>
      <c r="P20" s="78"/>
      <c r="Q20" s="78"/>
      <c r="R20" s="29"/>
    </row>
    <row r="21" spans="1:20" ht="25.8" hidden="1" thickTop="1" thickBot="1">
      <c r="A21" s="25"/>
      <c r="B21" s="25" t="s">
        <v>26</v>
      </c>
      <c r="C21" s="29"/>
      <c r="D21" s="54"/>
      <c r="E21" s="79"/>
      <c r="F21" s="79"/>
      <c r="G21" s="54"/>
      <c r="H21" s="54"/>
      <c r="I21" s="54"/>
      <c r="J21" s="80"/>
      <c r="K21" s="81"/>
      <c r="L21" s="55"/>
      <c r="M21" s="79"/>
      <c r="N21" s="82"/>
      <c r="O21" s="54"/>
      <c r="P21" s="54"/>
      <c r="Q21" s="54"/>
      <c r="R21" s="46"/>
    </row>
    <row r="22" spans="1:20" ht="25.2" hidden="1" thickTop="1">
      <c r="A22" s="25"/>
      <c r="B22" s="45" t="s">
        <v>38</v>
      </c>
      <c r="C22" s="29"/>
      <c r="D22" s="57"/>
      <c r="E22" s="46"/>
      <c r="F22" s="46"/>
      <c r="G22" s="57"/>
      <c r="H22" s="57"/>
      <c r="I22" s="57"/>
      <c r="J22" s="47"/>
      <c r="K22" s="48"/>
      <c r="L22" s="58"/>
      <c r="M22" s="46"/>
      <c r="N22" s="28"/>
      <c r="O22" s="57"/>
      <c r="P22" s="57"/>
      <c r="Q22" s="57"/>
      <c r="R22" s="46"/>
    </row>
    <row r="23" spans="1:20" ht="25.2" hidden="1" thickBot="1">
      <c r="A23" s="25">
        <v>1</v>
      </c>
      <c r="B23" s="25"/>
      <c r="C23" s="29"/>
      <c r="D23" s="78"/>
      <c r="E23" s="74"/>
      <c r="F23" s="74"/>
      <c r="G23" s="78"/>
      <c r="H23" s="78"/>
      <c r="I23" s="78"/>
      <c r="J23" s="75"/>
      <c r="K23" s="76"/>
      <c r="L23" s="77"/>
      <c r="M23" s="74"/>
      <c r="N23" s="34"/>
      <c r="O23" s="78"/>
      <c r="P23" s="78"/>
      <c r="Q23" s="78"/>
      <c r="R23" s="46"/>
    </row>
    <row r="24" spans="1:20" ht="25.8" hidden="1" thickTop="1" thickBot="1">
      <c r="A24" s="25"/>
      <c r="B24" s="25" t="s">
        <v>26</v>
      </c>
      <c r="C24" s="29"/>
      <c r="D24" s="63"/>
      <c r="E24" s="64"/>
      <c r="F24" s="64"/>
      <c r="G24" s="63"/>
      <c r="H24" s="63"/>
      <c r="I24" s="63"/>
      <c r="J24" s="65"/>
      <c r="K24" s="66"/>
      <c r="L24" s="67"/>
      <c r="M24" s="64"/>
      <c r="N24" s="41"/>
      <c r="O24" s="63"/>
      <c r="P24" s="63"/>
      <c r="Q24" s="63"/>
      <c r="R24" s="46"/>
    </row>
    <row r="25" spans="1:20" ht="24.6">
      <c r="A25" s="29"/>
      <c r="B25" s="45" t="s">
        <v>39</v>
      </c>
      <c r="C25" s="29"/>
      <c r="D25" s="46"/>
      <c r="E25" s="46"/>
      <c r="F25" s="46"/>
      <c r="G25" s="46"/>
      <c r="H25" s="46"/>
      <c r="I25" s="46"/>
      <c r="J25" s="47"/>
      <c r="K25" s="48"/>
      <c r="L25" s="48"/>
      <c r="M25" s="46"/>
      <c r="N25" s="28"/>
      <c r="O25" s="46"/>
      <c r="P25" s="46"/>
      <c r="Q25" s="46"/>
      <c r="R25" s="46"/>
    </row>
    <row r="26" spans="1:20" ht="24.6">
      <c r="A26" s="25">
        <v>1</v>
      </c>
      <c r="B26" s="29" t="s">
        <v>40</v>
      </c>
      <c r="C26" s="29"/>
      <c r="D26" s="257">
        <v>0</v>
      </c>
      <c r="E26" s="68"/>
      <c r="F26" s="25"/>
      <c r="G26" s="52">
        <v>0</v>
      </c>
      <c r="H26" s="59">
        <v>0</v>
      </c>
      <c r="I26" s="52">
        <v>0</v>
      </c>
      <c r="J26" s="153"/>
      <c r="K26" s="700"/>
      <c r="L26" s="702"/>
      <c r="M26" s="68"/>
      <c r="N26" s="25"/>
      <c r="O26" s="696">
        <v>0</v>
      </c>
      <c r="P26" s="697">
        <v>0</v>
      </c>
      <c r="Q26" s="697">
        <v>0</v>
      </c>
      <c r="R26" s="29" t="s">
        <v>41</v>
      </c>
    </row>
    <row r="27" spans="1:20" ht="24.6">
      <c r="A27" s="25">
        <v>2</v>
      </c>
      <c r="B27" s="29" t="s">
        <v>277</v>
      </c>
      <c r="C27" s="29"/>
      <c r="D27" s="257">
        <v>535</v>
      </c>
      <c r="E27" s="25"/>
      <c r="F27" s="25"/>
      <c r="G27" s="52">
        <v>0</v>
      </c>
      <c r="H27" s="59">
        <v>0</v>
      </c>
      <c r="I27" s="52">
        <v>0</v>
      </c>
      <c r="J27" s="137">
        <v>25383</v>
      </c>
      <c r="K27" s="138" t="s">
        <v>458</v>
      </c>
      <c r="L27" s="58">
        <v>535</v>
      </c>
      <c r="M27" s="25"/>
      <c r="N27" s="25"/>
      <c r="O27" s="696">
        <v>0</v>
      </c>
      <c r="P27" s="697">
        <v>0</v>
      </c>
      <c r="Q27" s="697">
        <v>0</v>
      </c>
      <c r="R27" s="29"/>
    </row>
    <row r="28" spans="1:20" s="96" customFormat="1" ht="24.6">
      <c r="A28" s="86">
        <v>3</v>
      </c>
      <c r="B28" s="87" t="s">
        <v>44</v>
      </c>
      <c r="C28" s="88"/>
      <c r="D28" s="258">
        <v>1070</v>
      </c>
      <c r="E28" s="90"/>
      <c r="F28" s="86"/>
      <c r="G28" s="91"/>
      <c r="H28" s="92"/>
      <c r="I28" s="91"/>
      <c r="J28" s="137">
        <v>25384</v>
      </c>
      <c r="K28" s="138" t="s">
        <v>459</v>
      </c>
      <c r="L28" s="58">
        <v>1070</v>
      </c>
      <c r="M28" s="90"/>
      <c r="N28" s="86"/>
      <c r="O28" s="696"/>
      <c r="P28" s="697"/>
      <c r="Q28" s="696"/>
      <c r="R28" s="87"/>
      <c r="T28" s="97"/>
    </row>
    <row r="29" spans="1:20" ht="24.6">
      <c r="A29" s="25">
        <v>4</v>
      </c>
      <c r="B29" s="29" t="s">
        <v>46</v>
      </c>
      <c r="C29" s="29"/>
      <c r="D29" s="259">
        <v>535</v>
      </c>
      <c r="E29" s="28"/>
      <c r="F29" s="28"/>
      <c r="G29" s="99">
        <v>0</v>
      </c>
      <c r="H29" s="59">
        <v>0</v>
      </c>
      <c r="I29" s="52">
        <v>0</v>
      </c>
      <c r="J29" s="26">
        <v>25358</v>
      </c>
      <c r="K29" s="117" t="s">
        <v>460</v>
      </c>
      <c r="L29" s="118">
        <v>535</v>
      </c>
      <c r="M29" s="28"/>
      <c r="N29" s="28"/>
      <c r="O29" s="696">
        <v>0</v>
      </c>
      <c r="P29" s="89">
        <v>0</v>
      </c>
      <c r="Q29" s="89">
        <v>0</v>
      </c>
      <c r="R29" s="703" t="s">
        <v>48</v>
      </c>
    </row>
    <row r="30" spans="1:20" ht="25.2" thickBot="1">
      <c r="A30" s="29"/>
      <c r="B30" s="25" t="s">
        <v>26</v>
      </c>
      <c r="C30" s="29"/>
      <c r="D30" s="103">
        <f>SUM(D26:D29)</f>
        <v>2140</v>
      </c>
      <c r="E30" s="63"/>
      <c r="F30" s="63"/>
      <c r="G30" s="103">
        <f>SUM(G26:G29)</f>
        <v>0</v>
      </c>
      <c r="H30" s="103">
        <v>0</v>
      </c>
      <c r="I30" s="103">
        <f>+G30+H30</f>
        <v>0</v>
      </c>
      <c r="J30" s="67"/>
      <c r="K30" s="67"/>
      <c r="L30" s="104">
        <f>SUM(L27:L29)</f>
        <v>2140</v>
      </c>
      <c r="M30" s="63"/>
      <c r="N30" s="105"/>
      <c r="O30" s="576">
        <f>SUM(O27:O29)</f>
        <v>0</v>
      </c>
      <c r="P30" s="704">
        <v>0</v>
      </c>
      <c r="Q30" s="576">
        <f>SUM(Q27:Q29)</f>
        <v>0</v>
      </c>
      <c r="R30" s="53"/>
    </row>
    <row r="31" spans="1:20" ht="25.2" hidden="1" thickTop="1">
      <c r="A31" s="29"/>
      <c r="B31" s="45" t="s">
        <v>49</v>
      </c>
      <c r="C31" s="29"/>
      <c r="D31" s="57"/>
      <c r="E31" s="108"/>
      <c r="F31" s="108"/>
      <c r="G31" s="57"/>
      <c r="H31" s="57"/>
      <c r="I31" s="57"/>
      <c r="J31" s="47"/>
      <c r="K31" s="48"/>
      <c r="L31" s="58"/>
      <c r="M31" s="46"/>
      <c r="N31" s="28"/>
      <c r="O31" s="57"/>
      <c r="P31" s="57"/>
      <c r="Q31" s="57"/>
      <c r="R31" s="29"/>
    </row>
    <row r="32" spans="1:20" ht="16.5" hidden="1" customHeight="1" thickBot="1">
      <c r="A32" s="25">
        <v>1</v>
      </c>
      <c r="B32" s="25"/>
      <c r="C32" s="29"/>
      <c r="D32" s="78"/>
      <c r="E32" s="74"/>
      <c r="F32" s="74"/>
      <c r="G32" s="78"/>
      <c r="H32" s="78"/>
      <c r="I32" s="78"/>
      <c r="J32" s="75"/>
      <c r="K32" s="76"/>
      <c r="L32" s="77"/>
      <c r="M32" s="74"/>
      <c r="N32" s="34"/>
      <c r="O32" s="78"/>
      <c r="P32" s="78"/>
      <c r="Q32" s="78"/>
      <c r="R32" s="29"/>
    </row>
    <row r="33" spans="1:18" ht="25.8" hidden="1" thickTop="1" thickBot="1">
      <c r="A33" s="25"/>
      <c r="B33" s="25" t="s">
        <v>26</v>
      </c>
      <c r="C33" s="29"/>
      <c r="D33" s="54"/>
      <c r="E33" s="64"/>
      <c r="F33" s="64"/>
      <c r="G33" s="54"/>
      <c r="H33" s="54"/>
      <c r="I33" s="54"/>
      <c r="J33" s="80"/>
      <c r="K33" s="81"/>
      <c r="L33" s="55"/>
      <c r="M33" s="79"/>
      <c r="N33" s="82"/>
      <c r="O33" s="54"/>
      <c r="P33" s="54"/>
      <c r="Q33" s="54"/>
      <c r="R33" s="29"/>
    </row>
    <row r="34" spans="1:18" ht="25.2" hidden="1" thickTop="1">
      <c r="A34" s="25"/>
      <c r="B34" s="45" t="s">
        <v>50</v>
      </c>
      <c r="C34" s="29"/>
      <c r="D34" s="57"/>
      <c r="E34" s="109"/>
      <c r="F34" s="109"/>
      <c r="G34" s="57"/>
      <c r="H34" s="57"/>
      <c r="I34" s="57"/>
      <c r="J34" s="47"/>
      <c r="K34" s="48"/>
      <c r="L34" s="58"/>
      <c r="M34" s="46"/>
      <c r="N34" s="28"/>
      <c r="O34" s="57"/>
      <c r="P34" s="57"/>
      <c r="Q34" s="57"/>
      <c r="R34" s="29"/>
    </row>
    <row r="35" spans="1:18" ht="25.8" hidden="1" thickTop="1" thickBot="1">
      <c r="A35" s="25"/>
      <c r="B35" s="25"/>
      <c r="C35" s="29"/>
      <c r="D35" s="78"/>
      <c r="E35" s="74"/>
      <c r="F35" s="74"/>
      <c r="G35" s="78">
        <v>0</v>
      </c>
      <c r="H35" s="78">
        <v>0</v>
      </c>
      <c r="I35" s="78">
        <v>0</v>
      </c>
      <c r="J35" s="75"/>
      <c r="K35" s="76"/>
      <c r="L35" s="77"/>
      <c r="M35" s="74"/>
      <c r="N35" s="34"/>
      <c r="O35" s="110">
        <v>0</v>
      </c>
      <c r="P35" s="110">
        <v>0</v>
      </c>
      <c r="Q35" s="110">
        <v>0</v>
      </c>
      <c r="R35" s="29"/>
    </row>
    <row r="36" spans="1:18" ht="25.2" hidden="1" thickTop="1">
      <c r="A36" s="25"/>
      <c r="B36" s="25" t="s">
        <v>26</v>
      </c>
      <c r="C36" s="29"/>
      <c r="D36" s="111">
        <v>0</v>
      </c>
      <c r="E36" s="46"/>
      <c r="F36" s="46"/>
      <c r="G36" s="111">
        <v>0</v>
      </c>
      <c r="H36" s="111"/>
      <c r="I36" s="111">
        <v>0</v>
      </c>
      <c r="J36" s="112"/>
      <c r="K36" s="113"/>
      <c r="L36" s="114"/>
      <c r="M36" s="109"/>
      <c r="N36" s="115"/>
      <c r="O36" s="111">
        <v>0</v>
      </c>
      <c r="P36" s="111"/>
      <c r="Q36" s="111">
        <v>0</v>
      </c>
      <c r="R36" s="53"/>
    </row>
    <row r="37" spans="1:18" ht="25.2" hidden="1" thickTop="1">
      <c r="A37" s="25"/>
      <c r="B37" s="45" t="s">
        <v>51</v>
      </c>
      <c r="C37" s="29"/>
      <c r="D37" s="59"/>
      <c r="E37" s="109"/>
      <c r="F37" s="109"/>
      <c r="G37" s="59"/>
      <c r="H37" s="59"/>
      <c r="I37" s="59"/>
      <c r="J37" s="60"/>
      <c r="K37" s="61"/>
      <c r="L37" s="62"/>
      <c r="M37" s="29"/>
      <c r="N37" s="25"/>
      <c r="O37" s="59"/>
      <c r="P37" s="59"/>
      <c r="Q37" s="59"/>
      <c r="R37" s="29"/>
    </row>
    <row r="38" spans="1:18" ht="25.8" hidden="1" thickTop="1" thickBot="1">
      <c r="A38" s="25">
        <v>1</v>
      </c>
      <c r="B38" s="25"/>
      <c r="C38" s="29"/>
      <c r="D38" s="78"/>
      <c r="E38" s="74"/>
      <c r="F38" s="74"/>
      <c r="G38" s="78"/>
      <c r="H38" s="78"/>
      <c r="I38" s="78"/>
      <c r="J38" s="75"/>
      <c r="K38" s="76"/>
      <c r="L38" s="77"/>
      <c r="M38" s="74"/>
      <c r="N38" s="34"/>
      <c r="O38" s="78"/>
      <c r="P38" s="78"/>
      <c r="Q38" s="78"/>
      <c r="R38" s="29"/>
    </row>
    <row r="39" spans="1:18" ht="25.8" hidden="1" thickTop="1" thickBot="1">
      <c r="A39" s="25"/>
      <c r="B39" s="25" t="s">
        <v>26</v>
      </c>
      <c r="C39" s="29"/>
      <c r="D39" s="63"/>
      <c r="E39" s="79"/>
      <c r="F39" s="79"/>
      <c r="G39" s="63"/>
      <c r="H39" s="63"/>
      <c r="I39" s="63"/>
      <c r="J39" s="65"/>
      <c r="K39" s="66"/>
      <c r="L39" s="67"/>
      <c r="M39" s="64"/>
      <c r="N39" s="41"/>
      <c r="O39" s="63"/>
      <c r="P39" s="63"/>
      <c r="Q39" s="63"/>
      <c r="R39" s="29"/>
    </row>
    <row r="40" spans="1:18" ht="25.2" thickTop="1">
      <c r="A40" s="29"/>
      <c r="B40" s="45" t="s">
        <v>52</v>
      </c>
      <c r="C40" s="29"/>
      <c r="D40" s="57"/>
      <c r="E40" s="28"/>
      <c r="F40" s="28"/>
      <c r="G40" s="57"/>
      <c r="H40" s="57"/>
      <c r="I40" s="57"/>
      <c r="J40" s="47"/>
      <c r="K40" s="48"/>
      <c r="L40" s="58"/>
      <c r="M40" s="46"/>
      <c r="N40" s="28"/>
      <c r="O40" s="57"/>
      <c r="P40" s="57"/>
      <c r="Q40" s="57"/>
      <c r="R40" s="29"/>
    </row>
    <row r="41" spans="1:18" ht="24.6">
      <c r="A41" s="29"/>
      <c r="B41" s="116" t="s">
        <v>53</v>
      </c>
      <c r="C41" s="29"/>
      <c r="D41" s="57"/>
      <c r="E41" s="25"/>
      <c r="F41" s="25"/>
      <c r="G41" s="57"/>
      <c r="H41" s="57"/>
      <c r="I41" s="57"/>
      <c r="J41" s="47"/>
      <c r="K41" s="48"/>
      <c r="L41" s="58"/>
      <c r="M41" s="46"/>
      <c r="N41" s="28"/>
      <c r="O41" s="57"/>
      <c r="P41" s="57"/>
      <c r="Q41" s="57"/>
      <c r="R41" s="29"/>
    </row>
    <row r="42" spans="1:18" ht="24.6">
      <c r="A42" s="25">
        <v>1</v>
      </c>
      <c r="B42" s="29" t="s">
        <v>57</v>
      </c>
      <c r="C42" s="25" t="s">
        <v>55</v>
      </c>
      <c r="D42" s="49">
        <v>0</v>
      </c>
      <c r="E42" s="25"/>
      <c r="F42" s="25"/>
      <c r="G42" s="49">
        <v>0</v>
      </c>
      <c r="H42" s="49">
        <v>0</v>
      </c>
      <c r="I42" s="49">
        <v>0</v>
      </c>
      <c r="J42" s="26"/>
      <c r="K42" s="117"/>
      <c r="L42" s="118"/>
      <c r="M42" s="25"/>
      <c r="N42" s="25"/>
      <c r="O42" s="696">
        <f t="shared" ref="O42:O47" si="0">D42</f>
        <v>0</v>
      </c>
      <c r="P42" s="697">
        <v>0</v>
      </c>
      <c r="Q42" s="697">
        <f t="shared" ref="Q42:Q45" si="1">D42</f>
        <v>0</v>
      </c>
      <c r="R42" s="29" t="s">
        <v>56</v>
      </c>
    </row>
    <row r="43" spans="1:18" ht="24.6">
      <c r="A43" s="25">
        <v>2</v>
      </c>
      <c r="B43" s="119" t="s">
        <v>57</v>
      </c>
      <c r="C43" s="25">
        <v>259</v>
      </c>
      <c r="D43" s="49">
        <v>0</v>
      </c>
      <c r="E43" s="25"/>
      <c r="F43" s="25"/>
      <c r="G43" s="49">
        <v>0</v>
      </c>
      <c r="H43" s="49">
        <v>0</v>
      </c>
      <c r="I43" s="49">
        <v>0</v>
      </c>
      <c r="J43" s="26"/>
      <c r="K43" s="16"/>
      <c r="L43" s="118"/>
      <c r="M43" s="25"/>
      <c r="N43" s="25"/>
      <c r="O43" s="696">
        <f t="shared" si="0"/>
        <v>0</v>
      </c>
      <c r="P43" s="697">
        <v>0</v>
      </c>
      <c r="Q43" s="697">
        <f t="shared" si="1"/>
        <v>0</v>
      </c>
      <c r="R43" s="29" t="s">
        <v>58</v>
      </c>
    </row>
    <row r="44" spans="1:18" ht="24.6">
      <c r="A44" s="25">
        <v>3</v>
      </c>
      <c r="B44" s="119" t="s">
        <v>57</v>
      </c>
      <c r="C44" s="25">
        <v>260</v>
      </c>
      <c r="D44" s="49"/>
      <c r="E44" s="25"/>
      <c r="F44" s="25"/>
      <c r="G44" s="49">
        <v>0</v>
      </c>
      <c r="H44" s="49">
        <v>0</v>
      </c>
      <c r="I44" s="49">
        <v>0</v>
      </c>
      <c r="J44" s="26"/>
      <c r="K44" s="16"/>
      <c r="L44" s="118"/>
      <c r="M44" s="25"/>
      <c r="N44" s="25"/>
      <c r="O44" s="696">
        <f t="shared" si="0"/>
        <v>0</v>
      </c>
      <c r="P44" s="697">
        <v>0</v>
      </c>
      <c r="Q44" s="697">
        <f t="shared" si="1"/>
        <v>0</v>
      </c>
      <c r="R44" s="29"/>
    </row>
    <row r="45" spans="1:18" ht="24.6">
      <c r="A45" s="25">
        <v>4</v>
      </c>
      <c r="B45" s="119" t="s">
        <v>57</v>
      </c>
      <c r="C45" s="25" t="s">
        <v>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696">
        <f t="shared" si="0"/>
        <v>0</v>
      </c>
      <c r="P45" s="697">
        <v>0</v>
      </c>
      <c r="Q45" s="697">
        <f t="shared" si="1"/>
        <v>0</v>
      </c>
      <c r="R45" s="29" t="s">
        <v>60</v>
      </c>
    </row>
    <row r="46" spans="1:18" ht="24.6">
      <c r="A46" s="25">
        <v>5</v>
      </c>
      <c r="B46" s="119" t="s">
        <v>57</v>
      </c>
      <c r="C46" s="25" t="s">
        <v>61</v>
      </c>
      <c r="D46" s="49">
        <v>0</v>
      </c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696">
        <f t="shared" si="0"/>
        <v>0</v>
      </c>
      <c r="P46" s="697">
        <v>0</v>
      </c>
      <c r="Q46" s="696">
        <f t="shared" ref="Q46:Q50" si="2">D46+I46-L46</f>
        <v>0</v>
      </c>
      <c r="R46" s="29"/>
    </row>
    <row r="47" spans="1:18" ht="24.6">
      <c r="A47" s="25">
        <v>6</v>
      </c>
      <c r="B47" s="29" t="s">
        <v>57</v>
      </c>
      <c r="C47" s="25" t="s">
        <v>63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153"/>
      <c r="K47" s="700"/>
      <c r="L47" s="702"/>
      <c r="M47" s="25"/>
      <c r="N47" s="25"/>
      <c r="O47" s="696">
        <f t="shared" si="0"/>
        <v>0</v>
      </c>
      <c r="P47" s="697">
        <v>0</v>
      </c>
      <c r="Q47" s="696">
        <f t="shared" si="2"/>
        <v>0</v>
      </c>
      <c r="R47" s="29" t="s">
        <v>64</v>
      </c>
    </row>
    <row r="48" spans="1:18" ht="24.6">
      <c r="A48" s="25">
        <v>7</v>
      </c>
      <c r="B48" s="29" t="s">
        <v>65</v>
      </c>
      <c r="C48" s="25">
        <v>267</v>
      </c>
      <c r="D48" s="49">
        <v>1215</v>
      </c>
      <c r="E48" s="25"/>
      <c r="F48" s="25"/>
      <c r="G48" s="49">
        <v>0</v>
      </c>
      <c r="H48" s="49">
        <v>0</v>
      </c>
      <c r="I48" s="49">
        <v>0</v>
      </c>
      <c r="J48" s="153">
        <v>25363</v>
      </c>
      <c r="K48" s="700" t="s">
        <v>461</v>
      </c>
      <c r="L48" s="702">
        <v>1215</v>
      </c>
      <c r="M48" s="25"/>
      <c r="N48" s="25"/>
      <c r="O48" s="696">
        <f>D48+G48-L48</f>
        <v>0</v>
      </c>
      <c r="P48" s="696">
        <f t="shared" ref="P48" si="3">E48+H48-M48</f>
        <v>0</v>
      </c>
      <c r="Q48" s="696">
        <f t="shared" si="2"/>
        <v>0</v>
      </c>
      <c r="R48" s="29" t="s">
        <v>67</v>
      </c>
    </row>
    <row r="49" spans="1:18" ht="24.6">
      <c r="A49" s="25">
        <v>8</v>
      </c>
      <c r="B49" s="29" t="s">
        <v>57</v>
      </c>
      <c r="C49" s="120">
        <v>268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153"/>
      <c r="K49" s="700"/>
      <c r="L49" s="702"/>
      <c r="M49" s="25"/>
      <c r="N49" s="25"/>
      <c r="O49" s="696">
        <f t="shared" ref="O49:O60" si="4">D49+G49-L49</f>
        <v>0</v>
      </c>
      <c r="P49" s="697">
        <v>0</v>
      </c>
      <c r="Q49" s="696">
        <f t="shared" si="2"/>
        <v>0</v>
      </c>
      <c r="R49" s="29" t="s">
        <v>69</v>
      </c>
    </row>
    <row r="50" spans="1:18" ht="24.6">
      <c r="A50" s="25">
        <v>9</v>
      </c>
      <c r="B50" s="29" t="s">
        <v>70</v>
      </c>
      <c r="C50" s="25" t="s">
        <v>71</v>
      </c>
      <c r="D50" s="49">
        <v>2430</v>
      </c>
      <c r="E50" s="25"/>
      <c r="F50" s="25"/>
      <c r="G50" s="49">
        <v>0</v>
      </c>
      <c r="H50" s="49">
        <v>0</v>
      </c>
      <c r="I50" s="49">
        <v>0</v>
      </c>
      <c r="J50" s="153">
        <v>25365</v>
      </c>
      <c r="K50" s="700" t="s">
        <v>462</v>
      </c>
      <c r="L50" s="702">
        <v>2430</v>
      </c>
      <c r="M50" s="25"/>
      <c r="N50" s="25"/>
      <c r="O50" s="696">
        <f t="shared" si="4"/>
        <v>0</v>
      </c>
      <c r="P50" s="697">
        <v>0</v>
      </c>
      <c r="Q50" s="696">
        <f t="shared" si="2"/>
        <v>0</v>
      </c>
      <c r="R50" s="29"/>
    </row>
    <row r="51" spans="1:18" ht="24.6">
      <c r="A51" s="25">
        <v>10</v>
      </c>
      <c r="B51" s="29" t="s">
        <v>73</v>
      </c>
      <c r="C51" s="120">
        <v>84282</v>
      </c>
      <c r="D51" s="49">
        <v>2430</v>
      </c>
      <c r="E51" s="25" t="s">
        <v>456</v>
      </c>
      <c r="F51" s="25">
        <v>1</v>
      </c>
      <c r="G51" s="49">
        <v>4860</v>
      </c>
      <c r="H51" s="49">
        <v>0</v>
      </c>
      <c r="I51" s="49">
        <v>4860</v>
      </c>
      <c r="J51" s="153"/>
      <c r="K51" s="700"/>
      <c r="L51" s="702"/>
      <c r="M51" s="90">
        <v>25355</v>
      </c>
      <c r="N51" s="86">
        <v>1</v>
      </c>
      <c r="O51" s="696">
        <f>D51+G51-L51</f>
        <v>7290</v>
      </c>
      <c r="P51" s="697">
        <v>0</v>
      </c>
      <c r="Q51" s="696">
        <f>D51+I51-L51</f>
        <v>7290</v>
      </c>
      <c r="R51" s="29"/>
    </row>
    <row r="52" spans="1:18" ht="24.6">
      <c r="A52" s="25">
        <v>11</v>
      </c>
      <c r="B52" s="29" t="s">
        <v>76</v>
      </c>
      <c r="C52" s="25">
        <v>281</v>
      </c>
      <c r="D52" s="49">
        <v>0</v>
      </c>
      <c r="E52" s="25"/>
      <c r="F52" s="25"/>
      <c r="G52" s="49">
        <v>0</v>
      </c>
      <c r="H52" s="49">
        <v>0</v>
      </c>
      <c r="I52" s="49">
        <v>0</v>
      </c>
      <c r="J52" s="153"/>
      <c r="K52" s="700"/>
      <c r="L52" s="702"/>
      <c r="M52" s="25"/>
      <c r="N52" s="25"/>
      <c r="O52" s="696">
        <f t="shared" si="4"/>
        <v>0</v>
      </c>
      <c r="P52" s="697">
        <v>0</v>
      </c>
      <c r="Q52" s="696">
        <f t="shared" ref="Q52:Q60" si="5">D52+I52-L52</f>
        <v>0</v>
      </c>
      <c r="R52" s="29" t="s">
        <v>77</v>
      </c>
    </row>
    <row r="53" spans="1:18" ht="24.6">
      <c r="A53" s="25">
        <v>12</v>
      </c>
      <c r="B53" s="29" t="s">
        <v>57</v>
      </c>
      <c r="C53" s="25">
        <v>280</v>
      </c>
      <c r="D53" s="49">
        <v>0</v>
      </c>
      <c r="E53" s="25"/>
      <c r="F53" s="25"/>
      <c r="G53" s="49">
        <v>0</v>
      </c>
      <c r="H53" s="49">
        <v>0</v>
      </c>
      <c r="I53" s="49">
        <v>0</v>
      </c>
      <c r="J53" s="153"/>
      <c r="K53" s="700"/>
      <c r="L53" s="702"/>
      <c r="M53" s="25"/>
      <c r="N53" s="25"/>
      <c r="O53" s="696">
        <f t="shared" si="4"/>
        <v>0</v>
      </c>
      <c r="P53" s="697">
        <v>0</v>
      </c>
      <c r="Q53" s="696">
        <f t="shared" si="5"/>
        <v>0</v>
      </c>
      <c r="R53" s="29"/>
    </row>
    <row r="54" spans="1:18" ht="24.6">
      <c r="A54" s="25">
        <v>13</v>
      </c>
      <c r="B54" s="29" t="s">
        <v>78</v>
      </c>
      <c r="C54" s="25" t="s">
        <v>79</v>
      </c>
      <c r="D54" s="49">
        <v>2430</v>
      </c>
      <c r="E54" s="25"/>
      <c r="F54" s="25"/>
      <c r="G54" s="49">
        <v>0</v>
      </c>
      <c r="H54" s="49">
        <v>0</v>
      </c>
      <c r="I54" s="49">
        <v>0</v>
      </c>
      <c r="J54" s="153">
        <v>25359</v>
      </c>
      <c r="K54" s="700" t="s">
        <v>463</v>
      </c>
      <c r="L54" s="702">
        <v>2430</v>
      </c>
      <c r="M54" s="25"/>
      <c r="N54" s="25"/>
      <c r="O54" s="696">
        <f t="shared" si="4"/>
        <v>0</v>
      </c>
      <c r="P54" s="697">
        <v>0</v>
      </c>
      <c r="Q54" s="696">
        <f t="shared" si="5"/>
        <v>0</v>
      </c>
      <c r="R54" s="29"/>
    </row>
    <row r="55" spans="1:18" ht="24.6">
      <c r="A55" s="25">
        <v>14</v>
      </c>
      <c r="B55" s="29" t="s">
        <v>81</v>
      </c>
      <c r="C55" s="25" t="s">
        <v>82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153"/>
      <c r="K55" s="700"/>
      <c r="L55" s="702"/>
      <c r="M55" s="25"/>
      <c r="N55" s="25"/>
      <c r="O55" s="696">
        <f t="shared" si="4"/>
        <v>0</v>
      </c>
      <c r="P55" s="697">
        <v>0</v>
      </c>
      <c r="Q55" s="696">
        <f t="shared" si="5"/>
        <v>0</v>
      </c>
      <c r="R55" s="29"/>
    </row>
    <row r="56" spans="1:18" ht="24.6">
      <c r="A56" s="25">
        <v>15</v>
      </c>
      <c r="B56" s="29" t="s">
        <v>83</v>
      </c>
      <c r="C56" s="25">
        <v>277</v>
      </c>
      <c r="D56" s="49">
        <v>1215</v>
      </c>
      <c r="E56" s="25"/>
      <c r="F56" s="25"/>
      <c r="G56" s="49">
        <v>0</v>
      </c>
      <c r="H56" s="49">
        <v>0</v>
      </c>
      <c r="I56" s="49">
        <v>0</v>
      </c>
      <c r="J56" s="153">
        <v>25376</v>
      </c>
      <c r="K56" s="700" t="s">
        <v>464</v>
      </c>
      <c r="L56" s="702">
        <v>1215</v>
      </c>
      <c r="M56" s="25"/>
      <c r="N56" s="25"/>
      <c r="O56" s="696">
        <f t="shared" si="4"/>
        <v>0</v>
      </c>
      <c r="P56" s="697">
        <v>0</v>
      </c>
      <c r="Q56" s="696">
        <f t="shared" si="5"/>
        <v>0</v>
      </c>
      <c r="R56" s="29"/>
    </row>
    <row r="57" spans="1:18" ht="24.6">
      <c r="A57" s="25">
        <v>16</v>
      </c>
      <c r="B57" s="29" t="s">
        <v>85</v>
      </c>
      <c r="C57" s="25" t="s">
        <v>86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26"/>
      <c r="K57" s="16"/>
      <c r="L57" s="118"/>
      <c r="M57" s="25"/>
      <c r="N57" s="25"/>
      <c r="O57" s="696">
        <f t="shared" si="4"/>
        <v>0</v>
      </c>
      <c r="P57" s="697">
        <v>0</v>
      </c>
      <c r="Q57" s="696">
        <f t="shared" si="5"/>
        <v>0</v>
      </c>
      <c r="R57" s="29" t="s">
        <v>87</v>
      </c>
    </row>
    <row r="58" spans="1:18" ht="24.6">
      <c r="A58" s="25">
        <v>17</v>
      </c>
      <c r="B58" s="29" t="s">
        <v>57</v>
      </c>
      <c r="C58" s="25" t="s">
        <v>88</v>
      </c>
      <c r="D58" s="49">
        <v>0</v>
      </c>
      <c r="E58" s="25"/>
      <c r="F58" s="25"/>
      <c r="G58" s="49">
        <v>0</v>
      </c>
      <c r="H58" s="49">
        <v>0</v>
      </c>
      <c r="I58" s="49">
        <v>0</v>
      </c>
      <c r="J58" s="26"/>
      <c r="K58" s="16"/>
      <c r="L58" s="118"/>
      <c r="M58" s="25"/>
      <c r="N58" s="25"/>
      <c r="O58" s="696">
        <f t="shared" si="4"/>
        <v>0</v>
      </c>
      <c r="P58" s="697">
        <v>0</v>
      </c>
      <c r="Q58" s="696">
        <f t="shared" si="5"/>
        <v>0</v>
      </c>
      <c r="R58" s="29"/>
    </row>
    <row r="59" spans="1:18" ht="24.6">
      <c r="A59" s="25"/>
      <c r="B59" s="116" t="s">
        <v>89</v>
      </c>
      <c r="C59" s="29"/>
      <c r="D59" s="29"/>
      <c r="E59" s="25"/>
      <c r="F59" s="25"/>
      <c r="G59" s="29">
        <v>0</v>
      </c>
      <c r="H59" s="49"/>
      <c r="I59" s="49">
        <v>0</v>
      </c>
      <c r="J59" s="26"/>
      <c r="K59" s="16"/>
      <c r="L59" s="118"/>
      <c r="M59" s="25"/>
      <c r="N59" s="25"/>
      <c r="O59" s="696">
        <f t="shared" si="4"/>
        <v>0</v>
      </c>
      <c r="P59" s="49"/>
      <c r="Q59" s="696">
        <f t="shared" si="5"/>
        <v>0</v>
      </c>
      <c r="R59" s="29"/>
    </row>
    <row r="60" spans="1:18" ht="24.6">
      <c r="A60" s="25">
        <v>1</v>
      </c>
      <c r="B60" s="29" t="s">
        <v>57</v>
      </c>
      <c r="C60" s="25" t="s">
        <v>90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696">
        <f t="shared" si="4"/>
        <v>0</v>
      </c>
      <c r="P60" s="697">
        <v>0</v>
      </c>
      <c r="Q60" s="696">
        <f t="shared" si="5"/>
        <v>0</v>
      </c>
      <c r="R60" s="29" t="s">
        <v>91</v>
      </c>
    </row>
    <row r="61" spans="1:18" ht="24.6">
      <c r="A61" s="25">
        <v>2</v>
      </c>
      <c r="B61" s="119" t="s">
        <v>57</v>
      </c>
      <c r="C61" s="25" t="s">
        <v>92</v>
      </c>
      <c r="D61" s="49"/>
      <c r="E61" s="25"/>
      <c r="F61" s="25"/>
      <c r="G61" s="49">
        <v>0</v>
      </c>
      <c r="H61" s="49"/>
      <c r="I61" s="49">
        <v>0</v>
      </c>
      <c r="J61" s="26"/>
      <c r="K61" s="16"/>
      <c r="L61" s="118"/>
      <c r="M61" s="25"/>
      <c r="N61" s="25"/>
      <c r="O61" s="696">
        <f t="shared" ref="O61:O69" si="6">D61+G61</f>
        <v>0</v>
      </c>
      <c r="P61" s="49"/>
      <c r="Q61" s="697">
        <f t="shared" ref="Q61:Q68" si="7">D61+I61</f>
        <v>0</v>
      </c>
      <c r="R61" s="29"/>
    </row>
    <row r="62" spans="1:18" ht="24.6">
      <c r="A62" s="25">
        <v>3</v>
      </c>
      <c r="B62" s="29" t="s">
        <v>93</v>
      </c>
      <c r="C62" s="25" t="s">
        <v>94</v>
      </c>
      <c r="D62" s="49">
        <v>0</v>
      </c>
      <c r="E62" s="25"/>
      <c r="F62" s="25"/>
      <c r="G62" s="89">
        <v>0</v>
      </c>
      <c r="H62" s="89">
        <v>0</v>
      </c>
      <c r="I62" s="89">
        <v>0</v>
      </c>
      <c r="J62" s="153"/>
      <c r="K62" s="705"/>
      <c r="L62" s="702"/>
      <c r="M62" s="25"/>
      <c r="N62" s="25"/>
      <c r="O62" s="696">
        <f t="shared" si="6"/>
        <v>0</v>
      </c>
      <c r="P62" s="697">
        <v>0</v>
      </c>
      <c r="Q62" s="697">
        <f t="shared" si="7"/>
        <v>0</v>
      </c>
      <c r="R62" s="29"/>
    </row>
    <row r="63" spans="1:18" ht="24.6">
      <c r="A63" s="25">
        <v>4</v>
      </c>
      <c r="B63" s="119" t="s">
        <v>57</v>
      </c>
      <c r="C63" s="25" t="s">
        <v>95</v>
      </c>
      <c r="D63" s="52">
        <v>0</v>
      </c>
      <c r="E63" s="25"/>
      <c r="F63" s="25"/>
      <c r="G63" s="49">
        <v>0</v>
      </c>
      <c r="H63" s="49"/>
      <c r="I63" s="49">
        <v>0</v>
      </c>
      <c r="J63" s="153"/>
      <c r="K63" s="705"/>
      <c r="L63" s="702"/>
      <c r="M63" s="25"/>
      <c r="N63" s="25"/>
      <c r="O63" s="696">
        <f t="shared" si="6"/>
        <v>0</v>
      </c>
      <c r="P63" s="49"/>
      <c r="Q63" s="697">
        <f t="shared" si="7"/>
        <v>0</v>
      </c>
      <c r="R63" s="29"/>
    </row>
    <row r="64" spans="1:18" ht="24.6">
      <c r="A64" s="25">
        <v>5</v>
      </c>
      <c r="B64" s="29" t="s">
        <v>40</v>
      </c>
      <c r="C64" s="25" t="s">
        <v>96</v>
      </c>
      <c r="D64" s="49">
        <v>0</v>
      </c>
      <c r="E64" s="25"/>
      <c r="F64" s="25"/>
      <c r="G64" s="49">
        <v>0</v>
      </c>
      <c r="H64" s="49">
        <v>0</v>
      </c>
      <c r="I64" s="49">
        <v>0</v>
      </c>
      <c r="J64" s="153"/>
      <c r="K64" s="700"/>
      <c r="L64" s="702"/>
      <c r="M64" s="25"/>
      <c r="N64" s="25"/>
      <c r="O64" s="696">
        <f t="shared" si="6"/>
        <v>0</v>
      </c>
      <c r="P64" s="697">
        <v>0</v>
      </c>
      <c r="Q64" s="697">
        <f t="shared" si="7"/>
        <v>0</v>
      </c>
      <c r="R64" s="29" t="s">
        <v>41</v>
      </c>
    </row>
    <row r="65" spans="1:20" ht="24.6">
      <c r="A65" s="25"/>
      <c r="B65" s="124" t="s">
        <v>97</v>
      </c>
      <c r="C65" s="29"/>
      <c r="D65" s="29"/>
      <c r="E65" s="25"/>
      <c r="F65" s="25"/>
      <c r="G65" s="29">
        <v>0</v>
      </c>
      <c r="H65" s="49"/>
      <c r="I65" s="49">
        <v>0</v>
      </c>
      <c r="J65" s="26"/>
      <c r="K65" s="16"/>
      <c r="L65" s="118"/>
      <c r="M65" s="25"/>
      <c r="N65" s="25"/>
      <c r="O65" s="696">
        <f t="shared" si="6"/>
        <v>0</v>
      </c>
      <c r="P65" s="49"/>
      <c r="Q65" s="697">
        <f t="shared" si="7"/>
        <v>0</v>
      </c>
      <c r="R65" s="29"/>
    </row>
    <row r="66" spans="1:20" ht="24.6">
      <c r="A66" s="25">
        <v>1</v>
      </c>
      <c r="B66" s="125" t="s">
        <v>98</v>
      </c>
      <c r="C66" s="25" t="s">
        <v>99</v>
      </c>
      <c r="D66" s="49">
        <v>0</v>
      </c>
      <c r="E66" s="68"/>
      <c r="F66" s="25"/>
      <c r="G66" s="49">
        <v>0</v>
      </c>
      <c r="H66" s="49">
        <v>0</v>
      </c>
      <c r="I66" s="49">
        <v>0</v>
      </c>
      <c r="J66" s="153" t="s">
        <v>172</v>
      </c>
      <c r="K66" s="700" t="s">
        <v>172</v>
      </c>
      <c r="L66" s="702">
        <v>0</v>
      </c>
      <c r="M66" s="25" t="s">
        <v>172</v>
      </c>
      <c r="N66" s="25" t="s">
        <v>172</v>
      </c>
      <c r="O66" s="696">
        <f t="shared" si="6"/>
        <v>0</v>
      </c>
      <c r="P66" s="697">
        <v>0</v>
      </c>
      <c r="Q66" s="697">
        <f t="shared" si="7"/>
        <v>0</v>
      </c>
      <c r="R66" s="29" t="s">
        <v>100</v>
      </c>
      <c r="T66" s="2" t="s">
        <v>101</v>
      </c>
    </row>
    <row r="67" spans="1:20" ht="24.6">
      <c r="A67" s="25"/>
      <c r="B67" s="116" t="s">
        <v>102</v>
      </c>
      <c r="C67" s="29"/>
      <c r="D67" s="29"/>
      <c r="E67" s="25"/>
      <c r="F67" s="25"/>
      <c r="G67" s="29">
        <v>0</v>
      </c>
      <c r="H67" s="49"/>
      <c r="I67" s="49">
        <v>0</v>
      </c>
      <c r="J67" s="153"/>
      <c r="K67" s="700"/>
      <c r="L67" s="702"/>
      <c r="M67" s="25"/>
      <c r="N67" s="25"/>
      <c r="O67" s="696">
        <f t="shared" si="6"/>
        <v>0</v>
      </c>
      <c r="P67" s="49"/>
      <c r="Q67" s="697">
        <f t="shared" si="7"/>
        <v>0</v>
      </c>
      <c r="R67" s="29"/>
    </row>
    <row r="68" spans="1:20" ht="20.25" customHeight="1">
      <c r="A68" s="25">
        <v>1</v>
      </c>
      <c r="B68" s="29" t="s">
        <v>36</v>
      </c>
      <c r="C68" s="29"/>
      <c r="D68" s="49">
        <v>0</v>
      </c>
      <c r="E68" s="25"/>
      <c r="F68" s="25"/>
      <c r="G68" s="49">
        <v>0</v>
      </c>
      <c r="H68" s="49">
        <v>0</v>
      </c>
      <c r="I68" s="49">
        <v>0</v>
      </c>
      <c r="J68" s="153"/>
      <c r="K68" s="705"/>
      <c r="L68" s="702"/>
      <c r="M68" s="25"/>
      <c r="N68" s="25"/>
      <c r="O68" s="696">
        <f t="shared" si="6"/>
        <v>0</v>
      </c>
      <c r="P68" s="697">
        <v>0</v>
      </c>
      <c r="Q68" s="697">
        <f t="shared" si="7"/>
        <v>0</v>
      </c>
      <c r="R68" s="29" t="s">
        <v>103</v>
      </c>
    </row>
    <row r="69" spans="1:20" ht="24.6">
      <c r="A69" s="25"/>
      <c r="B69" s="116" t="s">
        <v>104</v>
      </c>
      <c r="C69" s="29"/>
      <c r="D69" s="29"/>
      <c r="E69" s="25"/>
      <c r="F69" s="25"/>
      <c r="G69" s="49">
        <v>0</v>
      </c>
      <c r="H69" s="49"/>
      <c r="I69" s="49">
        <v>0</v>
      </c>
      <c r="J69" s="61"/>
      <c r="K69" s="61"/>
      <c r="L69" s="61"/>
      <c r="N69" s="29"/>
      <c r="O69" s="696">
        <f t="shared" si="6"/>
        <v>0</v>
      </c>
      <c r="P69" s="49"/>
      <c r="Q69" s="697">
        <f>D69+I69-L69</f>
        <v>0</v>
      </c>
      <c r="R69" s="29"/>
    </row>
    <row r="70" spans="1:20" ht="24.6">
      <c r="A70" s="25">
        <v>1</v>
      </c>
      <c r="B70" s="29" t="s">
        <v>105</v>
      </c>
      <c r="C70" s="29"/>
      <c r="D70" s="49">
        <v>5000</v>
      </c>
      <c r="E70" s="706" t="s">
        <v>456</v>
      </c>
      <c r="F70" s="25">
        <v>1</v>
      </c>
      <c r="G70" s="49">
        <v>5000</v>
      </c>
      <c r="H70" s="49"/>
      <c r="I70" s="49">
        <v>5000</v>
      </c>
      <c r="J70" s="153">
        <v>25381</v>
      </c>
      <c r="K70" s="700" t="s">
        <v>465</v>
      </c>
      <c r="L70" s="702">
        <v>5000</v>
      </c>
      <c r="M70" s="90">
        <v>25355</v>
      </c>
      <c r="N70" s="86">
        <v>1</v>
      </c>
      <c r="O70" s="696">
        <v>5000</v>
      </c>
      <c r="P70" s="697"/>
      <c r="Q70" s="697">
        <f>D70+I70-L70</f>
        <v>5000</v>
      </c>
      <c r="R70" s="29"/>
    </row>
    <row r="71" spans="1:20" ht="24.6">
      <c r="A71" s="25">
        <v>2</v>
      </c>
      <c r="B71" s="29" t="s">
        <v>105</v>
      </c>
      <c r="C71" s="29"/>
      <c r="D71" s="49">
        <v>4650</v>
      </c>
      <c r="E71" s="706" t="s">
        <v>456</v>
      </c>
      <c r="F71" s="25">
        <v>1</v>
      </c>
      <c r="G71" s="49">
        <v>4650</v>
      </c>
      <c r="H71" s="49"/>
      <c r="I71" s="49">
        <v>4650</v>
      </c>
      <c r="J71" s="153">
        <v>25381</v>
      </c>
      <c r="K71" s="700" t="s">
        <v>466</v>
      </c>
      <c r="L71" s="702">
        <v>4650</v>
      </c>
      <c r="M71" s="90">
        <v>25355</v>
      </c>
      <c r="N71" s="86">
        <v>1</v>
      </c>
      <c r="O71" s="696">
        <v>4650</v>
      </c>
      <c r="P71" s="697"/>
      <c r="Q71" s="697">
        <f t="shared" ref="Q71:Q74" si="8">D71+I71-L71</f>
        <v>4650</v>
      </c>
      <c r="R71" s="29" t="s">
        <v>108</v>
      </c>
    </row>
    <row r="72" spans="1:20" ht="24.6">
      <c r="A72" s="25">
        <v>3</v>
      </c>
      <c r="B72" s="29" t="s">
        <v>109</v>
      </c>
      <c r="C72" s="53"/>
      <c r="D72" s="127">
        <v>3450</v>
      </c>
      <c r="E72" s="25"/>
      <c r="F72" s="25"/>
      <c r="G72" s="127">
        <v>0</v>
      </c>
      <c r="H72" s="127">
        <v>0</v>
      </c>
      <c r="I72" s="49">
        <v>0</v>
      </c>
      <c r="J72" s="153">
        <v>25356</v>
      </c>
      <c r="K72" s="700" t="s">
        <v>467</v>
      </c>
      <c r="L72" s="702">
        <v>3450</v>
      </c>
      <c r="M72" s="706"/>
      <c r="N72" s="25"/>
      <c r="O72" s="696">
        <f>D72+G72-L72</f>
        <v>0</v>
      </c>
      <c r="P72" s="697">
        <v>0</v>
      </c>
      <c r="Q72" s="697">
        <f t="shared" si="8"/>
        <v>0</v>
      </c>
      <c r="R72" s="29" t="s">
        <v>111</v>
      </c>
    </row>
    <row r="73" spans="1:20" ht="24.6">
      <c r="A73" s="25">
        <v>4</v>
      </c>
      <c r="B73" s="29" t="s">
        <v>112</v>
      </c>
      <c r="C73" s="29"/>
      <c r="D73" s="49">
        <v>3795</v>
      </c>
      <c r="E73" s="25"/>
      <c r="F73" s="25"/>
      <c r="G73" s="49">
        <v>0</v>
      </c>
      <c r="H73" s="49">
        <v>0</v>
      </c>
      <c r="I73" s="49">
        <v>0</v>
      </c>
      <c r="J73" s="153">
        <v>25369</v>
      </c>
      <c r="K73" s="700" t="s">
        <v>468</v>
      </c>
      <c r="L73" s="702">
        <v>3795</v>
      </c>
      <c r="M73" s="25"/>
      <c r="N73" s="25"/>
      <c r="O73" s="696">
        <f>D73+G73-L73</f>
        <v>0</v>
      </c>
      <c r="P73" s="697">
        <v>0</v>
      </c>
      <c r="Q73" s="697">
        <f t="shared" si="8"/>
        <v>0</v>
      </c>
      <c r="R73" s="131" t="s">
        <v>114</v>
      </c>
    </row>
    <row r="74" spans="1:20" ht="25.5" customHeight="1">
      <c r="A74" s="25">
        <v>5</v>
      </c>
      <c r="B74" s="132" t="s">
        <v>115</v>
      </c>
      <c r="C74" s="132"/>
      <c r="D74" s="133">
        <v>8000</v>
      </c>
      <c r="E74" s="29"/>
      <c r="F74" s="29"/>
      <c r="G74" s="134">
        <v>0</v>
      </c>
      <c r="H74" s="134">
        <v>0</v>
      </c>
      <c r="I74" s="134">
        <v>0</v>
      </c>
      <c r="J74" s="153">
        <v>25363</v>
      </c>
      <c r="K74" s="700" t="s">
        <v>469</v>
      </c>
      <c r="L74" s="702">
        <v>8000</v>
      </c>
      <c r="M74" s="25"/>
      <c r="N74" s="25"/>
      <c r="O74" s="696">
        <f>D74+G74-L74</f>
        <v>0</v>
      </c>
      <c r="P74" s="697">
        <v>0</v>
      </c>
      <c r="Q74" s="697">
        <f t="shared" si="8"/>
        <v>0</v>
      </c>
    </row>
    <row r="75" spans="1:20" ht="25.2" thickBot="1">
      <c r="A75" s="29"/>
      <c r="B75" s="25" t="s">
        <v>26</v>
      </c>
      <c r="C75" s="74"/>
      <c r="D75" s="78">
        <f>SUM(D42:D74)</f>
        <v>34615</v>
      </c>
      <c r="E75" s="78"/>
      <c r="F75" s="78"/>
      <c r="G75" s="78">
        <f>SUM(G42:G74)</f>
        <v>14510</v>
      </c>
      <c r="H75" s="78">
        <f>SUM(H42:H74)</f>
        <v>0</v>
      </c>
      <c r="I75" s="78">
        <f>SUM(I42:I74)</f>
        <v>14510</v>
      </c>
      <c r="J75" s="77"/>
      <c r="K75" s="77"/>
      <c r="L75" s="77">
        <f>SUM(L42:L74)</f>
        <v>32185</v>
      </c>
      <c r="M75" s="78"/>
      <c r="N75" s="135"/>
      <c r="O75" s="698">
        <f>SUM(O42:O74)</f>
        <v>16940</v>
      </c>
      <c r="P75" s="78">
        <v>0</v>
      </c>
      <c r="Q75" s="699">
        <f>SUM(Q42:Q74)</f>
        <v>16940</v>
      </c>
      <c r="R75" s="29"/>
    </row>
    <row r="76" spans="1:20" ht="25.2" thickTop="1">
      <c r="A76" s="29"/>
      <c r="B76" s="116" t="s">
        <v>117</v>
      </c>
      <c r="C76" s="46"/>
      <c r="D76" s="46"/>
      <c r="E76" s="28"/>
      <c r="F76" s="28"/>
      <c r="G76" s="46"/>
      <c r="H76" s="46"/>
      <c r="I76" s="46"/>
      <c r="J76" s="137"/>
      <c r="K76" s="138"/>
      <c r="L76" s="139"/>
      <c r="M76" s="28"/>
      <c r="N76" s="28"/>
      <c r="O76" s="696">
        <v>0</v>
      </c>
      <c r="P76" s="46"/>
      <c r="Q76" s="707">
        <v>0</v>
      </c>
      <c r="R76" s="46"/>
    </row>
    <row r="77" spans="1:20" ht="24.6">
      <c r="A77" s="29"/>
      <c r="B77" s="116" t="s">
        <v>118</v>
      </c>
      <c r="C77" s="46"/>
      <c r="D77" s="46"/>
      <c r="E77" s="25"/>
      <c r="F77" s="28"/>
      <c r="G77" s="46"/>
      <c r="H77" s="46"/>
      <c r="I77" s="46"/>
      <c r="J77" s="137"/>
      <c r="K77" s="138"/>
      <c r="L77" s="139"/>
      <c r="M77" s="28"/>
      <c r="N77" s="28"/>
      <c r="O77" s="696">
        <v>0</v>
      </c>
      <c r="P77" s="46"/>
      <c r="Q77" s="697">
        <f t="shared" ref="Q77:Q110" si="9">D77+I77-L77</f>
        <v>0</v>
      </c>
      <c r="R77" s="29"/>
    </row>
    <row r="78" spans="1:20" ht="24.6">
      <c r="A78" s="25">
        <v>1</v>
      </c>
      <c r="B78" s="119" t="s">
        <v>119</v>
      </c>
      <c r="C78" s="46"/>
      <c r="D78" s="98">
        <v>0</v>
      </c>
      <c r="E78" s="25"/>
      <c r="F78" s="28"/>
      <c r="G78" s="49">
        <v>0</v>
      </c>
      <c r="H78" s="49">
        <v>0</v>
      </c>
      <c r="I78" s="49">
        <v>0</v>
      </c>
      <c r="J78" s="26"/>
      <c r="K78" s="16"/>
      <c r="L78" s="118"/>
      <c r="M78" s="119"/>
      <c r="N78" s="28"/>
      <c r="O78" s="696">
        <v>0</v>
      </c>
      <c r="P78" s="141">
        <v>0</v>
      </c>
      <c r="Q78" s="697">
        <f t="shared" si="9"/>
        <v>0</v>
      </c>
      <c r="R78" s="29" t="s">
        <v>120</v>
      </c>
    </row>
    <row r="79" spans="1:20" ht="24.6">
      <c r="A79" s="25"/>
      <c r="B79" s="29" t="s">
        <v>120</v>
      </c>
      <c r="C79" s="46"/>
      <c r="D79" s="98"/>
      <c r="E79" s="25"/>
      <c r="F79" s="28"/>
      <c r="G79" s="49">
        <v>0</v>
      </c>
      <c r="H79" s="49"/>
      <c r="I79" s="49">
        <v>0</v>
      </c>
      <c r="J79" s="26"/>
      <c r="K79" s="16"/>
      <c r="L79" s="118"/>
      <c r="M79" s="25"/>
      <c r="N79" s="28"/>
      <c r="O79" s="696">
        <v>0</v>
      </c>
      <c r="P79" s="46"/>
      <c r="Q79" s="697">
        <f t="shared" si="9"/>
        <v>0</v>
      </c>
      <c r="R79" s="29"/>
    </row>
    <row r="80" spans="1:20" ht="24.6">
      <c r="A80" s="25">
        <v>2</v>
      </c>
      <c r="B80" s="119" t="s">
        <v>121</v>
      </c>
      <c r="C80" s="46"/>
      <c r="D80" s="98">
        <v>6000</v>
      </c>
      <c r="E80" s="25"/>
      <c r="F80" s="25"/>
      <c r="G80" s="49">
        <v>0</v>
      </c>
      <c r="H80" s="49">
        <v>0</v>
      </c>
      <c r="I80" s="49">
        <v>0</v>
      </c>
      <c r="J80" s="153">
        <v>25359</v>
      </c>
      <c r="K80" s="700" t="s">
        <v>470</v>
      </c>
      <c r="L80" s="702">
        <v>6000</v>
      </c>
      <c r="M80" s="25"/>
      <c r="N80" s="25"/>
      <c r="O80" s="696">
        <f>SUM(Q80)</f>
        <v>0</v>
      </c>
      <c r="P80" s="697">
        <v>0</v>
      </c>
      <c r="Q80" s="697">
        <f t="shared" si="9"/>
        <v>0</v>
      </c>
      <c r="R80" s="29"/>
    </row>
    <row r="81" spans="1:18" ht="24.6">
      <c r="A81" s="29"/>
      <c r="B81" s="45" t="s">
        <v>123</v>
      </c>
      <c r="C81" s="46"/>
      <c r="D81" s="46"/>
      <c r="E81" s="28"/>
      <c r="F81" s="28"/>
      <c r="G81" s="46"/>
      <c r="H81" s="46"/>
      <c r="I81" s="49">
        <v>0</v>
      </c>
      <c r="J81" s="708"/>
      <c r="K81" s="709"/>
      <c r="L81" s="710"/>
      <c r="M81" s="28"/>
      <c r="N81" s="28"/>
      <c r="O81" s="696">
        <f t="shared" ref="O81:O86" si="10">SUM(Q81)</f>
        <v>0</v>
      </c>
      <c r="P81" s="46"/>
      <c r="Q81" s="697">
        <f t="shared" si="9"/>
        <v>0</v>
      </c>
      <c r="R81" s="29"/>
    </row>
    <row r="82" spans="1:18" ht="24.6">
      <c r="A82" s="25">
        <v>1</v>
      </c>
      <c r="B82" s="29" t="s">
        <v>124</v>
      </c>
      <c r="C82" s="29"/>
      <c r="D82" s="49">
        <v>600</v>
      </c>
      <c r="E82" s="25"/>
      <c r="F82" s="25"/>
      <c r="G82" s="49">
        <v>0</v>
      </c>
      <c r="H82" s="49">
        <v>0</v>
      </c>
      <c r="I82" s="49">
        <v>0</v>
      </c>
      <c r="J82" s="153">
        <v>25384</v>
      </c>
      <c r="K82" s="700" t="s">
        <v>471</v>
      </c>
      <c r="L82" s="702">
        <v>600</v>
      </c>
      <c r="M82" s="25"/>
      <c r="N82" s="25"/>
      <c r="O82" s="696">
        <f t="shared" si="10"/>
        <v>0</v>
      </c>
      <c r="P82" s="697">
        <v>0</v>
      </c>
      <c r="Q82" s="697">
        <f t="shared" si="9"/>
        <v>0</v>
      </c>
      <c r="R82" s="29"/>
    </row>
    <row r="83" spans="1:18" ht="24.6">
      <c r="A83" s="25">
        <v>2</v>
      </c>
      <c r="B83" s="29" t="s">
        <v>40</v>
      </c>
      <c r="C83" s="29"/>
      <c r="D83" s="49">
        <v>0</v>
      </c>
      <c r="E83" s="25"/>
      <c r="F83" s="25"/>
      <c r="G83" s="49">
        <v>0</v>
      </c>
      <c r="H83" s="49">
        <v>0</v>
      </c>
      <c r="I83" s="49">
        <v>0</v>
      </c>
      <c r="J83" s="153"/>
      <c r="K83" s="700"/>
      <c r="L83" s="702"/>
      <c r="M83" s="25"/>
      <c r="N83" s="25"/>
      <c r="O83" s="696">
        <f t="shared" si="10"/>
        <v>0</v>
      </c>
      <c r="P83" s="697">
        <v>0</v>
      </c>
      <c r="Q83" s="697">
        <f t="shared" si="9"/>
        <v>0</v>
      </c>
      <c r="R83" s="29" t="s">
        <v>126</v>
      </c>
    </row>
    <row r="84" spans="1:18" ht="24.6">
      <c r="A84" s="25"/>
      <c r="B84" s="124" t="s">
        <v>127</v>
      </c>
      <c r="C84" s="29"/>
      <c r="D84" s="49"/>
      <c r="E84" s="25"/>
      <c r="F84" s="25"/>
      <c r="G84" s="49">
        <v>0</v>
      </c>
      <c r="H84" s="29"/>
      <c r="I84" s="49">
        <v>0</v>
      </c>
      <c r="J84" s="26"/>
      <c r="K84" s="16"/>
      <c r="L84" s="118"/>
      <c r="M84" s="25"/>
      <c r="N84" s="25"/>
      <c r="O84" s="696">
        <f t="shared" si="10"/>
        <v>0</v>
      </c>
      <c r="P84" s="49"/>
      <c r="Q84" s="697">
        <f t="shared" si="9"/>
        <v>0</v>
      </c>
      <c r="R84" s="29"/>
    </row>
    <row r="85" spans="1:18" ht="24.6">
      <c r="A85" s="25">
        <v>1</v>
      </c>
      <c r="B85" s="119" t="s">
        <v>128</v>
      </c>
      <c r="C85" s="29"/>
      <c r="D85" s="49"/>
      <c r="E85" s="25"/>
      <c r="F85" s="25"/>
      <c r="G85" s="49">
        <v>0</v>
      </c>
      <c r="H85" s="49">
        <v>0</v>
      </c>
      <c r="I85" s="49">
        <v>0</v>
      </c>
      <c r="J85" s="26"/>
      <c r="K85" s="16"/>
      <c r="L85" s="118"/>
      <c r="M85" s="25"/>
      <c r="N85" s="25"/>
      <c r="O85" s="696">
        <f t="shared" si="10"/>
        <v>0</v>
      </c>
      <c r="P85" s="697">
        <v>0</v>
      </c>
      <c r="Q85" s="697">
        <f t="shared" si="9"/>
        <v>0</v>
      </c>
      <c r="R85" s="29" t="s">
        <v>129</v>
      </c>
    </row>
    <row r="86" spans="1:18" ht="24.6">
      <c r="A86" s="25">
        <v>2</v>
      </c>
      <c r="B86" s="29" t="s">
        <v>130</v>
      </c>
      <c r="C86" s="29"/>
      <c r="D86" s="49">
        <v>550</v>
      </c>
      <c r="E86" s="25"/>
      <c r="F86" s="25"/>
      <c r="G86" s="49">
        <v>0</v>
      </c>
      <c r="H86" s="49">
        <v>0</v>
      </c>
      <c r="I86" s="49">
        <v>0</v>
      </c>
      <c r="J86" s="153">
        <v>25383</v>
      </c>
      <c r="K86" s="700" t="s">
        <v>465</v>
      </c>
      <c r="L86" s="702">
        <v>550</v>
      </c>
      <c r="M86" s="25"/>
      <c r="N86" s="25"/>
      <c r="O86" s="696">
        <f t="shared" si="10"/>
        <v>0</v>
      </c>
      <c r="P86" s="697">
        <v>0</v>
      </c>
      <c r="Q86" s="697">
        <f t="shared" si="9"/>
        <v>0</v>
      </c>
      <c r="R86" s="29"/>
    </row>
    <row r="87" spans="1:18" ht="24.6">
      <c r="A87" s="25" t="s">
        <v>370</v>
      </c>
      <c r="B87" s="29" t="s">
        <v>225</v>
      </c>
      <c r="C87" s="29"/>
      <c r="D87" s="49"/>
      <c r="E87" s="25"/>
      <c r="F87" s="25"/>
      <c r="G87" s="49"/>
      <c r="H87" s="49"/>
      <c r="I87" s="49"/>
      <c r="J87" s="153"/>
      <c r="K87" s="700"/>
      <c r="L87" s="702"/>
      <c r="M87" s="25"/>
      <c r="N87" s="25"/>
      <c r="O87" s="696"/>
      <c r="P87" s="707"/>
      <c r="Q87" s="697">
        <f t="shared" si="9"/>
        <v>0</v>
      </c>
      <c r="R87" s="29"/>
    </row>
    <row r="88" spans="1:18" ht="24.6">
      <c r="A88" s="25">
        <v>4</v>
      </c>
      <c r="B88" s="29" t="s">
        <v>132</v>
      </c>
      <c r="C88" s="29"/>
      <c r="D88" s="49">
        <v>1100</v>
      </c>
      <c r="E88" s="25"/>
      <c r="F88" s="25"/>
      <c r="G88" s="89"/>
      <c r="H88" s="49"/>
      <c r="I88" s="49"/>
      <c r="J88" s="153">
        <v>25369</v>
      </c>
      <c r="K88" s="700" t="s">
        <v>468</v>
      </c>
      <c r="L88" s="702">
        <v>1100</v>
      </c>
      <c r="M88" s="25"/>
      <c r="N88" s="25"/>
      <c r="O88" s="696">
        <f>SUM(D88+I88-L88)</f>
        <v>0</v>
      </c>
      <c r="P88" s="696"/>
      <c r="Q88" s="697">
        <f t="shared" si="9"/>
        <v>0</v>
      </c>
      <c r="R88" s="29"/>
    </row>
    <row r="89" spans="1:18" ht="24.6">
      <c r="A89" s="25">
        <v>5</v>
      </c>
      <c r="B89" s="29" t="s">
        <v>134</v>
      </c>
      <c r="C89" s="29"/>
      <c r="D89" s="49">
        <v>1650</v>
      </c>
      <c r="E89" s="25"/>
      <c r="F89" s="25"/>
      <c r="G89" s="89"/>
      <c r="H89" s="49"/>
      <c r="I89" s="49"/>
      <c r="J89" s="153">
        <v>244529</v>
      </c>
      <c r="K89" s="705" t="s">
        <v>472</v>
      </c>
      <c r="L89" s="702">
        <v>1650</v>
      </c>
      <c r="M89" s="25"/>
      <c r="N89" s="25"/>
      <c r="O89" s="696">
        <f t="shared" ref="O89:O93" si="11">SUM(D89+I89-L89)</f>
        <v>0</v>
      </c>
      <c r="P89" s="697">
        <v>0</v>
      </c>
      <c r="Q89" s="697">
        <f t="shared" si="9"/>
        <v>0</v>
      </c>
      <c r="R89" s="29"/>
    </row>
    <row r="90" spans="1:18" ht="24.6">
      <c r="A90" s="25"/>
      <c r="B90" s="116" t="s">
        <v>136</v>
      </c>
      <c r="C90" s="29"/>
      <c r="D90" s="49"/>
      <c r="E90" s="25"/>
      <c r="F90" s="25"/>
      <c r="G90" s="89"/>
      <c r="H90" s="29"/>
      <c r="I90" s="49"/>
      <c r="J90" s="153"/>
      <c r="K90" s="700"/>
      <c r="L90" s="702"/>
      <c r="M90" s="25"/>
      <c r="N90" s="25"/>
      <c r="O90" s="696">
        <f t="shared" si="11"/>
        <v>0</v>
      </c>
      <c r="P90" s="49"/>
      <c r="Q90" s="697">
        <f t="shared" si="9"/>
        <v>0</v>
      </c>
      <c r="R90" s="29"/>
    </row>
    <row r="91" spans="1:18" ht="24.6">
      <c r="A91" s="25">
        <v>1</v>
      </c>
      <c r="B91" s="29" t="s">
        <v>137</v>
      </c>
      <c r="C91" s="29"/>
      <c r="D91" s="49">
        <v>5000</v>
      </c>
      <c r="E91" s="25"/>
      <c r="F91" s="25"/>
      <c r="G91" s="89"/>
      <c r="H91" s="49"/>
      <c r="I91" s="49"/>
      <c r="J91" s="153">
        <v>25358</v>
      </c>
      <c r="K91" s="700" t="s">
        <v>473</v>
      </c>
      <c r="L91" s="702">
        <v>5000</v>
      </c>
      <c r="M91" s="68"/>
      <c r="N91" s="25"/>
      <c r="O91" s="696">
        <f t="shared" si="11"/>
        <v>0</v>
      </c>
      <c r="P91" s="697">
        <v>0</v>
      </c>
      <c r="Q91" s="697">
        <f t="shared" si="9"/>
        <v>0</v>
      </c>
      <c r="R91" s="29"/>
    </row>
    <row r="92" spans="1:18" ht="24.6">
      <c r="A92" s="25"/>
      <c r="B92" s="116" t="s">
        <v>140</v>
      </c>
      <c r="C92" s="29"/>
      <c r="D92" s="49"/>
      <c r="E92" s="25"/>
      <c r="F92" s="25"/>
      <c r="G92" s="49">
        <v>0</v>
      </c>
      <c r="H92" s="49"/>
      <c r="I92" s="49">
        <v>0</v>
      </c>
      <c r="J92" s="153"/>
      <c r="K92" s="705"/>
      <c r="L92" s="702"/>
      <c r="M92" s="25"/>
      <c r="N92" s="25"/>
      <c r="O92" s="696">
        <f t="shared" si="11"/>
        <v>0</v>
      </c>
      <c r="P92" s="49"/>
      <c r="Q92" s="697">
        <f t="shared" si="9"/>
        <v>0</v>
      </c>
      <c r="R92" s="29"/>
    </row>
    <row r="93" spans="1:18" ht="24.6">
      <c r="A93" s="25">
        <v>1</v>
      </c>
      <c r="B93" s="29" t="s">
        <v>141</v>
      </c>
      <c r="C93" s="29"/>
      <c r="D93" s="49">
        <v>0</v>
      </c>
      <c r="E93" s="25"/>
      <c r="F93" s="25"/>
      <c r="G93" s="49">
        <v>0</v>
      </c>
      <c r="H93" s="49">
        <v>0</v>
      </c>
      <c r="I93" s="49">
        <v>0</v>
      </c>
      <c r="J93" s="153"/>
      <c r="K93" s="700"/>
      <c r="L93" s="702"/>
      <c r="M93" s="25"/>
      <c r="N93" s="25"/>
      <c r="O93" s="696">
        <f t="shared" si="11"/>
        <v>0</v>
      </c>
      <c r="P93" s="697">
        <v>0</v>
      </c>
      <c r="Q93" s="697">
        <f t="shared" si="9"/>
        <v>0</v>
      </c>
      <c r="R93" s="29"/>
    </row>
    <row r="94" spans="1:18" ht="24.6">
      <c r="A94" s="25"/>
      <c r="B94" s="116" t="s">
        <v>142</v>
      </c>
      <c r="C94" s="29"/>
      <c r="D94" s="49"/>
      <c r="E94" s="25"/>
      <c r="F94" s="25"/>
      <c r="G94" s="49">
        <v>0</v>
      </c>
      <c r="H94" s="29"/>
      <c r="I94" s="49">
        <v>0</v>
      </c>
      <c r="J94" s="153"/>
      <c r="K94" s="700"/>
      <c r="L94" s="702"/>
      <c r="M94" s="25"/>
      <c r="N94" s="25"/>
      <c r="O94" s="696">
        <v>0</v>
      </c>
      <c r="P94" s="49"/>
      <c r="Q94" s="697">
        <f t="shared" si="9"/>
        <v>0</v>
      </c>
      <c r="R94" s="29"/>
    </row>
    <row r="95" spans="1:18" ht="24.6">
      <c r="A95" s="25">
        <v>1</v>
      </c>
      <c r="B95" s="29" t="s">
        <v>143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153"/>
      <c r="K95" s="700"/>
      <c r="L95" s="702"/>
      <c r="M95" s="25"/>
      <c r="N95" s="25"/>
      <c r="O95" s="696">
        <v>0</v>
      </c>
      <c r="P95" s="697">
        <v>0</v>
      </c>
      <c r="Q95" s="697">
        <f t="shared" si="9"/>
        <v>0</v>
      </c>
      <c r="R95" s="29" t="s">
        <v>64</v>
      </c>
    </row>
    <row r="96" spans="1:18" ht="24.6">
      <c r="A96" s="25">
        <v>2</v>
      </c>
      <c r="B96" s="29" t="s">
        <v>144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145"/>
      <c r="K96" s="146"/>
      <c r="L96" s="147"/>
      <c r="M96" s="25"/>
      <c r="N96" s="25"/>
      <c r="O96" s="696">
        <v>0</v>
      </c>
      <c r="P96" s="697">
        <v>0</v>
      </c>
      <c r="Q96" s="697">
        <f t="shared" si="9"/>
        <v>0</v>
      </c>
      <c r="R96" s="29" t="s">
        <v>145</v>
      </c>
    </row>
    <row r="97" spans="1:18" ht="24.6">
      <c r="A97" s="25">
        <v>3</v>
      </c>
      <c r="B97" s="29" t="s">
        <v>146</v>
      </c>
      <c r="C97" s="29"/>
      <c r="D97" s="49">
        <v>0</v>
      </c>
      <c r="E97" s="25"/>
      <c r="F97" s="25"/>
      <c r="G97" s="52">
        <v>0</v>
      </c>
      <c r="H97" s="49">
        <v>0</v>
      </c>
      <c r="I97" s="49">
        <v>0</v>
      </c>
      <c r="J97" s="153"/>
      <c r="K97" s="700"/>
      <c r="L97" s="702"/>
      <c r="M97" s="25"/>
      <c r="N97" s="25"/>
      <c r="O97" s="696">
        <v>0</v>
      </c>
      <c r="P97" s="697">
        <v>0</v>
      </c>
      <c r="Q97" s="697">
        <f t="shared" si="9"/>
        <v>0</v>
      </c>
      <c r="R97" s="29"/>
    </row>
    <row r="98" spans="1:18" ht="24.6">
      <c r="A98" s="25">
        <v>4</v>
      </c>
      <c r="B98" s="29" t="s">
        <v>147</v>
      </c>
      <c r="C98" s="29"/>
      <c r="D98" s="49">
        <v>0</v>
      </c>
      <c r="E98" s="25"/>
      <c r="F98" s="25"/>
      <c r="G98" s="696">
        <v>0</v>
      </c>
      <c r="H98" s="697">
        <v>0</v>
      </c>
      <c r="I98" s="697">
        <v>0</v>
      </c>
      <c r="J98" s="153"/>
      <c r="K98" s="700"/>
      <c r="L98" s="702"/>
      <c r="M98" s="25"/>
      <c r="N98" s="25"/>
      <c r="O98" s="696">
        <v>0</v>
      </c>
      <c r="P98" s="697">
        <v>0</v>
      </c>
      <c r="Q98" s="697">
        <f t="shared" si="9"/>
        <v>0</v>
      </c>
      <c r="R98" s="29" t="s">
        <v>148</v>
      </c>
    </row>
    <row r="99" spans="1:18" ht="24.6">
      <c r="A99" s="25">
        <v>5</v>
      </c>
      <c r="B99" s="29" t="s">
        <v>149</v>
      </c>
      <c r="C99" s="29"/>
      <c r="D99" s="49">
        <v>0</v>
      </c>
      <c r="E99" s="25"/>
      <c r="F99" s="25"/>
      <c r="G99" s="696">
        <v>0</v>
      </c>
      <c r="H99" s="697">
        <v>0</v>
      </c>
      <c r="I99" s="697">
        <v>0</v>
      </c>
      <c r="J99" s="153"/>
      <c r="K99" s="700"/>
      <c r="L99" s="702"/>
      <c r="M99" s="25"/>
      <c r="N99" s="25"/>
      <c r="O99" s="696">
        <v>0</v>
      </c>
      <c r="P99" s="697">
        <v>0</v>
      </c>
      <c r="Q99" s="697">
        <f t="shared" si="9"/>
        <v>0</v>
      </c>
      <c r="R99" s="29" t="s">
        <v>150</v>
      </c>
    </row>
    <row r="100" spans="1:18" ht="24.6">
      <c r="A100" s="25">
        <v>6</v>
      </c>
      <c r="B100" s="29" t="s">
        <v>151</v>
      </c>
      <c r="C100" s="29"/>
      <c r="D100" s="49"/>
      <c r="E100" s="25"/>
      <c r="F100" s="25"/>
      <c r="G100" s="696">
        <v>0</v>
      </c>
      <c r="H100" s="697"/>
      <c r="I100" s="697">
        <v>0</v>
      </c>
      <c r="J100" s="153"/>
      <c r="K100" s="700"/>
      <c r="L100" s="702"/>
      <c r="M100" s="25"/>
      <c r="N100" s="25"/>
      <c r="O100" s="696">
        <v>0</v>
      </c>
      <c r="P100" s="697"/>
      <c r="Q100" s="697">
        <f t="shared" si="9"/>
        <v>0</v>
      </c>
      <c r="R100" s="29" t="s">
        <v>152</v>
      </c>
    </row>
    <row r="101" spans="1:18" ht="24.6">
      <c r="A101" s="25">
        <v>7</v>
      </c>
      <c r="B101" s="29" t="s">
        <v>153</v>
      </c>
      <c r="C101" s="29"/>
      <c r="D101" s="49"/>
      <c r="E101" s="25"/>
      <c r="F101" s="25"/>
      <c r="G101" s="696">
        <v>0</v>
      </c>
      <c r="H101" s="697"/>
      <c r="I101" s="697">
        <v>0</v>
      </c>
      <c r="J101" s="153"/>
      <c r="K101" s="700"/>
      <c r="L101" s="702"/>
      <c r="M101" s="25"/>
      <c r="N101" s="25"/>
      <c r="O101" s="696">
        <v>0</v>
      </c>
      <c r="P101" s="697"/>
      <c r="Q101" s="697">
        <f t="shared" si="9"/>
        <v>0</v>
      </c>
      <c r="R101" s="29" t="s">
        <v>64</v>
      </c>
    </row>
    <row r="102" spans="1:18" ht="24.6">
      <c r="A102" s="25">
        <v>8</v>
      </c>
      <c r="B102" s="29" t="s">
        <v>154</v>
      </c>
      <c r="C102" s="29"/>
      <c r="D102" s="49"/>
      <c r="E102" s="25"/>
      <c r="F102" s="25"/>
      <c r="G102" s="696">
        <v>0</v>
      </c>
      <c r="H102" s="697"/>
      <c r="I102" s="697">
        <v>0</v>
      </c>
      <c r="J102" s="153"/>
      <c r="K102" s="700"/>
      <c r="L102" s="702"/>
      <c r="M102" s="25"/>
      <c r="N102" s="25"/>
      <c r="O102" s="696">
        <v>0</v>
      </c>
      <c r="P102" s="697"/>
      <c r="Q102" s="697">
        <f t="shared" si="9"/>
        <v>0</v>
      </c>
      <c r="R102" s="29" t="s">
        <v>155</v>
      </c>
    </row>
    <row r="103" spans="1:18" ht="24.6">
      <c r="A103" s="25">
        <v>9</v>
      </c>
      <c r="B103" s="29" t="s">
        <v>156</v>
      </c>
      <c r="C103" s="29"/>
      <c r="D103" s="49"/>
      <c r="E103" s="25"/>
      <c r="F103" s="25"/>
      <c r="G103" s="696">
        <v>0</v>
      </c>
      <c r="H103" s="697"/>
      <c r="I103" s="697">
        <v>0</v>
      </c>
      <c r="J103" s="153"/>
      <c r="K103" s="700"/>
      <c r="L103" s="702"/>
      <c r="M103" s="25"/>
      <c r="N103" s="25"/>
      <c r="O103" s="696">
        <v>0</v>
      </c>
      <c r="P103" s="697"/>
      <c r="Q103" s="697">
        <f t="shared" si="9"/>
        <v>0</v>
      </c>
      <c r="R103" s="29" t="s">
        <v>64</v>
      </c>
    </row>
    <row r="104" spans="1:18" ht="24.6">
      <c r="A104" s="25">
        <v>10</v>
      </c>
      <c r="B104" s="29" t="s">
        <v>157</v>
      </c>
      <c r="C104" s="29"/>
      <c r="D104" s="49"/>
      <c r="E104" s="25"/>
      <c r="F104" s="25"/>
      <c r="G104" s="696">
        <v>0</v>
      </c>
      <c r="H104" s="697"/>
      <c r="I104" s="697">
        <v>0</v>
      </c>
      <c r="J104" s="153"/>
      <c r="K104" s="700"/>
      <c r="L104" s="702"/>
      <c r="M104" s="25"/>
      <c r="N104" s="25"/>
      <c r="O104" s="696">
        <v>0</v>
      </c>
      <c r="P104" s="697"/>
      <c r="Q104" s="697">
        <f t="shared" si="9"/>
        <v>0</v>
      </c>
      <c r="R104" s="29" t="s">
        <v>158</v>
      </c>
    </row>
    <row r="105" spans="1:18" ht="24.6">
      <c r="A105" s="25">
        <v>11</v>
      </c>
      <c r="B105" s="148" t="s">
        <v>159</v>
      </c>
      <c r="C105" s="29"/>
      <c r="D105" s="49">
        <v>0</v>
      </c>
      <c r="E105" s="25"/>
      <c r="F105" s="25"/>
      <c r="G105" s="696">
        <v>0</v>
      </c>
      <c r="H105" s="697">
        <v>0</v>
      </c>
      <c r="I105" s="697">
        <v>0</v>
      </c>
      <c r="J105" s="153"/>
      <c r="K105" s="702"/>
      <c r="L105" s="702"/>
      <c r="M105" s="25"/>
      <c r="N105" s="25"/>
      <c r="O105" s="696">
        <v>0</v>
      </c>
      <c r="P105" s="697">
        <v>0</v>
      </c>
      <c r="Q105" s="697">
        <f t="shared" si="9"/>
        <v>0</v>
      </c>
      <c r="R105" s="29"/>
    </row>
    <row r="106" spans="1:18" ht="24.6">
      <c r="A106" s="25">
        <v>12</v>
      </c>
      <c r="B106" s="29" t="s">
        <v>160</v>
      </c>
      <c r="C106" s="29"/>
      <c r="D106" s="49">
        <v>0</v>
      </c>
      <c r="E106" s="25"/>
      <c r="F106" s="25"/>
      <c r="G106" s="696">
        <v>0</v>
      </c>
      <c r="H106" s="697">
        <v>0</v>
      </c>
      <c r="I106" s="697">
        <v>0</v>
      </c>
      <c r="J106" s="153"/>
      <c r="K106" s="700"/>
      <c r="L106" s="702"/>
      <c r="M106" s="25"/>
      <c r="N106" s="25"/>
      <c r="O106" s="696">
        <v>0</v>
      </c>
      <c r="P106" s="697">
        <v>0</v>
      </c>
      <c r="Q106" s="697">
        <f t="shared" si="9"/>
        <v>0</v>
      </c>
      <c r="R106" s="29" t="s">
        <v>161</v>
      </c>
    </row>
    <row r="107" spans="1:18" ht="24.6">
      <c r="A107" s="25">
        <v>13</v>
      </c>
      <c r="B107" s="148" t="s">
        <v>162</v>
      </c>
      <c r="C107" s="29"/>
      <c r="D107" s="49">
        <v>0</v>
      </c>
      <c r="E107" s="25"/>
      <c r="F107" s="25"/>
      <c r="G107" s="696">
        <v>0</v>
      </c>
      <c r="H107" s="697">
        <v>0</v>
      </c>
      <c r="I107" s="697">
        <v>0</v>
      </c>
      <c r="J107" s="153"/>
      <c r="K107" s="700"/>
      <c r="L107" s="711"/>
      <c r="M107" s="25"/>
      <c r="N107" s="25"/>
      <c r="O107" s="696">
        <v>0</v>
      </c>
      <c r="P107" s="697">
        <v>0</v>
      </c>
      <c r="Q107" s="697">
        <f t="shared" si="9"/>
        <v>0</v>
      </c>
      <c r="R107" s="29" t="s">
        <v>163</v>
      </c>
    </row>
    <row r="108" spans="1:18" ht="24.6">
      <c r="A108" s="25">
        <v>14</v>
      </c>
      <c r="B108" s="148" t="s">
        <v>164</v>
      </c>
      <c r="C108" s="29"/>
      <c r="D108" s="49">
        <v>0</v>
      </c>
      <c r="E108" s="25"/>
      <c r="F108" s="25"/>
      <c r="G108" s="696">
        <v>0</v>
      </c>
      <c r="H108" s="697">
        <v>0</v>
      </c>
      <c r="I108" s="697">
        <v>0</v>
      </c>
      <c r="J108" s="153"/>
      <c r="K108" s="700"/>
      <c r="L108" s="711"/>
      <c r="M108" s="25"/>
      <c r="N108" s="25"/>
      <c r="O108" s="696">
        <v>0</v>
      </c>
      <c r="P108" s="697">
        <v>0</v>
      </c>
      <c r="Q108" s="697">
        <f t="shared" si="9"/>
        <v>0</v>
      </c>
      <c r="R108" s="29" t="s">
        <v>165</v>
      </c>
    </row>
    <row r="109" spans="1:18" ht="24.6">
      <c r="A109" s="25">
        <v>15</v>
      </c>
      <c r="B109" s="148" t="s">
        <v>166</v>
      </c>
      <c r="C109" s="29"/>
      <c r="D109" s="49">
        <v>0</v>
      </c>
      <c r="E109" s="25"/>
      <c r="F109" s="25"/>
      <c r="G109" s="696">
        <v>0</v>
      </c>
      <c r="H109" s="697">
        <v>0</v>
      </c>
      <c r="I109" s="697">
        <v>0</v>
      </c>
      <c r="J109" s="153"/>
      <c r="K109" s="700"/>
      <c r="L109" s="711"/>
      <c r="M109" s="25"/>
      <c r="N109" s="25"/>
      <c r="O109" s="696">
        <v>0</v>
      </c>
      <c r="P109" s="697">
        <v>0</v>
      </c>
      <c r="Q109" s="697">
        <f t="shared" si="9"/>
        <v>0</v>
      </c>
      <c r="R109" s="29" t="s">
        <v>64</v>
      </c>
    </row>
    <row r="110" spans="1:18" ht="18.75" customHeight="1">
      <c r="A110" s="3">
        <v>16</v>
      </c>
      <c r="B110" s="151" t="s">
        <v>167</v>
      </c>
      <c r="C110" s="29"/>
      <c r="D110" s="49">
        <v>0</v>
      </c>
      <c r="E110" s="25"/>
      <c r="F110" s="25"/>
      <c r="G110" s="696">
        <v>0</v>
      </c>
      <c r="H110" s="697">
        <v>0</v>
      </c>
      <c r="I110" s="697">
        <v>0</v>
      </c>
      <c r="J110" s="153"/>
      <c r="K110" s="700"/>
      <c r="L110" s="711"/>
      <c r="M110" s="25"/>
      <c r="N110" s="25"/>
      <c r="O110" s="696">
        <v>0</v>
      </c>
      <c r="P110" s="697">
        <v>0</v>
      </c>
      <c r="Q110" s="697">
        <f t="shared" si="9"/>
        <v>0</v>
      </c>
      <c r="R110" s="29" t="s">
        <v>145</v>
      </c>
    </row>
    <row r="111" spans="1:18" ht="25.2" thickBot="1">
      <c r="A111" s="29"/>
      <c r="B111" s="25" t="s">
        <v>26</v>
      </c>
      <c r="C111" s="64"/>
      <c r="D111" s="63">
        <f>SUM(D78:D110)</f>
        <v>14900</v>
      </c>
      <c r="E111" s="63"/>
      <c r="F111" s="63"/>
      <c r="G111" s="63">
        <f>SUM(G78:G110)</f>
        <v>0</v>
      </c>
      <c r="H111" s="63">
        <f>SUM(H78:H110)</f>
        <v>0</v>
      </c>
      <c r="I111" s="63">
        <f>SUM(I78:I110)</f>
        <v>0</v>
      </c>
      <c r="J111" s="67"/>
      <c r="K111" s="67"/>
      <c r="L111" s="67">
        <f>SUM(L78:L110)</f>
        <v>14900</v>
      </c>
      <c r="M111" s="63"/>
      <c r="N111" s="105"/>
      <c r="O111" s="698">
        <f>SUM(O78:O110)</f>
        <v>0</v>
      </c>
      <c r="P111" s="698">
        <f>SUM(P78:P110)</f>
        <v>0</v>
      </c>
      <c r="Q111" s="698">
        <f>SUM(Q78:Q110)</f>
        <v>0</v>
      </c>
      <c r="R111" s="29"/>
    </row>
    <row r="112" spans="1:18" ht="25.2" thickTop="1">
      <c r="A112" s="29"/>
      <c r="B112" s="25"/>
      <c r="C112" s="46"/>
      <c r="D112" s="57"/>
      <c r="E112" s="46"/>
      <c r="F112" s="46"/>
      <c r="G112" s="57"/>
      <c r="H112" s="57"/>
      <c r="I112" s="57"/>
      <c r="J112" s="137"/>
      <c r="K112" s="48"/>
      <c r="L112" s="58"/>
      <c r="M112" s="46"/>
      <c r="N112" s="28"/>
      <c r="O112" s="57"/>
      <c r="P112" s="57"/>
      <c r="Q112" s="57"/>
      <c r="R112" s="46"/>
    </row>
    <row r="113" spans="1:20" ht="24.6">
      <c r="A113" s="29"/>
      <c r="B113" s="45" t="s">
        <v>168</v>
      </c>
      <c r="C113" s="29"/>
      <c r="D113" s="59"/>
      <c r="E113" s="29"/>
      <c r="F113" s="29"/>
      <c r="G113" s="59"/>
      <c r="H113" s="59"/>
      <c r="I113" s="59"/>
      <c r="J113" s="26"/>
      <c r="K113" s="61"/>
      <c r="L113" s="62"/>
      <c r="M113" s="29"/>
      <c r="N113" s="25"/>
      <c r="O113" s="59"/>
      <c r="P113" s="59"/>
      <c r="Q113" s="59"/>
      <c r="R113" s="46"/>
    </row>
    <row r="114" spans="1:20" ht="25.2" thickBot="1">
      <c r="A114" s="25">
        <v>1</v>
      </c>
      <c r="B114" s="25"/>
      <c r="C114" s="74"/>
      <c r="D114" s="78"/>
      <c r="E114" s="74"/>
      <c r="F114" s="74"/>
      <c r="G114" s="78"/>
      <c r="H114" s="78"/>
      <c r="I114" s="78"/>
      <c r="J114" s="35"/>
      <c r="K114" s="76"/>
      <c r="L114" s="77"/>
      <c r="M114" s="74"/>
      <c r="N114" s="34"/>
      <c r="O114" s="78"/>
      <c r="P114" s="78"/>
      <c r="Q114" s="78"/>
      <c r="R114" s="46"/>
    </row>
    <row r="115" spans="1:20" ht="25.8" thickTop="1" thickBot="1">
      <c r="A115" s="29"/>
      <c r="B115" s="25" t="s">
        <v>26</v>
      </c>
      <c r="C115" s="64"/>
      <c r="D115" s="63"/>
      <c r="E115" s="64"/>
      <c r="F115" s="64"/>
      <c r="G115" s="63"/>
      <c r="H115" s="63"/>
      <c r="I115" s="63"/>
      <c r="J115" s="42"/>
      <c r="K115" s="66"/>
      <c r="L115" s="67"/>
      <c r="M115" s="64"/>
      <c r="N115" s="41"/>
      <c r="O115" s="63"/>
      <c r="P115" s="63"/>
      <c r="Q115" s="63"/>
      <c r="R115" s="46"/>
    </row>
    <row r="116" spans="1:20" ht="25.2" thickTop="1">
      <c r="A116" s="29"/>
      <c r="B116" s="45" t="s">
        <v>169</v>
      </c>
      <c r="C116" s="46"/>
      <c r="D116" s="57"/>
      <c r="E116" s="46"/>
      <c r="F116" s="46"/>
      <c r="G116" s="57"/>
      <c r="H116" s="57"/>
      <c r="I116" s="57"/>
      <c r="J116" s="137"/>
      <c r="K116" s="48"/>
      <c r="L116" s="58"/>
      <c r="M116" s="46"/>
      <c r="N116" s="28"/>
      <c r="O116" s="57"/>
      <c r="P116" s="57"/>
      <c r="Q116" s="57"/>
      <c r="R116" s="46"/>
    </row>
    <row r="117" spans="1:20" ht="25.2" thickBot="1">
      <c r="A117" s="25">
        <v>1</v>
      </c>
      <c r="B117" s="25"/>
      <c r="C117" s="74"/>
      <c r="D117" s="78"/>
      <c r="E117" s="74"/>
      <c r="F117" s="74"/>
      <c r="G117" s="78"/>
      <c r="H117" s="78"/>
      <c r="I117" s="78"/>
      <c r="J117" s="35"/>
      <c r="K117" s="76"/>
      <c r="L117" s="77"/>
      <c r="M117" s="74"/>
      <c r="N117" s="34"/>
      <c r="O117" s="78"/>
      <c r="P117" s="78"/>
      <c r="Q117" s="78"/>
      <c r="R117" s="46"/>
    </row>
    <row r="118" spans="1:20" ht="25.8" thickTop="1" thickBot="1">
      <c r="A118" s="29"/>
      <c r="B118" s="25" t="s">
        <v>26</v>
      </c>
      <c r="C118" s="79"/>
      <c r="D118" s="54"/>
      <c r="E118" s="79"/>
      <c r="F118" s="79"/>
      <c r="G118" s="54"/>
      <c r="H118" s="54"/>
      <c r="I118" s="54"/>
      <c r="J118" s="152"/>
      <c r="K118" s="81"/>
      <c r="L118" s="55"/>
      <c r="M118" s="79"/>
      <c r="N118" s="82"/>
      <c r="O118" s="54"/>
      <c r="P118" s="54"/>
      <c r="Q118" s="54"/>
      <c r="R118" s="46"/>
    </row>
    <row r="119" spans="1:20" ht="25.2" thickTop="1">
      <c r="A119" s="29"/>
      <c r="B119" s="45" t="s">
        <v>170</v>
      </c>
      <c r="C119" s="46"/>
      <c r="D119" s="57"/>
      <c r="E119" s="46"/>
      <c r="F119" s="46"/>
      <c r="G119" s="57"/>
      <c r="H119" s="57"/>
      <c r="I119" s="57"/>
      <c r="J119" s="137"/>
      <c r="K119" s="48"/>
      <c r="L119" s="58"/>
      <c r="M119" s="46"/>
      <c r="N119" s="28"/>
      <c r="O119" s="57"/>
      <c r="P119" s="57"/>
      <c r="Q119" s="57"/>
      <c r="R119" s="46"/>
    </row>
    <row r="120" spans="1:20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20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20" ht="25.2" thickTop="1">
      <c r="A122" s="29"/>
      <c r="B122" s="116" t="s">
        <v>171</v>
      </c>
      <c r="C122" s="46"/>
      <c r="D122" s="46"/>
      <c r="E122" s="46"/>
      <c r="F122" s="46"/>
      <c r="G122" s="46"/>
      <c r="H122" s="46"/>
      <c r="I122" s="46"/>
      <c r="J122" s="137"/>
      <c r="K122" s="48"/>
      <c r="L122" s="48"/>
      <c r="M122" s="46"/>
      <c r="N122" s="28"/>
      <c r="O122" s="46"/>
      <c r="P122" s="46"/>
      <c r="Q122" s="46"/>
      <c r="R122" s="46"/>
    </row>
    <row r="123" spans="1:20" ht="24.6">
      <c r="A123" s="29"/>
      <c r="B123" s="116" t="s">
        <v>53</v>
      </c>
      <c r="C123" s="46"/>
      <c r="D123" s="46"/>
      <c r="E123" s="46"/>
      <c r="F123" s="46"/>
      <c r="G123" s="46"/>
      <c r="H123" s="46"/>
      <c r="I123" s="46"/>
      <c r="J123" s="137"/>
      <c r="K123" s="48"/>
      <c r="L123" s="48"/>
      <c r="M123" s="46"/>
      <c r="N123" s="28"/>
      <c r="O123" s="46"/>
      <c r="P123" s="46"/>
      <c r="Q123" s="46"/>
      <c r="R123" s="46"/>
    </row>
    <row r="124" spans="1:20" s="96" customFormat="1" ht="24.6">
      <c r="A124" s="86">
        <v>1</v>
      </c>
      <c r="B124" s="87" t="s">
        <v>54</v>
      </c>
      <c r="C124" s="87"/>
      <c r="D124" s="89">
        <v>0</v>
      </c>
      <c r="E124" s="87"/>
      <c r="F124" s="87" t="s">
        <v>172</v>
      </c>
      <c r="G124" s="89">
        <v>0</v>
      </c>
      <c r="H124" s="89">
        <v>0</v>
      </c>
      <c r="I124" s="89">
        <v>0</v>
      </c>
      <c r="J124" s="153"/>
      <c r="K124" s="154"/>
      <c r="L124" s="155"/>
      <c r="M124" s="87"/>
      <c r="N124" s="86" t="s">
        <v>172</v>
      </c>
      <c r="O124" s="696">
        <v>0</v>
      </c>
      <c r="P124" s="697">
        <v>0</v>
      </c>
      <c r="Q124" s="697">
        <v>0</v>
      </c>
      <c r="R124" s="87" t="s">
        <v>173</v>
      </c>
      <c r="T124" s="97"/>
    </row>
    <row r="125" spans="1:20" ht="24.6">
      <c r="A125" s="25">
        <v>2</v>
      </c>
      <c r="B125" s="29" t="s">
        <v>174</v>
      </c>
      <c r="C125" s="29"/>
      <c r="D125" s="49">
        <v>0</v>
      </c>
      <c r="E125" s="29"/>
      <c r="F125" s="156"/>
      <c r="G125" s="157">
        <v>0</v>
      </c>
      <c r="H125" s="157">
        <v>0</v>
      </c>
      <c r="I125" s="157">
        <v>0</v>
      </c>
      <c r="J125" s="26"/>
      <c r="K125" s="16"/>
      <c r="L125" s="51"/>
      <c r="M125" s="29"/>
      <c r="N125" s="25"/>
      <c r="O125" s="696">
        <v>0</v>
      </c>
      <c r="P125" s="697">
        <v>0</v>
      </c>
      <c r="Q125" s="697">
        <v>0</v>
      </c>
      <c r="R125" s="29" t="s">
        <v>173</v>
      </c>
    </row>
    <row r="126" spans="1:20" ht="24.6">
      <c r="A126" s="25">
        <v>3</v>
      </c>
      <c r="B126" s="29" t="s">
        <v>175</v>
      </c>
      <c r="C126" s="29"/>
      <c r="D126" s="49">
        <v>0</v>
      </c>
      <c r="E126" s="29"/>
      <c r="F126" s="29"/>
      <c r="G126" s="49">
        <v>0</v>
      </c>
      <c r="H126" s="49">
        <v>0</v>
      </c>
      <c r="I126" s="49">
        <v>0</v>
      </c>
      <c r="J126" s="26"/>
      <c r="K126" s="61"/>
      <c r="L126" s="51"/>
      <c r="M126" s="29"/>
      <c r="N126" s="25"/>
      <c r="O126" s="696">
        <v>0</v>
      </c>
      <c r="P126" s="697">
        <v>0</v>
      </c>
      <c r="Q126" s="697">
        <v>0</v>
      </c>
      <c r="R126" s="29" t="s">
        <v>176</v>
      </c>
    </row>
    <row r="127" spans="1:20" ht="24.6">
      <c r="A127" s="25"/>
      <c r="B127" s="29" t="s">
        <v>177</v>
      </c>
      <c r="C127" s="29"/>
      <c r="D127" s="49"/>
      <c r="E127" s="29"/>
      <c r="F127" s="29"/>
      <c r="G127" s="49">
        <v>0</v>
      </c>
      <c r="H127" s="49">
        <v>0</v>
      </c>
      <c r="I127" s="49">
        <v>0</v>
      </c>
      <c r="J127" s="26"/>
      <c r="K127" s="61"/>
      <c r="L127" s="51"/>
      <c r="M127" s="29"/>
      <c r="N127" s="25"/>
      <c r="O127" s="696">
        <v>0</v>
      </c>
      <c r="P127" s="697">
        <v>0</v>
      </c>
      <c r="Q127" s="697">
        <v>0</v>
      </c>
      <c r="R127" s="29" t="s">
        <v>178</v>
      </c>
    </row>
    <row r="128" spans="1:20" ht="24.6">
      <c r="A128" s="25"/>
      <c r="B128" s="29"/>
      <c r="C128" s="29"/>
      <c r="D128" s="49"/>
      <c r="E128" s="29"/>
      <c r="F128" s="29"/>
      <c r="G128" s="49"/>
      <c r="H128" s="49"/>
      <c r="I128" s="49"/>
      <c r="J128" s="26"/>
      <c r="K128" s="61"/>
      <c r="L128" s="51"/>
      <c r="M128" s="29"/>
      <c r="N128" s="25"/>
      <c r="O128" s="696"/>
      <c r="P128" s="697"/>
      <c r="Q128" s="697"/>
      <c r="R128" s="29" t="s">
        <v>179</v>
      </c>
    </row>
    <row r="129" spans="1:20" ht="24.6">
      <c r="A129" s="25">
        <v>4</v>
      </c>
      <c r="B129" s="29" t="s">
        <v>62</v>
      </c>
      <c r="C129" s="29"/>
      <c r="D129" s="49">
        <v>0</v>
      </c>
      <c r="E129" s="29"/>
      <c r="F129" s="29"/>
      <c r="G129" s="49">
        <v>0</v>
      </c>
      <c r="H129" s="49">
        <v>0</v>
      </c>
      <c r="I129" s="49">
        <v>0</v>
      </c>
      <c r="J129" s="26"/>
      <c r="K129" s="16"/>
      <c r="L129" s="51"/>
      <c r="M129" s="29"/>
      <c r="N129" s="25"/>
      <c r="O129" s="696">
        <v>0</v>
      </c>
      <c r="P129" s="697">
        <v>0</v>
      </c>
      <c r="Q129" s="697">
        <v>0</v>
      </c>
      <c r="R129" s="29"/>
    </row>
    <row r="130" spans="1:20" ht="24.6">
      <c r="A130" s="25">
        <v>5</v>
      </c>
      <c r="B130" s="29" t="s">
        <v>180</v>
      </c>
      <c r="C130" s="29"/>
      <c r="D130" s="49">
        <v>0</v>
      </c>
      <c r="E130" s="29"/>
      <c r="F130" s="29" t="s">
        <v>172</v>
      </c>
      <c r="G130" s="49">
        <v>0</v>
      </c>
      <c r="H130" s="49">
        <v>0</v>
      </c>
      <c r="I130" s="49">
        <v>0</v>
      </c>
      <c r="J130" s="26"/>
      <c r="K130" s="61"/>
      <c r="L130" s="51"/>
      <c r="M130" s="29"/>
      <c r="N130" s="25" t="s">
        <v>172</v>
      </c>
      <c r="O130" s="696">
        <v>0</v>
      </c>
      <c r="P130" s="697">
        <v>0</v>
      </c>
      <c r="Q130" s="697">
        <v>0</v>
      </c>
      <c r="R130" s="29" t="s">
        <v>176</v>
      </c>
    </row>
    <row r="131" spans="1:20" ht="24.6">
      <c r="A131" s="25"/>
      <c r="B131" s="29" t="s">
        <v>181</v>
      </c>
      <c r="C131" s="29"/>
      <c r="D131" s="49"/>
      <c r="E131" s="29"/>
      <c r="F131" s="29"/>
      <c r="G131" s="49"/>
      <c r="H131" s="49"/>
      <c r="I131" s="49"/>
      <c r="J131" s="26"/>
      <c r="K131" s="61"/>
      <c r="L131" s="51"/>
      <c r="M131" s="29"/>
      <c r="N131" s="25"/>
      <c r="O131" s="59"/>
      <c r="P131" s="49"/>
      <c r="Q131" s="59"/>
      <c r="R131" s="29" t="s">
        <v>178</v>
      </c>
    </row>
    <row r="132" spans="1:20" ht="24.6">
      <c r="A132" s="25"/>
      <c r="B132" s="29"/>
      <c r="C132" s="29"/>
      <c r="D132" s="49"/>
      <c r="E132" s="29"/>
      <c r="F132" s="29"/>
      <c r="G132" s="49"/>
      <c r="H132" s="49"/>
      <c r="I132" s="49"/>
      <c r="J132" s="26"/>
      <c r="K132" s="61"/>
      <c r="L132" s="51"/>
      <c r="M132" s="29"/>
      <c r="N132" s="25"/>
      <c r="O132" s="59"/>
      <c r="P132" s="49"/>
      <c r="Q132" s="59"/>
      <c r="R132" s="29" t="s">
        <v>179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59"/>
      <c r="P133" s="49"/>
      <c r="Q133" s="59"/>
      <c r="R133" s="29" t="s">
        <v>182</v>
      </c>
    </row>
    <row r="134" spans="1:20" ht="24.6">
      <c r="A134" s="25">
        <v>6</v>
      </c>
      <c r="B134" s="29" t="s">
        <v>183</v>
      </c>
      <c r="C134" s="29"/>
      <c r="D134" s="158" t="s">
        <v>172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61"/>
      <c r="L134" s="51"/>
      <c r="M134" s="29"/>
      <c r="N134" s="25"/>
      <c r="O134" s="712">
        <v>0</v>
      </c>
      <c r="P134" s="697">
        <v>0</v>
      </c>
      <c r="Q134" s="697">
        <v>0</v>
      </c>
      <c r="R134" s="29" t="s">
        <v>184</v>
      </c>
    </row>
    <row r="135" spans="1:20" ht="24.6">
      <c r="A135" s="25"/>
      <c r="B135" s="29"/>
      <c r="C135" s="29"/>
      <c r="D135" s="49"/>
      <c r="E135" s="29"/>
      <c r="F135" s="29"/>
      <c r="G135" s="49"/>
      <c r="H135" s="49"/>
      <c r="I135" s="49"/>
      <c r="J135" s="26"/>
      <c r="K135" s="61"/>
      <c r="L135" s="51"/>
      <c r="M135" s="29"/>
      <c r="N135" s="25"/>
      <c r="O135" s="59"/>
      <c r="P135" s="49"/>
      <c r="Q135" s="59"/>
      <c r="R135" s="29" t="s">
        <v>185</v>
      </c>
    </row>
    <row r="136" spans="1:20" ht="24.6">
      <c r="A136" s="25"/>
      <c r="B136" s="29"/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186</v>
      </c>
    </row>
    <row r="137" spans="1:20" ht="24.6">
      <c r="A137" s="25">
        <v>7</v>
      </c>
      <c r="B137" s="29" t="s">
        <v>70</v>
      </c>
      <c r="C137" s="29"/>
      <c r="D137" s="49">
        <v>0</v>
      </c>
      <c r="E137" s="29"/>
      <c r="F137" s="29"/>
      <c r="G137" s="49">
        <v>0</v>
      </c>
      <c r="H137" s="49">
        <v>0</v>
      </c>
      <c r="I137" s="49">
        <v>0</v>
      </c>
      <c r="J137" s="26"/>
      <c r="K137" s="16"/>
      <c r="L137" s="51"/>
      <c r="M137" s="29"/>
      <c r="N137" s="25"/>
      <c r="O137" s="696">
        <v>0</v>
      </c>
      <c r="P137" s="697">
        <v>0</v>
      </c>
      <c r="Q137" s="697">
        <v>0</v>
      </c>
      <c r="R137" s="29" t="s">
        <v>187</v>
      </c>
    </row>
    <row r="138" spans="1:20" ht="24.6">
      <c r="A138" s="25">
        <v>8</v>
      </c>
      <c r="B138" s="29" t="s">
        <v>188</v>
      </c>
      <c r="C138" s="29"/>
      <c r="D138" s="49">
        <v>0</v>
      </c>
      <c r="E138" s="29"/>
      <c r="F138" s="29"/>
      <c r="G138" s="49">
        <v>0</v>
      </c>
      <c r="H138" s="49">
        <v>0</v>
      </c>
      <c r="I138" s="49">
        <v>0</v>
      </c>
      <c r="J138" s="26"/>
      <c r="K138" s="16"/>
      <c r="L138" s="51"/>
      <c r="M138" s="29"/>
      <c r="N138" s="25"/>
      <c r="O138" s="696">
        <v>0</v>
      </c>
      <c r="P138" s="697">
        <v>0</v>
      </c>
      <c r="Q138" s="697">
        <v>0</v>
      </c>
      <c r="R138" s="29" t="s">
        <v>187</v>
      </c>
    </row>
    <row r="139" spans="1:20" ht="24.6">
      <c r="A139" s="25">
        <v>9</v>
      </c>
      <c r="B139" s="29" t="s">
        <v>189</v>
      </c>
      <c r="C139" s="29"/>
      <c r="D139" s="49">
        <v>0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696">
        <v>0</v>
      </c>
      <c r="P139" s="697">
        <v>0</v>
      </c>
      <c r="Q139" s="697">
        <v>0</v>
      </c>
      <c r="R139" s="29" t="s">
        <v>190</v>
      </c>
      <c r="T139" s="2" t="s">
        <v>191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192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187</v>
      </c>
    </row>
    <row r="142" spans="1:20" ht="24.6">
      <c r="A142" s="25">
        <v>10</v>
      </c>
      <c r="B142" s="29" t="s">
        <v>193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61"/>
      <c r="L142" s="51"/>
      <c r="M142" s="29"/>
      <c r="N142" s="25"/>
      <c r="O142" s="696">
        <v>0</v>
      </c>
      <c r="P142" s="697">
        <v>0</v>
      </c>
      <c r="Q142" s="697">
        <v>0</v>
      </c>
      <c r="R142" s="29" t="s">
        <v>194</v>
      </c>
    </row>
    <row r="143" spans="1:20" ht="24.6">
      <c r="A143" s="25">
        <v>11</v>
      </c>
      <c r="B143" s="29" t="s">
        <v>78</v>
      </c>
      <c r="C143" s="29"/>
      <c r="D143" s="49"/>
      <c r="E143" s="29"/>
      <c r="F143" s="29"/>
      <c r="G143" s="49">
        <v>0</v>
      </c>
      <c r="H143" s="49">
        <v>0</v>
      </c>
      <c r="I143" s="49">
        <v>0</v>
      </c>
      <c r="J143" s="160"/>
      <c r="K143" s="50"/>
      <c r="L143" s="51"/>
      <c r="M143" s="29"/>
      <c r="N143" s="25"/>
      <c r="O143" s="696">
        <v>0</v>
      </c>
      <c r="P143" s="697">
        <v>0</v>
      </c>
      <c r="Q143" s="697">
        <v>0</v>
      </c>
      <c r="R143" s="29" t="s">
        <v>195</v>
      </c>
    </row>
    <row r="144" spans="1:20" ht="24.6">
      <c r="A144" s="25">
        <v>12</v>
      </c>
      <c r="B144" s="29" t="s">
        <v>196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696">
        <v>0</v>
      </c>
      <c r="P144" s="697">
        <v>0</v>
      </c>
      <c r="Q144" s="697">
        <v>0</v>
      </c>
      <c r="R144" s="29"/>
    </row>
    <row r="145" spans="1:18" ht="24.6">
      <c r="A145" s="25">
        <v>13</v>
      </c>
      <c r="B145" s="29" t="s">
        <v>83</v>
      </c>
      <c r="C145" s="29"/>
      <c r="D145" s="49"/>
      <c r="E145" s="29"/>
      <c r="F145" s="29"/>
      <c r="G145" s="49">
        <v>0</v>
      </c>
      <c r="H145" s="49">
        <v>0</v>
      </c>
      <c r="I145" s="49">
        <v>0</v>
      </c>
      <c r="J145" s="26"/>
      <c r="K145" s="50"/>
      <c r="L145" s="51"/>
      <c r="M145" s="29"/>
      <c r="N145" s="25"/>
      <c r="O145" s="696">
        <v>0</v>
      </c>
      <c r="P145" s="697">
        <v>0</v>
      </c>
      <c r="Q145" s="697">
        <v>0</v>
      </c>
      <c r="R145" s="29" t="s">
        <v>195</v>
      </c>
    </row>
    <row r="146" spans="1:18" ht="24.6">
      <c r="A146" s="25">
        <v>14</v>
      </c>
      <c r="B146" s="29" t="s">
        <v>85</v>
      </c>
      <c r="C146" s="29"/>
      <c r="D146" s="49">
        <v>0</v>
      </c>
      <c r="E146" s="29"/>
      <c r="F146" s="29" t="s">
        <v>172</v>
      </c>
      <c r="G146" s="49">
        <v>0</v>
      </c>
      <c r="H146" s="49">
        <v>0</v>
      </c>
      <c r="I146" s="49">
        <v>0</v>
      </c>
      <c r="J146" s="26"/>
      <c r="K146" s="61"/>
      <c r="L146" s="51"/>
      <c r="M146" s="29"/>
      <c r="N146" s="25" t="s">
        <v>172</v>
      </c>
      <c r="O146" s="696">
        <v>0</v>
      </c>
      <c r="P146" s="697">
        <v>0</v>
      </c>
      <c r="Q146" s="697">
        <v>0</v>
      </c>
      <c r="R146" s="29"/>
    </row>
    <row r="147" spans="1:18" ht="24.6">
      <c r="A147" s="25">
        <v>15</v>
      </c>
      <c r="B147" s="29" t="s">
        <v>197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696">
        <v>0</v>
      </c>
      <c r="P147" s="697">
        <v>0</v>
      </c>
      <c r="Q147" s="697">
        <v>0</v>
      </c>
      <c r="R147" s="29" t="s">
        <v>198</v>
      </c>
    </row>
    <row r="148" spans="1:18" ht="24.6">
      <c r="A148" s="25">
        <v>16</v>
      </c>
      <c r="B148" s="29" t="s">
        <v>199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696">
        <v>0</v>
      </c>
      <c r="P148" s="697">
        <v>0</v>
      </c>
      <c r="Q148" s="697">
        <v>0</v>
      </c>
      <c r="R148" s="29" t="s">
        <v>200</v>
      </c>
    </row>
    <row r="149" spans="1:18" ht="24.6">
      <c r="A149" s="25"/>
      <c r="B149" s="116" t="s">
        <v>89</v>
      </c>
      <c r="C149" s="29"/>
      <c r="D149" s="49"/>
      <c r="E149" s="29"/>
      <c r="F149" s="29"/>
      <c r="G149" s="49"/>
      <c r="H149" s="49"/>
      <c r="I149" s="49"/>
      <c r="J149" s="26"/>
      <c r="K149" s="61"/>
      <c r="L149" s="51"/>
      <c r="M149" s="29"/>
      <c r="N149" s="25"/>
      <c r="O149" s="59"/>
      <c r="P149" s="49"/>
      <c r="Q149" s="59"/>
      <c r="R149" s="29"/>
    </row>
    <row r="150" spans="1:18" ht="24" customHeight="1">
      <c r="A150" s="25">
        <v>16</v>
      </c>
      <c r="B150" s="29" t="s">
        <v>62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696">
        <v>0</v>
      </c>
      <c r="P150" s="697">
        <v>0</v>
      </c>
      <c r="Q150" s="697">
        <v>0</v>
      </c>
      <c r="R150" s="29"/>
    </row>
    <row r="151" spans="1:18" ht="22.5" customHeight="1">
      <c r="A151" s="25">
        <v>17</v>
      </c>
      <c r="B151" s="25" t="s">
        <v>57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16"/>
      <c r="L151" s="51"/>
      <c r="M151" s="29"/>
      <c r="N151" s="25"/>
      <c r="O151" s="696">
        <v>0</v>
      </c>
      <c r="P151" s="697">
        <v>0</v>
      </c>
      <c r="Q151" s="697">
        <v>0</v>
      </c>
      <c r="R151" s="29"/>
    </row>
    <row r="152" spans="1:18" ht="22.5" customHeight="1">
      <c r="A152" s="25">
        <v>18</v>
      </c>
      <c r="B152" s="29" t="s">
        <v>93</v>
      </c>
      <c r="C152" s="29"/>
      <c r="D152" s="49"/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59">
        <v>0</v>
      </c>
      <c r="P152" s="49">
        <v>0</v>
      </c>
      <c r="Q152" s="59">
        <v>0</v>
      </c>
      <c r="R152" s="29" t="s">
        <v>201</v>
      </c>
    </row>
    <row r="153" spans="1:18" ht="24.6">
      <c r="A153" s="25">
        <v>19</v>
      </c>
      <c r="B153" s="25" t="s">
        <v>57</v>
      </c>
      <c r="C153" s="29"/>
      <c r="D153" s="49"/>
      <c r="E153" s="29"/>
      <c r="F153" s="29"/>
      <c r="G153" s="49"/>
      <c r="H153" s="49"/>
      <c r="I153" s="49"/>
      <c r="J153" s="26"/>
      <c r="K153" s="61"/>
      <c r="L153" s="51"/>
      <c r="M153" s="29"/>
      <c r="N153" s="25"/>
      <c r="O153" s="59"/>
      <c r="P153" s="49"/>
      <c r="Q153" s="59"/>
      <c r="R153" s="29"/>
    </row>
    <row r="154" spans="1:18" ht="24.6">
      <c r="A154" s="25">
        <v>20</v>
      </c>
      <c r="B154" s="29" t="s">
        <v>40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696">
        <v>0</v>
      </c>
      <c r="P154" s="697">
        <v>0</v>
      </c>
      <c r="Q154" s="697">
        <v>0</v>
      </c>
      <c r="R154" s="29" t="s">
        <v>203</v>
      </c>
    </row>
    <row r="155" spans="1:18" ht="24.6">
      <c r="A155" s="28"/>
      <c r="B155" s="124" t="s">
        <v>97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18" ht="24.6">
      <c r="A156" s="28">
        <v>21</v>
      </c>
      <c r="B156" s="119" t="s">
        <v>98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696">
        <v>0</v>
      </c>
      <c r="P156" s="697">
        <v>0</v>
      </c>
      <c r="Q156" s="697">
        <v>0</v>
      </c>
      <c r="R156" s="29"/>
    </row>
    <row r="157" spans="1:18" ht="24.6">
      <c r="A157" s="28"/>
      <c r="B157" s="161" t="s">
        <v>204</v>
      </c>
      <c r="C157" s="29"/>
      <c r="D157" s="49"/>
      <c r="E157" s="29"/>
      <c r="F157" s="29"/>
      <c r="G157" s="49"/>
      <c r="H157" s="49"/>
      <c r="I157" s="49"/>
      <c r="J157" s="26"/>
      <c r="K157" s="61"/>
      <c r="L157" s="51"/>
      <c r="M157" s="29"/>
      <c r="N157" s="25"/>
      <c r="O157" s="59"/>
      <c r="P157" s="49"/>
      <c r="Q157" s="59"/>
      <c r="R157" s="29"/>
    </row>
    <row r="158" spans="1:18" ht="24.6">
      <c r="A158" s="28">
        <v>1</v>
      </c>
      <c r="B158" s="46" t="s">
        <v>166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696">
        <v>0</v>
      </c>
      <c r="P158" s="697">
        <v>0</v>
      </c>
      <c r="Q158" s="697">
        <v>0</v>
      </c>
      <c r="R158" s="29"/>
    </row>
    <row r="159" spans="1:18" ht="24.6">
      <c r="A159" s="28">
        <v>2</v>
      </c>
      <c r="B159" s="46" t="s">
        <v>167</v>
      </c>
      <c r="C159" s="29"/>
      <c r="D159" s="49"/>
      <c r="E159" s="29"/>
      <c r="F159" s="29"/>
      <c r="G159" s="49">
        <v>0</v>
      </c>
      <c r="H159" s="49">
        <v>0</v>
      </c>
      <c r="I159" s="49">
        <v>0</v>
      </c>
      <c r="J159" s="26"/>
      <c r="K159" s="61"/>
      <c r="L159" s="51"/>
      <c r="M159" s="29"/>
      <c r="N159" s="25"/>
      <c r="O159" s="696">
        <v>0</v>
      </c>
      <c r="P159" s="697">
        <v>0</v>
      </c>
      <c r="Q159" s="697">
        <v>0</v>
      </c>
      <c r="R159" s="29"/>
    </row>
    <row r="160" spans="1:18" ht="24.6">
      <c r="A160" s="28"/>
      <c r="B160" s="161" t="s">
        <v>205</v>
      </c>
      <c r="C160" s="109"/>
      <c r="D160" s="162"/>
      <c r="E160" s="109"/>
      <c r="F160" s="109"/>
      <c r="G160" s="162"/>
      <c r="H160" s="162"/>
      <c r="I160" s="162"/>
      <c r="J160" s="163"/>
      <c r="K160" s="113"/>
      <c r="L160" s="164"/>
      <c r="M160" s="109"/>
      <c r="N160" s="115"/>
      <c r="O160" s="59"/>
      <c r="P160" s="162"/>
      <c r="Q160" s="111"/>
      <c r="R160" s="29"/>
    </row>
    <row r="161" spans="1:18" ht="24.6">
      <c r="A161" s="28">
        <v>1</v>
      </c>
      <c r="B161" s="46" t="s">
        <v>32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696">
        <v>0</v>
      </c>
      <c r="P161" s="697">
        <v>0</v>
      </c>
      <c r="Q161" s="697">
        <v>0</v>
      </c>
      <c r="R161" s="29" t="s">
        <v>206</v>
      </c>
    </row>
    <row r="162" spans="1:18" ht="25.2" thickBot="1">
      <c r="A162" s="28">
        <v>2</v>
      </c>
      <c r="B162" s="46" t="s">
        <v>207</v>
      </c>
      <c r="C162" s="109"/>
      <c r="D162" s="162"/>
      <c r="E162" s="109"/>
      <c r="F162" s="109"/>
      <c r="G162" s="49">
        <v>0</v>
      </c>
      <c r="H162" s="49">
        <v>0</v>
      </c>
      <c r="I162" s="49">
        <v>0</v>
      </c>
      <c r="J162" s="163"/>
      <c r="K162" s="113"/>
      <c r="L162" s="164"/>
      <c r="M162" s="109"/>
      <c r="N162" s="115"/>
      <c r="O162" s="696">
        <v>0</v>
      </c>
      <c r="P162" s="697">
        <v>0</v>
      </c>
      <c r="Q162" s="697">
        <v>0</v>
      </c>
      <c r="R162" s="29"/>
    </row>
    <row r="163" spans="1:18" ht="25.8" thickTop="1" thickBot="1">
      <c r="A163" s="46"/>
      <c r="B163" s="28" t="s">
        <v>26</v>
      </c>
      <c r="C163" s="79"/>
      <c r="D163" s="165"/>
      <c r="E163" s="165"/>
      <c r="F163" s="165"/>
      <c r="G163" s="165">
        <v>0</v>
      </c>
      <c r="H163" s="165">
        <v>0</v>
      </c>
      <c r="I163" s="165">
        <v>0</v>
      </c>
      <c r="J163" s="166"/>
      <c r="K163" s="166"/>
      <c r="L163" s="166"/>
      <c r="M163" s="165"/>
      <c r="N163" s="167"/>
      <c r="O163" s="165">
        <v>0</v>
      </c>
      <c r="P163" s="165">
        <v>0</v>
      </c>
      <c r="Q163" s="165">
        <v>0</v>
      </c>
      <c r="R163" s="29"/>
    </row>
    <row r="164" spans="1:18" ht="25.2" thickTop="1">
      <c r="A164" s="46"/>
      <c r="B164" s="168" t="s">
        <v>208</v>
      </c>
      <c r="C164" s="46"/>
      <c r="D164" s="98"/>
      <c r="E164" s="46"/>
      <c r="F164" s="46"/>
      <c r="G164" s="57"/>
      <c r="H164" s="57"/>
      <c r="I164" s="57"/>
      <c r="J164" s="137"/>
      <c r="K164" s="48"/>
      <c r="L164" s="169"/>
      <c r="M164" s="46"/>
      <c r="N164" s="28"/>
      <c r="O164" s="57"/>
      <c r="P164" s="57"/>
      <c r="Q164" s="57"/>
      <c r="R164" s="46"/>
    </row>
    <row r="165" spans="1:18" ht="25.2" thickBot="1">
      <c r="A165" s="28">
        <v>1</v>
      </c>
      <c r="B165" s="28"/>
      <c r="C165" s="74"/>
      <c r="D165" s="110"/>
      <c r="E165" s="74"/>
      <c r="F165" s="74"/>
      <c r="G165" s="78"/>
      <c r="H165" s="78"/>
      <c r="I165" s="78"/>
      <c r="J165" s="35"/>
      <c r="K165" s="76"/>
      <c r="L165" s="170"/>
      <c r="M165" s="74"/>
      <c r="N165" s="34"/>
      <c r="O165" s="78"/>
      <c r="P165" s="78"/>
      <c r="Q165" s="78"/>
      <c r="R165" s="46"/>
    </row>
    <row r="166" spans="1:18" ht="25.2" thickTop="1">
      <c r="A166" s="46"/>
      <c r="B166" s="28" t="s">
        <v>26</v>
      </c>
      <c r="C166" s="109"/>
      <c r="D166" s="162"/>
      <c r="E166" s="109"/>
      <c r="F166" s="109"/>
      <c r="G166" s="111"/>
      <c r="H166" s="111"/>
      <c r="I166" s="111"/>
      <c r="J166" s="163"/>
      <c r="K166" s="113"/>
      <c r="L166" s="164"/>
      <c r="M166" s="109"/>
      <c r="N166" s="115"/>
      <c r="O166" s="111"/>
      <c r="P166" s="111"/>
      <c r="Q166" s="111"/>
      <c r="R166" s="46"/>
    </row>
    <row r="167" spans="1:18" ht="24.6">
      <c r="A167" s="46"/>
      <c r="B167" s="168" t="s">
        <v>209</v>
      </c>
      <c r="C167" s="29"/>
      <c r="D167" s="49"/>
      <c r="E167" s="29"/>
      <c r="F167" s="29"/>
      <c r="G167" s="59"/>
      <c r="H167" s="59"/>
      <c r="I167" s="59"/>
      <c r="J167" s="26"/>
      <c r="K167" s="61"/>
      <c r="L167" s="51"/>
      <c r="M167" s="29"/>
      <c r="N167" s="25"/>
      <c r="O167" s="59"/>
      <c r="P167" s="59"/>
      <c r="Q167" s="59"/>
      <c r="R167" s="46"/>
    </row>
    <row r="168" spans="1:18" ht="29.25" customHeight="1" thickBot="1">
      <c r="A168" s="115">
        <v>1</v>
      </c>
      <c r="B168" s="115"/>
      <c r="C168" s="74"/>
      <c r="D168" s="110"/>
      <c r="E168" s="74"/>
      <c r="F168" s="74"/>
      <c r="G168" s="78"/>
      <c r="H168" s="78"/>
      <c r="I168" s="78"/>
      <c r="J168" s="35"/>
      <c r="K168" s="76"/>
      <c r="L168" s="170"/>
      <c r="M168" s="74"/>
      <c r="N168" s="34"/>
      <c r="O168" s="78"/>
      <c r="P168" s="78"/>
      <c r="Q168" s="78"/>
      <c r="R168" s="109"/>
    </row>
    <row r="169" spans="1:18" ht="26.25" customHeight="1" thickTop="1" thickBot="1">
      <c r="A169" s="29"/>
      <c r="B169" s="25" t="s">
        <v>26</v>
      </c>
      <c r="C169" s="64"/>
      <c r="D169" s="171"/>
      <c r="E169" s="64"/>
      <c r="F169" s="64"/>
      <c r="G169" s="63"/>
      <c r="H169" s="63"/>
      <c r="I169" s="63"/>
      <c r="J169" s="42"/>
      <c r="K169" s="66"/>
      <c r="L169" s="172"/>
      <c r="M169" s="64"/>
      <c r="N169" s="41"/>
      <c r="O169" s="63"/>
      <c r="P169" s="63"/>
      <c r="Q169" s="63"/>
      <c r="R169" s="29"/>
    </row>
    <row r="170" spans="1:18" ht="24.75" customHeight="1" thickTop="1">
      <c r="A170" s="46"/>
      <c r="B170" s="168" t="s">
        <v>210</v>
      </c>
      <c r="C170" s="46"/>
      <c r="D170" s="98"/>
      <c r="E170" s="46"/>
      <c r="F170" s="46"/>
      <c r="G170" s="46"/>
      <c r="H170" s="46"/>
      <c r="I170" s="46"/>
      <c r="J170" s="137"/>
      <c r="K170" s="48"/>
      <c r="L170" s="48"/>
      <c r="M170" s="46"/>
      <c r="N170" s="28"/>
      <c r="O170" s="46"/>
      <c r="P170" s="46"/>
      <c r="Q170" s="46"/>
      <c r="R170" s="46"/>
    </row>
    <row r="171" spans="1:18" ht="24.75" customHeight="1">
      <c r="A171" s="46"/>
      <c r="B171" s="168"/>
      <c r="C171" s="46"/>
      <c r="D171" s="98"/>
      <c r="E171" s="46"/>
      <c r="F171" s="46"/>
      <c r="G171" s="46"/>
      <c r="H171" s="46"/>
      <c r="I171" s="46"/>
      <c r="J171" s="137"/>
      <c r="K171" s="48"/>
      <c r="L171" s="48"/>
      <c r="M171" s="46"/>
      <c r="N171" s="28"/>
      <c r="O171" s="46"/>
      <c r="P171" s="46"/>
      <c r="Q171" s="46"/>
      <c r="R171" s="46"/>
    </row>
    <row r="172" spans="1:18" ht="24" customHeight="1">
      <c r="A172" s="25"/>
      <c r="B172" s="29" t="s">
        <v>26</v>
      </c>
      <c r="C172" s="29"/>
      <c r="D172" s="49"/>
      <c r="E172" s="29"/>
      <c r="F172" s="29"/>
      <c r="G172" s="49">
        <v>0</v>
      </c>
      <c r="H172" s="49">
        <v>0</v>
      </c>
      <c r="I172" s="59">
        <v>0</v>
      </c>
      <c r="J172" s="26"/>
      <c r="K172" s="61"/>
      <c r="L172" s="51"/>
      <c r="M172" s="29"/>
      <c r="N172" s="25"/>
      <c r="O172" s="696">
        <v>0</v>
      </c>
      <c r="P172" s="697">
        <v>0</v>
      </c>
      <c r="Q172" s="697">
        <v>0</v>
      </c>
      <c r="R172" s="29"/>
    </row>
    <row r="173" spans="1:18" ht="24.75" customHeight="1" thickBot="1">
      <c r="A173" s="34"/>
      <c r="B173" s="34" t="s">
        <v>374</v>
      </c>
      <c r="C173" s="74"/>
      <c r="D173" s="110">
        <f>SUM(D12+D15+D18+D30+D75+D111+D115+D118+D121+D163+D166+D169+D172)</f>
        <v>51655</v>
      </c>
      <c r="E173" s="110"/>
      <c r="F173" s="110"/>
      <c r="G173" s="110">
        <f t="shared" ref="G173:Q173" si="12">SUM(G12+G15+G18+G30+G75+G111+G115+G118+G121+G163+G166+G169+G172)</f>
        <v>14510</v>
      </c>
      <c r="H173" s="110">
        <f t="shared" si="12"/>
        <v>0</v>
      </c>
      <c r="I173" s="110">
        <f t="shared" si="12"/>
        <v>14510</v>
      </c>
      <c r="J173" s="110"/>
      <c r="K173" s="110"/>
      <c r="L173" s="110">
        <f t="shared" si="12"/>
        <v>49225</v>
      </c>
      <c r="M173" s="110"/>
      <c r="N173" s="110"/>
      <c r="O173" s="110">
        <f t="shared" si="12"/>
        <v>16940</v>
      </c>
      <c r="P173" s="110">
        <f t="shared" si="12"/>
        <v>0</v>
      </c>
      <c r="Q173" s="110">
        <f t="shared" si="12"/>
        <v>16940</v>
      </c>
      <c r="R173" s="74"/>
    </row>
    <row r="174" spans="1:18" ht="24.75" customHeight="1" thickTop="1">
      <c r="A174" s="14"/>
      <c r="B174" s="173"/>
      <c r="D174" s="174"/>
      <c r="G174" s="175"/>
      <c r="H174" s="175"/>
      <c r="I174" s="175"/>
      <c r="L174" s="178"/>
      <c r="O174" s="174"/>
      <c r="P174" s="174"/>
      <c r="Q174" s="174"/>
      <c r="R174" s="179"/>
    </row>
    <row r="175" spans="1:18" ht="24.75" customHeight="1">
      <c r="A175" s="731" t="s">
        <v>211</v>
      </c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3"/>
    </row>
    <row r="176" spans="1:18" ht="24.75" customHeight="1">
      <c r="A176" s="46">
        <v>1</v>
      </c>
      <c r="B176" s="180" t="s">
        <v>32</v>
      </c>
      <c r="C176" s="46" t="s">
        <v>104</v>
      </c>
      <c r="D176" s="98">
        <v>4650</v>
      </c>
      <c r="E176" s="141" t="s">
        <v>453</v>
      </c>
      <c r="F176" s="254">
        <v>11</v>
      </c>
      <c r="G176" s="141">
        <v>51150</v>
      </c>
      <c r="H176" s="141" t="s">
        <v>172</v>
      </c>
      <c r="I176" s="141">
        <v>51150</v>
      </c>
      <c r="J176" s="137"/>
      <c r="K176" s="48"/>
      <c r="L176" s="48"/>
      <c r="M176" s="46" t="s">
        <v>453</v>
      </c>
      <c r="N176" s="28">
        <v>11</v>
      </c>
      <c r="O176" s="57">
        <f>SUM(D176+I176-L176)</f>
        <v>55800</v>
      </c>
      <c r="P176" s="28" t="s">
        <v>172</v>
      </c>
      <c r="Q176" s="57">
        <f>O176</f>
        <v>55800</v>
      </c>
      <c r="R176" s="46" t="s">
        <v>214</v>
      </c>
    </row>
    <row r="177" spans="1:20" ht="24" customHeight="1">
      <c r="A177" s="25">
        <v>2</v>
      </c>
      <c r="B177" s="29" t="s">
        <v>215</v>
      </c>
      <c r="C177" s="29" t="s">
        <v>104</v>
      </c>
      <c r="D177" s="49">
        <v>5750</v>
      </c>
      <c r="E177" s="134" t="s">
        <v>453</v>
      </c>
      <c r="F177" s="255">
        <v>11</v>
      </c>
      <c r="G177" s="134">
        <v>63250</v>
      </c>
      <c r="H177" s="134">
        <v>0</v>
      </c>
      <c r="I177" s="134">
        <v>63250</v>
      </c>
      <c r="J177" s="26"/>
      <c r="K177" s="61"/>
      <c r="L177" s="51"/>
      <c r="M177" s="46" t="s">
        <v>453</v>
      </c>
      <c r="N177" s="25">
        <v>11</v>
      </c>
      <c r="O177" s="57">
        <f>SUM(D177+I177-L177)</f>
        <v>69000</v>
      </c>
      <c r="P177" s="697">
        <v>0</v>
      </c>
      <c r="Q177" s="57">
        <f>O177</f>
        <v>69000</v>
      </c>
      <c r="R177" s="29" t="s">
        <v>214</v>
      </c>
    </row>
    <row r="178" spans="1:20" ht="24" customHeight="1">
      <c r="A178" s="4">
        <v>3</v>
      </c>
      <c r="B178" s="53" t="s">
        <v>68</v>
      </c>
      <c r="C178" s="53">
        <v>268</v>
      </c>
      <c r="D178" s="127">
        <v>1215</v>
      </c>
      <c r="E178" s="280" t="s">
        <v>454</v>
      </c>
      <c r="F178" s="281">
        <v>26</v>
      </c>
      <c r="G178" s="280">
        <v>31590</v>
      </c>
      <c r="H178" s="280"/>
      <c r="I178" s="280">
        <v>31590</v>
      </c>
      <c r="J178" s="282"/>
      <c r="K178" s="244"/>
      <c r="L178" s="283"/>
      <c r="M178" s="109" t="s">
        <v>454</v>
      </c>
      <c r="N178" s="4">
        <v>26</v>
      </c>
      <c r="O178" s="57">
        <f>SUM(D178+I178-L178)</f>
        <v>32805</v>
      </c>
      <c r="P178" s="713"/>
      <c r="Q178" s="57">
        <f>O178</f>
        <v>32805</v>
      </c>
      <c r="R178" s="29" t="s">
        <v>214</v>
      </c>
    </row>
    <row r="179" spans="1:20" ht="24.75" customHeight="1" thickBot="1">
      <c r="A179" s="34"/>
      <c r="B179" s="34" t="s">
        <v>26</v>
      </c>
      <c r="C179" s="74"/>
      <c r="D179" s="110">
        <f>SUM(D176:D178)</f>
        <v>11615</v>
      </c>
      <c r="E179" s="74"/>
      <c r="F179" s="74"/>
      <c r="G179" s="78">
        <f>SUM(G176:G178)</f>
        <v>145990</v>
      </c>
      <c r="H179" s="78">
        <f t="shared" ref="H179:I179" si="13">SUM(H176:H178)</f>
        <v>0</v>
      </c>
      <c r="I179" s="78">
        <f t="shared" si="13"/>
        <v>145990</v>
      </c>
      <c r="J179" s="75"/>
      <c r="K179" s="76"/>
      <c r="L179" s="170"/>
      <c r="M179" s="74"/>
      <c r="N179" s="34"/>
      <c r="O179" s="110">
        <f>SUM(O176:O178)</f>
        <v>157605</v>
      </c>
      <c r="P179" s="110">
        <v>0</v>
      </c>
      <c r="Q179" s="110">
        <f>SUM(Q176:Q178)</f>
        <v>157605</v>
      </c>
      <c r="R179" s="74"/>
    </row>
    <row r="180" spans="1:20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0" ht="24.6">
      <c r="A181" s="734" t="s">
        <v>216</v>
      </c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735"/>
      <c r="R181" s="736"/>
    </row>
    <row r="182" spans="1:20" ht="29.25" customHeight="1">
      <c r="A182" s="115"/>
      <c r="B182" s="115"/>
      <c r="C182" s="181"/>
      <c r="D182" s="182"/>
      <c r="E182" s="181"/>
      <c r="F182" s="181"/>
      <c r="G182" s="183"/>
      <c r="H182" s="183"/>
      <c r="I182" s="183"/>
      <c r="J182" s="184"/>
      <c r="K182" s="185"/>
      <c r="L182" s="186"/>
      <c r="M182" s="181"/>
      <c r="N182" s="187"/>
      <c r="O182" s="183"/>
      <c r="P182" s="183"/>
      <c r="Q182" s="183"/>
      <c r="R182" s="109"/>
    </row>
    <row r="183" spans="1:20" ht="29.25" customHeight="1" thickBot="1">
      <c r="A183" s="115"/>
      <c r="B183" s="115"/>
      <c r="C183" s="64"/>
      <c r="D183" s="171"/>
      <c r="E183" s="64"/>
      <c r="F183" s="64"/>
      <c r="G183" s="63"/>
      <c r="H183" s="63"/>
      <c r="I183" s="63"/>
      <c r="J183" s="42"/>
      <c r="K183" s="66"/>
      <c r="L183" s="172"/>
      <c r="M183" s="64"/>
      <c r="N183" s="41"/>
      <c r="O183" s="63"/>
      <c r="P183" s="63"/>
      <c r="Q183" s="63"/>
      <c r="R183" s="109"/>
    </row>
    <row r="184" spans="1:20" ht="26.25" customHeight="1" thickTop="1" thickBot="1">
      <c r="A184" s="29"/>
      <c r="B184" s="25" t="s">
        <v>26</v>
      </c>
      <c r="C184" s="64"/>
      <c r="D184" s="171"/>
      <c r="E184" s="64"/>
      <c r="F184" s="64"/>
      <c r="G184" s="63">
        <f>SUM(G182:G182)</f>
        <v>0</v>
      </c>
      <c r="H184" s="63">
        <f>SUM(H182:H182)</f>
        <v>0</v>
      </c>
      <c r="I184" s="63">
        <f>SUM(I182:I182)</f>
        <v>0</v>
      </c>
      <c r="J184" s="42"/>
      <c r="K184" s="66"/>
      <c r="L184" s="172"/>
      <c r="M184" s="64"/>
      <c r="N184" s="41"/>
      <c r="O184" s="63">
        <f>SUM(O182:O182)</f>
        <v>0</v>
      </c>
      <c r="P184" s="63">
        <f>SUM(P182:P182)</f>
        <v>0</v>
      </c>
      <c r="Q184" s="63">
        <f>SUM(Q182:Q182)</f>
        <v>0</v>
      </c>
      <c r="R184" s="29"/>
    </row>
    <row r="185" spans="1:20" ht="24.75" customHeight="1" thickTop="1">
      <c r="A185" s="4"/>
      <c r="B185" s="188" t="s">
        <v>217</v>
      </c>
      <c r="C185" s="53"/>
      <c r="D185" s="127"/>
      <c r="E185" s="53"/>
      <c r="F185" s="53"/>
      <c r="G185" s="183"/>
      <c r="H185" s="183"/>
      <c r="I185" s="183"/>
      <c r="J185" s="189"/>
      <c r="K185" s="185"/>
      <c r="L185" s="186"/>
      <c r="M185" s="53"/>
      <c r="N185" s="4"/>
      <c r="O185" s="127"/>
      <c r="P185" s="127"/>
      <c r="Q185" s="127"/>
      <c r="R185" s="181"/>
    </row>
    <row r="186" spans="1:20" ht="24.75" customHeight="1">
      <c r="A186" s="199">
        <v>1</v>
      </c>
      <c r="B186" s="200" t="s">
        <v>85</v>
      </c>
      <c r="C186" s="203" t="s">
        <v>86</v>
      </c>
      <c r="D186" s="202">
        <v>0</v>
      </c>
      <c r="E186" s="199" t="s">
        <v>229</v>
      </c>
      <c r="F186" s="204">
        <v>7</v>
      </c>
      <c r="G186" s="202">
        <v>30800</v>
      </c>
      <c r="H186" s="202">
        <v>0</v>
      </c>
      <c r="I186" s="202">
        <v>30800</v>
      </c>
      <c r="J186" s="205"/>
      <c r="K186" s="206"/>
      <c r="L186" s="207"/>
      <c r="M186" s="203" t="s">
        <v>229</v>
      </c>
      <c r="N186" s="199">
        <v>7</v>
      </c>
      <c r="O186" s="714">
        <v>30800</v>
      </c>
      <c r="P186" s="715">
        <v>0</v>
      </c>
      <c r="Q186" s="715">
        <v>30800</v>
      </c>
      <c r="R186" s="203" t="s">
        <v>230</v>
      </c>
    </row>
    <row r="187" spans="1:20" ht="24.75" customHeight="1">
      <c r="A187" s="115"/>
      <c r="B187" s="212"/>
      <c r="C187" s="109"/>
      <c r="D187" s="162"/>
      <c r="E187" s="115"/>
      <c r="F187" s="213"/>
      <c r="G187" s="162"/>
      <c r="H187" s="214"/>
      <c r="I187" s="214"/>
      <c r="J187" s="215"/>
      <c r="K187" s="216"/>
      <c r="L187" s="217"/>
      <c r="M187" s="218"/>
      <c r="N187" s="219"/>
      <c r="O187" s="716"/>
      <c r="P187" s="717"/>
      <c r="Q187" s="717"/>
      <c r="R187" s="218" t="s">
        <v>231</v>
      </c>
    </row>
    <row r="188" spans="1:20" s="96" customFormat="1" ht="24.75" customHeight="1">
      <c r="A188" s="190"/>
      <c r="B188" s="191" t="s">
        <v>232</v>
      </c>
      <c r="C188" s="192" t="s">
        <v>194</v>
      </c>
      <c r="D188" s="193">
        <v>0</v>
      </c>
      <c r="E188" s="192"/>
      <c r="F188" s="192"/>
      <c r="G188" s="193">
        <v>64400</v>
      </c>
      <c r="H188" s="193">
        <v>0</v>
      </c>
      <c r="I188" s="193">
        <v>64400</v>
      </c>
      <c r="J188" s="195"/>
      <c r="K188" s="196"/>
      <c r="L188" s="197">
        <v>0</v>
      </c>
      <c r="M188" s="192"/>
      <c r="N188" s="190"/>
      <c r="O188" s="714">
        <v>64400</v>
      </c>
      <c r="P188" s="715">
        <v>0</v>
      </c>
      <c r="Q188" s="715">
        <v>64400</v>
      </c>
      <c r="R188" s="192" t="s">
        <v>233</v>
      </c>
      <c r="T188" s="97"/>
    </row>
    <row r="189" spans="1:20" ht="24.6">
      <c r="A189" s="199">
        <v>2</v>
      </c>
      <c r="B189" s="203" t="s">
        <v>32</v>
      </c>
      <c r="C189" s="222" t="s">
        <v>104</v>
      </c>
      <c r="D189" s="202"/>
      <c r="E189" s="223" t="s">
        <v>234</v>
      </c>
      <c r="F189" s="224">
        <v>4</v>
      </c>
      <c r="G189" s="225">
        <v>18600</v>
      </c>
      <c r="H189" s="225">
        <v>0</v>
      </c>
      <c r="I189" s="225">
        <v>18600</v>
      </c>
      <c r="J189" s="718"/>
      <c r="K189" s="719"/>
      <c r="L189" s="720"/>
      <c r="M189" s="199" t="s">
        <v>234</v>
      </c>
      <c r="N189" s="199">
        <v>4</v>
      </c>
      <c r="O189" s="714">
        <f>D189+G189</f>
        <v>18600</v>
      </c>
      <c r="P189" s="715">
        <v>0</v>
      </c>
      <c r="Q189" s="715">
        <f>D189+I189</f>
        <v>18600</v>
      </c>
      <c r="R189" s="203" t="s">
        <v>235</v>
      </c>
    </row>
    <row r="190" spans="1:20" ht="24.6">
      <c r="A190" s="199">
        <v>3</v>
      </c>
      <c r="B190" s="203" t="s">
        <v>215</v>
      </c>
      <c r="C190" s="222" t="s">
        <v>104</v>
      </c>
      <c r="D190" s="202"/>
      <c r="E190" s="199" t="s">
        <v>236</v>
      </c>
      <c r="F190" s="199">
        <v>4</v>
      </c>
      <c r="G190" s="202">
        <v>23000</v>
      </c>
      <c r="H190" s="202">
        <v>0</v>
      </c>
      <c r="I190" s="202">
        <v>23000</v>
      </c>
      <c r="J190" s="718"/>
      <c r="K190" s="719"/>
      <c r="L190" s="720"/>
      <c r="M190" s="199" t="s">
        <v>236</v>
      </c>
      <c r="N190" s="199">
        <v>4</v>
      </c>
      <c r="O190" s="714">
        <f>D190+G190</f>
        <v>23000</v>
      </c>
      <c r="P190" s="715">
        <v>0</v>
      </c>
      <c r="Q190" s="715">
        <f>D190+I190</f>
        <v>23000</v>
      </c>
      <c r="R190" s="203" t="s">
        <v>237</v>
      </c>
    </row>
    <row r="191" spans="1:20" s="96" customFormat="1" ht="24.75" customHeight="1">
      <c r="A191" s="229"/>
      <c r="B191" s="230"/>
      <c r="C191" s="231"/>
      <c r="D191" s="232"/>
      <c r="E191" s="231"/>
      <c r="F191" s="231"/>
      <c r="G191" s="232"/>
      <c r="H191" s="232"/>
      <c r="I191" s="232"/>
      <c r="J191" s="233"/>
      <c r="K191" s="234"/>
      <c r="L191" s="235"/>
      <c r="M191" s="231"/>
      <c r="N191" s="229"/>
      <c r="O191" s="721"/>
      <c r="P191" s="722"/>
      <c r="Q191" s="722"/>
      <c r="R191" s="238"/>
      <c r="T191" s="97"/>
    </row>
    <row r="192" spans="1:20" ht="24.75" customHeight="1" thickBot="1">
      <c r="A192" s="34"/>
      <c r="B192" s="239"/>
      <c r="C192" s="74"/>
      <c r="D192" s="110">
        <v>0</v>
      </c>
      <c r="E192" s="110"/>
      <c r="F192" s="110"/>
      <c r="G192" s="110">
        <f>SUM(G186:G190)</f>
        <v>136800</v>
      </c>
      <c r="H192" s="110">
        <v>0</v>
      </c>
      <c r="I192" s="110">
        <f>SUM(I186:I190)</f>
        <v>136800</v>
      </c>
      <c r="J192" s="170"/>
      <c r="K192" s="170"/>
      <c r="L192" s="170">
        <v>0</v>
      </c>
      <c r="M192" s="110"/>
      <c r="N192" s="240"/>
      <c r="O192" s="171">
        <f>SUM(O186:O190)</f>
        <v>136800</v>
      </c>
      <c r="P192" s="171">
        <v>0</v>
      </c>
      <c r="Q192" s="171">
        <f>SUM(Q186:Q190)</f>
        <v>136800</v>
      </c>
      <c r="R192" s="208"/>
    </row>
    <row r="193" spans="1:23" ht="25.2" thickTop="1">
      <c r="A193" s="46"/>
      <c r="B193" s="161" t="s">
        <v>238</v>
      </c>
      <c r="C193" s="46"/>
      <c r="D193" s="46"/>
      <c r="E193" s="46"/>
      <c r="F193" s="46"/>
      <c r="G193" s="46"/>
      <c r="H193" s="46"/>
      <c r="I193" s="46"/>
      <c r="J193" s="47"/>
      <c r="K193" s="48"/>
      <c r="L193" s="48"/>
      <c r="M193" s="46"/>
      <c r="N193" s="28"/>
      <c r="O193" s="46"/>
      <c r="P193" s="46"/>
      <c r="Q193" s="46"/>
      <c r="R193" s="46"/>
    </row>
    <row r="194" spans="1:23" ht="24.6">
      <c r="A194" s="25">
        <v>1</v>
      </c>
      <c r="B194" s="53" t="s">
        <v>239</v>
      </c>
      <c r="C194" s="109"/>
      <c r="D194" s="109"/>
      <c r="E194" s="109" t="s">
        <v>240</v>
      </c>
      <c r="F194" s="109"/>
      <c r="G194" s="162"/>
      <c r="H194" s="109"/>
      <c r="I194" s="162">
        <v>0</v>
      </c>
      <c r="J194" s="112"/>
      <c r="K194" s="113"/>
      <c r="L194" s="241"/>
      <c r="M194" s="109" t="s">
        <v>240</v>
      </c>
      <c r="N194" s="115"/>
      <c r="O194" s="49"/>
      <c r="P194" s="127"/>
      <c r="Q194" s="162">
        <v>0</v>
      </c>
      <c r="R194" s="29"/>
    </row>
    <row r="195" spans="1:23" ht="24.6">
      <c r="A195" s="25"/>
      <c r="B195" s="29" t="s">
        <v>241</v>
      </c>
      <c r="C195" s="29"/>
      <c r="D195" s="29"/>
      <c r="E195" s="25" t="s">
        <v>242</v>
      </c>
      <c r="F195" s="29"/>
      <c r="G195" s="49">
        <v>133707.98000000001</v>
      </c>
      <c r="H195" s="134">
        <v>0</v>
      </c>
      <c r="I195" s="49">
        <v>133707.98000000001</v>
      </c>
      <c r="J195" s="60"/>
      <c r="K195" s="61"/>
      <c r="L195" s="242"/>
      <c r="M195" s="29" t="s">
        <v>242</v>
      </c>
      <c r="N195" s="25"/>
      <c r="O195" s="696">
        <v>133707.98000000001</v>
      </c>
      <c r="P195" s="697">
        <v>0</v>
      </c>
      <c r="Q195" s="697">
        <v>133707.98000000001</v>
      </c>
      <c r="R195" s="29" t="s">
        <v>243</v>
      </c>
    </row>
    <row r="196" spans="1:23" ht="24.6">
      <c r="A196" s="25"/>
      <c r="B196" s="29" t="s">
        <v>244</v>
      </c>
      <c r="C196" s="29"/>
      <c r="D196" s="29"/>
      <c r="E196" s="29"/>
      <c r="F196" s="29"/>
      <c r="G196" s="49">
        <v>73800</v>
      </c>
      <c r="H196" s="134">
        <v>0</v>
      </c>
      <c r="I196" s="49">
        <v>73800</v>
      </c>
      <c r="J196" s="60"/>
      <c r="K196" s="61"/>
      <c r="L196" s="242"/>
      <c r="M196" s="29"/>
      <c r="N196" s="25"/>
      <c r="O196" s="696">
        <v>73800</v>
      </c>
      <c r="P196" s="697">
        <v>0</v>
      </c>
      <c r="Q196" s="697">
        <v>73800</v>
      </c>
      <c r="R196" s="29"/>
    </row>
    <row r="197" spans="1:23" ht="24.6">
      <c r="A197" s="25"/>
      <c r="B197" s="29" t="s">
        <v>245</v>
      </c>
      <c r="C197" s="29"/>
      <c r="D197" s="29"/>
      <c r="E197" s="29"/>
      <c r="F197" s="29"/>
      <c r="G197" s="49">
        <v>7596.82</v>
      </c>
      <c r="H197" s="134">
        <v>0</v>
      </c>
      <c r="I197" s="89">
        <v>7596.82</v>
      </c>
      <c r="J197" s="60"/>
      <c r="K197" s="61"/>
      <c r="L197" s="242"/>
      <c r="M197" s="29"/>
      <c r="N197" s="25"/>
      <c r="O197" s="696">
        <v>7596.82</v>
      </c>
      <c r="P197" s="697">
        <v>0</v>
      </c>
      <c r="Q197" s="697">
        <v>7596.82</v>
      </c>
      <c r="R197" s="29" t="s">
        <v>243</v>
      </c>
    </row>
    <row r="198" spans="1:23" ht="24.6">
      <c r="A198" s="25"/>
      <c r="B198" s="29" t="s">
        <v>246</v>
      </c>
      <c r="C198" s="29"/>
      <c r="D198" s="53"/>
      <c r="E198" s="53"/>
      <c r="F198" s="53"/>
      <c r="G198" s="127"/>
      <c r="H198" s="53"/>
      <c r="I198" s="127"/>
      <c r="J198" s="243"/>
      <c r="K198" s="244"/>
      <c r="L198" s="245"/>
      <c r="M198" s="53"/>
      <c r="N198" s="4"/>
      <c r="O198" s="127"/>
      <c r="P198" s="127"/>
      <c r="Q198" s="49"/>
      <c r="R198" s="29"/>
      <c r="U198" s="1">
        <v>763210.28</v>
      </c>
    </row>
    <row r="199" spans="1:23" ht="24.6">
      <c r="A199" s="4"/>
      <c r="B199" s="53"/>
      <c r="C199" s="737" t="s">
        <v>247</v>
      </c>
      <c r="D199" s="738"/>
      <c r="E199" s="738"/>
      <c r="F199" s="738"/>
      <c r="G199" s="738"/>
      <c r="H199" s="739"/>
      <c r="I199" s="127"/>
      <c r="J199" s="243"/>
      <c r="K199" s="244"/>
      <c r="L199" s="245"/>
      <c r="M199" s="53"/>
      <c r="N199" s="4"/>
      <c r="O199" s="127"/>
      <c r="P199" s="127"/>
      <c r="Q199" s="162"/>
      <c r="R199" s="53"/>
    </row>
    <row r="200" spans="1:23" s="96" customFormat="1" ht="24.75" customHeight="1">
      <c r="A200" s="86">
        <v>2</v>
      </c>
      <c r="B200" s="274" t="s">
        <v>68</v>
      </c>
      <c r="C200" s="87">
        <v>268</v>
      </c>
      <c r="D200" s="89"/>
      <c r="E200" s="86" t="s">
        <v>378</v>
      </c>
      <c r="F200" s="275">
        <v>80</v>
      </c>
      <c r="G200" s="89">
        <v>133752.76</v>
      </c>
      <c r="H200" s="89" t="s">
        <v>172</v>
      </c>
      <c r="I200" s="89">
        <v>133752.76</v>
      </c>
      <c r="J200" s="276"/>
      <c r="K200" s="154"/>
      <c r="L200" s="155"/>
      <c r="M200" s="86" t="s">
        <v>378</v>
      </c>
      <c r="N200" s="86">
        <v>80</v>
      </c>
      <c r="O200" s="92">
        <f>SUM(D200+G200)</f>
        <v>133752.76</v>
      </c>
      <c r="P200" s="92" t="s">
        <v>172</v>
      </c>
      <c r="Q200" s="92">
        <f>SUM(D200+I200)</f>
        <v>133752.76</v>
      </c>
      <c r="R200" s="87" t="s">
        <v>379</v>
      </c>
      <c r="T200" s="97" t="s">
        <v>375</v>
      </c>
    </row>
    <row r="201" spans="1:23" ht="24.75" customHeight="1">
      <c r="A201" s="25"/>
      <c r="B201" s="119" t="s">
        <v>221</v>
      </c>
      <c r="C201" s="278" t="s">
        <v>222</v>
      </c>
      <c r="D201" s="49">
        <v>0</v>
      </c>
      <c r="E201" s="29"/>
      <c r="F201" s="3" t="s">
        <v>172</v>
      </c>
      <c r="G201" s="49">
        <v>19700</v>
      </c>
      <c r="H201" s="49">
        <v>0</v>
      </c>
      <c r="I201" s="49">
        <v>19700</v>
      </c>
      <c r="J201" s="60"/>
      <c r="K201" s="61"/>
      <c r="L201" s="51">
        <v>0</v>
      </c>
      <c r="M201" s="29"/>
      <c r="N201" s="25" t="s">
        <v>172</v>
      </c>
      <c r="O201" s="92">
        <v>19700</v>
      </c>
      <c r="P201" s="697">
        <v>0</v>
      </c>
      <c r="Q201" s="697">
        <v>19700</v>
      </c>
      <c r="R201" s="29" t="s">
        <v>184</v>
      </c>
      <c r="V201" s="211"/>
      <c r="W201" s="211"/>
    </row>
    <row r="202" spans="1:23" ht="24.75" customHeight="1">
      <c r="A202" s="25"/>
      <c r="B202" s="278"/>
      <c r="C202" s="278" t="s">
        <v>223</v>
      </c>
      <c r="D202" s="49"/>
      <c r="E202" s="29"/>
      <c r="F202" s="3" t="s">
        <v>172</v>
      </c>
      <c r="G202" s="49">
        <v>19700</v>
      </c>
      <c r="H202" s="49">
        <v>0</v>
      </c>
      <c r="I202" s="49">
        <v>19700</v>
      </c>
      <c r="J202" s="60"/>
      <c r="K202" s="61"/>
      <c r="L202" s="51">
        <v>0</v>
      </c>
      <c r="M202" s="29"/>
      <c r="N202" s="25" t="s">
        <v>172</v>
      </c>
      <c r="O202" s="92">
        <v>19700</v>
      </c>
      <c r="P202" s="697">
        <v>0</v>
      </c>
      <c r="Q202" s="697">
        <v>19700</v>
      </c>
      <c r="R202" s="29" t="s">
        <v>185</v>
      </c>
      <c r="V202" s="211"/>
    </row>
    <row r="203" spans="1:23" ht="24.75" customHeight="1">
      <c r="A203" s="25"/>
      <c r="B203" s="278"/>
      <c r="C203" s="278" t="s">
        <v>224</v>
      </c>
      <c r="D203" s="49"/>
      <c r="E203" s="29"/>
      <c r="F203" s="3" t="s">
        <v>172</v>
      </c>
      <c r="G203" s="49">
        <v>19700</v>
      </c>
      <c r="H203" s="49">
        <v>0</v>
      </c>
      <c r="I203" s="49">
        <v>19700</v>
      </c>
      <c r="J203" s="60"/>
      <c r="K203" s="61"/>
      <c r="L203" s="51">
        <v>0</v>
      </c>
      <c r="M203" s="29"/>
      <c r="N203" s="25" t="s">
        <v>172</v>
      </c>
      <c r="O203" s="92">
        <v>19700</v>
      </c>
      <c r="P203" s="697">
        <v>0</v>
      </c>
      <c r="Q203" s="697">
        <v>19700</v>
      </c>
      <c r="R203" s="29" t="s">
        <v>186</v>
      </c>
    </row>
    <row r="204" spans="1:23" ht="24.75" customHeight="1">
      <c r="A204" s="25">
        <v>3</v>
      </c>
      <c r="B204" s="119" t="s">
        <v>225</v>
      </c>
      <c r="C204" s="29"/>
      <c r="D204" s="49"/>
      <c r="E204" s="25" t="s">
        <v>226</v>
      </c>
      <c r="F204" s="3">
        <v>88</v>
      </c>
      <c r="G204" s="49">
        <v>304935.7</v>
      </c>
      <c r="H204" s="49">
        <v>0</v>
      </c>
      <c r="I204" s="49">
        <v>304935.7</v>
      </c>
      <c r="J204" s="60"/>
      <c r="K204" s="61"/>
      <c r="L204" s="51"/>
      <c r="M204" s="25" t="s">
        <v>226</v>
      </c>
      <c r="N204" s="25">
        <v>88</v>
      </c>
      <c r="O204" s="92">
        <v>304935.7</v>
      </c>
      <c r="P204" s="697">
        <v>0</v>
      </c>
      <c r="Q204" s="697">
        <v>304935.7</v>
      </c>
      <c r="R204" s="29" t="s">
        <v>227</v>
      </c>
    </row>
    <row r="205" spans="1:23" ht="25.2" thickBot="1">
      <c r="A205" s="25"/>
      <c r="B205" s="29"/>
      <c r="C205" s="29"/>
      <c r="D205" s="74"/>
      <c r="E205" s="74"/>
      <c r="F205" s="74"/>
      <c r="G205" s="74"/>
      <c r="H205" s="74"/>
      <c r="I205" s="74"/>
      <c r="J205" s="75"/>
      <c r="K205" s="76"/>
      <c r="L205" s="76"/>
      <c r="M205" s="74"/>
      <c r="N205" s="34"/>
      <c r="O205" s="110"/>
      <c r="P205" s="74"/>
      <c r="Q205" s="171"/>
      <c r="R205" s="29"/>
    </row>
    <row r="206" spans="1:23" s="249" customFormat="1" ht="25.8" thickTop="1" thickBot="1">
      <c r="A206" s="134"/>
      <c r="B206" s="246" t="s">
        <v>26</v>
      </c>
      <c r="C206" s="103"/>
      <c r="D206" s="103">
        <v>0</v>
      </c>
      <c r="E206" s="103"/>
      <c r="F206" s="103"/>
      <c r="G206" s="103">
        <f>SUM(G195:G205)</f>
        <v>712893.26</v>
      </c>
      <c r="H206" s="103">
        <f t="shared" ref="H206:I206" si="14">SUM(H195:H205)</f>
        <v>0</v>
      </c>
      <c r="I206" s="103">
        <f t="shared" si="14"/>
        <v>712893.26</v>
      </c>
      <c r="J206" s="104"/>
      <c r="K206" s="104"/>
      <c r="L206" s="104">
        <v>0</v>
      </c>
      <c r="M206" s="103"/>
      <c r="N206" s="247"/>
      <c r="O206" s="103">
        <f>SUM(O195:O205)</f>
        <v>712893.26</v>
      </c>
      <c r="P206" s="103">
        <v>0</v>
      </c>
      <c r="Q206" s="103">
        <f>SUM(Q194:Q205)</f>
        <v>712893.26</v>
      </c>
      <c r="R206" s="248"/>
    </row>
    <row r="207" spans="1:23" ht="25.8" thickTop="1" thickBot="1">
      <c r="A207" s="29"/>
      <c r="B207" s="25" t="s">
        <v>248</v>
      </c>
      <c r="C207" s="64"/>
      <c r="D207" s="63">
        <f>SUM(D30+D75+D111+D179+D184+D192+D206)</f>
        <v>63270</v>
      </c>
      <c r="E207" s="63"/>
      <c r="F207" s="63"/>
      <c r="G207" s="63">
        <f>SUM(G30+G75+G111+G163+G179+G184+G192+G206)</f>
        <v>1010193.26</v>
      </c>
      <c r="H207" s="63">
        <v>0</v>
      </c>
      <c r="I207" s="63">
        <f>SUM(I9+I12+I15+I18+I21+I24+I30+I33+I35+I39+I75+I111+I115+I118+I121+I163+I169+I173+I179+I184+I192+I206)</f>
        <v>1024703.26</v>
      </c>
      <c r="J207" s="67"/>
      <c r="K207" s="67"/>
      <c r="L207" s="67">
        <f>SUM(L30+L75+L111)</f>
        <v>49225</v>
      </c>
      <c r="M207" s="63"/>
      <c r="N207" s="105"/>
      <c r="O207" s="63">
        <f>SUM(O30+O75+O111+O179+O184+O192+O206)</f>
        <v>1024238.26</v>
      </c>
      <c r="P207" s="63">
        <f>SUM(P30+P75+P111+P179+P184+P192+P206)</f>
        <v>0</v>
      </c>
      <c r="Q207" s="63">
        <f>SUM(Q30+Q75+Q111+Q179+Q184+Q192+Q206)</f>
        <v>1024238.26</v>
      </c>
      <c r="R207" s="59"/>
      <c r="T207" s="63"/>
    </row>
    <row r="208" spans="1:23" ht="25.2" thickTop="1"/>
    <row r="209" spans="6:17" ht="24.6">
      <c r="K209" s="250"/>
      <c r="Q209" s="249"/>
    </row>
    <row r="210" spans="6:17" ht="24.6">
      <c r="K210" s="723"/>
      <c r="Q210" s="249"/>
    </row>
    <row r="211" spans="6:17" ht="24.6">
      <c r="F211" s="1">
        <v>1010.6000000000058</v>
      </c>
      <c r="K211" s="250"/>
      <c r="Q211" s="249"/>
    </row>
    <row r="212" spans="6:17" ht="24.6">
      <c r="K212" s="250"/>
      <c r="L212" s="252"/>
    </row>
    <row r="213" spans="6:17" ht="24.6">
      <c r="H213" s="253"/>
      <c r="K213" s="25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265C-746E-4FCC-8BA8-C2BE3520BA20}">
  <sheetPr>
    <tabColor rgb="FF92D050"/>
  </sheetPr>
  <dimension ref="A1:J800"/>
  <sheetViews>
    <sheetView zoomScale="83" zoomScaleNormal="83" zoomScaleSheetLayoutView="87" workbookViewId="0">
      <pane ySplit="6" topLeftCell="A22" activePane="bottomLeft" state="frozen"/>
      <selection activeCell="I147" sqref="I147"/>
      <selection pane="bottomLeft" activeCell="F30" sqref="F30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8" width="10.33203125" style="1"/>
    <col min="9" max="10" width="11.6640625" style="1" bestFit="1" customWidth="1"/>
    <col min="11" max="236" width="10.33203125" style="1"/>
    <col min="237" max="237" width="4.44140625" style="1" customWidth="1"/>
    <col min="238" max="238" width="21.6640625" style="1" customWidth="1"/>
    <col min="239" max="239" width="15" style="1" customWidth="1"/>
    <col min="240" max="240" width="15.44140625" style="1" customWidth="1"/>
    <col min="241" max="241" width="11.5546875" style="1" customWidth="1"/>
    <col min="242" max="242" width="7.44140625" style="1" customWidth="1"/>
    <col min="243" max="243" width="14.109375" style="1" customWidth="1"/>
    <col min="244" max="244" width="10.6640625" style="1" customWidth="1"/>
    <col min="245" max="245" width="13.44140625" style="1" customWidth="1"/>
    <col min="246" max="246" width="11.44140625" style="1" customWidth="1"/>
    <col min="247" max="247" width="15" style="1" customWidth="1"/>
    <col min="248" max="248" width="14.5546875" style="1" customWidth="1"/>
    <col min="249" max="249" width="10.33203125" style="1"/>
    <col min="250" max="250" width="7.44140625" style="1" customWidth="1"/>
    <col min="251" max="251" width="12.88671875" style="1" customWidth="1"/>
    <col min="252" max="252" width="11.109375" style="1" customWidth="1"/>
    <col min="253" max="253" width="14" style="1" customWidth="1"/>
    <col min="254" max="254" width="33" style="1" customWidth="1"/>
    <col min="255" max="255" width="6.6640625" style="1" customWidth="1"/>
    <col min="256" max="256" width="19" style="1" customWidth="1"/>
    <col min="257" max="257" width="19.109375" style="1" customWidth="1"/>
    <col min="258" max="258" width="21.33203125" style="1" customWidth="1"/>
    <col min="259" max="259" width="32.5546875" style="1" customWidth="1"/>
    <col min="260" max="260" width="16.88671875" style="1" customWidth="1"/>
    <col min="261" max="261" width="16.33203125" style="1" customWidth="1"/>
    <col min="262" max="492" width="10.33203125" style="1"/>
    <col min="493" max="493" width="4.44140625" style="1" customWidth="1"/>
    <col min="494" max="494" width="21.6640625" style="1" customWidth="1"/>
    <col min="495" max="495" width="15" style="1" customWidth="1"/>
    <col min="496" max="496" width="15.44140625" style="1" customWidth="1"/>
    <col min="497" max="497" width="11.5546875" style="1" customWidth="1"/>
    <col min="498" max="498" width="7.44140625" style="1" customWidth="1"/>
    <col min="499" max="499" width="14.109375" style="1" customWidth="1"/>
    <col min="500" max="500" width="10.6640625" style="1" customWidth="1"/>
    <col min="501" max="501" width="13.44140625" style="1" customWidth="1"/>
    <col min="502" max="502" width="11.44140625" style="1" customWidth="1"/>
    <col min="503" max="503" width="15" style="1" customWidth="1"/>
    <col min="504" max="504" width="14.5546875" style="1" customWidth="1"/>
    <col min="505" max="505" width="10.33203125" style="1"/>
    <col min="506" max="506" width="7.44140625" style="1" customWidth="1"/>
    <col min="507" max="507" width="12.88671875" style="1" customWidth="1"/>
    <col min="508" max="508" width="11.109375" style="1" customWidth="1"/>
    <col min="509" max="509" width="14" style="1" customWidth="1"/>
    <col min="510" max="510" width="33" style="1" customWidth="1"/>
    <col min="511" max="511" width="6.6640625" style="1" customWidth="1"/>
    <col min="512" max="512" width="19" style="1" customWidth="1"/>
    <col min="513" max="513" width="19.109375" style="1" customWidth="1"/>
    <col min="514" max="514" width="21.33203125" style="1" customWidth="1"/>
    <col min="515" max="515" width="32.5546875" style="1" customWidth="1"/>
    <col min="516" max="516" width="16.88671875" style="1" customWidth="1"/>
    <col min="517" max="517" width="16.33203125" style="1" customWidth="1"/>
    <col min="518" max="748" width="10.33203125" style="1"/>
    <col min="749" max="749" width="4.44140625" style="1" customWidth="1"/>
    <col min="750" max="750" width="21.6640625" style="1" customWidth="1"/>
    <col min="751" max="751" width="15" style="1" customWidth="1"/>
    <col min="752" max="752" width="15.44140625" style="1" customWidth="1"/>
    <col min="753" max="753" width="11.5546875" style="1" customWidth="1"/>
    <col min="754" max="754" width="7.44140625" style="1" customWidth="1"/>
    <col min="755" max="755" width="14.109375" style="1" customWidth="1"/>
    <col min="756" max="756" width="10.6640625" style="1" customWidth="1"/>
    <col min="757" max="757" width="13.44140625" style="1" customWidth="1"/>
    <col min="758" max="758" width="11.44140625" style="1" customWidth="1"/>
    <col min="759" max="759" width="15" style="1" customWidth="1"/>
    <col min="760" max="760" width="14.5546875" style="1" customWidth="1"/>
    <col min="761" max="761" width="10.33203125" style="1"/>
    <col min="762" max="762" width="7.44140625" style="1" customWidth="1"/>
    <col min="763" max="763" width="12.88671875" style="1" customWidth="1"/>
    <col min="764" max="764" width="11.109375" style="1" customWidth="1"/>
    <col min="765" max="765" width="14" style="1" customWidth="1"/>
    <col min="766" max="766" width="33" style="1" customWidth="1"/>
    <col min="767" max="767" width="6.6640625" style="1" customWidth="1"/>
    <col min="768" max="768" width="19" style="1" customWidth="1"/>
    <col min="769" max="769" width="19.109375" style="1" customWidth="1"/>
    <col min="770" max="770" width="21.33203125" style="1" customWidth="1"/>
    <col min="771" max="771" width="32.5546875" style="1" customWidth="1"/>
    <col min="772" max="772" width="16.88671875" style="1" customWidth="1"/>
    <col min="773" max="773" width="16.33203125" style="1" customWidth="1"/>
    <col min="774" max="1004" width="10.33203125" style="1"/>
    <col min="1005" max="1005" width="4.44140625" style="1" customWidth="1"/>
    <col min="1006" max="1006" width="21.6640625" style="1" customWidth="1"/>
    <col min="1007" max="1007" width="15" style="1" customWidth="1"/>
    <col min="1008" max="1008" width="15.44140625" style="1" customWidth="1"/>
    <col min="1009" max="1009" width="11.5546875" style="1" customWidth="1"/>
    <col min="1010" max="1010" width="7.44140625" style="1" customWidth="1"/>
    <col min="1011" max="1011" width="14.109375" style="1" customWidth="1"/>
    <col min="1012" max="1012" width="10.6640625" style="1" customWidth="1"/>
    <col min="1013" max="1013" width="13.44140625" style="1" customWidth="1"/>
    <col min="1014" max="1014" width="11.44140625" style="1" customWidth="1"/>
    <col min="1015" max="1015" width="15" style="1" customWidth="1"/>
    <col min="1016" max="1016" width="14.5546875" style="1" customWidth="1"/>
    <col min="1017" max="1017" width="10.33203125" style="1"/>
    <col min="1018" max="1018" width="7.44140625" style="1" customWidth="1"/>
    <col min="1019" max="1019" width="12.88671875" style="1" customWidth="1"/>
    <col min="1020" max="1020" width="11.109375" style="1" customWidth="1"/>
    <col min="1021" max="1021" width="14" style="1" customWidth="1"/>
    <col min="1022" max="1022" width="33" style="1" customWidth="1"/>
    <col min="1023" max="1023" width="6.6640625" style="1" customWidth="1"/>
    <col min="1024" max="1024" width="19" style="1" customWidth="1"/>
    <col min="1025" max="1025" width="19.109375" style="1" customWidth="1"/>
    <col min="1026" max="1026" width="21.33203125" style="1" customWidth="1"/>
    <col min="1027" max="1027" width="32.5546875" style="1" customWidth="1"/>
    <col min="1028" max="1028" width="16.88671875" style="1" customWidth="1"/>
    <col min="1029" max="1029" width="16.33203125" style="1" customWidth="1"/>
    <col min="1030" max="1260" width="10.33203125" style="1"/>
    <col min="1261" max="1261" width="4.44140625" style="1" customWidth="1"/>
    <col min="1262" max="1262" width="21.6640625" style="1" customWidth="1"/>
    <col min="1263" max="1263" width="15" style="1" customWidth="1"/>
    <col min="1264" max="1264" width="15.44140625" style="1" customWidth="1"/>
    <col min="1265" max="1265" width="11.5546875" style="1" customWidth="1"/>
    <col min="1266" max="1266" width="7.44140625" style="1" customWidth="1"/>
    <col min="1267" max="1267" width="14.109375" style="1" customWidth="1"/>
    <col min="1268" max="1268" width="10.6640625" style="1" customWidth="1"/>
    <col min="1269" max="1269" width="13.44140625" style="1" customWidth="1"/>
    <col min="1270" max="1270" width="11.44140625" style="1" customWidth="1"/>
    <col min="1271" max="1271" width="15" style="1" customWidth="1"/>
    <col min="1272" max="1272" width="14.5546875" style="1" customWidth="1"/>
    <col min="1273" max="1273" width="10.33203125" style="1"/>
    <col min="1274" max="1274" width="7.44140625" style="1" customWidth="1"/>
    <col min="1275" max="1275" width="12.88671875" style="1" customWidth="1"/>
    <col min="1276" max="1276" width="11.109375" style="1" customWidth="1"/>
    <col min="1277" max="1277" width="14" style="1" customWidth="1"/>
    <col min="1278" max="1278" width="33" style="1" customWidth="1"/>
    <col min="1279" max="1279" width="6.6640625" style="1" customWidth="1"/>
    <col min="1280" max="1280" width="19" style="1" customWidth="1"/>
    <col min="1281" max="1281" width="19.109375" style="1" customWidth="1"/>
    <col min="1282" max="1282" width="21.33203125" style="1" customWidth="1"/>
    <col min="1283" max="1283" width="32.5546875" style="1" customWidth="1"/>
    <col min="1284" max="1284" width="16.88671875" style="1" customWidth="1"/>
    <col min="1285" max="1285" width="16.33203125" style="1" customWidth="1"/>
    <col min="1286" max="1516" width="10.33203125" style="1"/>
    <col min="1517" max="1517" width="4.44140625" style="1" customWidth="1"/>
    <col min="1518" max="1518" width="21.6640625" style="1" customWidth="1"/>
    <col min="1519" max="1519" width="15" style="1" customWidth="1"/>
    <col min="1520" max="1520" width="15.44140625" style="1" customWidth="1"/>
    <col min="1521" max="1521" width="11.5546875" style="1" customWidth="1"/>
    <col min="1522" max="1522" width="7.44140625" style="1" customWidth="1"/>
    <col min="1523" max="1523" width="14.109375" style="1" customWidth="1"/>
    <col min="1524" max="1524" width="10.6640625" style="1" customWidth="1"/>
    <col min="1525" max="1525" width="13.44140625" style="1" customWidth="1"/>
    <col min="1526" max="1526" width="11.44140625" style="1" customWidth="1"/>
    <col min="1527" max="1527" width="15" style="1" customWidth="1"/>
    <col min="1528" max="1528" width="14.5546875" style="1" customWidth="1"/>
    <col min="1529" max="1529" width="10.33203125" style="1"/>
    <col min="1530" max="1530" width="7.44140625" style="1" customWidth="1"/>
    <col min="1531" max="1531" width="12.88671875" style="1" customWidth="1"/>
    <col min="1532" max="1532" width="11.109375" style="1" customWidth="1"/>
    <col min="1533" max="1533" width="14" style="1" customWidth="1"/>
    <col min="1534" max="1534" width="33" style="1" customWidth="1"/>
    <col min="1535" max="1535" width="6.6640625" style="1" customWidth="1"/>
    <col min="1536" max="1536" width="19" style="1" customWidth="1"/>
    <col min="1537" max="1537" width="19.109375" style="1" customWidth="1"/>
    <col min="1538" max="1538" width="21.33203125" style="1" customWidth="1"/>
    <col min="1539" max="1539" width="32.5546875" style="1" customWidth="1"/>
    <col min="1540" max="1540" width="16.88671875" style="1" customWidth="1"/>
    <col min="1541" max="1541" width="16.33203125" style="1" customWidth="1"/>
    <col min="1542" max="1772" width="10.33203125" style="1"/>
    <col min="1773" max="1773" width="4.44140625" style="1" customWidth="1"/>
    <col min="1774" max="1774" width="21.6640625" style="1" customWidth="1"/>
    <col min="1775" max="1775" width="15" style="1" customWidth="1"/>
    <col min="1776" max="1776" width="15.44140625" style="1" customWidth="1"/>
    <col min="1777" max="1777" width="11.5546875" style="1" customWidth="1"/>
    <col min="1778" max="1778" width="7.44140625" style="1" customWidth="1"/>
    <col min="1779" max="1779" width="14.109375" style="1" customWidth="1"/>
    <col min="1780" max="1780" width="10.6640625" style="1" customWidth="1"/>
    <col min="1781" max="1781" width="13.44140625" style="1" customWidth="1"/>
    <col min="1782" max="1782" width="11.44140625" style="1" customWidth="1"/>
    <col min="1783" max="1783" width="15" style="1" customWidth="1"/>
    <col min="1784" max="1784" width="14.5546875" style="1" customWidth="1"/>
    <col min="1785" max="1785" width="10.33203125" style="1"/>
    <col min="1786" max="1786" width="7.44140625" style="1" customWidth="1"/>
    <col min="1787" max="1787" width="12.88671875" style="1" customWidth="1"/>
    <col min="1788" max="1788" width="11.109375" style="1" customWidth="1"/>
    <col min="1789" max="1789" width="14" style="1" customWidth="1"/>
    <col min="1790" max="1790" width="33" style="1" customWidth="1"/>
    <col min="1791" max="1791" width="6.6640625" style="1" customWidth="1"/>
    <col min="1792" max="1792" width="19" style="1" customWidth="1"/>
    <col min="1793" max="1793" width="19.109375" style="1" customWidth="1"/>
    <col min="1794" max="1794" width="21.33203125" style="1" customWidth="1"/>
    <col min="1795" max="1795" width="32.5546875" style="1" customWidth="1"/>
    <col min="1796" max="1796" width="16.88671875" style="1" customWidth="1"/>
    <col min="1797" max="1797" width="16.33203125" style="1" customWidth="1"/>
    <col min="1798" max="2028" width="10.33203125" style="1"/>
    <col min="2029" max="2029" width="4.44140625" style="1" customWidth="1"/>
    <col min="2030" max="2030" width="21.6640625" style="1" customWidth="1"/>
    <col min="2031" max="2031" width="15" style="1" customWidth="1"/>
    <col min="2032" max="2032" width="15.44140625" style="1" customWidth="1"/>
    <col min="2033" max="2033" width="11.5546875" style="1" customWidth="1"/>
    <col min="2034" max="2034" width="7.44140625" style="1" customWidth="1"/>
    <col min="2035" max="2035" width="14.109375" style="1" customWidth="1"/>
    <col min="2036" max="2036" width="10.6640625" style="1" customWidth="1"/>
    <col min="2037" max="2037" width="13.44140625" style="1" customWidth="1"/>
    <col min="2038" max="2038" width="11.44140625" style="1" customWidth="1"/>
    <col min="2039" max="2039" width="15" style="1" customWidth="1"/>
    <col min="2040" max="2040" width="14.5546875" style="1" customWidth="1"/>
    <col min="2041" max="2041" width="10.33203125" style="1"/>
    <col min="2042" max="2042" width="7.44140625" style="1" customWidth="1"/>
    <col min="2043" max="2043" width="12.88671875" style="1" customWidth="1"/>
    <col min="2044" max="2044" width="11.109375" style="1" customWidth="1"/>
    <col min="2045" max="2045" width="14" style="1" customWidth="1"/>
    <col min="2046" max="2046" width="33" style="1" customWidth="1"/>
    <col min="2047" max="2047" width="6.6640625" style="1" customWidth="1"/>
    <col min="2048" max="2048" width="19" style="1" customWidth="1"/>
    <col min="2049" max="2049" width="19.109375" style="1" customWidth="1"/>
    <col min="2050" max="2050" width="21.33203125" style="1" customWidth="1"/>
    <col min="2051" max="2051" width="32.5546875" style="1" customWidth="1"/>
    <col min="2052" max="2052" width="16.88671875" style="1" customWidth="1"/>
    <col min="2053" max="2053" width="16.33203125" style="1" customWidth="1"/>
    <col min="2054" max="2284" width="10.33203125" style="1"/>
    <col min="2285" max="2285" width="4.44140625" style="1" customWidth="1"/>
    <col min="2286" max="2286" width="21.6640625" style="1" customWidth="1"/>
    <col min="2287" max="2287" width="15" style="1" customWidth="1"/>
    <col min="2288" max="2288" width="15.44140625" style="1" customWidth="1"/>
    <col min="2289" max="2289" width="11.5546875" style="1" customWidth="1"/>
    <col min="2290" max="2290" width="7.44140625" style="1" customWidth="1"/>
    <col min="2291" max="2291" width="14.109375" style="1" customWidth="1"/>
    <col min="2292" max="2292" width="10.6640625" style="1" customWidth="1"/>
    <col min="2293" max="2293" width="13.44140625" style="1" customWidth="1"/>
    <col min="2294" max="2294" width="11.44140625" style="1" customWidth="1"/>
    <col min="2295" max="2295" width="15" style="1" customWidth="1"/>
    <col min="2296" max="2296" width="14.5546875" style="1" customWidth="1"/>
    <col min="2297" max="2297" width="10.33203125" style="1"/>
    <col min="2298" max="2298" width="7.44140625" style="1" customWidth="1"/>
    <col min="2299" max="2299" width="12.88671875" style="1" customWidth="1"/>
    <col min="2300" max="2300" width="11.109375" style="1" customWidth="1"/>
    <col min="2301" max="2301" width="14" style="1" customWidth="1"/>
    <col min="2302" max="2302" width="33" style="1" customWidth="1"/>
    <col min="2303" max="2303" width="6.6640625" style="1" customWidth="1"/>
    <col min="2304" max="2304" width="19" style="1" customWidth="1"/>
    <col min="2305" max="2305" width="19.109375" style="1" customWidth="1"/>
    <col min="2306" max="2306" width="21.33203125" style="1" customWidth="1"/>
    <col min="2307" max="2307" width="32.5546875" style="1" customWidth="1"/>
    <col min="2308" max="2308" width="16.88671875" style="1" customWidth="1"/>
    <col min="2309" max="2309" width="16.33203125" style="1" customWidth="1"/>
    <col min="2310" max="2540" width="10.33203125" style="1"/>
    <col min="2541" max="2541" width="4.44140625" style="1" customWidth="1"/>
    <col min="2542" max="2542" width="21.6640625" style="1" customWidth="1"/>
    <col min="2543" max="2543" width="15" style="1" customWidth="1"/>
    <col min="2544" max="2544" width="15.44140625" style="1" customWidth="1"/>
    <col min="2545" max="2545" width="11.5546875" style="1" customWidth="1"/>
    <col min="2546" max="2546" width="7.44140625" style="1" customWidth="1"/>
    <col min="2547" max="2547" width="14.109375" style="1" customWidth="1"/>
    <col min="2548" max="2548" width="10.6640625" style="1" customWidth="1"/>
    <col min="2549" max="2549" width="13.44140625" style="1" customWidth="1"/>
    <col min="2550" max="2550" width="11.44140625" style="1" customWidth="1"/>
    <col min="2551" max="2551" width="15" style="1" customWidth="1"/>
    <col min="2552" max="2552" width="14.5546875" style="1" customWidth="1"/>
    <col min="2553" max="2553" width="10.33203125" style="1"/>
    <col min="2554" max="2554" width="7.44140625" style="1" customWidth="1"/>
    <col min="2555" max="2555" width="12.88671875" style="1" customWidth="1"/>
    <col min="2556" max="2556" width="11.109375" style="1" customWidth="1"/>
    <col min="2557" max="2557" width="14" style="1" customWidth="1"/>
    <col min="2558" max="2558" width="33" style="1" customWidth="1"/>
    <col min="2559" max="2559" width="6.6640625" style="1" customWidth="1"/>
    <col min="2560" max="2560" width="19" style="1" customWidth="1"/>
    <col min="2561" max="2561" width="19.109375" style="1" customWidth="1"/>
    <col min="2562" max="2562" width="21.33203125" style="1" customWidth="1"/>
    <col min="2563" max="2563" width="32.5546875" style="1" customWidth="1"/>
    <col min="2564" max="2564" width="16.88671875" style="1" customWidth="1"/>
    <col min="2565" max="2565" width="16.33203125" style="1" customWidth="1"/>
    <col min="2566" max="2796" width="10.33203125" style="1"/>
    <col min="2797" max="2797" width="4.44140625" style="1" customWidth="1"/>
    <col min="2798" max="2798" width="21.6640625" style="1" customWidth="1"/>
    <col min="2799" max="2799" width="15" style="1" customWidth="1"/>
    <col min="2800" max="2800" width="15.44140625" style="1" customWidth="1"/>
    <col min="2801" max="2801" width="11.5546875" style="1" customWidth="1"/>
    <col min="2802" max="2802" width="7.44140625" style="1" customWidth="1"/>
    <col min="2803" max="2803" width="14.109375" style="1" customWidth="1"/>
    <col min="2804" max="2804" width="10.6640625" style="1" customWidth="1"/>
    <col min="2805" max="2805" width="13.44140625" style="1" customWidth="1"/>
    <col min="2806" max="2806" width="11.44140625" style="1" customWidth="1"/>
    <col min="2807" max="2807" width="15" style="1" customWidth="1"/>
    <col min="2808" max="2808" width="14.5546875" style="1" customWidth="1"/>
    <col min="2809" max="2809" width="10.33203125" style="1"/>
    <col min="2810" max="2810" width="7.44140625" style="1" customWidth="1"/>
    <col min="2811" max="2811" width="12.88671875" style="1" customWidth="1"/>
    <col min="2812" max="2812" width="11.109375" style="1" customWidth="1"/>
    <col min="2813" max="2813" width="14" style="1" customWidth="1"/>
    <col min="2814" max="2814" width="33" style="1" customWidth="1"/>
    <col min="2815" max="2815" width="6.6640625" style="1" customWidth="1"/>
    <col min="2816" max="2816" width="19" style="1" customWidth="1"/>
    <col min="2817" max="2817" width="19.109375" style="1" customWidth="1"/>
    <col min="2818" max="2818" width="21.33203125" style="1" customWidth="1"/>
    <col min="2819" max="2819" width="32.5546875" style="1" customWidth="1"/>
    <col min="2820" max="2820" width="16.88671875" style="1" customWidth="1"/>
    <col min="2821" max="2821" width="16.33203125" style="1" customWidth="1"/>
    <col min="2822" max="3052" width="10.33203125" style="1"/>
    <col min="3053" max="3053" width="4.44140625" style="1" customWidth="1"/>
    <col min="3054" max="3054" width="21.6640625" style="1" customWidth="1"/>
    <col min="3055" max="3055" width="15" style="1" customWidth="1"/>
    <col min="3056" max="3056" width="15.44140625" style="1" customWidth="1"/>
    <col min="3057" max="3057" width="11.5546875" style="1" customWidth="1"/>
    <col min="3058" max="3058" width="7.44140625" style="1" customWidth="1"/>
    <col min="3059" max="3059" width="14.109375" style="1" customWidth="1"/>
    <col min="3060" max="3060" width="10.6640625" style="1" customWidth="1"/>
    <col min="3061" max="3061" width="13.44140625" style="1" customWidth="1"/>
    <col min="3062" max="3062" width="11.44140625" style="1" customWidth="1"/>
    <col min="3063" max="3063" width="15" style="1" customWidth="1"/>
    <col min="3064" max="3064" width="14.5546875" style="1" customWidth="1"/>
    <col min="3065" max="3065" width="10.33203125" style="1"/>
    <col min="3066" max="3066" width="7.44140625" style="1" customWidth="1"/>
    <col min="3067" max="3067" width="12.88671875" style="1" customWidth="1"/>
    <col min="3068" max="3068" width="11.109375" style="1" customWidth="1"/>
    <col min="3069" max="3069" width="14" style="1" customWidth="1"/>
    <col min="3070" max="3070" width="33" style="1" customWidth="1"/>
    <col min="3071" max="3071" width="6.6640625" style="1" customWidth="1"/>
    <col min="3072" max="3072" width="19" style="1" customWidth="1"/>
    <col min="3073" max="3073" width="19.109375" style="1" customWidth="1"/>
    <col min="3074" max="3074" width="21.33203125" style="1" customWidth="1"/>
    <col min="3075" max="3075" width="32.5546875" style="1" customWidth="1"/>
    <col min="3076" max="3076" width="16.88671875" style="1" customWidth="1"/>
    <col min="3077" max="3077" width="16.33203125" style="1" customWidth="1"/>
    <col min="3078" max="3308" width="10.33203125" style="1"/>
    <col min="3309" max="3309" width="4.44140625" style="1" customWidth="1"/>
    <col min="3310" max="3310" width="21.6640625" style="1" customWidth="1"/>
    <col min="3311" max="3311" width="15" style="1" customWidth="1"/>
    <col min="3312" max="3312" width="15.44140625" style="1" customWidth="1"/>
    <col min="3313" max="3313" width="11.5546875" style="1" customWidth="1"/>
    <col min="3314" max="3314" width="7.44140625" style="1" customWidth="1"/>
    <col min="3315" max="3315" width="14.109375" style="1" customWidth="1"/>
    <col min="3316" max="3316" width="10.6640625" style="1" customWidth="1"/>
    <col min="3317" max="3317" width="13.44140625" style="1" customWidth="1"/>
    <col min="3318" max="3318" width="11.44140625" style="1" customWidth="1"/>
    <col min="3319" max="3319" width="15" style="1" customWidth="1"/>
    <col min="3320" max="3320" width="14.5546875" style="1" customWidth="1"/>
    <col min="3321" max="3321" width="10.33203125" style="1"/>
    <col min="3322" max="3322" width="7.44140625" style="1" customWidth="1"/>
    <col min="3323" max="3323" width="12.88671875" style="1" customWidth="1"/>
    <col min="3324" max="3324" width="11.109375" style="1" customWidth="1"/>
    <col min="3325" max="3325" width="14" style="1" customWidth="1"/>
    <col min="3326" max="3326" width="33" style="1" customWidth="1"/>
    <col min="3327" max="3327" width="6.6640625" style="1" customWidth="1"/>
    <col min="3328" max="3328" width="19" style="1" customWidth="1"/>
    <col min="3329" max="3329" width="19.109375" style="1" customWidth="1"/>
    <col min="3330" max="3330" width="21.33203125" style="1" customWidth="1"/>
    <col min="3331" max="3331" width="32.5546875" style="1" customWidth="1"/>
    <col min="3332" max="3332" width="16.88671875" style="1" customWidth="1"/>
    <col min="3333" max="3333" width="16.33203125" style="1" customWidth="1"/>
    <col min="3334" max="3564" width="10.33203125" style="1"/>
    <col min="3565" max="3565" width="4.44140625" style="1" customWidth="1"/>
    <col min="3566" max="3566" width="21.6640625" style="1" customWidth="1"/>
    <col min="3567" max="3567" width="15" style="1" customWidth="1"/>
    <col min="3568" max="3568" width="15.44140625" style="1" customWidth="1"/>
    <col min="3569" max="3569" width="11.5546875" style="1" customWidth="1"/>
    <col min="3570" max="3570" width="7.44140625" style="1" customWidth="1"/>
    <col min="3571" max="3571" width="14.109375" style="1" customWidth="1"/>
    <col min="3572" max="3572" width="10.6640625" style="1" customWidth="1"/>
    <col min="3573" max="3573" width="13.44140625" style="1" customWidth="1"/>
    <col min="3574" max="3574" width="11.44140625" style="1" customWidth="1"/>
    <col min="3575" max="3575" width="15" style="1" customWidth="1"/>
    <col min="3576" max="3576" width="14.5546875" style="1" customWidth="1"/>
    <col min="3577" max="3577" width="10.33203125" style="1"/>
    <col min="3578" max="3578" width="7.44140625" style="1" customWidth="1"/>
    <col min="3579" max="3579" width="12.88671875" style="1" customWidth="1"/>
    <col min="3580" max="3580" width="11.109375" style="1" customWidth="1"/>
    <col min="3581" max="3581" width="14" style="1" customWidth="1"/>
    <col min="3582" max="3582" width="33" style="1" customWidth="1"/>
    <col min="3583" max="3583" width="6.6640625" style="1" customWidth="1"/>
    <col min="3584" max="3584" width="19" style="1" customWidth="1"/>
    <col min="3585" max="3585" width="19.109375" style="1" customWidth="1"/>
    <col min="3586" max="3586" width="21.33203125" style="1" customWidth="1"/>
    <col min="3587" max="3587" width="32.5546875" style="1" customWidth="1"/>
    <col min="3588" max="3588" width="16.88671875" style="1" customWidth="1"/>
    <col min="3589" max="3589" width="16.33203125" style="1" customWidth="1"/>
    <col min="3590" max="3820" width="10.33203125" style="1"/>
    <col min="3821" max="3821" width="4.44140625" style="1" customWidth="1"/>
    <col min="3822" max="3822" width="21.6640625" style="1" customWidth="1"/>
    <col min="3823" max="3823" width="15" style="1" customWidth="1"/>
    <col min="3824" max="3824" width="15.44140625" style="1" customWidth="1"/>
    <col min="3825" max="3825" width="11.5546875" style="1" customWidth="1"/>
    <col min="3826" max="3826" width="7.44140625" style="1" customWidth="1"/>
    <col min="3827" max="3827" width="14.109375" style="1" customWidth="1"/>
    <col min="3828" max="3828" width="10.6640625" style="1" customWidth="1"/>
    <col min="3829" max="3829" width="13.44140625" style="1" customWidth="1"/>
    <col min="3830" max="3830" width="11.44140625" style="1" customWidth="1"/>
    <col min="3831" max="3831" width="15" style="1" customWidth="1"/>
    <col min="3832" max="3832" width="14.5546875" style="1" customWidth="1"/>
    <col min="3833" max="3833" width="10.33203125" style="1"/>
    <col min="3834" max="3834" width="7.44140625" style="1" customWidth="1"/>
    <col min="3835" max="3835" width="12.88671875" style="1" customWidth="1"/>
    <col min="3836" max="3836" width="11.109375" style="1" customWidth="1"/>
    <col min="3837" max="3837" width="14" style="1" customWidth="1"/>
    <col min="3838" max="3838" width="33" style="1" customWidth="1"/>
    <col min="3839" max="3839" width="6.6640625" style="1" customWidth="1"/>
    <col min="3840" max="3840" width="19" style="1" customWidth="1"/>
    <col min="3841" max="3841" width="19.109375" style="1" customWidth="1"/>
    <col min="3842" max="3842" width="21.33203125" style="1" customWidth="1"/>
    <col min="3843" max="3843" width="32.5546875" style="1" customWidth="1"/>
    <col min="3844" max="3844" width="16.88671875" style="1" customWidth="1"/>
    <col min="3845" max="3845" width="16.33203125" style="1" customWidth="1"/>
    <col min="3846" max="4076" width="10.33203125" style="1"/>
    <col min="4077" max="4077" width="4.44140625" style="1" customWidth="1"/>
    <col min="4078" max="4078" width="21.6640625" style="1" customWidth="1"/>
    <col min="4079" max="4079" width="15" style="1" customWidth="1"/>
    <col min="4080" max="4080" width="15.44140625" style="1" customWidth="1"/>
    <col min="4081" max="4081" width="11.5546875" style="1" customWidth="1"/>
    <col min="4082" max="4082" width="7.44140625" style="1" customWidth="1"/>
    <col min="4083" max="4083" width="14.109375" style="1" customWidth="1"/>
    <col min="4084" max="4084" width="10.6640625" style="1" customWidth="1"/>
    <col min="4085" max="4085" width="13.44140625" style="1" customWidth="1"/>
    <col min="4086" max="4086" width="11.44140625" style="1" customWidth="1"/>
    <col min="4087" max="4087" width="15" style="1" customWidth="1"/>
    <col min="4088" max="4088" width="14.5546875" style="1" customWidth="1"/>
    <col min="4089" max="4089" width="10.33203125" style="1"/>
    <col min="4090" max="4090" width="7.44140625" style="1" customWidth="1"/>
    <col min="4091" max="4091" width="12.88671875" style="1" customWidth="1"/>
    <col min="4092" max="4092" width="11.109375" style="1" customWidth="1"/>
    <col min="4093" max="4093" width="14" style="1" customWidth="1"/>
    <col min="4094" max="4094" width="33" style="1" customWidth="1"/>
    <col min="4095" max="4095" width="6.6640625" style="1" customWidth="1"/>
    <col min="4096" max="4096" width="19" style="1" customWidth="1"/>
    <col min="4097" max="4097" width="19.109375" style="1" customWidth="1"/>
    <col min="4098" max="4098" width="21.33203125" style="1" customWidth="1"/>
    <col min="4099" max="4099" width="32.5546875" style="1" customWidth="1"/>
    <col min="4100" max="4100" width="16.88671875" style="1" customWidth="1"/>
    <col min="4101" max="4101" width="16.33203125" style="1" customWidth="1"/>
    <col min="4102" max="4332" width="10.33203125" style="1"/>
    <col min="4333" max="4333" width="4.44140625" style="1" customWidth="1"/>
    <col min="4334" max="4334" width="21.6640625" style="1" customWidth="1"/>
    <col min="4335" max="4335" width="15" style="1" customWidth="1"/>
    <col min="4336" max="4336" width="15.44140625" style="1" customWidth="1"/>
    <col min="4337" max="4337" width="11.5546875" style="1" customWidth="1"/>
    <col min="4338" max="4338" width="7.44140625" style="1" customWidth="1"/>
    <col min="4339" max="4339" width="14.109375" style="1" customWidth="1"/>
    <col min="4340" max="4340" width="10.6640625" style="1" customWidth="1"/>
    <col min="4341" max="4341" width="13.44140625" style="1" customWidth="1"/>
    <col min="4342" max="4342" width="11.44140625" style="1" customWidth="1"/>
    <col min="4343" max="4343" width="15" style="1" customWidth="1"/>
    <col min="4344" max="4344" width="14.5546875" style="1" customWidth="1"/>
    <col min="4345" max="4345" width="10.33203125" style="1"/>
    <col min="4346" max="4346" width="7.44140625" style="1" customWidth="1"/>
    <col min="4347" max="4347" width="12.88671875" style="1" customWidth="1"/>
    <col min="4348" max="4348" width="11.109375" style="1" customWidth="1"/>
    <col min="4349" max="4349" width="14" style="1" customWidth="1"/>
    <col min="4350" max="4350" width="33" style="1" customWidth="1"/>
    <col min="4351" max="4351" width="6.6640625" style="1" customWidth="1"/>
    <col min="4352" max="4352" width="19" style="1" customWidth="1"/>
    <col min="4353" max="4353" width="19.109375" style="1" customWidth="1"/>
    <col min="4354" max="4354" width="21.33203125" style="1" customWidth="1"/>
    <col min="4355" max="4355" width="32.5546875" style="1" customWidth="1"/>
    <col min="4356" max="4356" width="16.88671875" style="1" customWidth="1"/>
    <col min="4357" max="4357" width="16.33203125" style="1" customWidth="1"/>
    <col min="4358" max="4588" width="10.33203125" style="1"/>
    <col min="4589" max="4589" width="4.44140625" style="1" customWidth="1"/>
    <col min="4590" max="4590" width="21.6640625" style="1" customWidth="1"/>
    <col min="4591" max="4591" width="15" style="1" customWidth="1"/>
    <col min="4592" max="4592" width="15.44140625" style="1" customWidth="1"/>
    <col min="4593" max="4593" width="11.5546875" style="1" customWidth="1"/>
    <col min="4594" max="4594" width="7.44140625" style="1" customWidth="1"/>
    <col min="4595" max="4595" width="14.109375" style="1" customWidth="1"/>
    <col min="4596" max="4596" width="10.6640625" style="1" customWidth="1"/>
    <col min="4597" max="4597" width="13.44140625" style="1" customWidth="1"/>
    <col min="4598" max="4598" width="11.44140625" style="1" customWidth="1"/>
    <col min="4599" max="4599" width="15" style="1" customWidth="1"/>
    <col min="4600" max="4600" width="14.5546875" style="1" customWidth="1"/>
    <col min="4601" max="4601" width="10.33203125" style="1"/>
    <col min="4602" max="4602" width="7.44140625" style="1" customWidth="1"/>
    <col min="4603" max="4603" width="12.88671875" style="1" customWidth="1"/>
    <col min="4604" max="4604" width="11.109375" style="1" customWidth="1"/>
    <col min="4605" max="4605" width="14" style="1" customWidth="1"/>
    <col min="4606" max="4606" width="33" style="1" customWidth="1"/>
    <col min="4607" max="4607" width="6.6640625" style="1" customWidth="1"/>
    <col min="4608" max="4608" width="19" style="1" customWidth="1"/>
    <col min="4609" max="4609" width="19.109375" style="1" customWidth="1"/>
    <col min="4610" max="4610" width="21.33203125" style="1" customWidth="1"/>
    <col min="4611" max="4611" width="32.5546875" style="1" customWidth="1"/>
    <col min="4612" max="4612" width="16.88671875" style="1" customWidth="1"/>
    <col min="4613" max="4613" width="16.33203125" style="1" customWidth="1"/>
    <col min="4614" max="4844" width="10.33203125" style="1"/>
    <col min="4845" max="4845" width="4.44140625" style="1" customWidth="1"/>
    <col min="4846" max="4846" width="21.6640625" style="1" customWidth="1"/>
    <col min="4847" max="4847" width="15" style="1" customWidth="1"/>
    <col min="4848" max="4848" width="15.44140625" style="1" customWidth="1"/>
    <col min="4849" max="4849" width="11.5546875" style="1" customWidth="1"/>
    <col min="4850" max="4850" width="7.44140625" style="1" customWidth="1"/>
    <col min="4851" max="4851" width="14.109375" style="1" customWidth="1"/>
    <col min="4852" max="4852" width="10.6640625" style="1" customWidth="1"/>
    <col min="4853" max="4853" width="13.44140625" style="1" customWidth="1"/>
    <col min="4854" max="4854" width="11.44140625" style="1" customWidth="1"/>
    <col min="4855" max="4855" width="15" style="1" customWidth="1"/>
    <col min="4856" max="4856" width="14.5546875" style="1" customWidth="1"/>
    <col min="4857" max="4857" width="10.33203125" style="1"/>
    <col min="4858" max="4858" width="7.44140625" style="1" customWidth="1"/>
    <col min="4859" max="4859" width="12.88671875" style="1" customWidth="1"/>
    <col min="4860" max="4860" width="11.109375" style="1" customWidth="1"/>
    <col min="4861" max="4861" width="14" style="1" customWidth="1"/>
    <col min="4862" max="4862" width="33" style="1" customWidth="1"/>
    <col min="4863" max="4863" width="6.6640625" style="1" customWidth="1"/>
    <col min="4864" max="4864" width="19" style="1" customWidth="1"/>
    <col min="4865" max="4865" width="19.109375" style="1" customWidth="1"/>
    <col min="4866" max="4866" width="21.33203125" style="1" customWidth="1"/>
    <col min="4867" max="4867" width="32.5546875" style="1" customWidth="1"/>
    <col min="4868" max="4868" width="16.88671875" style="1" customWidth="1"/>
    <col min="4869" max="4869" width="16.33203125" style="1" customWidth="1"/>
    <col min="4870" max="5100" width="10.33203125" style="1"/>
    <col min="5101" max="5101" width="4.44140625" style="1" customWidth="1"/>
    <col min="5102" max="5102" width="21.6640625" style="1" customWidth="1"/>
    <col min="5103" max="5103" width="15" style="1" customWidth="1"/>
    <col min="5104" max="5104" width="15.44140625" style="1" customWidth="1"/>
    <col min="5105" max="5105" width="11.5546875" style="1" customWidth="1"/>
    <col min="5106" max="5106" width="7.44140625" style="1" customWidth="1"/>
    <col min="5107" max="5107" width="14.109375" style="1" customWidth="1"/>
    <col min="5108" max="5108" width="10.6640625" style="1" customWidth="1"/>
    <col min="5109" max="5109" width="13.44140625" style="1" customWidth="1"/>
    <col min="5110" max="5110" width="11.44140625" style="1" customWidth="1"/>
    <col min="5111" max="5111" width="15" style="1" customWidth="1"/>
    <col min="5112" max="5112" width="14.5546875" style="1" customWidth="1"/>
    <col min="5113" max="5113" width="10.33203125" style="1"/>
    <col min="5114" max="5114" width="7.44140625" style="1" customWidth="1"/>
    <col min="5115" max="5115" width="12.88671875" style="1" customWidth="1"/>
    <col min="5116" max="5116" width="11.109375" style="1" customWidth="1"/>
    <col min="5117" max="5117" width="14" style="1" customWidth="1"/>
    <col min="5118" max="5118" width="33" style="1" customWidth="1"/>
    <col min="5119" max="5119" width="6.6640625" style="1" customWidth="1"/>
    <col min="5120" max="5120" width="19" style="1" customWidth="1"/>
    <col min="5121" max="5121" width="19.109375" style="1" customWidth="1"/>
    <col min="5122" max="5122" width="21.33203125" style="1" customWidth="1"/>
    <col min="5123" max="5123" width="32.5546875" style="1" customWidth="1"/>
    <col min="5124" max="5124" width="16.88671875" style="1" customWidth="1"/>
    <col min="5125" max="5125" width="16.33203125" style="1" customWidth="1"/>
    <col min="5126" max="5356" width="10.33203125" style="1"/>
    <col min="5357" max="5357" width="4.44140625" style="1" customWidth="1"/>
    <col min="5358" max="5358" width="21.6640625" style="1" customWidth="1"/>
    <col min="5359" max="5359" width="15" style="1" customWidth="1"/>
    <col min="5360" max="5360" width="15.44140625" style="1" customWidth="1"/>
    <col min="5361" max="5361" width="11.5546875" style="1" customWidth="1"/>
    <col min="5362" max="5362" width="7.44140625" style="1" customWidth="1"/>
    <col min="5363" max="5363" width="14.109375" style="1" customWidth="1"/>
    <col min="5364" max="5364" width="10.6640625" style="1" customWidth="1"/>
    <col min="5365" max="5365" width="13.44140625" style="1" customWidth="1"/>
    <col min="5366" max="5366" width="11.44140625" style="1" customWidth="1"/>
    <col min="5367" max="5367" width="15" style="1" customWidth="1"/>
    <col min="5368" max="5368" width="14.5546875" style="1" customWidth="1"/>
    <col min="5369" max="5369" width="10.33203125" style="1"/>
    <col min="5370" max="5370" width="7.44140625" style="1" customWidth="1"/>
    <col min="5371" max="5371" width="12.88671875" style="1" customWidth="1"/>
    <col min="5372" max="5372" width="11.109375" style="1" customWidth="1"/>
    <col min="5373" max="5373" width="14" style="1" customWidth="1"/>
    <col min="5374" max="5374" width="33" style="1" customWidth="1"/>
    <col min="5375" max="5375" width="6.6640625" style="1" customWidth="1"/>
    <col min="5376" max="5376" width="19" style="1" customWidth="1"/>
    <col min="5377" max="5377" width="19.109375" style="1" customWidth="1"/>
    <col min="5378" max="5378" width="21.33203125" style="1" customWidth="1"/>
    <col min="5379" max="5379" width="32.5546875" style="1" customWidth="1"/>
    <col min="5380" max="5380" width="16.88671875" style="1" customWidth="1"/>
    <col min="5381" max="5381" width="16.33203125" style="1" customWidth="1"/>
    <col min="5382" max="5612" width="10.33203125" style="1"/>
    <col min="5613" max="5613" width="4.44140625" style="1" customWidth="1"/>
    <col min="5614" max="5614" width="21.6640625" style="1" customWidth="1"/>
    <col min="5615" max="5615" width="15" style="1" customWidth="1"/>
    <col min="5616" max="5616" width="15.44140625" style="1" customWidth="1"/>
    <col min="5617" max="5617" width="11.5546875" style="1" customWidth="1"/>
    <col min="5618" max="5618" width="7.44140625" style="1" customWidth="1"/>
    <col min="5619" max="5619" width="14.109375" style="1" customWidth="1"/>
    <col min="5620" max="5620" width="10.6640625" style="1" customWidth="1"/>
    <col min="5621" max="5621" width="13.44140625" style="1" customWidth="1"/>
    <col min="5622" max="5622" width="11.44140625" style="1" customWidth="1"/>
    <col min="5623" max="5623" width="15" style="1" customWidth="1"/>
    <col min="5624" max="5624" width="14.5546875" style="1" customWidth="1"/>
    <col min="5625" max="5625" width="10.33203125" style="1"/>
    <col min="5626" max="5626" width="7.44140625" style="1" customWidth="1"/>
    <col min="5627" max="5627" width="12.88671875" style="1" customWidth="1"/>
    <col min="5628" max="5628" width="11.109375" style="1" customWidth="1"/>
    <col min="5629" max="5629" width="14" style="1" customWidth="1"/>
    <col min="5630" max="5630" width="33" style="1" customWidth="1"/>
    <col min="5631" max="5631" width="6.6640625" style="1" customWidth="1"/>
    <col min="5632" max="5632" width="19" style="1" customWidth="1"/>
    <col min="5633" max="5633" width="19.109375" style="1" customWidth="1"/>
    <col min="5634" max="5634" width="21.33203125" style="1" customWidth="1"/>
    <col min="5635" max="5635" width="32.5546875" style="1" customWidth="1"/>
    <col min="5636" max="5636" width="16.88671875" style="1" customWidth="1"/>
    <col min="5637" max="5637" width="16.33203125" style="1" customWidth="1"/>
    <col min="5638" max="5868" width="10.33203125" style="1"/>
    <col min="5869" max="5869" width="4.44140625" style="1" customWidth="1"/>
    <col min="5870" max="5870" width="21.6640625" style="1" customWidth="1"/>
    <col min="5871" max="5871" width="15" style="1" customWidth="1"/>
    <col min="5872" max="5872" width="15.44140625" style="1" customWidth="1"/>
    <col min="5873" max="5873" width="11.5546875" style="1" customWidth="1"/>
    <col min="5874" max="5874" width="7.44140625" style="1" customWidth="1"/>
    <col min="5875" max="5875" width="14.109375" style="1" customWidth="1"/>
    <col min="5876" max="5876" width="10.6640625" style="1" customWidth="1"/>
    <col min="5877" max="5877" width="13.44140625" style="1" customWidth="1"/>
    <col min="5878" max="5878" width="11.44140625" style="1" customWidth="1"/>
    <col min="5879" max="5879" width="15" style="1" customWidth="1"/>
    <col min="5880" max="5880" width="14.5546875" style="1" customWidth="1"/>
    <col min="5881" max="5881" width="10.33203125" style="1"/>
    <col min="5882" max="5882" width="7.44140625" style="1" customWidth="1"/>
    <col min="5883" max="5883" width="12.88671875" style="1" customWidth="1"/>
    <col min="5884" max="5884" width="11.109375" style="1" customWidth="1"/>
    <col min="5885" max="5885" width="14" style="1" customWidth="1"/>
    <col min="5886" max="5886" width="33" style="1" customWidth="1"/>
    <col min="5887" max="5887" width="6.6640625" style="1" customWidth="1"/>
    <col min="5888" max="5888" width="19" style="1" customWidth="1"/>
    <col min="5889" max="5889" width="19.109375" style="1" customWidth="1"/>
    <col min="5890" max="5890" width="21.33203125" style="1" customWidth="1"/>
    <col min="5891" max="5891" width="32.5546875" style="1" customWidth="1"/>
    <col min="5892" max="5892" width="16.88671875" style="1" customWidth="1"/>
    <col min="5893" max="5893" width="16.33203125" style="1" customWidth="1"/>
    <col min="5894" max="6124" width="10.33203125" style="1"/>
    <col min="6125" max="6125" width="4.44140625" style="1" customWidth="1"/>
    <col min="6126" max="6126" width="21.6640625" style="1" customWidth="1"/>
    <col min="6127" max="6127" width="15" style="1" customWidth="1"/>
    <col min="6128" max="6128" width="15.44140625" style="1" customWidth="1"/>
    <col min="6129" max="6129" width="11.5546875" style="1" customWidth="1"/>
    <col min="6130" max="6130" width="7.44140625" style="1" customWidth="1"/>
    <col min="6131" max="6131" width="14.109375" style="1" customWidth="1"/>
    <col min="6132" max="6132" width="10.6640625" style="1" customWidth="1"/>
    <col min="6133" max="6133" width="13.44140625" style="1" customWidth="1"/>
    <col min="6134" max="6134" width="11.44140625" style="1" customWidth="1"/>
    <col min="6135" max="6135" width="15" style="1" customWidth="1"/>
    <col min="6136" max="6136" width="14.5546875" style="1" customWidth="1"/>
    <col min="6137" max="6137" width="10.33203125" style="1"/>
    <col min="6138" max="6138" width="7.44140625" style="1" customWidth="1"/>
    <col min="6139" max="6139" width="12.88671875" style="1" customWidth="1"/>
    <col min="6140" max="6140" width="11.109375" style="1" customWidth="1"/>
    <col min="6141" max="6141" width="14" style="1" customWidth="1"/>
    <col min="6142" max="6142" width="33" style="1" customWidth="1"/>
    <col min="6143" max="6143" width="6.6640625" style="1" customWidth="1"/>
    <col min="6144" max="6144" width="19" style="1" customWidth="1"/>
    <col min="6145" max="6145" width="19.109375" style="1" customWidth="1"/>
    <col min="6146" max="6146" width="21.33203125" style="1" customWidth="1"/>
    <col min="6147" max="6147" width="32.5546875" style="1" customWidth="1"/>
    <col min="6148" max="6148" width="16.88671875" style="1" customWidth="1"/>
    <col min="6149" max="6149" width="16.33203125" style="1" customWidth="1"/>
    <col min="6150" max="6380" width="10.33203125" style="1"/>
    <col min="6381" max="6381" width="4.44140625" style="1" customWidth="1"/>
    <col min="6382" max="6382" width="21.6640625" style="1" customWidth="1"/>
    <col min="6383" max="6383" width="15" style="1" customWidth="1"/>
    <col min="6384" max="6384" width="15.44140625" style="1" customWidth="1"/>
    <col min="6385" max="6385" width="11.5546875" style="1" customWidth="1"/>
    <col min="6386" max="6386" width="7.44140625" style="1" customWidth="1"/>
    <col min="6387" max="6387" width="14.109375" style="1" customWidth="1"/>
    <col min="6388" max="6388" width="10.6640625" style="1" customWidth="1"/>
    <col min="6389" max="6389" width="13.44140625" style="1" customWidth="1"/>
    <col min="6390" max="6390" width="11.44140625" style="1" customWidth="1"/>
    <col min="6391" max="6391" width="15" style="1" customWidth="1"/>
    <col min="6392" max="6392" width="14.5546875" style="1" customWidth="1"/>
    <col min="6393" max="6393" width="10.33203125" style="1"/>
    <col min="6394" max="6394" width="7.44140625" style="1" customWidth="1"/>
    <col min="6395" max="6395" width="12.88671875" style="1" customWidth="1"/>
    <col min="6396" max="6396" width="11.109375" style="1" customWidth="1"/>
    <col min="6397" max="6397" width="14" style="1" customWidth="1"/>
    <col min="6398" max="6398" width="33" style="1" customWidth="1"/>
    <col min="6399" max="6399" width="6.6640625" style="1" customWidth="1"/>
    <col min="6400" max="6400" width="19" style="1" customWidth="1"/>
    <col min="6401" max="6401" width="19.109375" style="1" customWidth="1"/>
    <col min="6402" max="6402" width="21.33203125" style="1" customWidth="1"/>
    <col min="6403" max="6403" width="32.5546875" style="1" customWidth="1"/>
    <col min="6404" max="6404" width="16.88671875" style="1" customWidth="1"/>
    <col min="6405" max="6405" width="16.33203125" style="1" customWidth="1"/>
    <col min="6406" max="6636" width="10.33203125" style="1"/>
    <col min="6637" max="6637" width="4.44140625" style="1" customWidth="1"/>
    <col min="6638" max="6638" width="21.6640625" style="1" customWidth="1"/>
    <col min="6639" max="6639" width="15" style="1" customWidth="1"/>
    <col min="6640" max="6640" width="15.44140625" style="1" customWidth="1"/>
    <col min="6641" max="6641" width="11.5546875" style="1" customWidth="1"/>
    <col min="6642" max="6642" width="7.44140625" style="1" customWidth="1"/>
    <col min="6643" max="6643" width="14.109375" style="1" customWidth="1"/>
    <col min="6644" max="6644" width="10.6640625" style="1" customWidth="1"/>
    <col min="6645" max="6645" width="13.44140625" style="1" customWidth="1"/>
    <col min="6646" max="6646" width="11.44140625" style="1" customWidth="1"/>
    <col min="6647" max="6647" width="15" style="1" customWidth="1"/>
    <col min="6648" max="6648" width="14.5546875" style="1" customWidth="1"/>
    <col min="6649" max="6649" width="10.33203125" style="1"/>
    <col min="6650" max="6650" width="7.44140625" style="1" customWidth="1"/>
    <col min="6651" max="6651" width="12.88671875" style="1" customWidth="1"/>
    <col min="6652" max="6652" width="11.109375" style="1" customWidth="1"/>
    <col min="6653" max="6653" width="14" style="1" customWidth="1"/>
    <col min="6654" max="6654" width="33" style="1" customWidth="1"/>
    <col min="6655" max="6655" width="6.6640625" style="1" customWidth="1"/>
    <col min="6656" max="6656" width="19" style="1" customWidth="1"/>
    <col min="6657" max="6657" width="19.109375" style="1" customWidth="1"/>
    <col min="6658" max="6658" width="21.33203125" style="1" customWidth="1"/>
    <col min="6659" max="6659" width="32.5546875" style="1" customWidth="1"/>
    <col min="6660" max="6660" width="16.88671875" style="1" customWidth="1"/>
    <col min="6661" max="6661" width="16.33203125" style="1" customWidth="1"/>
    <col min="6662" max="6892" width="10.33203125" style="1"/>
    <col min="6893" max="6893" width="4.44140625" style="1" customWidth="1"/>
    <col min="6894" max="6894" width="21.6640625" style="1" customWidth="1"/>
    <col min="6895" max="6895" width="15" style="1" customWidth="1"/>
    <col min="6896" max="6896" width="15.44140625" style="1" customWidth="1"/>
    <col min="6897" max="6897" width="11.5546875" style="1" customWidth="1"/>
    <col min="6898" max="6898" width="7.44140625" style="1" customWidth="1"/>
    <col min="6899" max="6899" width="14.109375" style="1" customWidth="1"/>
    <col min="6900" max="6900" width="10.6640625" style="1" customWidth="1"/>
    <col min="6901" max="6901" width="13.44140625" style="1" customWidth="1"/>
    <col min="6902" max="6902" width="11.44140625" style="1" customWidth="1"/>
    <col min="6903" max="6903" width="15" style="1" customWidth="1"/>
    <col min="6904" max="6904" width="14.5546875" style="1" customWidth="1"/>
    <col min="6905" max="6905" width="10.33203125" style="1"/>
    <col min="6906" max="6906" width="7.44140625" style="1" customWidth="1"/>
    <col min="6907" max="6907" width="12.88671875" style="1" customWidth="1"/>
    <col min="6908" max="6908" width="11.109375" style="1" customWidth="1"/>
    <col min="6909" max="6909" width="14" style="1" customWidth="1"/>
    <col min="6910" max="6910" width="33" style="1" customWidth="1"/>
    <col min="6911" max="6911" width="6.6640625" style="1" customWidth="1"/>
    <col min="6912" max="6912" width="19" style="1" customWidth="1"/>
    <col min="6913" max="6913" width="19.109375" style="1" customWidth="1"/>
    <col min="6914" max="6914" width="21.33203125" style="1" customWidth="1"/>
    <col min="6915" max="6915" width="32.5546875" style="1" customWidth="1"/>
    <col min="6916" max="6916" width="16.88671875" style="1" customWidth="1"/>
    <col min="6917" max="6917" width="16.33203125" style="1" customWidth="1"/>
    <col min="6918" max="7148" width="10.33203125" style="1"/>
    <col min="7149" max="7149" width="4.44140625" style="1" customWidth="1"/>
    <col min="7150" max="7150" width="21.6640625" style="1" customWidth="1"/>
    <col min="7151" max="7151" width="15" style="1" customWidth="1"/>
    <col min="7152" max="7152" width="15.44140625" style="1" customWidth="1"/>
    <col min="7153" max="7153" width="11.5546875" style="1" customWidth="1"/>
    <col min="7154" max="7154" width="7.44140625" style="1" customWidth="1"/>
    <col min="7155" max="7155" width="14.109375" style="1" customWidth="1"/>
    <col min="7156" max="7156" width="10.6640625" style="1" customWidth="1"/>
    <col min="7157" max="7157" width="13.44140625" style="1" customWidth="1"/>
    <col min="7158" max="7158" width="11.44140625" style="1" customWidth="1"/>
    <col min="7159" max="7159" width="15" style="1" customWidth="1"/>
    <col min="7160" max="7160" width="14.5546875" style="1" customWidth="1"/>
    <col min="7161" max="7161" width="10.33203125" style="1"/>
    <col min="7162" max="7162" width="7.44140625" style="1" customWidth="1"/>
    <col min="7163" max="7163" width="12.88671875" style="1" customWidth="1"/>
    <col min="7164" max="7164" width="11.109375" style="1" customWidth="1"/>
    <col min="7165" max="7165" width="14" style="1" customWidth="1"/>
    <col min="7166" max="7166" width="33" style="1" customWidth="1"/>
    <col min="7167" max="7167" width="6.6640625" style="1" customWidth="1"/>
    <col min="7168" max="7168" width="19" style="1" customWidth="1"/>
    <col min="7169" max="7169" width="19.109375" style="1" customWidth="1"/>
    <col min="7170" max="7170" width="21.33203125" style="1" customWidth="1"/>
    <col min="7171" max="7171" width="32.5546875" style="1" customWidth="1"/>
    <col min="7172" max="7172" width="16.88671875" style="1" customWidth="1"/>
    <col min="7173" max="7173" width="16.33203125" style="1" customWidth="1"/>
    <col min="7174" max="7404" width="10.33203125" style="1"/>
    <col min="7405" max="7405" width="4.44140625" style="1" customWidth="1"/>
    <col min="7406" max="7406" width="21.6640625" style="1" customWidth="1"/>
    <col min="7407" max="7407" width="15" style="1" customWidth="1"/>
    <col min="7408" max="7408" width="15.44140625" style="1" customWidth="1"/>
    <col min="7409" max="7409" width="11.5546875" style="1" customWidth="1"/>
    <col min="7410" max="7410" width="7.44140625" style="1" customWidth="1"/>
    <col min="7411" max="7411" width="14.109375" style="1" customWidth="1"/>
    <col min="7412" max="7412" width="10.6640625" style="1" customWidth="1"/>
    <col min="7413" max="7413" width="13.44140625" style="1" customWidth="1"/>
    <col min="7414" max="7414" width="11.44140625" style="1" customWidth="1"/>
    <col min="7415" max="7415" width="15" style="1" customWidth="1"/>
    <col min="7416" max="7416" width="14.5546875" style="1" customWidth="1"/>
    <col min="7417" max="7417" width="10.33203125" style="1"/>
    <col min="7418" max="7418" width="7.44140625" style="1" customWidth="1"/>
    <col min="7419" max="7419" width="12.88671875" style="1" customWidth="1"/>
    <col min="7420" max="7420" width="11.109375" style="1" customWidth="1"/>
    <col min="7421" max="7421" width="14" style="1" customWidth="1"/>
    <col min="7422" max="7422" width="33" style="1" customWidth="1"/>
    <col min="7423" max="7423" width="6.6640625" style="1" customWidth="1"/>
    <col min="7424" max="7424" width="19" style="1" customWidth="1"/>
    <col min="7425" max="7425" width="19.109375" style="1" customWidth="1"/>
    <col min="7426" max="7426" width="21.33203125" style="1" customWidth="1"/>
    <col min="7427" max="7427" width="32.5546875" style="1" customWidth="1"/>
    <col min="7428" max="7428" width="16.88671875" style="1" customWidth="1"/>
    <col min="7429" max="7429" width="16.33203125" style="1" customWidth="1"/>
    <col min="7430" max="7660" width="10.33203125" style="1"/>
    <col min="7661" max="7661" width="4.44140625" style="1" customWidth="1"/>
    <col min="7662" max="7662" width="21.6640625" style="1" customWidth="1"/>
    <col min="7663" max="7663" width="15" style="1" customWidth="1"/>
    <col min="7664" max="7664" width="15.44140625" style="1" customWidth="1"/>
    <col min="7665" max="7665" width="11.5546875" style="1" customWidth="1"/>
    <col min="7666" max="7666" width="7.44140625" style="1" customWidth="1"/>
    <col min="7667" max="7667" width="14.109375" style="1" customWidth="1"/>
    <col min="7668" max="7668" width="10.6640625" style="1" customWidth="1"/>
    <col min="7669" max="7669" width="13.44140625" style="1" customWidth="1"/>
    <col min="7670" max="7670" width="11.44140625" style="1" customWidth="1"/>
    <col min="7671" max="7671" width="15" style="1" customWidth="1"/>
    <col min="7672" max="7672" width="14.5546875" style="1" customWidth="1"/>
    <col min="7673" max="7673" width="10.33203125" style="1"/>
    <col min="7674" max="7674" width="7.44140625" style="1" customWidth="1"/>
    <col min="7675" max="7675" width="12.88671875" style="1" customWidth="1"/>
    <col min="7676" max="7676" width="11.109375" style="1" customWidth="1"/>
    <col min="7677" max="7677" width="14" style="1" customWidth="1"/>
    <col min="7678" max="7678" width="33" style="1" customWidth="1"/>
    <col min="7679" max="7679" width="6.6640625" style="1" customWidth="1"/>
    <col min="7680" max="7680" width="19" style="1" customWidth="1"/>
    <col min="7681" max="7681" width="19.109375" style="1" customWidth="1"/>
    <col min="7682" max="7682" width="21.33203125" style="1" customWidth="1"/>
    <col min="7683" max="7683" width="32.5546875" style="1" customWidth="1"/>
    <col min="7684" max="7684" width="16.88671875" style="1" customWidth="1"/>
    <col min="7685" max="7685" width="16.33203125" style="1" customWidth="1"/>
    <col min="7686" max="7916" width="10.33203125" style="1"/>
    <col min="7917" max="7917" width="4.44140625" style="1" customWidth="1"/>
    <col min="7918" max="7918" width="21.6640625" style="1" customWidth="1"/>
    <col min="7919" max="7919" width="15" style="1" customWidth="1"/>
    <col min="7920" max="7920" width="15.44140625" style="1" customWidth="1"/>
    <col min="7921" max="7921" width="11.5546875" style="1" customWidth="1"/>
    <col min="7922" max="7922" width="7.44140625" style="1" customWidth="1"/>
    <col min="7923" max="7923" width="14.109375" style="1" customWidth="1"/>
    <col min="7924" max="7924" width="10.6640625" style="1" customWidth="1"/>
    <col min="7925" max="7925" width="13.44140625" style="1" customWidth="1"/>
    <col min="7926" max="7926" width="11.44140625" style="1" customWidth="1"/>
    <col min="7927" max="7927" width="15" style="1" customWidth="1"/>
    <col min="7928" max="7928" width="14.5546875" style="1" customWidth="1"/>
    <col min="7929" max="7929" width="10.33203125" style="1"/>
    <col min="7930" max="7930" width="7.44140625" style="1" customWidth="1"/>
    <col min="7931" max="7931" width="12.88671875" style="1" customWidth="1"/>
    <col min="7932" max="7932" width="11.109375" style="1" customWidth="1"/>
    <col min="7933" max="7933" width="14" style="1" customWidth="1"/>
    <col min="7934" max="7934" width="33" style="1" customWidth="1"/>
    <col min="7935" max="7935" width="6.6640625" style="1" customWidth="1"/>
    <col min="7936" max="7936" width="19" style="1" customWidth="1"/>
    <col min="7937" max="7937" width="19.109375" style="1" customWidth="1"/>
    <col min="7938" max="7938" width="21.33203125" style="1" customWidth="1"/>
    <col min="7939" max="7939" width="32.5546875" style="1" customWidth="1"/>
    <col min="7940" max="7940" width="16.88671875" style="1" customWidth="1"/>
    <col min="7941" max="7941" width="16.33203125" style="1" customWidth="1"/>
    <col min="7942" max="8172" width="10.33203125" style="1"/>
    <col min="8173" max="8173" width="4.44140625" style="1" customWidth="1"/>
    <col min="8174" max="8174" width="21.6640625" style="1" customWidth="1"/>
    <col min="8175" max="8175" width="15" style="1" customWidth="1"/>
    <col min="8176" max="8176" width="15.44140625" style="1" customWidth="1"/>
    <col min="8177" max="8177" width="11.5546875" style="1" customWidth="1"/>
    <col min="8178" max="8178" width="7.44140625" style="1" customWidth="1"/>
    <col min="8179" max="8179" width="14.109375" style="1" customWidth="1"/>
    <col min="8180" max="8180" width="10.6640625" style="1" customWidth="1"/>
    <col min="8181" max="8181" width="13.44140625" style="1" customWidth="1"/>
    <col min="8182" max="8182" width="11.44140625" style="1" customWidth="1"/>
    <col min="8183" max="8183" width="15" style="1" customWidth="1"/>
    <col min="8184" max="8184" width="14.5546875" style="1" customWidth="1"/>
    <col min="8185" max="8185" width="10.33203125" style="1"/>
    <col min="8186" max="8186" width="7.44140625" style="1" customWidth="1"/>
    <col min="8187" max="8187" width="12.88671875" style="1" customWidth="1"/>
    <col min="8188" max="8188" width="11.109375" style="1" customWidth="1"/>
    <col min="8189" max="8189" width="14" style="1" customWidth="1"/>
    <col min="8190" max="8190" width="33" style="1" customWidth="1"/>
    <col min="8191" max="8191" width="6.6640625" style="1" customWidth="1"/>
    <col min="8192" max="8192" width="19" style="1" customWidth="1"/>
    <col min="8193" max="8193" width="19.109375" style="1" customWidth="1"/>
    <col min="8194" max="8194" width="21.33203125" style="1" customWidth="1"/>
    <col min="8195" max="8195" width="32.5546875" style="1" customWidth="1"/>
    <col min="8196" max="8196" width="16.88671875" style="1" customWidth="1"/>
    <col min="8197" max="8197" width="16.33203125" style="1" customWidth="1"/>
    <col min="8198" max="8428" width="10.33203125" style="1"/>
    <col min="8429" max="8429" width="4.44140625" style="1" customWidth="1"/>
    <col min="8430" max="8430" width="21.6640625" style="1" customWidth="1"/>
    <col min="8431" max="8431" width="15" style="1" customWidth="1"/>
    <col min="8432" max="8432" width="15.44140625" style="1" customWidth="1"/>
    <col min="8433" max="8433" width="11.5546875" style="1" customWidth="1"/>
    <col min="8434" max="8434" width="7.44140625" style="1" customWidth="1"/>
    <col min="8435" max="8435" width="14.109375" style="1" customWidth="1"/>
    <col min="8436" max="8436" width="10.6640625" style="1" customWidth="1"/>
    <col min="8437" max="8437" width="13.44140625" style="1" customWidth="1"/>
    <col min="8438" max="8438" width="11.44140625" style="1" customWidth="1"/>
    <col min="8439" max="8439" width="15" style="1" customWidth="1"/>
    <col min="8440" max="8440" width="14.5546875" style="1" customWidth="1"/>
    <col min="8441" max="8441" width="10.33203125" style="1"/>
    <col min="8442" max="8442" width="7.44140625" style="1" customWidth="1"/>
    <col min="8443" max="8443" width="12.88671875" style="1" customWidth="1"/>
    <col min="8444" max="8444" width="11.109375" style="1" customWidth="1"/>
    <col min="8445" max="8445" width="14" style="1" customWidth="1"/>
    <col min="8446" max="8446" width="33" style="1" customWidth="1"/>
    <col min="8447" max="8447" width="6.6640625" style="1" customWidth="1"/>
    <col min="8448" max="8448" width="19" style="1" customWidth="1"/>
    <col min="8449" max="8449" width="19.109375" style="1" customWidth="1"/>
    <col min="8450" max="8450" width="21.33203125" style="1" customWidth="1"/>
    <col min="8451" max="8451" width="32.5546875" style="1" customWidth="1"/>
    <col min="8452" max="8452" width="16.88671875" style="1" customWidth="1"/>
    <col min="8453" max="8453" width="16.33203125" style="1" customWidth="1"/>
    <col min="8454" max="8684" width="10.33203125" style="1"/>
    <col min="8685" max="8685" width="4.44140625" style="1" customWidth="1"/>
    <col min="8686" max="8686" width="21.6640625" style="1" customWidth="1"/>
    <col min="8687" max="8687" width="15" style="1" customWidth="1"/>
    <col min="8688" max="8688" width="15.44140625" style="1" customWidth="1"/>
    <col min="8689" max="8689" width="11.5546875" style="1" customWidth="1"/>
    <col min="8690" max="8690" width="7.44140625" style="1" customWidth="1"/>
    <col min="8691" max="8691" width="14.109375" style="1" customWidth="1"/>
    <col min="8692" max="8692" width="10.6640625" style="1" customWidth="1"/>
    <col min="8693" max="8693" width="13.44140625" style="1" customWidth="1"/>
    <col min="8694" max="8694" width="11.44140625" style="1" customWidth="1"/>
    <col min="8695" max="8695" width="15" style="1" customWidth="1"/>
    <col min="8696" max="8696" width="14.5546875" style="1" customWidth="1"/>
    <col min="8697" max="8697" width="10.33203125" style="1"/>
    <col min="8698" max="8698" width="7.44140625" style="1" customWidth="1"/>
    <col min="8699" max="8699" width="12.88671875" style="1" customWidth="1"/>
    <col min="8700" max="8700" width="11.109375" style="1" customWidth="1"/>
    <col min="8701" max="8701" width="14" style="1" customWidth="1"/>
    <col min="8702" max="8702" width="33" style="1" customWidth="1"/>
    <col min="8703" max="8703" width="6.6640625" style="1" customWidth="1"/>
    <col min="8704" max="8704" width="19" style="1" customWidth="1"/>
    <col min="8705" max="8705" width="19.109375" style="1" customWidth="1"/>
    <col min="8706" max="8706" width="21.33203125" style="1" customWidth="1"/>
    <col min="8707" max="8707" width="32.5546875" style="1" customWidth="1"/>
    <col min="8708" max="8708" width="16.88671875" style="1" customWidth="1"/>
    <col min="8709" max="8709" width="16.33203125" style="1" customWidth="1"/>
    <col min="8710" max="8940" width="10.33203125" style="1"/>
    <col min="8941" max="8941" width="4.44140625" style="1" customWidth="1"/>
    <col min="8942" max="8942" width="21.6640625" style="1" customWidth="1"/>
    <col min="8943" max="8943" width="15" style="1" customWidth="1"/>
    <col min="8944" max="8944" width="15.44140625" style="1" customWidth="1"/>
    <col min="8945" max="8945" width="11.5546875" style="1" customWidth="1"/>
    <col min="8946" max="8946" width="7.44140625" style="1" customWidth="1"/>
    <col min="8947" max="8947" width="14.109375" style="1" customWidth="1"/>
    <col min="8948" max="8948" width="10.6640625" style="1" customWidth="1"/>
    <col min="8949" max="8949" width="13.44140625" style="1" customWidth="1"/>
    <col min="8950" max="8950" width="11.44140625" style="1" customWidth="1"/>
    <col min="8951" max="8951" width="15" style="1" customWidth="1"/>
    <col min="8952" max="8952" width="14.5546875" style="1" customWidth="1"/>
    <col min="8953" max="8953" width="10.33203125" style="1"/>
    <col min="8954" max="8954" width="7.44140625" style="1" customWidth="1"/>
    <col min="8955" max="8955" width="12.88671875" style="1" customWidth="1"/>
    <col min="8956" max="8956" width="11.109375" style="1" customWidth="1"/>
    <col min="8957" max="8957" width="14" style="1" customWidth="1"/>
    <col min="8958" max="8958" width="33" style="1" customWidth="1"/>
    <col min="8959" max="8959" width="6.6640625" style="1" customWidth="1"/>
    <col min="8960" max="8960" width="19" style="1" customWidth="1"/>
    <col min="8961" max="8961" width="19.109375" style="1" customWidth="1"/>
    <col min="8962" max="8962" width="21.33203125" style="1" customWidth="1"/>
    <col min="8963" max="8963" width="32.5546875" style="1" customWidth="1"/>
    <col min="8964" max="8964" width="16.88671875" style="1" customWidth="1"/>
    <col min="8965" max="8965" width="16.33203125" style="1" customWidth="1"/>
    <col min="8966" max="9196" width="10.33203125" style="1"/>
    <col min="9197" max="9197" width="4.44140625" style="1" customWidth="1"/>
    <col min="9198" max="9198" width="21.6640625" style="1" customWidth="1"/>
    <col min="9199" max="9199" width="15" style="1" customWidth="1"/>
    <col min="9200" max="9200" width="15.44140625" style="1" customWidth="1"/>
    <col min="9201" max="9201" width="11.5546875" style="1" customWidth="1"/>
    <col min="9202" max="9202" width="7.44140625" style="1" customWidth="1"/>
    <col min="9203" max="9203" width="14.109375" style="1" customWidth="1"/>
    <col min="9204" max="9204" width="10.6640625" style="1" customWidth="1"/>
    <col min="9205" max="9205" width="13.44140625" style="1" customWidth="1"/>
    <col min="9206" max="9206" width="11.44140625" style="1" customWidth="1"/>
    <col min="9207" max="9207" width="15" style="1" customWidth="1"/>
    <col min="9208" max="9208" width="14.5546875" style="1" customWidth="1"/>
    <col min="9209" max="9209" width="10.33203125" style="1"/>
    <col min="9210" max="9210" width="7.44140625" style="1" customWidth="1"/>
    <col min="9211" max="9211" width="12.88671875" style="1" customWidth="1"/>
    <col min="9212" max="9212" width="11.109375" style="1" customWidth="1"/>
    <col min="9213" max="9213" width="14" style="1" customWidth="1"/>
    <col min="9214" max="9214" width="33" style="1" customWidth="1"/>
    <col min="9215" max="9215" width="6.6640625" style="1" customWidth="1"/>
    <col min="9216" max="9216" width="19" style="1" customWidth="1"/>
    <col min="9217" max="9217" width="19.109375" style="1" customWidth="1"/>
    <col min="9218" max="9218" width="21.33203125" style="1" customWidth="1"/>
    <col min="9219" max="9219" width="32.5546875" style="1" customWidth="1"/>
    <col min="9220" max="9220" width="16.88671875" style="1" customWidth="1"/>
    <col min="9221" max="9221" width="16.33203125" style="1" customWidth="1"/>
    <col min="9222" max="9452" width="10.33203125" style="1"/>
    <col min="9453" max="9453" width="4.44140625" style="1" customWidth="1"/>
    <col min="9454" max="9454" width="21.6640625" style="1" customWidth="1"/>
    <col min="9455" max="9455" width="15" style="1" customWidth="1"/>
    <col min="9456" max="9456" width="15.44140625" style="1" customWidth="1"/>
    <col min="9457" max="9457" width="11.5546875" style="1" customWidth="1"/>
    <col min="9458" max="9458" width="7.44140625" style="1" customWidth="1"/>
    <col min="9459" max="9459" width="14.109375" style="1" customWidth="1"/>
    <col min="9460" max="9460" width="10.6640625" style="1" customWidth="1"/>
    <col min="9461" max="9461" width="13.44140625" style="1" customWidth="1"/>
    <col min="9462" max="9462" width="11.44140625" style="1" customWidth="1"/>
    <col min="9463" max="9463" width="15" style="1" customWidth="1"/>
    <col min="9464" max="9464" width="14.5546875" style="1" customWidth="1"/>
    <col min="9465" max="9465" width="10.33203125" style="1"/>
    <col min="9466" max="9466" width="7.44140625" style="1" customWidth="1"/>
    <col min="9467" max="9467" width="12.88671875" style="1" customWidth="1"/>
    <col min="9468" max="9468" width="11.109375" style="1" customWidth="1"/>
    <col min="9469" max="9469" width="14" style="1" customWidth="1"/>
    <col min="9470" max="9470" width="33" style="1" customWidth="1"/>
    <col min="9471" max="9471" width="6.6640625" style="1" customWidth="1"/>
    <col min="9472" max="9472" width="19" style="1" customWidth="1"/>
    <col min="9473" max="9473" width="19.109375" style="1" customWidth="1"/>
    <col min="9474" max="9474" width="21.33203125" style="1" customWidth="1"/>
    <col min="9475" max="9475" width="32.5546875" style="1" customWidth="1"/>
    <col min="9476" max="9476" width="16.88671875" style="1" customWidth="1"/>
    <col min="9477" max="9477" width="16.33203125" style="1" customWidth="1"/>
    <col min="9478" max="9708" width="10.33203125" style="1"/>
    <col min="9709" max="9709" width="4.44140625" style="1" customWidth="1"/>
    <col min="9710" max="9710" width="21.6640625" style="1" customWidth="1"/>
    <col min="9711" max="9711" width="15" style="1" customWidth="1"/>
    <col min="9712" max="9712" width="15.44140625" style="1" customWidth="1"/>
    <col min="9713" max="9713" width="11.5546875" style="1" customWidth="1"/>
    <col min="9714" max="9714" width="7.44140625" style="1" customWidth="1"/>
    <col min="9715" max="9715" width="14.109375" style="1" customWidth="1"/>
    <col min="9716" max="9716" width="10.6640625" style="1" customWidth="1"/>
    <col min="9717" max="9717" width="13.44140625" style="1" customWidth="1"/>
    <col min="9718" max="9718" width="11.44140625" style="1" customWidth="1"/>
    <col min="9719" max="9719" width="15" style="1" customWidth="1"/>
    <col min="9720" max="9720" width="14.5546875" style="1" customWidth="1"/>
    <col min="9721" max="9721" width="10.33203125" style="1"/>
    <col min="9722" max="9722" width="7.44140625" style="1" customWidth="1"/>
    <col min="9723" max="9723" width="12.88671875" style="1" customWidth="1"/>
    <col min="9724" max="9724" width="11.109375" style="1" customWidth="1"/>
    <col min="9725" max="9725" width="14" style="1" customWidth="1"/>
    <col min="9726" max="9726" width="33" style="1" customWidth="1"/>
    <col min="9727" max="9727" width="6.6640625" style="1" customWidth="1"/>
    <col min="9728" max="9728" width="19" style="1" customWidth="1"/>
    <col min="9729" max="9729" width="19.109375" style="1" customWidth="1"/>
    <col min="9730" max="9730" width="21.33203125" style="1" customWidth="1"/>
    <col min="9731" max="9731" width="32.5546875" style="1" customWidth="1"/>
    <col min="9732" max="9732" width="16.88671875" style="1" customWidth="1"/>
    <col min="9733" max="9733" width="16.33203125" style="1" customWidth="1"/>
    <col min="9734" max="9964" width="10.33203125" style="1"/>
    <col min="9965" max="9965" width="4.44140625" style="1" customWidth="1"/>
    <col min="9966" max="9966" width="21.6640625" style="1" customWidth="1"/>
    <col min="9967" max="9967" width="15" style="1" customWidth="1"/>
    <col min="9968" max="9968" width="15.44140625" style="1" customWidth="1"/>
    <col min="9969" max="9969" width="11.5546875" style="1" customWidth="1"/>
    <col min="9970" max="9970" width="7.44140625" style="1" customWidth="1"/>
    <col min="9971" max="9971" width="14.109375" style="1" customWidth="1"/>
    <col min="9972" max="9972" width="10.6640625" style="1" customWidth="1"/>
    <col min="9973" max="9973" width="13.44140625" style="1" customWidth="1"/>
    <col min="9974" max="9974" width="11.44140625" style="1" customWidth="1"/>
    <col min="9975" max="9975" width="15" style="1" customWidth="1"/>
    <col min="9976" max="9976" width="14.5546875" style="1" customWidth="1"/>
    <col min="9977" max="9977" width="10.33203125" style="1"/>
    <col min="9978" max="9978" width="7.44140625" style="1" customWidth="1"/>
    <col min="9979" max="9979" width="12.88671875" style="1" customWidth="1"/>
    <col min="9980" max="9980" width="11.109375" style="1" customWidth="1"/>
    <col min="9981" max="9981" width="14" style="1" customWidth="1"/>
    <col min="9982" max="9982" width="33" style="1" customWidth="1"/>
    <col min="9983" max="9983" width="6.6640625" style="1" customWidth="1"/>
    <col min="9984" max="9984" width="19" style="1" customWidth="1"/>
    <col min="9985" max="9985" width="19.109375" style="1" customWidth="1"/>
    <col min="9986" max="9986" width="21.33203125" style="1" customWidth="1"/>
    <col min="9987" max="9987" width="32.5546875" style="1" customWidth="1"/>
    <col min="9988" max="9988" width="16.88671875" style="1" customWidth="1"/>
    <col min="9989" max="9989" width="16.33203125" style="1" customWidth="1"/>
    <col min="9990" max="10220" width="10.33203125" style="1"/>
    <col min="10221" max="10221" width="4.44140625" style="1" customWidth="1"/>
    <col min="10222" max="10222" width="21.6640625" style="1" customWidth="1"/>
    <col min="10223" max="10223" width="15" style="1" customWidth="1"/>
    <col min="10224" max="10224" width="15.44140625" style="1" customWidth="1"/>
    <col min="10225" max="10225" width="11.5546875" style="1" customWidth="1"/>
    <col min="10226" max="10226" width="7.44140625" style="1" customWidth="1"/>
    <col min="10227" max="10227" width="14.109375" style="1" customWidth="1"/>
    <col min="10228" max="10228" width="10.6640625" style="1" customWidth="1"/>
    <col min="10229" max="10229" width="13.44140625" style="1" customWidth="1"/>
    <col min="10230" max="10230" width="11.44140625" style="1" customWidth="1"/>
    <col min="10231" max="10231" width="15" style="1" customWidth="1"/>
    <col min="10232" max="10232" width="14.5546875" style="1" customWidth="1"/>
    <col min="10233" max="10233" width="10.33203125" style="1"/>
    <col min="10234" max="10234" width="7.44140625" style="1" customWidth="1"/>
    <col min="10235" max="10235" width="12.88671875" style="1" customWidth="1"/>
    <col min="10236" max="10236" width="11.109375" style="1" customWidth="1"/>
    <col min="10237" max="10237" width="14" style="1" customWidth="1"/>
    <col min="10238" max="10238" width="33" style="1" customWidth="1"/>
    <col min="10239" max="10239" width="6.6640625" style="1" customWidth="1"/>
    <col min="10240" max="10240" width="19" style="1" customWidth="1"/>
    <col min="10241" max="10241" width="19.109375" style="1" customWidth="1"/>
    <col min="10242" max="10242" width="21.33203125" style="1" customWidth="1"/>
    <col min="10243" max="10243" width="32.5546875" style="1" customWidth="1"/>
    <col min="10244" max="10244" width="16.88671875" style="1" customWidth="1"/>
    <col min="10245" max="10245" width="16.33203125" style="1" customWidth="1"/>
    <col min="10246" max="10476" width="10.33203125" style="1"/>
    <col min="10477" max="10477" width="4.44140625" style="1" customWidth="1"/>
    <col min="10478" max="10478" width="21.6640625" style="1" customWidth="1"/>
    <col min="10479" max="10479" width="15" style="1" customWidth="1"/>
    <col min="10480" max="10480" width="15.44140625" style="1" customWidth="1"/>
    <col min="10481" max="10481" width="11.5546875" style="1" customWidth="1"/>
    <col min="10482" max="10482" width="7.44140625" style="1" customWidth="1"/>
    <col min="10483" max="10483" width="14.109375" style="1" customWidth="1"/>
    <col min="10484" max="10484" width="10.6640625" style="1" customWidth="1"/>
    <col min="10485" max="10485" width="13.44140625" style="1" customWidth="1"/>
    <col min="10486" max="10486" width="11.44140625" style="1" customWidth="1"/>
    <col min="10487" max="10487" width="15" style="1" customWidth="1"/>
    <col min="10488" max="10488" width="14.5546875" style="1" customWidth="1"/>
    <col min="10489" max="10489" width="10.33203125" style="1"/>
    <col min="10490" max="10490" width="7.44140625" style="1" customWidth="1"/>
    <col min="10491" max="10491" width="12.88671875" style="1" customWidth="1"/>
    <col min="10492" max="10492" width="11.109375" style="1" customWidth="1"/>
    <col min="10493" max="10493" width="14" style="1" customWidth="1"/>
    <col min="10494" max="10494" width="33" style="1" customWidth="1"/>
    <col min="10495" max="10495" width="6.6640625" style="1" customWidth="1"/>
    <col min="10496" max="10496" width="19" style="1" customWidth="1"/>
    <col min="10497" max="10497" width="19.109375" style="1" customWidth="1"/>
    <col min="10498" max="10498" width="21.33203125" style="1" customWidth="1"/>
    <col min="10499" max="10499" width="32.5546875" style="1" customWidth="1"/>
    <col min="10500" max="10500" width="16.88671875" style="1" customWidth="1"/>
    <col min="10501" max="10501" width="16.33203125" style="1" customWidth="1"/>
    <col min="10502" max="10732" width="10.33203125" style="1"/>
    <col min="10733" max="10733" width="4.44140625" style="1" customWidth="1"/>
    <col min="10734" max="10734" width="21.6640625" style="1" customWidth="1"/>
    <col min="10735" max="10735" width="15" style="1" customWidth="1"/>
    <col min="10736" max="10736" width="15.44140625" style="1" customWidth="1"/>
    <col min="10737" max="10737" width="11.5546875" style="1" customWidth="1"/>
    <col min="10738" max="10738" width="7.44140625" style="1" customWidth="1"/>
    <col min="10739" max="10739" width="14.109375" style="1" customWidth="1"/>
    <col min="10740" max="10740" width="10.6640625" style="1" customWidth="1"/>
    <col min="10741" max="10741" width="13.44140625" style="1" customWidth="1"/>
    <col min="10742" max="10742" width="11.44140625" style="1" customWidth="1"/>
    <col min="10743" max="10743" width="15" style="1" customWidth="1"/>
    <col min="10744" max="10744" width="14.5546875" style="1" customWidth="1"/>
    <col min="10745" max="10745" width="10.33203125" style="1"/>
    <col min="10746" max="10746" width="7.44140625" style="1" customWidth="1"/>
    <col min="10747" max="10747" width="12.88671875" style="1" customWidth="1"/>
    <col min="10748" max="10748" width="11.109375" style="1" customWidth="1"/>
    <col min="10749" max="10749" width="14" style="1" customWidth="1"/>
    <col min="10750" max="10750" width="33" style="1" customWidth="1"/>
    <col min="10751" max="10751" width="6.6640625" style="1" customWidth="1"/>
    <col min="10752" max="10752" width="19" style="1" customWidth="1"/>
    <col min="10753" max="10753" width="19.109375" style="1" customWidth="1"/>
    <col min="10754" max="10754" width="21.33203125" style="1" customWidth="1"/>
    <col min="10755" max="10755" width="32.5546875" style="1" customWidth="1"/>
    <col min="10756" max="10756" width="16.88671875" style="1" customWidth="1"/>
    <col min="10757" max="10757" width="16.33203125" style="1" customWidth="1"/>
    <col min="10758" max="10988" width="10.33203125" style="1"/>
    <col min="10989" max="10989" width="4.44140625" style="1" customWidth="1"/>
    <col min="10990" max="10990" width="21.6640625" style="1" customWidth="1"/>
    <col min="10991" max="10991" width="15" style="1" customWidth="1"/>
    <col min="10992" max="10992" width="15.44140625" style="1" customWidth="1"/>
    <col min="10993" max="10993" width="11.5546875" style="1" customWidth="1"/>
    <col min="10994" max="10994" width="7.44140625" style="1" customWidth="1"/>
    <col min="10995" max="10995" width="14.109375" style="1" customWidth="1"/>
    <col min="10996" max="10996" width="10.6640625" style="1" customWidth="1"/>
    <col min="10997" max="10997" width="13.44140625" style="1" customWidth="1"/>
    <col min="10998" max="10998" width="11.44140625" style="1" customWidth="1"/>
    <col min="10999" max="10999" width="15" style="1" customWidth="1"/>
    <col min="11000" max="11000" width="14.5546875" style="1" customWidth="1"/>
    <col min="11001" max="11001" width="10.33203125" style="1"/>
    <col min="11002" max="11002" width="7.44140625" style="1" customWidth="1"/>
    <col min="11003" max="11003" width="12.88671875" style="1" customWidth="1"/>
    <col min="11004" max="11004" width="11.109375" style="1" customWidth="1"/>
    <col min="11005" max="11005" width="14" style="1" customWidth="1"/>
    <col min="11006" max="11006" width="33" style="1" customWidth="1"/>
    <col min="11007" max="11007" width="6.6640625" style="1" customWidth="1"/>
    <col min="11008" max="11008" width="19" style="1" customWidth="1"/>
    <col min="11009" max="11009" width="19.109375" style="1" customWidth="1"/>
    <col min="11010" max="11010" width="21.33203125" style="1" customWidth="1"/>
    <col min="11011" max="11011" width="32.5546875" style="1" customWidth="1"/>
    <col min="11012" max="11012" width="16.88671875" style="1" customWidth="1"/>
    <col min="11013" max="11013" width="16.33203125" style="1" customWidth="1"/>
    <col min="11014" max="11244" width="10.33203125" style="1"/>
    <col min="11245" max="11245" width="4.44140625" style="1" customWidth="1"/>
    <col min="11246" max="11246" width="21.6640625" style="1" customWidth="1"/>
    <col min="11247" max="11247" width="15" style="1" customWidth="1"/>
    <col min="11248" max="11248" width="15.44140625" style="1" customWidth="1"/>
    <col min="11249" max="11249" width="11.5546875" style="1" customWidth="1"/>
    <col min="11250" max="11250" width="7.44140625" style="1" customWidth="1"/>
    <col min="11251" max="11251" width="14.109375" style="1" customWidth="1"/>
    <col min="11252" max="11252" width="10.6640625" style="1" customWidth="1"/>
    <col min="11253" max="11253" width="13.44140625" style="1" customWidth="1"/>
    <col min="11254" max="11254" width="11.44140625" style="1" customWidth="1"/>
    <col min="11255" max="11255" width="15" style="1" customWidth="1"/>
    <col min="11256" max="11256" width="14.5546875" style="1" customWidth="1"/>
    <col min="11257" max="11257" width="10.33203125" style="1"/>
    <col min="11258" max="11258" width="7.44140625" style="1" customWidth="1"/>
    <col min="11259" max="11259" width="12.88671875" style="1" customWidth="1"/>
    <col min="11260" max="11260" width="11.109375" style="1" customWidth="1"/>
    <col min="11261" max="11261" width="14" style="1" customWidth="1"/>
    <col min="11262" max="11262" width="33" style="1" customWidth="1"/>
    <col min="11263" max="11263" width="6.6640625" style="1" customWidth="1"/>
    <col min="11264" max="11264" width="19" style="1" customWidth="1"/>
    <col min="11265" max="11265" width="19.109375" style="1" customWidth="1"/>
    <col min="11266" max="11266" width="21.33203125" style="1" customWidth="1"/>
    <col min="11267" max="11267" width="32.5546875" style="1" customWidth="1"/>
    <col min="11268" max="11268" width="16.88671875" style="1" customWidth="1"/>
    <col min="11269" max="11269" width="16.33203125" style="1" customWidth="1"/>
    <col min="11270" max="11500" width="10.33203125" style="1"/>
    <col min="11501" max="11501" width="4.44140625" style="1" customWidth="1"/>
    <col min="11502" max="11502" width="21.6640625" style="1" customWidth="1"/>
    <col min="11503" max="11503" width="15" style="1" customWidth="1"/>
    <col min="11504" max="11504" width="15.44140625" style="1" customWidth="1"/>
    <col min="11505" max="11505" width="11.5546875" style="1" customWidth="1"/>
    <col min="11506" max="11506" width="7.44140625" style="1" customWidth="1"/>
    <col min="11507" max="11507" width="14.109375" style="1" customWidth="1"/>
    <col min="11508" max="11508" width="10.6640625" style="1" customWidth="1"/>
    <col min="11509" max="11509" width="13.44140625" style="1" customWidth="1"/>
    <col min="11510" max="11510" width="11.44140625" style="1" customWidth="1"/>
    <col min="11511" max="11511" width="15" style="1" customWidth="1"/>
    <col min="11512" max="11512" width="14.5546875" style="1" customWidth="1"/>
    <col min="11513" max="11513" width="10.33203125" style="1"/>
    <col min="11514" max="11514" width="7.44140625" style="1" customWidth="1"/>
    <col min="11515" max="11515" width="12.88671875" style="1" customWidth="1"/>
    <col min="11516" max="11516" width="11.109375" style="1" customWidth="1"/>
    <col min="11517" max="11517" width="14" style="1" customWidth="1"/>
    <col min="11518" max="11518" width="33" style="1" customWidth="1"/>
    <col min="11519" max="11519" width="6.6640625" style="1" customWidth="1"/>
    <col min="11520" max="11520" width="19" style="1" customWidth="1"/>
    <col min="11521" max="11521" width="19.109375" style="1" customWidth="1"/>
    <col min="11522" max="11522" width="21.33203125" style="1" customWidth="1"/>
    <col min="11523" max="11523" width="32.5546875" style="1" customWidth="1"/>
    <col min="11524" max="11524" width="16.88671875" style="1" customWidth="1"/>
    <col min="11525" max="11525" width="16.33203125" style="1" customWidth="1"/>
    <col min="11526" max="11756" width="10.33203125" style="1"/>
    <col min="11757" max="11757" width="4.44140625" style="1" customWidth="1"/>
    <col min="11758" max="11758" width="21.6640625" style="1" customWidth="1"/>
    <col min="11759" max="11759" width="15" style="1" customWidth="1"/>
    <col min="11760" max="11760" width="15.44140625" style="1" customWidth="1"/>
    <col min="11761" max="11761" width="11.5546875" style="1" customWidth="1"/>
    <col min="11762" max="11762" width="7.44140625" style="1" customWidth="1"/>
    <col min="11763" max="11763" width="14.109375" style="1" customWidth="1"/>
    <col min="11764" max="11764" width="10.6640625" style="1" customWidth="1"/>
    <col min="11765" max="11765" width="13.44140625" style="1" customWidth="1"/>
    <col min="11766" max="11766" width="11.44140625" style="1" customWidth="1"/>
    <col min="11767" max="11767" width="15" style="1" customWidth="1"/>
    <col min="11768" max="11768" width="14.5546875" style="1" customWidth="1"/>
    <col min="11769" max="11769" width="10.33203125" style="1"/>
    <col min="11770" max="11770" width="7.44140625" style="1" customWidth="1"/>
    <col min="11771" max="11771" width="12.88671875" style="1" customWidth="1"/>
    <col min="11772" max="11772" width="11.109375" style="1" customWidth="1"/>
    <col min="11773" max="11773" width="14" style="1" customWidth="1"/>
    <col min="11774" max="11774" width="33" style="1" customWidth="1"/>
    <col min="11775" max="11775" width="6.6640625" style="1" customWidth="1"/>
    <col min="11776" max="11776" width="19" style="1" customWidth="1"/>
    <col min="11777" max="11777" width="19.109375" style="1" customWidth="1"/>
    <col min="11778" max="11778" width="21.33203125" style="1" customWidth="1"/>
    <col min="11779" max="11779" width="32.5546875" style="1" customWidth="1"/>
    <col min="11780" max="11780" width="16.88671875" style="1" customWidth="1"/>
    <col min="11781" max="11781" width="16.33203125" style="1" customWidth="1"/>
    <col min="11782" max="12012" width="10.33203125" style="1"/>
    <col min="12013" max="12013" width="4.44140625" style="1" customWidth="1"/>
    <col min="12014" max="12014" width="21.6640625" style="1" customWidth="1"/>
    <col min="12015" max="12015" width="15" style="1" customWidth="1"/>
    <col min="12016" max="12016" width="15.44140625" style="1" customWidth="1"/>
    <col min="12017" max="12017" width="11.5546875" style="1" customWidth="1"/>
    <col min="12018" max="12018" width="7.44140625" style="1" customWidth="1"/>
    <col min="12019" max="12019" width="14.109375" style="1" customWidth="1"/>
    <col min="12020" max="12020" width="10.6640625" style="1" customWidth="1"/>
    <col min="12021" max="12021" width="13.44140625" style="1" customWidth="1"/>
    <col min="12022" max="12022" width="11.44140625" style="1" customWidth="1"/>
    <col min="12023" max="12023" width="15" style="1" customWidth="1"/>
    <col min="12024" max="12024" width="14.5546875" style="1" customWidth="1"/>
    <col min="12025" max="12025" width="10.33203125" style="1"/>
    <col min="12026" max="12026" width="7.44140625" style="1" customWidth="1"/>
    <col min="12027" max="12027" width="12.88671875" style="1" customWidth="1"/>
    <col min="12028" max="12028" width="11.109375" style="1" customWidth="1"/>
    <col min="12029" max="12029" width="14" style="1" customWidth="1"/>
    <col min="12030" max="12030" width="33" style="1" customWidth="1"/>
    <col min="12031" max="12031" width="6.6640625" style="1" customWidth="1"/>
    <col min="12032" max="12032" width="19" style="1" customWidth="1"/>
    <col min="12033" max="12033" width="19.109375" style="1" customWidth="1"/>
    <col min="12034" max="12034" width="21.33203125" style="1" customWidth="1"/>
    <col min="12035" max="12035" width="32.5546875" style="1" customWidth="1"/>
    <col min="12036" max="12036" width="16.88671875" style="1" customWidth="1"/>
    <col min="12037" max="12037" width="16.33203125" style="1" customWidth="1"/>
    <col min="12038" max="12268" width="10.33203125" style="1"/>
    <col min="12269" max="12269" width="4.44140625" style="1" customWidth="1"/>
    <col min="12270" max="12270" width="21.6640625" style="1" customWidth="1"/>
    <col min="12271" max="12271" width="15" style="1" customWidth="1"/>
    <col min="12272" max="12272" width="15.44140625" style="1" customWidth="1"/>
    <col min="12273" max="12273" width="11.5546875" style="1" customWidth="1"/>
    <col min="12274" max="12274" width="7.44140625" style="1" customWidth="1"/>
    <col min="12275" max="12275" width="14.109375" style="1" customWidth="1"/>
    <col min="12276" max="12276" width="10.6640625" style="1" customWidth="1"/>
    <col min="12277" max="12277" width="13.44140625" style="1" customWidth="1"/>
    <col min="12278" max="12278" width="11.44140625" style="1" customWidth="1"/>
    <col min="12279" max="12279" width="15" style="1" customWidth="1"/>
    <col min="12280" max="12280" width="14.5546875" style="1" customWidth="1"/>
    <col min="12281" max="12281" width="10.33203125" style="1"/>
    <col min="12282" max="12282" width="7.44140625" style="1" customWidth="1"/>
    <col min="12283" max="12283" width="12.88671875" style="1" customWidth="1"/>
    <col min="12284" max="12284" width="11.109375" style="1" customWidth="1"/>
    <col min="12285" max="12285" width="14" style="1" customWidth="1"/>
    <col min="12286" max="12286" width="33" style="1" customWidth="1"/>
    <col min="12287" max="12287" width="6.6640625" style="1" customWidth="1"/>
    <col min="12288" max="12288" width="19" style="1" customWidth="1"/>
    <col min="12289" max="12289" width="19.109375" style="1" customWidth="1"/>
    <col min="12290" max="12290" width="21.33203125" style="1" customWidth="1"/>
    <col min="12291" max="12291" width="32.5546875" style="1" customWidth="1"/>
    <col min="12292" max="12292" width="16.88671875" style="1" customWidth="1"/>
    <col min="12293" max="12293" width="16.33203125" style="1" customWidth="1"/>
    <col min="12294" max="12524" width="10.33203125" style="1"/>
    <col min="12525" max="12525" width="4.44140625" style="1" customWidth="1"/>
    <col min="12526" max="12526" width="21.6640625" style="1" customWidth="1"/>
    <col min="12527" max="12527" width="15" style="1" customWidth="1"/>
    <col min="12528" max="12528" width="15.44140625" style="1" customWidth="1"/>
    <col min="12529" max="12529" width="11.5546875" style="1" customWidth="1"/>
    <col min="12530" max="12530" width="7.44140625" style="1" customWidth="1"/>
    <col min="12531" max="12531" width="14.109375" style="1" customWidth="1"/>
    <col min="12532" max="12532" width="10.6640625" style="1" customWidth="1"/>
    <col min="12533" max="12533" width="13.44140625" style="1" customWidth="1"/>
    <col min="12534" max="12534" width="11.44140625" style="1" customWidth="1"/>
    <col min="12535" max="12535" width="15" style="1" customWidth="1"/>
    <col min="12536" max="12536" width="14.5546875" style="1" customWidth="1"/>
    <col min="12537" max="12537" width="10.33203125" style="1"/>
    <col min="12538" max="12538" width="7.44140625" style="1" customWidth="1"/>
    <col min="12539" max="12539" width="12.88671875" style="1" customWidth="1"/>
    <col min="12540" max="12540" width="11.109375" style="1" customWidth="1"/>
    <col min="12541" max="12541" width="14" style="1" customWidth="1"/>
    <col min="12542" max="12542" width="33" style="1" customWidth="1"/>
    <col min="12543" max="12543" width="6.6640625" style="1" customWidth="1"/>
    <col min="12544" max="12544" width="19" style="1" customWidth="1"/>
    <col min="12545" max="12545" width="19.109375" style="1" customWidth="1"/>
    <col min="12546" max="12546" width="21.33203125" style="1" customWidth="1"/>
    <col min="12547" max="12547" width="32.5546875" style="1" customWidth="1"/>
    <col min="12548" max="12548" width="16.88671875" style="1" customWidth="1"/>
    <col min="12549" max="12549" width="16.33203125" style="1" customWidth="1"/>
    <col min="12550" max="12780" width="10.33203125" style="1"/>
    <col min="12781" max="12781" width="4.44140625" style="1" customWidth="1"/>
    <col min="12782" max="12782" width="21.6640625" style="1" customWidth="1"/>
    <col min="12783" max="12783" width="15" style="1" customWidth="1"/>
    <col min="12784" max="12784" width="15.44140625" style="1" customWidth="1"/>
    <col min="12785" max="12785" width="11.5546875" style="1" customWidth="1"/>
    <col min="12786" max="12786" width="7.44140625" style="1" customWidth="1"/>
    <col min="12787" max="12787" width="14.109375" style="1" customWidth="1"/>
    <col min="12788" max="12788" width="10.6640625" style="1" customWidth="1"/>
    <col min="12789" max="12789" width="13.44140625" style="1" customWidth="1"/>
    <col min="12790" max="12790" width="11.44140625" style="1" customWidth="1"/>
    <col min="12791" max="12791" width="15" style="1" customWidth="1"/>
    <col min="12792" max="12792" width="14.5546875" style="1" customWidth="1"/>
    <col min="12793" max="12793" width="10.33203125" style="1"/>
    <col min="12794" max="12794" width="7.44140625" style="1" customWidth="1"/>
    <col min="12795" max="12795" width="12.88671875" style="1" customWidth="1"/>
    <col min="12796" max="12796" width="11.109375" style="1" customWidth="1"/>
    <col min="12797" max="12797" width="14" style="1" customWidth="1"/>
    <col min="12798" max="12798" width="33" style="1" customWidth="1"/>
    <col min="12799" max="12799" width="6.6640625" style="1" customWidth="1"/>
    <col min="12800" max="12800" width="19" style="1" customWidth="1"/>
    <col min="12801" max="12801" width="19.109375" style="1" customWidth="1"/>
    <col min="12802" max="12802" width="21.33203125" style="1" customWidth="1"/>
    <col min="12803" max="12803" width="32.5546875" style="1" customWidth="1"/>
    <col min="12804" max="12804" width="16.88671875" style="1" customWidth="1"/>
    <col min="12805" max="12805" width="16.33203125" style="1" customWidth="1"/>
    <col min="12806" max="13036" width="10.33203125" style="1"/>
    <col min="13037" max="13037" width="4.44140625" style="1" customWidth="1"/>
    <col min="13038" max="13038" width="21.6640625" style="1" customWidth="1"/>
    <col min="13039" max="13039" width="15" style="1" customWidth="1"/>
    <col min="13040" max="13040" width="15.44140625" style="1" customWidth="1"/>
    <col min="13041" max="13041" width="11.5546875" style="1" customWidth="1"/>
    <col min="13042" max="13042" width="7.44140625" style="1" customWidth="1"/>
    <col min="13043" max="13043" width="14.109375" style="1" customWidth="1"/>
    <col min="13044" max="13044" width="10.6640625" style="1" customWidth="1"/>
    <col min="13045" max="13045" width="13.44140625" style="1" customWidth="1"/>
    <col min="13046" max="13046" width="11.44140625" style="1" customWidth="1"/>
    <col min="13047" max="13047" width="15" style="1" customWidth="1"/>
    <col min="13048" max="13048" width="14.5546875" style="1" customWidth="1"/>
    <col min="13049" max="13049" width="10.33203125" style="1"/>
    <col min="13050" max="13050" width="7.44140625" style="1" customWidth="1"/>
    <col min="13051" max="13051" width="12.88671875" style="1" customWidth="1"/>
    <col min="13052" max="13052" width="11.109375" style="1" customWidth="1"/>
    <col min="13053" max="13053" width="14" style="1" customWidth="1"/>
    <col min="13054" max="13054" width="33" style="1" customWidth="1"/>
    <col min="13055" max="13055" width="6.6640625" style="1" customWidth="1"/>
    <col min="13056" max="13056" width="19" style="1" customWidth="1"/>
    <col min="13057" max="13057" width="19.109375" style="1" customWidth="1"/>
    <col min="13058" max="13058" width="21.33203125" style="1" customWidth="1"/>
    <col min="13059" max="13059" width="32.5546875" style="1" customWidth="1"/>
    <col min="13060" max="13060" width="16.88671875" style="1" customWidth="1"/>
    <col min="13061" max="13061" width="16.33203125" style="1" customWidth="1"/>
    <col min="13062" max="13292" width="10.33203125" style="1"/>
    <col min="13293" max="13293" width="4.44140625" style="1" customWidth="1"/>
    <col min="13294" max="13294" width="21.6640625" style="1" customWidth="1"/>
    <col min="13295" max="13295" width="15" style="1" customWidth="1"/>
    <col min="13296" max="13296" width="15.44140625" style="1" customWidth="1"/>
    <col min="13297" max="13297" width="11.5546875" style="1" customWidth="1"/>
    <col min="13298" max="13298" width="7.44140625" style="1" customWidth="1"/>
    <col min="13299" max="13299" width="14.109375" style="1" customWidth="1"/>
    <col min="13300" max="13300" width="10.6640625" style="1" customWidth="1"/>
    <col min="13301" max="13301" width="13.44140625" style="1" customWidth="1"/>
    <col min="13302" max="13302" width="11.44140625" style="1" customWidth="1"/>
    <col min="13303" max="13303" width="15" style="1" customWidth="1"/>
    <col min="13304" max="13304" width="14.5546875" style="1" customWidth="1"/>
    <col min="13305" max="13305" width="10.33203125" style="1"/>
    <col min="13306" max="13306" width="7.44140625" style="1" customWidth="1"/>
    <col min="13307" max="13307" width="12.88671875" style="1" customWidth="1"/>
    <col min="13308" max="13308" width="11.109375" style="1" customWidth="1"/>
    <col min="13309" max="13309" width="14" style="1" customWidth="1"/>
    <col min="13310" max="13310" width="33" style="1" customWidth="1"/>
    <col min="13311" max="13311" width="6.6640625" style="1" customWidth="1"/>
    <col min="13312" max="13312" width="19" style="1" customWidth="1"/>
    <col min="13313" max="13313" width="19.109375" style="1" customWidth="1"/>
    <col min="13314" max="13314" width="21.33203125" style="1" customWidth="1"/>
    <col min="13315" max="13315" width="32.5546875" style="1" customWidth="1"/>
    <col min="13316" max="13316" width="16.88671875" style="1" customWidth="1"/>
    <col min="13317" max="13317" width="16.33203125" style="1" customWidth="1"/>
    <col min="13318" max="13548" width="10.33203125" style="1"/>
    <col min="13549" max="13549" width="4.44140625" style="1" customWidth="1"/>
    <col min="13550" max="13550" width="21.6640625" style="1" customWidth="1"/>
    <col min="13551" max="13551" width="15" style="1" customWidth="1"/>
    <col min="13552" max="13552" width="15.44140625" style="1" customWidth="1"/>
    <col min="13553" max="13553" width="11.5546875" style="1" customWidth="1"/>
    <col min="13554" max="13554" width="7.44140625" style="1" customWidth="1"/>
    <col min="13555" max="13555" width="14.109375" style="1" customWidth="1"/>
    <col min="13556" max="13556" width="10.6640625" style="1" customWidth="1"/>
    <col min="13557" max="13557" width="13.44140625" style="1" customWidth="1"/>
    <col min="13558" max="13558" width="11.44140625" style="1" customWidth="1"/>
    <col min="13559" max="13559" width="15" style="1" customWidth="1"/>
    <col min="13560" max="13560" width="14.5546875" style="1" customWidth="1"/>
    <col min="13561" max="13561" width="10.33203125" style="1"/>
    <col min="13562" max="13562" width="7.44140625" style="1" customWidth="1"/>
    <col min="13563" max="13563" width="12.88671875" style="1" customWidth="1"/>
    <col min="13564" max="13564" width="11.109375" style="1" customWidth="1"/>
    <col min="13565" max="13565" width="14" style="1" customWidth="1"/>
    <col min="13566" max="13566" width="33" style="1" customWidth="1"/>
    <col min="13567" max="13567" width="6.6640625" style="1" customWidth="1"/>
    <col min="13568" max="13568" width="19" style="1" customWidth="1"/>
    <col min="13569" max="13569" width="19.109375" style="1" customWidth="1"/>
    <col min="13570" max="13570" width="21.33203125" style="1" customWidth="1"/>
    <col min="13571" max="13571" width="32.5546875" style="1" customWidth="1"/>
    <col min="13572" max="13572" width="16.88671875" style="1" customWidth="1"/>
    <col min="13573" max="13573" width="16.33203125" style="1" customWidth="1"/>
    <col min="13574" max="13804" width="10.33203125" style="1"/>
    <col min="13805" max="13805" width="4.44140625" style="1" customWidth="1"/>
    <col min="13806" max="13806" width="21.6640625" style="1" customWidth="1"/>
    <col min="13807" max="13807" width="15" style="1" customWidth="1"/>
    <col min="13808" max="13808" width="15.44140625" style="1" customWidth="1"/>
    <col min="13809" max="13809" width="11.5546875" style="1" customWidth="1"/>
    <col min="13810" max="13810" width="7.44140625" style="1" customWidth="1"/>
    <col min="13811" max="13811" width="14.109375" style="1" customWidth="1"/>
    <col min="13812" max="13812" width="10.6640625" style="1" customWidth="1"/>
    <col min="13813" max="13813" width="13.44140625" style="1" customWidth="1"/>
    <col min="13814" max="13814" width="11.44140625" style="1" customWidth="1"/>
    <col min="13815" max="13815" width="15" style="1" customWidth="1"/>
    <col min="13816" max="13816" width="14.5546875" style="1" customWidth="1"/>
    <col min="13817" max="13817" width="10.33203125" style="1"/>
    <col min="13818" max="13818" width="7.44140625" style="1" customWidth="1"/>
    <col min="13819" max="13819" width="12.88671875" style="1" customWidth="1"/>
    <col min="13820" max="13820" width="11.109375" style="1" customWidth="1"/>
    <col min="13821" max="13821" width="14" style="1" customWidth="1"/>
    <col min="13822" max="13822" width="33" style="1" customWidth="1"/>
    <col min="13823" max="13823" width="6.6640625" style="1" customWidth="1"/>
    <col min="13824" max="13824" width="19" style="1" customWidth="1"/>
    <col min="13825" max="13825" width="19.109375" style="1" customWidth="1"/>
    <col min="13826" max="13826" width="21.33203125" style="1" customWidth="1"/>
    <col min="13827" max="13827" width="32.5546875" style="1" customWidth="1"/>
    <col min="13828" max="13828" width="16.88671875" style="1" customWidth="1"/>
    <col min="13829" max="13829" width="16.33203125" style="1" customWidth="1"/>
    <col min="13830" max="14060" width="10.33203125" style="1"/>
    <col min="14061" max="14061" width="4.44140625" style="1" customWidth="1"/>
    <col min="14062" max="14062" width="21.6640625" style="1" customWidth="1"/>
    <col min="14063" max="14063" width="15" style="1" customWidth="1"/>
    <col min="14064" max="14064" width="15.44140625" style="1" customWidth="1"/>
    <col min="14065" max="14065" width="11.5546875" style="1" customWidth="1"/>
    <col min="14066" max="14066" width="7.44140625" style="1" customWidth="1"/>
    <col min="14067" max="14067" width="14.109375" style="1" customWidth="1"/>
    <col min="14068" max="14068" width="10.6640625" style="1" customWidth="1"/>
    <col min="14069" max="14069" width="13.44140625" style="1" customWidth="1"/>
    <col min="14070" max="14070" width="11.44140625" style="1" customWidth="1"/>
    <col min="14071" max="14071" width="15" style="1" customWidth="1"/>
    <col min="14072" max="14072" width="14.5546875" style="1" customWidth="1"/>
    <col min="14073" max="14073" width="10.33203125" style="1"/>
    <col min="14074" max="14074" width="7.44140625" style="1" customWidth="1"/>
    <col min="14075" max="14075" width="12.88671875" style="1" customWidth="1"/>
    <col min="14076" max="14076" width="11.109375" style="1" customWidth="1"/>
    <col min="14077" max="14077" width="14" style="1" customWidth="1"/>
    <col min="14078" max="14078" width="33" style="1" customWidth="1"/>
    <col min="14079" max="14079" width="6.6640625" style="1" customWidth="1"/>
    <col min="14080" max="14080" width="19" style="1" customWidth="1"/>
    <col min="14081" max="14081" width="19.109375" style="1" customWidth="1"/>
    <col min="14082" max="14082" width="21.33203125" style="1" customWidth="1"/>
    <col min="14083" max="14083" width="32.5546875" style="1" customWidth="1"/>
    <col min="14084" max="14084" width="16.88671875" style="1" customWidth="1"/>
    <col min="14085" max="14085" width="16.33203125" style="1" customWidth="1"/>
    <col min="14086" max="14316" width="10.33203125" style="1"/>
    <col min="14317" max="14317" width="4.44140625" style="1" customWidth="1"/>
    <col min="14318" max="14318" width="21.6640625" style="1" customWidth="1"/>
    <col min="14319" max="14319" width="15" style="1" customWidth="1"/>
    <col min="14320" max="14320" width="15.44140625" style="1" customWidth="1"/>
    <col min="14321" max="14321" width="11.5546875" style="1" customWidth="1"/>
    <col min="14322" max="14322" width="7.44140625" style="1" customWidth="1"/>
    <col min="14323" max="14323" width="14.109375" style="1" customWidth="1"/>
    <col min="14324" max="14324" width="10.6640625" style="1" customWidth="1"/>
    <col min="14325" max="14325" width="13.44140625" style="1" customWidth="1"/>
    <col min="14326" max="14326" width="11.44140625" style="1" customWidth="1"/>
    <col min="14327" max="14327" width="15" style="1" customWidth="1"/>
    <col min="14328" max="14328" width="14.5546875" style="1" customWidth="1"/>
    <col min="14329" max="14329" width="10.33203125" style="1"/>
    <col min="14330" max="14330" width="7.44140625" style="1" customWidth="1"/>
    <col min="14331" max="14331" width="12.88671875" style="1" customWidth="1"/>
    <col min="14332" max="14332" width="11.109375" style="1" customWidth="1"/>
    <col min="14333" max="14333" width="14" style="1" customWidth="1"/>
    <col min="14334" max="14334" width="33" style="1" customWidth="1"/>
    <col min="14335" max="14335" width="6.6640625" style="1" customWidth="1"/>
    <col min="14336" max="14336" width="19" style="1" customWidth="1"/>
    <col min="14337" max="14337" width="19.109375" style="1" customWidth="1"/>
    <col min="14338" max="14338" width="21.33203125" style="1" customWidth="1"/>
    <col min="14339" max="14339" width="32.5546875" style="1" customWidth="1"/>
    <col min="14340" max="14340" width="16.88671875" style="1" customWidth="1"/>
    <col min="14341" max="14341" width="16.33203125" style="1" customWidth="1"/>
    <col min="14342" max="14572" width="10.33203125" style="1"/>
    <col min="14573" max="14573" width="4.44140625" style="1" customWidth="1"/>
    <col min="14574" max="14574" width="21.6640625" style="1" customWidth="1"/>
    <col min="14575" max="14575" width="15" style="1" customWidth="1"/>
    <col min="14576" max="14576" width="15.44140625" style="1" customWidth="1"/>
    <col min="14577" max="14577" width="11.5546875" style="1" customWidth="1"/>
    <col min="14578" max="14578" width="7.44140625" style="1" customWidth="1"/>
    <col min="14579" max="14579" width="14.109375" style="1" customWidth="1"/>
    <col min="14580" max="14580" width="10.6640625" style="1" customWidth="1"/>
    <col min="14581" max="14581" width="13.44140625" style="1" customWidth="1"/>
    <col min="14582" max="14582" width="11.44140625" style="1" customWidth="1"/>
    <col min="14583" max="14583" width="15" style="1" customWidth="1"/>
    <col min="14584" max="14584" width="14.5546875" style="1" customWidth="1"/>
    <col min="14585" max="14585" width="10.33203125" style="1"/>
    <col min="14586" max="14586" width="7.44140625" style="1" customWidth="1"/>
    <col min="14587" max="14587" width="12.88671875" style="1" customWidth="1"/>
    <col min="14588" max="14588" width="11.109375" style="1" customWidth="1"/>
    <col min="14589" max="14589" width="14" style="1" customWidth="1"/>
    <col min="14590" max="14590" width="33" style="1" customWidth="1"/>
    <col min="14591" max="14591" width="6.6640625" style="1" customWidth="1"/>
    <col min="14592" max="14592" width="19" style="1" customWidth="1"/>
    <col min="14593" max="14593" width="19.109375" style="1" customWidth="1"/>
    <col min="14594" max="14594" width="21.33203125" style="1" customWidth="1"/>
    <col min="14595" max="14595" width="32.5546875" style="1" customWidth="1"/>
    <col min="14596" max="14596" width="16.88671875" style="1" customWidth="1"/>
    <col min="14597" max="14597" width="16.33203125" style="1" customWidth="1"/>
    <col min="14598" max="14828" width="10.33203125" style="1"/>
    <col min="14829" max="14829" width="4.44140625" style="1" customWidth="1"/>
    <col min="14830" max="14830" width="21.6640625" style="1" customWidth="1"/>
    <col min="14831" max="14831" width="15" style="1" customWidth="1"/>
    <col min="14832" max="14832" width="15.44140625" style="1" customWidth="1"/>
    <col min="14833" max="14833" width="11.5546875" style="1" customWidth="1"/>
    <col min="14834" max="14834" width="7.44140625" style="1" customWidth="1"/>
    <col min="14835" max="14835" width="14.109375" style="1" customWidth="1"/>
    <col min="14836" max="14836" width="10.6640625" style="1" customWidth="1"/>
    <col min="14837" max="14837" width="13.44140625" style="1" customWidth="1"/>
    <col min="14838" max="14838" width="11.44140625" style="1" customWidth="1"/>
    <col min="14839" max="14839" width="15" style="1" customWidth="1"/>
    <col min="14840" max="14840" width="14.5546875" style="1" customWidth="1"/>
    <col min="14841" max="14841" width="10.33203125" style="1"/>
    <col min="14842" max="14842" width="7.44140625" style="1" customWidth="1"/>
    <col min="14843" max="14843" width="12.88671875" style="1" customWidth="1"/>
    <col min="14844" max="14844" width="11.109375" style="1" customWidth="1"/>
    <col min="14845" max="14845" width="14" style="1" customWidth="1"/>
    <col min="14846" max="14846" width="33" style="1" customWidth="1"/>
    <col min="14847" max="14847" width="6.6640625" style="1" customWidth="1"/>
    <col min="14848" max="14848" width="19" style="1" customWidth="1"/>
    <col min="14849" max="14849" width="19.109375" style="1" customWidth="1"/>
    <col min="14850" max="14850" width="21.33203125" style="1" customWidth="1"/>
    <col min="14851" max="14851" width="32.5546875" style="1" customWidth="1"/>
    <col min="14852" max="14852" width="16.88671875" style="1" customWidth="1"/>
    <col min="14853" max="14853" width="16.33203125" style="1" customWidth="1"/>
    <col min="14854" max="15084" width="10.33203125" style="1"/>
    <col min="15085" max="15085" width="4.44140625" style="1" customWidth="1"/>
    <col min="15086" max="15086" width="21.6640625" style="1" customWidth="1"/>
    <col min="15087" max="15087" width="15" style="1" customWidth="1"/>
    <col min="15088" max="15088" width="15.44140625" style="1" customWidth="1"/>
    <col min="15089" max="15089" width="11.5546875" style="1" customWidth="1"/>
    <col min="15090" max="15090" width="7.44140625" style="1" customWidth="1"/>
    <col min="15091" max="15091" width="14.109375" style="1" customWidth="1"/>
    <col min="15092" max="15092" width="10.6640625" style="1" customWidth="1"/>
    <col min="15093" max="15093" width="13.44140625" style="1" customWidth="1"/>
    <col min="15094" max="15094" width="11.44140625" style="1" customWidth="1"/>
    <col min="15095" max="15095" width="15" style="1" customWidth="1"/>
    <col min="15096" max="15096" width="14.5546875" style="1" customWidth="1"/>
    <col min="15097" max="15097" width="10.33203125" style="1"/>
    <col min="15098" max="15098" width="7.44140625" style="1" customWidth="1"/>
    <col min="15099" max="15099" width="12.88671875" style="1" customWidth="1"/>
    <col min="15100" max="15100" width="11.109375" style="1" customWidth="1"/>
    <col min="15101" max="15101" width="14" style="1" customWidth="1"/>
    <col min="15102" max="15102" width="33" style="1" customWidth="1"/>
    <col min="15103" max="15103" width="6.6640625" style="1" customWidth="1"/>
    <col min="15104" max="15104" width="19" style="1" customWidth="1"/>
    <col min="15105" max="15105" width="19.109375" style="1" customWidth="1"/>
    <col min="15106" max="15106" width="21.33203125" style="1" customWidth="1"/>
    <col min="15107" max="15107" width="32.5546875" style="1" customWidth="1"/>
    <col min="15108" max="15108" width="16.88671875" style="1" customWidth="1"/>
    <col min="15109" max="15109" width="16.33203125" style="1" customWidth="1"/>
    <col min="15110" max="15340" width="10.33203125" style="1"/>
    <col min="15341" max="15341" width="4.44140625" style="1" customWidth="1"/>
    <col min="15342" max="15342" width="21.6640625" style="1" customWidth="1"/>
    <col min="15343" max="15343" width="15" style="1" customWidth="1"/>
    <col min="15344" max="15344" width="15.44140625" style="1" customWidth="1"/>
    <col min="15345" max="15345" width="11.5546875" style="1" customWidth="1"/>
    <col min="15346" max="15346" width="7.44140625" style="1" customWidth="1"/>
    <col min="15347" max="15347" width="14.109375" style="1" customWidth="1"/>
    <col min="15348" max="15348" width="10.6640625" style="1" customWidth="1"/>
    <col min="15349" max="15349" width="13.44140625" style="1" customWidth="1"/>
    <col min="15350" max="15350" width="11.44140625" style="1" customWidth="1"/>
    <col min="15351" max="15351" width="15" style="1" customWidth="1"/>
    <col min="15352" max="15352" width="14.5546875" style="1" customWidth="1"/>
    <col min="15353" max="15353" width="10.33203125" style="1"/>
    <col min="15354" max="15354" width="7.44140625" style="1" customWidth="1"/>
    <col min="15355" max="15355" width="12.88671875" style="1" customWidth="1"/>
    <col min="15356" max="15356" width="11.109375" style="1" customWidth="1"/>
    <col min="15357" max="15357" width="14" style="1" customWidth="1"/>
    <col min="15358" max="15358" width="33" style="1" customWidth="1"/>
    <col min="15359" max="15359" width="6.6640625" style="1" customWidth="1"/>
    <col min="15360" max="15360" width="19" style="1" customWidth="1"/>
    <col min="15361" max="15361" width="19.109375" style="1" customWidth="1"/>
    <col min="15362" max="15362" width="21.33203125" style="1" customWidth="1"/>
    <col min="15363" max="15363" width="32.5546875" style="1" customWidth="1"/>
    <col min="15364" max="15364" width="16.88671875" style="1" customWidth="1"/>
    <col min="15365" max="15365" width="16.33203125" style="1" customWidth="1"/>
    <col min="15366" max="15596" width="10.33203125" style="1"/>
    <col min="15597" max="15597" width="4.44140625" style="1" customWidth="1"/>
    <col min="15598" max="15598" width="21.6640625" style="1" customWidth="1"/>
    <col min="15599" max="15599" width="15" style="1" customWidth="1"/>
    <col min="15600" max="15600" width="15.44140625" style="1" customWidth="1"/>
    <col min="15601" max="15601" width="11.5546875" style="1" customWidth="1"/>
    <col min="15602" max="15602" width="7.44140625" style="1" customWidth="1"/>
    <col min="15603" max="15603" width="14.109375" style="1" customWidth="1"/>
    <col min="15604" max="15604" width="10.6640625" style="1" customWidth="1"/>
    <col min="15605" max="15605" width="13.44140625" style="1" customWidth="1"/>
    <col min="15606" max="15606" width="11.44140625" style="1" customWidth="1"/>
    <col min="15607" max="15607" width="15" style="1" customWidth="1"/>
    <col min="15608" max="15608" width="14.5546875" style="1" customWidth="1"/>
    <col min="15609" max="15609" width="10.33203125" style="1"/>
    <col min="15610" max="15610" width="7.44140625" style="1" customWidth="1"/>
    <col min="15611" max="15611" width="12.88671875" style="1" customWidth="1"/>
    <col min="15612" max="15612" width="11.109375" style="1" customWidth="1"/>
    <col min="15613" max="15613" width="14" style="1" customWidth="1"/>
    <col min="15614" max="15614" width="33" style="1" customWidth="1"/>
    <col min="15615" max="15615" width="6.6640625" style="1" customWidth="1"/>
    <col min="15616" max="15616" width="19" style="1" customWidth="1"/>
    <col min="15617" max="15617" width="19.109375" style="1" customWidth="1"/>
    <col min="15618" max="15618" width="21.33203125" style="1" customWidth="1"/>
    <col min="15619" max="15619" width="32.5546875" style="1" customWidth="1"/>
    <col min="15620" max="15620" width="16.88671875" style="1" customWidth="1"/>
    <col min="15621" max="15621" width="16.33203125" style="1" customWidth="1"/>
    <col min="15622" max="15852" width="10.33203125" style="1"/>
    <col min="15853" max="15853" width="4.44140625" style="1" customWidth="1"/>
    <col min="15854" max="15854" width="21.6640625" style="1" customWidth="1"/>
    <col min="15855" max="15855" width="15" style="1" customWidth="1"/>
    <col min="15856" max="15856" width="15.44140625" style="1" customWidth="1"/>
    <col min="15857" max="15857" width="11.5546875" style="1" customWidth="1"/>
    <col min="15858" max="15858" width="7.44140625" style="1" customWidth="1"/>
    <col min="15859" max="15859" width="14.109375" style="1" customWidth="1"/>
    <col min="15860" max="15860" width="10.6640625" style="1" customWidth="1"/>
    <col min="15861" max="15861" width="13.44140625" style="1" customWidth="1"/>
    <col min="15862" max="15862" width="11.44140625" style="1" customWidth="1"/>
    <col min="15863" max="15863" width="15" style="1" customWidth="1"/>
    <col min="15864" max="15864" width="14.5546875" style="1" customWidth="1"/>
    <col min="15865" max="15865" width="10.33203125" style="1"/>
    <col min="15866" max="15866" width="7.44140625" style="1" customWidth="1"/>
    <col min="15867" max="15867" width="12.88671875" style="1" customWidth="1"/>
    <col min="15868" max="15868" width="11.109375" style="1" customWidth="1"/>
    <col min="15869" max="15869" width="14" style="1" customWidth="1"/>
    <col min="15870" max="15870" width="33" style="1" customWidth="1"/>
    <col min="15871" max="15871" width="6.6640625" style="1" customWidth="1"/>
    <col min="15872" max="15872" width="19" style="1" customWidth="1"/>
    <col min="15873" max="15873" width="19.109375" style="1" customWidth="1"/>
    <col min="15874" max="15874" width="21.33203125" style="1" customWidth="1"/>
    <col min="15875" max="15875" width="32.5546875" style="1" customWidth="1"/>
    <col min="15876" max="15876" width="16.88671875" style="1" customWidth="1"/>
    <col min="15877" max="15877" width="16.33203125" style="1" customWidth="1"/>
    <col min="15878" max="16108" width="10.33203125" style="1"/>
    <col min="16109" max="16109" width="4.44140625" style="1" customWidth="1"/>
    <col min="16110" max="16110" width="21.6640625" style="1" customWidth="1"/>
    <col min="16111" max="16111" width="15" style="1" customWidth="1"/>
    <col min="16112" max="16112" width="15.44140625" style="1" customWidth="1"/>
    <col min="16113" max="16113" width="11.5546875" style="1" customWidth="1"/>
    <col min="16114" max="16114" width="7.44140625" style="1" customWidth="1"/>
    <col min="16115" max="16115" width="14.109375" style="1" customWidth="1"/>
    <col min="16116" max="16116" width="10.6640625" style="1" customWidth="1"/>
    <col min="16117" max="16117" width="13.44140625" style="1" customWidth="1"/>
    <col min="16118" max="16118" width="11.44140625" style="1" customWidth="1"/>
    <col min="16119" max="16119" width="15" style="1" customWidth="1"/>
    <col min="16120" max="16120" width="14.5546875" style="1" customWidth="1"/>
    <col min="16121" max="16121" width="10.33203125" style="1"/>
    <col min="16122" max="16122" width="7.44140625" style="1" customWidth="1"/>
    <col min="16123" max="16123" width="12.88671875" style="1" customWidth="1"/>
    <col min="16124" max="16124" width="11.109375" style="1" customWidth="1"/>
    <col min="16125" max="16125" width="14" style="1" customWidth="1"/>
    <col min="16126" max="16126" width="33" style="1" customWidth="1"/>
    <col min="16127" max="16127" width="6.6640625" style="1" customWidth="1"/>
    <col min="16128" max="16128" width="19" style="1" customWidth="1"/>
    <col min="16129" max="16129" width="19.109375" style="1" customWidth="1"/>
    <col min="16130" max="16130" width="21.33203125" style="1" customWidth="1"/>
    <col min="16131" max="16131" width="32.5546875" style="1" customWidth="1"/>
    <col min="16132" max="16132" width="16.88671875" style="1" customWidth="1"/>
    <col min="16133" max="16133" width="16.33203125" style="1" customWidth="1"/>
    <col min="16134" max="16384" width="10.33203125" style="1"/>
  </cols>
  <sheetData>
    <row r="1" spans="1:10" ht="24.6">
      <c r="A1" s="726" t="s">
        <v>0</v>
      </c>
      <c r="B1" s="726"/>
      <c r="C1" s="726"/>
      <c r="D1" s="726"/>
      <c r="E1" s="726"/>
      <c r="F1" s="726"/>
    </row>
    <row r="2" spans="1:10" ht="24.6">
      <c r="A2" s="726" t="s">
        <v>1</v>
      </c>
      <c r="B2" s="726"/>
      <c r="C2" s="726"/>
      <c r="D2" s="726"/>
      <c r="E2" s="726"/>
      <c r="F2" s="726"/>
    </row>
    <row r="3" spans="1:10" ht="24.6">
      <c r="A3" s="727" t="s">
        <v>457</v>
      </c>
      <c r="B3" s="727"/>
      <c r="C3" s="727"/>
      <c r="D3" s="727"/>
      <c r="E3" s="727"/>
      <c r="F3" s="727"/>
    </row>
    <row r="4" spans="1:10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10" ht="24.6">
      <c r="A5" s="3"/>
      <c r="B5" s="13"/>
      <c r="C5" s="3"/>
      <c r="D5" s="15"/>
      <c r="E5" s="16"/>
      <c r="F5" s="8"/>
      <c r="G5" s="19"/>
      <c r="H5" s="19"/>
      <c r="I5" s="19"/>
      <c r="J5" s="19"/>
    </row>
    <row r="6" spans="1:10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10" ht="24.6">
      <c r="A7" s="29"/>
      <c r="B7" s="45" t="s">
        <v>39</v>
      </c>
      <c r="C7" s="29"/>
      <c r="D7" s="47"/>
      <c r="E7" s="48"/>
      <c r="F7" s="48"/>
    </row>
    <row r="8" spans="1:10" ht="24.6">
      <c r="A8" s="25">
        <v>1</v>
      </c>
      <c r="B8" s="29" t="s">
        <v>277</v>
      </c>
      <c r="C8" s="29"/>
      <c r="D8" s="137">
        <v>25383</v>
      </c>
      <c r="E8" s="138" t="s">
        <v>458</v>
      </c>
      <c r="F8" s="58">
        <v>535</v>
      </c>
    </row>
    <row r="9" spans="1:10" s="96" customFormat="1" ht="24.6">
      <c r="A9" s="86">
        <v>2</v>
      </c>
      <c r="B9" s="87" t="s">
        <v>44</v>
      </c>
      <c r="C9" s="88"/>
      <c r="D9" s="137">
        <v>25384</v>
      </c>
      <c r="E9" s="138" t="s">
        <v>459</v>
      </c>
      <c r="F9" s="58">
        <v>1070</v>
      </c>
    </row>
    <row r="10" spans="1:10" ht="24.6">
      <c r="A10" s="25">
        <v>3</v>
      </c>
      <c r="B10" s="29" t="s">
        <v>46</v>
      </c>
      <c r="C10" s="29"/>
      <c r="D10" s="26">
        <v>25358</v>
      </c>
      <c r="E10" s="117" t="s">
        <v>460</v>
      </c>
      <c r="F10" s="118">
        <v>535</v>
      </c>
    </row>
    <row r="11" spans="1:10" ht="25.2" thickBot="1">
      <c r="A11" s="29"/>
      <c r="B11" s="25" t="s">
        <v>26</v>
      </c>
      <c r="C11" s="29"/>
      <c r="D11" s="67"/>
      <c r="E11" s="67"/>
      <c r="F11" s="104">
        <v>2140</v>
      </c>
      <c r="I11" s="175">
        <f>SUM(F8:F10)</f>
        <v>2140</v>
      </c>
    </row>
    <row r="12" spans="1:10" ht="25.2" thickTop="1">
      <c r="A12" s="29"/>
      <c r="B12" s="45" t="s">
        <v>52</v>
      </c>
      <c r="C12" s="29"/>
      <c r="D12" s="47"/>
      <c r="E12" s="48"/>
      <c r="F12" s="58"/>
    </row>
    <row r="13" spans="1:10" ht="24.6">
      <c r="A13" s="25">
        <v>1</v>
      </c>
      <c r="B13" s="29" t="s">
        <v>65</v>
      </c>
      <c r="C13" s="25">
        <v>267</v>
      </c>
      <c r="D13" s="153">
        <v>25363</v>
      </c>
      <c r="E13" s="700" t="s">
        <v>461</v>
      </c>
      <c r="F13" s="702">
        <v>1215</v>
      </c>
    </row>
    <row r="14" spans="1:10" ht="24.6">
      <c r="A14" s="25">
        <v>2</v>
      </c>
      <c r="B14" s="29" t="s">
        <v>70</v>
      </c>
      <c r="C14" s="25" t="s">
        <v>71</v>
      </c>
      <c r="D14" s="153">
        <v>25365</v>
      </c>
      <c r="E14" s="700" t="s">
        <v>462</v>
      </c>
      <c r="F14" s="702">
        <v>2430</v>
      </c>
    </row>
    <row r="15" spans="1:10" ht="24.6">
      <c r="A15" s="25">
        <v>3</v>
      </c>
      <c r="B15" s="29" t="s">
        <v>78</v>
      </c>
      <c r="C15" s="25" t="s">
        <v>79</v>
      </c>
      <c r="D15" s="153">
        <v>25359</v>
      </c>
      <c r="E15" s="700" t="s">
        <v>463</v>
      </c>
      <c r="F15" s="702">
        <v>2430</v>
      </c>
    </row>
    <row r="16" spans="1:10" ht="24.6">
      <c r="A16" s="25">
        <v>4</v>
      </c>
      <c r="B16" s="29" t="s">
        <v>83</v>
      </c>
      <c r="C16" s="25">
        <v>277</v>
      </c>
      <c r="D16" s="153">
        <v>25376</v>
      </c>
      <c r="E16" s="700" t="s">
        <v>464</v>
      </c>
      <c r="F16" s="702">
        <v>1215</v>
      </c>
    </row>
    <row r="17" spans="1:10" ht="24.6">
      <c r="A17" s="25">
        <v>5</v>
      </c>
      <c r="B17" s="29" t="s">
        <v>105</v>
      </c>
      <c r="C17" s="29"/>
      <c r="D17" s="153">
        <v>25381</v>
      </c>
      <c r="E17" s="700" t="s">
        <v>465</v>
      </c>
      <c r="F17" s="702">
        <v>5000</v>
      </c>
    </row>
    <row r="18" spans="1:10" ht="24.6">
      <c r="A18" s="25">
        <v>6</v>
      </c>
      <c r="B18" s="29" t="s">
        <v>105</v>
      </c>
      <c r="C18" s="29"/>
      <c r="D18" s="153">
        <v>25381</v>
      </c>
      <c r="E18" s="700" t="s">
        <v>466</v>
      </c>
      <c r="F18" s="702">
        <v>4650</v>
      </c>
    </row>
    <row r="19" spans="1:10" ht="24.6">
      <c r="A19" s="25">
        <v>7</v>
      </c>
      <c r="B19" s="29" t="s">
        <v>109</v>
      </c>
      <c r="C19" s="53"/>
      <c r="D19" s="153">
        <v>25356</v>
      </c>
      <c r="E19" s="700" t="s">
        <v>467</v>
      </c>
      <c r="F19" s="702">
        <v>3450</v>
      </c>
    </row>
    <row r="20" spans="1:10" ht="24.6">
      <c r="A20" s="25">
        <v>8</v>
      </c>
      <c r="B20" s="29" t="s">
        <v>112</v>
      </c>
      <c r="C20" s="29"/>
      <c r="D20" s="153">
        <v>25369</v>
      </c>
      <c r="E20" s="700" t="s">
        <v>468</v>
      </c>
      <c r="F20" s="702">
        <v>3795</v>
      </c>
    </row>
    <row r="21" spans="1:10" ht="25.5" customHeight="1">
      <c r="A21" s="25">
        <v>9</v>
      </c>
      <c r="B21" s="132" t="s">
        <v>115</v>
      </c>
      <c r="C21" s="132"/>
      <c r="D21" s="153">
        <v>25363</v>
      </c>
      <c r="E21" s="700" t="s">
        <v>469</v>
      </c>
      <c r="F21" s="702">
        <v>8000</v>
      </c>
    </row>
    <row r="22" spans="1:10" ht="25.2" thickBot="1">
      <c r="A22" s="29"/>
      <c r="B22" s="25" t="s">
        <v>26</v>
      </c>
      <c r="C22" s="74"/>
      <c r="D22" s="77"/>
      <c r="E22" s="77"/>
      <c r="F22" s="77">
        <v>32185</v>
      </c>
      <c r="I22" s="175">
        <f>SUM(F13:F21)</f>
        <v>32185</v>
      </c>
    </row>
    <row r="23" spans="1:10" ht="25.2" thickTop="1">
      <c r="A23" s="29"/>
      <c r="B23" s="116" t="s">
        <v>117</v>
      </c>
      <c r="C23" s="46"/>
      <c r="D23" s="137"/>
      <c r="E23" s="138"/>
      <c r="F23" s="139"/>
    </row>
    <row r="24" spans="1:10" ht="24.6">
      <c r="A24" s="25">
        <v>1</v>
      </c>
      <c r="B24" s="119" t="s">
        <v>121</v>
      </c>
      <c r="C24" s="46"/>
      <c r="D24" s="153">
        <v>25359</v>
      </c>
      <c r="E24" s="700" t="s">
        <v>470</v>
      </c>
      <c r="F24" s="702">
        <v>6000</v>
      </c>
    </row>
    <row r="25" spans="1:10" ht="24.6">
      <c r="A25" s="25">
        <v>2</v>
      </c>
      <c r="B25" s="29" t="s">
        <v>124</v>
      </c>
      <c r="C25" s="29"/>
      <c r="D25" s="153">
        <v>25384</v>
      </c>
      <c r="E25" s="700" t="s">
        <v>471</v>
      </c>
      <c r="F25" s="702">
        <v>600</v>
      </c>
    </row>
    <row r="26" spans="1:10" ht="24.6">
      <c r="A26" s="25">
        <v>3</v>
      </c>
      <c r="B26" s="29" t="s">
        <v>130</v>
      </c>
      <c r="C26" s="29"/>
      <c r="D26" s="153">
        <v>25383</v>
      </c>
      <c r="E26" s="700" t="s">
        <v>465</v>
      </c>
      <c r="F26" s="702">
        <v>550</v>
      </c>
    </row>
    <row r="27" spans="1:10" ht="24.6">
      <c r="A27" s="25">
        <v>4</v>
      </c>
      <c r="B27" s="29" t="s">
        <v>132</v>
      </c>
      <c r="C27" s="29"/>
      <c r="D27" s="153">
        <v>25369</v>
      </c>
      <c r="E27" s="700" t="s">
        <v>468</v>
      </c>
      <c r="F27" s="702">
        <v>1100</v>
      </c>
    </row>
    <row r="28" spans="1:10" ht="24.6">
      <c r="A28" s="25">
        <v>5</v>
      </c>
      <c r="B28" s="29" t="s">
        <v>134</v>
      </c>
      <c r="C28" s="29"/>
      <c r="D28" s="153">
        <v>244529</v>
      </c>
      <c r="E28" s="705" t="s">
        <v>472</v>
      </c>
      <c r="F28" s="702">
        <v>1650</v>
      </c>
    </row>
    <row r="29" spans="1:10" ht="24.6">
      <c r="A29" s="25">
        <v>6</v>
      </c>
      <c r="B29" s="29" t="s">
        <v>137</v>
      </c>
      <c r="C29" s="29"/>
      <c r="D29" s="153">
        <v>25358</v>
      </c>
      <c r="E29" s="700" t="s">
        <v>473</v>
      </c>
      <c r="F29" s="702">
        <v>5000</v>
      </c>
    </row>
    <row r="30" spans="1:10" ht="25.2" thickBot="1">
      <c r="A30" s="29"/>
      <c r="B30" s="25" t="s">
        <v>26</v>
      </c>
      <c r="C30" s="64"/>
      <c r="D30" s="67"/>
      <c r="E30" s="67"/>
      <c r="F30" s="67">
        <v>14900</v>
      </c>
      <c r="I30" s="175">
        <f>SUM(F24:F29)</f>
        <v>14900</v>
      </c>
    </row>
    <row r="31" spans="1:10" ht="24.75" customHeight="1" thickTop="1" thickBot="1">
      <c r="A31" s="34"/>
      <c r="B31" s="34" t="s">
        <v>374</v>
      </c>
      <c r="C31" s="74"/>
      <c r="D31" s="110"/>
      <c r="E31" s="110"/>
      <c r="F31" s="110">
        <v>49225</v>
      </c>
      <c r="J31" s="260">
        <f>SUM(I11:I30)</f>
        <v>49225</v>
      </c>
    </row>
    <row r="32" spans="1:10" ht="24.75" customHeight="1" thickTop="1">
      <c r="A32" s="14"/>
      <c r="B32" s="173"/>
      <c r="F32" s="178"/>
    </row>
    <row r="33" spans="5:6" ht="24.6">
      <c r="E33" s="250"/>
      <c r="F33" s="252"/>
    </row>
    <row r="34" spans="5:6" ht="24.6">
      <c r="E34" s="250"/>
    </row>
    <row r="35" spans="5:6" ht="24.6"/>
    <row r="36" spans="5:6" ht="24.6"/>
    <row r="37" spans="5:6" ht="24.6"/>
    <row r="38" spans="5:6" ht="24.6"/>
    <row r="39" spans="5:6" ht="24.6"/>
    <row r="40" spans="5:6" ht="24.6"/>
    <row r="41" spans="5:6" ht="24.6"/>
    <row r="42" spans="5:6" ht="24.6"/>
    <row r="43" spans="5:6" ht="24.6"/>
    <row r="44" spans="5:6" ht="24.6"/>
    <row r="45" spans="5:6" ht="24.6"/>
    <row r="46" spans="5:6" ht="24.6"/>
    <row r="47" spans="5:6" ht="24.6"/>
    <row r="48" spans="5:6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F32D-005F-4DAE-895D-905B40D31FA3}">
  <sheetPr>
    <tabColor rgb="FF92D050"/>
  </sheetPr>
  <dimension ref="A1:M811"/>
  <sheetViews>
    <sheetView zoomScale="83" zoomScaleNormal="83" zoomScaleSheetLayoutView="87" workbookViewId="0">
      <pane ySplit="6" topLeftCell="A28" activePane="bottomLeft" state="frozen"/>
      <selection activeCell="I147" sqref="I147"/>
      <selection pane="bottomLeft" activeCell="M39" sqref="M39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4" width="23.77734375" style="1" customWidth="1"/>
    <col min="5" max="5" width="10.33203125" style="1" customWidth="1"/>
    <col min="6" max="6" width="7.44140625" style="173" customWidth="1"/>
    <col min="7" max="7" width="16.77734375" style="1" customWidth="1"/>
    <col min="8" max="8" width="10.33203125" style="1"/>
    <col min="9" max="9" width="12.88671875" style="1" bestFit="1" customWidth="1"/>
    <col min="10" max="10" width="14.6640625" style="1" bestFit="1" customWidth="1"/>
    <col min="11" max="12" width="10.33203125" style="1"/>
    <col min="13" max="13" width="23.88671875" style="1" customWidth="1"/>
    <col min="14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10" ht="24.6">
      <c r="A1" s="726" t="s">
        <v>0</v>
      </c>
      <c r="B1" s="726"/>
      <c r="C1" s="726"/>
      <c r="D1" s="726"/>
      <c r="E1" s="726"/>
      <c r="F1" s="726"/>
      <c r="G1" s="726"/>
    </row>
    <row r="2" spans="1:10" ht="24.6">
      <c r="A2" s="726" t="s">
        <v>1</v>
      </c>
      <c r="B2" s="726"/>
      <c r="C2" s="726"/>
      <c r="D2" s="726"/>
      <c r="E2" s="726"/>
      <c r="F2" s="726"/>
      <c r="G2" s="726"/>
    </row>
    <row r="3" spans="1:10" ht="24.6">
      <c r="A3" s="727" t="s">
        <v>457</v>
      </c>
      <c r="B3" s="727"/>
      <c r="C3" s="727"/>
      <c r="D3" s="727"/>
      <c r="E3" s="727"/>
      <c r="F3" s="727"/>
      <c r="G3" s="727"/>
    </row>
    <row r="4" spans="1:10" ht="24.6">
      <c r="A4" s="3" t="s">
        <v>3</v>
      </c>
      <c r="B4" s="3" t="s">
        <v>4</v>
      </c>
      <c r="C4" s="3" t="s">
        <v>5</v>
      </c>
      <c r="D4" s="261"/>
      <c r="E4" s="728" t="s">
        <v>9</v>
      </c>
      <c r="F4" s="729"/>
      <c r="G4" s="730"/>
    </row>
    <row r="5" spans="1:10" ht="24.6">
      <c r="A5" s="3"/>
      <c r="B5" s="13"/>
      <c r="C5" s="3"/>
      <c r="D5" s="9" t="s">
        <v>296</v>
      </c>
      <c r="E5" s="9" t="s">
        <v>21</v>
      </c>
      <c r="F5" s="9" t="s">
        <v>22</v>
      </c>
      <c r="G5" s="7"/>
    </row>
    <row r="6" spans="1:10" ht="24.6">
      <c r="A6" s="3"/>
      <c r="B6" s="3"/>
      <c r="C6" s="3"/>
      <c r="D6" s="18"/>
      <c r="E6" s="18"/>
      <c r="F6" s="18"/>
      <c r="G6" s="28" t="s">
        <v>26</v>
      </c>
    </row>
    <row r="7" spans="1:10" ht="24.6">
      <c r="A7" s="29"/>
      <c r="B7" s="45" t="s">
        <v>52</v>
      </c>
      <c r="C7" s="29"/>
      <c r="D7" s="46"/>
      <c r="E7" s="46"/>
      <c r="F7" s="28"/>
      <c r="G7" s="57"/>
    </row>
    <row r="8" spans="1:10" ht="24.6">
      <c r="A8" s="25">
        <v>1</v>
      </c>
      <c r="B8" s="156" t="s">
        <v>73</v>
      </c>
      <c r="C8" s="624">
        <v>84282</v>
      </c>
      <c r="D8" s="624"/>
      <c r="E8" s="621">
        <v>25355</v>
      </c>
      <c r="F8" s="622">
        <v>1</v>
      </c>
      <c r="G8" s="724">
        <v>7290</v>
      </c>
    </row>
    <row r="9" spans="1:10" ht="24.6">
      <c r="A9" s="25">
        <v>2</v>
      </c>
      <c r="B9" s="156" t="s">
        <v>105</v>
      </c>
      <c r="C9" s="156" t="s">
        <v>104</v>
      </c>
      <c r="D9" s="156"/>
      <c r="E9" s="621">
        <v>25355</v>
      </c>
      <c r="F9" s="622">
        <v>1</v>
      </c>
      <c r="G9" s="725">
        <v>5000</v>
      </c>
    </row>
    <row r="10" spans="1:10" ht="24.6">
      <c r="A10" s="25">
        <v>3</v>
      </c>
      <c r="B10" s="156" t="s">
        <v>105</v>
      </c>
      <c r="C10" s="156" t="s">
        <v>104</v>
      </c>
      <c r="D10" s="156"/>
      <c r="E10" s="621">
        <v>25355</v>
      </c>
      <c r="F10" s="622">
        <v>1</v>
      </c>
      <c r="G10" s="725">
        <v>4650</v>
      </c>
    </row>
    <row r="11" spans="1:10" ht="25.2" thickBot="1">
      <c r="A11" s="29"/>
      <c r="B11" s="25" t="s">
        <v>26</v>
      </c>
      <c r="C11" s="74"/>
      <c r="D11" s="74"/>
      <c r="E11" s="78"/>
      <c r="F11" s="135"/>
      <c r="G11" s="699">
        <v>16940</v>
      </c>
      <c r="I11" s="175">
        <f>SUM(G8:G10)</f>
        <v>16940</v>
      </c>
      <c r="J11" s="1" t="s">
        <v>269</v>
      </c>
    </row>
    <row r="12" spans="1:10" ht="24.75" customHeight="1" thickTop="1">
      <c r="A12" s="14"/>
      <c r="B12" s="173"/>
      <c r="G12" s="174"/>
    </row>
    <row r="13" spans="1:10" ht="24.75" customHeight="1">
      <c r="A13" s="731" t="s">
        <v>211</v>
      </c>
      <c r="B13" s="732"/>
      <c r="C13" s="732"/>
      <c r="D13" s="732"/>
      <c r="E13" s="732"/>
      <c r="F13" s="732"/>
      <c r="G13" s="732"/>
    </row>
    <row r="14" spans="1:10" ht="24.75" customHeight="1">
      <c r="A14" s="46">
        <v>1</v>
      </c>
      <c r="B14" s="180" t="s">
        <v>32</v>
      </c>
      <c r="C14" s="46" t="s">
        <v>104</v>
      </c>
      <c r="D14" s="46"/>
      <c r="E14" s="46" t="s">
        <v>453</v>
      </c>
      <c r="F14" s="28">
        <v>11</v>
      </c>
      <c r="G14" s="57">
        <v>55800</v>
      </c>
    </row>
    <row r="15" spans="1:10" ht="24" customHeight="1">
      <c r="A15" s="25">
        <v>2</v>
      </c>
      <c r="B15" s="29" t="s">
        <v>215</v>
      </c>
      <c r="C15" s="29" t="s">
        <v>104</v>
      </c>
      <c r="D15" s="46"/>
      <c r="E15" s="46" t="s">
        <v>453</v>
      </c>
      <c r="F15" s="25">
        <v>11</v>
      </c>
      <c r="G15" s="57">
        <v>69000</v>
      </c>
    </row>
    <row r="16" spans="1:10" ht="24" customHeight="1">
      <c r="A16" s="4">
        <v>3</v>
      </c>
      <c r="B16" s="53" t="s">
        <v>68</v>
      </c>
      <c r="C16" s="53">
        <v>268</v>
      </c>
      <c r="D16" s="109"/>
      <c r="E16" s="109" t="s">
        <v>454</v>
      </c>
      <c r="F16" s="4">
        <v>26</v>
      </c>
      <c r="G16" s="57">
        <v>32805</v>
      </c>
    </row>
    <row r="17" spans="1:9" ht="24.75" customHeight="1" thickBot="1">
      <c r="A17" s="34"/>
      <c r="B17" s="34" t="s">
        <v>26</v>
      </c>
      <c r="C17" s="74"/>
      <c r="D17" s="74"/>
      <c r="E17" s="74"/>
      <c r="F17" s="34"/>
      <c r="G17" s="110">
        <v>157605</v>
      </c>
      <c r="I17" s="175">
        <f>SUM(G14:G16)</f>
        <v>157605</v>
      </c>
    </row>
    <row r="18" spans="1:9" ht="24.75" customHeight="1" thickTop="1">
      <c r="A18" s="14"/>
      <c r="B18" s="173"/>
      <c r="G18" s="174"/>
    </row>
    <row r="19" spans="1:9" ht="24.75" customHeight="1">
      <c r="A19" s="4"/>
      <c r="B19" s="188" t="s">
        <v>217</v>
      </c>
      <c r="C19" s="53"/>
      <c r="D19" s="53"/>
      <c r="E19" s="53"/>
      <c r="F19" s="4"/>
      <c r="G19" s="127"/>
    </row>
    <row r="20" spans="1:9" ht="24.75" customHeight="1">
      <c r="A20" s="199">
        <v>1</v>
      </c>
      <c r="B20" s="200" t="s">
        <v>85</v>
      </c>
      <c r="C20" s="203" t="s">
        <v>86</v>
      </c>
      <c r="D20" s="203"/>
      <c r="E20" s="203" t="s">
        <v>229</v>
      </c>
      <c r="F20" s="199">
        <v>7</v>
      </c>
      <c r="G20" s="715">
        <v>30800</v>
      </c>
    </row>
    <row r="21" spans="1:9" s="96" customFormat="1" ht="24.75" customHeight="1">
      <c r="A21" s="190"/>
      <c r="B21" s="191" t="s">
        <v>232</v>
      </c>
      <c r="C21" s="192" t="s">
        <v>194</v>
      </c>
      <c r="D21" s="192"/>
      <c r="E21" s="192"/>
      <c r="F21" s="190"/>
      <c r="G21" s="715">
        <v>64400</v>
      </c>
    </row>
    <row r="22" spans="1:9" ht="24.6">
      <c r="A22" s="199">
        <v>2</v>
      </c>
      <c r="B22" s="203" t="s">
        <v>32</v>
      </c>
      <c r="C22" s="222" t="s">
        <v>104</v>
      </c>
      <c r="D22" s="222"/>
      <c r="E22" s="199" t="s">
        <v>234</v>
      </c>
      <c r="F22" s="199">
        <v>4</v>
      </c>
      <c r="G22" s="715">
        <v>18600</v>
      </c>
    </row>
    <row r="23" spans="1:9" ht="24.6">
      <c r="A23" s="199">
        <v>3</v>
      </c>
      <c r="B23" s="203" t="s">
        <v>215</v>
      </c>
      <c r="C23" s="222" t="s">
        <v>104</v>
      </c>
      <c r="D23" s="222"/>
      <c r="E23" s="199" t="s">
        <v>236</v>
      </c>
      <c r="F23" s="199">
        <v>4</v>
      </c>
      <c r="G23" s="715">
        <v>23000</v>
      </c>
    </row>
    <row r="24" spans="1:9" ht="24.75" customHeight="1" thickBot="1">
      <c r="A24" s="34"/>
      <c r="B24" s="239"/>
      <c r="C24" s="74"/>
      <c r="D24" s="74"/>
      <c r="E24" s="110"/>
      <c r="F24" s="240"/>
      <c r="G24" s="171">
        <v>136800</v>
      </c>
      <c r="I24" s="175">
        <f>SUM(G20:G23)</f>
        <v>136800</v>
      </c>
    </row>
    <row r="25" spans="1:9" ht="25.2" thickTop="1">
      <c r="A25" s="46"/>
      <c r="B25" s="161" t="s">
        <v>238</v>
      </c>
      <c r="C25" s="46"/>
      <c r="D25" s="46"/>
      <c r="E25" s="46"/>
      <c r="F25" s="28"/>
      <c r="G25" s="46"/>
    </row>
    <row r="26" spans="1:9" ht="24.6">
      <c r="A26" s="25">
        <v>1</v>
      </c>
      <c r="B26" s="53" t="s">
        <v>239</v>
      </c>
      <c r="C26" s="109"/>
      <c r="D26" s="109"/>
      <c r="E26" s="109" t="s">
        <v>240</v>
      </c>
      <c r="F26" s="115"/>
      <c r="G26" s="162">
        <v>0</v>
      </c>
    </row>
    <row r="27" spans="1:9" ht="24.6">
      <c r="A27" s="25"/>
      <c r="B27" s="29" t="s">
        <v>241</v>
      </c>
      <c r="C27" s="29"/>
      <c r="D27" s="29"/>
      <c r="E27" s="29" t="s">
        <v>242</v>
      </c>
      <c r="F27" s="25"/>
      <c r="G27" s="697">
        <v>133707.98000000001</v>
      </c>
    </row>
    <row r="28" spans="1:9" ht="24.6">
      <c r="A28" s="25"/>
      <c r="B28" s="29" t="s">
        <v>244</v>
      </c>
      <c r="C28" s="29"/>
      <c r="D28" s="29"/>
      <c r="E28" s="29"/>
      <c r="F28" s="25"/>
      <c r="G28" s="697">
        <v>73800</v>
      </c>
    </row>
    <row r="29" spans="1:9" ht="24.6">
      <c r="A29" s="25"/>
      <c r="B29" s="29" t="s">
        <v>245</v>
      </c>
      <c r="C29" s="29"/>
      <c r="D29" s="29"/>
      <c r="E29" s="29"/>
      <c r="F29" s="25"/>
      <c r="G29" s="697">
        <v>7596.82</v>
      </c>
    </row>
    <row r="30" spans="1:9" ht="24.6">
      <c r="A30" s="25"/>
      <c r="B30" s="29" t="s">
        <v>246</v>
      </c>
      <c r="C30" s="29"/>
      <c r="D30" s="53"/>
      <c r="E30" s="53"/>
      <c r="F30" s="4"/>
      <c r="G30" s="49"/>
    </row>
    <row r="31" spans="1:9" ht="24.6">
      <c r="A31" s="4"/>
      <c r="B31" s="53"/>
      <c r="C31" s="273" t="s">
        <v>247</v>
      </c>
      <c r="D31" s="273"/>
      <c r="E31" s="53"/>
      <c r="F31" s="4"/>
      <c r="G31" s="162"/>
    </row>
    <row r="32" spans="1:9" s="96" customFormat="1" ht="24.75" customHeight="1">
      <c r="A32" s="86">
        <v>2</v>
      </c>
      <c r="B32" s="274" t="s">
        <v>68</v>
      </c>
      <c r="C32" s="87">
        <v>268</v>
      </c>
      <c r="D32" s="87"/>
      <c r="E32" s="86" t="s">
        <v>378</v>
      </c>
      <c r="F32" s="86">
        <v>80</v>
      </c>
      <c r="G32" s="92">
        <v>133752.76</v>
      </c>
    </row>
    <row r="33" spans="1:13" ht="24.75" customHeight="1">
      <c r="A33" s="25"/>
      <c r="B33" s="119" t="s">
        <v>221</v>
      </c>
      <c r="C33" s="278" t="s">
        <v>222</v>
      </c>
      <c r="D33" s="278"/>
      <c r="E33" s="29"/>
      <c r="F33" s="25" t="s">
        <v>172</v>
      </c>
      <c r="G33" s="697">
        <v>19700</v>
      </c>
    </row>
    <row r="34" spans="1:13" ht="24.75" customHeight="1">
      <c r="A34" s="25"/>
      <c r="B34" s="278"/>
      <c r="C34" s="278" t="s">
        <v>223</v>
      </c>
      <c r="D34" s="278"/>
      <c r="E34" s="29"/>
      <c r="F34" s="25" t="s">
        <v>172</v>
      </c>
      <c r="G34" s="697">
        <v>19700</v>
      </c>
    </row>
    <row r="35" spans="1:13" ht="24.75" customHeight="1">
      <c r="A35" s="25"/>
      <c r="B35" s="278"/>
      <c r="C35" s="278" t="s">
        <v>224</v>
      </c>
      <c r="D35" s="278"/>
      <c r="E35" s="29"/>
      <c r="F35" s="25" t="s">
        <v>172</v>
      </c>
      <c r="G35" s="697">
        <v>19700</v>
      </c>
    </row>
    <row r="36" spans="1:13" ht="24.75" customHeight="1">
      <c r="A36" s="25">
        <v>3</v>
      </c>
      <c r="B36" s="119" t="s">
        <v>225</v>
      </c>
      <c r="C36" s="29"/>
      <c r="D36" s="29"/>
      <c r="E36" s="25" t="s">
        <v>226</v>
      </c>
      <c r="F36" s="25">
        <v>88</v>
      </c>
      <c r="G36" s="697">
        <v>304935.7</v>
      </c>
    </row>
    <row r="37" spans="1:13" ht="25.2" thickBot="1">
      <c r="A37" s="25"/>
      <c r="B37" s="29"/>
      <c r="C37" s="29"/>
      <c r="D37" s="53"/>
      <c r="E37" s="74"/>
      <c r="F37" s="34"/>
      <c r="G37" s="171"/>
    </row>
    <row r="38" spans="1:13" s="249" customFormat="1" ht="25.8" thickTop="1" thickBot="1">
      <c r="A38" s="134"/>
      <c r="B38" s="246" t="s">
        <v>26</v>
      </c>
      <c r="C38" s="103"/>
      <c r="D38" s="103"/>
      <c r="E38" s="103"/>
      <c r="F38" s="247"/>
      <c r="G38" s="103">
        <v>712893.26</v>
      </c>
      <c r="I38" s="249">
        <f>SUM(G26:G36)</f>
        <v>712893.26</v>
      </c>
    </row>
    <row r="39" spans="1:13" ht="25.8" thickTop="1" thickBot="1">
      <c r="A39" s="29"/>
      <c r="B39" s="25" t="s">
        <v>248</v>
      </c>
      <c r="C39" s="64"/>
      <c r="D39" s="64"/>
      <c r="E39" s="63"/>
      <c r="F39" s="105"/>
      <c r="G39" s="63">
        <v>1024238.26</v>
      </c>
      <c r="J39" s="260">
        <f>SUM(I11:I38)</f>
        <v>1024238.26</v>
      </c>
      <c r="K39" s="1" t="s">
        <v>248</v>
      </c>
      <c r="M39" s="175">
        <f>+G39-G17</f>
        <v>866633.26</v>
      </c>
    </row>
    <row r="40" spans="1:13" ht="25.2" thickTop="1"/>
    <row r="41" spans="1:13" ht="24.6">
      <c r="G41" s="249"/>
    </row>
    <row r="42" spans="1:13" ht="24.6">
      <c r="G42" s="249"/>
    </row>
    <row r="43" spans="1:13" ht="24.6">
      <c r="G43" s="249"/>
    </row>
    <row r="44" spans="1:13" ht="24.6"/>
    <row r="45" spans="1:13" ht="24.6"/>
    <row r="46" spans="1:13" ht="24.6"/>
    <row r="47" spans="1:13" ht="24.6"/>
    <row r="48" spans="1:13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</sheetData>
  <mergeCells count="5">
    <mergeCell ref="A13:G13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94B9-F4A6-4469-B0C4-C9C7AF06BBB9}">
  <sheetPr>
    <tabColor rgb="FF92D050"/>
  </sheetPr>
  <dimension ref="A1:J811"/>
  <sheetViews>
    <sheetView zoomScale="83" zoomScaleNormal="83" zoomScaleSheetLayoutView="87" workbookViewId="0">
      <pane ySplit="6" topLeftCell="A31" activePane="bottomLeft" state="frozen"/>
      <selection activeCell="I147" sqref="I147"/>
      <selection pane="bottomLeft" activeCell="B8" sqref="B8:F10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23.77734375" style="1" customWidth="1"/>
    <col min="4" max="4" width="10.33203125" style="1" customWidth="1"/>
    <col min="5" max="5" width="7.44140625" style="173" customWidth="1"/>
    <col min="6" max="6" width="16.77734375" style="1" customWidth="1"/>
    <col min="7" max="7" width="10.33203125" style="1"/>
    <col min="8" max="8" width="12.88671875" style="1" bestFit="1" customWidth="1"/>
    <col min="9" max="9" width="14.6640625" style="1" bestFit="1" customWidth="1"/>
    <col min="10" max="231" width="10.33203125" style="1"/>
    <col min="232" max="232" width="4.44140625" style="1" customWidth="1"/>
    <col min="233" max="233" width="21.6640625" style="1" customWidth="1"/>
    <col min="234" max="234" width="15" style="1" customWidth="1"/>
    <col min="235" max="235" width="15.44140625" style="1" customWidth="1"/>
    <col min="236" max="236" width="11.5546875" style="1" customWidth="1"/>
    <col min="237" max="237" width="7.44140625" style="1" customWidth="1"/>
    <col min="238" max="238" width="14.109375" style="1" customWidth="1"/>
    <col min="239" max="239" width="10.6640625" style="1" customWidth="1"/>
    <col min="240" max="240" width="13.44140625" style="1" customWidth="1"/>
    <col min="241" max="241" width="11.44140625" style="1" customWidth="1"/>
    <col min="242" max="242" width="15" style="1" customWidth="1"/>
    <col min="243" max="243" width="14.5546875" style="1" customWidth="1"/>
    <col min="244" max="244" width="10.33203125" style="1"/>
    <col min="245" max="245" width="7.44140625" style="1" customWidth="1"/>
    <col min="246" max="246" width="12.88671875" style="1" customWidth="1"/>
    <col min="247" max="247" width="11.109375" style="1" customWidth="1"/>
    <col min="248" max="248" width="14" style="1" customWidth="1"/>
    <col min="249" max="249" width="33" style="1" customWidth="1"/>
    <col min="250" max="250" width="6.6640625" style="1" customWidth="1"/>
    <col min="251" max="251" width="19" style="1" customWidth="1"/>
    <col min="252" max="252" width="19.109375" style="1" customWidth="1"/>
    <col min="253" max="253" width="21.33203125" style="1" customWidth="1"/>
    <col min="254" max="254" width="32.5546875" style="1" customWidth="1"/>
    <col min="255" max="255" width="16.88671875" style="1" customWidth="1"/>
    <col min="256" max="256" width="16.33203125" style="1" customWidth="1"/>
    <col min="257" max="487" width="10.33203125" style="1"/>
    <col min="488" max="488" width="4.44140625" style="1" customWidth="1"/>
    <col min="489" max="489" width="21.6640625" style="1" customWidth="1"/>
    <col min="490" max="490" width="15" style="1" customWidth="1"/>
    <col min="491" max="491" width="15.44140625" style="1" customWidth="1"/>
    <col min="492" max="492" width="11.5546875" style="1" customWidth="1"/>
    <col min="493" max="493" width="7.44140625" style="1" customWidth="1"/>
    <col min="494" max="494" width="14.109375" style="1" customWidth="1"/>
    <col min="495" max="495" width="10.6640625" style="1" customWidth="1"/>
    <col min="496" max="496" width="13.44140625" style="1" customWidth="1"/>
    <col min="497" max="497" width="11.44140625" style="1" customWidth="1"/>
    <col min="498" max="498" width="15" style="1" customWidth="1"/>
    <col min="499" max="499" width="14.5546875" style="1" customWidth="1"/>
    <col min="500" max="500" width="10.33203125" style="1"/>
    <col min="501" max="501" width="7.44140625" style="1" customWidth="1"/>
    <col min="502" max="502" width="12.88671875" style="1" customWidth="1"/>
    <col min="503" max="503" width="11.109375" style="1" customWidth="1"/>
    <col min="504" max="504" width="14" style="1" customWidth="1"/>
    <col min="505" max="505" width="33" style="1" customWidth="1"/>
    <col min="506" max="506" width="6.6640625" style="1" customWidth="1"/>
    <col min="507" max="507" width="19" style="1" customWidth="1"/>
    <col min="508" max="508" width="19.109375" style="1" customWidth="1"/>
    <col min="509" max="509" width="21.33203125" style="1" customWidth="1"/>
    <col min="510" max="510" width="32.5546875" style="1" customWidth="1"/>
    <col min="511" max="511" width="16.88671875" style="1" customWidth="1"/>
    <col min="512" max="512" width="16.33203125" style="1" customWidth="1"/>
    <col min="513" max="743" width="10.33203125" style="1"/>
    <col min="744" max="744" width="4.44140625" style="1" customWidth="1"/>
    <col min="745" max="745" width="21.6640625" style="1" customWidth="1"/>
    <col min="746" max="746" width="15" style="1" customWidth="1"/>
    <col min="747" max="747" width="15.44140625" style="1" customWidth="1"/>
    <col min="748" max="748" width="11.5546875" style="1" customWidth="1"/>
    <col min="749" max="749" width="7.44140625" style="1" customWidth="1"/>
    <col min="750" max="750" width="14.109375" style="1" customWidth="1"/>
    <col min="751" max="751" width="10.6640625" style="1" customWidth="1"/>
    <col min="752" max="752" width="13.44140625" style="1" customWidth="1"/>
    <col min="753" max="753" width="11.44140625" style="1" customWidth="1"/>
    <col min="754" max="754" width="15" style="1" customWidth="1"/>
    <col min="755" max="755" width="14.5546875" style="1" customWidth="1"/>
    <col min="756" max="756" width="10.33203125" style="1"/>
    <col min="757" max="757" width="7.44140625" style="1" customWidth="1"/>
    <col min="758" max="758" width="12.88671875" style="1" customWidth="1"/>
    <col min="759" max="759" width="11.109375" style="1" customWidth="1"/>
    <col min="760" max="760" width="14" style="1" customWidth="1"/>
    <col min="761" max="761" width="33" style="1" customWidth="1"/>
    <col min="762" max="762" width="6.6640625" style="1" customWidth="1"/>
    <col min="763" max="763" width="19" style="1" customWidth="1"/>
    <col min="764" max="764" width="19.109375" style="1" customWidth="1"/>
    <col min="765" max="765" width="21.33203125" style="1" customWidth="1"/>
    <col min="766" max="766" width="32.5546875" style="1" customWidth="1"/>
    <col min="767" max="767" width="16.88671875" style="1" customWidth="1"/>
    <col min="768" max="768" width="16.33203125" style="1" customWidth="1"/>
    <col min="769" max="999" width="10.33203125" style="1"/>
    <col min="1000" max="1000" width="4.44140625" style="1" customWidth="1"/>
    <col min="1001" max="1001" width="21.6640625" style="1" customWidth="1"/>
    <col min="1002" max="1002" width="15" style="1" customWidth="1"/>
    <col min="1003" max="1003" width="15.44140625" style="1" customWidth="1"/>
    <col min="1004" max="1004" width="11.5546875" style="1" customWidth="1"/>
    <col min="1005" max="1005" width="7.44140625" style="1" customWidth="1"/>
    <col min="1006" max="1006" width="14.109375" style="1" customWidth="1"/>
    <col min="1007" max="1007" width="10.6640625" style="1" customWidth="1"/>
    <col min="1008" max="1008" width="13.44140625" style="1" customWidth="1"/>
    <col min="1009" max="1009" width="11.44140625" style="1" customWidth="1"/>
    <col min="1010" max="1010" width="15" style="1" customWidth="1"/>
    <col min="1011" max="1011" width="14.5546875" style="1" customWidth="1"/>
    <col min="1012" max="1012" width="10.33203125" style="1"/>
    <col min="1013" max="1013" width="7.44140625" style="1" customWidth="1"/>
    <col min="1014" max="1014" width="12.88671875" style="1" customWidth="1"/>
    <col min="1015" max="1015" width="11.109375" style="1" customWidth="1"/>
    <col min="1016" max="1016" width="14" style="1" customWidth="1"/>
    <col min="1017" max="1017" width="33" style="1" customWidth="1"/>
    <col min="1018" max="1018" width="6.6640625" style="1" customWidth="1"/>
    <col min="1019" max="1019" width="19" style="1" customWidth="1"/>
    <col min="1020" max="1020" width="19.109375" style="1" customWidth="1"/>
    <col min="1021" max="1021" width="21.33203125" style="1" customWidth="1"/>
    <col min="1022" max="1022" width="32.5546875" style="1" customWidth="1"/>
    <col min="1023" max="1023" width="16.88671875" style="1" customWidth="1"/>
    <col min="1024" max="1024" width="16.33203125" style="1" customWidth="1"/>
    <col min="1025" max="1255" width="10.33203125" style="1"/>
    <col min="1256" max="1256" width="4.44140625" style="1" customWidth="1"/>
    <col min="1257" max="1257" width="21.6640625" style="1" customWidth="1"/>
    <col min="1258" max="1258" width="15" style="1" customWidth="1"/>
    <col min="1259" max="1259" width="15.44140625" style="1" customWidth="1"/>
    <col min="1260" max="1260" width="11.5546875" style="1" customWidth="1"/>
    <col min="1261" max="1261" width="7.44140625" style="1" customWidth="1"/>
    <col min="1262" max="1262" width="14.109375" style="1" customWidth="1"/>
    <col min="1263" max="1263" width="10.6640625" style="1" customWidth="1"/>
    <col min="1264" max="1264" width="13.44140625" style="1" customWidth="1"/>
    <col min="1265" max="1265" width="11.44140625" style="1" customWidth="1"/>
    <col min="1266" max="1266" width="15" style="1" customWidth="1"/>
    <col min="1267" max="1267" width="14.5546875" style="1" customWidth="1"/>
    <col min="1268" max="1268" width="10.33203125" style="1"/>
    <col min="1269" max="1269" width="7.44140625" style="1" customWidth="1"/>
    <col min="1270" max="1270" width="12.88671875" style="1" customWidth="1"/>
    <col min="1271" max="1271" width="11.109375" style="1" customWidth="1"/>
    <col min="1272" max="1272" width="14" style="1" customWidth="1"/>
    <col min="1273" max="1273" width="33" style="1" customWidth="1"/>
    <col min="1274" max="1274" width="6.6640625" style="1" customWidth="1"/>
    <col min="1275" max="1275" width="19" style="1" customWidth="1"/>
    <col min="1276" max="1276" width="19.109375" style="1" customWidth="1"/>
    <col min="1277" max="1277" width="21.33203125" style="1" customWidth="1"/>
    <col min="1278" max="1278" width="32.5546875" style="1" customWidth="1"/>
    <col min="1279" max="1279" width="16.88671875" style="1" customWidth="1"/>
    <col min="1280" max="1280" width="16.33203125" style="1" customWidth="1"/>
    <col min="1281" max="1511" width="10.33203125" style="1"/>
    <col min="1512" max="1512" width="4.44140625" style="1" customWidth="1"/>
    <col min="1513" max="1513" width="21.6640625" style="1" customWidth="1"/>
    <col min="1514" max="1514" width="15" style="1" customWidth="1"/>
    <col min="1515" max="1515" width="15.44140625" style="1" customWidth="1"/>
    <col min="1516" max="1516" width="11.5546875" style="1" customWidth="1"/>
    <col min="1517" max="1517" width="7.44140625" style="1" customWidth="1"/>
    <col min="1518" max="1518" width="14.109375" style="1" customWidth="1"/>
    <col min="1519" max="1519" width="10.6640625" style="1" customWidth="1"/>
    <col min="1520" max="1520" width="13.44140625" style="1" customWidth="1"/>
    <col min="1521" max="1521" width="11.44140625" style="1" customWidth="1"/>
    <col min="1522" max="1522" width="15" style="1" customWidth="1"/>
    <col min="1523" max="1523" width="14.5546875" style="1" customWidth="1"/>
    <col min="1524" max="1524" width="10.33203125" style="1"/>
    <col min="1525" max="1525" width="7.44140625" style="1" customWidth="1"/>
    <col min="1526" max="1526" width="12.88671875" style="1" customWidth="1"/>
    <col min="1527" max="1527" width="11.109375" style="1" customWidth="1"/>
    <col min="1528" max="1528" width="14" style="1" customWidth="1"/>
    <col min="1529" max="1529" width="33" style="1" customWidth="1"/>
    <col min="1530" max="1530" width="6.6640625" style="1" customWidth="1"/>
    <col min="1531" max="1531" width="19" style="1" customWidth="1"/>
    <col min="1532" max="1532" width="19.109375" style="1" customWidth="1"/>
    <col min="1533" max="1533" width="21.33203125" style="1" customWidth="1"/>
    <col min="1534" max="1534" width="32.5546875" style="1" customWidth="1"/>
    <col min="1535" max="1535" width="16.88671875" style="1" customWidth="1"/>
    <col min="1536" max="1536" width="16.33203125" style="1" customWidth="1"/>
    <col min="1537" max="1767" width="10.33203125" style="1"/>
    <col min="1768" max="1768" width="4.44140625" style="1" customWidth="1"/>
    <col min="1769" max="1769" width="21.6640625" style="1" customWidth="1"/>
    <col min="1770" max="1770" width="15" style="1" customWidth="1"/>
    <col min="1771" max="1771" width="15.44140625" style="1" customWidth="1"/>
    <col min="1772" max="1772" width="11.5546875" style="1" customWidth="1"/>
    <col min="1773" max="1773" width="7.44140625" style="1" customWidth="1"/>
    <col min="1774" max="1774" width="14.109375" style="1" customWidth="1"/>
    <col min="1775" max="1775" width="10.6640625" style="1" customWidth="1"/>
    <col min="1776" max="1776" width="13.44140625" style="1" customWidth="1"/>
    <col min="1777" max="1777" width="11.44140625" style="1" customWidth="1"/>
    <col min="1778" max="1778" width="15" style="1" customWidth="1"/>
    <col min="1779" max="1779" width="14.5546875" style="1" customWidth="1"/>
    <col min="1780" max="1780" width="10.33203125" style="1"/>
    <col min="1781" max="1781" width="7.44140625" style="1" customWidth="1"/>
    <col min="1782" max="1782" width="12.88671875" style="1" customWidth="1"/>
    <col min="1783" max="1783" width="11.109375" style="1" customWidth="1"/>
    <col min="1784" max="1784" width="14" style="1" customWidth="1"/>
    <col min="1785" max="1785" width="33" style="1" customWidth="1"/>
    <col min="1786" max="1786" width="6.6640625" style="1" customWidth="1"/>
    <col min="1787" max="1787" width="19" style="1" customWidth="1"/>
    <col min="1788" max="1788" width="19.109375" style="1" customWidth="1"/>
    <col min="1789" max="1789" width="21.33203125" style="1" customWidth="1"/>
    <col min="1790" max="1790" width="32.5546875" style="1" customWidth="1"/>
    <col min="1791" max="1791" width="16.88671875" style="1" customWidth="1"/>
    <col min="1792" max="1792" width="16.33203125" style="1" customWidth="1"/>
    <col min="1793" max="2023" width="10.33203125" style="1"/>
    <col min="2024" max="2024" width="4.44140625" style="1" customWidth="1"/>
    <col min="2025" max="2025" width="21.6640625" style="1" customWidth="1"/>
    <col min="2026" max="2026" width="15" style="1" customWidth="1"/>
    <col min="2027" max="2027" width="15.44140625" style="1" customWidth="1"/>
    <col min="2028" max="2028" width="11.5546875" style="1" customWidth="1"/>
    <col min="2029" max="2029" width="7.44140625" style="1" customWidth="1"/>
    <col min="2030" max="2030" width="14.109375" style="1" customWidth="1"/>
    <col min="2031" max="2031" width="10.6640625" style="1" customWidth="1"/>
    <col min="2032" max="2032" width="13.44140625" style="1" customWidth="1"/>
    <col min="2033" max="2033" width="11.44140625" style="1" customWidth="1"/>
    <col min="2034" max="2034" width="15" style="1" customWidth="1"/>
    <col min="2035" max="2035" width="14.5546875" style="1" customWidth="1"/>
    <col min="2036" max="2036" width="10.33203125" style="1"/>
    <col min="2037" max="2037" width="7.44140625" style="1" customWidth="1"/>
    <col min="2038" max="2038" width="12.88671875" style="1" customWidth="1"/>
    <col min="2039" max="2039" width="11.109375" style="1" customWidth="1"/>
    <col min="2040" max="2040" width="14" style="1" customWidth="1"/>
    <col min="2041" max="2041" width="33" style="1" customWidth="1"/>
    <col min="2042" max="2042" width="6.6640625" style="1" customWidth="1"/>
    <col min="2043" max="2043" width="19" style="1" customWidth="1"/>
    <col min="2044" max="2044" width="19.109375" style="1" customWidth="1"/>
    <col min="2045" max="2045" width="21.33203125" style="1" customWidth="1"/>
    <col min="2046" max="2046" width="32.5546875" style="1" customWidth="1"/>
    <col min="2047" max="2047" width="16.88671875" style="1" customWidth="1"/>
    <col min="2048" max="2048" width="16.33203125" style="1" customWidth="1"/>
    <col min="2049" max="2279" width="10.33203125" style="1"/>
    <col min="2280" max="2280" width="4.44140625" style="1" customWidth="1"/>
    <col min="2281" max="2281" width="21.6640625" style="1" customWidth="1"/>
    <col min="2282" max="2282" width="15" style="1" customWidth="1"/>
    <col min="2283" max="2283" width="15.44140625" style="1" customWidth="1"/>
    <col min="2284" max="2284" width="11.5546875" style="1" customWidth="1"/>
    <col min="2285" max="2285" width="7.44140625" style="1" customWidth="1"/>
    <col min="2286" max="2286" width="14.109375" style="1" customWidth="1"/>
    <col min="2287" max="2287" width="10.6640625" style="1" customWidth="1"/>
    <col min="2288" max="2288" width="13.44140625" style="1" customWidth="1"/>
    <col min="2289" max="2289" width="11.44140625" style="1" customWidth="1"/>
    <col min="2290" max="2290" width="15" style="1" customWidth="1"/>
    <col min="2291" max="2291" width="14.5546875" style="1" customWidth="1"/>
    <col min="2292" max="2292" width="10.33203125" style="1"/>
    <col min="2293" max="2293" width="7.44140625" style="1" customWidth="1"/>
    <col min="2294" max="2294" width="12.88671875" style="1" customWidth="1"/>
    <col min="2295" max="2295" width="11.109375" style="1" customWidth="1"/>
    <col min="2296" max="2296" width="14" style="1" customWidth="1"/>
    <col min="2297" max="2297" width="33" style="1" customWidth="1"/>
    <col min="2298" max="2298" width="6.6640625" style="1" customWidth="1"/>
    <col min="2299" max="2299" width="19" style="1" customWidth="1"/>
    <col min="2300" max="2300" width="19.109375" style="1" customWidth="1"/>
    <col min="2301" max="2301" width="21.33203125" style="1" customWidth="1"/>
    <col min="2302" max="2302" width="32.5546875" style="1" customWidth="1"/>
    <col min="2303" max="2303" width="16.88671875" style="1" customWidth="1"/>
    <col min="2304" max="2304" width="16.33203125" style="1" customWidth="1"/>
    <col min="2305" max="2535" width="10.33203125" style="1"/>
    <col min="2536" max="2536" width="4.44140625" style="1" customWidth="1"/>
    <col min="2537" max="2537" width="21.6640625" style="1" customWidth="1"/>
    <col min="2538" max="2538" width="15" style="1" customWidth="1"/>
    <col min="2539" max="2539" width="15.44140625" style="1" customWidth="1"/>
    <col min="2540" max="2540" width="11.5546875" style="1" customWidth="1"/>
    <col min="2541" max="2541" width="7.44140625" style="1" customWidth="1"/>
    <col min="2542" max="2542" width="14.109375" style="1" customWidth="1"/>
    <col min="2543" max="2543" width="10.6640625" style="1" customWidth="1"/>
    <col min="2544" max="2544" width="13.44140625" style="1" customWidth="1"/>
    <col min="2545" max="2545" width="11.44140625" style="1" customWidth="1"/>
    <col min="2546" max="2546" width="15" style="1" customWidth="1"/>
    <col min="2547" max="2547" width="14.5546875" style="1" customWidth="1"/>
    <col min="2548" max="2548" width="10.33203125" style="1"/>
    <col min="2549" max="2549" width="7.44140625" style="1" customWidth="1"/>
    <col min="2550" max="2550" width="12.88671875" style="1" customWidth="1"/>
    <col min="2551" max="2551" width="11.109375" style="1" customWidth="1"/>
    <col min="2552" max="2552" width="14" style="1" customWidth="1"/>
    <col min="2553" max="2553" width="33" style="1" customWidth="1"/>
    <col min="2554" max="2554" width="6.6640625" style="1" customWidth="1"/>
    <col min="2555" max="2555" width="19" style="1" customWidth="1"/>
    <col min="2556" max="2556" width="19.109375" style="1" customWidth="1"/>
    <col min="2557" max="2557" width="21.33203125" style="1" customWidth="1"/>
    <col min="2558" max="2558" width="32.5546875" style="1" customWidth="1"/>
    <col min="2559" max="2559" width="16.88671875" style="1" customWidth="1"/>
    <col min="2560" max="2560" width="16.33203125" style="1" customWidth="1"/>
    <col min="2561" max="2791" width="10.33203125" style="1"/>
    <col min="2792" max="2792" width="4.44140625" style="1" customWidth="1"/>
    <col min="2793" max="2793" width="21.6640625" style="1" customWidth="1"/>
    <col min="2794" max="2794" width="15" style="1" customWidth="1"/>
    <col min="2795" max="2795" width="15.44140625" style="1" customWidth="1"/>
    <col min="2796" max="2796" width="11.5546875" style="1" customWidth="1"/>
    <col min="2797" max="2797" width="7.44140625" style="1" customWidth="1"/>
    <col min="2798" max="2798" width="14.109375" style="1" customWidth="1"/>
    <col min="2799" max="2799" width="10.6640625" style="1" customWidth="1"/>
    <col min="2800" max="2800" width="13.44140625" style="1" customWidth="1"/>
    <col min="2801" max="2801" width="11.44140625" style="1" customWidth="1"/>
    <col min="2802" max="2802" width="15" style="1" customWidth="1"/>
    <col min="2803" max="2803" width="14.5546875" style="1" customWidth="1"/>
    <col min="2804" max="2804" width="10.33203125" style="1"/>
    <col min="2805" max="2805" width="7.44140625" style="1" customWidth="1"/>
    <col min="2806" max="2806" width="12.88671875" style="1" customWidth="1"/>
    <col min="2807" max="2807" width="11.109375" style="1" customWidth="1"/>
    <col min="2808" max="2808" width="14" style="1" customWidth="1"/>
    <col min="2809" max="2809" width="33" style="1" customWidth="1"/>
    <col min="2810" max="2810" width="6.6640625" style="1" customWidth="1"/>
    <col min="2811" max="2811" width="19" style="1" customWidth="1"/>
    <col min="2812" max="2812" width="19.109375" style="1" customWidth="1"/>
    <col min="2813" max="2813" width="21.33203125" style="1" customWidth="1"/>
    <col min="2814" max="2814" width="32.5546875" style="1" customWidth="1"/>
    <col min="2815" max="2815" width="16.88671875" style="1" customWidth="1"/>
    <col min="2816" max="2816" width="16.33203125" style="1" customWidth="1"/>
    <col min="2817" max="3047" width="10.33203125" style="1"/>
    <col min="3048" max="3048" width="4.44140625" style="1" customWidth="1"/>
    <col min="3049" max="3049" width="21.6640625" style="1" customWidth="1"/>
    <col min="3050" max="3050" width="15" style="1" customWidth="1"/>
    <col min="3051" max="3051" width="15.44140625" style="1" customWidth="1"/>
    <col min="3052" max="3052" width="11.5546875" style="1" customWidth="1"/>
    <col min="3053" max="3053" width="7.44140625" style="1" customWidth="1"/>
    <col min="3054" max="3054" width="14.109375" style="1" customWidth="1"/>
    <col min="3055" max="3055" width="10.6640625" style="1" customWidth="1"/>
    <col min="3056" max="3056" width="13.44140625" style="1" customWidth="1"/>
    <col min="3057" max="3057" width="11.44140625" style="1" customWidth="1"/>
    <col min="3058" max="3058" width="15" style="1" customWidth="1"/>
    <col min="3059" max="3059" width="14.5546875" style="1" customWidth="1"/>
    <col min="3060" max="3060" width="10.33203125" style="1"/>
    <col min="3061" max="3061" width="7.44140625" style="1" customWidth="1"/>
    <col min="3062" max="3062" width="12.88671875" style="1" customWidth="1"/>
    <col min="3063" max="3063" width="11.109375" style="1" customWidth="1"/>
    <col min="3064" max="3064" width="14" style="1" customWidth="1"/>
    <col min="3065" max="3065" width="33" style="1" customWidth="1"/>
    <col min="3066" max="3066" width="6.6640625" style="1" customWidth="1"/>
    <col min="3067" max="3067" width="19" style="1" customWidth="1"/>
    <col min="3068" max="3068" width="19.109375" style="1" customWidth="1"/>
    <col min="3069" max="3069" width="21.33203125" style="1" customWidth="1"/>
    <col min="3070" max="3070" width="32.5546875" style="1" customWidth="1"/>
    <col min="3071" max="3071" width="16.88671875" style="1" customWidth="1"/>
    <col min="3072" max="3072" width="16.33203125" style="1" customWidth="1"/>
    <col min="3073" max="3303" width="10.33203125" style="1"/>
    <col min="3304" max="3304" width="4.44140625" style="1" customWidth="1"/>
    <col min="3305" max="3305" width="21.6640625" style="1" customWidth="1"/>
    <col min="3306" max="3306" width="15" style="1" customWidth="1"/>
    <col min="3307" max="3307" width="15.44140625" style="1" customWidth="1"/>
    <col min="3308" max="3308" width="11.5546875" style="1" customWidth="1"/>
    <col min="3309" max="3309" width="7.44140625" style="1" customWidth="1"/>
    <col min="3310" max="3310" width="14.109375" style="1" customWidth="1"/>
    <col min="3311" max="3311" width="10.6640625" style="1" customWidth="1"/>
    <col min="3312" max="3312" width="13.44140625" style="1" customWidth="1"/>
    <col min="3313" max="3313" width="11.44140625" style="1" customWidth="1"/>
    <col min="3314" max="3314" width="15" style="1" customWidth="1"/>
    <col min="3315" max="3315" width="14.5546875" style="1" customWidth="1"/>
    <col min="3316" max="3316" width="10.33203125" style="1"/>
    <col min="3317" max="3317" width="7.44140625" style="1" customWidth="1"/>
    <col min="3318" max="3318" width="12.88671875" style="1" customWidth="1"/>
    <col min="3319" max="3319" width="11.109375" style="1" customWidth="1"/>
    <col min="3320" max="3320" width="14" style="1" customWidth="1"/>
    <col min="3321" max="3321" width="33" style="1" customWidth="1"/>
    <col min="3322" max="3322" width="6.6640625" style="1" customWidth="1"/>
    <col min="3323" max="3323" width="19" style="1" customWidth="1"/>
    <col min="3324" max="3324" width="19.109375" style="1" customWidth="1"/>
    <col min="3325" max="3325" width="21.33203125" style="1" customWidth="1"/>
    <col min="3326" max="3326" width="32.5546875" style="1" customWidth="1"/>
    <col min="3327" max="3327" width="16.88671875" style="1" customWidth="1"/>
    <col min="3328" max="3328" width="16.33203125" style="1" customWidth="1"/>
    <col min="3329" max="3559" width="10.33203125" style="1"/>
    <col min="3560" max="3560" width="4.44140625" style="1" customWidth="1"/>
    <col min="3561" max="3561" width="21.6640625" style="1" customWidth="1"/>
    <col min="3562" max="3562" width="15" style="1" customWidth="1"/>
    <col min="3563" max="3563" width="15.44140625" style="1" customWidth="1"/>
    <col min="3564" max="3564" width="11.5546875" style="1" customWidth="1"/>
    <col min="3565" max="3565" width="7.44140625" style="1" customWidth="1"/>
    <col min="3566" max="3566" width="14.109375" style="1" customWidth="1"/>
    <col min="3567" max="3567" width="10.6640625" style="1" customWidth="1"/>
    <col min="3568" max="3568" width="13.44140625" style="1" customWidth="1"/>
    <col min="3569" max="3569" width="11.44140625" style="1" customWidth="1"/>
    <col min="3570" max="3570" width="15" style="1" customWidth="1"/>
    <col min="3571" max="3571" width="14.5546875" style="1" customWidth="1"/>
    <col min="3572" max="3572" width="10.33203125" style="1"/>
    <col min="3573" max="3573" width="7.44140625" style="1" customWidth="1"/>
    <col min="3574" max="3574" width="12.88671875" style="1" customWidth="1"/>
    <col min="3575" max="3575" width="11.109375" style="1" customWidth="1"/>
    <col min="3576" max="3576" width="14" style="1" customWidth="1"/>
    <col min="3577" max="3577" width="33" style="1" customWidth="1"/>
    <col min="3578" max="3578" width="6.6640625" style="1" customWidth="1"/>
    <col min="3579" max="3579" width="19" style="1" customWidth="1"/>
    <col min="3580" max="3580" width="19.109375" style="1" customWidth="1"/>
    <col min="3581" max="3581" width="21.33203125" style="1" customWidth="1"/>
    <col min="3582" max="3582" width="32.5546875" style="1" customWidth="1"/>
    <col min="3583" max="3583" width="16.88671875" style="1" customWidth="1"/>
    <col min="3584" max="3584" width="16.33203125" style="1" customWidth="1"/>
    <col min="3585" max="3815" width="10.33203125" style="1"/>
    <col min="3816" max="3816" width="4.44140625" style="1" customWidth="1"/>
    <col min="3817" max="3817" width="21.6640625" style="1" customWidth="1"/>
    <col min="3818" max="3818" width="15" style="1" customWidth="1"/>
    <col min="3819" max="3819" width="15.44140625" style="1" customWidth="1"/>
    <col min="3820" max="3820" width="11.5546875" style="1" customWidth="1"/>
    <col min="3821" max="3821" width="7.44140625" style="1" customWidth="1"/>
    <col min="3822" max="3822" width="14.109375" style="1" customWidth="1"/>
    <col min="3823" max="3823" width="10.6640625" style="1" customWidth="1"/>
    <col min="3824" max="3824" width="13.44140625" style="1" customWidth="1"/>
    <col min="3825" max="3825" width="11.44140625" style="1" customWidth="1"/>
    <col min="3826" max="3826" width="15" style="1" customWidth="1"/>
    <col min="3827" max="3827" width="14.5546875" style="1" customWidth="1"/>
    <col min="3828" max="3828" width="10.33203125" style="1"/>
    <col min="3829" max="3829" width="7.44140625" style="1" customWidth="1"/>
    <col min="3830" max="3830" width="12.88671875" style="1" customWidth="1"/>
    <col min="3831" max="3831" width="11.109375" style="1" customWidth="1"/>
    <col min="3832" max="3832" width="14" style="1" customWidth="1"/>
    <col min="3833" max="3833" width="33" style="1" customWidth="1"/>
    <col min="3834" max="3834" width="6.6640625" style="1" customWidth="1"/>
    <col min="3835" max="3835" width="19" style="1" customWidth="1"/>
    <col min="3836" max="3836" width="19.109375" style="1" customWidth="1"/>
    <col min="3837" max="3837" width="21.33203125" style="1" customWidth="1"/>
    <col min="3838" max="3838" width="32.5546875" style="1" customWidth="1"/>
    <col min="3839" max="3839" width="16.88671875" style="1" customWidth="1"/>
    <col min="3840" max="3840" width="16.33203125" style="1" customWidth="1"/>
    <col min="3841" max="4071" width="10.33203125" style="1"/>
    <col min="4072" max="4072" width="4.44140625" style="1" customWidth="1"/>
    <col min="4073" max="4073" width="21.6640625" style="1" customWidth="1"/>
    <col min="4074" max="4074" width="15" style="1" customWidth="1"/>
    <col min="4075" max="4075" width="15.44140625" style="1" customWidth="1"/>
    <col min="4076" max="4076" width="11.5546875" style="1" customWidth="1"/>
    <col min="4077" max="4077" width="7.44140625" style="1" customWidth="1"/>
    <col min="4078" max="4078" width="14.109375" style="1" customWidth="1"/>
    <col min="4079" max="4079" width="10.6640625" style="1" customWidth="1"/>
    <col min="4080" max="4080" width="13.44140625" style="1" customWidth="1"/>
    <col min="4081" max="4081" width="11.44140625" style="1" customWidth="1"/>
    <col min="4082" max="4082" width="15" style="1" customWidth="1"/>
    <col min="4083" max="4083" width="14.5546875" style="1" customWidth="1"/>
    <col min="4084" max="4084" width="10.33203125" style="1"/>
    <col min="4085" max="4085" width="7.44140625" style="1" customWidth="1"/>
    <col min="4086" max="4086" width="12.88671875" style="1" customWidth="1"/>
    <col min="4087" max="4087" width="11.109375" style="1" customWidth="1"/>
    <col min="4088" max="4088" width="14" style="1" customWidth="1"/>
    <col min="4089" max="4089" width="33" style="1" customWidth="1"/>
    <col min="4090" max="4090" width="6.6640625" style="1" customWidth="1"/>
    <col min="4091" max="4091" width="19" style="1" customWidth="1"/>
    <col min="4092" max="4092" width="19.109375" style="1" customWidth="1"/>
    <col min="4093" max="4093" width="21.33203125" style="1" customWidth="1"/>
    <col min="4094" max="4094" width="32.5546875" style="1" customWidth="1"/>
    <col min="4095" max="4095" width="16.88671875" style="1" customWidth="1"/>
    <col min="4096" max="4096" width="16.33203125" style="1" customWidth="1"/>
    <col min="4097" max="4327" width="10.33203125" style="1"/>
    <col min="4328" max="4328" width="4.44140625" style="1" customWidth="1"/>
    <col min="4329" max="4329" width="21.6640625" style="1" customWidth="1"/>
    <col min="4330" max="4330" width="15" style="1" customWidth="1"/>
    <col min="4331" max="4331" width="15.44140625" style="1" customWidth="1"/>
    <col min="4332" max="4332" width="11.5546875" style="1" customWidth="1"/>
    <col min="4333" max="4333" width="7.44140625" style="1" customWidth="1"/>
    <col min="4334" max="4334" width="14.109375" style="1" customWidth="1"/>
    <col min="4335" max="4335" width="10.6640625" style="1" customWidth="1"/>
    <col min="4336" max="4336" width="13.44140625" style="1" customWidth="1"/>
    <col min="4337" max="4337" width="11.44140625" style="1" customWidth="1"/>
    <col min="4338" max="4338" width="15" style="1" customWidth="1"/>
    <col min="4339" max="4339" width="14.5546875" style="1" customWidth="1"/>
    <col min="4340" max="4340" width="10.33203125" style="1"/>
    <col min="4341" max="4341" width="7.44140625" style="1" customWidth="1"/>
    <col min="4342" max="4342" width="12.88671875" style="1" customWidth="1"/>
    <col min="4343" max="4343" width="11.109375" style="1" customWidth="1"/>
    <col min="4344" max="4344" width="14" style="1" customWidth="1"/>
    <col min="4345" max="4345" width="33" style="1" customWidth="1"/>
    <col min="4346" max="4346" width="6.6640625" style="1" customWidth="1"/>
    <col min="4347" max="4347" width="19" style="1" customWidth="1"/>
    <col min="4348" max="4348" width="19.109375" style="1" customWidth="1"/>
    <col min="4349" max="4349" width="21.33203125" style="1" customWidth="1"/>
    <col min="4350" max="4350" width="32.5546875" style="1" customWidth="1"/>
    <col min="4351" max="4351" width="16.88671875" style="1" customWidth="1"/>
    <col min="4352" max="4352" width="16.33203125" style="1" customWidth="1"/>
    <col min="4353" max="4583" width="10.33203125" style="1"/>
    <col min="4584" max="4584" width="4.44140625" style="1" customWidth="1"/>
    <col min="4585" max="4585" width="21.6640625" style="1" customWidth="1"/>
    <col min="4586" max="4586" width="15" style="1" customWidth="1"/>
    <col min="4587" max="4587" width="15.44140625" style="1" customWidth="1"/>
    <col min="4588" max="4588" width="11.5546875" style="1" customWidth="1"/>
    <col min="4589" max="4589" width="7.44140625" style="1" customWidth="1"/>
    <col min="4590" max="4590" width="14.109375" style="1" customWidth="1"/>
    <col min="4591" max="4591" width="10.6640625" style="1" customWidth="1"/>
    <col min="4592" max="4592" width="13.44140625" style="1" customWidth="1"/>
    <col min="4593" max="4593" width="11.44140625" style="1" customWidth="1"/>
    <col min="4594" max="4594" width="15" style="1" customWidth="1"/>
    <col min="4595" max="4595" width="14.5546875" style="1" customWidth="1"/>
    <col min="4596" max="4596" width="10.33203125" style="1"/>
    <col min="4597" max="4597" width="7.44140625" style="1" customWidth="1"/>
    <col min="4598" max="4598" width="12.88671875" style="1" customWidth="1"/>
    <col min="4599" max="4599" width="11.109375" style="1" customWidth="1"/>
    <col min="4600" max="4600" width="14" style="1" customWidth="1"/>
    <col min="4601" max="4601" width="33" style="1" customWidth="1"/>
    <col min="4602" max="4602" width="6.6640625" style="1" customWidth="1"/>
    <col min="4603" max="4603" width="19" style="1" customWidth="1"/>
    <col min="4604" max="4604" width="19.109375" style="1" customWidth="1"/>
    <col min="4605" max="4605" width="21.33203125" style="1" customWidth="1"/>
    <col min="4606" max="4606" width="32.5546875" style="1" customWidth="1"/>
    <col min="4607" max="4607" width="16.88671875" style="1" customWidth="1"/>
    <col min="4608" max="4608" width="16.33203125" style="1" customWidth="1"/>
    <col min="4609" max="4839" width="10.33203125" style="1"/>
    <col min="4840" max="4840" width="4.44140625" style="1" customWidth="1"/>
    <col min="4841" max="4841" width="21.6640625" style="1" customWidth="1"/>
    <col min="4842" max="4842" width="15" style="1" customWidth="1"/>
    <col min="4843" max="4843" width="15.44140625" style="1" customWidth="1"/>
    <col min="4844" max="4844" width="11.5546875" style="1" customWidth="1"/>
    <col min="4845" max="4845" width="7.44140625" style="1" customWidth="1"/>
    <col min="4846" max="4846" width="14.109375" style="1" customWidth="1"/>
    <col min="4847" max="4847" width="10.6640625" style="1" customWidth="1"/>
    <col min="4848" max="4848" width="13.44140625" style="1" customWidth="1"/>
    <col min="4849" max="4849" width="11.44140625" style="1" customWidth="1"/>
    <col min="4850" max="4850" width="15" style="1" customWidth="1"/>
    <col min="4851" max="4851" width="14.5546875" style="1" customWidth="1"/>
    <col min="4852" max="4852" width="10.33203125" style="1"/>
    <col min="4853" max="4853" width="7.44140625" style="1" customWidth="1"/>
    <col min="4854" max="4854" width="12.88671875" style="1" customWidth="1"/>
    <col min="4855" max="4855" width="11.109375" style="1" customWidth="1"/>
    <col min="4856" max="4856" width="14" style="1" customWidth="1"/>
    <col min="4857" max="4857" width="33" style="1" customWidth="1"/>
    <col min="4858" max="4858" width="6.6640625" style="1" customWidth="1"/>
    <col min="4859" max="4859" width="19" style="1" customWidth="1"/>
    <col min="4860" max="4860" width="19.109375" style="1" customWidth="1"/>
    <col min="4861" max="4861" width="21.33203125" style="1" customWidth="1"/>
    <col min="4862" max="4862" width="32.5546875" style="1" customWidth="1"/>
    <col min="4863" max="4863" width="16.88671875" style="1" customWidth="1"/>
    <col min="4864" max="4864" width="16.33203125" style="1" customWidth="1"/>
    <col min="4865" max="5095" width="10.33203125" style="1"/>
    <col min="5096" max="5096" width="4.44140625" style="1" customWidth="1"/>
    <col min="5097" max="5097" width="21.6640625" style="1" customWidth="1"/>
    <col min="5098" max="5098" width="15" style="1" customWidth="1"/>
    <col min="5099" max="5099" width="15.44140625" style="1" customWidth="1"/>
    <col min="5100" max="5100" width="11.5546875" style="1" customWidth="1"/>
    <col min="5101" max="5101" width="7.44140625" style="1" customWidth="1"/>
    <col min="5102" max="5102" width="14.109375" style="1" customWidth="1"/>
    <col min="5103" max="5103" width="10.6640625" style="1" customWidth="1"/>
    <col min="5104" max="5104" width="13.44140625" style="1" customWidth="1"/>
    <col min="5105" max="5105" width="11.44140625" style="1" customWidth="1"/>
    <col min="5106" max="5106" width="15" style="1" customWidth="1"/>
    <col min="5107" max="5107" width="14.5546875" style="1" customWidth="1"/>
    <col min="5108" max="5108" width="10.33203125" style="1"/>
    <col min="5109" max="5109" width="7.44140625" style="1" customWidth="1"/>
    <col min="5110" max="5110" width="12.88671875" style="1" customWidth="1"/>
    <col min="5111" max="5111" width="11.109375" style="1" customWidth="1"/>
    <col min="5112" max="5112" width="14" style="1" customWidth="1"/>
    <col min="5113" max="5113" width="33" style="1" customWidth="1"/>
    <col min="5114" max="5114" width="6.6640625" style="1" customWidth="1"/>
    <col min="5115" max="5115" width="19" style="1" customWidth="1"/>
    <col min="5116" max="5116" width="19.109375" style="1" customWidth="1"/>
    <col min="5117" max="5117" width="21.33203125" style="1" customWidth="1"/>
    <col min="5118" max="5118" width="32.5546875" style="1" customWidth="1"/>
    <col min="5119" max="5119" width="16.88671875" style="1" customWidth="1"/>
    <col min="5120" max="5120" width="16.33203125" style="1" customWidth="1"/>
    <col min="5121" max="5351" width="10.33203125" style="1"/>
    <col min="5352" max="5352" width="4.44140625" style="1" customWidth="1"/>
    <col min="5353" max="5353" width="21.6640625" style="1" customWidth="1"/>
    <col min="5354" max="5354" width="15" style="1" customWidth="1"/>
    <col min="5355" max="5355" width="15.44140625" style="1" customWidth="1"/>
    <col min="5356" max="5356" width="11.5546875" style="1" customWidth="1"/>
    <col min="5357" max="5357" width="7.44140625" style="1" customWidth="1"/>
    <col min="5358" max="5358" width="14.109375" style="1" customWidth="1"/>
    <col min="5359" max="5359" width="10.6640625" style="1" customWidth="1"/>
    <col min="5360" max="5360" width="13.44140625" style="1" customWidth="1"/>
    <col min="5361" max="5361" width="11.44140625" style="1" customWidth="1"/>
    <col min="5362" max="5362" width="15" style="1" customWidth="1"/>
    <col min="5363" max="5363" width="14.5546875" style="1" customWidth="1"/>
    <col min="5364" max="5364" width="10.33203125" style="1"/>
    <col min="5365" max="5365" width="7.44140625" style="1" customWidth="1"/>
    <col min="5366" max="5366" width="12.88671875" style="1" customWidth="1"/>
    <col min="5367" max="5367" width="11.109375" style="1" customWidth="1"/>
    <col min="5368" max="5368" width="14" style="1" customWidth="1"/>
    <col min="5369" max="5369" width="33" style="1" customWidth="1"/>
    <col min="5370" max="5370" width="6.6640625" style="1" customWidth="1"/>
    <col min="5371" max="5371" width="19" style="1" customWidth="1"/>
    <col min="5372" max="5372" width="19.109375" style="1" customWidth="1"/>
    <col min="5373" max="5373" width="21.33203125" style="1" customWidth="1"/>
    <col min="5374" max="5374" width="32.5546875" style="1" customWidth="1"/>
    <col min="5375" max="5375" width="16.88671875" style="1" customWidth="1"/>
    <col min="5376" max="5376" width="16.33203125" style="1" customWidth="1"/>
    <col min="5377" max="5607" width="10.33203125" style="1"/>
    <col min="5608" max="5608" width="4.44140625" style="1" customWidth="1"/>
    <col min="5609" max="5609" width="21.6640625" style="1" customWidth="1"/>
    <col min="5610" max="5610" width="15" style="1" customWidth="1"/>
    <col min="5611" max="5611" width="15.44140625" style="1" customWidth="1"/>
    <col min="5612" max="5612" width="11.5546875" style="1" customWidth="1"/>
    <col min="5613" max="5613" width="7.44140625" style="1" customWidth="1"/>
    <col min="5614" max="5614" width="14.109375" style="1" customWidth="1"/>
    <col min="5615" max="5615" width="10.6640625" style="1" customWidth="1"/>
    <col min="5616" max="5616" width="13.44140625" style="1" customWidth="1"/>
    <col min="5617" max="5617" width="11.44140625" style="1" customWidth="1"/>
    <col min="5618" max="5618" width="15" style="1" customWidth="1"/>
    <col min="5619" max="5619" width="14.5546875" style="1" customWidth="1"/>
    <col min="5620" max="5620" width="10.33203125" style="1"/>
    <col min="5621" max="5621" width="7.44140625" style="1" customWidth="1"/>
    <col min="5622" max="5622" width="12.88671875" style="1" customWidth="1"/>
    <col min="5623" max="5623" width="11.109375" style="1" customWidth="1"/>
    <col min="5624" max="5624" width="14" style="1" customWidth="1"/>
    <col min="5625" max="5625" width="33" style="1" customWidth="1"/>
    <col min="5626" max="5626" width="6.6640625" style="1" customWidth="1"/>
    <col min="5627" max="5627" width="19" style="1" customWidth="1"/>
    <col min="5628" max="5628" width="19.109375" style="1" customWidth="1"/>
    <col min="5629" max="5629" width="21.33203125" style="1" customWidth="1"/>
    <col min="5630" max="5630" width="32.5546875" style="1" customWidth="1"/>
    <col min="5631" max="5631" width="16.88671875" style="1" customWidth="1"/>
    <col min="5632" max="5632" width="16.33203125" style="1" customWidth="1"/>
    <col min="5633" max="5863" width="10.33203125" style="1"/>
    <col min="5864" max="5864" width="4.44140625" style="1" customWidth="1"/>
    <col min="5865" max="5865" width="21.6640625" style="1" customWidth="1"/>
    <col min="5866" max="5866" width="15" style="1" customWidth="1"/>
    <col min="5867" max="5867" width="15.44140625" style="1" customWidth="1"/>
    <col min="5868" max="5868" width="11.5546875" style="1" customWidth="1"/>
    <col min="5869" max="5869" width="7.44140625" style="1" customWidth="1"/>
    <col min="5870" max="5870" width="14.109375" style="1" customWidth="1"/>
    <col min="5871" max="5871" width="10.6640625" style="1" customWidth="1"/>
    <col min="5872" max="5872" width="13.44140625" style="1" customWidth="1"/>
    <col min="5873" max="5873" width="11.44140625" style="1" customWidth="1"/>
    <col min="5874" max="5874" width="15" style="1" customWidth="1"/>
    <col min="5875" max="5875" width="14.5546875" style="1" customWidth="1"/>
    <col min="5876" max="5876" width="10.33203125" style="1"/>
    <col min="5877" max="5877" width="7.44140625" style="1" customWidth="1"/>
    <col min="5878" max="5878" width="12.88671875" style="1" customWidth="1"/>
    <col min="5879" max="5879" width="11.109375" style="1" customWidth="1"/>
    <col min="5880" max="5880" width="14" style="1" customWidth="1"/>
    <col min="5881" max="5881" width="33" style="1" customWidth="1"/>
    <col min="5882" max="5882" width="6.6640625" style="1" customWidth="1"/>
    <col min="5883" max="5883" width="19" style="1" customWidth="1"/>
    <col min="5884" max="5884" width="19.109375" style="1" customWidth="1"/>
    <col min="5885" max="5885" width="21.33203125" style="1" customWidth="1"/>
    <col min="5886" max="5886" width="32.5546875" style="1" customWidth="1"/>
    <col min="5887" max="5887" width="16.88671875" style="1" customWidth="1"/>
    <col min="5888" max="5888" width="16.33203125" style="1" customWidth="1"/>
    <col min="5889" max="6119" width="10.33203125" style="1"/>
    <col min="6120" max="6120" width="4.44140625" style="1" customWidth="1"/>
    <col min="6121" max="6121" width="21.6640625" style="1" customWidth="1"/>
    <col min="6122" max="6122" width="15" style="1" customWidth="1"/>
    <col min="6123" max="6123" width="15.44140625" style="1" customWidth="1"/>
    <col min="6124" max="6124" width="11.5546875" style="1" customWidth="1"/>
    <col min="6125" max="6125" width="7.44140625" style="1" customWidth="1"/>
    <col min="6126" max="6126" width="14.109375" style="1" customWidth="1"/>
    <col min="6127" max="6127" width="10.6640625" style="1" customWidth="1"/>
    <col min="6128" max="6128" width="13.44140625" style="1" customWidth="1"/>
    <col min="6129" max="6129" width="11.44140625" style="1" customWidth="1"/>
    <col min="6130" max="6130" width="15" style="1" customWidth="1"/>
    <col min="6131" max="6131" width="14.5546875" style="1" customWidth="1"/>
    <col min="6132" max="6132" width="10.33203125" style="1"/>
    <col min="6133" max="6133" width="7.44140625" style="1" customWidth="1"/>
    <col min="6134" max="6134" width="12.88671875" style="1" customWidth="1"/>
    <col min="6135" max="6135" width="11.109375" style="1" customWidth="1"/>
    <col min="6136" max="6136" width="14" style="1" customWidth="1"/>
    <col min="6137" max="6137" width="33" style="1" customWidth="1"/>
    <col min="6138" max="6138" width="6.6640625" style="1" customWidth="1"/>
    <col min="6139" max="6139" width="19" style="1" customWidth="1"/>
    <col min="6140" max="6140" width="19.109375" style="1" customWidth="1"/>
    <col min="6141" max="6141" width="21.33203125" style="1" customWidth="1"/>
    <col min="6142" max="6142" width="32.5546875" style="1" customWidth="1"/>
    <col min="6143" max="6143" width="16.88671875" style="1" customWidth="1"/>
    <col min="6144" max="6144" width="16.33203125" style="1" customWidth="1"/>
    <col min="6145" max="6375" width="10.33203125" style="1"/>
    <col min="6376" max="6376" width="4.44140625" style="1" customWidth="1"/>
    <col min="6377" max="6377" width="21.6640625" style="1" customWidth="1"/>
    <col min="6378" max="6378" width="15" style="1" customWidth="1"/>
    <col min="6379" max="6379" width="15.44140625" style="1" customWidth="1"/>
    <col min="6380" max="6380" width="11.5546875" style="1" customWidth="1"/>
    <col min="6381" max="6381" width="7.44140625" style="1" customWidth="1"/>
    <col min="6382" max="6382" width="14.109375" style="1" customWidth="1"/>
    <col min="6383" max="6383" width="10.6640625" style="1" customWidth="1"/>
    <col min="6384" max="6384" width="13.44140625" style="1" customWidth="1"/>
    <col min="6385" max="6385" width="11.44140625" style="1" customWidth="1"/>
    <col min="6386" max="6386" width="15" style="1" customWidth="1"/>
    <col min="6387" max="6387" width="14.5546875" style="1" customWidth="1"/>
    <col min="6388" max="6388" width="10.33203125" style="1"/>
    <col min="6389" max="6389" width="7.44140625" style="1" customWidth="1"/>
    <col min="6390" max="6390" width="12.88671875" style="1" customWidth="1"/>
    <col min="6391" max="6391" width="11.109375" style="1" customWidth="1"/>
    <col min="6392" max="6392" width="14" style="1" customWidth="1"/>
    <col min="6393" max="6393" width="33" style="1" customWidth="1"/>
    <col min="6394" max="6394" width="6.6640625" style="1" customWidth="1"/>
    <col min="6395" max="6395" width="19" style="1" customWidth="1"/>
    <col min="6396" max="6396" width="19.109375" style="1" customWidth="1"/>
    <col min="6397" max="6397" width="21.33203125" style="1" customWidth="1"/>
    <col min="6398" max="6398" width="32.5546875" style="1" customWidth="1"/>
    <col min="6399" max="6399" width="16.88671875" style="1" customWidth="1"/>
    <col min="6400" max="6400" width="16.33203125" style="1" customWidth="1"/>
    <col min="6401" max="6631" width="10.33203125" style="1"/>
    <col min="6632" max="6632" width="4.44140625" style="1" customWidth="1"/>
    <col min="6633" max="6633" width="21.6640625" style="1" customWidth="1"/>
    <col min="6634" max="6634" width="15" style="1" customWidth="1"/>
    <col min="6635" max="6635" width="15.44140625" style="1" customWidth="1"/>
    <col min="6636" max="6636" width="11.5546875" style="1" customWidth="1"/>
    <col min="6637" max="6637" width="7.44140625" style="1" customWidth="1"/>
    <col min="6638" max="6638" width="14.109375" style="1" customWidth="1"/>
    <col min="6639" max="6639" width="10.6640625" style="1" customWidth="1"/>
    <col min="6640" max="6640" width="13.44140625" style="1" customWidth="1"/>
    <col min="6641" max="6641" width="11.44140625" style="1" customWidth="1"/>
    <col min="6642" max="6642" width="15" style="1" customWidth="1"/>
    <col min="6643" max="6643" width="14.5546875" style="1" customWidth="1"/>
    <col min="6644" max="6644" width="10.33203125" style="1"/>
    <col min="6645" max="6645" width="7.44140625" style="1" customWidth="1"/>
    <col min="6646" max="6646" width="12.88671875" style="1" customWidth="1"/>
    <col min="6647" max="6647" width="11.109375" style="1" customWidth="1"/>
    <col min="6648" max="6648" width="14" style="1" customWidth="1"/>
    <col min="6649" max="6649" width="33" style="1" customWidth="1"/>
    <col min="6650" max="6650" width="6.6640625" style="1" customWidth="1"/>
    <col min="6651" max="6651" width="19" style="1" customWidth="1"/>
    <col min="6652" max="6652" width="19.109375" style="1" customWidth="1"/>
    <col min="6653" max="6653" width="21.33203125" style="1" customWidth="1"/>
    <col min="6654" max="6654" width="32.5546875" style="1" customWidth="1"/>
    <col min="6655" max="6655" width="16.88671875" style="1" customWidth="1"/>
    <col min="6656" max="6656" width="16.33203125" style="1" customWidth="1"/>
    <col min="6657" max="6887" width="10.33203125" style="1"/>
    <col min="6888" max="6888" width="4.44140625" style="1" customWidth="1"/>
    <col min="6889" max="6889" width="21.6640625" style="1" customWidth="1"/>
    <col min="6890" max="6890" width="15" style="1" customWidth="1"/>
    <col min="6891" max="6891" width="15.44140625" style="1" customWidth="1"/>
    <col min="6892" max="6892" width="11.5546875" style="1" customWidth="1"/>
    <col min="6893" max="6893" width="7.44140625" style="1" customWidth="1"/>
    <col min="6894" max="6894" width="14.109375" style="1" customWidth="1"/>
    <col min="6895" max="6895" width="10.6640625" style="1" customWidth="1"/>
    <col min="6896" max="6896" width="13.44140625" style="1" customWidth="1"/>
    <col min="6897" max="6897" width="11.44140625" style="1" customWidth="1"/>
    <col min="6898" max="6898" width="15" style="1" customWidth="1"/>
    <col min="6899" max="6899" width="14.5546875" style="1" customWidth="1"/>
    <col min="6900" max="6900" width="10.33203125" style="1"/>
    <col min="6901" max="6901" width="7.44140625" style="1" customWidth="1"/>
    <col min="6902" max="6902" width="12.88671875" style="1" customWidth="1"/>
    <col min="6903" max="6903" width="11.109375" style="1" customWidth="1"/>
    <col min="6904" max="6904" width="14" style="1" customWidth="1"/>
    <col min="6905" max="6905" width="33" style="1" customWidth="1"/>
    <col min="6906" max="6906" width="6.6640625" style="1" customWidth="1"/>
    <col min="6907" max="6907" width="19" style="1" customWidth="1"/>
    <col min="6908" max="6908" width="19.109375" style="1" customWidth="1"/>
    <col min="6909" max="6909" width="21.33203125" style="1" customWidth="1"/>
    <col min="6910" max="6910" width="32.5546875" style="1" customWidth="1"/>
    <col min="6911" max="6911" width="16.88671875" style="1" customWidth="1"/>
    <col min="6912" max="6912" width="16.33203125" style="1" customWidth="1"/>
    <col min="6913" max="7143" width="10.33203125" style="1"/>
    <col min="7144" max="7144" width="4.44140625" style="1" customWidth="1"/>
    <col min="7145" max="7145" width="21.6640625" style="1" customWidth="1"/>
    <col min="7146" max="7146" width="15" style="1" customWidth="1"/>
    <col min="7147" max="7147" width="15.44140625" style="1" customWidth="1"/>
    <col min="7148" max="7148" width="11.5546875" style="1" customWidth="1"/>
    <col min="7149" max="7149" width="7.44140625" style="1" customWidth="1"/>
    <col min="7150" max="7150" width="14.109375" style="1" customWidth="1"/>
    <col min="7151" max="7151" width="10.6640625" style="1" customWidth="1"/>
    <col min="7152" max="7152" width="13.44140625" style="1" customWidth="1"/>
    <col min="7153" max="7153" width="11.44140625" style="1" customWidth="1"/>
    <col min="7154" max="7154" width="15" style="1" customWidth="1"/>
    <col min="7155" max="7155" width="14.5546875" style="1" customWidth="1"/>
    <col min="7156" max="7156" width="10.33203125" style="1"/>
    <col min="7157" max="7157" width="7.44140625" style="1" customWidth="1"/>
    <col min="7158" max="7158" width="12.88671875" style="1" customWidth="1"/>
    <col min="7159" max="7159" width="11.109375" style="1" customWidth="1"/>
    <col min="7160" max="7160" width="14" style="1" customWidth="1"/>
    <col min="7161" max="7161" width="33" style="1" customWidth="1"/>
    <col min="7162" max="7162" width="6.6640625" style="1" customWidth="1"/>
    <col min="7163" max="7163" width="19" style="1" customWidth="1"/>
    <col min="7164" max="7164" width="19.109375" style="1" customWidth="1"/>
    <col min="7165" max="7165" width="21.33203125" style="1" customWidth="1"/>
    <col min="7166" max="7166" width="32.5546875" style="1" customWidth="1"/>
    <col min="7167" max="7167" width="16.88671875" style="1" customWidth="1"/>
    <col min="7168" max="7168" width="16.33203125" style="1" customWidth="1"/>
    <col min="7169" max="7399" width="10.33203125" style="1"/>
    <col min="7400" max="7400" width="4.44140625" style="1" customWidth="1"/>
    <col min="7401" max="7401" width="21.6640625" style="1" customWidth="1"/>
    <col min="7402" max="7402" width="15" style="1" customWidth="1"/>
    <col min="7403" max="7403" width="15.44140625" style="1" customWidth="1"/>
    <col min="7404" max="7404" width="11.5546875" style="1" customWidth="1"/>
    <col min="7405" max="7405" width="7.44140625" style="1" customWidth="1"/>
    <col min="7406" max="7406" width="14.109375" style="1" customWidth="1"/>
    <col min="7407" max="7407" width="10.6640625" style="1" customWidth="1"/>
    <col min="7408" max="7408" width="13.44140625" style="1" customWidth="1"/>
    <col min="7409" max="7409" width="11.44140625" style="1" customWidth="1"/>
    <col min="7410" max="7410" width="15" style="1" customWidth="1"/>
    <col min="7411" max="7411" width="14.5546875" style="1" customWidth="1"/>
    <col min="7412" max="7412" width="10.33203125" style="1"/>
    <col min="7413" max="7413" width="7.44140625" style="1" customWidth="1"/>
    <col min="7414" max="7414" width="12.88671875" style="1" customWidth="1"/>
    <col min="7415" max="7415" width="11.109375" style="1" customWidth="1"/>
    <col min="7416" max="7416" width="14" style="1" customWidth="1"/>
    <col min="7417" max="7417" width="33" style="1" customWidth="1"/>
    <col min="7418" max="7418" width="6.6640625" style="1" customWidth="1"/>
    <col min="7419" max="7419" width="19" style="1" customWidth="1"/>
    <col min="7420" max="7420" width="19.109375" style="1" customWidth="1"/>
    <col min="7421" max="7421" width="21.33203125" style="1" customWidth="1"/>
    <col min="7422" max="7422" width="32.5546875" style="1" customWidth="1"/>
    <col min="7423" max="7423" width="16.88671875" style="1" customWidth="1"/>
    <col min="7424" max="7424" width="16.33203125" style="1" customWidth="1"/>
    <col min="7425" max="7655" width="10.33203125" style="1"/>
    <col min="7656" max="7656" width="4.44140625" style="1" customWidth="1"/>
    <col min="7657" max="7657" width="21.6640625" style="1" customWidth="1"/>
    <col min="7658" max="7658" width="15" style="1" customWidth="1"/>
    <col min="7659" max="7659" width="15.44140625" style="1" customWidth="1"/>
    <col min="7660" max="7660" width="11.5546875" style="1" customWidth="1"/>
    <col min="7661" max="7661" width="7.44140625" style="1" customWidth="1"/>
    <col min="7662" max="7662" width="14.109375" style="1" customWidth="1"/>
    <col min="7663" max="7663" width="10.6640625" style="1" customWidth="1"/>
    <col min="7664" max="7664" width="13.44140625" style="1" customWidth="1"/>
    <col min="7665" max="7665" width="11.44140625" style="1" customWidth="1"/>
    <col min="7666" max="7666" width="15" style="1" customWidth="1"/>
    <col min="7667" max="7667" width="14.5546875" style="1" customWidth="1"/>
    <col min="7668" max="7668" width="10.33203125" style="1"/>
    <col min="7669" max="7669" width="7.44140625" style="1" customWidth="1"/>
    <col min="7670" max="7670" width="12.88671875" style="1" customWidth="1"/>
    <col min="7671" max="7671" width="11.109375" style="1" customWidth="1"/>
    <col min="7672" max="7672" width="14" style="1" customWidth="1"/>
    <col min="7673" max="7673" width="33" style="1" customWidth="1"/>
    <col min="7674" max="7674" width="6.6640625" style="1" customWidth="1"/>
    <col min="7675" max="7675" width="19" style="1" customWidth="1"/>
    <col min="7676" max="7676" width="19.109375" style="1" customWidth="1"/>
    <col min="7677" max="7677" width="21.33203125" style="1" customWidth="1"/>
    <col min="7678" max="7678" width="32.5546875" style="1" customWidth="1"/>
    <col min="7679" max="7679" width="16.88671875" style="1" customWidth="1"/>
    <col min="7680" max="7680" width="16.33203125" style="1" customWidth="1"/>
    <col min="7681" max="7911" width="10.33203125" style="1"/>
    <col min="7912" max="7912" width="4.44140625" style="1" customWidth="1"/>
    <col min="7913" max="7913" width="21.6640625" style="1" customWidth="1"/>
    <col min="7914" max="7914" width="15" style="1" customWidth="1"/>
    <col min="7915" max="7915" width="15.44140625" style="1" customWidth="1"/>
    <col min="7916" max="7916" width="11.5546875" style="1" customWidth="1"/>
    <col min="7917" max="7917" width="7.44140625" style="1" customWidth="1"/>
    <col min="7918" max="7918" width="14.109375" style="1" customWidth="1"/>
    <col min="7919" max="7919" width="10.6640625" style="1" customWidth="1"/>
    <col min="7920" max="7920" width="13.44140625" style="1" customWidth="1"/>
    <col min="7921" max="7921" width="11.44140625" style="1" customWidth="1"/>
    <col min="7922" max="7922" width="15" style="1" customWidth="1"/>
    <col min="7923" max="7923" width="14.5546875" style="1" customWidth="1"/>
    <col min="7924" max="7924" width="10.33203125" style="1"/>
    <col min="7925" max="7925" width="7.44140625" style="1" customWidth="1"/>
    <col min="7926" max="7926" width="12.88671875" style="1" customWidth="1"/>
    <col min="7927" max="7927" width="11.109375" style="1" customWidth="1"/>
    <col min="7928" max="7928" width="14" style="1" customWidth="1"/>
    <col min="7929" max="7929" width="33" style="1" customWidth="1"/>
    <col min="7930" max="7930" width="6.6640625" style="1" customWidth="1"/>
    <col min="7931" max="7931" width="19" style="1" customWidth="1"/>
    <col min="7932" max="7932" width="19.109375" style="1" customWidth="1"/>
    <col min="7933" max="7933" width="21.33203125" style="1" customWidth="1"/>
    <col min="7934" max="7934" width="32.5546875" style="1" customWidth="1"/>
    <col min="7935" max="7935" width="16.88671875" style="1" customWidth="1"/>
    <col min="7936" max="7936" width="16.33203125" style="1" customWidth="1"/>
    <col min="7937" max="8167" width="10.33203125" style="1"/>
    <col min="8168" max="8168" width="4.44140625" style="1" customWidth="1"/>
    <col min="8169" max="8169" width="21.6640625" style="1" customWidth="1"/>
    <col min="8170" max="8170" width="15" style="1" customWidth="1"/>
    <col min="8171" max="8171" width="15.44140625" style="1" customWidth="1"/>
    <col min="8172" max="8172" width="11.5546875" style="1" customWidth="1"/>
    <col min="8173" max="8173" width="7.44140625" style="1" customWidth="1"/>
    <col min="8174" max="8174" width="14.109375" style="1" customWidth="1"/>
    <col min="8175" max="8175" width="10.6640625" style="1" customWidth="1"/>
    <col min="8176" max="8176" width="13.44140625" style="1" customWidth="1"/>
    <col min="8177" max="8177" width="11.44140625" style="1" customWidth="1"/>
    <col min="8178" max="8178" width="15" style="1" customWidth="1"/>
    <col min="8179" max="8179" width="14.5546875" style="1" customWidth="1"/>
    <col min="8180" max="8180" width="10.33203125" style="1"/>
    <col min="8181" max="8181" width="7.44140625" style="1" customWidth="1"/>
    <col min="8182" max="8182" width="12.88671875" style="1" customWidth="1"/>
    <col min="8183" max="8183" width="11.109375" style="1" customWidth="1"/>
    <col min="8184" max="8184" width="14" style="1" customWidth="1"/>
    <col min="8185" max="8185" width="33" style="1" customWidth="1"/>
    <col min="8186" max="8186" width="6.6640625" style="1" customWidth="1"/>
    <col min="8187" max="8187" width="19" style="1" customWidth="1"/>
    <col min="8188" max="8188" width="19.109375" style="1" customWidth="1"/>
    <col min="8189" max="8189" width="21.33203125" style="1" customWidth="1"/>
    <col min="8190" max="8190" width="32.5546875" style="1" customWidth="1"/>
    <col min="8191" max="8191" width="16.88671875" style="1" customWidth="1"/>
    <col min="8192" max="8192" width="16.33203125" style="1" customWidth="1"/>
    <col min="8193" max="8423" width="10.33203125" style="1"/>
    <col min="8424" max="8424" width="4.44140625" style="1" customWidth="1"/>
    <col min="8425" max="8425" width="21.6640625" style="1" customWidth="1"/>
    <col min="8426" max="8426" width="15" style="1" customWidth="1"/>
    <col min="8427" max="8427" width="15.44140625" style="1" customWidth="1"/>
    <col min="8428" max="8428" width="11.5546875" style="1" customWidth="1"/>
    <col min="8429" max="8429" width="7.44140625" style="1" customWidth="1"/>
    <col min="8430" max="8430" width="14.109375" style="1" customWidth="1"/>
    <col min="8431" max="8431" width="10.6640625" style="1" customWidth="1"/>
    <col min="8432" max="8432" width="13.44140625" style="1" customWidth="1"/>
    <col min="8433" max="8433" width="11.44140625" style="1" customWidth="1"/>
    <col min="8434" max="8434" width="15" style="1" customWidth="1"/>
    <col min="8435" max="8435" width="14.5546875" style="1" customWidth="1"/>
    <col min="8436" max="8436" width="10.33203125" style="1"/>
    <col min="8437" max="8437" width="7.44140625" style="1" customWidth="1"/>
    <col min="8438" max="8438" width="12.88671875" style="1" customWidth="1"/>
    <col min="8439" max="8439" width="11.109375" style="1" customWidth="1"/>
    <col min="8440" max="8440" width="14" style="1" customWidth="1"/>
    <col min="8441" max="8441" width="33" style="1" customWidth="1"/>
    <col min="8442" max="8442" width="6.6640625" style="1" customWidth="1"/>
    <col min="8443" max="8443" width="19" style="1" customWidth="1"/>
    <col min="8444" max="8444" width="19.109375" style="1" customWidth="1"/>
    <col min="8445" max="8445" width="21.33203125" style="1" customWidth="1"/>
    <col min="8446" max="8446" width="32.5546875" style="1" customWidth="1"/>
    <col min="8447" max="8447" width="16.88671875" style="1" customWidth="1"/>
    <col min="8448" max="8448" width="16.33203125" style="1" customWidth="1"/>
    <col min="8449" max="8679" width="10.33203125" style="1"/>
    <col min="8680" max="8680" width="4.44140625" style="1" customWidth="1"/>
    <col min="8681" max="8681" width="21.6640625" style="1" customWidth="1"/>
    <col min="8682" max="8682" width="15" style="1" customWidth="1"/>
    <col min="8683" max="8683" width="15.44140625" style="1" customWidth="1"/>
    <col min="8684" max="8684" width="11.5546875" style="1" customWidth="1"/>
    <col min="8685" max="8685" width="7.44140625" style="1" customWidth="1"/>
    <col min="8686" max="8686" width="14.109375" style="1" customWidth="1"/>
    <col min="8687" max="8687" width="10.6640625" style="1" customWidth="1"/>
    <col min="8688" max="8688" width="13.44140625" style="1" customWidth="1"/>
    <col min="8689" max="8689" width="11.44140625" style="1" customWidth="1"/>
    <col min="8690" max="8690" width="15" style="1" customWidth="1"/>
    <col min="8691" max="8691" width="14.5546875" style="1" customWidth="1"/>
    <col min="8692" max="8692" width="10.33203125" style="1"/>
    <col min="8693" max="8693" width="7.44140625" style="1" customWidth="1"/>
    <col min="8694" max="8694" width="12.88671875" style="1" customWidth="1"/>
    <col min="8695" max="8695" width="11.109375" style="1" customWidth="1"/>
    <col min="8696" max="8696" width="14" style="1" customWidth="1"/>
    <col min="8697" max="8697" width="33" style="1" customWidth="1"/>
    <col min="8698" max="8698" width="6.6640625" style="1" customWidth="1"/>
    <col min="8699" max="8699" width="19" style="1" customWidth="1"/>
    <col min="8700" max="8700" width="19.109375" style="1" customWidth="1"/>
    <col min="8701" max="8701" width="21.33203125" style="1" customWidth="1"/>
    <col min="8702" max="8702" width="32.5546875" style="1" customWidth="1"/>
    <col min="8703" max="8703" width="16.88671875" style="1" customWidth="1"/>
    <col min="8704" max="8704" width="16.33203125" style="1" customWidth="1"/>
    <col min="8705" max="8935" width="10.33203125" style="1"/>
    <col min="8936" max="8936" width="4.44140625" style="1" customWidth="1"/>
    <col min="8937" max="8937" width="21.6640625" style="1" customWidth="1"/>
    <col min="8938" max="8938" width="15" style="1" customWidth="1"/>
    <col min="8939" max="8939" width="15.44140625" style="1" customWidth="1"/>
    <col min="8940" max="8940" width="11.5546875" style="1" customWidth="1"/>
    <col min="8941" max="8941" width="7.44140625" style="1" customWidth="1"/>
    <col min="8942" max="8942" width="14.109375" style="1" customWidth="1"/>
    <col min="8943" max="8943" width="10.6640625" style="1" customWidth="1"/>
    <col min="8944" max="8944" width="13.44140625" style="1" customWidth="1"/>
    <col min="8945" max="8945" width="11.44140625" style="1" customWidth="1"/>
    <col min="8946" max="8946" width="15" style="1" customWidth="1"/>
    <col min="8947" max="8947" width="14.5546875" style="1" customWidth="1"/>
    <col min="8948" max="8948" width="10.33203125" style="1"/>
    <col min="8949" max="8949" width="7.44140625" style="1" customWidth="1"/>
    <col min="8950" max="8950" width="12.88671875" style="1" customWidth="1"/>
    <col min="8951" max="8951" width="11.109375" style="1" customWidth="1"/>
    <col min="8952" max="8952" width="14" style="1" customWidth="1"/>
    <col min="8953" max="8953" width="33" style="1" customWidth="1"/>
    <col min="8954" max="8954" width="6.6640625" style="1" customWidth="1"/>
    <col min="8955" max="8955" width="19" style="1" customWidth="1"/>
    <col min="8956" max="8956" width="19.109375" style="1" customWidth="1"/>
    <col min="8957" max="8957" width="21.33203125" style="1" customWidth="1"/>
    <col min="8958" max="8958" width="32.5546875" style="1" customWidth="1"/>
    <col min="8959" max="8959" width="16.88671875" style="1" customWidth="1"/>
    <col min="8960" max="8960" width="16.33203125" style="1" customWidth="1"/>
    <col min="8961" max="9191" width="10.33203125" style="1"/>
    <col min="9192" max="9192" width="4.44140625" style="1" customWidth="1"/>
    <col min="9193" max="9193" width="21.6640625" style="1" customWidth="1"/>
    <col min="9194" max="9194" width="15" style="1" customWidth="1"/>
    <col min="9195" max="9195" width="15.44140625" style="1" customWidth="1"/>
    <col min="9196" max="9196" width="11.5546875" style="1" customWidth="1"/>
    <col min="9197" max="9197" width="7.44140625" style="1" customWidth="1"/>
    <col min="9198" max="9198" width="14.109375" style="1" customWidth="1"/>
    <col min="9199" max="9199" width="10.6640625" style="1" customWidth="1"/>
    <col min="9200" max="9200" width="13.44140625" style="1" customWidth="1"/>
    <col min="9201" max="9201" width="11.44140625" style="1" customWidth="1"/>
    <col min="9202" max="9202" width="15" style="1" customWidth="1"/>
    <col min="9203" max="9203" width="14.5546875" style="1" customWidth="1"/>
    <col min="9204" max="9204" width="10.33203125" style="1"/>
    <col min="9205" max="9205" width="7.44140625" style="1" customWidth="1"/>
    <col min="9206" max="9206" width="12.88671875" style="1" customWidth="1"/>
    <col min="9207" max="9207" width="11.109375" style="1" customWidth="1"/>
    <col min="9208" max="9208" width="14" style="1" customWidth="1"/>
    <col min="9209" max="9209" width="33" style="1" customWidth="1"/>
    <col min="9210" max="9210" width="6.6640625" style="1" customWidth="1"/>
    <col min="9211" max="9211" width="19" style="1" customWidth="1"/>
    <col min="9212" max="9212" width="19.109375" style="1" customWidth="1"/>
    <col min="9213" max="9213" width="21.33203125" style="1" customWidth="1"/>
    <col min="9214" max="9214" width="32.5546875" style="1" customWidth="1"/>
    <col min="9215" max="9215" width="16.88671875" style="1" customWidth="1"/>
    <col min="9216" max="9216" width="16.33203125" style="1" customWidth="1"/>
    <col min="9217" max="9447" width="10.33203125" style="1"/>
    <col min="9448" max="9448" width="4.44140625" style="1" customWidth="1"/>
    <col min="9449" max="9449" width="21.6640625" style="1" customWidth="1"/>
    <col min="9450" max="9450" width="15" style="1" customWidth="1"/>
    <col min="9451" max="9451" width="15.44140625" style="1" customWidth="1"/>
    <col min="9452" max="9452" width="11.5546875" style="1" customWidth="1"/>
    <col min="9453" max="9453" width="7.44140625" style="1" customWidth="1"/>
    <col min="9454" max="9454" width="14.109375" style="1" customWidth="1"/>
    <col min="9455" max="9455" width="10.6640625" style="1" customWidth="1"/>
    <col min="9456" max="9456" width="13.44140625" style="1" customWidth="1"/>
    <col min="9457" max="9457" width="11.44140625" style="1" customWidth="1"/>
    <col min="9458" max="9458" width="15" style="1" customWidth="1"/>
    <col min="9459" max="9459" width="14.5546875" style="1" customWidth="1"/>
    <col min="9460" max="9460" width="10.33203125" style="1"/>
    <col min="9461" max="9461" width="7.44140625" style="1" customWidth="1"/>
    <col min="9462" max="9462" width="12.88671875" style="1" customWidth="1"/>
    <col min="9463" max="9463" width="11.109375" style="1" customWidth="1"/>
    <col min="9464" max="9464" width="14" style="1" customWidth="1"/>
    <col min="9465" max="9465" width="33" style="1" customWidth="1"/>
    <col min="9466" max="9466" width="6.6640625" style="1" customWidth="1"/>
    <col min="9467" max="9467" width="19" style="1" customWidth="1"/>
    <col min="9468" max="9468" width="19.109375" style="1" customWidth="1"/>
    <col min="9469" max="9469" width="21.33203125" style="1" customWidth="1"/>
    <col min="9470" max="9470" width="32.5546875" style="1" customWidth="1"/>
    <col min="9471" max="9471" width="16.88671875" style="1" customWidth="1"/>
    <col min="9472" max="9472" width="16.33203125" style="1" customWidth="1"/>
    <col min="9473" max="9703" width="10.33203125" style="1"/>
    <col min="9704" max="9704" width="4.44140625" style="1" customWidth="1"/>
    <col min="9705" max="9705" width="21.6640625" style="1" customWidth="1"/>
    <col min="9706" max="9706" width="15" style="1" customWidth="1"/>
    <col min="9707" max="9707" width="15.44140625" style="1" customWidth="1"/>
    <col min="9708" max="9708" width="11.5546875" style="1" customWidth="1"/>
    <col min="9709" max="9709" width="7.44140625" style="1" customWidth="1"/>
    <col min="9710" max="9710" width="14.109375" style="1" customWidth="1"/>
    <col min="9711" max="9711" width="10.6640625" style="1" customWidth="1"/>
    <col min="9712" max="9712" width="13.44140625" style="1" customWidth="1"/>
    <col min="9713" max="9713" width="11.44140625" style="1" customWidth="1"/>
    <col min="9714" max="9714" width="15" style="1" customWidth="1"/>
    <col min="9715" max="9715" width="14.5546875" style="1" customWidth="1"/>
    <col min="9716" max="9716" width="10.33203125" style="1"/>
    <col min="9717" max="9717" width="7.44140625" style="1" customWidth="1"/>
    <col min="9718" max="9718" width="12.88671875" style="1" customWidth="1"/>
    <col min="9719" max="9719" width="11.109375" style="1" customWidth="1"/>
    <col min="9720" max="9720" width="14" style="1" customWidth="1"/>
    <col min="9721" max="9721" width="33" style="1" customWidth="1"/>
    <col min="9722" max="9722" width="6.6640625" style="1" customWidth="1"/>
    <col min="9723" max="9723" width="19" style="1" customWidth="1"/>
    <col min="9724" max="9724" width="19.109375" style="1" customWidth="1"/>
    <col min="9725" max="9725" width="21.33203125" style="1" customWidth="1"/>
    <col min="9726" max="9726" width="32.5546875" style="1" customWidth="1"/>
    <col min="9727" max="9727" width="16.88671875" style="1" customWidth="1"/>
    <col min="9728" max="9728" width="16.33203125" style="1" customWidth="1"/>
    <col min="9729" max="9959" width="10.33203125" style="1"/>
    <col min="9960" max="9960" width="4.44140625" style="1" customWidth="1"/>
    <col min="9961" max="9961" width="21.6640625" style="1" customWidth="1"/>
    <col min="9962" max="9962" width="15" style="1" customWidth="1"/>
    <col min="9963" max="9963" width="15.44140625" style="1" customWidth="1"/>
    <col min="9964" max="9964" width="11.5546875" style="1" customWidth="1"/>
    <col min="9965" max="9965" width="7.44140625" style="1" customWidth="1"/>
    <col min="9966" max="9966" width="14.109375" style="1" customWidth="1"/>
    <col min="9967" max="9967" width="10.6640625" style="1" customWidth="1"/>
    <col min="9968" max="9968" width="13.44140625" style="1" customWidth="1"/>
    <col min="9969" max="9969" width="11.44140625" style="1" customWidth="1"/>
    <col min="9970" max="9970" width="15" style="1" customWidth="1"/>
    <col min="9971" max="9971" width="14.5546875" style="1" customWidth="1"/>
    <col min="9972" max="9972" width="10.33203125" style="1"/>
    <col min="9973" max="9973" width="7.44140625" style="1" customWidth="1"/>
    <col min="9974" max="9974" width="12.88671875" style="1" customWidth="1"/>
    <col min="9975" max="9975" width="11.109375" style="1" customWidth="1"/>
    <col min="9976" max="9976" width="14" style="1" customWidth="1"/>
    <col min="9977" max="9977" width="33" style="1" customWidth="1"/>
    <col min="9978" max="9978" width="6.6640625" style="1" customWidth="1"/>
    <col min="9979" max="9979" width="19" style="1" customWidth="1"/>
    <col min="9980" max="9980" width="19.109375" style="1" customWidth="1"/>
    <col min="9981" max="9981" width="21.33203125" style="1" customWidth="1"/>
    <col min="9982" max="9982" width="32.5546875" style="1" customWidth="1"/>
    <col min="9983" max="9983" width="16.88671875" style="1" customWidth="1"/>
    <col min="9984" max="9984" width="16.33203125" style="1" customWidth="1"/>
    <col min="9985" max="10215" width="10.33203125" style="1"/>
    <col min="10216" max="10216" width="4.44140625" style="1" customWidth="1"/>
    <col min="10217" max="10217" width="21.6640625" style="1" customWidth="1"/>
    <col min="10218" max="10218" width="15" style="1" customWidth="1"/>
    <col min="10219" max="10219" width="15.44140625" style="1" customWidth="1"/>
    <col min="10220" max="10220" width="11.5546875" style="1" customWidth="1"/>
    <col min="10221" max="10221" width="7.44140625" style="1" customWidth="1"/>
    <col min="10222" max="10222" width="14.109375" style="1" customWidth="1"/>
    <col min="10223" max="10223" width="10.6640625" style="1" customWidth="1"/>
    <col min="10224" max="10224" width="13.44140625" style="1" customWidth="1"/>
    <col min="10225" max="10225" width="11.44140625" style="1" customWidth="1"/>
    <col min="10226" max="10226" width="15" style="1" customWidth="1"/>
    <col min="10227" max="10227" width="14.5546875" style="1" customWidth="1"/>
    <col min="10228" max="10228" width="10.33203125" style="1"/>
    <col min="10229" max="10229" width="7.44140625" style="1" customWidth="1"/>
    <col min="10230" max="10230" width="12.88671875" style="1" customWidth="1"/>
    <col min="10231" max="10231" width="11.109375" style="1" customWidth="1"/>
    <col min="10232" max="10232" width="14" style="1" customWidth="1"/>
    <col min="10233" max="10233" width="33" style="1" customWidth="1"/>
    <col min="10234" max="10234" width="6.6640625" style="1" customWidth="1"/>
    <col min="10235" max="10235" width="19" style="1" customWidth="1"/>
    <col min="10236" max="10236" width="19.109375" style="1" customWidth="1"/>
    <col min="10237" max="10237" width="21.33203125" style="1" customWidth="1"/>
    <col min="10238" max="10238" width="32.5546875" style="1" customWidth="1"/>
    <col min="10239" max="10239" width="16.88671875" style="1" customWidth="1"/>
    <col min="10240" max="10240" width="16.33203125" style="1" customWidth="1"/>
    <col min="10241" max="10471" width="10.33203125" style="1"/>
    <col min="10472" max="10472" width="4.44140625" style="1" customWidth="1"/>
    <col min="10473" max="10473" width="21.6640625" style="1" customWidth="1"/>
    <col min="10474" max="10474" width="15" style="1" customWidth="1"/>
    <col min="10475" max="10475" width="15.44140625" style="1" customWidth="1"/>
    <col min="10476" max="10476" width="11.5546875" style="1" customWidth="1"/>
    <col min="10477" max="10477" width="7.44140625" style="1" customWidth="1"/>
    <col min="10478" max="10478" width="14.109375" style="1" customWidth="1"/>
    <col min="10479" max="10479" width="10.6640625" style="1" customWidth="1"/>
    <col min="10480" max="10480" width="13.44140625" style="1" customWidth="1"/>
    <col min="10481" max="10481" width="11.44140625" style="1" customWidth="1"/>
    <col min="10482" max="10482" width="15" style="1" customWidth="1"/>
    <col min="10483" max="10483" width="14.5546875" style="1" customWidth="1"/>
    <col min="10484" max="10484" width="10.33203125" style="1"/>
    <col min="10485" max="10485" width="7.44140625" style="1" customWidth="1"/>
    <col min="10486" max="10486" width="12.88671875" style="1" customWidth="1"/>
    <col min="10487" max="10487" width="11.109375" style="1" customWidth="1"/>
    <col min="10488" max="10488" width="14" style="1" customWidth="1"/>
    <col min="10489" max="10489" width="33" style="1" customWidth="1"/>
    <col min="10490" max="10490" width="6.6640625" style="1" customWidth="1"/>
    <col min="10491" max="10491" width="19" style="1" customWidth="1"/>
    <col min="10492" max="10492" width="19.109375" style="1" customWidth="1"/>
    <col min="10493" max="10493" width="21.33203125" style="1" customWidth="1"/>
    <col min="10494" max="10494" width="32.5546875" style="1" customWidth="1"/>
    <col min="10495" max="10495" width="16.88671875" style="1" customWidth="1"/>
    <col min="10496" max="10496" width="16.33203125" style="1" customWidth="1"/>
    <col min="10497" max="10727" width="10.33203125" style="1"/>
    <col min="10728" max="10728" width="4.44140625" style="1" customWidth="1"/>
    <col min="10729" max="10729" width="21.6640625" style="1" customWidth="1"/>
    <col min="10730" max="10730" width="15" style="1" customWidth="1"/>
    <col min="10731" max="10731" width="15.44140625" style="1" customWidth="1"/>
    <col min="10732" max="10732" width="11.5546875" style="1" customWidth="1"/>
    <col min="10733" max="10733" width="7.44140625" style="1" customWidth="1"/>
    <col min="10734" max="10734" width="14.109375" style="1" customWidth="1"/>
    <col min="10735" max="10735" width="10.6640625" style="1" customWidth="1"/>
    <col min="10736" max="10736" width="13.44140625" style="1" customWidth="1"/>
    <col min="10737" max="10737" width="11.44140625" style="1" customWidth="1"/>
    <col min="10738" max="10738" width="15" style="1" customWidth="1"/>
    <col min="10739" max="10739" width="14.5546875" style="1" customWidth="1"/>
    <col min="10740" max="10740" width="10.33203125" style="1"/>
    <col min="10741" max="10741" width="7.44140625" style="1" customWidth="1"/>
    <col min="10742" max="10742" width="12.88671875" style="1" customWidth="1"/>
    <col min="10743" max="10743" width="11.109375" style="1" customWidth="1"/>
    <col min="10744" max="10744" width="14" style="1" customWidth="1"/>
    <col min="10745" max="10745" width="33" style="1" customWidth="1"/>
    <col min="10746" max="10746" width="6.6640625" style="1" customWidth="1"/>
    <col min="10747" max="10747" width="19" style="1" customWidth="1"/>
    <col min="10748" max="10748" width="19.109375" style="1" customWidth="1"/>
    <col min="10749" max="10749" width="21.33203125" style="1" customWidth="1"/>
    <col min="10750" max="10750" width="32.5546875" style="1" customWidth="1"/>
    <col min="10751" max="10751" width="16.88671875" style="1" customWidth="1"/>
    <col min="10752" max="10752" width="16.33203125" style="1" customWidth="1"/>
    <col min="10753" max="10983" width="10.33203125" style="1"/>
    <col min="10984" max="10984" width="4.44140625" style="1" customWidth="1"/>
    <col min="10985" max="10985" width="21.6640625" style="1" customWidth="1"/>
    <col min="10986" max="10986" width="15" style="1" customWidth="1"/>
    <col min="10987" max="10987" width="15.44140625" style="1" customWidth="1"/>
    <col min="10988" max="10988" width="11.5546875" style="1" customWidth="1"/>
    <col min="10989" max="10989" width="7.44140625" style="1" customWidth="1"/>
    <col min="10990" max="10990" width="14.109375" style="1" customWidth="1"/>
    <col min="10991" max="10991" width="10.6640625" style="1" customWidth="1"/>
    <col min="10992" max="10992" width="13.44140625" style="1" customWidth="1"/>
    <col min="10993" max="10993" width="11.44140625" style="1" customWidth="1"/>
    <col min="10994" max="10994" width="15" style="1" customWidth="1"/>
    <col min="10995" max="10995" width="14.5546875" style="1" customWidth="1"/>
    <col min="10996" max="10996" width="10.33203125" style="1"/>
    <col min="10997" max="10997" width="7.44140625" style="1" customWidth="1"/>
    <col min="10998" max="10998" width="12.88671875" style="1" customWidth="1"/>
    <col min="10999" max="10999" width="11.109375" style="1" customWidth="1"/>
    <col min="11000" max="11000" width="14" style="1" customWidth="1"/>
    <col min="11001" max="11001" width="33" style="1" customWidth="1"/>
    <col min="11002" max="11002" width="6.6640625" style="1" customWidth="1"/>
    <col min="11003" max="11003" width="19" style="1" customWidth="1"/>
    <col min="11004" max="11004" width="19.109375" style="1" customWidth="1"/>
    <col min="11005" max="11005" width="21.33203125" style="1" customWidth="1"/>
    <col min="11006" max="11006" width="32.5546875" style="1" customWidth="1"/>
    <col min="11007" max="11007" width="16.88671875" style="1" customWidth="1"/>
    <col min="11008" max="11008" width="16.33203125" style="1" customWidth="1"/>
    <col min="11009" max="11239" width="10.33203125" style="1"/>
    <col min="11240" max="11240" width="4.44140625" style="1" customWidth="1"/>
    <col min="11241" max="11241" width="21.6640625" style="1" customWidth="1"/>
    <col min="11242" max="11242" width="15" style="1" customWidth="1"/>
    <col min="11243" max="11243" width="15.44140625" style="1" customWidth="1"/>
    <col min="11244" max="11244" width="11.5546875" style="1" customWidth="1"/>
    <col min="11245" max="11245" width="7.44140625" style="1" customWidth="1"/>
    <col min="11246" max="11246" width="14.109375" style="1" customWidth="1"/>
    <col min="11247" max="11247" width="10.6640625" style="1" customWidth="1"/>
    <col min="11248" max="11248" width="13.44140625" style="1" customWidth="1"/>
    <col min="11249" max="11249" width="11.44140625" style="1" customWidth="1"/>
    <col min="11250" max="11250" width="15" style="1" customWidth="1"/>
    <col min="11251" max="11251" width="14.5546875" style="1" customWidth="1"/>
    <col min="11252" max="11252" width="10.33203125" style="1"/>
    <col min="11253" max="11253" width="7.44140625" style="1" customWidth="1"/>
    <col min="11254" max="11254" width="12.88671875" style="1" customWidth="1"/>
    <col min="11255" max="11255" width="11.109375" style="1" customWidth="1"/>
    <col min="11256" max="11256" width="14" style="1" customWidth="1"/>
    <col min="11257" max="11257" width="33" style="1" customWidth="1"/>
    <col min="11258" max="11258" width="6.6640625" style="1" customWidth="1"/>
    <col min="11259" max="11259" width="19" style="1" customWidth="1"/>
    <col min="11260" max="11260" width="19.109375" style="1" customWidth="1"/>
    <col min="11261" max="11261" width="21.33203125" style="1" customWidth="1"/>
    <col min="11262" max="11262" width="32.5546875" style="1" customWidth="1"/>
    <col min="11263" max="11263" width="16.88671875" style="1" customWidth="1"/>
    <col min="11264" max="11264" width="16.33203125" style="1" customWidth="1"/>
    <col min="11265" max="11495" width="10.33203125" style="1"/>
    <col min="11496" max="11496" width="4.44140625" style="1" customWidth="1"/>
    <col min="11497" max="11497" width="21.6640625" style="1" customWidth="1"/>
    <col min="11498" max="11498" width="15" style="1" customWidth="1"/>
    <col min="11499" max="11499" width="15.44140625" style="1" customWidth="1"/>
    <col min="11500" max="11500" width="11.5546875" style="1" customWidth="1"/>
    <col min="11501" max="11501" width="7.44140625" style="1" customWidth="1"/>
    <col min="11502" max="11502" width="14.109375" style="1" customWidth="1"/>
    <col min="11503" max="11503" width="10.6640625" style="1" customWidth="1"/>
    <col min="11504" max="11504" width="13.44140625" style="1" customWidth="1"/>
    <col min="11505" max="11505" width="11.44140625" style="1" customWidth="1"/>
    <col min="11506" max="11506" width="15" style="1" customWidth="1"/>
    <col min="11507" max="11507" width="14.5546875" style="1" customWidth="1"/>
    <col min="11508" max="11508" width="10.33203125" style="1"/>
    <col min="11509" max="11509" width="7.44140625" style="1" customWidth="1"/>
    <col min="11510" max="11510" width="12.88671875" style="1" customWidth="1"/>
    <col min="11511" max="11511" width="11.109375" style="1" customWidth="1"/>
    <col min="11512" max="11512" width="14" style="1" customWidth="1"/>
    <col min="11513" max="11513" width="33" style="1" customWidth="1"/>
    <col min="11514" max="11514" width="6.6640625" style="1" customWidth="1"/>
    <col min="11515" max="11515" width="19" style="1" customWidth="1"/>
    <col min="11516" max="11516" width="19.109375" style="1" customWidth="1"/>
    <col min="11517" max="11517" width="21.33203125" style="1" customWidth="1"/>
    <col min="11518" max="11518" width="32.5546875" style="1" customWidth="1"/>
    <col min="11519" max="11519" width="16.88671875" style="1" customWidth="1"/>
    <col min="11520" max="11520" width="16.33203125" style="1" customWidth="1"/>
    <col min="11521" max="11751" width="10.33203125" style="1"/>
    <col min="11752" max="11752" width="4.44140625" style="1" customWidth="1"/>
    <col min="11753" max="11753" width="21.6640625" style="1" customWidth="1"/>
    <col min="11754" max="11754" width="15" style="1" customWidth="1"/>
    <col min="11755" max="11755" width="15.44140625" style="1" customWidth="1"/>
    <col min="11756" max="11756" width="11.5546875" style="1" customWidth="1"/>
    <col min="11757" max="11757" width="7.44140625" style="1" customWidth="1"/>
    <col min="11758" max="11758" width="14.109375" style="1" customWidth="1"/>
    <col min="11759" max="11759" width="10.6640625" style="1" customWidth="1"/>
    <col min="11760" max="11760" width="13.44140625" style="1" customWidth="1"/>
    <col min="11761" max="11761" width="11.44140625" style="1" customWidth="1"/>
    <col min="11762" max="11762" width="15" style="1" customWidth="1"/>
    <col min="11763" max="11763" width="14.5546875" style="1" customWidth="1"/>
    <col min="11764" max="11764" width="10.33203125" style="1"/>
    <col min="11765" max="11765" width="7.44140625" style="1" customWidth="1"/>
    <col min="11766" max="11766" width="12.88671875" style="1" customWidth="1"/>
    <col min="11767" max="11767" width="11.109375" style="1" customWidth="1"/>
    <col min="11768" max="11768" width="14" style="1" customWidth="1"/>
    <col min="11769" max="11769" width="33" style="1" customWidth="1"/>
    <col min="11770" max="11770" width="6.6640625" style="1" customWidth="1"/>
    <col min="11771" max="11771" width="19" style="1" customWidth="1"/>
    <col min="11772" max="11772" width="19.109375" style="1" customWidth="1"/>
    <col min="11773" max="11773" width="21.33203125" style="1" customWidth="1"/>
    <col min="11774" max="11774" width="32.5546875" style="1" customWidth="1"/>
    <col min="11775" max="11775" width="16.88671875" style="1" customWidth="1"/>
    <col min="11776" max="11776" width="16.33203125" style="1" customWidth="1"/>
    <col min="11777" max="12007" width="10.33203125" style="1"/>
    <col min="12008" max="12008" width="4.44140625" style="1" customWidth="1"/>
    <col min="12009" max="12009" width="21.6640625" style="1" customWidth="1"/>
    <col min="12010" max="12010" width="15" style="1" customWidth="1"/>
    <col min="12011" max="12011" width="15.44140625" style="1" customWidth="1"/>
    <col min="12012" max="12012" width="11.5546875" style="1" customWidth="1"/>
    <col min="12013" max="12013" width="7.44140625" style="1" customWidth="1"/>
    <col min="12014" max="12014" width="14.109375" style="1" customWidth="1"/>
    <col min="12015" max="12015" width="10.6640625" style="1" customWidth="1"/>
    <col min="12016" max="12016" width="13.44140625" style="1" customWidth="1"/>
    <col min="12017" max="12017" width="11.44140625" style="1" customWidth="1"/>
    <col min="12018" max="12018" width="15" style="1" customWidth="1"/>
    <col min="12019" max="12019" width="14.5546875" style="1" customWidth="1"/>
    <col min="12020" max="12020" width="10.33203125" style="1"/>
    <col min="12021" max="12021" width="7.44140625" style="1" customWidth="1"/>
    <col min="12022" max="12022" width="12.88671875" style="1" customWidth="1"/>
    <col min="12023" max="12023" width="11.109375" style="1" customWidth="1"/>
    <col min="12024" max="12024" width="14" style="1" customWidth="1"/>
    <col min="12025" max="12025" width="33" style="1" customWidth="1"/>
    <col min="12026" max="12026" width="6.6640625" style="1" customWidth="1"/>
    <col min="12027" max="12027" width="19" style="1" customWidth="1"/>
    <col min="12028" max="12028" width="19.109375" style="1" customWidth="1"/>
    <col min="12029" max="12029" width="21.33203125" style="1" customWidth="1"/>
    <col min="12030" max="12030" width="32.5546875" style="1" customWidth="1"/>
    <col min="12031" max="12031" width="16.88671875" style="1" customWidth="1"/>
    <col min="12032" max="12032" width="16.33203125" style="1" customWidth="1"/>
    <col min="12033" max="12263" width="10.33203125" style="1"/>
    <col min="12264" max="12264" width="4.44140625" style="1" customWidth="1"/>
    <col min="12265" max="12265" width="21.6640625" style="1" customWidth="1"/>
    <col min="12266" max="12266" width="15" style="1" customWidth="1"/>
    <col min="12267" max="12267" width="15.44140625" style="1" customWidth="1"/>
    <col min="12268" max="12268" width="11.5546875" style="1" customWidth="1"/>
    <col min="12269" max="12269" width="7.44140625" style="1" customWidth="1"/>
    <col min="12270" max="12270" width="14.109375" style="1" customWidth="1"/>
    <col min="12271" max="12271" width="10.6640625" style="1" customWidth="1"/>
    <col min="12272" max="12272" width="13.44140625" style="1" customWidth="1"/>
    <col min="12273" max="12273" width="11.44140625" style="1" customWidth="1"/>
    <col min="12274" max="12274" width="15" style="1" customWidth="1"/>
    <col min="12275" max="12275" width="14.5546875" style="1" customWidth="1"/>
    <col min="12276" max="12276" width="10.33203125" style="1"/>
    <col min="12277" max="12277" width="7.44140625" style="1" customWidth="1"/>
    <col min="12278" max="12278" width="12.88671875" style="1" customWidth="1"/>
    <col min="12279" max="12279" width="11.109375" style="1" customWidth="1"/>
    <col min="12280" max="12280" width="14" style="1" customWidth="1"/>
    <col min="12281" max="12281" width="33" style="1" customWidth="1"/>
    <col min="12282" max="12282" width="6.6640625" style="1" customWidth="1"/>
    <col min="12283" max="12283" width="19" style="1" customWidth="1"/>
    <col min="12284" max="12284" width="19.109375" style="1" customWidth="1"/>
    <col min="12285" max="12285" width="21.33203125" style="1" customWidth="1"/>
    <col min="12286" max="12286" width="32.5546875" style="1" customWidth="1"/>
    <col min="12287" max="12287" width="16.88671875" style="1" customWidth="1"/>
    <col min="12288" max="12288" width="16.33203125" style="1" customWidth="1"/>
    <col min="12289" max="12519" width="10.33203125" style="1"/>
    <col min="12520" max="12520" width="4.44140625" style="1" customWidth="1"/>
    <col min="12521" max="12521" width="21.6640625" style="1" customWidth="1"/>
    <col min="12522" max="12522" width="15" style="1" customWidth="1"/>
    <col min="12523" max="12523" width="15.44140625" style="1" customWidth="1"/>
    <col min="12524" max="12524" width="11.5546875" style="1" customWidth="1"/>
    <col min="12525" max="12525" width="7.44140625" style="1" customWidth="1"/>
    <col min="12526" max="12526" width="14.109375" style="1" customWidth="1"/>
    <col min="12527" max="12527" width="10.6640625" style="1" customWidth="1"/>
    <col min="12528" max="12528" width="13.44140625" style="1" customWidth="1"/>
    <col min="12529" max="12529" width="11.44140625" style="1" customWidth="1"/>
    <col min="12530" max="12530" width="15" style="1" customWidth="1"/>
    <col min="12531" max="12531" width="14.5546875" style="1" customWidth="1"/>
    <col min="12532" max="12532" width="10.33203125" style="1"/>
    <col min="12533" max="12533" width="7.44140625" style="1" customWidth="1"/>
    <col min="12534" max="12534" width="12.88671875" style="1" customWidth="1"/>
    <col min="12535" max="12535" width="11.109375" style="1" customWidth="1"/>
    <col min="12536" max="12536" width="14" style="1" customWidth="1"/>
    <col min="12537" max="12537" width="33" style="1" customWidth="1"/>
    <col min="12538" max="12538" width="6.6640625" style="1" customWidth="1"/>
    <col min="12539" max="12539" width="19" style="1" customWidth="1"/>
    <col min="12540" max="12540" width="19.109375" style="1" customWidth="1"/>
    <col min="12541" max="12541" width="21.33203125" style="1" customWidth="1"/>
    <col min="12542" max="12542" width="32.5546875" style="1" customWidth="1"/>
    <col min="12543" max="12543" width="16.88671875" style="1" customWidth="1"/>
    <col min="12544" max="12544" width="16.33203125" style="1" customWidth="1"/>
    <col min="12545" max="12775" width="10.33203125" style="1"/>
    <col min="12776" max="12776" width="4.44140625" style="1" customWidth="1"/>
    <col min="12777" max="12777" width="21.6640625" style="1" customWidth="1"/>
    <col min="12778" max="12778" width="15" style="1" customWidth="1"/>
    <col min="12779" max="12779" width="15.44140625" style="1" customWidth="1"/>
    <col min="12780" max="12780" width="11.5546875" style="1" customWidth="1"/>
    <col min="12781" max="12781" width="7.44140625" style="1" customWidth="1"/>
    <col min="12782" max="12782" width="14.109375" style="1" customWidth="1"/>
    <col min="12783" max="12783" width="10.6640625" style="1" customWidth="1"/>
    <col min="12784" max="12784" width="13.44140625" style="1" customWidth="1"/>
    <col min="12785" max="12785" width="11.44140625" style="1" customWidth="1"/>
    <col min="12786" max="12786" width="15" style="1" customWidth="1"/>
    <col min="12787" max="12787" width="14.5546875" style="1" customWidth="1"/>
    <col min="12788" max="12788" width="10.33203125" style="1"/>
    <col min="12789" max="12789" width="7.44140625" style="1" customWidth="1"/>
    <col min="12790" max="12790" width="12.88671875" style="1" customWidth="1"/>
    <col min="12791" max="12791" width="11.109375" style="1" customWidth="1"/>
    <col min="12792" max="12792" width="14" style="1" customWidth="1"/>
    <col min="12793" max="12793" width="33" style="1" customWidth="1"/>
    <col min="12794" max="12794" width="6.6640625" style="1" customWidth="1"/>
    <col min="12795" max="12795" width="19" style="1" customWidth="1"/>
    <col min="12796" max="12796" width="19.109375" style="1" customWidth="1"/>
    <col min="12797" max="12797" width="21.33203125" style="1" customWidth="1"/>
    <col min="12798" max="12798" width="32.5546875" style="1" customWidth="1"/>
    <col min="12799" max="12799" width="16.88671875" style="1" customWidth="1"/>
    <col min="12800" max="12800" width="16.33203125" style="1" customWidth="1"/>
    <col min="12801" max="13031" width="10.33203125" style="1"/>
    <col min="13032" max="13032" width="4.44140625" style="1" customWidth="1"/>
    <col min="13033" max="13033" width="21.6640625" style="1" customWidth="1"/>
    <col min="13034" max="13034" width="15" style="1" customWidth="1"/>
    <col min="13035" max="13035" width="15.44140625" style="1" customWidth="1"/>
    <col min="13036" max="13036" width="11.5546875" style="1" customWidth="1"/>
    <col min="13037" max="13037" width="7.44140625" style="1" customWidth="1"/>
    <col min="13038" max="13038" width="14.109375" style="1" customWidth="1"/>
    <col min="13039" max="13039" width="10.6640625" style="1" customWidth="1"/>
    <col min="13040" max="13040" width="13.44140625" style="1" customWidth="1"/>
    <col min="13041" max="13041" width="11.44140625" style="1" customWidth="1"/>
    <col min="13042" max="13042" width="15" style="1" customWidth="1"/>
    <col min="13043" max="13043" width="14.5546875" style="1" customWidth="1"/>
    <col min="13044" max="13044" width="10.33203125" style="1"/>
    <col min="13045" max="13045" width="7.44140625" style="1" customWidth="1"/>
    <col min="13046" max="13046" width="12.88671875" style="1" customWidth="1"/>
    <col min="13047" max="13047" width="11.109375" style="1" customWidth="1"/>
    <col min="13048" max="13048" width="14" style="1" customWidth="1"/>
    <col min="13049" max="13049" width="33" style="1" customWidth="1"/>
    <col min="13050" max="13050" width="6.6640625" style="1" customWidth="1"/>
    <col min="13051" max="13051" width="19" style="1" customWidth="1"/>
    <col min="13052" max="13052" width="19.109375" style="1" customWidth="1"/>
    <col min="13053" max="13053" width="21.33203125" style="1" customWidth="1"/>
    <col min="13054" max="13054" width="32.5546875" style="1" customWidth="1"/>
    <col min="13055" max="13055" width="16.88671875" style="1" customWidth="1"/>
    <col min="13056" max="13056" width="16.33203125" style="1" customWidth="1"/>
    <col min="13057" max="13287" width="10.33203125" style="1"/>
    <col min="13288" max="13288" width="4.44140625" style="1" customWidth="1"/>
    <col min="13289" max="13289" width="21.6640625" style="1" customWidth="1"/>
    <col min="13290" max="13290" width="15" style="1" customWidth="1"/>
    <col min="13291" max="13291" width="15.44140625" style="1" customWidth="1"/>
    <col min="13292" max="13292" width="11.5546875" style="1" customWidth="1"/>
    <col min="13293" max="13293" width="7.44140625" style="1" customWidth="1"/>
    <col min="13294" max="13294" width="14.109375" style="1" customWidth="1"/>
    <col min="13295" max="13295" width="10.6640625" style="1" customWidth="1"/>
    <col min="13296" max="13296" width="13.44140625" style="1" customWidth="1"/>
    <col min="13297" max="13297" width="11.44140625" style="1" customWidth="1"/>
    <col min="13298" max="13298" width="15" style="1" customWidth="1"/>
    <col min="13299" max="13299" width="14.5546875" style="1" customWidth="1"/>
    <col min="13300" max="13300" width="10.33203125" style="1"/>
    <col min="13301" max="13301" width="7.44140625" style="1" customWidth="1"/>
    <col min="13302" max="13302" width="12.88671875" style="1" customWidth="1"/>
    <col min="13303" max="13303" width="11.109375" style="1" customWidth="1"/>
    <col min="13304" max="13304" width="14" style="1" customWidth="1"/>
    <col min="13305" max="13305" width="33" style="1" customWidth="1"/>
    <col min="13306" max="13306" width="6.6640625" style="1" customWidth="1"/>
    <col min="13307" max="13307" width="19" style="1" customWidth="1"/>
    <col min="13308" max="13308" width="19.109375" style="1" customWidth="1"/>
    <col min="13309" max="13309" width="21.33203125" style="1" customWidth="1"/>
    <col min="13310" max="13310" width="32.5546875" style="1" customWidth="1"/>
    <col min="13311" max="13311" width="16.88671875" style="1" customWidth="1"/>
    <col min="13312" max="13312" width="16.33203125" style="1" customWidth="1"/>
    <col min="13313" max="13543" width="10.33203125" style="1"/>
    <col min="13544" max="13544" width="4.44140625" style="1" customWidth="1"/>
    <col min="13545" max="13545" width="21.6640625" style="1" customWidth="1"/>
    <col min="13546" max="13546" width="15" style="1" customWidth="1"/>
    <col min="13547" max="13547" width="15.44140625" style="1" customWidth="1"/>
    <col min="13548" max="13548" width="11.5546875" style="1" customWidth="1"/>
    <col min="13549" max="13549" width="7.44140625" style="1" customWidth="1"/>
    <col min="13550" max="13550" width="14.109375" style="1" customWidth="1"/>
    <col min="13551" max="13551" width="10.6640625" style="1" customWidth="1"/>
    <col min="13552" max="13552" width="13.44140625" style="1" customWidth="1"/>
    <col min="13553" max="13553" width="11.44140625" style="1" customWidth="1"/>
    <col min="13554" max="13554" width="15" style="1" customWidth="1"/>
    <col min="13555" max="13555" width="14.5546875" style="1" customWidth="1"/>
    <col min="13556" max="13556" width="10.33203125" style="1"/>
    <col min="13557" max="13557" width="7.44140625" style="1" customWidth="1"/>
    <col min="13558" max="13558" width="12.88671875" style="1" customWidth="1"/>
    <col min="13559" max="13559" width="11.109375" style="1" customWidth="1"/>
    <col min="13560" max="13560" width="14" style="1" customWidth="1"/>
    <col min="13561" max="13561" width="33" style="1" customWidth="1"/>
    <col min="13562" max="13562" width="6.6640625" style="1" customWidth="1"/>
    <col min="13563" max="13563" width="19" style="1" customWidth="1"/>
    <col min="13564" max="13564" width="19.109375" style="1" customWidth="1"/>
    <col min="13565" max="13565" width="21.33203125" style="1" customWidth="1"/>
    <col min="13566" max="13566" width="32.5546875" style="1" customWidth="1"/>
    <col min="13567" max="13567" width="16.88671875" style="1" customWidth="1"/>
    <col min="13568" max="13568" width="16.33203125" style="1" customWidth="1"/>
    <col min="13569" max="13799" width="10.33203125" style="1"/>
    <col min="13800" max="13800" width="4.44140625" style="1" customWidth="1"/>
    <col min="13801" max="13801" width="21.6640625" style="1" customWidth="1"/>
    <col min="13802" max="13802" width="15" style="1" customWidth="1"/>
    <col min="13803" max="13803" width="15.44140625" style="1" customWidth="1"/>
    <col min="13804" max="13804" width="11.5546875" style="1" customWidth="1"/>
    <col min="13805" max="13805" width="7.44140625" style="1" customWidth="1"/>
    <col min="13806" max="13806" width="14.109375" style="1" customWidth="1"/>
    <col min="13807" max="13807" width="10.6640625" style="1" customWidth="1"/>
    <col min="13808" max="13808" width="13.44140625" style="1" customWidth="1"/>
    <col min="13809" max="13809" width="11.44140625" style="1" customWidth="1"/>
    <col min="13810" max="13810" width="15" style="1" customWidth="1"/>
    <col min="13811" max="13811" width="14.5546875" style="1" customWidth="1"/>
    <col min="13812" max="13812" width="10.33203125" style="1"/>
    <col min="13813" max="13813" width="7.44140625" style="1" customWidth="1"/>
    <col min="13814" max="13814" width="12.88671875" style="1" customWidth="1"/>
    <col min="13815" max="13815" width="11.109375" style="1" customWidth="1"/>
    <col min="13816" max="13816" width="14" style="1" customWidth="1"/>
    <col min="13817" max="13817" width="33" style="1" customWidth="1"/>
    <col min="13818" max="13818" width="6.6640625" style="1" customWidth="1"/>
    <col min="13819" max="13819" width="19" style="1" customWidth="1"/>
    <col min="13820" max="13820" width="19.109375" style="1" customWidth="1"/>
    <col min="13821" max="13821" width="21.33203125" style="1" customWidth="1"/>
    <col min="13822" max="13822" width="32.5546875" style="1" customWidth="1"/>
    <col min="13823" max="13823" width="16.88671875" style="1" customWidth="1"/>
    <col min="13824" max="13824" width="16.33203125" style="1" customWidth="1"/>
    <col min="13825" max="14055" width="10.33203125" style="1"/>
    <col min="14056" max="14056" width="4.44140625" style="1" customWidth="1"/>
    <col min="14057" max="14057" width="21.6640625" style="1" customWidth="1"/>
    <col min="14058" max="14058" width="15" style="1" customWidth="1"/>
    <col min="14059" max="14059" width="15.44140625" style="1" customWidth="1"/>
    <col min="14060" max="14060" width="11.5546875" style="1" customWidth="1"/>
    <col min="14061" max="14061" width="7.44140625" style="1" customWidth="1"/>
    <col min="14062" max="14062" width="14.109375" style="1" customWidth="1"/>
    <col min="14063" max="14063" width="10.6640625" style="1" customWidth="1"/>
    <col min="14064" max="14064" width="13.44140625" style="1" customWidth="1"/>
    <col min="14065" max="14065" width="11.44140625" style="1" customWidth="1"/>
    <col min="14066" max="14066" width="15" style="1" customWidth="1"/>
    <col min="14067" max="14067" width="14.5546875" style="1" customWidth="1"/>
    <col min="14068" max="14068" width="10.33203125" style="1"/>
    <col min="14069" max="14069" width="7.44140625" style="1" customWidth="1"/>
    <col min="14070" max="14070" width="12.88671875" style="1" customWidth="1"/>
    <col min="14071" max="14071" width="11.109375" style="1" customWidth="1"/>
    <col min="14072" max="14072" width="14" style="1" customWidth="1"/>
    <col min="14073" max="14073" width="33" style="1" customWidth="1"/>
    <col min="14074" max="14074" width="6.6640625" style="1" customWidth="1"/>
    <col min="14075" max="14075" width="19" style="1" customWidth="1"/>
    <col min="14076" max="14076" width="19.109375" style="1" customWidth="1"/>
    <col min="14077" max="14077" width="21.33203125" style="1" customWidth="1"/>
    <col min="14078" max="14078" width="32.5546875" style="1" customWidth="1"/>
    <col min="14079" max="14079" width="16.88671875" style="1" customWidth="1"/>
    <col min="14080" max="14080" width="16.33203125" style="1" customWidth="1"/>
    <col min="14081" max="14311" width="10.33203125" style="1"/>
    <col min="14312" max="14312" width="4.44140625" style="1" customWidth="1"/>
    <col min="14313" max="14313" width="21.6640625" style="1" customWidth="1"/>
    <col min="14314" max="14314" width="15" style="1" customWidth="1"/>
    <col min="14315" max="14315" width="15.44140625" style="1" customWidth="1"/>
    <col min="14316" max="14316" width="11.5546875" style="1" customWidth="1"/>
    <col min="14317" max="14317" width="7.44140625" style="1" customWidth="1"/>
    <col min="14318" max="14318" width="14.109375" style="1" customWidth="1"/>
    <col min="14319" max="14319" width="10.6640625" style="1" customWidth="1"/>
    <col min="14320" max="14320" width="13.44140625" style="1" customWidth="1"/>
    <col min="14321" max="14321" width="11.44140625" style="1" customWidth="1"/>
    <col min="14322" max="14322" width="15" style="1" customWidth="1"/>
    <col min="14323" max="14323" width="14.5546875" style="1" customWidth="1"/>
    <col min="14324" max="14324" width="10.33203125" style="1"/>
    <col min="14325" max="14325" width="7.44140625" style="1" customWidth="1"/>
    <col min="14326" max="14326" width="12.88671875" style="1" customWidth="1"/>
    <col min="14327" max="14327" width="11.109375" style="1" customWidth="1"/>
    <col min="14328" max="14328" width="14" style="1" customWidth="1"/>
    <col min="14329" max="14329" width="33" style="1" customWidth="1"/>
    <col min="14330" max="14330" width="6.6640625" style="1" customWidth="1"/>
    <col min="14331" max="14331" width="19" style="1" customWidth="1"/>
    <col min="14332" max="14332" width="19.109375" style="1" customWidth="1"/>
    <col min="14333" max="14333" width="21.33203125" style="1" customWidth="1"/>
    <col min="14334" max="14334" width="32.5546875" style="1" customWidth="1"/>
    <col min="14335" max="14335" width="16.88671875" style="1" customWidth="1"/>
    <col min="14336" max="14336" width="16.33203125" style="1" customWidth="1"/>
    <col min="14337" max="14567" width="10.33203125" style="1"/>
    <col min="14568" max="14568" width="4.44140625" style="1" customWidth="1"/>
    <col min="14569" max="14569" width="21.6640625" style="1" customWidth="1"/>
    <col min="14570" max="14570" width="15" style="1" customWidth="1"/>
    <col min="14571" max="14571" width="15.44140625" style="1" customWidth="1"/>
    <col min="14572" max="14572" width="11.5546875" style="1" customWidth="1"/>
    <col min="14573" max="14573" width="7.44140625" style="1" customWidth="1"/>
    <col min="14574" max="14574" width="14.109375" style="1" customWidth="1"/>
    <col min="14575" max="14575" width="10.6640625" style="1" customWidth="1"/>
    <col min="14576" max="14576" width="13.44140625" style="1" customWidth="1"/>
    <col min="14577" max="14577" width="11.44140625" style="1" customWidth="1"/>
    <col min="14578" max="14578" width="15" style="1" customWidth="1"/>
    <col min="14579" max="14579" width="14.5546875" style="1" customWidth="1"/>
    <col min="14580" max="14580" width="10.33203125" style="1"/>
    <col min="14581" max="14581" width="7.44140625" style="1" customWidth="1"/>
    <col min="14582" max="14582" width="12.88671875" style="1" customWidth="1"/>
    <col min="14583" max="14583" width="11.109375" style="1" customWidth="1"/>
    <col min="14584" max="14584" width="14" style="1" customWidth="1"/>
    <col min="14585" max="14585" width="33" style="1" customWidth="1"/>
    <col min="14586" max="14586" width="6.6640625" style="1" customWidth="1"/>
    <col min="14587" max="14587" width="19" style="1" customWidth="1"/>
    <col min="14588" max="14588" width="19.109375" style="1" customWidth="1"/>
    <col min="14589" max="14589" width="21.33203125" style="1" customWidth="1"/>
    <col min="14590" max="14590" width="32.5546875" style="1" customWidth="1"/>
    <col min="14591" max="14591" width="16.88671875" style="1" customWidth="1"/>
    <col min="14592" max="14592" width="16.33203125" style="1" customWidth="1"/>
    <col min="14593" max="14823" width="10.33203125" style="1"/>
    <col min="14824" max="14824" width="4.44140625" style="1" customWidth="1"/>
    <col min="14825" max="14825" width="21.6640625" style="1" customWidth="1"/>
    <col min="14826" max="14826" width="15" style="1" customWidth="1"/>
    <col min="14827" max="14827" width="15.44140625" style="1" customWidth="1"/>
    <col min="14828" max="14828" width="11.5546875" style="1" customWidth="1"/>
    <col min="14829" max="14829" width="7.44140625" style="1" customWidth="1"/>
    <col min="14830" max="14830" width="14.109375" style="1" customWidth="1"/>
    <col min="14831" max="14831" width="10.6640625" style="1" customWidth="1"/>
    <col min="14832" max="14832" width="13.44140625" style="1" customWidth="1"/>
    <col min="14833" max="14833" width="11.44140625" style="1" customWidth="1"/>
    <col min="14834" max="14834" width="15" style="1" customWidth="1"/>
    <col min="14835" max="14835" width="14.5546875" style="1" customWidth="1"/>
    <col min="14836" max="14836" width="10.33203125" style="1"/>
    <col min="14837" max="14837" width="7.44140625" style="1" customWidth="1"/>
    <col min="14838" max="14838" width="12.88671875" style="1" customWidth="1"/>
    <col min="14839" max="14839" width="11.109375" style="1" customWidth="1"/>
    <col min="14840" max="14840" width="14" style="1" customWidth="1"/>
    <col min="14841" max="14841" width="33" style="1" customWidth="1"/>
    <col min="14842" max="14842" width="6.6640625" style="1" customWidth="1"/>
    <col min="14843" max="14843" width="19" style="1" customWidth="1"/>
    <col min="14844" max="14844" width="19.109375" style="1" customWidth="1"/>
    <col min="14845" max="14845" width="21.33203125" style="1" customWidth="1"/>
    <col min="14846" max="14846" width="32.5546875" style="1" customWidth="1"/>
    <col min="14847" max="14847" width="16.88671875" style="1" customWidth="1"/>
    <col min="14848" max="14848" width="16.33203125" style="1" customWidth="1"/>
    <col min="14849" max="15079" width="10.33203125" style="1"/>
    <col min="15080" max="15080" width="4.44140625" style="1" customWidth="1"/>
    <col min="15081" max="15081" width="21.6640625" style="1" customWidth="1"/>
    <col min="15082" max="15082" width="15" style="1" customWidth="1"/>
    <col min="15083" max="15083" width="15.44140625" style="1" customWidth="1"/>
    <col min="15084" max="15084" width="11.5546875" style="1" customWidth="1"/>
    <col min="15085" max="15085" width="7.44140625" style="1" customWidth="1"/>
    <col min="15086" max="15086" width="14.109375" style="1" customWidth="1"/>
    <col min="15087" max="15087" width="10.6640625" style="1" customWidth="1"/>
    <col min="15088" max="15088" width="13.44140625" style="1" customWidth="1"/>
    <col min="15089" max="15089" width="11.44140625" style="1" customWidth="1"/>
    <col min="15090" max="15090" width="15" style="1" customWidth="1"/>
    <col min="15091" max="15091" width="14.5546875" style="1" customWidth="1"/>
    <col min="15092" max="15092" width="10.33203125" style="1"/>
    <col min="15093" max="15093" width="7.44140625" style="1" customWidth="1"/>
    <col min="15094" max="15094" width="12.88671875" style="1" customWidth="1"/>
    <col min="15095" max="15095" width="11.109375" style="1" customWidth="1"/>
    <col min="15096" max="15096" width="14" style="1" customWidth="1"/>
    <col min="15097" max="15097" width="33" style="1" customWidth="1"/>
    <col min="15098" max="15098" width="6.6640625" style="1" customWidth="1"/>
    <col min="15099" max="15099" width="19" style="1" customWidth="1"/>
    <col min="15100" max="15100" width="19.109375" style="1" customWidth="1"/>
    <col min="15101" max="15101" width="21.33203125" style="1" customWidth="1"/>
    <col min="15102" max="15102" width="32.5546875" style="1" customWidth="1"/>
    <col min="15103" max="15103" width="16.88671875" style="1" customWidth="1"/>
    <col min="15104" max="15104" width="16.33203125" style="1" customWidth="1"/>
    <col min="15105" max="15335" width="10.33203125" style="1"/>
    <col min="15336" max="15336" width="4.44140625" style="1" customWidth="1"/>
    <col min="15337" max="15337" width="21.6640625" style="1" customWidth="1"/>
    <col min="15338" max="15338" width="15" style="1" customWidth="1"/>
    <col min="15339" max="15339" width="15.44140625" style="1" customWidth="1"/>
    <col min="15340" max="15340" width="11.5546875" style="1" customWidth="1"/>
    <col min="15341" max="15341" width="7.44140625" style="1" customWidth="1"/>
    <col min="15342" max="15342" width="14.109375" style="1" customWidth="1"/>
    <col min="15343" max="15343" width="10.6640625" style="1" customWidth="1"/>
    <col min="15344" max="15344" width="13.44140625" style="1" customWidth="1"/>
    <col min="15345" max="15345" width="11.44140625" style="1" customWidth="1"/>
    <col min="15346" max="15346" width="15" style="1" customWidth="1"/>
    <col min="15347" max="15347" width="14.5546875" style="1" customWidth="1"/>
    <col min="15348" max="15348" width="10.33203125" style="1"/>
    <col min="15349" max="15349" width="7.44140625" style="1" customWidth="1"/>
    <col min="15350" max="15350" width="12.88671875" style="1" customWidth="1"/>
    <col min="15351" max="15351" width="11.109375" style="1" customWidth="1"/>
    <col min="15352" max="15352" width="14" style="1" customWidth="1"/>
    <col min="15353" max="15353" width="33" style="1" customWidth="1"/>
    <col min="15354" max="15354" width="6.6640625" style="1" customWidth="1"/>
    <col min="15355" max="15355" width="19" style="1" customWidth="1"/>
    <col min="15356" max="15356" width="19.109375" style="1" customWidth="1"/>
    <col min="15357" max="15357" width="21.33203125" style="1" customWidth="1"/>
    <col min="15358" max="15358" width="32.5546875" style="1" customWidth="1"/>
    <col min="15359" max="15359" width="16.88671875" style="1" customWidth="1"/>
    <col min="15360" max="15360" width="16.33203125" style="1" customWidth="1"/>
    <col min="15361" max="15591" width="10.33203125" style="1"/>
    <col min="15592" max="15592" width="4.44140625" style="1" customWidth="1"/>
    <col min="15593" max="15593" width="21.6640625" style="1" customWidth="1"/>
    <col min="15594" max="15594" width="15" style="1" customWidth="1"/>
    <col min="15595" max="15595" width="15.44140625" style="1" customWidth="1"/>
    <col min="15596" max="15596" width="11.5546875" style="1" customWidth="1"/>
    <col min="15597" max="15597" width="7.44140625" style="1" customWidth="1"/>
    <col min="15598" max="15598" width="14.109375" style="1" customWidth="1"/>
    <col min="15599" max="15599" width="10.6640625" style="1" customWidth="1"/>
    <col min="15600" max="15600" width="13.44140625" style="1" customWidth="1"/>
    <col min="15601" max="15601" width="11.44140625" style="1" customWidth="1"/>
    <col min="15602" max="15602" width="15" style="1" customWidth="1"/>
    <col min="15603" max="15603" width="14.5546875" style="1" customWidth="1"/>
    <col min="15604" max="15604" width="10.33203125" style="1"/>
    <col min="15605" max="15605" width="7.44140625" style="1" customWidth="1"/>
    <col min="15606" max="15606" width="12.88671875" style="1" customWidth="1"/>
    <col min="15607" max="15607" width="11.109375" style="1" customWidth="1"/>
    <col min="15608" max="15608" width="14" style="1" customWidth="1"/>
    <col min="15609" max="15609" width="33" style="1" customWidth="1"/>
    <col min="15610" max="15610" width="6.6640625" style="1" customWidth="1"/>
    <col min="15611" max="15611" width="19" style="1" customWidth="1"/>
    <col min="15612" max="15612" width="19.109375" style="1" customWidth="1"/>
    <col min="15613" max="15613" width="21.33203125" style="1" customWidth="1"/>
    <col min="15614" max="15614" width="32.5546875" style="1" customWidth="1"/>
    <col min="15615" max="15615" width="16.88671875" style="1" customWidth="1"/>
    <col min="15616" max="15616" width="16.33203125" style="1" customWidth="1"/>
    <col min="15617" max="15847" width="10.33203125" style="1"/>
    <col min="15848" max="15848" width="4.44140625" style="1" customWidth="1"/>
    <col min="15849" max="15849" width="21.6640625" style="1" customWidth="1"/>
    <col min="15850" max="15850" width="15" style="1" customWidth="1"/>
    <col min="15851" max="15851" width="15.44140625" style="1" customWidth="1"/>
    <col min="15852" max="15852" width="11.5546875" style="1" customWidth="1"/>
    <col min="15853" max="15853" width="7.44140625" style="1" customWidth="1"/>
    <col min="15854" max="15854" width="14.109375" style="1" customWidth="1"/>
    <col min="15855" max="15855" width="10.6640625" style="1" customWidth="1"/>
    <col min="15856" max="15856" width="13.44140625" style="1" customWidth="1"/>
    <col min="15857" max="15857" width="11.44140625" style="1" customWidth="1"/>
    <col min="15858" max="15858" width="15" style="1" customWidth="1"/>
    <col min="15859" max="15859" width="14.5546875" style="1" customWidth="1"/>
    <col min="15860" max="15860" width="10.33203125" style="1"/>
    <col min="15861" max="15861" width="7.44140625" style="1" customWidth="1"/>
    <col min="15862" max="15862" width="12.88671875" style="1" customWidth="1"/>
    <col min="15863" max="15863" width="11.109375" style="1" customWidth="1"/>
    <col min="15864" max="15864" width="14" style="1" customWidth="1"/>
    <col min="15865" max="15865" width="33" style="1" customWidth="1"/>
    <col min="15866" max="15866" width="6.6640625" style="1" customWidth="1"/>
    <col min="15867" max="15867" width="19" style="1" customWidth="1"/>
    <col min="15868" max="15868" width="19.109375" style="1" customWidth="1"/>
    <col min="15869" max="15869" width="21.33203125" style="1" customWidth="1"/>
    <col min="15870" max="15870" width="32.5546875" style="1" customWidth="1"/>
    <col min="15871" max="15871" width="16.88671875" style="1" customWidth="1"/>
    <col min="15872" max="15872" width="16.33203125" style="1" customWidth="1"/>
    <col min="15873" max="16103" width="10.33203125" style="1"/>
    <col min="16104" max="16104" width="4.44140625" style="1" customWidth="1"/>
    <col min="16105" max="16105" width="21.6640625" style="1" customWidth="1"/>
    <col min="16106" max="16106" width="15" style="1" customWidth="1"/>
    <col min="16107" max="16107" width="15.44140625" style="1" customWidth="1"/>
    <col min="16108" max="16108" width="11.5546875" style="1" customWidth="1"/>
    <col min="16109" max="16109" width="7.44140625" style="1" customWidth="1"/>
    <col min="16110" max="16110" width="14.109375" style="1" customWidth="1"/>
    <col min="16111" max="16111" width="10.6640625" style="1" customWidth="1"/>
    <col min="16112" max="16112" width="13.44140625" style="1" customWidth="1"/>
    <col min="16113" max="16113" width="11.44140625" style="1" customWidth="1"/>
    <col min="16114" max="16114" width="15" style="1" customWidth="1"/>
    <col min="16115" max="16115" width="14.5546875" style="1" customWidth="1"/>
    <col min="16116" max="16116" width="10.33203125" style="1"/>
    <col min="16117" max="16117" width="7.44140625" style="1" customWidth="1"/>
    <col min="16118" max="16118" width="12.88671875" style="1" customWidth="1"/>
    <col min="16119" max="16119" width="11.109375" style="1" customWidth="1"/>
    <col min="16120" max="16120" width="14" style="1" customWidth="1"/>
    <col min="16121" max="16121" width="33" style="1" customWidth="1"/>
    <col min="16122" max="16122" width="6.6640625" style="1" customWidth="1"/>
    <col min="16123" max="16123" width="19" style="1" customWidth="1"/>
    <col min="16124" max="16124" width="19.109375" style="1" customWidth="1"/>
    <col min="16125" max="16125" width="21.33203125" style="1" customWidth="1"/>
    <col min="16126" max="16126" width="32.5546875" style="1" customWidth="1"/>
    <col min="16127" max="16127" width="16.88671875" style="1" customWidth="1"/>
    <col min="16128" max="16128" width="16.33203125" style="1" customWidth="1"/>
    <col min="16129" max="16384" width="10.33203125" style="1"/>
  </cols>
  <sheetData>
    <row r="1" spans="1:9" ht="24.6">
      <c r="A1" s="726" t="s">
        <v>0</v>
      </c>
      <c r="B1" s="726"/>
      <c r="C1" s="726"/>
      <c r="D1" s="726"/>
      <c r="E1" s="726"/>
      <c r="F1" s="726"/>
    </row>
    <row r="2" spans="1:9" ht="24.6">
      <c r="A2" s="726" t="s">
        <v>1</v>
      </c>
      <c r="B2" s="726"/>
      <c r="C2" s="726"/>
      <c r="D2" s="726"/>
      <c r="E2" s="726"/>
      <c r="F2" s="726"/>
    </row>
    <row r="3" spans="1:9" ht="24.6">
      <c r="A3" s="727" t="s">
        <v>457</v>
      </c>
      <c r="B3" s="727"/>
      <c r="C3" s="727"/>
      <c r="D3" s="727"/>
      <c r="E3" s="727"/>
      <c r="F3" s="727"/>
    </row>
    <row r="4" spans="1:9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9" ht="24.6">
      <c r="A5" s="3"/>
      <c r="B5" s="13"/>
      <c r="C5" s="3"/>
      <c r="D5" s="9" t="s">
        <v>21</v>
      </c>
      <c r="E5" s="9" t="s">
        <v>22</v>
      </c>
      <c r="F5" s="7"/>
    </row>
    <row r="6" spans="1:9" ht="24.6">
      <c r="A6" s="3"/>
      <c r="B6" s="3"/>
      <c r="C6" s="3"/>
      <c r="D6" s="18"/>
      <c r="E6" s="18"/>
      <c r="F6" s="28" t="s">
        <v>26</v>
      </c>
    </row>
    <row r="7" spans="1:9" ht="24.6">
      <c r="A7" s="29"/>
      <c r="B7" s="45" t="s">
        <v>474</v>
      </c>
      <c r="C7" s="29"/>
      <c r="D7" s="46"/>
      <c r="E7" s="28"/>
      <c r="F7" s="57"/>
    </row>
    <row r="8" spans="1:9" ht="24.6">
      <c r="A8" s="25">
        <v>1</v>
      </c>
      <c r="B8" s="156" t="s">
        <v>73</v>
      </c>
      <c r="C8" s="624">
        <v>84282</v>
      </c>
      <c r="D8" s="621">
        <v>25355</v>
      </c>
      <c r="E8" s="622">
        <v>1</v>
      </c>
      <c r="F8" s="724">
        <v>7290</v>
      </c>
    </row>
    <row r="9" spans="1:9" ht="24.6">
      <c r="A9" s="25">
        <v>2</v>
      </c>
      <c r="B9" s="156" t="s">
        <v>105</v>
      </c>
      <c r="C9" s="156" t="s">
        <v>104</v>
      </c>
      <c r="D9" s="621">
        <v>25355</v>
      </c>
      <c r="E9" s="622">
        <v>1</v>
      </c>
      <c r="F9" s="725">
        <v>5000</v>
      </c>
    </row>
    <row r="10" spans="1:9" ht="24.6">
      <c r="A10" s="25">
        <v>3</v>
      </c>
      <c r="B10" s="156" t="s">
        <v>105</v>
      </c>
      <c r="C10" s="156" t="s">
        <v>104</v>
      </c>
      <c r="D10" s="621">
        <v>25355</v>
      </c>
      <c r="E10" s="622">
        <v>1</v>
      </c>
      <c r="F10" s="725">
        <v>4650</v>
      </c>
    </row>
    <row r="11" spans="1:9" ht="25.2" thickBot="1">
      <c r="A11" s="29"/>
      <c r="B11" s="25" t="s">
        <v>26</v>
      </c>
      <c r="C11" s="74"/>
      <c r="D11" s="78"/>
      <c r="E11" s="135"/>
      <c r="F11" s="699">
        <v>16940</v>
      </c>
      <c r="H11" s="175">
        <f>SUM(F8:F10)</f>
        <v>16940</v>
      </c>
      <c r="I11" s="1" t="s">
        <v>269</v>
      </c>
    </row>
    <row r="12" spans="1:9" ht="24.75" customHeight="1" thickTop="1">
      <c r="A12" s="14"/>
      <c r="B12" s="173"/>
      <c r="F12" s="174"/>
    </row>
    <row r="13" spans="1:9" ht="24.75" customHeight="1">
      <c r="A13" s="731" t="s">
        <v>211</v>
      </c>
      <c r="B13" s="732"/>
      <c r="C13" s="732"/>
      <c r="D13" s="732"/>
      <c r="E13" s="732"/>
      <c r="F13" s="732"/>
    </row>
    <row r="14" spans="1:9" ht="24.75" customHeight="1">
      <c r="A14" s="46">
        <v>1</v>
      </c>
      <c r="B14" s="180" t="s">
        <v>32</v>
      </c>
      <c r="C14" s="46" t="s">
        <v>104</v>
      </c>
      <c r="D14" s="46" t="s">
        <v>453</v>
      </c>
      <c r="E14" s="28">
        <v>11</v>
      </c>
      <c r="F14" s="57">
        <v>55800</v>
      </c>
    </row>
    <row r="15" spans="1:9" ht="24" customHeight="1">
      <c r="A15" s="25">
        <v>2</v>
      </c>
      <c r="B15" s="29" t="s">
        <v>215</v>
      </c>
      <c r="C15" s="29" t="s">
        <v>104</v>
      </c>
      <c r="D15" s="46" t="s">
        <v>453</v>
      </c>
      <c r="E15" s="25">
        <v>11</v>
      </c>
      <c r="F15" s="57">
        <v>69000</v>
      </c>
    </row>
    <row r="16" spans="1:9" ht="24" customHeight="1">
      <c r="A16" s="4">
        <v>3</v>
      </c>
      <c r="B16" s="53" t="s">
        <v>68</v>
      </c>
      <c r="C16" s="53">
        <v>268</v>
      </c>
      <c r="D16" s="109" t="s">
        <v>454</v>
      </c>
      <c r="E16" s="4">
        <v>26</v>
      </c>
      <c r="F16" s="57">
        <v>32805</v>
      </c>
    </row>
    <row r="17" spans="1:8" ht="24.75" customHeight="1" thickBot="1">
      <c r="A17" s="34"/>
      <c r="B17" s="34" t="s">
        <v>26</v>
      </c>
      <c r="C17" s="74"/>
      <c r="D17" s="74"/>
      <c r="E17" s="34"/>
      <c r="F17" s="110">
        <v>157605</v>
      </c>
      <c r="H17" s="175">
        <f>SUM(F14:F16)</f>
        <v>157605</v>
      </c>
    </row>
    <row r="18" spans="1:8" ht="24.75" customHeight="1" thickTop="1">
      <c r="A18" s="14"/>
      <c r="B18" s="173"/>
      <c r="F18" s="174"/>
    </row>
    <row r="19" spans="1:8" ht="24.75" customHeight="1">
      <c r="A19" s="4"/>
      <c r="B19" s="188" t="s">
        <v>217</v>
      </c>
      <c r="C19" s="53"/>
      <c r="D19" s="53"/>
      <c r="E19" s="4"/>
      <c r="F19" s="127"/>
    </row>
    <row r="20" spans="1:8" ht="24.75" customHeight="1">
      <c r="A20" s="199">
        <v>1</v>
      </c>
      <c r="B20" s="200" t="s">
        <v>85</v>
      </c>
      <c r="C20" s="203" t="s">
        <v>86</v>
      </c>
      <c r="D20" s="203" t="s">
        <v>229</v>
      </c>
      <c r="E20" s="199">
        <v>7</v>
      </c>
      <c r="F20" s="715">
        <v>30800</v>
      </c>
    </row>
    <row r="21" spans="1:8" s="96" customFormat="1" ht="24.75" customHeight="1">
      <c r="A21" s="190"/>
      <c r="B21" s="191" t="s">
        <v>232</v>
      </c>
      <c r="C21" s="192" t="s">
        <v>194</v>
      </c>
      <c r="D21" s="192"/>
      <c r="E21" s="190"/>
      <c r="F21" s="715">
        <v>64400</v>
      </c>
    </row>
    <row r="22" spans="1:8" ht="24.6">
      <c r="A22" s="199">
        <v>2</v>
      </c>
      <c r="B22" s="203" t="s">
        <v>32</v>
      </c>
      <c r="C22" s="222" t="s">
        <v>104</v>
      </c>
      <c r="D22" s="199" t="s">
        <v>234</v>
      </c>
      <c r="E22" s="199">
        <v>4</v>
      </c>
      <c r="F22" s="715">
        <v>18600</v>
      </c>
    </row>
    <row r="23" spans="1:8" ht="24.6">
      <c r="A23" s="199">
        <v>3</v>
      </c>
      <c r="B23" s="203" t="s">
        <v>215</v>
      </c>
      <c r="C23" s="222" t="s">
        <v>104</v>
      </c>
      <c r="D23" s="199" t="s">
        <v>236</v>
      </c>
      <c r="E23" s="199">
        <v>4</v>
      </c>
      <c r="F23" s="715">
        <v>23000</v>
      </c>
    </row>
    <row r="24" spans="1:8" ht="24.75" customHeight="1" thickBot="1">
      <c r="A24" s="34"/>
      <c r="B24" s="239"/>
      <c r="C24" s="74"/>
      <c r="D24" s="110"/>
      <c r="E24" s="240"/>
      <c r="F24" s="171">
        <v>136800</v>
      </c>
      <c r="H24" s="175">
        <f>SUM(F20:F23)</f>
        <v>136800</v>
      </c>
    </row>
    <row r="25" spans="1:8" ht="25.2" thickTop="1">
      <c r="A25" s="46"/>
      <c r="B25" s="161" t="s">
        <v>238</v>
      </c>
      <c r="C25" s="46"/>
      <c r="D25" s="46"/>
      <c r="E25" s="28"/>
      <c r="F25" s="46"/>
    </row>
    <row r="26" spans="1:8" ht="24.6">
      <c r="A26" s="25">
        <v>1</v>
      </c>
      <c r="B26" s="53" t="s">
        <v>239</v>
      </c>
      <c r="C26" s="109"/>
      <c r="D26" s="109" t="s">
        <v>240</v>
      </c>
      <c r="E26" s="115"/>
      <c r="F26" s="162">
        <v>0</v>
      </c>
    </row>
    <row r="27" spans="1:8" ht="24.6">
      <c r="A27" s="25"/>
      <c r="B27" s="29" t="s">
        <v>241</v>
      </c>
      <c r="C27" s="29"/>
      <c r="D27" s="29" t="s">
        <v>242</v>
      </c>
      <c r="E27" s="25"/>
      <c r="F27" s="697">
        <v>133707.98000000001</v>
      </c>
    </row>
    <row r="28" spans="1:8" ht="24.6">
      <c r="A28" s="25"/>
      <c r="B28" s="29" t="s">
        <v>244</v>
      </c>
      <c r="C28" s="29"/>
      <c r="D28" s="29"/>
      <c r="E28" s="25"/>
      <c r="F28" s="697">
        <v>73800</v>
      </c>
    </row>
    <row r="29" spans="1:8" ht="24.6">
      <c r="A29" s="25"/>
      <c r="B29" s="29" t="s">
        <v>245</v>
      </c>
      <c r="C29" s="29"/>
      <c r="D29" s="29"/>
      <c r="E29" s="25"/>
      <c r="F29" s="697">
        <v>7596.82</v>
      </c>
    </row>
    <row r="30" spans="1:8" ht="24.6">
      <c r="A30" s="25"/>
      <c r="B30" s="29" t="s">
        <v>246</v>
      </c>
      <c r="C30" s="29"/>
      <c r="D30" s="53"/>
      <c r="E30" s="4"/>
      <c r="F30" s="49"/>
    </row>
    <row r="31" spans="1:8" ht="24.6">
      <c r="A31" s="4"/>
      <c r="B31" s="53"/>
      <c r="C31" s="273" t="s">
        <v>247</v>
      </c>
      <c r="D31" s="53"/>
      <c r="E31" s="4"/>
      <c r="F31" s="162"/>
    </row>
    <row r="32" spans="1:8" s="96" customFormat="1" ht="24.75" customHeight="1">
      <c r="A32" s="86">
        <v>2</v>
      </c>
      <c r="B32" s="274" t="s">
        <v>68</v>
      </c>
      <c r="C32" s="87">
        <v>268</v>
      </c>
      <c r="D32" s="86" t="s">
        <v>378</v>
      </c>
      <c r="E32" s="86">
        <v>80</v>
      </c>
      <c r="F32" s="92">
        <v>133752.76</v>
      </c>
    </row>
    <row r="33" spans="1:10" ht="24.75" customHeight="1">
      <c r="A33" s="25"/>
      <c r="B33" s="119" t="s">
        <v>221</v>
      </c>
      <c r="C33" s="278" t="s">
        <v>222</v>
      </c>
      <c r="D33" s="29"/>
      <c r="E33" s="25" t="s">
        <v>172</v>
      </c>
      <c r="F33" s="697">
        <v>19700</v>
      </c>
    </row>
    <row r="34" spans="1:10" ht="24.75" customHeight="1">
      <c r="A34" s="25"/>
      <c r="B34" s="278"/>
      <c r="C34" s="278" t="s">
        <v>223</v>
      </c>
      <c r="D34" s="29"/>
      <c r="E34" s="25" t="s">
        <v>172</v>
      </c>
      <c r="F34" s="697">
        <v>19700</v>
      </c>
    </row>
    <row r="35" spans="1:10" ht="24.75" customHeight="1">
      <c r="A35" s="25"/>
      <c r="B35" s="278"/>
      <c r="C35" s="278" t="s">
        <v>224</v>
      </c>
      <c r="D35" s="29"/>
      <c r="E35" s="25" t="s">
        <v>172</v>
      </c>
      <c r="F35" s="697">
        <v>19700</v>
      </c>
    </row>
    <row r="36" spans="1:10" ht="24.75" customHeight="1">
      <c r="A36" s="25">
        <v>3</v>
      </c>
      <c r="B36" s="119" t="s">
        <v>225</v>
      </c>
      <c r="C36" s="29"/>
      <c r="D36" s="25" t="s">
        <v>226</v>
      </c>
      <c r="E36" s="25">
        <v>88</v>
      </c>
      <c r="F36" s="697">
        <v>304935.7</v>
      </c>
    </row>
    <row r="37" spans="1:10" ht="25.2" thickBot="1">
      <c r="A37" s="25"/>
      <c r="B37" s="29"/>
      <c r="C37" s="29"/>
      <c r="D37" s="74"/>
      <c r="E37" s="34"/>
      <c r="F37" s="171"/>
    </row>
    <row r="38" spans="1:10" s="249" customFormat="1" ht="25.8" thickTop="1" thickBot="1">
      <c r="A38" s="134"/>
      <c r="B38" s="246" t="s">
        <v>26</v>
      </c>
      <c r="C38" s="103"/>
      <c r="D38" s="103"/>
      <c r="E38" s="247"/>
      <c r="F38" s="103">
        <v>712893.26</v>
      </c>
      <c r="H38" s="249">
        <f>SUM(F26:F36)</f>
        <v>712893.26</v>
      </c>
    </row>
    <row r="39" spans="1:10" ht="25.8" thickTop="1" thickBot="1">
      <c r="A39" s="29"/>
      <c r="B39" s="25" t="s">
        <v>248</v>
      </c>
      <c r="C39" s="64"/>
      <c r="D39" s="63"/>
      <c r="E39" s="105"/>
      <c r="F39" s="63">
        <v>1024238.26</v>
      </c>
      <c r="I39" s="260">
        <f>SUM(H11:H38)</f>
        <v>1024238.26</v>
      </c>
      <c r="J39" s="1" t="s">
        <v>248</v>
      </c>
    </row>
    <row r="40" spans="1:10" ht="25.2" thickTop="1"/>
    <row r="41" spans="1:10" ht="24.6">
      <c r="F41" s="249"/>
    </row>
    <row r="42" spans="1:10" ht="24.6">
      <c r="F42" s="249"/>
    </row>
    <row r="43" spans="1:10" ht="24.6">
      <c r="F43" s="249"/>
    </row>
    <row r="44" spans="1:10" ht="24.6"/>
    <row r="45" spans="1:10" ht="24.6"/>
    <row r="46" spans="1:10" ht="24.6"/>
    <row r="47" spans="1:10" ht="24.6"/>
    <row r="48" spans="1:10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</sheetData>
  <mergeCells count="5">
    <mergeCell ref="A1:F1"/>
    <mergeCell ref="A2:F2"/>
    <mergeCell ref="A3:F3"/>
    <mergeCell ref="D4:F4"/>
    <mergeCell ref="A13:F13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6734-D123-45B6-955B-1DC0F820D6E7}">
  <sheetPr>
    <tabColor rgb="FFFFC000"/>
  </sheetPr>
  <dimension ref="A1:O826"/>
  <sheetViews>
    <sheetView zoomScale="83" zoomScaleNormal="83" zoomScaleSheetLayoutView="87" workbookViewId="0">
      <pane ySplit="6" topLeftCell="A37" activePane="bottomLeft" state="frozen"/>
      <selection activeCell="I147" sqref="I147"/>
      <selection pane="bottomLeft" activeCell="K49" sqref="K49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21.33203125" style="1" customWidth="1"/>
    <col min="8" max="8" width="32.5546875" style="1" customWidth="1"/>
    <col min="9" max="9" width="16.88671875" style="1" customWidth="1"/>
    <col min="10" max="10" width="16.33203125" style="1" customWidth="1"/>
    <col min="11" max="241" width="10.33203125" style="1"/>
    <col min="242" max="242" width="4.44140625" style="1" customWidth="1"/>
    <col min="243" max="243" width="21.6640625" style="1" customWidth="1"/>
    <col min="244" max="244" width="15" style="1" customWidth="1"/>
    <col min="245" max="245" width="15.44140625" style="1" customWidth="1"/>
    <col min="246" max="246" width="11.5546875" style="1" customWidth="1"/>
    <col min="247" max="247" width="7.44140625" style="1" customWidth="1"/>
    <col min="248" max="248" width="14.109375" style="1" customWidth="1"/>
    <col min="249" max="249" width="10.6640625" style="1" customWidth="1"/>
    <col min="250" max="250" width="13.44140625" style="1" customWidth="1"/>
    <col min="251" max="251" width="11.44140625" style="1" customWidth="1"/>
    <col min="252" max="252" width="15" style="1" customWidth="1"/>
    <col min="253" max="253" width="14.5546875" style="1" customWidth="1"/>
    <col min="254" max="254" width="10.33203125" style="1"/>
    <col min="255" max="255" width="7.44140625" style="1" customWidth="1"/>
    <col min="256" max="256" width="12.88671875" style="1" customWidth="1"/>
    <col min="257" max="257" width="11.109375" style="1" customWidth="1"/>
    <col min="258" max="258" width="14" style="1" customWidth="1"/>
    <col min="259" max="259" width="33" style="1" customWidth="1"/>
    <col min="260" max="260" width="6.6640625" style="1" customWidth="1"/>
    <col min="261" max="261" width="19" style="1" customWidth="1"/>
    <col min="262" max="262" width="19.109375" style="1" customWidth="1"/>
    <col min="263" max="263" width="21.33203125" style="1" customWidth="1"/>
    <col min="264" max="264" width="32.5546875" style="1" customWidth="1"/>
    <col min="265" max="265" width="16.88671875" style="1" customWidth="1"/>
    <col min="266" max="266" width="16.33203125" style="1" customWidth="1"/>
    <col min="267" max="497" width="10.33203125" style="1"/>
    <col min="498" max="498" width="4.44140625" style="1" customWidth="1"/>
    <col min="499" max="499" width="21.6640625" style="1" customWidth="1"/>
    <col min="500" max="500" width="15" style="1" customWidth="1"/>
    <col min="501" max="501" width="15.44140625" style="1" customWidth="1"/>
    <col min="502" max="502" width="11.5546875" style="1" customWidth="1"/>
    <col min="503" max="503" width="7.44140625" style="1" customWidth="1"/>
    <col min="504" max="504" width="14.109375" style="1" customWidth="1"/>
    <col min="505" max="505" width="10.6640625" style="1" customWidth="1"/>
    <col min="506" max="506" width="13.44140625" style="1" customWidth="1"/>
    <col min="507" max="507" width="11.44140625" style="1" customWidth="1"/>
    <col min="508" max="508" width="15" style="1" customWidth="1"/>
    <col min="509" max="509" width="14.5546875" style="1" customWidth="1"/>
    <col min="510" max="510" width="10.33203125" style="1"/>
    <col min="511" max="511" width="7.44140625" style="1" customWidth="1"/>
    <col min="512" max="512" width="12.88671875" style="1" customWidth="1"/>
    <col min="513" max="513" width="11.109375" style="1" customWidth="1"/>
    <col min="514" max="514" width="14" style="1" customWidth="1"/>
    <col min="515" max="515" width="33" style="1" customWidth="1"/>
    <col min="516" max="516" width="6.6640625" style="1" customWidth="1"/>
    <col min="517" max="517" width="19" style="1" customWidth="1"/>
    <col min="518" max="518" width="19.109375" style="1" customWidth="1"/>
    <col min="519" max="519" width="21.33203125" style="1" customWidth="1"/>
    <col min="520" max="520" width="32.5546875" style="1" customWidth="1"/>
    <col min="521" max="521" width="16.88671875" style="1" customWidth="1"/>
    <col min="522" max="522" width="16.33203125" style="1" customWidth="1"/>
    <col min="523" max="753" width="10.33203125" style="1"/>
    <col min="754" max="754" width="4.44140625" style="1" customWidth="1"/>
    <col min="755" max="755" width="21.6640625" style="1" customWidth="1"/>
    <col min="756" max="756" width="15" style="1" customWidth="1"/>
    <col min="757" max="757" width="15.44140625" style="1" customWidth="1"/>
    <col min="758" max="758" width="11.5546875" style="1" customWidth="1"/>
    <col min="759" max="759" width="7.44140625" style="1" customWidth="1"/>
    <col min="760" max="760" width="14.109375" style="1" customWidth="1"/>
    <col min="761" max="761" width="10.6640625" style="1" customWidth="1"/>
    <col min="762" max="762" width="13.44140625" style="1" customWidth="1"/>
    <col min="763" max="763" width="11.44140625" style="1" customWidth="1"/>
    <col min="764" max="764" width="15" style="1" customWidth="1"/>
    <col min="765" max="765" width="14.5546875" style="1" customWidth="1"/>
    <col min="766" max="766" width="10.33203125" style="1"/>
    <col min="767" max="767" width="7.44140625" style="1" customWidth="1"/>
    <col min="768" max="768" width="12.88671875" style="1" customWidth="1"/>
    <col min="769" max="769" width="11.109375" style="1" customWidth="1"/>
    <col min="770" max="770" width="14" style="1" customWidth="1"/>
    <col min="771" max="771" width="33" style="1" customWidth="1"/>
    <col min="772" max="772" width="6.6640625" style="1" customWidth="1"/>
    <col min="773" max="773" width="19" style="1" customWidth="1"/>
    <col min="774" max="774" width="19.109375" style="1" customWidth="1"/>
    <col min="775" max="775" width="21.33203125" style="1" customWidth="1"/>
    <col min="776" max="776" width="32.5546875" style="1" customWidth="1"/>
    <col min="777" max="777" width="16.88671875" style="1" customWidth="1"/>
    <col min="778" max="778" width="16.33203125" style="1" customWidth="1"/>
    <col min="779" max="1009" width="10.33203125" style="1"/>
    <col min="1010" max="1010" width="4.44140625" style="1" customWidth="1"/>
    <col min="1011" max="1011" width="21.6640625" style="1" customWidth="1"/>
    <col min="1012" max="1012" width="15" style="1" customWidth="1"/>
    <col min="1013" max="1013" width="15.44140625" style="1" customWidth="1"/>
    <col min="1014" max="1014" width="11.5546875" style="1" customWidth="1"/>
    <col min="1015" max="1015" width="7.44140625" style="1" customWidth="1"/>
    <col min="1016" max="1016" width="14.109375" style="1" customWidth="1"/>
    <col min="1017" max="1017" width="10.6640625" style="1" customWidth="1"/>
    <col min="1018" max="1018" width="13.44140625" style="1" customWidth="1"/>
    <col min="1019" max="1019" width="11.44140625" style="1" customWidth="1"/>
    <col min="1020" max="1020" width="15" style="1" customWidth="1"/>
    <col min="1021" max="1021" width="14.5546875" style="1" customWidth="1"/>
    <col min="1022" max="1022" width="10.33203125" style="1"/>
    <col min="1023" max="1023" width="7.44140625" style="1" customWidth="1"/>
    <col min="1024" max="1024" width="12.88671875" style="1" customWidth="1"/>
    <col min="1025" max="1025" width="11.109375" style="1" customWidth="1"/>
    <col min="1026" max="1026" width="14" style="1" customWidth="1"/>
    <col min="1027" max="1027" width="33" style="1" customWidth="1"/>
    <col min="1028" max="1028" width="6.6640625" style="1" customWidth="1"/>
    <col min="1029" max="1029" width="19" style="1" customWidth="1"/>
    <col min="1030" max="1030" width="19.109375" style="1" customWidth="1"/>
    <col min="1031" max="1031" width="21.33203125" style="1" customWidth="1"/>
    <col min="1032" max="1032" width="32.5546875" style="1" customWidth="1"/>
    <col min="1033" max="1033" width="16.88671875" style="1" customWidth="1"/>
    <col min="1034" max="1034" width="16.33203125" style="1" customWidth="1"/>
    <col min="1035" max="1265" width="10.33203125" style="1"/>
    <col min="1266" max="1266" width="4.44140625" style="1" customWidth="1"/>
    <col min="1267" max="1267" width="21.6640625" style="1" customWidth="1"/>
    <col min="1268" max="1268" width="15" style="1" customWidth="1"/>
    <col min="1269" max="1269" width="15.44140625" style="1" customWidth="1"/>
    <col min="1270" max="1270" width="11.5546875" style="1" customWidth="1"/>
    <col min="1271" max="1271" width="7.44140625" style="1" customWidth="1"/>
    <col min="1272" max="1272" width="14.109375" style="1" customWidth="1"/>
    <col min="1273" max="1273" width="10.6640625" style="1" customWidth="1"/>
    <col min="1274" max="1274" width="13.44140625" style="1" customWidth="1"/>
    <col min="1275" max="1275" width="11.44140625" style="1" customWidth="1"/>
    <col min="1276" max="1276" width="15" style="1" customWidth="1"/>
    <col min="1277" max="1277" width="14.5546875" style="1" customWidth="1"/>
    <col min="1278" max="1278" width="10.33203125" style="1"/>
    <col min="1279" max="1279" width="7.44140625" style="1" customWidth="1"/>
    <col min="1280" max="1280" width="12.88671875" style="1" customWidth="1"/>
    <col min="1281" max="1281" width="11.109375" style="1" customWidth="1"/>
    <col min="1282" max="1282" width="14" style="1" customWidth="1"/>
    <col min="1283" max="1283" width="33" style="1" customWidth="1"/>
    <col min="1284" max="1284" width="6.6640625" style="1" customWidth="1"/>
    <col min="1285" max="1285" width="19" style="1" customWidth="1"/>
    <col min="1286" max="1286" width="19.109375" style="1" customWidth="1"/>
    <col min="1287" max="1287" width="21.33203125" style="1" customWidth="1"/>
    <col min="1288" max="1288" width="32.5546875" style="1" customWidth="1"/>
    <col min="1289" max="1289" width="16.88671875" style="1" customWidth="1"/>
    <col min="1290" max="1290" width="16.33203125" style="1" customWidth="1"/>
    <col min="1291" max="1521" width="10.33203125" style="1"/>
    <col min="1522" max="1522" width="4.44140625" style="1" customWidth="1"/>
    <col min="1523" max="1523" width="21.6640625" style="1" customWidth="1"/>
    <col min="1524" max="1524" width="15" style="1" customWidth="1"/>
    <col min="1525" max="1525" width="15.44140625" style="1" customWidth="1"/>
    <col min="1526" max="1526" width="11.5546875" style="1" customWidth="1"/>
    <col min="1527" max="1527" width="7.44140625" style="1" customWidth="1"/>
    <col min="1528" max="1528" width="14.109375" style="1" customWidth="1"/>
    <col min="1529" max="1529" width="10.6640625" style="1" customWidth="1"/>
    <col min="1530" max="1530" width="13.44140625" style="1" customWidth="1"/>
    <col min="1531" max="1531" width="11.44140625" style="1" customWidth="1"/>
    <col min="1532" max="1532" width="15" style="1" customWidth="1"/>
    <col min="1533" max="1533" width="14.5546875" style="1" customWidth="1"/>
    <col min="1534" max="1534" width="10.33203125" style="1"/>
    <col min="1535" max="1535" width="7.44140625" style="1" customWidth="1"/>
    <col min="1536" max="1536" width="12.88671875" style="1" customWidth="1"/>
    <col min="1537" max="1537" width="11.109375" style="1" customWidth="1"/>
    <col min="1538" max="1538" width="14" style="1" customWidth="1"/>
    <col min="1539" max="1539" width="33" style="1" customWidth="1"/>
    <col min="1540" max="1540" width="6.6640625" style="1" customWidth="1"/>
    <col min="1541" max="1541" width="19" style="1" customWidth="1"/>
    <col min="1542" max="1542" width="19.109375" style="1" customWidth="1"/>
    <col min="1543" max="1543" width="21.33203125" style="1" customWidth="1"/>
    <col min="1544" max="1544" width="32.5546875" style="1" customWidth="1"/>
    <col min="1545" max="1545" width="16.88671875" style="1" customWidth="1"/>
    <col min="1546" max="1546" width="16.33203125" style="1" customWidth="1"/>
    <col min="1547" max="1777" width="10.33203125" style="1"/>
    <col min="1778" max="1778" width="4.44140625" style="1" customWidth="1"/>
    <col min="1779" max="1779" width="21.6640625" style="1" customWidth="1"/>
    <col min="1780" max="1780" width="15" style="1" customWidth="1"/>
    <col min="1781" max="1781" width="15.44140625" style="1" customWidth="1"/>
    <col min="1782" max="1782" width="11.5546875" style="1" customWidth="1"/>
    <col min="1783" max="1783" width="7.44140625" style="1" customWidth="1"/>
    <col min="1784" max="1784" width="14.109375" style="1" customWidth="1"/>
    <col min="1785" max="1785" width="10.6640625" style="1" customWidth="1"/>
    <col min="1786" max="1786" width="13.44140625" style="1" customWidth="1"/>
    <col min="1787" max="1787" width="11.44140625" style="1" customWidth="1"/>
    <col min="1788" max="1788" width="15" style="1" customWidth="1"/>
    <col min="1789" max="1789" width="14.5546875" style="1" customWidth="1"/>
    <col min="1790" max="1790" width="10.33203125" style="1"/>
    <col min="1791" max="1791" width="7.44140625" style="1" customWidth="1"/>
    <col min="1792" max="1792" width="12.88671875" style="1" customWidth="1"/>
    <col min="1793" max="1793" width="11.109375" style="1" customWidth="1"/>
    <col min="1794" max="1794" width="14" style="1" customWidth="1"/>
    <col min="1795" max="1795" width="33" style="1" customWidth="1"/>
    <col min="1796" max="1796" width="6.6640625" style="1" customWidth="1"/>
    <col min="1797" max="1797" width="19" style="1" customWidth="1"/>
    <col min="1798" max="1798" width="19.109375" style="1" customWidth="1"/>
    <col min="1799" max="1799" width="21.33203125" style="1" customWidth="1"/>
    <col min="1800" max="1800" width="32.5546875" style="1" customWidth="1"/>
    <col min="1801" max="1801" width="16.88671875" style="1" customWidth="1"/>
    <col min="1802" max="1802" width="16.33203125" style="1" customWidth="1"/>
    <col min="1803" max="2033" width="10.33203125" style="1"/>
    <col min="2034" max="2034" width="4.44140625" style="1" customWidth="1"/>
    <col min="2035" max="2035" width="21.6640625" style="1" customWidth="1"/>
    <col min="2036" max="2036" width="15" style="1" customWidth="1"/>
    <col min="2037" max="2037" width="15.44140625" style="1" customWidth="1"/>
    <col min="2038" max="2038" width="11.5546875" style="1" customWidth="1"/>
    <col min="2039" max="2039" width="7.44140625" style="1" customWidth="1"/>
    <col min="2040" max="2040" width="14.109375" style="1" customWidth="1"/>
    <col min="2041" max="2041" width="10.6640625" style="1" customWidth="1"/>
    <col min="2042" max="2042" width="13.44140625" style="1" customWidth="1"/>
    <col min="2043" max="2043" width="11.44140625" style="1" customWidth="1"/>
    <col min="2044" max="2044" width="15" style="1" customWidth="1"/>
    <col min="2045" max="2045" width="14.5546875" style="1" customWidth="1"/>
    <col min="2046" max="2046" width="10.33203125" style="1"/>
    <col min="2047" max="2047" width="7.44140625" style="1" customWidth="1"/>
    <col min="2048" max="2048" width="12.88671875" style="1" customWidth="1"/>
    <col min="2049" max="2049" width="11.109375" style="1" customWidth="1"/>
    <col min="2050" max="2050" width="14" style="1" customWidth="1"/>
    <col min="2051" max="2051" width="33" style="1" customWidth="1"/>
    <col min="2052" max="2052" width="6.6640625" style="1" customWidth="1"/>
    <col min="2053" max="2053" width="19" style="1" customWidth="1"/>
    <col min="2054" max="2054" width="19.109375" style="1" customWidth="1"/>
    <col min="2055" max="2055" width="21.33203125" style="1" customWidth="1"/>
    <col min="2056" max="2056" width="32.5546875" style="1" customWidth="1"/>
    <col min="2057" max="2057" width="16.88671875" style="1" customWidth="1"/>
    <col min="2058" max="2058" width="16.33203125" style="1" customWidth="1"/>
    <col min="2059" max="2289" width="10.33203125" style="1"/>
    <col min="2290" max="2290" width="4.44140625" style="1" customWidth="1"/>
    <col min="2291" max="2291" width="21.6640625" style="1" customWidth="1"/>
    <col min="2292" max="2292" width="15" style="1" customWidth="1"/>
    <col min="2293" max="2293" width="15.44140625" style="1" customWidth="1"/>
    <col min="2294" max="2294" width="11.5546875" style="1" customWidth="1"/>
    <col min="2295" max="2295" width="7.44140625" style="1" customWidth="1"/>
    <col min="2296" max="2296" width="14.109375" style="1" customWidth="1"/>
    <col min="2297" max="2297" width="10.6640625" style="1" customWidth="1"/>
    <col min="2298" max="2298" width="13.44140625" style="1" customWidth="1"/>
    <col min="2299" max="2299" width="11.44140625" style="1" customWidth="1"/>
    <col min="2300" max="2300" width="15" style="1" customWidth="1"/>
    <col min="2301" max="2301" width="14.5546875" style="1" customWidth="1"/>
    <col min="2302" max="2302" width="10.33203125" style="1"/>
    <col min="2303" max="2303" width="7.44140625" style="1" customWidth="1"/>
    <col min="2304" max="2304" width="12.88671875" style="1" customWidth="1"/>
    <col min="2305" max="2305" width="11.109375" style="1" customWidth="1"/>
    <col min="2306" max="2306" width="14" style="1" customWidth="1"/>
    <col min="2307" max="2307" width="33" style="1" customWidth="1"/>
    <col min="2308" max="2308" width="6.6640625" style="1" customWidth="1"/>
    <col min="2309" max="2309" width="19" style="1" customWidth="1"/>
    <col min="2310" max="2310" width="19.109375" style="1" customWidth="1"/>
    <col min="2311" max="2311" width="21.33203125" style="1" customWidth="1"/>
    <col min="2312" max="2312" width="32.5546875" style="1" customWidth="1"/>
    <col min="2313" max="2313" width="16.88671875" style="1" customWidth="1"/>
    <col min="2314" max="2314" width="16.33203125" style="1" customWidth="1"/>
    <col min="2315" max="2545" width="10.33203125" style="1"/>
    <col min="2546" max="2546" width="4.44140625" style="1" customWidth="1"/>
    <col min="2547" max="2547" width="21.6640625" style="1" customWidth="1"/>
    <col min="2548" max="2548" width="15" style="1" customWidth="1"/>
    <col min="2549" max="2549" width="15.44140625" style="1" customWidth="1"/>
    <col min="2550" max="2550" width="11.5546875" style="1" customWidth="1"/>
    <col min="2551" max="2551" width="7.44140625" style="1" customWidth="1"/>
    <col min="2552" max="2552" width="14.109375" style="1" customWidth="1"/>
    <col min="2553" max="2553" width="10.6640625" style="1" customWidth="1"/>
    <col min="2554" max="2554" width="13.44140625" style="1" customWidth="1"/>
    <col min="2555" max="2555" width="11.44140625" style="1" customWidth="1"/>
    <col min="2556" max="2556" width="15" style="1" customWidth="1"/>
    <col min="2557" max="2557" width="14.5546875" style="1" customWidth="1"/>
    <col min="2558" max="2558" width="10.33203125" style="1"/>
    <col min="2559" max="2559" width="7.44140625" style="1" customWidth="1"/>
    <col min="2560" max="2560" width="12.88671875" style="1" customWidth="1"/>
    <col min="2561" max="2561" width="11.109375" style="1" customWidth="1"/>
    <col min="2562" max="2562" width="14" style="1" customWidth="1"/>
    <col min="2563" max="2563" width="33" style="1" customWidth="1"/>
    <col min="2564" max="2564" width="6.6640625" style="1" customWidth="1"/>
    <col min="2565" max="2565" width="19" style="1" customWidth="1"/>
    <col min="2566" max="2566" width="19.109375" style="1" customWidth="1"/>
    <col min="2567" max="2567" width="21.33203125" style="1" customWidth="1"/>
    <col min="2568" max="2568" width="32.5546875" style="1" customWidth="1"/>
    <col min="2569" max="2569" width="16.88671875" style="1" customWidth="1"/>
    <col min="2570" max="2570" width="16.33203125" style="1" customWidth="1"/>
    <col min="2571" max="2801" width="10.33203125" style="1"/>
    <col min="2802" max="2802" width="4.44140625" style="1" customWidth="1"/>
    <col min="2803" max="2803" width="21.6640625" style="1" customWidth="1"/>
    <col min="2804" max="2804" width="15" style="1" customWidth="1"/>
    <col min="2805" max="2805" width="15.44140625" style="1" customWidth="1"/>
    <col min="2806" max="2806" width="11.5546875" style="1" customWidth="1"/>
    <col min="2807" max="2807" width="7.44140625" style="1" customWidth="1"/>
    <col min="2808" max="2808" width="14.109375" style="1" customWidth="1"/>
    <col min="2809" max="2809" width="10.6640625" style="1" customWidth="1"/>
    <col min="2810" max="2810" width="13.44140625" style="1" customWidth="1"/>
    <col min="2811" max="2811" width="11.44140625" style="1" customWidth="1"/>
    <col min="2812" max="2812" width="15" style="1" customWidth="1"/>
    <col min="2813" max="2813" width="14.5546875" style="1" customWidth="1"/>
    <col min="2814" max="2814" width="10.33203125" style="1"/>
    <col min="2815" max="2815" width="7.44140625" style="1" customWidth="1"/>
    <col min="2816" max="2816" width="12.88671875" style="1" customWidth="1"/>
    <col min="2817" max="2817" width="11.109375" style="1" customWidth="1"/>
    <col min="2818" max="2818" width="14" style="1" customWidth="1"/>
    <col min="2819" max="2819" width="33" style="1" customWidth="1"/>
    <col min="2820" max="2820" width="6.6640625" style="1" customWidth="1"/>
    <col min="2821" max="2821" width="19" style="1" customWidth="1"/>
    <col min="2822" max="2822" width="19.109375" style="1" customWidth="1"/>
    <col min="2823" max="2823" width="21.33203125" style="1" customWidth="1"/>
    <col min="2824" max="2824" width="32.5546875" style="1" customWidth="1"/>
    <col min="2825" max="2825" width="16.88671875" style="1" customWidth="1"/>
    <col min="2826" max="2826" width="16.33203125" style="1" customWidth="1"/>
    <col min="2827" max="3057" width="10.33203125" style="1"/>
    <col min="3058" max="3058" width="4.44140625" style="1" customWidth="1"/>
    <col min="3059" max="3059" width="21.6640625" style="1" customWidth="1"/>
    <col min="3060" max="3060" width="15" style="1" customWidth="1"/>
    <col min="3061" max="3061" width="15.44140625" style="1" customWidth="1"/>
    <col min="3062" max="3062" width="11.5546875" style="1" customWidth="1"/>
    <col min="3063" max="3063" width="7.44140625" style="1" customWidth="1"/>
    <col min="3064" max="3064" width="14.109375" style="1" customWidth="1"/>
    <col min="3065" max="3065" width="10.6640625" style="1" customWidth="1"/>
    <col min="3066" max="3066" width="13.44140625" style="1" customWidth="1"/>
    <col min="3067" max="3067" width="11.44140625" style="1" customWidth="1"/>
    <col min="3068" max="3068" width="15" style="1" customWidth="1"/>
    <col min="3069" max="3069" width="14.5546875" style="1" customWidth="1"/>
    <col min="3070" max="3070" width="10.33203125" style="1"/>
    <col min="3071" max="3071" width="7.44140625" style="1" customWidth="1"/>
    <col min="3072" max="3072" width="12.88671875" style="1" customWidth="1"/>
    <col min="3073" max="3073" width="11.109375" style="1" customWidth="1"/>
    <col min="3074" max="3074" width="14" style="1" customWidth="1"/>
    <col min="3075" max="3075" width="33" style="1" customWidth="1"/>
    <col min="3076" max="3076" width="6.6640625" style="1" customWidth="1"/>
    <col min="3077" max="3077" width="19" style="1" customWidth="1"/>
    <col min="3078" max="3078" width="19.109375" style="1" customWidth="1"/>
    <col min="3079" max="3079" width="21.33203125" style="1" customWidth="1"/>
    <col min="3080" max="3080" width="32.5546875" style="1" customWidth="1"/>
    <col min="3081" max="3081" width="16.88671875" style="1" customWidth="1"/>
    <col min="3082" max="3082" width="16.33203125" style="1" customWidth="1"/>
    <col min="3083" max="3313" width="10.33203125" style="1"/>
    <col min="3314" max="3314" width="4.44140625" style="1" customWidth="1"/>
    <col min="3315" max="3315" width="21.6640625" style="1" customWidth="1"/>
    <col min="3316" max="3316" width="15" style="1" customWidth="1"/>
    <col min="3317" max="3317" width="15.44140625" style="1" customWidth="1"/>
    <col min="3318" max="3318" width="11.5546875" style="1" customWidth="1"/>
    <col min="3319" max="3319" width="7.44140625" style="1" customWidth="1"/>
    <col min="3320" max="3320" width="14.109375" style="1" customWidth="1"/>
    <col min="3321" max="3321" width="10.6640625" style="1" customWidth="1"/>
    <col min="3322" max="3322" width="13.44140625" style="1" customWidth="1"/>
    <col min="3323" max="3323" width="11.44140625" style="1" customWidth="1"/>
    <col min="3324" max="3324" width="15" style="1" customWidth="1"/>
    <col min="3325" max="3325" width="14.5546875" style="1" customWidth="1"/>
    <col min="3326" max="3326" width="10.33203125" style="1"/>
    <col min="3327" max="3327" width="7.44140625" style="1" customWidth="1"/>
    <col min="3328" max="3328" width="12.88671875" style="1" customWidth="1"/>
    <col min="3329" max="3329" width="11.109375" style="1" customWidth="1"/>
    <col min="3330" max="3330" width="14" style="1" customWidth="1"/>
    <col min="3331" max="3331" width="33" style="1" customWidth="1"/>
    <col min="3332" max="3332" width="6.6640625" style="1" customWidth="1"/>
    <col min="3333" max="3333" width="19" style="1" customWidth="1"/>
    <col min="3334" max="3334" width="19.109375" style="1" customWidth="1"/>
    <col min="3335" max="3335" width="21.33203125" style="1" customWidth="1"/>
    <col min="3336" max="3336" width="32.5546875" style="1" customWidth="1"/>
    <col min="3337" max="3337" width="16.88671875" style="1" customWidth="1"/>
    <col min="3338" max="3338" width="16.33203125" style="1" customWidth="1"/>
    <col min="3339" max="3569" width="10.33203125" style="1"/>
    <col min="3570" max="3570" width="4.44140625" style="1" customWidth="1"/>
    <col min="3571" max="3571" width="21.6640625" style="1" customWidth="1"/>
    <col min="3572" max="3572" width="15" style="1" customWidth="1"/>
    <col min="3573" max="3573" width="15.44140625" style="1" customWidth="1"/>
    <col min="3574" max="3574" width="11.5546875" style="1" customWidth="1"/>
    <col min="3575" max="3575" width="7.44140625" style="1" customWidth="1"/>
    <col min="3576" max="3576" width="14.109375" style="1" customWidth="1"/>
    <col min="3577" max="3577" width="10.6640625" style="1" customWidth="1"/>
    <col min="3578" max="3578" width="13.44140625" style="1" customWidth="1"/>
    <col min="3579" max="3579" width="11.44140625" style="1" customWidth="1"/>
    <col min="3580" max="3580" width="15" style="1" customWidth="1"/>
    <col min="3581" max="3581" width="14.5546875" style="1" customWidth="1"/>
    <col min="3582" max="3582" width="10.33203125" style="1"/>
    <col min="3583" max="3583" width="7.44140625" style="1" customWidth="1"/>
    <col min="3584" max="3584" width="12.88671875" style="1" customWidth="1"/>
    <col min="3585" max="3585" width="11.109375" style="1" customWidth="1"/>
    <col min="3586" max="3586" width="14" style="1" customWidth="1"/>
    <col min="3587" max="3587" width="33" style="1" customWidth="1"/>
    <col min="3588" max="3588" width="6.6640625" style="1" customWidth="1"/>
    <col min="3589" max="3589" width="19" style="1" customWidth="1"/>
    <col min="3590" max="3590" width="19.109375" style="1" customWidth="1"/>
    <col min="3591" max="3591" width="21.33203125" style="1" customWidth="1"/>
    <col min="3592" max="3592" width="32.5546875" style="1" customWidth="1"/>
    <col min="3593" max="3593" width="16.88671875" style="1" customWidth="1"/>
    <col min="3594" max="3594" width="16.33203125" style="1" customWidth="1"/>
    <col min="3595" max="3825" width="10.33203125" style="1"/>
    <col min="3826" max="3826" width="4.44140625" style="1" customWidth="1"/>
    <col min="3827" max="3827" width="21.6640625" style="1" customWidth="1"/>
    <col min="3828" max="3828" width="15" style="1" customWidth="1"/>
    <col min="3829" max="3829" width="15.44140625" style="1" customWidth="1"/>
    <col min="3830" max="3830" width="11.5546875" style="1" customWidth="1"/>
    <col min="3831" max="3831" width="7.44140625" style="1" customWidth="1"/>
    <col min="3832" max="3832" width="14.109375" style="1" customWidth="1"/>
    <col min="3833" max="3833" width="10.6640625" style="1" customWidth="1"/>
    <col min="3834" max="3834" width="13.44140625" style="1" customWidth="1"/>
    <col min="3835" max="3835" width="11.44140625" style="1" customWidth="1"/>
    <col min="3836" max="3836" width="15" style="1" customWidth="1"/>
    <col min="3837" max="3837" width="14.5546875" style="1" customWidth="1"/>
    <col min="3838" max="3838" width="10.33203125" style="1"/>
    <col min="3839" max="3839" width="7.44140625" style="1" customWidth="1"/>
    <col min="3840" max="3840" width="12.88671875" style="1" customWidth="1"/>
    <col min="3841" max="3841" width="11.109375" style="1" customWidth="1"/>
    <col min="3842" max="3842" width="14" style="1" customWidth="1"/>
    <col min="3843" max="3843" width="33" style="1" customWidth="1"/>
    <col min="3844" max="3844" width="6.6640625" style="1" customWidth="1"/>
    <col min="3845" max="3845" width="19" style="1" customWidth="1"/>
    <col min="3846" max="3846" width="19.109375" style="1" customWidth="1"/>
    <col min="3847" max="3847" width="21.33203125" style="1" customWidth="1"/>
    <col min="3848" max="3848" width="32.5546875" style="1" customWidth="1"/>
    <col min="3849" max="3849" width="16.88671875" style="1" customWidth="1"/>
    <col min="3850" max="3850" width="16.33203125" style="1" customWidth="1"/>
    <col min="3851" max="4081" width="10.33203125" style="1"/>
    <col min="4082" max="4082" width="4.44140625" style="1" customWidth="1"/>
    <col min="4083" max="4083" width="21.6640625" style="1" customWidth="1"/>
    <col min="4084" max="4084" width="15" style="1" customWidth="1"/>
    <col min="4085" max="4085" width="15.44140625" style="1" customWidth="1"/>
    <col min="4086" max="4086" width="11.5546875" style="1" customWidth="1"/>
    <col min="4087" max="4087" width="7.44140625" style="1" customWidth="1"/>
    <col min="4088" max="4088" width="14.109375" style="1" customWidth="1"/>
    <col min="4089" max="4089" width="10.6640625" style="1" customWidth="1"/>
    <col min="4090" max="4090" width="13.44140625" style="1" customWidth="1"/>
    <col min="4091" max="4091" width="11.44140625" style="1" customWidth="1"/>
    <col min="4092" max="4092" width="15" style="1" customWidth="1"/>
    <col min="4093" max="4093" width="14.5546875" style="1" customWidth="1"/>
    <col min="4094" max="4094" width="10.33203125" style="1"/>
    <col min="4095" max="4095" width="7.44140625" style="1" customWidth="1"/>
    <col min="4096" max="4096" width="12.88671875" style="1" customWidth="1"/>
    <col min="4097" max="4097" width="11.109375" style="1" customWidth="1"/>
    <col min="4098" max="4098" width="14" style="1" customWidth="1"/>
    <col min="4099" max="4099" width="33" style="1" customWidth="1"/>
    <col min="4100" max="4100" width="6.6640625" style="1" customWidth="1"/>
    <col min="4101" max="4101" width="19" style="1" customWidth="1"/>
    <col min="4102" max="4102" width="19.109375" style="1" customWidth="1"/>
    <col min="4103" max="4103" width="21.33203125" style="1" customWidth="1"/>
    <col min="4104" max="4104" width="32.5546875" style="1" customWidth="1"/>
    <col min="4105" max="4105" width="16.88671875" style="1" customWidth="1"/>
    <col min="4106" max="4106" width="16.33203125" style="1" customWidth="1"/>
    <col min="4107" max="4337" width="10.33203125" style="1"/>
    <col min="4338" max="4338" width="4.44140625" style="1" customWidth="1"/>
    <col min="4339" max="4339" width="21.6640625" style="1" customWidth="1"/>
    <col min="4340" max="4340" width="15" style="1" customWidth="1"/>
    <col min="4341" max="4341" width="15.44140625" style="1" customWidth="1"/>
    <col min="4342" max="4342" width="11.5546875" style="1" customWidth="1"/>
    <col min="4343" max="4343" width="7.44140625" style="1" customWidth="1"/>
    <col min="4344" max="4344" width="14.109375" style="1" customWidth="1"/>
    <col min="4345" max="4345" width="10.6640625" style="1" customWidth="1"/>
    <col min="4346" max="4346" width="13.44140625" style="1" customWidth="1"/>
    <col min="4347" max="4347" width="11.44140625" style="1" customWidth="1"/>
    <col min="4348" max="4348" width="15" style="1" customWidth="1"/>
    <col min="4349" max="4349" width="14.5546875" style="1" customWidth="1"/>
    <col min="4350" max="4350" width="10.33203125" style="1"/>
    <col min="4351" max="4351" width="7.44140625" style="1" customWidth="1"/>
    <col min="4352" max="4352" width="12.88671875" style="1" customWidth="1"/>
    <col min="4353" max="4353" width="11.109375" style="1" customWidth="1"/>
    <col min="4354" max="4354" width="14" style="1" customWidth="1"/>
    <col min="4355" max="4355" width="33" style="1" customWidth="1"/>
    <col min="4356" max="4356" width="6.6640625" style="1" customWidth="1"/>
    <col min="4357" max="4357" width="19" style="1" customWidth="1"/>
    <col min="4358" max="4358" width="19.109375" style="1" customWidth="1"/>
    <col min="4359" max="4359" width="21.33203125" style="1" customWidth="1"/>
    <col min="4360" max="4360" width="32.5546875" style="1" customWidth="1"/>
    <col min="4361" max="4361" width="16.88671875" style="1" customWidth="1"/>
    <col min="4362" max="4362" width="16.33203125" style="1" customWidth="1"/>
    <col min="4363" max="4593" width="10.33203125" style="1"/>
    <col min="4594" max="4594" width="4.44140625" style="1" customWidth="1"/>
    <col min="4595" max="4595" width="21.6640625" style="1" customWidth="1"/>
    <col min="4596" max="4596" width="15" style="1" customWidth="1"/>
    <col min="4597" max="4597" width="15.44140625" style="1" customWidth="1"/>
    <col min="4598" max="4598" width="11.5546875" style="1" customWidth="1"/>
    <col min="4599" max="4599" width="7.44140625" style="1" customWidth="1"/>
    <col min="4600" max="4600" width="14.109375" style="1" customWidth="1"/>
    <col min="4601" max="4601" width="10.6640625" style="1" customWidth="1"/>
    <col min="4602" max="4602" width="13.44140625" style="1" customWidth="1"/>
    <col min="4603" max="4603" width="11.44140625" style="1" customWidth="1"/>
    <col min="4604" max="4604" width="15" style="1" customWidth="1"/>
    <col min="4605" max="4605" width="14.5546875" style="1" customWidth="1"/>
    <col min="4606" max="4606" width="10.33203125" style="1"/>
    <col min="4607" max="4607" width="7.44140625" style="1" customWidth="1"/>
    <col min="4608" max="4608" width="12.88671875" style="1" customWidth="1"/>
    <col min="4609" max="4609" width="11.109375" style="1" customWidth="1"/>
    <col min="4610" max="4610" width="14" style="1" customWidth="1"/>
    <col min="4611" max="4611" width="33" style="1" customWidth="1"/>
    <col min="4612" max="4612" width="6.6640625" style="1" customWidth="1"/>
    <col min="4613" max="4613" width="19" style="1" customWidth="1"/>
    <col min="4614" max="4614" width="19.109375" style="1" customWidth="1"/>
    <col min="4615" max="4615" width="21.33203125" style="1" customWidth="1"/>
    <col min="4616" max="4616" width="32.5546875" style="1" customWidth="1"/>
    <col min="4617" max="4617" width="16.88671875" style="1" customWidth="1"/>
    <col min="4618" max="4618" width="16.33203125" style="1" customWidth="1"/>
    <col min="4619" max="4849" width="10.33203125" style="1"/>
    <col min="4850" max="4850" width="4.44140625" style="1" customWidth="1"/>
    <col min="4851" max="4851" width="21.6640625" style="1" customWidth="1"/>
    <col min="4852" max="4852" width="15" style="1" customWidth="1"/>
    <col min="4853" max="4853" width="15.44140625" style="1" customWidth="1"/>
    <col min="4854" max="4854" width="11.5546875" style="1" customWidth="1"/>
    <col min="4855" max="4855" width="7.44140625" style="1" customWidth="1"/>
    <col min="4856" max="4856" width="14.109375" style="1" customWidth="1"/>
    <col min="4857" max="4857" width="10.6640625" style="1" customWidth="1"/>
    <col min="4858" max="4858" width="13.44140625" style="1" customWidth="1"/>
    <col min="4859" max="4859" width="11.44140625" style="1" customWidth="1"/>
    <col min="4860" max="4860" width="15" style="1" customWidth="1"/>
    <col min="4861" max="4861" width="14.5546875" style="1" customWidth="1"/>
    <col min="4862" max="4862" width="10.33203125" style="1"/>
    <col min="4863" max="4863" width="7.44140625" style="1" customWidth="1"/>
    <col min="4864" max="4864" width="12.88671875" style="1" customWidth="1"/>
    <col min="4865" max="4865" width="11.109375" style="1" customWidth="1"/>
    <col min="4866" max="4866" width="14" style="1" customWidth="1"/>
    <col min="4867" max="4867" width="33" style="1" customWidth="1"/>
    <col min="4868" max="4868" width="6.6640625" style="1" customWidth="1"/>
    <col min="4869" max="4869" width="19" style="1" customWidth="1"/>
    <col min="4870" max="4870" width="19.109375" style="1" customWidth="1"/>
    <col min="4871" max="4871" width="21.33203125" style="1" customWidth="1"/>
    <col min="4872" max="4872" width="32.5546875" style="1" customWidth="1"/>
    <col min="4873" max="4873" width="16.88671875" style="1" customWidth="1"/>
    <col min="4874" max="4874" width="16.33203125" style="1" customWidth="1"/>
    <col min="4875" max="5105" width="10.33203125" style="1"/>
    <col min="5106" max="5106" width="4.44140625" style="1" customWidth="1"/>
    <col min="5107" max="5107" width="21.6640625" style="1" customWidth="1"/>
    <col min="5108" max="5108" width="15" style="1" customWidth="1"/>
    <col min="5109" max="5109" width="15.44140625" style="1" customWidth="1"/>
    <col min="5110" max="5110" width="11.5546875" style="1" customWidth="1"/>
    <col min="5111" max="5111" width="7.44140625" style="1" customWidth="1"/>
    <col min="5112" max="5112" width="14.109375" style="1" customWidth="1"/>
    <col min="5113" max="5113" width="10.6640625" style="1" customWidth="1"/>
    <col min="5114" max="5114" width="13.44140625" style="1" customWidth="1"/>
    <col min="5115" max="5115" width="11.44140625" style="1" customWidth="1"/>
    <col min="5116" max="5116" width="15" style="1" customWidth="1"/>
    <col min="5117" max="5117" width="14.5546875" style="1" customWidth="1"/>
    <col min="5118" max="5118" width="10.33203125" style="1"/>
    <col min="5119" max="5119" width="7.44140625" style="1" customWidth="1"/>
    <col min="5120" max="5120" width="12.88671875" style="1" customWidth="1"/>
    <col min="5121" max="5121" width="11.109375" style="1" customWidth="1"/>
    <col min="5122" max="5122" width="14" style="1" customWidth="1"/>
    <col min="5123" max="5123" width="33" style="1" customWidth="1"/>
    <col min="5124" max="5124" width="6.6640625" style="1" customWidth="1"/>
    <col min="5125" max="5125" width="19" style="1" customWidth="1"/>
    <col min="5126" max="5126" width="19.109375" style="1" customWidth="1"/>
    <col min="5127" max="5127" width="21.33203125" style="1" customWidth="1"/>
    <col min="5128" max="5128" width="32.5546875" style="1" customWidth="1"/>
    <col min="5129" max="5129" width="16.88671875" style="1" customWidth="1"/>
    <col min="5130" max="5130" width="16.33203125" style="1" customWidth="1"/>
    <col min="5131" max="5361" width="10.33203125" style="1"/>
    <col min="5362" max="5362" width="4.44140625" style="1" customWidth="1"/>
    <col min="5363" max="5363" width="21.6640625" style="1" customWidth="1"/>
    <col min="5364" max="5364" width="15" style="1" customWidth="1"/>
    <col min="5365" max="5365" width="15.44140625" style="1" customWidth="1"/>
    <col min="5366" max="5366" width="11.5546875" style="1" customWidth="1"/>
    <col min="5367" max="5367" width="7.44140625" style="1" customWidth="1"/>
    <col min="5368" max="5368" width="14.109375" style="1" customWidth="1"/>
    <col min="5369" max="5369" width="10.6640625" style="1" customWidth="1"/>
    <col min="5370" max="5370" width="13.44140625" style="1" customWidth="1"/>
    <col min="5371" max="5371" width="11.44140625" style="1" customWidth="1"/>
    <col min="5372" max="5372" width="15" style="1" customWidth="1"/>
    <col min="5373" max="5373" width="14.5546875" style="1" customWidth="1"/>
    <col min="5374" max="5374" width="10.33203125" style="1"/>
    <col min="5375" max="5375" width="7.44140625" style="1" customWidth="1"/>
    <col min="5376" max="5376" width="12.88671875" style="1" customWidth="1"/>
    <col min="5377" max="5377" width="11.109375" style="1" customWidth="1"/>
    <col min="5378" max="5378" width="14" style="1" customWidth="1"/>
    <col min="5379" max="5379" width="33" style="1" customWidth="1"/>
    <col min="5380" max="5380" width="6.6640625" style="1" customWidth="1"/>
    <col min="5381" max="5381" width="19" style="1" customWidth="1"/>
    <col min="5382" max="5382" width="19.109375" style="1" customWidth="1"/>
    <col min="5383" max="5383" width="21.33203125" style="1" customWidth="1"/>
    <col min="5384" max="5384" width="32.5546875" style="1" customWidth="1"/>
    <col min="5385" max="5385" width="16.88671875" style="1" customWidth="1"/>
    <col min="5386" max="5386" width="16.33203125" style="1" customWidth="1"/>
    <col min="5387" max="5617" width="10.33203125" style="1"/>
    <col min="5618" max="5618" width="4.44140625" style="1" customWidth="1"/>
    <col min="5619" max="5619" width="21.6640625" style="1" customWidth="1"/>
    <col min="5620" max="5620" width="15" style="1" customWidth="1"/>
    <col min="5621" max="5621" width="15.44140625" style="1" customWidth="1"/>
    <col min="5622" max="5622" width="11.5546875" style="1" customWidth="1"/>
    <col min="5623" max="5623" width="7.44140625" style="1" customWidth="1"/>
    <col min="5624" max="5624" width="14.109375" style="1" customWidth="1"/>
    <col min="5625" max="5625" width="10.6640625" style="1" customWidth="1"/>
    <col min="5626" max="5626" width="13.44140625" style="1" customWidth="1"/>
    <col min="5627" max="5627" width="11.44140625" style="1" customWidth="1"/>
    <col min="5628" max="5628" width="15" style="1" customWidth="1"/>
    <col min="5629" max="5629" width="14.5546875" style="1" customWidth="1"/>
    <col min="5630" max="5630" width="10.33203125" style="1"/>
    <col min="5631" max="5631" width="7.44140625" style="1" customWidth="1"/>
    <col min="5632" max="5632" width="12.88671875" style="1" customWidth="1"/>
    <col min="5633" max="5633" width="11.109375" style="1" customWidth="1"/>
    <col min="5634" max="5634" width="14" style="1" customWidth="1"/>
    <col min="5635" max="5635" width="33" style="1" customWidth="1"/>
    <col min="5636" max="5636" width="6.6640625" style="1" customWidth="1"/>
    <col min="5637" max="5637" width="19" style="1" customWidth="1"/>
    <col min="5638" max="5638" width="19.109375" style="1" customWidth="1"/>
    <col min="5639" max="5639" width="21.33203125" style="1" customWidth="1"/>
    <col min="5640" max="5640" width="32.5546875" style="1" customWidth="1"/>
    <col min="5641" max="5641" width="16.88671875" style="1" customWidth="1"/>
    <col min="5642" max="5642" width="16.33203125" style="1" customWidth="1"/>
    <col min="5643" max="5873" width="10.33203125" style="1"/>
    <col min="5874" max="5874" width="4.44140625" style="1" customWidth="1"/>
    <col min="5875" max="5875" width="21.6640625" style="1" customWidth="1"/>
    <col min="5876" max="5876" width="15" style="1" customWidth="1"/>
    <col min="5877" max="5877" width="15.44140625" style="1" customWidth="1"/>
    <col min="5878" max="5878" width="11.5546875" style="1" customWidth="1"/>
    <col min="5879" max="5879" width="7.44140625" style="1" customWidth="1"/>
    <col min="5880" max="5880" width="14.109375" style="1" customWidth="1"/>
    <col min="5881" max="5881" width="10.6640625" style="1" customWidth="1"/>
    <col min="5882" max="5882" width="13.44140625" style="1" customWidth="1"/>
    <col min="5883" max="5883" width="11.44140625" style="1" customWidth="1"/>
    <col min="5884" max="5884" width="15" style="1" customWidth="1"/>
    <col min="5885" max="5885" width="14.5546875" style="1" customWidth="1"/>
    <col min="5886" max="5886" width="10.33203125" style="1"/>
    <col min="5887" max="5887" width="7.44140625" style="1" customWidth="1"/>
    <col min="5888" max="5888" width="12.88671875" style="1" customWidth="1"/>
    <col min="5889" max="5889" width="11.109375" style="1" customWidth="1"/>
    <col min="5890" max="5890" width="14" style="1" customWidth="1"/>
    <col min="5891" max="5891" width="33" style="1" customWidth="1"/>
    <col min="5892" max="5892" width="6.6640625" style="1" customWidth="1"/>
    <col min="5893" max="5893" width="19" style="1" customWidth="1"/>
    <col min="5894" max="5894" width="19.109375" style="1" customWidth="1"/>
    <col min="5895" max="5895" width="21.33203125" style="1" customWidth="1"/>
    <col min="5896" max="5896" width="32.5546875" style="1" customWidth="1"/>
    <col min="5897" max="5897" width="16.88671875" style="1" customWidth="1"/>
    <col min="5898" max="5898" width="16.33203125" style="1" customWidth="1"/>
    <col min="5899" max="6129" width="10.33203125" style="1"/>
    <col min="6130" max="6130" width="4.44140625" style="1" customWidth="1"/>
    <col min="6131" max="6131" width="21.6640625" style="1" customWidth="1"/>
    <col min="6132" max="6132" width="15" style="1" customWidth="1"/>
    <col min="6133" max="6133" width="15.44140625" style="1" customWidth="1"/>
    <col min="6134" max="6134" width="11.5546875" style="1" customWidth="1"/>
    <col min="6135" max="6135" width="7.44140625" style="1" customWidth="1"/>
    <col min="6136" max="6136" width="14.109375" style="1" customWidth="1"/>
    <col min="6137" max="6137" width="10.6640625" style="1" customWidth="1"/>
    <col min="6138" max="6138" width="13.44140625" style="1" customWidth="1"/>
    <col min="6139" max="6139" width="11.44140625" style="1" customWidth="1"/>
    <col min="6140" max="6140" width="15" style="1" customWidth="1"/>
    <col min="6141" max="6141" width="14.5546875" style="1" customWidth="1"/>
    <col min="6142" max="6142" width="10.33203125" style="1"/>
    <col min="6143" max="6143" width="7.44140625" style="1" customWidth="1"/>
    <col min="6144" max="6144" width="12.88671875" style="1" customWidth="1"/>
    <col min="6145" max="6145" width="11.109375" style="1" customWidth="1"/>
    <col min="6146" max="6146" width="14" style="1" customWidth="1"/>
    <col min="6147" max="6147" width="33" style="1" customWidth="1"/>
    <col min="6148" max="6148" width="6.6640625" style="1" customWidth="1"/>
    <col min="6149" max="6149" width="19" style="1" customWidth="1"/>
    <col min="6150" max="6150" width="19.109375" style="1" customWidth="1"/>
    <col min="6151" max="6151" width="21.33203125" style="1" customWidth="1"/>
    <col min="6152" max="6152" width="32.5546875" style="1" customWidth="1"/>
    <col min="6153" max="6153" width="16.88671875" style="1" customWidth="1"/>
    <col min="6154" max="6154" width="16.33203125" style="1" customWidth="1"/>
    <col min="6155" max="6385" width="10.33203125" style="1"/>
    <col min="6386" max="6386" width="4.44140625" style="1" customWidth="1"/>
    <col min="6387" max="6387" width="21.6640625" style="1" customWidth="1"/>
    <col min="6388" max="6388" width="15" style="1" customWidth="1"/>
    <col min="6389" max="6389" width="15.44140625" style="1" customWidth="1"/>
    <col min="6390" max="6390" width="11.5546875" style="1" customWidth="1"/>
    <col min="6391" max="6391" width="7.44140625" style="1" customWidth="1"/>
    <col min="6392" max="6392" width="14.109375" style="1" customWidth="1"/>
    <col min="6393" max="6393" width="10.6640625" style="1" customWidth="1"/>
    <col min="6394" max="6394" width="13.44140625" style="1" customWidth="1"/>
    <col min="6395" max="6395" width="11.44140625" style="1" customWidth="1"/>
    <col min="6396" max="6396" width="15" style="1" customWidth="1"/>
    <col min="6397" max="6397" width="14.5546875" style="1" customWidth="1"/>
    <col min="6398" max="6398" width="10.33203125" style="1"/>
    <col min="6399" max="6399" width="7.44140625" style="1" customWidth="1"/>
    <col min="6400" max="6400" width="12.88671875" style="1" customWidth="1"/>
    <col min="6401" max="6401" width="11.109375" style="1" customWidth="1"/>
    <col min="6402" max="6402" width="14" style="1" customWidth="1"/>
    <col min="6403" max="6403" width="33" style="1" customWidth="1"/>
    <col min="6404" max="6404" width="6.6640625" style="1" customWidth="1"/>
    <col min="6405" max="6405" width="19" style="1" customWidth="1"/>
    <col min="6406" max="6406" width="19.109375" style="1" customWidth="1"/>
    <col min="6407" max="6407" width="21.33203125" style="1" customWidth="1"/>
    <col min="6408" max="6408" width="32.5546875" style="1" customWidth="1"/>
    <col min="6409" max="6409" width="16.88671875" style="1" customWidth="1"/>
    <col min="6410" max="6410" width="16.33203125" style="1" customWidth="1"/>
    <col min="6411" max="6641" width="10.33203125" style="1"/>
    <col min="6642" max="6642" width="4.44140625" style="1" customWidth="1"/>
    <col min="6643" max="6643" width="21.6640625" style="1" customWidth="1"/>
    <col min="6644" max="6644" width="15" style="1" customWidth="1"/>
    <col min="6645" max="6645" width="15.44140625" style="1" customWidth="1"/>
    <col min="6646" max="6646" width="11.5546875" style="1" customWidth="1"/>
    <col min="6647" max="6647" width="7.44140625" style="1" customWidth="1"/>
    <col min="6648" max="6648" width="14.109375" style="1" customWidth="1"/>
    <col min="6649" max="6649" width="10.6640625" style="1" customWidth="1"/>
    <col min="6650" max="6650" width="13.44140625" style="1" customWidth="1"/>
    <col min="6651" max="6651" width="11.44140625" style="1" customWidth="1"/>
    <col min="6652" max="6652" width="15" style="1" customWidth="1"/>
    <col min="6653" max="6653" width="14.5546875" style="1" customWidth="1"/>
    <col min="6654" max="6654" width="10.33203125" style="1"/>
    <col min="6655" max="6655" width="7.44140625" style="1" customWidth="1"/>
    <col min="6656" max="6656" width="12.88671875" style="1" customWidth="1"/>
    <col min="6657" max="6657" width="11.109375" style="1" customWidth="1"/>
    <col min="6658" max="6658" width="14" style="1" customWidth="1"/>
    <col min="6659" max="6659" width="33" style="1" customWidth="1"/>
    <col min="6660" max="6660" width="6.6640625" style="1" customWidth="1"/>
    <col min="6661" max="6661" width="19" style="1" customWidth="1"/>
    <col min="6662" max="6662" width="19.109375" style="1" customWidth="1"/>
    <col min="6663" max="6663" width="21.33203125" style="1" customWidth="1"/>
    <col min="6664" max="6664" width="32.5546875" style="1" customWidth="1"/>
    <col min="6665" max="6665" width="16.88671875" style="1" customWidth="1"/>
    <col min="6666" max="6666" width="16.33203125" style="1" customWidth="1"/>
    <col min="6667" max="6897" width="10.33203125" style="1"/>
    <col min="6898" max="6898" width="4.44140625" style="1" customWidth="1"/>
    <col min="6899" max="6899" width="21.6640625" style="1" customWidth="1"/>
    <col min="6900" max="6900" width="15" style="1" customWidth="1"/>
    <col min="6901" max="6901" width="15.44140625" style="1" customWidth="1"/>
    <col min="6902" max="6902" width="11.5546875" style="1" customWidth="1"/>
    <col min="6903" max="6903" width="7.44140625" style="1" customWidth="1"/>
    <col min="6904" max="6904" width="14.109375" style="1" customWidth="1"/>
    <col min="6905" max="6905" width="10.6640625" style="1" customWidth="1"/>
    <col min="6906" max="6906" width="13.44140625" style="1" customWidth="1"/>
    <col min="6907" max="6907" width="11.44140625" style="1" customWidth="1"/>
    <col min="6908" max="6908" width="15" style="1" customWidth="1"/>
    <col min="6909" max="6909" width="14.5546875" style="1" customWidth="1"/>
    <col min="6910" max="6910" width="10.33203125" style="1"/>
    <col min="6911" max="6911" width="7.44140625" style="1" customWidth="1"/>
    <col min="6912" max="6912" width="12.88671875" style="1" customWidth="1"/>
    <col min="6913" max="6913" width="11.109375" style="1" customWidth="1"/>
    <col min="6914" max="6914" width="14" style="1" customWidth="1"/>
    <col min="6915" max="6915" width="33" style="1" customWidth="1"/>
    <col min="6916" max="6916" width="6.6640625" style="1" customWidth="1"/>
    <col min="6917" max="6917" width="19" style="1" customWidth="1"/>
    <col min="6918" max="6918" width="19.109375" style="1" customWidth="1"/>
    <col min="6919" max="6919" width="21.33203125" style="1" customWidth="1"/>
    <col min="6920" max="6920" width="32.5546875" style="1" customWidth="1"/>
    <col min="6921" max="6921" width="16.88671875" style="1" customWidth="1"/>
    <col min="6922" max="6922" width="16.33203125" style="1" customWidth="1"/>
    <col min="6923" max="7153" width="10.33203125" style="1"/>
    <col min="7154" max="7154" width="4.44140625" style="1" customWidth="1"/>
    <col min="7155" max="7155" width="21.6640625" style="1" customWidth="1"/>
    <col min="7156" max="7156" width="15" style="1" customWidth="1"/>
    <col min="7157" max="7157" width="15.44140625" style="1" customWidth="1"/>
    <col min="7158" max="7158" width="11.5546875" style="1" customWidth="1"/>
    <col min="7159" max="7159" width="7.44140625" style="1" customWidth="1"/>
    <col min="7160" max="7160" width="14.109375" style="1" customWidth="1"/>
    <col min="7161" max="7161" width="10.6640625" style="1" customWidth="1"/>
    <col min="7162" max="7162" width="13.44140625" style="1" customWidth="1"/>
    <col min="7163" max="7163" width="11.44140625" style="1" customWidth="1"/>
    <col min="7164" max="7164" width="15" style="1" customWidth="1"/>
    <col min="7165" max="7165" width="14.5546875" style="1" customWidth="1"/>
    <col min="7166" max="7166" width="10.33203125" style="1"/>
    <col min="7167" max="7167" width="7.44140625" style="1" customWidth="1"/>
    <col min="7168" max="7168" width="12.88671875" style="1" customWidth="1"/>
    <col min="7169" max="7169" width="11.109375" style="1" customWidth="1"/>
    <col min="7170" max="7170" width="14" style="1" customWidth="1"/>
    <col min="7171" max="7171" width="33" style="1" customWidth="1"/>
    <col min="7172" max="7172" width="6.6640625" style="1" customWidth="1"/>
    <col min="7173" max="7173" width="19" style="1" customWidth="1"/>
    <col min="7174" max="7174" width="19.109375" style="1" customWidth="1"/>
    <col min="7175" max="7175" width="21.33203125" style="1" customWidth="1"/>
    <col min="7176" max="7176" width="32.5546875" style="1" customWidth="1"/>
    <col min="7177" max="7177" width="16.88671875" style="1" customWidth="1"/>
    <col min="7178" max="7178" width="16.33203125" style="1" customWidth="1"/>
    <col min="7179" max="7409" width="10.33203125" style="1"/>
    <col min="7410" max="7410" width="4.44140625" style="1" customWidth="1"/>
    <col min="7411" max="7411" width="21.6640625" style="1" customWidth="1"/>
    <col min="7412" max="7412" width="15" style="1" customWidth="1"/>
    <col min="7413" max="7413" width="15.44140625" style="1" customWidth="1"/>
    <col min="7414" max="7414" width="11.5546875" style="1" customWidth="1"/>
    <col min="7415" max="7415" width="7.44140625" style="1" customWidth="1"/>
    <col min="7416" max="7416" width="14.109375" style="1" customWidth="1"/>
    <col min="7417" max="7417" width="10.6640625" style="1" customWidth="1"/>
    <col min="7418" max="7418" width="13.44140625" style="1" customWidth="1"/>
    <col min="7419" max="7419" width="11.44140625" style="1" customWidth="1"/>
    <col min="7420" max="7420" width="15" style="1" customWidth="1"/>
    <col min="7421" max="7421" width="14.5546875" style="1" customWidth="1"/>
    <col min="7422" max="7422" width="10.33203125" style="1"/>
    <col min="7423" max="7423" width="7.44140625" style="1" customWidth="1"/>
    <col min="7424" max="7424" width="12.88671875" style="1" customWidth="1"/>
    <col min="7425" max="7425" width="11.109375" style="1" customWidth="1"/>
    <col min="7426" max="7426" width="14" style="1" customWidth="1"/>
    <col min="7427" max="7427" width="33" style="1" customWidth="1"/>
    <col min="7428" max="7428" width="6.6640625" style="1" customWidth="1"/>
    <col min="7429" max="7429" width="19" style="1" customWidth="1"/>
    <col min="7430" max="7430" width="19.109375" style="1" customWidth="1"/>
    <col min="7431" max="7431" width="21.33203125" style="1" customWidth="1"/>
    <col min="7432" max="7432" width="32.5546875" style="1" customWidth="1"/>
    <col min="7433" max="7433" width="16.88671875" style="1" customWidth="1"/>
    <col min="7434" max="7434" width="16.33203125" style="1" customWidth="1"/>
    <col min="7435" max="7665" width="10.33203125" style="1"/>
    <col min="7666" max="7666" width="4.44140625" style="1" customWidth="1"/>
    <col min="7667" max="7667" width="21.6640625" style="1" customWidth="1"/>
    <col min="7668" max="7668" width="15" style="1" customWidth="1"/>
    <col min="7669" max="7669" width="15.44140625" style="1" customWidth="1"/>
    <col min="7670" max="7670" width="11.5546875" style="1" customWidth="1"/>
    <col min="7671" max="7671" width="7.44140625" style="1" customWidth="1"/>
    <col min="7672" max="7672" width="14.109375" style="1" customWidth="1"/>
    <col min="7673" max="7673" width="10.6640625" style="1" customWidth="1"/>
    <col min="7674" max="7674" width="13.44140625" style="1" customWidth="1"/>
    <col min="7675" max="7675" width="11.44140625" style="1" customWidth="1"/>
    <col min="7676" max="7676" width="15" style="1" customWidth="1"/>
    <col min="7677" max="7677" width="14.5546875" style="1" customWidth="1"/>
    <col min="7678" max="7678" width="10.33203125" style="1"/>
    <col min="7679" max="7679" width="7.44140625" style="1" customWidth="1"/>
    <col min="7680" max="7680" width="12.88671875" style="1" customWidth="1"/>
    <col min="7681" max="7681" width="11.109375" style="1" customWidth="1"/>
    <col min="7682" max="7682" width="14" style="1" customWidth="1"/>
    <col min="7683" max="7683" width="33" style="1" customWidth="1"/>
    <col min="7684" max="7684" width="6.6640625" style="1" customWidth="1"/>
    <col min="7685" max="7685" width="19" style="1" customWidth="1"/>
    <col min="7686" max="7686" width="19.109375" style="1" customWidth="1"/>
    <col min="7687" max="7687" width="21.33203125" style="1" customWidth="1"/>
    <col min="7688" max="7688" width="32.5546875" style="1" customWidth="1"/>
    <col min="7689" max="7689" width="16.88671875" style="1" customWidth="1"/>
    <col min="7690" max="7690" width="16.33203125" style="1" customWidth="1"/>
    <col min="7691" max="7921" width="10.33203125" style="1"/>
    <col min="7922" max="7922" width="4.44140625" style="1" customWidth="1"/>
    <col min="7923" max="7923" width="21.6640625" style="1" customWidth="1"/>
    <col min="7924" max="7924" width="15" style="1" customWidth="1"/>
    <col min="7925" max="7925" width="15.44140625" style="1" customWidth="1"/>
    <col min="7926" max="7926" width="11.5546875" style="1" customWidth="1"/>
    <col min="7927" max="7927" width="7.44140625" style="1" customWidth="1"/>
    <col min="7928" max="7928" width="14.109375" style="1" customWidth="1"/>
    <col min="7929" max="7929" width="10.6640625" style="1" customWidth="1"/>
    <col min="7930" max="7930" width="13.44140625" style="1" customWidth="1"/>
    <col min="7931" max="7931" width="11.44140625" style="1" customWidth="1"/>
    <col min="7932" max="7932" width="15" style="1" customWidth="1"/>
    <col min="7933" max="7933" width="14.5546875" style="1" customWidth="1"/>
    <col min="7934" max="7934" width="10.33203125" style="1"/>
    <col min="7935" max="7935" width="7.44140625" style="1" customWidth="1"/>
    <col min="7936" max="7936" width="12.88671875" style="1" customWidth="1"/>
    <col min="7937" max="7937" width="11.109375" style="1" customWidth="1"/>
    <col min="7938" max="7938" width="14" style="1" customWidth="1"/>
    <col min="7939" max="7939" width="33" style="1" customWidth="1"/>
    <col min="7940" max="7940" width="6.6640625" style="1" customWidth="1"/>
    <col min="7941" max="7941" width="19" style="1" customWidth="1"/>
    <col min="7942" max="7942" width="19.109375" style="1" customWidth="1"/>
    <col min="7943" max="7943" width="21.33203125" style="1" customWidth="1"/>
    <col min="7944" max="7944" width="32.5546875" style="1" customWidth="1"/>
    <col min="7945" max="7945" width="16.88671875" style="1" customWidth="1"/>
    <col min="7946" max="7946" width="16.33203125" style="1" customWidth="1"/>
    <col min="7947" max="8177" width="10.33203125" style="1"/>
    <col min="8178" max="8178" width="4.44140625" style="1" customWidth="1"/>
    <col min="8179" max="8179" width="21.6640625" style="1" customWidth="1"/>
    <col min="8180" max="8180" width="15" style="1" customWidth="1"/>
    <col min="8181" max="8181" width="15.44140625" style="1" customWidth="1"/>
    <col min="8182" max="8182" width="11.5546875" style="1" customWidth="1"/>
    <col min="8183" max="8183" width="7.44140625" style="1" customWidth="1"/>
    <col min="8184" max="8184" width="14.109375" style="1" customWidth="1"/>
    <col min="8185" max="8185" width="10.6640625" style="1" customWidth="1"/>
    <col min="8186" max="8186" width="13.44140625" style="1" customWidth="1"/>
    <col min="8187" max="8187" width="11.44140625" style="1" customWidth="1"/>
    <col min="8188" max="8188" width="15" style="1" customWidth="1"/>
    <col min="8189" max="8189" width="14.5546875" style="1" customWidth="1"/>
    <col min="8190" max="8190" width="10.33203125" style="1"/>
    <col min="8191" max="8191" width="7.44140625" style="1" customWidth="1"/>
    <col min="8192" max="8192" width="12.88671875" style="1" customWidth="1"/>
    <col min="8193" max="8193" width="11.109375" style="1" customWidth="1"/>
    <col min="8194" max="8194" width="14" style="1" customWidth="1"/>
    <col min="8195" max="8195" width="33" style="1" customWidth="1"/>
    <col min="8196" max="8196" width="6.6640625" style="1" customWidth="1"/>
    <col min="8197" max="8197" width="19" style="1" customWidth="1"/>
    <col min="8198" max="8198" width="19.109375" style="1" customWidth="1"/>
    <col min="8199" max="8199" width="21.33203125" style="1" customWidth="1"/>
    <col min="8200" max="8200" width="32.5546875" style="1" customWidth="1"/>
    <col min="8201" max="8201" width="16.88671875" style="1" customWidth="1"/>
    <col min="8202" max="8202" width="16.33203125" style="1" customWidth="1"/>
    <col min="8203" max="8433" width="10.33203125" style="1"/>
    <col min="8434" max="8434" width="4.44140625" style="1" customWidth="1"/>
    <col min="8435" max="8435" width="21.6640625" style="1" customWidth="1"/>
    <col min="8436" max="8436" width="15" style="1" customWidth="1"/>
    <col min="8437" max="8437" width="15.44140625" style="1" customWidth="1"/>
    <col min="8438" max="8438" width="11.5546875" style="1" customWidth="1"/>
    <col min="8439" max="8439" width="7.44140625" style="1" customWidth="1"/>
    <col min="8440" max="8440" width="14.109375" style="1" customWidth="1"/>
    <col min="8441" max="8441" width="10.6640625" style="1" customWidth="1"/>
    <col min="8442" max="8442" width="13.44140625" style="1" customWidth="1"/>
    <col min="8443" max="8443" width="11.44140625" style="1" customWidth="1"/>
    <col min="8444" max="8444" width="15" style="1" customWidth="1"/>
    <col min="8445" max="8445" width="14.5546875" style="1" customWidth="1"/>
    <col min="8446" max="8446" width="10.33203125" style="1"/>
    <col min="8447" max="8447" width="7.44140625" style="1" customWidth="1"/>
    <col min="8448" max="8448" width="12.88671875" style="1" customWidth="1"/>
    <col min="8449" max="8449" width="11.109375" style="1" customWidth="1"/>
    <col min="8450" max="8450" width="14" style="1" customWidth="1"/>
    <col min="8451" max="8451" width="33" style="1" customWidth="1"/>
    <col min="8452" max="8452" width="6.6640625" style="1" customWidth="1"/>
    <col min="8453" max="8453" width="19" style="1" customWidth="1"/>
    <col min="8454" max="8454" width="19.109375" style="1" customWidth="1"/>
    <col min="8455" max="8455" width="21.33203125" style="1" customWidth="1"/>
    <col min="8456" max="8456" width="32.5546875" style="1" customWidth="1"/>
    <col min="8457" max="8457" width="16.88671875" style="1" customWidth="1"/>
    <col min="8458" max="8458" width="16.33203125" style="1" customWidth="1"/>
    <col min="8459" max="8689" width="10.33203125" style="1"/>
    <col min="8690" max="8690" width="4.44140625" style="1" customWidth="1"/>
    <col min="8691" max="8691" width="21.6640625" style="1" customWidth="1"/>
    <col min="8692" max="8692" width="15" style="1" customWidth="1"/>
    <col min="8693" max="8693" width="15.44140625" style="1" customWidth="1"/>
    <col min="8694" max="8694" width="11.5546875" style="1" customWidth="1"/>
    <col min="8695" max="8695" width="7.44140625" style="1" customWidth="1"/>
    <col min="8696" max="8696" width="14.109375" style="1" customWidth="1"/>
    <col min="8697" max="8697" width="10.6640625" style="1" customWidth="1"/>
    <col min="8698" max="8698" width="13.44140625" style="1" customWidth="1"/>
    <col min="8699" max="8699" width="11.44140625" style="1" customWidth="1"/>
    <col min="8700" max="8700" width="15" style="1" customWidth="1"/>
    <col min="8701" max="8701" width="14.5546875" style="1" customWidth="1"/>
    <col min="8702" max="8702" width="10.33203125" style="1"/>
    <col min="8703" max="8703" width="7.44140625" style="1" customWidth="1"/>
    <col min="8704" max="8704" width="12.88671875" style="1" customWidth="1"/>
    <col min="8705" max="8705" width="11.109375" style="1" customWidth="1"/>
    <col min="8706" max="8706" width="14" style="1" customWidth="1"/>
    <col min="8707" max="8707" width="33" style="1" customWidth="1"/>
    <col min="8708" max="8708" width="6.6640625" style="1" customWidth="1"/>
    <col min="8709" max="8709" width="19" style="1" customWidth="1"/>
    <col min="8710" max="8710" width="19.109375" style="1" customWidth="1"/>
    <col min="8711" max="8711" width="21.33203125" style="1" customWidth="1"/>
    <col min="8712" max="8712" width="32.5546875" style="1" customWidth="1"/>
    <col min="8713" max="8713" width="16.88671875" style="1" customWidth="1"/>
    <col min="8714" max="8714" width="16.33203125" style="1" customWidth="1"/>
    <col min="8715" max="8945" width="10.33203125" style="1"/>
    <col min="8946" max="8946" width="4.44140625" style="1" customWidth="1"/>
    <col min="8947" max="8947" width="21.6640625" style="1" customWidth="1"/>
    <col min="8948" max="8948" width="15" style="1" customWidth="1"/>
    <col min="8949" max="8949" width="15.44140625" style="1" customWidth="1"/>
    <col min="8950" max="8950" width="11.5546875" style="1" customWidth="1"/>
    <col min="8951" max="8951" width="7.44140625" style="1" customWidth="1"/>
    <col min="8952" max="8952" width="14.109375" style="1" customWidth="1"/>
    <col min="8953" max="8953" width="10.6640625" style="1" customWidth="1"/>
    <col min="8954" max="8954" width="13.44140625" style="1" customWidth="1"/>
    <col min="8955" max="8955" width="11.44140625" style="1" customWidth="1"/>
    <col min="8956" max="8956" width="15" style="1" customWidth="1"/>
    <col min="8957" max="8957" width="14.5546875" style="1" customWidth="1"/>
    <col min="8958" max="8958" width="10.33203125" style="1"/>
    <col min="8959" max="8959" width="7.44140625" style="1" customWidth="1"/>
    <col min="8960" max="8960" width="12.88671875" style="1" customWidth="1"/>
    <col min="8961" max="8961" width="11.109375" style="1" customWidth="1"/>
    <col min="8962" max="8962" width="14" style="1" customWidth="1"/>
    <col min="8963" max="8963" width="33" style="1" customWidth="1"/>
    <col min="8964" max="8964" width="6.6640625" style="1" customWidth="1"/>
    <col min="8965" max="8965" width="19" style="1" customWidth="1"/>
    <col min="8966" max="8966" width="19.109375" style="1" customWidth="1"/>
    <col min="8967" max="8967" width="21.33203125" style="1" customWidth="1"/>
    <col min="8968" max="8968" width="32.5546875" style="1" customWidth="1"/>
    <col min="8969" max="8969" width="16.88671875" style="1" customWidth="1"/>
    <col min="8970" max="8970" width="16.33203125" style="1" customWidth="1"/>
    <col min="8971" max="9201" width="10.33203125" style="1"/>
    <col min="9202" max="9202" width="4.44140625" style="1" customWidth="1"/>
    <col min="9203" max="9203" width="21.6640625" style="1" customWidth="1"/>
    <col min="9204" max="9204" width="15" style="1" customWidth="1"/>
    <col min="9205" max="9205" width="15.44140625" style="1" customWidth="1"/>
    <col min="9206" max="9206" width="11.5546875" style="1" customWidth="1"/>
    <col min="9207" max="9207" width="7.44140625" style="1" customWidth="1"/>
    <col min="9208" max="9208" width="14.109375" style="1" customWidth="1"/>
    <col min="9209" max="9209" width="10.6640625" style="1" customWidth="1"/>
    <col min="9210" max="9210" width="13.44140625" style="1" customWidth="1"/>
    <col min="9211" max="9211" width="11.44140625" style="1" customWidth="1"/>
    <col min="9212" max="9212" width="15" style="1" customWidth="1"/>
    <col min="9213" max="9213" width="14.5546875" style="1" customWidth="1"/>
    <col min="9214" max="9214" width="10.33203125" style="1"/>
    <col min="9215" max="9215" width="7.44140625" style="1" customWidth="1"/>
    <col min="9216" max="9216" width="12.88671875" style="1" customWidth="1"/>
    <col min="9217" max="9217" width="11.109375" style="1" customWidth="1"/>
    <col min="9218" max="9218" width="14" style="1" customWidth="1"/>
    <col min="9219" max="9219" width="33" style="1" customWidth="1"/>
    <col min="9220" max="9220" width="6.6640625" style="1" customWidth="1"/>
    <col min="9221" max="9221" width="19" style="1" customWidth="1"/>
    <col min="9222" max="9222" width="19.109375" style="1" customWidth="1"/>
    <col min="9223" max="9223" width="21.33203125" style="1" customWidth="1"/>
    <col min="9224" max="9224" width="32.5546875" style="1" customWidth="1"/>
    <col min="9225" max="9225" width="16.88671875" style="1" customWidth="1"/>
    <col min="9226" max="9226" width="16.33203125" style="1" customWidth="1"/>
    <col min="9227" max="9457" width="10.33203125" style="1"/>
    <col min="9458" max="9458" width="4.44140625" style="1" customWidth="1"/>
    <col min="9459" max="9459" width="21.6640625" style="1" customWidth="1"/>
    <col min="9460" max="9460" width="15" style="1" customWidth="1"/>
    <col min="9461" max="9461" width="15.44140625" style="1" customWidth="1"/>
    <col min="9462" max="9462" width="11.5546875" style="1" customWidth="1"/>
    <col min="9463" max="9463" width="7.44140625" style="1" customWidth="1"/>
    <col min="9464" max="9464" width="14.109375" style="1" customWidth="1"/>
    <col min="9465" max="9465" width="10.6640625" style="1" customWidth="1"/>
    <col min="9466" max="9466" width="13.44140625" style="1" customWidth="1"/>
    <col min="9467" max="9467" width="11.44140625" style="1" customWidth="1"/>
    <col min="9468" max="9468" width="15" style="1" customWidth="1"/>
    <col min="9469" max="9469" width="14.5546875" style="1" customWidth="1"/>
    <col min="9470" max="9470" width="10.33203125" style="1"/>
    <col min="9471" max="9471" width="7.44140625" style="1" customWidth="1"/>
    <col min="9472" max="9472" width="12.88671875" style="1" customWidth="1"/>
    <col min="9473" max="9473" width="11.109375" style="1" customWidth="1"/>
    <col min="9474" max="9474" width="14" style="1" customWidth="1"/>
    <col min="9475" max="9475" width="33" style="1" customWidth="1"/>
    <col min="9476" max="9476" width="6.6640625" style="1" customWidth="1"/>
    <col min="9477" max="9477" width="19" style="1" customWidth="1"/>
    <col min="9478" max="9478" width="19.109375" style="1" customWidth="1"/>
    <col min="9479" max="9479" width="21.33203125" style="1" customWidth="1"/>
    <col min="9480" max="9480" width="32.5546875" style="1" customWidth="1"/>
    <col min="9481" max="9481" width="16.88671875" style="1" customWidth="1"/>
    <col min="9482" max="9482" width="16.33203125" style="1" customWidth="1"/>
    <col min="9483" max="9713" width="10.33203125" style="1"/>
    <col min="9714" max="9714" width="4.44140625" style="1" customWidth="1"/>
    <col min="9715" max="9715" width="21.6640625" style="1" customWidth="1"/>
    <col min="9716" max="9716" width="15" style="1" customWidth="1"/>
    <col min="9717" max="9717" width="15.44140625" style="1" customWidth="1"/>
    <col min="9718" max="9718" width="11.5546875" style="1" customWidth="1"/>
    <col min="9719" max="9719" width="7.44140625" style="1" customWidth="1"/>
    <col min="9720" max="9720" width="14.109375" style="1" customWidth="1"/>
    <col min="9721" max="9721" width="10.6640625" style="1" customWidth="1"/>
    <col min="9722" max="9722" width="13.44140625" style="1" customWidth="1"/>
    <col min="9723" max="9723" width="11.44140625" style="1" customWidth="1"/>
    <col min="9724" max="9724" width="15" style="1" customWidth="1"/>
    <col min="9725" max="9725" width="14.5546875" style="1" customWidth="1"/>
    <col min="9726" max="9726" width="10.33203125" style="1"/>
    <col min="9727" max="9727" width="7.44140625" style="1" customWidth="1"/>
    <col min="9728" max="9728" width="12.88671875" style="1" customWidth="1"/>
    <col min="9729" max="9729" width="11.109375" style="1" customWidth="1"/>
    <col min="9730" max="9730" width="14" style="1" customWidth="1"/>
    <col min="9731" max="9731" width="33" style="1" customWidth="1"/>
    <col min="9732" max="9732" width="6.6640625" style="1" customWidth="1"/>
    <col min="9733" max="9733" width="19" style="1" customWidth="1"/>
    <col min="9734" max="9734" width="19.109375" style="1" customWidth="1"/>
    <col min="9735" max="9735" width="21.33203125" style="1" customWidth="1"/>
    <col min="9736" max="9736" width="32.5546875" style="1" customWidth="1"/>
    <col min="9737" max="9737" width="16.88671875" style="1" customWidth="1"/>
    <col min="9738" max="9738" width="16.33203125" style="1" customWidth="1"/>
    <col min="9739" max="9969" width="10.33203125" style="1"/>
    <col min="9970" max="9970" width="4.44140625" style="1" customWidth="1"/>
    <col min="9971" max="9971" width="21.6640625" style="1" customWidth="1"/>
    <col min="9972" max="9972" width="15" style="1" customWidth="1"/>
    <col min="9973" max="9973" width="15.44140625" style="1" customWidth="1"/>
    <col min="9974" max="9974" width="11.5546875" style="1" customWidth="1"/>
    <col min="9975" max="9975" width="7.44140625" style="1" customWidth="1"/>
    <col min="9976" max="9976" width="14.109375" style="1" customWidth="1"/>
    <col min="9977" max="9977" width="10.6640625" style="1" customWidth="1"/>
    <col min="9978" max="9978" width="13.44140625" style="1" customWidth="1"/>
    <col min="9979" max="9979" width="11.44140625" style="1" customWidth="1"/>
    <col min="9980" max="9980" width="15" style="1" customWidth="1"/>
    <col min="9981" max="9981" width="14.5546875" style="1" customWidth="1"/>
    <col min="9982" max="9982" width="10.33203125" style="1"/>
    <col min="9983" max="9983" width="7.44140625" style="1" customWidth="1"/>
    <col min="9984" max="9984" width="12.88671875" style="1" customWidth="1"/>
    <col min="9985" max="9985" width="11.109375" style="1" customWidth="1"/>
    <col min="9986" max="9986" width="14" style="1" customWidth="1"/>
    <col min="9987" max="9987" width="33" style="1" customWidth="1"/>
    <col min="9988" max="9988" width="6.6640625" style="1" customWidth="1"/>
    <col min="9989" max="9989" width="19" style="1" customWidth="1"/>
    <col min="9990" max="9990" width="19.109375" style="1" customWidth="1"/>
    <col min="9991" max="9991" width="21.33203125" style="1" customWidth="1"/>
    <col min="9992" max="9992" width="32.5546875" style="1" customWidth="1"/>
    <col min="9993" max="9993" width="16.88671875" style="1" customWidth="1"/>
    <col min="9994" max="9994" width="16.33203125" style="1" customWidth="1"/>
    <col min="9995" max="10225" width="10.33203125" style="1"/>
    <col min="10226" max="10226" width="4.44140625" style="1" customWidth="1"/>
    <col min="10227" max="10227" width="21.6640625" style="1" customWidth="1"/>
    <col min="10228" max="10228" width="15" style="1" customWidth="1"/>
    <col min="10229" max="10229" width="15.44140625" style="1" customWidth="1"/>
    <col min="10230" max="10230" width="11.5546875" style="1" customWidth="1"/>
    <col min="10231" max="10231" width="7.44140625" style="1" customWidth="1"/>
    <col min="10232" max="10232" width="14.109375" style="1" customWidth="1"/>
    <col min="10233" max="10233" width="10.6640625" style="1" customWidth="1"/>
    <col min="10234" max="10234" width="13.44140625" style="1" customWidth="1"/>
    <col min="10235" max="10235" width="11.44140625" style="1" customWidth="1"/>
    <col min="10236" max="10236" width="15" style="1" customWidth="1"/>
    <col min="10237" max="10237" width="14.5546875" style="1" customWidth="1"/>
    <col min="10238" max="10238" width="10.33203125" style="1"/>
    <col min="10239" max="10239" width="7.44140625" style="1" customWidth="1"/>
    <col min="10240" max="10240" width="12.88671875" style="1" customWidth="1"/>
    <col min="10241" max="10241" width="11.109375" style="1" customWidth="1"/>
    <col min="10242" max="10242" width="14" style="1" customWidth="1"/>
    <col min="10243" max="10243" width="33" style="1" customWidth="1"/>
    <col min="10244" max="10244" width="6.6640625" style="1" customWidth="1"/>
    <col min="10245" max="10245" width="19" style="1" customWidth="1"/>
    <col min="10246" max="10246" width="19.109375" style="1" customWidth="1"/>
    <col min="10247" max="10247" width="21.33203125" style="1" customWidth="1"/>
    <col min="10248" max="10248" width="32.5546875" style="1" customWidth="1"/>
    <col min="10249" max="10249" width="16.88671875" style="1" customWidth="1"/>
    <col min="10250" max="10250" width="16.33203125" style="1" customWidth="1"/>
    <col min="10251" max="10481" width="10.33203125" style="1"/>
    <col min="10482" max="10482" width="4.44140625" style="1" customWidth="1"/>
    <col min="10483" max="10483" width="21.6640625" style="1" customWidth="1"/>
    <col min="10484" max="10484" width="15" style="1" customWidth="1"/>
    <col min="10485" max="10485" width="15.44140625" style="1" customWidth="1"/>
    <col min="10486" max="10486" width="11.5546875" style="1" customWidth="1"/>
    <col min="10487" max="10487" width="7.44140625" style="1" customWidth="1"/>
    <col min="10488" max="10488" width="14.109375" style="1" customWidth="1"/>
    <col min="10489" max="10489" width="10.6640625" style="1" customWidth="1"/>
    <col min="10490" max="10490" width="13.44140625" style="1" customWidth="1"/>
    <col min="10491" max="10491" width="11.44140625" style="1" customWidth="1"/>
    <col min="10492" max="10492" width="15" style="1" customWidth="1"/>
    <col min="10493" max="10493" width="14.5546875" style="1" customWidth="1"/>
    <col min="10494" max="10494" width="10.33203125" style="1"/>
    <col min="10495" max="10495" width="7.44140625" style="1" customWidth="1"/>
    <col min="10496" max="10496" width="12.88671875" style="1" customWidth="1"/>
    <col min="10497" max="10497" width="11.109375" style="1" customWidth="1"/>
    <col min="10498" max="10498" width="14" style="1" customWidth="1"/>
    <col min="10499" max="10499" width="33" style="1" customWidth="1"/>
    <col min="10500" max="10500" width="6.6640625" style="1" customWidth="1"/>
    <col min="10501" max="10501" width="19" style="1" customWidth="1"/>
    <col min="10502" max="10502" width="19.109375" style="1" customWidth="1"/>
    <col min="10503" max="10503" width="21.33203125" style="1" customWidth="1"/>
    <col min="10504" max="10504" width="32.5546875" style="1" customWidth="1"/>
    <col min="10505" max="10505" width="16.88671875" style="1" customWidth="1"/>
    <col min="10506" max="10506" width="16.33203125" style="1" customWidth="1"/>
    <col min="10507" max="10737" width="10.33203125" style="1"/>
    <col min="10738" max="10738" width="4.44140625" style="1" customWidth="1"/>
    <col min="10739" max="10739" width="21.6640625" style="1" customWidth="1"/>
    <col min="10740" max="10740" width="15" style="1" customWidth="1"/>
    <col min="10741" max="10741" width="15.44140625" style="1" customWidth="1"/>
    <col min="10742" max="10742" width="11.5546875" style="1" customWidth="1"/>
    <col min="10743" max="10743" width="7.44140625" style="1" customWidth="1"/>
    <col min="10744" max="10744" width="14.109375" style="1" customWidth="1"/>
    <col min="10745" max="10745" width="10.6640625" style="1" customWidth="1"/>
    <col min="10746" max="10746" width="13.44140625" style="1" customWidth="1"/>
    <col min="10747" max="10747" width="11.44140625" style="1" customWidth="1"/>
    <col min="10748" max="10748" width="15" style="1" customWidth="1"/>
    <col min="10749" max="10749" width="14.5546875" style="1" customWidth="1"/>
    <col min="10750" max="10750" width="10.33203125" style="1"/>
    <col min="10751" max="10751" width="7.44140625" style="1" customWidth="1"/>
    <col min="10752" max="10752" width="12.88671875" style="1" customWidth="1"/>
    <col min="10753" max="10753" width="11.109375" style="1" customWidth="1"/>
    <col min="10754" max="10754" width="14" style="1" customWidth="1"/>
    <col min="10755" max="10755" width="33" style="1" customWidth="1"/>
    <col min="10756" max="10756" width="6.6640625" style="1" customWidth="1"/>
    <col min="10757" max="10757" width="19" style="1" customWidth="1"/>
    <col min="10758" max="10758" width="19.109375" style="1" customWidth="1"/>
    <col min="10759" max="10759" width="21.33203125" style="1" customWidth="1"/>
    <col min="10760" max="10760" width="32.5546875" style="1" customWidth="1"/>
    <col min="10761" max="10761" width="16.88671875" style="1" customWidth="1"/>
    <col min="10762" max="10762" width="16.33203125" style="1" customWidth="1"/>
    <col min="10763" max="10993" width="10.33203125" style="1"/>
    <col min="10994" max="10994" width="4.44140625" style="1" customWidth="1"/>
    <col min="10995" max="10995" width="21.6640625" style="1" customWidth="1"/>
    <col min="10996" max="10996" width="15" style="1" customWidth="1"/>
    <col min="10997" max="10997" width="15.44140625" style="1" customWidth="1"/>
    <col min="10998" max="10998" width="11.5546875" style="1" customWidth="1"/>
    <col min="10999" max="10999" width="7.44140625" style="1" customWidth="1"/>
    <col min="11000" max="11000" width="14.109375" style="1" customWidth="1"/>
    <col min="11001" max="11001" width="10.6640625" style="1" customWidth="1"/>
    <col min="11002" max="11002" width="13.44140625" style="1" customWidth="1"/>
    <col min="11003" max="11003" width="11.44140625" style="1" customWidth="1"/>
    <col min="11004" max="11004" width="15" style="1" customWidth="1"/>
    <col min="11005" max="11005" width="14.5546875" style="1" customWidth="1"/>
    <col min="11006" max="11006" width="10.33203125" style="1"/>
    <col min="11007" max="11007" width="7.44140625" style="1" customWidth="1"/>
    <col min="11008" max="11008" width="12.88671875" style="1" customWidth="1"/>
    <col min="11009" max="11009" width="11.109375" style="1" customWidth="1"/>
    <col min="11010" max="11010" width="14" style="1" customWidth="1"/>
    <col min="11011" max="11011" width="33" style="1" customWidth="1"/>
    <col min="11012" max="11012" width="6.6640625" style="1" customWidth="1"/>
    <col min="11013" max="11013" width="19" style="1" customWidth="1"/>
    <col min="11014" max="11014" width="19.109375" style="1" customWidth="1"/>
    <col min="11015" max="11015" width="21.33203125" style="1" customWidth="1"/>
    <col min="11016" max="11016" width="32.5546875" style="1" customWidth="1"/>
    <col min="11017" max="11017" width="16.88671875" style="1" customWidth="1"/>
    <col min="11018" max="11018" width="16.33203125" style="1" customWidth="1"/>
    <col min="11019" max="11249" width="10.33203125" style="1"/>
    <col min="11250" max="11250" width="4.44140625" style="1" customWidth="1"/>
    <col min="11251" max="11251" width="21.6640625" style="1" customWidth="1"/>
    <col min="11252" max="11252" width="15" style="1" customWidth="1"/>
    <col min="11253" max="11253" width="15.44140625" style="1" customWidth="1"/>
    <col min="11254" max="11254" width="11.5546875" style="1" customWidth="1"/>
    <col min="11255" max="11255" width="7.44140625" style="1" customWidth="1"/>
    <col min="11256" max="11256" width="14.109375" style="1" customWidth="1"/>
    <col min="11257" max="11257" width="10.6640625" style="1" customWidth="1"/>
    <col min="11258" max="11258" width="13.44140625" style="1" customWidth="1"/>
    <col min="11259" max="11259" width="11.44140625" style="1" customWidth="1"/>
    <col min="11260" max="11260" width="15" style="1" customWidth="1"/>
    <col min="11261" max="11261" width="14.5546875" style="1" customWidth="1"/>
    <col min="11262" max="11262" width="10.33203125" style="1"/>
    <col min="11263" max="11263" width="7.44140625" style="1" customWidth="1"/>
    <col min="11264" max="11264" width="12.88671875" style="1" customWidth="1"/>
    <col min="11265" max="11265" width="11.109375" style="1" customWidth="1"/>
    <col min="11266" max="11266" width="14" style="1" customWidth="1"/>
    <col min="11267" max="11267" width="33" style="1" customWidth="1"/>
    <col min="11268" max="11268" width="6.6640625" style="1" customWidth="1"/>
    <col min="11269" max="11269" width="19" style="1" customWidth="1"/>
    <col min="11270" max="11270" width="19.109375" style="1" customWidth="1"/>
    <col min="11271" max="11271" width="21.33203125" style="1" customWidth="1"/>
    <col min="11272" max="11272" width="32.5546875" style="1" customWidth="1"/>
    <col min="11273" max="11273" width="16.88671875" style="1" customWidth="1"/>
    <col min="11274" max="11274" width="16.33203125" style="1" customWidth="1"/>
    <col min="11275" max="11505" width="10.33203125" style="1"/>
    <col min="11506" max="11506" width="4.44140625" style="1" customWidth="1"/>
    <col min="11507" max="11507" width="21.6640625" style="1" customWidth="1"/>
    <col min="11508" max="11508" width="15" style="1" customWidth="1"/>
    <col min="11509" max="11509" width="15.44140625" style="1" customWidth="1"/>
    <col min="11510" max="11510" width="11.5546875" style="1" customWidth="1"/>
    <col min="11511" max="11511" width="7.44140625" style="1" customWidth="1"/>
    <col min="11512" max="11512" width="14.109375" style="1" customWidth="1"/>
    <col min="11513" max="11513" width="10.6640625" style="1" customWidth="1"/>
    <col min="11514" max="11514" width="13.44140625" style="1" customWidth="1"/>
    <col min="11515" max="11515" width="11.44140625" style="1" customWidth="1"/>
    <col min="11516" max="11516" width="15" style="1" customWidth="1"/>
    <col min="11517" max="11517" width="14.5546875" style="1" customWidth="1"/>
    <col min="11518" max="11518" width="10.33203125" style="1"/>
    <col min="11519" max="11519" width="7.44140625" style="1" customWidth="1"/>
    <col min="11520" max="11520" width="12.88671875" style="1" customWidth="1"/>
    <col min="11521" max="11521" width="11.109375" style="1" customWidth="1"/>
    <col min="11522" max="11522" width="14" style="1" customWidth="1"/>
    <col min="11523" max="11523" width="33" style="1" customWidth="1"/>
    <col min="11524" max="11524" width="6.6640625" style="1" customWidth="1"/>
    <col min="11525" max="11525" width="19" style="1" customWidth="1"/>
    <col min="11526" max="11526" width="19.109375" style="1" customWidth="1"/>
    <col min="11527" max="11527" width="21.33203125" style="1" customWidth="1"/>
    <col min="11528" max="11528" width="32.5546875" style="1" customWidth="1"/>
    <col min="11529" max="11529" width="16.88671875" style="1" customWidth="1"/>
    <col min="11530" max="11530" width="16.33203125" style="1" customWidth="1"/>
    <col min="11531" max="11761" width="10.33203125" style="1"/>
    <col min="11762" max="11762" width="4.44140625" style="1" customWidth="1"/>
    <col min="11763" max="11763" width="21.6640625" style="1" customWidth="1"/>
    <col min="11764" max="11764" width="15" style="1" customWidth="1"/>
    <col min="11765" max="11765" width="15.44140625" style="1" customWidth="1"/>
    <col min="11766" max="11766" width="11.5546875" style="1" customWidth="1"/>
    <col min="11767" max="11767" width="7.44140625" style="1" customWidth="1"/>
    <col min="11768" max="11768" width="14.109375" style="1" customWidth="1"/>
    <col min="11769" max="11769" width="10.6640625" style="1" customWidth="1"/>
    <col min="11770" max="11770" width="13.44140625" style="1" customWidth="1"/>
    <col min="11771" max="11771" width="11.44140625" style="1" customWidth="1"/>
    <col min="11772" max="11772" width="15" style="1" customWidth="1"/>
    <col min="11773" max="11773" width="14.5546875" style="1" customWidth="1"/>
    <col min="11774" max="11774" width="10.33203125" style="1"/>
    <col min="11775" max="11775" width="7.44140625" style="1" customWidth="1"/>
    <col min="11776" max="11776" width="12.88671875" style="1" customWidth="1"/>
    <col min="11777" max="11777" width="11.109375" style="1" customWidth="1"/>
    <col min="11778" max="11778" width="14" style="1" customWidth="1"/>
    <col min="11779" max="11779" width="33" style="1" customWidth="1"/>
    <col min="11780" max="11780" width="6.6640625" style="1" customWidth="1"/>
    <col min="11781" max="11781" width="19" style="1" customWidth="1"/>
    <col min="11782" max="11782" width="19.109375" style="1" customWidth="1"/>
    <col min="11783" max="11783" width="21.33203125" style="1" customWidth="1"/>
    <col min="11784" max="11784" width="32.5546875" style="1" customWidth="1"/>
    <col min="11785" max="11785" width="16.88671875" style="1" customWidth="1"/>
    <col min="11786" max="11786" width="16.33203125" style="1" customWidth="1"/>
    <col min="11787" max="12017" width="10.33203125" style="1"/>
    <col min="12018" max="12018" width="4.44140625" style="1" customWidth="1"/>
    <col min="12019" max="12019" width="21.6640625" style="1" customWidth="1"/>
    <col min="12020" max="12020" width="15" style="1" customWidth="1"/>
    <col min="12021" max="12021" width="15.44140625" style="1" customWidth="1"/>
    <col min="12022" max="12022" width="11.5546875" style="1" customWidth="1"/>
    <col min="12023" max="12023" width="7.44140625" style="1" customWidth="1"/>
    <col min="12024" max="12024" width="14.109375" style="1" customWidth="1"/>
    <col min="12025" max="12025" width="10.6640625" style="1" customWidth="1"/>
    <col min="12026" max="12026" width="13.44140625" style="1" customWidth="1"/>
    <col min="12027" max="12027" width="11.44140625" style="1" customWidth="1"/>
    <col min="12028" max="12028" width="15" style="1" customWidth="1"/>
    <col min="12029" max="12029" width="14.5546875" style="1" customWidth="1"/>
    <col min="12030" max="12030" width="10.33203125" style="1"/>
    <col min="12031" max="12031" width="7.44140625" style="1" customWidth="1"/>
    <col min="12032" max="12032" width="12.88671875" style="1" customWidth="1"/>
    <col min="12033" max="12033" width="11.109375" style="1" customWidth="1"/>
    <col min="12034" max="12034" width="14" style="1" customWidth="1"/>
    <col min="12035" max="12035" width="33" style="1" customWidth="1"/>
    <col min="12036" max="12036" width="6.6640625" style="1" customWidth="1"/>
    <col min="12037" max="12037" width="19" style="1" customWidth="1"/>
    <col min="12038" max="12038" width="19.109375" style="1" customWidth="1"/>
    <col min="12039" max="12039" width="21.33203125" style="1" customWidth="1"/>
    <col min="12040" max="12040" width="32.5546875" style="1" customWidth="1"/>
    <col min="12041" max="12041" width="16.88671875" style="1" customWidth="1"/>
    <col min="12042" max="12042" width="16.33203125" style="1" customWidth="1"/>
    <col min="12043" max="12273" width="10.33203125" style="1"/>
    <col min="12274" max="12274" width="4.44140625" style="1" customWidth="1"/>
    <col min="12275" max="12275" width="21.6640625" style="1" customWidth="1"/>
    <col min="12276" max="12276" width="15" style="1" customWidth="1"/>
    <col min="12277" max="12277" width="15.44140625" style="1" customWidth="1"/>
    <col min="12278" max="12278" width="11.5546875" style="1" customWidth="1"/>
    <col min="12279" max="12279" width="7.44140625" style="1" customWidth="1"/>
    <col min="12280" max="12280" width="14.109375" style="1" customWidth="1"/>
    <col min="12281" max="12281" width="10.6640625" style="1" customWidth="1"/>
    <col min="12282" max="12282" width="13.44140625" style="1" customWidth="1"/>
    <col min="12283" max="12283" width="11.44140625" style="1" customWidth="1"/>
    <col min="12284" max="12284" width="15" style="1" customWidth="1"/>
    <col min="12285" max="12285" width="14.5546875" style="1" customWidth="1"/>
    <col min="12286" max="12286" width="10.33203125" style="1"/>
    <col min="12287" max="12287" width="7.44140625" style="1" customWidth="1"/>
    <col min="12288" max="12288" width="12.88671875" style="1" customWidth="1"/>
    <col min="12289" max="12289" width="11.109375" style="1" customWidth="1"/>
    <col min="12290" max="12290" width="14" style="1" customWidth="1"/>
    <col min="12291" max="12291" width="33" style="1" customWidth="1"/>
    <col min="12292" max="12292" width="6.6640625" style="1" customWidth="1"/>
    <col min="12293" max="12293" width="19" style="1" customWidth="1"/>
    <col min="12294" max="12294" width="19.109375" style="1" customWidth="1"/>
    <col min="12295" max="12295" width="21.33203125" style="1" customWidth="1"/>
    <col min="12296" max="12296" width="32.5546875" style="1" customWidth="1"/>
    <col min="12297" max="12297" width="16.88671875" style="1" customWidth="1"/>
    <col min="12298" max="12298" width="16.33203125" style="1" customWidth="1"/>
    <col min="12299" max="12529" width="10.33203125" style="1"/>
    <col min="12530" max="12530" width="4.44140625" style="1" customWidth="1"/>
    <col min="12531" max="12531" width="21.6640625" style="1" customWidth="1"/>
    <col min="12532" max="12532" width="15" style="1" customWidth="1"/>
    <col min="12533" max="12533" width="15.44140625" style="1" customWidth="1"/>
    <col min="12534" max="12534" width="11.5546875" style="1" customWidth="1"/>
    <col min="12535" max="12535" width="7.44140625" style="1" customWidth="1"/>
    <col min="12536" max="12536" width="14.109375" style="1" customWidth="1"/>
    <col min="12537" max="12537" width="10.6640625" style="1" customWidth="1"/>
    <col min="12538" max="12538" width="13.44140625" style="1" customWidth="1"/>
    <col min="12539" max="12539" width="11.44140625" style="1" customWidth="1"/>
    <col min="12540" max="12540" width="15" style="1" customWidth="1"/>
    <col min="12541" max="12541" width="14.5546875" style="1" customWidth="1"/>
    <col min="12542" max="12542" width="10.33203125" style="1"/>
    <col min="12543" max="12543" width="7.44140625" style="1" customWidth="1"/>
    <col min="12544" max="12544" width="12.88671875" style="1" customWidth="1"/>
    <col min="12545" max="12545" width="11.109375" style="1" customWidth="1"/>
    <col min="12546" max="12546" width="14" style="1" customWidth="1"/>
    <col min="12547" max="12547" width="33" style="1" customWidth="1"/>
    <col min="12548" max="12548" width="6.6640625" style="1" customWidth="1"/>
    <col min="12549" max="12549" width="19" style="1" customWidth="1"/>
    <col min="12550" max="12550" width="19.109375" style="1" customWidth="1"/>
    <col min="12551" max="12551" width="21.33203125" style="1" customWidth="1"/>
    <col min="12552" max="12552" width="32.5546875" style="1" customWidth="1"/>
    <col min="12553" max="12553" width="16.88671875" style="1" customWidth="1"/>
    <col min="12554" max="12554" width="16.33203125" style="1" customWidth="1"/>
    <col min="12555" max="12785" width="10.33203125" style="1"/>
    <col min="12786" max="12786" width="4.44140625" style="1" customWidth="1"/>
    <col min="12787" max="12787" width="21.6640625" style="1" customWidth="1"/>
    <col min="12788" max="12788" width="15" style="1" customWidth="1"/>
    <col min="12789" max="12789" width="15.44140625" style="1" customWidth="1"/>
    <col min="12790" max="12790" width="11.5546875" style="1" customWidth="1"/>
    <col min="12791" max="12791" width="7.44140625" style="1" customWidth="1"/>
    <col min="12792" max="12792" width="14.109375" style="1" customWidth="1"/>
    <col min="12793" max="12793" width="10.6640625" style="1" customWidth="1"/>
    <col min="12794" max="12794" width="13.44140625" style="1" customWidth="1"/>
    <col min="12795" max="12795" width="11.44140625" style="1" customWidth="1"/>
    <col min="12796" max="12796" width="15" style="1" customWidth="1"/>
    <col min="12797" max="12797" width="14.5546875" style="1" customWidth="1"/>
    <col min="12798" max="12798" width="10.33203125" style="1"/>
    <col min="12799" max="12799" width="7.44140625" style="1" customWidth="1"/>
    <col min="12800" max="12800" width="12.88671875" style="1" customWidth="1"/>
    <col min="12801" max="12801" width="11.109375" style="1" customWidth="1"/>
    <col min="12802" max="12802" width="14" style="1" customWidth="1"/>
    <col min="12803" max="12803" width="33" style="1" customWidth="1"/>
    <col min="12804" max="12804" width="6.6640625" style="1" customWidth="1"/>
    <col min="12805" max="12805" width="19" style="1" customWidth="1"/>
    <col min="12806" max="12806" width="19.109375" style="1" customWidth="1"/>
    <col min="12807" max="12807" width="21.33203125" style="1" customWidth="1"/>
    <col min="12808" max="12808" width="32.5546875" style="1" customWidth="1"/>
    <col min="12809" max="12809" width="16.88671875" style="1" customWidth="1"/>
    <col min="12810" max="12810" width="16.33203125" style="1" customWidth="1"/>
    <col min="12811" max="13041" width="10.33203125" style="1"/>
    <col min="13042" max="13042" width="4.44140625" style="1" customWidth="1"/>
    <col min="13043" max="13043" width="21.6640625" style="1" customWidth="1"/>
    <col min="13044" max="13044" width="15" style="1" customWidth="1"/>
    <col min="13045" max="13045" width="15.44140625" style="1" customWidth="1"/>
    <col min="13046" max="13046" width="11.5546875" style="1" customWidth="1"/>
    <col min="13047" max="13047" width="7.44140625" style="1" customWidth="1"/>
    <col min="13048" max="13048" width="14.109375" style="1" customWidth="1"/>
    <col min="13049" max="13049" width="10.6640625" style="1" customWidth="1"/>
    <col min="13050" max="13050" width="13.44140625" style="1" customWidth="1"/>
    <col min="13051" max="13051" width="11.44140625" style="1" customWidth="1"/>
    <col min="13052" max="13052" width="15" style="1" customWidth="1"/>
    <col min="13053" max="13053" width="14.5546875" style="1" customWidth="1"/>
    <col min="13054" max="13054" width="10.33203125" style="1"/>
    <col min="13055" max="13055" width="7.44140625" style="1" customWidth="1"/>
    <col min="13056" max="13056" width="12.88671875" style="1" customWidth="1"/>
    <col min="13057" max="13057" width="11.109375" style="1" customWidth="1"/>
    <col min="13058" max="13058" width="14" style="1" customWidth="1"/>
    <col min="13059" max="13059" width="33" style="1" customWidth="1"/>
    <col min="13060" max="13060" width="6.6640625" style="1" customWidth="1"/>
    <col min="13061" max="13061" width="19" style="1" customWidth="1"/>
    <col min="13062" max="13062" width="19.109375" style="1" customWidth="1"/>
    <col min="13063" max="13063" width="21.33203125" style="1" customWidth="1"/>
    <col min="13064" max="13064" width="32.5546875" style="1" customWidth="1"/>
    <col min="13065" max="13065" width="16.88671875" style="1" customWidth="1"/>
    <col min="13066" max="13066" width="16.33203125" style="1" customWidth="1"/>
    <col min="13067" max="13297" width="10.33203125" style="1"/>
    <col min="13298" max="13298" width="4.44140625" style="1" customWidth="1"/>
    <col min="13299" max="13299" width="21.6640625" style="1" customWidth="1"/>
    <col min="13300" max="13300" width="15" style="1" customWidth="1"/>
    <col min="13301" max="13301" width="15.44140625" style="1" customWidth="1"/>
    <col min="13302" max="13302" width="11.5546875" style="1" customWidth="1"/>
    <col min="13303" max="13303" width="7.44140625" style="1" customWidth="1"/>
    <col min="13304" max="13304" width="14.109375" style="1" customWidth="1"/>
    <col min="13305" max="13305" width="10.6640625" style="1" customWidth="1"/>
    <col min="13306" max="13306" width="13.44140625" style="1" customWidth="1"/>
    <col min="13307" max="13307" width="11.44140625" style="1" customWidth="1"/>
    <col min="13308" max="13308" width="15" style="1" customWidth="1"/>
    <col min="13309" max="13309" width="14.5546875" style="1" customWidth="1"/>
    <col min="13310" max="13310" width="10.33203125" style="1"/>
    <col min="13311" max="13311" width="7.44140625" style="1" customWidth="1"/>
    <col min="13312" max="13312" width="12.88671875" style="1" customWidth="1"/>
    <col min="13313" max="13313" width="11.109375" style="1" customWidth="1"/>
    <col min="13314" max="13314" width="14" style="1" customWidth="1"/>
    <col min="13315" max="13315" width="33" style="1" customWidth="1"/>
    <col min="13316" max="13316" width="6.6640625" style="1" customWidth="1"/>
    <col min="13317" max="13317" width="19" style="1" customWidth="1"/>
    <col min="13318" max="13318" width="19.109375" style="1" customWidth="1"/>
    <col min="13319" max="13319" width="21.33203125" style="1" customWidth="1"/>
    <col min="13320" max="13320" width="32.5546875" style="1" customWidth="1"/>
    <col min="13321" max="13321" width="16.88671875" style="1" customWidth="1"/>
    <col min="13322" max="13322" width="16.33203125" style="1" customWidth="1"/>
    <col min="13323" max="13553" width="10.33203125" style="1"/>
    <col min="13554" max="13554" width="4.44140625" style="1" customWidth="1"/>
    <col min="13555" max="13555" width="21.6640625" style="1" customWidth="1"/>
    <col min="13556" max="13556" width="15" style="1" customWidth="1"/>
    <col min="13557" max="13557" width="15.44140625" style="1" customWidth="1"/>
    <col min="13558" max="13558" width="11.5546875" style="1" customWidth="1"/>
    <col min="13559" max="13559" width="7.44140625" style="1" customWidth="1"/>
    <col min="13560" max="13560" width="14.109375" style="1" customWidth="1"/>
    <col min="13561" max="13561" width="10.6640625" style="1" customWidth="1"/>
    <col min="13562" max="13562" width="13.44140625" style="1" customWidth="1"/>
    <col min="13563" max="13563" width="11.44140625" style="1" customWidth="1"/>
    <col min="13564" max="13564" width="15" style="1" customWidth="1"/>
    <col min="13565" max="13565" width="14.5546875" style="1" customWidth="1"/>
    <col min="13566" max="13566" width="10.33203125" style="1"/>
    <col min="13567" max="13567" width="7.44140625" style="1" customWidth="1"/>
    <col min="13568" max="13568" width="12.88671875" style="1" customWidth="1"/>
    <col min="13569" max="13569" width="11.109375" style="1" customWidth="1"/>
    <col min="13570" max="13570" width="14" style="1" customWidth="1"/>
    <col min="13571" max="13571" width="33" style="1" customWidth="1"/>
    <col min="13572" max="13572" width="6.6640625" style="1" customWidth="1"/>
    <col min="13573" max="13573" width="19" style="1" customWidth="1"/>
    <col min="13574" max="13574" width="19.109375" style="1" customWidth="1"/>
    <col min="13575" max="13575" width="21.33203125" style="1" customWidth="1"/>
    <col min="13576" max="13576" width="32.5546875" style="1" customWidth="1"/>
    <col min="13577" max="13577" width="16.88671875" style="1" customWidth="1"/>
    <col min="13578" max="13578" width="16.33203125" style="1" customWidth="1"/>
    <col min="13579" max="13809" width="10.33203125" style="1"/>
    <col min="13810" max="13810" width="4.44140625" style="1" customWidth="1"/>
    <col min="13811" max="13811" width="21.6640625" style="1" customWidth="1"/>
    <col min="13812" max="13812" width="15" style="1" customWidth="1"/>
    <col min="13813" max="13813" width="15.44140625" style="1" customWidth="1"/>
    <col min="13814" max="13814" width="11.5546875" style="1" customWidth="1"/>
    <col min="13815" max="13815" width="7.44140625" style="1" customWidth="1"/>
    <col min="13816" max="13816" width="14.109375" style="1" customWidth="1"/>
    <col min="13817" max="13817" width="10.6640625" style="1" customWidth="1"/>
    <col min="13818" max="13818" width="13.44140625" style="1" customWidth="1"/>
    <col min="13819" max="13819" width="11.44140625" style="1" customWidth="1"/>
    <col min="13820" max="13820" width="15" style="1" customWidth="1"/>
    <col min="13821" max="13821" width="14.5546875" style="1" customWidth="1"/>
    <col min="13822" max="13822" width="10.33203125" style="1"/>
    <col min="13823" max="13823" width="7.44140625" style="1" customWidth="1"/>
    <col min="13824" max="13824" width="12.88671875" style="1" customWidth="1"/>
    <col min="13825" max="13825" width="11.109375" style="1" customWidth="1"/>
    <col min="13826" max="13826" width="14" style="1" customWidth="1"/>
    <col min="13827" max="13827" width="33" style="1" customWidth="1"/>
    <col min="13828" max="13828" width="6.6640625" style="1" customWidth="1"/>
    <col min="13829" max="13829" width="19" style="1" customWidth="1"/>
    <col min="13830" max="13830" width="19.109375" style="1" customWidth="1"/>
    <col min="13831" max="13831" width="21.33203125" style="1" customWidth="1"/>
    <col min="13832" max="13832" width="32.5546875" style="1" customWidth="1"/>
    <col min="13833" max="13833" width="16.88671875" style="1" customWidth="1"/>
    <col min="13834" max="13834" width="16.33203125" style="1" customWidth="1"/>
    <col min="13835" max="14065" width="10.33203125" style="1"/>
    <col min="14066" max="14066" width="4.44140625" style="1" customWidth="1"/>
    <col min="14067" max="14067" width="21.6640625" style="1" customWidth="1"/>
    <col min="14068" max="14068" width="15" style="1" customWidth="1"/>
    <col min="14069" max="14069" width="15.44140625" style="1" customWidth="1"/>
    <col min="14070" max="14070" width="11.5546875" style="1" customWidth="1"/>
    <col min="14071" max="14071" width="7.44140625" style="1" customWidth="1"/>
    <col min="14072" max="14072" width="14.109375" style="1" customWidth="1"/>
    <col min="14073" max="14073" width="10.6640625" style="1" customWidth="1"/>
    <col min="14074" max="14074" width="13.44140625" style="1" customWidth="1"/>
    <col min="14075" max="14075" width="11.44140625" style="1" customWidth="1"/>
    <col min="14076" max="14076" width="15" style="1" customWidth="1"/>
    <col min="14077" max="14077" width="14.5546875" style="1" customWidth="1"/>
    <col min="14078" max="14078" width="10.33203125" style="1"/>
    <col min="14079" max="14079" width="7.44140625" style="1" customWidth="1"/>
    <col min="14080" max="14080" width="12.88671875" style="1" customWidth="1"/>
    <col min="14081" max="14081" width="11.109375" style="1" customWidth="1"/>
    <col min="14082" max="14082" width="14" style="1" customWidth="1"/>
    <col min="14083" max="14083" width="33" style="1" customWidth="1"/>
    <col min="14084" max="14084" width="6.6640625" style="1" customWidth="1"/>
    <col min="14085" max="14085" width="19" style="1" customWidth="1"/>
    <col min="14086" max="14086" width="19.109375" style="1" customWidth="1"/>
    <col min="14087" max="14087" width="21.33203125" style="1" customWidth="1"/>
    <col min="14088" max="14088" width="32.5546875" style="1" customWidth="1"/>
    <col min="14089" max="14089" width="16.88671875" style="1" customWidth="1"/>
    <col min="14090" max="14090" width="16.33203125" style="1" customWidth="1"/>
    <col min="14091" max="14321" width="10.33203125" style="1"/>
    <col min="14322" max="14322" width="4.44140625" style="1" customWidth="1"/>
    <col min="14323" max="14323" width="21.6640625" style="1" customWidth="1"/>
    <col min="14324" max="14324" width="15" style="1" customWidth="1"/>
    <col min="14325" max="14325" width="15.44140625" style="1" customWidth="1"/>
    <col min="14326" max="14326" width="11.5546875" style="1" customWidth="1"/>
    <col min="14327" max="14327" width="7.44140625" style="1" customWidth="1"/>
    <col min="14328" max="14328" width="14.109375" style="1" customWidth="1"/>
    <col min="14329" max="14329" width="10.6640625" style="1" customWidth="1"/>
    <col min="14330" max="14330" width="13.44140625" style="1" customWidth="1"/>
    <col min="14331" max="14331" width="11.44140625" style="1" customWidth="1"/>
    <col min="14332" max="14332" width="15" style="1" customWidth="1"/>
    <col min="14333" max="14333" width="14.5546875" style="1" customWidth="1"/>
    <col min="14334" max="14334" width="10.33203125" style="1"/>
    <col min="14335" max="14335" width="7.44140625" style="1" customWidth="1"/>
    <col min="14336" max="14336" width="12.88671875" style="1" customWidth="1"/>
    <col min="14337" max="14337" width="11.109375" style="1" customWidth="1"/>
    <col min="14338" max="14338" width="14" style="1" customWidth="1"/>
    <col min="14339" max="14339" width="33" style="1" customWidth="1"/>
    <col min="14340" max="14340" width="6.6640625" style="1" customWidth="1"/>
    <col min="14341" max="14341" width="19" style="1" customWidth="1"/>
    <col min="14342" max="14342" width="19.109375" style="1" customWidth="1"/>
    <col min="14343" max="14343" width="21.33203125" style="1" customWidth="1"/>
    <col min="14344" max="14344" width="32.5546875" style="1" customWidth="1"/>
    <col min="14345" max="14345" width="16.88671875" style="1" customWidth="1"/>
    <col min="14346" max="14346" width="16.33203125" style="1" customWidth="1"/>
    <col min="14347" max="14577" width="10.33203125" style="1"/>
    <col min="14578" max="14578" width="4.44140625" style="1" customWidth="1"/>
    <col min="14579" max="14579" width="21.6640625" style="1" customWidth="1"/>
    <col min="14580" max="14580" width="15" style="1" customWidth="1"/>
    <col min="14581" max="14581" width="15.44140625" style="1" customWidth="1"/>
    <col min="14582" max="14582" width="11.5546875" style="1" customWidth="1"/>
    <col min="14583" max="14583" width="7.44140625" style="1" customWidth="1"/>
    <col min="14584" max="14584" width="14.109375" style="1" customWidth="1"/>
    <col min="14585" max="14585" width="10.6640625" style="1" customWidth="1"/>
    <col min="14586" max="14586" width="13.44140625" style="1" customWidth="1"/>
    <col min="14587" max="14587" width="11.44140625" style="1" customWidth="1"/>
    <col min="14588" max="14588" width="15" style="1" customWidth="1"/>
    <col min="14589" max="14589" width="14.5546875" style="1" customWidth="1"/>
    <col min="14590" max="14590" width="10.33203125" style="1"/>
    <col min="14591" max="14591" width="7.44140625" style="1" customWidth="1"/>
    <col min="14592" max="14592" width="12.88671875" style="1" customWidth="1"/>
    <col min="14593" max="14593" width="11.109375" style="1" customWidth="1"/>
    <col min="14594" max="14594" width="14" style="1" customWidth="1"/>
    <col min="14595" max="14595" width="33" style="1" customWidth="1"/>
    <col min="14596" max="14596" width="6.6640625" style="1" customWidth="1"/>
    <col min="14597" max="14597" width="19" style="1" customWidth="1"/>
    <col min="14598" max="14598" width="19.109375" style="1" customWidth="1"/>
    <col min="14599" max="14599" width="21.33203125" style="1" customWidth="1"/>
    <col min="14600" max="14600" width="32.5546875" style="1" customWidth="1"/>
    <col min="14601" max="14601" width="16.88671875" style="1" customWidth="1"/>
    <col min="14602" max="14602" width="16.33203125" style="1" customWidth="1"/>
    <col min="14603" max="14833" width="10.33203125" style="1"/>
    <col min="14834" max="14834" width="4.44140625" style="1" customWidth="1"/>
    <col min="14835" max="14835" width="21.6640625" style="1" customWidth="1"/>
    <col min="14836" max="14836" width="15" style="1" customWidth="1"/>
    <col min="14837" max="14837" width="15.44140625" style="1" customWidth="1"/>
    <col min="14838" max="14838" width="11.5546875" style="1" customWidth="1"/>
    <col min="14839" max="14839" width="7.44140625" style="1" customWidth="1"/>
    <col min="14840" max="14840" width="14.109375" style="1" customWidth="1"/>
    <col min="14841" max="14841" width="10.6640625" style="1" customWidth="1"/>
    <col min="14842" max="14842" width="13.44140625" style="1" customWidth="1"/>
    <col min="14843" max="14843" width="11.44140625" style="1" customWidth="1"/>
    <col min="14844" max="14844" width="15" style="1" customWidth="1"/>
    <col min="14845" max="14845" width="14.5546875" style="1" customWidth="1"/>
    <col min="14846" max="14846" width="10.33203125" style="1"/>
    <col min="14847" max="14847" width="7.44140625" style="1" customWidth="1"/>
    <col min="14848" max="14848" width="12.88671875" style="1" customWidth="1"/>
    <col min="14849" max="14849" width="11.109375" style="1" customWidth="1"/>
    <col min="14850" max="14850" width="14" style="1" customWidth="1"/>
    <col min="14851" max="14851" width="33" style="1" customWidth="1"/>
    <col min="14852" max="14852" width="6.6640625" style="1" customWidth="1"/>
    <col min="14853" max="14853" width="19" style="1" customWidth="1"/>
    <col min="14854" max="14854" width="19.109375" style="1" customWidth="1"/>
    <col min="14855" max="14855" width="21.33203125" style="1" customWidth="1"/>
    <col min="14856" max="14856" width="32.5546875" style="1" customWidth="1"/>
    <col min="14857" max="14857" width="16.88671875" style="1" customWidth="1"/>
    <col min="14858" max="14858" width="16.33203125" style="1" customWidth="1"/>
    <col min="14859" max="15089" width="10.33203125" style="1"/>
    <col min="15090" max="15090" width="4.44140625" style="1" customWidth="1"/>
    <col min="15091" max="15091" width="21.6640625" style="1" customWidth="1"/>
    <col min="15092" max="15092" width="15" style="1" customWidth="1"/>
    <col min="15093" max="15093" width="15.44140625" style="1" customWidth="1"/>
    <col min="15094" max="15094" width="11.5546875" style="1" customWidth="1"/>
    <col min="15095" max="15095" width="7.44140625" style="1" customWidth="1"/>
    <col min="15096" max="15096" width="14.109375" style="1" customWidth="1"/>
    <col min="15097" max="15097" width="10.6640625" style="1" customWidth="1"/>
    <col min="15098" max="15098" width="13.44140625" style="1" customWidth="1"/>
    <col min="15099" max="15099" width="11.44140625" style="1" customWidth="1"/>
    <col min="15100" max="15100" width="15" style="1" customWidth="1"/>
    <col min="15101" max="15101" width="14.5546875" style="1" customWidth="1"/>
    <col min="15102" max="15102" width="10.33203125" style="1"/>
    <col min="15103" max="15103" width="7.44140625" style="1" customWidth="1"/>
    <col min="15104" max="15104" width="12.88671875" style="1" customWidth="1"/>
    <col min="15105" max="15105" width="11.109375" style="1" customWidth="1"/>
    <col min="15106" max="15106" width="14" style="1" customWidth="1"/>
    <col min="15107" max="15107" width="33" style="1" customWidth="1"/>
    <col min="15108" max="15108" width="6.6640625" style="1" customWidth="1"/>
    <col min="15109" max="15109" width="19" style="1" customWidth="1"/>
    <col min="15110" max="15110" width="19.109375" style="1" customWidth="1"/>
    <col min="15111" max="15111" width="21.33203125" style="1" customWidth="1"/>
    <col min="15112" max="15112" width="32.5546875" style="1" customWidth="1"/>
    <col min="15113" max="15113" width="16.88671875" style="1" customWidth="1"/>
    <col min="15114" max="15114" width="16.33203125" style="1" customWidth="1"/>
    <col min="15115" max="15345" width="10.33203125" style="1"/>
    <col min="15346" max="15346" width="4.44140625" style="1" customWidth="1"/>
    <col min="15347" max="15347" width="21.6640625" style="1" customWidth="1"/>
    <col min="15348" max="15348" width="15" style="1" customWidth="1"/>
    <col min="15349" max="15349" width="15.44140625" style="1" customWidth="1"/>
    <col min="15350" max="15350" width="11.5546875" style="1" customWidth="1"/>
    <col min="15351" max="15351" width="7.44140625" style="1" customWidth="1"/>
    <col min="15352" max="15352" width="14.109375" style="1" customWidth="1"/>
    <col min="15353" max="15353" width="10.6640625" style="1" customWidth="1"/>
    <col min="15354" max="15354" width="13.44140625" style="1" customWidth="1"/>
    <col min="15355" max="15355" width="11.44140625" style="1" customWidth="1"/>
    <col min="15356" max="15356" width="15" style="1" customWidth="1"/>
    <col min="15357" max="15357" width="14.5546875" style="1" customWidth="1"/>
    <col min="15358" max="15358" width="10.33203125" style="1"/>
    <col min="15359" max="15359" width="7.44140625" style="1" customWidth="1"/>
    <col min="15360" max="15360" width="12.88671875" style="1" customWidth="1"/>
    <col min="15361" max="15361" width="11.109375" style="1" customWidth="1"/>
    <col min="15362" max="15362" width="14" style="1" customWidth="1"/>
    <col min="15363" max="15363" width="33" style="1" customWidth="1"/>
    <col min="15364" max="15364" width="6.6640625" style="1" customWidth="1"/>
    <col min="15365" max="15365" width="19" style="1" customWidth="1"/>
    <col min="15366" max="15366" width="19.109375" style="1" customWidth="1"/>
    <col min="15367" max="15367" width="21.33203125" style="1" customWidth="1"/>
    <col min="15368" max="15368" width="32.5546875" style="1" customWidth="1"/>
    <col min="15369" max="15369" width="16.88671875" style="1" customWidth="1"/>
    <col min="15370" max="15370" width="16.33203125" style="1" customWidth="1"/>
    <col min="15371" max="15601" width="10.33203125" style="1"/>
    <col min="15602" max="15602" width="4.44140625" style="1" customWidth="1"/>
    <col min="15603" max="15603" width="21.6640625" style="1" customWidth="1"/>
    <col min="15604" max="15604" width="15" style="1" customWidth="1"/>
    <col min="15605" max="15605" width="15.44140625" style="1" customWidth="1"/>
    <col min="15606" max="15606" width="11.5546875" style="1" customWidth="1"/>
    <col min="15607" max="15607" width="7.44140625" style="1" customWidth="1"/>
    <col min="15608" max="15608" width="14.109375" style="1" customWidth="1"/>
    <col min="15609" max="15609" width="10.6640625" style="1" customWidth="1"/>
    <col min="15610" max="15610" width="13.44140625" style="1" customWidth="1"/>
    <col min="15611" max="15611" width="11.44140625" style="1" customWidth="1"/>
    <col min="15612" max="15612" width="15" style="1" customWidth="1"/>
    <col min="15613" max="15613" width="14.5546875" style="1" customWidth="1"/>
    <col min="15614" max="15614" width="10.33203125" style="1"/>
    <col min="15615" max="15615" width="7.44140625" style="1" customWidth="1"/>
    <col min="15616" max="15616" width="12.88671875" style="1" customWidth="1"/>
    <col min="15617" max="15617" width="11.109375" style="1" customWidth="1"/>
    <col min="15618" max="15618" width="14" style="1" customWidth="1"/>
    <col min="15619" max="15619" width="33" style="1" customWidth="1"/>
    <col min="15620" max="15620" width="6.6640625" style="1" customWidth="1"/>
    <col min="15621" max="15621" width="19" style="1" customWidth="1"/>
    <col min="15622" max="15622" width="19.109375" style="1" customWidth="1"/>
    <col min="15623" max="15623" width="21.33203125" style="1" customWidth="1"/>
    <col min="15624" max="15624" width="32.5546875" style="1" customWidth="1"/>
    <col min="15625" max="15625" width="16.88671875" style="1" customWidth="1"/>
    <col min="15626" max="15626" width="16.33203125" style="1" customWidth="1"/>
    <col min="15627" max="15857" width="10.33203125" style="1"/>
    <col min="15858" max="15858" width="4.44140625" style="1" customWidth="1"/>
    <col min="15859" max="15859" width="21.6640625" style="1" customWidth="1"/>
    <col min="15860" max="15860" width="15" style="1" customWidth="1"/>
    <col min="15861" max="15861" width="15.44140625" style="1" customWidth="1"/>
    <col min="15862" max="15862" width="11.5546875" style="1" customWidth="1"/>
    <col min="15863" max="15863" width="7.44140625" style="1" customWidth="1"/>
    <col min="15864" max="15864" width="14.109375" style="1" customWidth="1"/>
    <col min="15865" max="15865" width="10.6640625" style="1" customWidth="1"/>
    <col min="15866" max="15866" width="13.44140625" style="1" customWidth="1"/>
    <col min="15867" max="15867" width="11.44140625" style="1" customWidth="1"/>
    <col min="15868" max="15868" width="15" style="1" customWidth="1"/>
    <col min="15869" max="15869" width="14.5546875" style="1" customWidth="1"/>
    <col min="15870" max="15870" width="10.33203125" style="1"/>
    <col min="15871" max="15871" width="7.44140625" style="1" customWidth="1"/>
    <col min="15872" max="15872" width="12.88671875" style="1" customWidth="1"/>
    <col min="15873" max="15873" width="11.109375" style="1" customWidth="1"/>
    <col min="15874" max="15874" width="14" style="1" customWidth="1"/>
    <col min="15875" max="15875" width="33" style="1" customWidth="1"/>
    <col min="15876" max="15876" width="6.6640625" style="1" customWidth="1"/>
    <col min="15877" max="15877" width="19" style="1" customWidth="1"/>
    <col min="15878" max="15878" width="19.109375" style="1" customWidth="1"/>
    <col min="15879" max="15879" width="21.33203125" style="1" customWidth="1"/>
    <col min="15880" max="15880" width="32.5546875" style="1" customWidth="1"/>
    <col min="15881" max="15881" width="16.88671875" style="1" customWidth="1"/>
    <col min="15882" max="15882" width="16.33203125" style="1" customWidth="1"/>
    <col min="15883" max="16113" width="10.33203125" style="1"/>
    <col min="16114" max="16114" width="4.44140625" style="1" customWidth="1"/>
    <col min="16115" max="16115" width="21.6640625" style="1" customWidth="1"/>
    <col min="16116" max="16116" width="15" style="1" customWidth="1"/>
    <col min="16117" max="16117" width="15.44140625" style="1" customWidth="1"/>
    <col min="16118" max="16118" width="11.5546875" style="1" customWidth="1"/>
    <col min="16119" max="16119" width="7.44140625" style="1" customWidth="1"/>
    <col min="16120" max="16120" width="14.109375" style="1" customWidth="1"/>
    <col min="16121" max="16121" width="10.6640625" style="1" customWidth="1"/>
    <col min="16122" max="16122" width="13.44140625" style="1" customWidth="1"/>
    <col min="16123" max="16123" width="11.44140625" style="1" customWidth="1"/>
    <col min="16124" max="16124" width="15" style="1" customWidth="1"/>
    <col min="16125" max="16125" width="14.5546875" style="1" customWidth="1"/>
    <col min="16126" max="16126" width="10.33203125" style="1"/>
    <col min="16127" max="16127" width="7.44140625" style="1" customWidth="1"/>
    <col min="16128" max="16128" width="12.88671875" style="1" customWidth="1"/>
    <col min="16129" max="16129" width="11.109375" style="1" customWidth="1"/>
    <col min="16130" max="16130" width="14" style="1" customWidth="1"/>
    <col min="16131" max="16131" width="33" style="1" customWidth="1"/>
    <col min="16132" max="16132" width="6.6640625" style="1" customWidth="1"/>
    <col min="16133" max="16133" width="19" style="1" customWidth="1"/>
    <col min="16134" max="16134" width="19.109375" style="1" customWidth="1"/>
    <col min="16135" max="16135" width="21.33203125" style="1" customWidth="1"/>
    <col min="16136" max="16136" width="32.5546875" style="1" customWidth="1"/>
    <col min="16137" max="16137" width="16.88671875" style="1" customWidth="1"/>
    <col min="16138" max="16138" width="16.33203125" style="1" customWidth="1"/>
    <col min="16139" max="16384" width="10.33203125" style="1"/>
  </cols>
  <sheetData>
    <row r="1" spans="1:15" ht="24.6">
      <c r="A1" s="726" t="s">
        <v>0</v>
      </c>
      <c r="B1" s="726"/>
      <c r="C1" s="726"/>
      <c r="D1" s="726"/>
      <c r="E1" s="726"/>
      <c r="F1" s="726"/>
    </row>
    <row r="2" spans="1:15" ht="24.6">
      <c r="A2" s="726" t="s">
        <v>1</v>
      </c>
      <c r="B2" s="726"/>
      <c r="C2" s="726"/>
      <c r="D2" s="726"/>
      <c r="E2" s="726"/>
      <c r="F2" s="726"/>
    </row>
    <row r="3" spans="1:15" ht="24.6">
      <c r="A3" s="727" t="s">
        <v>432</v>
      </c>
      <c r="B3" s="727"/>
      <c r="C3" s="727"/>
      <c r="D3" s="727"/>
      <c r="E3" s="727"/>
      <c r="F3" s="727"/>
    </row>
    <row r="4" spans="1:15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  <c r="G4" s="11" t="s">
        <v>12</v>
      </c>
      <c r="H4" s="11" t="s">
        <v>13</v>
      </c>
      <c r="I4" s="12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10</v>
      </c>
    </row>
    <row r="5" spans="1:15" ht="24.6">
      <c r="A5" s="3"/>
      <c r="B5" s="13"/>
      <c r="C5" s="3"/>
      <c r="D5" s="9" t="s">
        <v>21</v>
      </c>
      <c r="E5" s="9" t="s">
        <v>22</v>
      </c>
      <c r="F5" s="7"/>
      <c r="G5" s="21"/>
      <c r="H5" s="21"/>
      <c r="I5" s="22"/>
      <c r="J5" s="19"/>
      <c r="K5" s="23"/>
      <c r="L5" s="19"/>
      <c r="M5" s="19"/>
      <c r="N5" s="19"/>
      <c r="O5" s="19"/>
    </row>
    <row r="6" spans="1:15" ht="24.6">
      <c r="A6" s="3"/>
      <c r="B6" s="3"/>
      <c r="C6" s="3"/>
      <c r="D6" s="18"/>
      <c r="E6" s="18"/>
      <c r="F6" s="28" t="s">
        <v>26</v>
      </c>
    </row>
    <row r="7" spans="1:15" ht="24.6" hidden="1">
      <c r="A7" s="3"/>
      <c r="B7" s="30" t="s">
        <v>30</v>
      </c>
      <c r="C7" s="3"/>
      <c r="D7" s="18"/>
      <c r="E7" s="18"/>
      <c r="F7" s="28"/>
    </row>
    <row r="8" spans="1:15" ht="1.8" customHeight="1" thickBot="1">
      <c r="A8" s="3">
        <v>1</v>
      </c>
      <c r="B8" s="30"/>
      <c r="C8" s="3"/>
      <c r="D8" s="32"/>
      <c r="E8" s="32"/>
      <c r="F8" s="34"/>
    </row>
    <row r="9" spans="1:15" ht="20.399999999999999" hidden="1" customHeight="1" thickBot="1">
      <c r="A9" s="3"/>
      <c r="B9" s="3" t="s">
        <v>26</v>
      </c>
      <c r="C9" s="3"/>
      <c r="D9" s="39"/>
      <c r="E9" s="39"/>
      <c r="F9" s="41"/>
    </row>
    <row r="10" spans="1:15" ht="25.2" hidden="1" thickTop="1">
      <c r="A10" s="29"/>
      <c r="B10" s="45" t="s">
        <v>37</v>
      </c>
      <c r="C10" s="29"/>
      <c r="D10" s="46"/>
      <c r="E10" s="28"/>
      <c r="F10" s="57"/>
    </row>
    <row r="11" spans="1:15" ht="25.8" hidden="1" thickTop="1" thickBot="1">
      <c r="A11" s="25">
        <v>1</v>
      </c>
      <c r="B11" s="25"/>
      <c r="C11" s="29"/>
      <c r="D11" s="74"/>
      <c r="E11" s="34"/>
      <c r="F11" s="78"/>
    </row>
    <row r="12" spans="1:15" ht="25.8" hidden="1" thickTop="1" thickBot="1">
      <c r="A12" s="25"/>
      <c r="B12" s="25" t="s">
        <v>26</v>
      </c>
      <c r="C12" s="29"/>
      <c r="D12" s="79"/>
      <c r="E12" s="82"/>
      <c r="F12" s="54"/>
    </row>
    <row r="13" spans="1:15" ht="25.2" hidden="1" thickTop="1">
      <c r="A13" s="25"/>
      <c r="B13" s="45" t="s">
        <v>38</v>
      </c>
      <c r="C13" s="29"/>
      <c r="D13" s="46"/>
      <c r="E13" s="28"/>
      <c r="F13" s="57"/>
    </row>
    <row r="14" spans="1:15" ht="25.8" hidden="1" thickTop="1" thickBot="1">
      <c r="A14" s="25">
        <v>1</v>
      </c>
      <c r="B14" s="25"/>
      <c r="C14" s="29"/>
      <c r="D14" s="74"/>
      <c r="E14" s="34"/>
      <c r="F14" s="78"/>
    </row>
    <row r="15" spans="1:15" ht="25.8" hidden="1" thickTop="1" thickBot="1">
      <c r="A15" s="25"/>
      <c r="B15" s="25" t="s">
        <v>26</v>
      </c>
      <c r="C15" s="29"/>
      <c r="D15" s="64"/>
      <c r="E15" s="41"/>
      <c r="F15" s="63"/>
    </row>
    <row r="16" spans="1:15" ht="25.2" hidden="1" thickTop="1">
      <c r="A16" s="29"/>
      <c r="B16" s="45" t="s">
        <v>49</v>
      </c>
      <c r="C16" s="29"/>
      <c r="D16" s="46"/>
      <c r="E16" s="28"/>
      <c r="F16" s="57"/>
    </row>
    <row r="17" spans="1:6" ht="16.5" hidden="1" customHeight="1" thickTop="1">
      <c r="A17" s="25">
        <v>1</v>
      </c>
      <c r="B17" s="25"/>
      <c r="C17" s="29"/>
      <c r="D17" s="74"/>
      <c r="E17" s="34"/>
      <c r="F17" s="78"/>
    </row>
    <row r="18" spans="1:6" ht="25.8" hidden="1" thickTop="1" thickBot="1">
      <c r="A18" s="25"/>
      <c r="B18" s="25" t="s">
        <v>26</v>
      </c>
      <c r="C18" s="29"/>
      <c r="D18" s="79"/>
      <c r="E18" s="82"/>
      <c r="F18" s="54"/>
    </row>
    <row r="19" spans="1:6" ht="25.2" hidden="1" thickTop="1">
      <c r="A19" s="25"/>
      <c r="B19" s="45" t="s">
        <v>50</v>
      </c>
      <c r="C19" s="29"/>
      <c r="D19" s="46"/>
      <c r="E19" s="28"/>
      <c r="F19" s="57"/>
    </row>
    <row r="20" spans="1:6" ht="25.8" hidden="1" thickTop="1" thickBot="1">
      <c r="A20" s="25"/>
      <c r="B20" s="25"/>
      <c r="C20" s="29"/>
      <c r="D20" s="74"/>
      <c r="E20" s="34"/>
      <c r="F20" s="110">
        <v>0</v>
      </c>
    </row>
    <row r="21" spans="1:6" ht="25.2" hidden="1" thickTop="1">
      <c r="A21" s="25"/>
      <c r="B21" s="25" t="s">
        <v>26</v>
      </c>
      <c r="C21" s="29"/>
      <c r="D21" s="109"/>
      <c r="E21" s="115"/>
      <c r="F21" s="111">
        <v>0</v>
      </c>
    </row>
    <row r="22" spans="1:6" ht="25.2" hidden="1" thickTop="1">
      <c r="A22" s="25"/>
      <c r="B22" s="45" t="s">
        <v>51</v>
      </c>
      <c r="C22" s="29"/>
      <c r="D22" s="29"/>
      <c r="E22" s="25"/>
      <c r="F22" s="59"/>
    </row>
    <row r="23" spans="1:6" ht="25.8" hidden="1" thickTop="1" thickBot="1">
      <c r="A23" s="25">
        <v>1</v>
      </c>
      <c r="B23" s="25"/>
      <c r="C23" s="29"/>
      <c r="D23" s="74"/>
      <c r="E23" s="34"/>
      <c r="F23" s="78"/>
    </row>
    <row r="24" spans="1:6" ht="25.8" hidden="1" thickTop="1" thickBot="1">
      <c r="A24" s="25"/>
      <c r="B24" s="25" t="s">
        <v>26</v>
      </c>
      <c r="C24" s="29"/>
      <c r="D24" s="64"/>
      <c r="E24" s="41"/>
      <c r="F24" s="63"/>
    </row>
    <row r="25" spans="1:6" ht="25.2" thickTop="1">
      <c r="A25" s="29"/>
      <c r="B25" s="45" t="s">
        <v>299</v>
      </c>
      <c r="C25" s="29"/>
      <c r="D25" s="46"/>
      <c r="E25" s="28"/>
      <c r="F25" s="57"/>
    </row>
    <row r="26" spans="1:6" ht="24.6">
      <c r="A26" s="25">
        <v>1</v>
      </c>
      <c r="B26" s="29" t="s">
        <v>73</v>
      </c>
      <c r="C26" s="120">
        <v>84282</v>
      </c>
      <c r="D26" s="90" t="s">
        <v>456</v>
      </c>
      <c r="E26" s="86">
        <v>1</v>
      </c>
      <c r="F26" s="696">
        <v>4860</v>
      </c>
    </row>
    <row r="27" spans="1:6" ht="24.6">
      <c r="A27" s="25">
        <v>2</v>
      </c>
      <c r="B27" s="29" t="s">
        <v>105</v>
      </c>
      <c r="C27" s="29"/>
      <c r="D27" s="90" t="s">
        <v>456</v>
      </c>
      <c r="E27" s="86">
        <v>1</v>
      </c>
      <c r="F27" s="697">
        <v>5000</v>
      </c>
    </row>
    <row r="28" spans="1:6" ht="24.6">
      <c r="A28" s="25">
        <v>3</v>
      </c>
      <c r="B28" s="29" t="s">
        <v>105</v>
      </c>
      <c r="C28" s="29"/>
      <c r="D28" s="90" t="s">
        <v>456</v>
      </c>
      <c r="E28" s="86">
        <v>1</v>
      </c>
      <c r="F28" s="697">
        <v>4650</v>
      </c>
    </row>
    <row r="29" spans="1:6" ht="25.2" thickBot="1">
      <c r="A29" s="29"/>
      <c r="B29" s="25" t="s">
        <v>26</v>
      </c>
      <c r="C29" s="74"/>
      <c r="D29" s="78"/>
      <c r="E29" s="135"/>
      <c r="F29" s="699">
        <f>SUM(F26:F28)</f>
        <v>14510</v>
      </c>
    </row>
    <row r="30" spans="1:6" ht="24.75" customHeight="1" thickTop="1">
      <c r="A30" s="14"/>
      <c r="B30" s="173"/>
      <c r="F30" s="174"/>
    </row>
    <row r="31" spans="1:6" ht="24.75" customHeight="1">
      <c r="A31" s="14"/>
      <c r="B31" s="173"/>
      <c r="F31" s="174"/>
    </row>
    <row r="32" spans="1:6" ht="24.75" customHeight="1">
      <c r="A32" s="4"/>
      <c r="B32" s="188" t="s">
        <v>217</v>
      </c>
      <c r="C32" s="53"/>
      <c r="D32" s="53"/>
      <c r="E32" s="4"/>
      <c r="F32" s="127"/>
    </row>
    <row r="33" spans="1:8" ht="24.75" customHeight="1">
      <c r="A33" s="199">
        <v>1</v>
      </c>
      <c r="B33" s="200" t="s">
        <v>85</v>
      </c>
      <c r="C33" s="203" t="s">
        <v>86</v>
      </c>
      <c r="D33" s="203" t="s">
        <v>229</v>
      </c>
      <c r="E33" s="199">
        <v>7</v>
      </c>
      <c r="F33" s="715">
        <v>30800</v>
      </c>
    </row>
    <row r="34" spans="1:8" ht="24.75" customHeight="1">
      <c r="A34" s="115"/>
      <c r="B34" s="212"/>
      <c r="C34" s="109"/>
      <c r="D34" s="218"/>
      <c r="E34" s="219"/>
      <c r="F34" s="717"/>
    </row>
    <row r="35" spans="1:8" s="96" customFormat="1" ht="24.75" customHeight="1">
      <c r="A35" s="190"/>
      <c r="B35" s="191" t="s">
        <v>232</v>
      </c>
      <c r="C35" s="192" t="s">
        <v>194</v>
      </c>
      <c r="D35" s="192"/>
      <c r="E35" s="190"/>
      <c r="F35" s="715">
        <v>64400</v>
      </c>
    </row>
    <row r="36" spans="1:8" ht="24.6">
      <c r="A36" s="199">
        <v>2</v>
      </c>
      <c r="B36" s="203" t="s">
        <v>32</v>
      </c>
      <c r="C36" s="222" t="s">
        <v>104</v>
      </c>
      <c r="D36" s="199" t="s">
        <v>234</v>
      </c>
      <c r="E36" s="199">
        <v>4</v>
      </c>
      <c r="F36" s="715">
        <v>18600</v>
      </c>
    </row>
    <row r="37" spans="1:8" ht="24.6">
      <c r="A37" s="199">
        <v>3</v>
      </c>
      <c r="B37" s="203" t="s">
        <v>215</v>
      </c>
      <c r="C37" s="222" t="s">
        <v>104</v>
      </c>
      <c r="D37" s="199" t="s">
        <v>236</v>
      </c>
      <c r="E37" s="199">
        <v>4</v>
      </c>
      <c r="F37" s="715">
        <v>23000</v>
      </c>
    </row>
    <row r="38" spans="1:8" s="96" customFormat="1" ht="24.75" customHeight="1">
      <c r="A38" s="229"/>
      <c r="B38" s="230"/>
      <c r="C38" s="231"/>
      <c r="D38" s="231"/>
      <c r="E38" s="229"/>
      <c r="F38" s="722"/>
    </row>
    <row r="39" spans="1:8" ht="24.75" customHeight="1" thickBot="1">
      <c r="A39" s="34"/>
      <c r="B39" s="239"/>
      <c r="C39" s="74"/>
      <c r="D39" s="110"/>
      <c r="E39" s="240"/>
      <c r="F39" s="171">
        <f>SUM(F33:F38)</f>
        <v>136800</v>
      </c>
    </row>
    <row r="40" spans="1:8" ht="25.2" thickTop="1">
      <c r="A40" s="46"/>
      <c r="B40" s="161" t="s">
        <v>238</v>
      </c>
      <c r="C40" s="46"/>
      <c r="D40" s="46"/>
      <c r="E40" s="28"/>
      <c r="F40" s="46"/>
    </row>
    <row r="41" spans="1:8" ht="24.6">
      <c r="A41" s="25">
        <v>1</v>
      </c>
      <c r="B41" s="53" t="s">
        <v>239</v>
      </c>
      <c r="C41" s="109"/>
      <c r="D41" s="109" t="s">
        <v>240</v>
      </c>
      <c r="E41" s="115"/>
      <c r="F41" s="162">
        <v>0</v>
      </c>
    </row>
    <row r="42" spans="1:8" ht="24.6">
      <c r="A42" s="25"/>
      <c r="B42" s="29" t="s">
        <v>241</v>
      </c>
      <c r="C42" s="29"/>
      <c r="D42" s="29" t="s">
        <v>242</v>
      </c>
      <c r="E42" s="25"/>
      <c r="F42" s="697">
        <v>133707.98000000001</v>
      </c>
    </row>
    <row r="43" spans="1:8" ht="24.6">
      <c r="A43" s="25"/>
      <c r="B43" s="29" t="s">
        <v>244</v>
      </c>
      <c r="C43" s="29"/>
      <c r="D43" s="29"/>
      <c r="E43" s="25"/>
      <c r="F43" s="697">
        <v>73800</v>
      </c>
    </row>
    <row r="44" spans="1:8" ht="24.6">
      <c r="A44" s="25"/>
      <c r="B44" s="29" t="s">
        <v>245</v>
      </c>
      <c r="C44" s="29"/>
      <c r="D44" s="29"/>
      <c r="E44" s="25"/>
      <c r="F44" s="697">
        <v>7596.82</v>
      </c>
    </row>
    <row r="45" spans="1:8" ht="24.6">
      <c r="A45" s="25"/>
      <c r="B45" s="29" t="s">
        <v>246</v>
      </c>
      <c r="C45" s="29"/>
      <c r="D45" s="53"/>
      <c r="E45" s="4"/>
      <c r="F45" s="49"/>
    </row>
    <row r="46" spans="1:8" ht="24.6">
      <c r="A46" s="4"/>
      <c r="B46" s="53"/>
      <c r="C46" s="273" t="s">
        <v>247</v>
      </c>
      <c r="D46" s="53"/>
      <c r="E46" s="4"/>
      <c r="F46" s="162"/>
    </row>
    <row r="47" spans="1:8" s="96" customFormat="1" ht="24.75" customHeight="1">
      <c r="A47" s="86">
        <v>2</v>
      </c>
      <c r="B47" s="274" t="s">
        <v>68</v>
      </c>
      <c r="C47" s="87">
        <v>268</v>
      </c>
      <c r="D47" s="86" t="s">
        <v>378</v>
      </c>
      <c r="E47" s="86">
        <v>80</v>
      </c>
      <c r="F47" s="92">
        <v>133752.76</v>
      </c>
    </row>
    <row r="48" spans="1:8" ht="24.75" customHeight="1">
      <c r="A48" s="25"/>
      <c r="B48" s="119" t="s">
        <v>221</v>
      </c>
      <c r="C48" s="278" t="s">
        <v>222</v>
      </c>
      <c r="D48" s="29"/>
      <c r="E48" s="25" t="s">
        <v>172</v>
      </c>
      <c r="F48" s="697">
        <v>19700</v>
      </c>
      <c r="G48" s="211"/>
      <c r="H48" s="211"/>
    </row>
    <row r="49" spans="1:7" ht="24.75" customHeight="1">
      <c r="A49" s="25"/>
      <c r="B49" s="278"/>
      <c r="C49" s="278" t="s">
        <v>223</v>
      </c>
      <c r="D49" s="29"/>
      <c r="E49" s="25" t="s">
        <v>172</v>
      </c>
      <c r="F49" s="697">
        <v>19700</v>
      </c>
      <c r="G49" s="211"/>
    </row>
    <row r="50" spans="1:7" ht="24.75" customHeight="1">
      <c r="A50" s="25"/>
      <c r="B50" s="278"/>
      <c r="C50" s="278" t="s">
        <v>224</v>
      </c>
      <c r="D50" s="29"/>
      <c r="E50" s="25" t="s">
        <v>172</v>
      </c>
      <c r="F50" s="697">
        <v>19700</v>
      </c>
    </row>
    <row r="51" spans="1:7" ht="24.75" customHeight="1">
      <c r="A51" s="25">
        <v>3</v>
      </c>
      <c r="B51" s="119" t="s">
        <v>225</v>
      </c>
      <c r="C51" s="29"/>
      <c r="D51" s="25" t="s">
        <v>226</v>
      </c>
      <c r="E51" s="25">
        <v>88</v>
      </c>
      <c r="F51" s="697">
        <v>304935.7</v>
      </c>
    </row>
    <row r="52" spans="1:7" ht="25.2" thickBot="1">
      <c r="A52" s="25"/>
      <c r="B52" s="29"/>
      <c r="C52" s="29"/>
      <c r="D52" s="74"/>
      <c r="E52" s="34"/>
      <c r="F52" s="171"/>
    </row>
    <row r="53" spans="1:7" s="249" customFormat="1" ht="25.8" thickTop="1" thickBot="1">
      <c r="A53" s="134"/>
      <c r="B53" s="246" t="s">
        <v>26</v>
      </c>
      <c r="C53" s="103"/>
      <c r="D53" s="103"/>
      <c r="E53" s="247"/>
      <c r="F53" s="103">
        <f>SUM(F41:F52)</f>
        <v>712893.26</v>
      </c>
    </row>
    <row r="54" spans="1:7" ht="25.8" thickTop="1" thickBot="1">
      <c r="A54" s="29"/>
      <c r="B54" s="25" t="s">
        <v>248</v>
      </c>
      <c r="C54" s="64"/>
      <c r="D54" s="63"/>
      <c r="E54" s="105"/>
      <c r="F54" s="63">
        <f>+F29+F39+F53</f>
        <v>864203.26</v>
      </c>
    </row>
    <row r="55" spans="1:7" ht="25.2" thickTop="1"/>
    <row r="56" spans="1:7" ht="24.75" customHeight="1">
      <c r="A56" s="731" t="s">
        <v>211</v>
      </c>
      <c r="B56" s="732"/>
      <c r="C56" s="732"/>
      <c r="D56" s="732"/>
      <c r="E56" s="732"/>
      <c r="F56" s="732"/>
    </row>
    <row r="57" spans="1:7" ht="24.75" customHeight="1">
      <c r="A57" s="46">
        <v>1</v>
      </c>
      <c r="B57" s="180" t="s">
        <v>32</v>
      </c>
      <c r="C57" s="46" t="s">
        <v>104</v>
      </c>
      <c r="D57" s="46" t="s">
        <v>453</v>
      </c>
      <c r="E57" s="28">
        <v>11</v>
      </c>
      <c r="F57" s="57">
        <v>51150</v>
      </c>
    </row>
    <row r="58" spans="1:7" ht="24" customHeight="1">
      <c r="A58" s="25">
        <v>2</v>
      </c>
      <c r="B58" s="29" t="s">
        <v>215</v>
      </c>
      <c r="C58" s="29" t="s">
        <v>104</v>
      </c>
      <c r="D58" s="46" t="s">
        <v>453</v>
      </c>
      <c r="E58" s="25">
        <v>11</v>
      </c>
      <c r="F58" s="57">
        <v>63250</v>
      </c>
    </row>
    <row r="59" spans="1:7" ht="24" customHeight="1">
      <c r="A59" s="4">
        <v>3</v>
      </c>
      <c r="B59" s="53" t="s">
        <v>68</v>
      </c>
      <c r="C59" s="53">
        <v>268</v>
      </c>
      <c r="D59" s="109" t="s">
        <v>454</v>
      </c>
      <c r="E59" s="4">
        <v>26</v>
      </c>
      <c r="F59" s="57">
        <v>31590</v>
      </c>
    </row>
    <row r="60" spans="1:7" ht="24.75" customHeight="1" thickBot="1">
      <c r="A60" s="34"/>
      <c r="B60" s="34" t="s">
        <v>26</v>
      </c>
      <c r="C60" s="74"/>
      <c r="D60" s="74"/>
      <c r="E60" s="34"/>
      <c r="F60" s="110">
        <f>SUM(F57:F59)</f>
        <v>145990</v>
      </c>
      <c r="G60" s="175">
        <f>+F54+F60</f>
        <v>1010193.26</v>
      </c>
    </row>
    <row r="61" spans="1:7" ht="25.2" thickTop="1"/>
    <row r="62" spans="1:7" ht="24.6"/>
    <row r="63" spans="1:7" ht="24.6"/>
    <row r="64" spans="1:7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</sheetData>
  <mergeCells count="5">
    <mergeCell ref="A1:F1"/>
    <mergeCell ref="A2:F2"/>
    <mergeCell ref="A3:F3"/>
    <mergeCell ref="D4:F4"/>
    <mergeCell ref="A56:F56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040D-F0D2-4C20-A745-ECA2477C4FFF}">
  <sheetPr>
    <tabColor rgb="FFFFC000"/>
  </sheetPr>
  <dimension ref="A1:P826"/>
  <sheetViews>
    <sheetView zoomScale="83" zoomScaleNormal="83" zoomScaleSheetLayoutView="87" workbookViewId="0">
      <pane ySplit="6" topLeftCell="A43" activePane="bottomLeft" state="frozen"/>
      <selection activeCell="I147" sqref="I147"/>
      <selection pane="bottomLeft" activeCell="G54" sqref="G54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0.33203125" style="1" customWidth="1"/>
    <col min="6" max="6" width="7.44140625" style="173" customWidth="1"/>
    <col min="7" max="7" width="14" style="1" customWidth="1"/>
    <col min="8" max="8" width="21.33203125" style="1" customWidth="1"/>
    <col min="9" max="9" width="32.5546875" style="1" customWidth="1"/>
    <col min="10" max="10" width="16.88671875" style="1" customWidth="1"/>
    <col min="11" max="11" width="16.33203125" style="1" customWidth="1"/>
    <col min="12" max="242" width="10.33203125" style="1"/>
    <col min="243" max="243" width="4.44140625" style="1" customWidth="1"/>
    <col min="244" max="244" width="21.6640625" style="1" customWidth="1"/>
    <col min="245" max="245" width="15" style="1" customWidth="1"/>
    <col min="246" max="246" width="15.44140625" style="1" customWidth="1"/>
    <col min="247" max="247" width="11.5546875" style="1" customWidth="1"/>
    <col min="248" max="248" width="7.44140625" style="1" customWidth="1"/>
    <col min="249" max="249" width="14.109375" style="1" customWidth="1"/>
    <col min="250" max="250" width="10.6640625" style="1" customWidth="1"/>
    <col min="251" max="251" width="13.44140625" style="1" customWidth="1"/>
    <col min="252" max="252" width="11.44140625" style="1" customWidth="1"/>
    <col min="253" max="253" width="15" style="1" customWidth="1"/>
    <col min="254" max="254" width="14.5546875" style="1" customWidth="1"/>
    <col min="255" max="255" width="10.33203125" style="1"/>
    <col min="256" max="256" width="7.44140625" style="1" customWidth="1"/>
    <col min="257" max="257" width="12.88671875" style="1" customWidth="1"/>
    <col min="258" max="258" width="11.109375" style="1" customWidth="1"/>
    <col min="259" max="259" width="14" style="1" customWidth="1"/>
    <col min="260" max="260" width="33" style="1" customWidth="1"/>
    <col min="261" max="261" width="6.6640625" style="1" customWidth="1"/>
    <col min="262" max="262" width="19" style="1" customWidth="1"/>
    <col min="263" max="263" width="19.109375" style="1" customWidth="1"/>
    <col min="264" max="264" width="21.33203125" style="1" customWidth="1"/>
    <col min="265" max="265" width="32.5546875" style="1" customWidth="1"/>
    <col min="266" max="266" width="16.88671875" style="1" customWidth="1"/>
    <col min="267" max="267" width="16.33203125" style="1" customWidth="1"/>
    <col min="268" max="498" width="10.33203125" style="1"/>
    <col min="499" max="499" width="4.44140625" style="1" customWidth="1"/>
    <col min="500" max="500" width="21.6640625" style="1" customWidth="1"/>
    <col min="501" max="501" width="15" style="1" customWidth="1"/>
    <col min="502" max="502" width="15.44140625" style="1" customWidth="1"/>
    <col min="503" max="503" width="11.5546875" style="1" customWidth="1"/>
    <col min="504" max="504" width="7.44140625" style="1" customWidth="1"/>
    <col min="505" max="505" width="14.109375" style="1" customWidth="1"/>
    <col min="506" max="506" width="10.6640625" style="1" customWidth="1"/>
    <col min="507" max="507" width="13.44140625" style="1" customWidth="1"/>
    <col min="508" max="508" width="11.44140625" style="1" customWidth="1"/>
    <col min="509" max="509" width="15" style="1" customWidth="1"/>
    <col min="510" max="510" width="14.5546875" style="1" customWidth="1"/>
    <col min="511" max="511" width="10.33203125" style="1"/>
    <col min="512" max="512" width="7.44140625" style="1" customWidth="1"/>
    <col min="513" max="513" width="12.88671875" style="1" customWidth="1"/>
    <col min="514" max="514" width="11.109375" style="1" customWidth="1"/>
    <col min="515" max="515" width="14" style="1" customWidth="1"/>
    <col min="516" max="516" width="33" style="1" customWidth="1"/>
    <col min="517" max="517" width="6.6640625" style="1" customWidth="1"/>
    <col min="518" max="518" width="19" style="1" customWidth="1"/>
    <col min="519" max="519" width="19.109375" style="1" customWidth="1"/>
    <col min="520" max="520" width="21.33203125" style="1" customWidth="1"/>
    <col min="521" max="521" width="32.5546875" style="1" customWidth="1"/>
    <col min="522" max="522" width="16.88671875" style="1" customWidth="1"/>
    <col min="523" max="523" width="16.33203125" style="1" customWidth="1"/>
    <col min="524" max="754" width="10.33203125" style="1"/>
    <col min="755" max="755" width="4.44140625" style="1" customWidth="1"/>
    <col min="756" max="756" width="21.6640625" style="1" customWidth="1"/>
    <col min="757" max="757" width="15" style="1" customWidth="1"/>
    <col min="758" max="758" width="15.44140625" style="1" customWidth="1"/>
    <col min="759" max="759" width="11.5546875" style="1" customWidth="1"/>
    <col min="760" max="760" width="7.44140625" style="1" customWidth="1"/>
    <col min="761" max="761" width="14.109375" style="1" customWidth="1"/>
    <col min="762" max="762" width="10.6640625" style="1" customWidth="1"/>
    <col min="763" max="763" width="13.44140625" style="1" customWidth="1"/>
    <col min="764" max="764" width="11.44140625" style="1" customWidth="1"/>
    <col min="765" max="765" width="15" style="1" customWidth="1"/>
    <col min="766" max="766" width="14.5546875" style="1" customWidth="1"/>
    <col min="767" max="767" width="10.33203125" style="1"/>
    <col min="768" max="768" width="7.44140625" style="1" customWidth="1"/>
    <col min="769" max="769" width="12.88671875" style="1" customWidth="1"/>
    <col min="770" max="770" width="11.109375" style="1" customWidth="1"/>
    <col min="771" max="771" width="14" style="1" customWidth="1"/>
    <col min="772" max="772" width="33" style="1" customWidth="1"/>
    <col min="773" max="773" width="6.6640625" style="1" customWidth="1"/>
    <col min="774" max="774" width="19" style="1" customWidth="1"/>
    <col min="775" max="775" width="19.109375" style="1" customWidth="1"/>
    <col min="776" max="776" width="21.33203125" style="1" customWidth="1"/>
    <col min="777" max="777" width="32.5546875" style="1" customWidth="1"/>
    <col min="778" max="778" width="16.88671875" style="1" customWidth="1"/>
    <col min="779" max="779" width="16.33203125" style="1" customWidth="1"/>
    <col min="780" max="1010" width="10.33203125" style="1"/>
    <col min="1011" max="1011" width="4.44140625" style="1" customWidth="1"/>
    <col min="1012" max="1012" width="21.6640625" style="1" customWidth="1"/>
    <col min="1013" max="1013" width="15" style="1" customWidth="1"/>
    <col min="1014" max="1014" width="15.44140625" style="1" customWidth="1"/>
    <col min="1015" max="1015" width="11.5546875" style="1" customWidth="1"/>
    <col min="1016" max="1016" width="7.44140625" style="1" customWidth="1"/>
    <col min="1017" max="1017" width="14.109375" style="1" customWidth="1"/>
    <col min="1018" max="1018" width="10.6640625" style="1" customWidth="1"/>
    <col min="1019" max="1019" width="13.44140625" style="1" customWidth="1"/>
    <col min="1020" max="1020" width="11.44140625" style="1" customWidth="1"/>
    <col min="1021" max="1021" width="15" style="1" customWidth="1"/>
    <col min="1022" max="1022" width="14.5546875" style="1" customWidth="1"/>
    <col min="1023" max="1023" width="10.33203125" style="1"/>
    <col min="1024" max="1024" width="7.44140625" style="1" customWidth="1"/>
    <col min="1025" max="1025" width="12.88671875" style="1" customWidth="1"/>
    <col min="1026" max="1026" width="11.109375" style="1" customWidth="1"/>
    <col min="1027" max="1027" width="14" style="1" customWidth="1"/>
    <col min="1028" max="1028" width="33" style="1" customWidth="1"/>
    <col min="1029" max="1029" width="6.6640625" style="1" customWidth="1"/>
    <col min="1030" max="1030" width="19" style="1" customWidth="1"/>
    <col min="1031" max="1031" width="19.109375" style="1" customWidth="1"/>
    <col min="1032" max="1032" width="21.33203125" style="1" customWidth="1"/>
    <col min="1033" max="1033" width="32.5546875" style="1" customWidth="1"/>
    <col min="1034" max="1034" width="16.88671875" style="1" customWidth="1"/>
    <col min="1035" max="1035" width="16.33203125" style="1" customWidth="1"/>
    <col min="1036" max="1266" width="10.33203125" style="1"/>
    <col min="1267" max="1267" width="4.44140625" style="1" customWidth="1"/>
    <col min="1268" max="1268" width="21.6640625" style="1" customWidth="1"/>
    <col min="1269" max="1269" width="15" style="1" customWidth="1"/>
    <col min="1270" max="1270" width="15.44140625" style="1" customWidth="1"/>
    <col min="1271" max="1271" width="11.5546875" style="1" customWidth="1"/>
    <col min="1272" max="1272" width="7.44140625" style="1" customWidth="1"/>
    <col min="1273" max="1273" width="14.109375" style="1" customWidth="1"/>
    <col min="1274" max="1274" width="10.6640625" style="1" customWidth="1"/>
    <col min="1275" max="1275" width="13.44140625" style="1" customWidth="1"/>
    <col min="1276" max="1276" width="11.44140625" style="1" customWidth="1"/>
    <col min="1277" max="1277" width="15" style="1" customWidth="1"/>
    <col min="1278" max="1278" width="14.5546875" style="1" customWidth="1"/>
    <col min="1279" max="1279" width="10.33203125" style="1"/>
    <col min="1280" max="1280" width="7.44140625" style="1" customWidth="1"/>
    <col min="1281" max="1281" width="12.88671875" style="1" customWidth="1"/>
    <col min="1282" max="1282" width="11.109375" style="1" customWidth="1"/>
    <col min="1283" max="1283" width="14" style="1" customWidth="1"/>
    <col min="1284" max="1284" width="33" style="1" customWidth="1"/>
    <col min="1285" max="1285" width="6.6640625" style="1" customWidth="1"/>
    <col min="1286" max="1286" width="19" style="1" customWidth="1"/>
    <col min="1287" max="1287" width="19.109375" style="1" customWidth="1"/>
    <col min="1288" max="1288" width="21.33203125" style="1" customWidth="1"/>
    <col min="1289" max="1289" width="32.5546875" style="1" customWidth="1"/>
    <col min="1290" max="1290" width="16.88671875" style="1" customWidth="1"/>
    <col min="1291" max="1291" width="16.33203125" style="1" customWidth="1"/>
    <col min="1292" max="1522" width="10.33203125" style="1"/>
    <col min="1523" max="1523" width="4.44140625" style="1" customWidth="1"/>
    <col min="1524" max="1524" width="21.6640625" style="1" customWidth="1"/>
    <col min="1525" max="1525" width="15" style="1" customWidth="1"/>
    <col min="1526" max="1526" width="15.44140625" style="1" customWidth="1"/>
    <col min="1527" max="1527" width="11.5546875" style="1" customWidth="1"/>
    <col min="1528" max="1528" width="7.44140625" style="1" customWidth="1"/>
    <col min="1529" max="1529" width="14.109375" style="1" customWidth="1"/>
    <col min="1530" max="1530" width="10.6640625" style="1" customWidth="1"/>
    <col min="1531" max="1531" width="13.44140625" style="1" customWidth="1"/>
    <col min="1532" max="1532" width="11.44140625" style="1" customWidth="1"/>
    <col min="1533" max="1533" width="15" style="1" customWidth="1"/>
    <col min="1534" max="1534" width="14.5546875" style="1" customWidth="1"/>
    <col min="1535" max="1535" width="10.33203125" style="1"/>
    <col min="1536" max="1536" width="7.44140625" style="1" customWidth="1"/>
    <col min="1537" max="1537" width="12.88671875" style="1" customWidth="1"/>
    <col min="1538" max="1538" width="11.109375" style="1" customWidth="1"/>
    <col min="1539" max="1539" width="14" style="1" customWidth="1"/>
    <col min="1540" max="1540" width="33" style="1" customWidth="1"/>
    <col min="1541" max="1541" width="6.6640625" style="1" customWidth="1"/>
    <col min="1542" max="1542" width="19" style="1" customWidth="1"/>
    <col min="1543" max="1543" width="19.109375" style="1" customWidth="1"/>
    <col min="1544" max="1544" width="21.33203125" style="1" customWidth="1"/>
    <col min="1545" max="1545" width="32.5546875" style="1" customWidth="1"/>
    <col min="1546" max="1546" width="16.88671875" style="1" customWidth="1"/>
    <col min="1547" max="1547" width="16.33203125" style="1" customWidth="1"/>
    <col min="1548" max="1778" width="10.33203125" style="1"/>
    <col min="1779" max="1779" width="4.44140625" style="1" customWidth="1"/>
    <col min="1780" max="1780" width="21.6640625" style="1" customWidth="1"/>
    <col min="1781" max="1781" width="15" style="1" customWidth="1"/>
    <col min="1782" max="1782" width="15.44140625" style="1" customWidth="1"/>
    <col min="1783" max="1783" width="11.5546875" style="1" customWidth="1"/>
    <col min="1784" max="1784" width="7.44140625" style="1" customWidth="1"/>
    <col min="1785" max="1785" width="14.109375" style="1" customWidth="1"/>
    <col min="1786" max="1786" width="10.6640625" style="1" customWidth="1"/>
    <col min="1787" max="1787" width="13.44140625" style="1" customWidth="1"/>
    <col min="1788" max="1788" width="11.44140625" style="1" customWidth="1"/>
    <col min="1789" max="1789" width="15" style="1" customWidth="1"/>
    <col min="1790" max="1790" width="14.5546875" style="1" customWidth="1"/>
    <col min="1791" max="1791" width="10.33203125" style="1"/>
    <col min="1792" max="1792" width="7.44140625" style="1" customWidth="1"/>
    <col min="1793" max="1793" width="12.88671875" style="1" customWidth="1"/>
    <col min="1794" max="1794" width="11.109375" style="1" customWidth="1"/>
    <col min="1795" max="1795" width="14" style="1" customWidth="1"/>
    <col min="1796" max="1796" width="33" style="1" customWidth="1"/>
    <col min="1797" max="1797" width="6.6640625" style="1" customWidth="1"/>
    <col min="1798" max="1798" width="19" style="1" customWidth="1"/>
    <col min="1799" max="1799" width="19.109375" style="1" customWidth="1"/>
    <col min="1800" max="1800" width="21.33203125" style="1" customWidth="1"/>
    <col min="1801" max="1801" width="32.5546875" style="1" customWidth="1"/>
    <col min="1802" max="1802" width="16.88671875" style="1" customWidth="1"/>
    <col min="1803" max="1803" width="16.33203125" style="1" customWidth="1"/>
    <col min="1804" max="2034" width="10.33203125" style="1"/>
    <col min="2035" max="2035" width="4.44140625" style="1" customWidth="1"/>
    <col min="2036" max="2036" width="21.6640625" style="1" customWidth="1"/>
    <col min="2037" max="2037" width="15" style="1" customWidth="1"/>
    <col min="2038" max="2038" width="15.44140625" style="1" customWidth="1"/>
    <col min="2039" max="2039" width="11.5546875" style="1" customWidth="1"/>
    <col min="2040" max="2040" width="7.44140625" style="1" customWidth="1"/>
    <col min="2041" max="2041" width="14.109375" style="1" customWidth="1"/>
    <col min="2042" max="2042" width="10.6640625" style="1" customWidth="1"/>
    <col min="2043" max="2043" width="13.44140625" style="1" customWidth="1"/>
    <col min="2044" max="2044" width="11.44140625" style="1" customWidth="1"/>
    <col min="2045" max="2045" width="15" style="1" customWidth="1"/>
    <col min="2046" max="2046" width="14.5546875" style="1" customWidth="1"/>
    <col min="2047" max="2047" width="10.33203125" style="1"/>
    <col min="2048" max="2048" width="7.44140625" style="1" customWidth="1"/>
    <col min="2049" max="2049" width="12.88671875" style="1" customWidth="1"/>
    <col min="2050" max="2050" width="11.109375" style="1" customWidth="1"/>
    <col min="2051" max="2051" width="14" style="1" customWidth="1"/>
    <col min="2052" max="2052" width="33" style="1" customWidth="1"/>
    <col min="2053" max="2053" width="6.6640625" style="1" customWidth="1"/>
    <col min="2054" max="2054" width="19" style="1" customWidth="1"/>
    <col min="2055" max="2055" width="19.109375" style="1" customWidth="1"/>
    <col min="2056" max="2056" width="21.33203125" style="1" customWidth="1"/>
    <col min="2057" max="2057" width="32.5546875" style="1" customWidth="1"/>
    <col min="2058" max="2058" width="16.88671875" style="1" customWidth="1"/>
    <col min="2059" max="2059" width="16.33203125" style="1" customWidth="1"/>
    <col min="2060" max="2290" width="10.33203125" style="1"/>
    <col min="2291" max="2291" width="4.44140625" style="1" customWidth="1"/>
    <col min="2292" max="2292" width="21.6640625" style="1" customWidth="1"/>
    <col min="2293" max="2293" width="15" style="1" customWidth="1"/>
    <col min="2294" max="2294" width="15.44140625" style="1" customWidth="1"/>
    <col min="2295" max="2295" width="11.5546875" style="1" customWidth="1"/>
    <col min="2296" max="2296" width="7.44140625" style="1" customWidth="1"/>
    <col min="2297" max="2297" width="14.109375" style="1" customWidth="1"/>
    <col min="2298" max="2298" width="10.6640625" style="1" customWidth="1"/>
    <col min="2299" max="2299" width="13.44140625" style="1" customWidth="1"/>
    <col min="2300" max="2300" width="11.44140625" style="1" customWidth="1"/>
    <col min="2301" max="2301" width="15" style="1" customWidth="1"/>
    <col min="2302" max="2302" width="14.5546875" style="1" customWidth="1"/>
    <col min="2303" max="2303" width="10.33203125" style="1"/>
    <col min="2304" max="2304" width="7.44140625" style="1" customWidth="1"/>
    <col min="2305" max="2305" width="12.88671875" style="1" customWidth="1"/>
    <col min="2306" max="2306" width="11.109375" style="1" customWidth="1"/>
    <col min="2307" max="2307" width="14" style="1" customWidth="1"/>
    <col min="2308" max="2308" width="33" style="1" customWidth="1"/>
    <col min="2309" max="2309" width="6.6640625" style="1" customWidth="1"/>
    <col min="2310" max="2310" width="19" style="1" customWidth="1"/>
    <col min="2311" max="2311" width="19.109375" style="1" customWidth="1"/>
    <col min="2312" max="2312" width="21.33203125" style="1" customWidth="1"/>
    <col min="2313" max="2313" width="32.5546875" style="1" customWidth="1"/>
    <col min="2314" max="2314" width="16.88671875" style="1" customWidth="1"/>
    <col min="2315" max="2315" width="16.33203125" style="1" customWidth="1"/>
    <col min="2316" max="2546" width="10.33203125" style="1"/>
    <col min="2547" max="2547" width="4.44140625" style="1" customWidth="1"/>
    <col min="2548" max="2548" width="21.6640625" style="1" customWidth="1"/>
    <col min="2549" max="2549" width="15" style="1" customWidth="1"/>
    <col min="2550" max="2550" width="15.44140625" style="1" customWidth="1"/>
    <col min="2551" max="2551" width="11.5546875" style="1" customWidth="1"/>
    <col min="2552" max="2552" width="7.44140625" style="1" customWidth="1"/>
    <col min="2553" max="2553" width="14.109375" style="1" customWidth="1"/>
    <col min="2554" max="2554" width="10.6640625" style="1" customWidth="1"/>
    <col min="2555" max="2555" width="13.44140625" style="1" customWidth="1"/>
    <col min="2556" max="2556" width="11.44140625" style="1" customWidth="1"/>
    <col min="2557" max="2557" width="15" style="1" customWidth="1"/>
    <col min="2558" max="2558" width="14.5546875" style="1" customWidth="1"/>
    <col min="2559" max="2559" width="10.33203125" style="1"/>
    <col min="2560" max="2560" width="7.44140625" style="1" customWidth="1"/>
    <col min="2561" max="2561" width="12.88671875" style="1" customWidth="1"/>
    <col min="2562" max="2562" width="11.109375" style="1" customWidth="1"/>
    <col min="2563" max="2563" width="14" style="1" customWidth="1"/>
    <col min="2564" max="2564" width="33" style="1" customWidth="1"/>
    <col min="2565" max="2565" width="6.6640625" style="1" customWidth="1"/>
    <col min="2566" max="2566" width="19" style="1" customWidth="1"/>
    <col min="2567" max="2567" width="19.109375" style="1" customWidth="1"/>
    <col min="2568" max="2568" width="21.33203125" style="1" customWidth="1"/>
    <col min="2569" max="2569" width="32.5546875" style="1" customWidth="1"/>
    <col min="2570" max="2570" width="16.88671875" style="1" customWidth="1"/>
    <col min="2571" max="2571" width="16.33203125" style="1" customWidth="1"/>
    <col min="2572" max="2802" width="10.33203125" style="1"/>
    <col min="2803" max="2803" width="4.44140625" style="1" customWidth="1"/>
    <col min="2804" max="2804" width="21.6640625" style="1" customWidth="1"/>
    <col min="2805" max="2805" width="15" style="1" customWidth="1"/>
    <col min="2806" max="2806" width="15.44140625" style="1" customWidth="1"/>
    <col min="2807" max="2807" width="11.5546875" style="1" customWidth="1"/>
    <col min="2808" max="2808" width="7.44140625" style="1" customWidth="1"/>
    <col min="2809" max="2809" width="14.109375" style="1" customWidth="1"/>
    <col min="2810" max="2810" width="10.6640625" style="1" customWidth="1"/>
    <col min="2811" max="2811" width="13.44140625" style="1" customWidth="1"/>
    <col min="2812" max="2812" width="11.44140625" style="1" customWidth="1"/>
    <col min="2813" max="2813" width="15" style="1" customWidth="1"/>
    <col min="2814" max="2814" width="14.5546875" style="1" customWidth="1"/>
    <col min="2815" max="2815" width="10.33203125" style="1"/>
    <col min="2816" max="2816" width="7.44140625" style="1" customWidth="1"/>
    <col min="2817" max="2817" width="12.88671875" style="1" customWidth="1"/>
    <col min="2818" max="2818" width="11.109375" style="1" customWidth="1"/>
    <col min="2819" max="2819" width="14" style="1" customWidth="1"/>
    <col min="2820" max="2820" width="33" style="1" customWidth="1"/>
    <col min="2821" max="2821" width="6.6640625" style="1" customWidth="1"/>
    <col min="2822" max="2822" width="19" style="1" customWidth="1"/>
    <col min="2823" max="2823" width="19.109375" style="1" customWidth="1"/>
    <col min="2824" max="2824" width="21.33203125" style="1" customWidth="1"/>
    <col min="2825" max="2825" width="32.5546875" style="1" customWidth="1"/>
    <col min="2826" max="2826" width="16.88671875" style="1" customWidth="1"/>
    <col min="2827" max="2827" width="16.33203125" style="1" customWidth="1"/>
    <col min="2828" max="3058" width="10.33203125" style="1"/>
    <col min="3059" max="3059" width="4.44140625" style="1" customWidth="1"/>
    <col min="3060" max="3060" width="21.6640625" style="1" customWidth="1"/>
    <col min="3061" max="3061" width="15" style="1" customWidth="1"/>
    <col min="3062" max="3062" width="15.44140625" style="1" customWidth="1"/>
    <col min="3063" max="3063" width="11.5546875" style="1" customWidth="1"/>
    <col min="3064" max="3064" width="7.44140625" style="1" customWidth="1"/>
    <col min="3065" max="3065" width="14.109375" style="1" customWidth="1"/>
    <col min="3066" max="3066" width="10.6640625" style="1" customWidth="1"/>
    <col min="3067" max="3067" width="13.44140625" style="1" customWidth="1"/>
    <col min="3068" max="3068" width="11.44140625" style="1" customWidth="1"/>
    <col min="3069" max="3069" width="15" style="1" customWidth="1"/>
    <col min="3070" max="3070" width="14.5546875" style="1" customWidth="1"/>
    <col min="3071" max="3071" width="10.33203125" style="1"/>
    <col min="3072" max="3072" width="7.44140625" style="1" customWidth="1"/>
    <col min="3073" max="3073" width="12.88671875" style="1" customWidth="1"/>
    <col min="3074" max="3074" width="11.109375" style="1" customWidth="1"/>
    <col min="3075" max="3075" width="14" style="1" customWidth="1"/>
    <col min="3076" max="3076" width="33" style="1" customWidth="1"/>
    <col min="3077" max="3077" width="6.6640625" style="1" customWidth="1"/>
    <col min="3078" max="3078" width="19" style="1" customWidth="1"/>
    <col min="3079" max="3079" width="19.109375" style="1" customWidth="1"/>
    <col min="3080" max="3080" width="21.33203125" style="1" customWidth="1"/>
    <col min="3081" max="3081" width="32.5546875" style="1" customWidth="1"/>
    <col min="3082" max="3082" width="16.88671875" style="1" customWidth="1"/>
    <col min="3083" max="3083" width="16.33203125" style="1" customWidth="1"/>
    <col min="3084" max="3314" width="10.33203125" style="1"/>
    <col min="3315" max="3315" width="4.44140625" style="1" customWidth="1"/>
    <col min="3316" max="3316" width="21.6640625" style="1" customWidth="1"/>
    <col min="3317" max="3317" width="15" style="1" customWidth="1"/>
    <col min="3318" max="3318" width="15.44140625" style="1" customWidth="1"/>
    <col min="3319" max="3319" width="11.5546875" style="1" customWidth="1"/>
    <col min="3320" max="3320" width="7.44140625" style="1" customWidth="1"/>
    <col min="3321" max="3321" width="14.109375" style="1" customWidth="1"/>
    <col min="3322" max="3322" width="10.6640625" style="1" customWidth="1"/>
    <col min="3323" max="3323" width="13.44140625" style="1" customWidth="1"/>
    <col min="3324" max="3324" width="11.44140625" style="1" customWidth="1"/>
    <col min="3325" max="3325" width="15" style="1" customWidth="1"/>
    <col min="3326" max="3326" width="14.5546875" style="1" customWidth="1"/>
    <col min="3327" max="3327" width="10.33203125" style="1"/>
    <col min="3328" max="3328" width="7.44140625" style="1" customWidth="1"/>
    <col min="3329" max="3329" width="12.88671875" style="1" customWidth="1"/>
    <col min="3330" max="3330" width="11.109375" style="1" customWidth="1"/>
    <col min="3331" max="3331" width="14" style="1" customWidth="1"/>
    <col min="3332" max="3332" width="33" style="1" customWidth="1"/>
    <col min="3333" max="3333" width="6.6640625" style="1" customWidth="1"/>
    <col min="3334" max="3334" width="19" style="1" customWidth="1"/>
    <col min="3335" max="3335" width="19.109375" style="1" customWidth="1"/>
    <col min="3336" max="3336" width="21.33203125" style="1" customWidth="1"/>
    <col min="3337" max="3337" width="32.5546875" style="1" customWidth="1"/>
    <col min="3338" max="3338" width="16.88671875" style="1" customWidth="1"/>
    <col min="3339" max="3339" width="16.33203125" style="1" customWidth="1"/>
    <col min="3340" max="3570" width="10.33203125" style="1"/>
    <col min="3571" max="3571" width="4.44140625" style="1" customWidth="1"/>
    <col min="3572" max="3572" width="21.6640625" style="1" customWidth="1"/>
    <col min="3573" max="3573" width="15" style="1" customWidth="1"/>
    <col min="3574" max="3574" width="15.44140625" style="1" customWidth="1"/>
    <col min="3575" max="3575" width="11.5546875" style="1" customWidth="1"/>
    <col min="3576" max="3576" width="7.44140625" style="1" customWidth="1"/>
    <col min="3577" max="3577" width="14.109375" style="1" customWidth="1"/>
    <col min="3578" max="3578" width="10.6640625" style="1" customWidth="1"/>
    <col min="3579" max="3579" width="13.44140625" style="1" customWidth="1"/>
    <col min="3580" max="3580" width="11.44140625" style="1" customWidth="1"/>
    <col min="3581" max="3581" width="15" style="1" customWidth="1"/>
    <col min="3582" max="3582" width="14.5546875" style="1" customWidth="1"/>
    <col min="3583" max="3583" width="10.33203125" style="1"/>
    <col min="3584" max="3584" width="7.44140625" style="1" customWidth="1"/>
    <col min="3585" max="3585" width="12.88671875" style="1" customWidth="1"/>
    <col min="3586" max="3586" width="11.109375" style="1" customWidth="1"/>
    <col min="3587" max="3587" width="14" style="1" customWidth="1"/>
    <col min="3588" max="3588" width="33" style="1" customWidth="1"/>
    <col min="3589" max="3589" width="6.6640625" style="1" customWidth="1"/>
    <col min="3590" max="3590" width="19" style="1" customWidth="1"/>
    <col min="3591" max="3591" width="19.109375" style="1" customWidth="1"/>
    <col min="3592" max="3592" width="21.33203125" style="1" customWidth="1"/>
    <col min="3593" max="3593" width="32.5546875" style="1" customWidth="1"/>
    <col min="3594" max="3594" width="16.88671875" style="1" customWidth="1"/>
    <col min="3595" max="3595" width="16.33203125" style="1" customWidth="1"/>
    <col min="3596" max="3826" width="10.33203125" style="1"/>
    <col min="3827" max="3827" width="4.44140625" style="1" customWidth="1"/>
    <col min="3828" max="3828" width="21.6640625" style="1" customWidth="1"/>
    <col min="3829" max="3829" width="15" style="1" customWidth="1"/>
    <col min="3830" max="3830" width="15.44140625" style="1" customWidth="1"/>
    <col min="3831" max="3831" width="11.5546875" style="1" customWidth="1"/>
    <col min="3832" max="3832" width="7.44140625" style="1" customWidth="1"/>
    <col min="3833" max="3833" width="14.109375" style="1" customWidth="1"/>
    <col min="3834" max="3834" width="10.6640625" style="1" customWidth="1"/>
    <col min="3835" max="3835" width="13.44140625" style="1" customWidth="1"/>
    <col min="3836" max="3836" width="11.44140625" style="1" customWidth="1"/>
    <col min="3837" max="3837" width="15" style="1" customWidth="1"/>
    <col min="3838" max="3838" width="14.5546875" style="1" customWidth="1"/>
    <col min="3839" max="3839" width="10.33203125" style="1"/>
    <col min="3840" max="3840" width="7.44140625" style="1" customWidth="1"/>
    <col min="3841" max="3841" width="12.88671875" style="1" customWidth="1"/>
    <col min="3842" max="3842" width="11.109375" style="1" customWidth="1"/>
    <col min="3843" max="3843" width="14" style="1" customWidth="1"/>
    <col min="3844" max="3844" width="33" style="1" customWidth="1"/>
    <col min="3845" max="3845" width="6.6640625" style="1" customWidth="1"/>
    <col min="3846" max="3846" width="19" style="1" customWidth="1"/>
    <col min="3847" max="3847" width="19.109375" style="1" customWidth="1"/>
    <col min="3848" max="3848" width="21.33203125" style="1" customWidth="1"/>
    <col min="3849" max="3849" width="32.5546875" style="1" customWidth="1"/>
    <col min="3850" max="3850" width="16.88671875" style="1" customWidth="1"/>
    <col min="3851" max="3851" width="16.33203125" style="1" customWidth="1"/>
    <col min="3852" max="4082" width="10.33203125" style="1"/>
    <col min="4083" max="4083" width="4.44140625" style="1" customWidth="1"/>
    <col min="4084" max="4084" width="21.6640625" style="1" customWidth="1"/>
    <col min="4085" max="4085" width="15" style="1" customWidth="1"/>
    <col min="4086" max="4086" width="15.44140625" style="1" customWidth="1"/>
    <col min="4087" max="4087" width="11.5546875" style="1" customWidth="1"/>
    <col min="4088" max="4088" width="7.44140625" style="1" customWidth="1"/>
    <col min="4089" max="4089" width="14.109375" style="1" customWidth="1"/>
    <col min="4090" max="4090" width="10.6640625" style="1" customWidth="1"/>
    <col min="4091" max="4091" width="13.44140625" style="1" customWidth="1"/>
    <col min="4092" max="4092" width="11.44140625" style="1" customWidth="1"/>
    <col min="4093" max="4093" width="15" style="1" customWidth="1"/>
    <col min="4094" max="4094" width="14.5546875" style="1" customWidth="1"/>
    <col min="4095" max="4095" width="10.33203125" style="1"/>
    <col min="4096" max="4096" width="7.44140625" style="1" customWidth="1"/>
    <col min="4097" max="4097" width="12.88671875" style="1" customWidth="1"/>
    <col min="4098" max="4098" width="11.109375" style="1" customWidth="1"/>
    <col min="4099" max="4099" width="14" style="1" customWidth="1"/>
    <col min="4100" max="4100" width="33" style="1" customWidth="1"/>
    <col min="4101" max="4101" width="6.6640625" style="1" customWidth="1"/>
    <col min="4102" max="4102" width="19" style="1" customWidth="1"/>
    <col min="4103" max="4103" width="19.109375" style="1" customWidth="1"/>
    <col min="4104" max="4104" width="21.33203125" style="1" customWidth="1"/>
    <col min="4105" max="4105" width="32.5546875" style="1" customWidth="1"/>
    <col min="4106" max="4106" width="16.88671875" style="1" customWidth="1"/>
    <col min="4107" max="4107" width="16.33203125" style="1" customWidth="1"/>
    <col min="4108" max="4338" width="10.33203125" style="1"/>
    <col min="4339" max="4339" width="4.44140625" style="1" customWidth="1"/>
    <col min="4340" max="4340" width="21.6640625" style="1" customWidth="1"/>
    <col min="4341" max="4341" width="15" style="1" customWidth="1"/>
    <col min="4342" max="4342" width="15.44140625" style="1" customWidth="1"/>
    <col min="4343" max="4343" width="11.5546875" style="1" customWidth="1"/>
    <col min="4344" max="4344" width="7.44140625" style="1" customWidth="1"/>
    <col min="4345" max="4345" width="14.109375" style="1" customWidth="1"/>
    <col min="4346" max="4346" width="10.6640625" style="1" customWidth="1"/>
    <col min="4347" max="4347" width="13.44140625" style="1" customWidth="1"/>
    <col min="4348" max="4348" width="11.44140625" style="1" customWidth="1"/>
    <col min="4349" max="4349" width="15" style="1" customWidth="1"/>
    <col min="4350" max="4350" width="14.5546875" style="1" customWidth="1"/>
    <col min="4351" max="4351" width="10.33203125" style="1"/>
    <col min="4352" max="4352" width="7.44140625" style="1" customWidth="1"/>
    <col min="4353" max="4353" width="12.88671875" style="1" customWidth="1"/>
    <col min="4354" max="4354" width="11.109375" style="1" customWidth="1"/>
    <col min="4355" max="4355" width="14" style="1" customWidth="1"/>
    <col min="4356" max="4356" width="33" style="1" customWidth="1"/>
    <col min="4357" max="4357" width="6.6640625" style="1" customWidth="1"/>
    <col min="4358" max="4358" width="19" style="1" customWidth="1"/>
    <col min="4359" max="4359" width="19.109375" style="1" customWidth="1"/>
    <col min="4360" max="4360" width="21.33203125" style="1" customWidth="1"/>
    <col min="4361" max="4361" width="32.5546875" style="1" customWidth="1"/>
    <col min="4362" max="4362" width="16.88671875" style="1" customWidth="1"/>
    <col min="4363" max="4363" width="16.33203125" style="1" customWidth="1"/>
    <col min="4364" max="4594" width="10.33203125" style="1"/>
    <col min="4595" max="4595" width="4.44140625" style="1" customWidth="1"/>
    <col min="4596" max="4596" width="21.6640625" style="1" customWidth="1"/>
    <col min="4597" max="4597" width="15" style="1" customWidth="1"/>
    <col min="4598" max="4598" width="15.44140625" style="1" customWidth="1"/>
    <col min="4599" max="4599" width="11.5546875" style="1" customWidth="1"/>
    <col min="4600" max="4600" width="7.44140625" style="1" customWidth="1"/>
    <col min="4601" max="4601" width="14.109375" style="1" customWidth="1"/>
    <col min="4602" max="4602" width="10.6640625" style="1" customWidth="1"/>
    <col min="4603" max="4603" width="13.44140625" style="1" customWidth="1"/>
    <col min="4604" max="4604" width="11.44140625" style="1" customWidth="1"/>
    <col min="4605" max="4605" width="15" style="1" customWidth="1"/>
    <col min="4606" max="4606" width="14.5546875" style="1" customWidth="1"/>
    <col min="4607" max="4607" width="10.33203125" style="1"/>
    <col min="4608" max="4608" width="7.44140625" style="1" customWidth="1"/>
    <col min="4609" max="4609" width="12.88671875" style="1" customWidth="1"/>
    <col min="4610" max="4610" width="11.109375" style="1" customWidth="1"/>
    <col min="4611" max="4611" width="14" style="1" customWidth="1"/>
    <col min="4612" max="4612" width="33" style="1" customWidth="1"/>
    <col min="4613" max="4613" width="6.6640625" style="1" customWidth="1"/>
    <col min="4614" max="4614" width="19" style="1" customWidth="1"/>
    <col min="4615" max="4615" width="19.109375" style="1" customWidth="1"/>
    <col min="4616" max="4616" width="21.33203125" style="1" customWidth="1"/>
    <col min="4617" max="4617" width="32.5546875" style="1" customWidth="1"/>
    <col min="4618" max="4618" width="16.88671875" style="1" customWidth="1"/>
    <col min="4619" max="4619" width="16.33203125" style="1" customWidth="1"/>
    <col min="4620" max="4850" width="10.33203125" style="1"/>
    <col min="4851" max="4851" width="4.44140625" style="1" customWidth="1"/>
    <col min="4852" max="4852" width="21.6640625" style="1" customWidth="1"/>
    <col min="4853" max="4853" width="15" style="1" customWidth="1"/>
    <col min="4854" max="4854" width="15.44140625" style="1" customWidth="1"/>
    <col min="4855" max="4855" width="11.5546875" style="1" customWidth="1"/>
    <col min="4856" max="4856" width="7.44140625" style="1" customWidth="1"/>
    <col min="4857" max="4857" width="14.109375" style="1" customWidth="1"/>
    <col min="4858" max="4858" width="10.6640625" style="1" customWidth="1"/>
    <col min="4859" max="4859" width="13.44140625" style="1" customWidth="1"/>
    <col min="4860" max="4860" width="11.44140625" style="1" customWidth="1"/>
    <col min="4861" max="4861" width="15" style="1" customWidth="1"/>
    <col min="4862" max="4862" width="14.5546875" style="1" customWidth="1"/>
    <col min="4863" max="4863" width="10.33203125" style="1"/>
    <col min="4864" max="4864" width="7.44140625" style="1" customWidth="1"/>
    <col min="4865" max="4865" width="12.88671875" style="1" customWidth="1"/>
    <col min="4866" max="4866" width="11.109375" style="1" customWidth="1"/>
    <col min="4867" max="4867" width="14" style="1" customWidth="1"/>
    <col min="4868" max="4868" width="33" style="1" customWidth="1"/>
    <col min="4869" max="4869" width="6.6640625" style="1" customWidth="1"/>
    <col min="4870" max="4870" width="19" style="1" customWidth="1"/>
    <col min="4871" max="4871" width="19.109375" style="1" customWidth="1"/>
    <col min="4872" max="4872" width="21.33203125" style="1" customWidth="1"/>
    <col min="4873" max="4873" width="32.5546875" style="1" customWidth="1"/>
    <col min="4874" max="4874" width="16.88671875" style="1" customWidth="1"/>
    <col min="4875" max="4875" width="16.33203125" style="1" customWidth="1"/>
    <col min="4876" max="5106" width="10.33203125" style="1"/>
    <col min="5107" max="5107" width="4.44140625" style="1" customWidth="1"/>
    <col min="5108" max="5108" width="21.6640625" style="1" customWidth="1"/>
    <col min="5109" max="5109" width="15" style="1" customWidth="1"/>
    <col min="5110" max="5110" width="15.44140625" style="1" customWidth="1"/>
    <col min="5111" max="5111" width="11.5546875" style="1" customWidth="1"/>
    <col min="5112" max="5112" width="7.44140625" style="1" customWidth="1"/>
    <col min="5113" max="5113" width="14.109375" style="1" customWidth="1"/>
    <col min="5114" max="5114" width="10.6640625" style="1" customWidth="1"/>
    <col min="5115" max="5115" width="13.44140625" style="1" customWidth="1"/>
    <col min="5116" max="5116" width="11.44140625" style="1" customWidth="1"/>
    <col min="5117" max="5117" width="15" style="1" customWidth="1"/>
    <col min="5118" max="5118" width="14.5546875" style="1" customWidth="1"/>
    <col min="5119" max="5119" width="10.33203125" style="1"/>
    <col min="5120" max="5120" width="7.44140625" style="1" customWidth="1"/>
    <col min="5121" max="5121" width="12.88671875" style="1" customWidth="1"/>
    <col min="5122" max="5122" width="11.109375" style="1" customWidth="1"/>
    <col min="5123" max="5123" width="14" style="1" customWidth="1"/>
    <col min="5124" max="5124" width="33" style="1" customWidth="1"/>
    <col min="5125" max="5125" width="6.6640625" style="1" customWidth="1"/>
    <col min="5126" max="5126" width="19" style="1" customWidth="1"/>
    <col min="5127" max="5127" width="19.109375" style="1" customWidth="1"/>
    <col min="5128" max="5128" width="21.33203125" style="1" customWidth="1"/>
    <col min="5129" max="5129" width="32.5546875" style="1" customWidth="1"/>
    <col min="5130" max="5130" width="16.88671875" style="1" customWidth="1"/>
    <col min="5131" max="5131" width="16.33203125" style="1" customWidth="1"/>
    <col min="5132" max="5362" width="10.33203125" style="1"/>
    <col min="5363" max="5363" width="4.44140625" style="1" customWidth="1"/>
    <col min="5364" max="5364" width="21.6640625" style="1" customWidth="1"/>
    <col min="5365" max="5365" width="15" style="1" customWidth="1"/>
    <col min="5366" max="5366" width="15.44140625" style="1" customWidth="1"/>
    <col min="5367" max="5367" width="11.5546875" style="1" customWidth="1"/>
    <col min="5368" max="5368" width="7.44140625" style="1" customWidth="1"/>
    <col min="5369" max="5369" width="14.109375" style="1" customWidth="1"/>
    <col min="5370" max="5370" width="10.6640625" style="1" customWidth="1"/>
    <col min="5371" max="5371" width="13.44140625" style="1" customWidth="1"/>
    <col min="5372" max="5372" width="11.44140625" style="1" customWidth="1"/>
    <col min="5373" max="5373" width="15" style="1" customWidth="1"/>
    <col min="5374" max="5374" width="14.5546875" style="1" customWidth="1"/>
    <col min="5375" max="5375" width="10.33203125" style="1"/>
    <col min="5376" max="5376" width="7.44140625" style="1" customWidth="1"/>
    <col min="5377" max="5377" width="12.88671875" style="1" customWidth="1"/>
    <col min="5378" max="5378" width="11.109375" style="1" customWidth="1"/>
    <col min="5379" max="5379" width="14" style="1" customWidth="1"/>
    <col min="5380" max="5380" width="33" style="1" customWidth="1"/>
    <col min="5381" max="5381" width="6.6640625" style="1" customWidth="1"/>
    <col min="5382" max="5382" width="19" style="1" customWidth="1"/>
    <col min="5383" max="5383" width="19.109375" style="1" customWidth="1"/>
    <col min="5384" max="5384" width="21.33203125" style="1" customWidth="1"/>
    <col min="5385" max="5385" width="32.5546875" style="1" customWidth="1"/>
    <col min="5386" max="5386" width="16.88671875" style="1" customWidth="1"/>
    <col min="5387" max="5387" width="16.33203125" style="1" customWidth="1"/>
    <col min="5388" max="5618" width="10.33203125" style="1"/>
    <col min="5619" max="5619" width="4.44140625" style="1" customWidth="1"/>
    <col min="5620" max="5620" width="21.6640625" style="1" customWidth="1"/>
    <col min="5621" max="5621" width="15" style="1" customWidth="1"/>
    <col min="5622" max="5622" width="15.44140625" style="1" customWidth="1"/>
    <col min="5623" max="5623" width="11.5546875" style="1" customWidth="1"/>
    <col min="5624" max="5624" width="7.44140625" style="1" customWidth="1"/>
    <col min="5625" max="5625" width="14.109375" style="1" customWidth="1"/>
    <col min="5626" max="5626" width="10.6640625" style="1" customWidth="1"/>
    <col min="5627" max="5627" width="13.44140625" style="1" customWidth="1"/>
    <col min="5628" max="5628" width="11.44140625" style="1" customWidth="1"/>
    <col min="5629" max="5629" width="15" style="1" customWidth="1"/>
    <col min="5630" max="5630" width="14.5546875" style="1" customWidth="1"/>
    <col min="5631" max="5631" width="10.33203125" style="1"/>
    <col min="5632" max="5632" width="7.44140625" style="1" customWidth="1"/>
    <col min="5633" max="5633" width="12.88671875" style="1" customWidth="1"/>
    <col min="5634" max="5634" width="11.109375" style="1" customWidth="1"/>
    <col min="5635" max="5635" width="14" style="1" customWidth="1"/>
    <col min="5636" max="5636" width="33" style="1" customWidth="1"/>
    <col min="5637" max="5637" width="6.6640625" style="1" customWidth="1"/>
    <col min="5638" max="5638" width="19" style="1" customWidth="1"/>
    <col min="5639" max="5639" width="19.109375" style="1" customWidth="1"/>
    <col min="5640" max="5640" width="21.33203125" style="1" customWidth="1"/>
    <col min="5641" max="5641" width="32.5546875" style="1" customWidth="1"/>
    <col min="5642" max="5642" width="16.88671875" style="1" customWidth="1"/>
    <col min="5643" max="5643" width="16.33203125" style="1" customWidth="1"/>
    <col min="5644" max="5874" width="10.33203125" style="1"/>
    <col min="5875" max="5875" width="4.44140625" style="1" customWidth="1"/>
    <col min="5876" max="5876" width="21.6640625" style="1" customWidth="1"/>
    <col min="5877" max="5877" width="15" style="1" customWidth="1"/>
    <col min="5878" max="5878" width="15.44140625" style="1" customWidth="1"/>
    <col min="5879" max="5879" width="11.5546875" style="1" customWidth="1"/>
    <col min="5880" max="5880" width="7.44140625" style="1" customWidth="1"/>
    <col min="5881" max="5881" width="14.109375" style="1" customWidth="1"/>
    <col min="5882" max="5882" width="10.6640625" style="1" customWidth="1"/>
    <col min="5883" max="5883" width="13.44140625" style="1" customWidth="1"/>
    <col min="5884" max="5884" width="11.44140625" style="1" customWidth="1"/>
    <col min="5885" max="5885" width="15" style="1" customWidth="1"/>
    <col min="5886" max="5886" width="14.5546875" style="1" customWidth="1"/>
    <col min="5887" max="5887" width="10.33203125" style="1"/>
    <col min="5888" max="5888" width="7.44140625" style="1" customWidth="1"/>
    <col min="5889" max="5889" width="12.88671875" style="1" customWidth="1"/>
    <col min="5890" max="5890" width="11.109375" style="1" customWidth="1"/>
    <col min="5891" max="5891" width="14" style="1" customWidth="1"/>
    <col min="5892" max="5892" width="33" style="1" customWidth="1"/>
    <col min="5893" max="5893" width="6.6640625" style="1" customWidth="1"/>
    <col min="5894" max="5894" width="19" style="1" customWidth="1"/>
    <col min="5895" max="5895" width="19.109375" style="1" customWidth="1"/>
    <col min="5896" max="5896" width="21.33203125" style="1" customWidth="1"/>
    <col min="5897" max="5897" width="32.5546875" style="1" customWidth="1"/>
    <col min="5898" max="5898" width="16.88671875" style="1" customWidth="1"/>
    <col min="5899" max="5899" width="16.33203125" style="1" customWidth="1"/>
    <col min="5900" max="6130" width="10.33203125" style="1"/>
    <col min="6131" max="6131" width="4.44140625" style="1" customWidth="1"/>
    <col min="6132" max="6132" width="21.6640625" style="1" customWidth="1"/>
    <col min="6133" max="6133" width="15" style="1" customWidth="1"/>
    <col min="6134" max="6134" width="15.44140625" style="1" customWidth="1"/>
    <col min="6135" max="6135" width="11.5546875" style="1" customWidth="1"/>
    <col min="6136" max="6136" width="7.44140625" style="1" customWidth="1"/>
    <col min="6137" max="6137" width="14.109375" style="1" customWidth="1"/>
    <col min="6138" max="6138" width="10.6640625" style="1" customWidth="1"/>
    <col min="6139" max="6139" width="13.44140625" style="1" customWidth="1"/>
    <col min="6140" max="6140" width="11.44140625" style="1" customWidth="1"/>
    <col min="6141" max="6141" width="15" style="1" customWidth="1"/>
    <col min="6142" max="6142" width="14.5546875" style="1" customWidth="1"/>
    <col min="6143" max="6143" width="10.33203125" style="1"/>
    <col min="6144" max="6144" width="7.44140625" style="1" customWidth="1"/>
    <col min="6145" max="6145" width="12.88671875" style="1" customWidth="1"/>
    <col min="6146" max="6146" width="11.109375" style="1" customWidth="1"/>
    <col min="6147" max="6147" width="14" style="1" customWidth="1"/>
    <col min="6148" max="6148" width="33" style="1" customWidth="1"/>
    <col min="6149" max="6149" width="6.6640625" style="1" customWidth="1"/>
    <col min="6150" max="6150" width="19" style="1" customWidth="1"/>
    <col min="6151" max="6151" width="19.109375" style="1" customWidth="1"/>
    <col min="6152" max="6152" width="21.33203125" style="1" customWidth="1"/>
    <col min="6153" max="6153" width="32.5546875" style="1" customWidth="1"/>
    <col min="6154" max="6154" width="16.88671875" style="1" customWidth="1"/>
    <col min="6155" max="6155" width="16.33203125" style="1" customWidth="1"/>
    <col min="6156" max="6386" width="10.33203125" style="1"/>
    <col min="6387" max="6387" width="4.44140625" style="1" customWidth="1"/>
    <col min="6388" max="6388" width="21.6640625" style="1" customWidth="1"/>
    <col min="6389" max="6389" width="15" style="1" customWidth="1"/>
    <col min="6390" max="6390" width="15.44140625" style="1" customWidth="1"/>
    <col min="6391" max="6391" width="11.5546875" style="1" customWidth="1"/>
    <col min="6392" max="6392" width="7.44140625" style="1" customWidth="1"/>
    <col min="6393" max="6393" width="14.109375" style="1" customWidth="1"/>
    <col min="6394" max="6394" width="10.6640625" style="1" customWidth="1"/>
    <col min="6395" max="6395" width="13.44140625" style="1" customWidth="1"/>
    <col min="6396" max="6396" width="11.44140625" style="1" customWidth="1"/>
    <col min="6397" max="6397" width="15" style="1" customWidth="1"/>
    <col min="6398" max="6398" width="14.5546875" style="1" customWidth="1"/>
    <col min="6399" max="6399" width="10.33203125" style="1"/>
    <col min="6400" max="6400" width="7.44140625" style="1" customWidth="1"/>
    <col min="6401" max="6401" width="12.88671875" style="1" customWidth="1"/>
    <col min="6402" max="6402" width="11.109375" style="1" customWidth="1"/>
    <col min="6403" max="6403" width="14" style="1" customWidth="1"/>
    <col min="6404" max="6404" width="33" style="1" customWidth="1"/>
    <col min="6405" max="6405" width="6.6640625" style="1" customWidth="1"/>
    <col min="6406" max="6406" width="19" style="1" customWidth="1"/>
    <col min="6407" max="6407" width="19.109375" style="1" customWidth="1"/>
    <col min="6408" max="6408" width="21.33203125" style="1" customWidth="1"/>
    <col min="6409" max="6409" width="32.5546875" style="1" customWidth="1"/>
    <col min="6410" max="6410" width="16.88671875" style="1" customWidth="1"/>
    <col min="6411" max="6411" width="16.33203125" style="1" customWidth="1"/>
    <col min="6412" max="6642" width="10.33203125" style="1"/>
    <col min="6643" max="6643" width="4.44140625" style="1" customWidth="1"/>
    <col min="6644" max="6644" width="21.6640625" style="1" customWidth="1"/>
    <col min="6645" max="6645" width="15" style="1" customWidth="1"/>
    <col min="6646" max="6646" width="15.44140625" style="1" customWidth="1"/>
    <col min="6647" max="6647" width="11.5546875" style="1" customWidth="1"/>
    <col min="6648" max="6648" width="7.44140625" style="1" customWidth="1"/>
    <col min="6649" max="6649" width="14.109375" style="1" customWidth="1"/>
    <col min="6650" max="6650" width="10.6640625" style="1" customWidth="1"/>
    <col min="6651" max="6651" width="13.44140625" style="1" customWidth="1"/>
    <col min="6652" max="6652" width="11.44140625" style="1" customWidth="1"/>
    <col min="6653" max="6653" width="15" style="1" customWidth="1"/>
    <col min="6654" max="6654" width="14.5546875" style="1" customWidth="1"/>
    <col min="6655" max="6655" width="10.33203125" style="1"/>
    <col min="6656" max="6656" width="7.44140625" style="1" customWidth="1"/>
    <col min="6657" max="6657" width="12.88671875" style="1" customWidth="1"/>
    <col min="6658" max="6658" width="11.109375" style="1" customWidth="1"/>
    <col min="6659" max="6659" width="14" style="1" customWidth="1"/>
    <col min="6660" max="6660" width="33" style="1" customWidth="1"/>
    <col min="6661" max="6661" width="6.6640625" style="1" customWidth="1"/>
    <col min="6662" max="6662" width="19" style="1" customWidth="1"/>
    <col min="6663" max="6663" width="19.109375" style="1" customWidth="1"/>
    <col min="6664" max="6664" width="21.33203125" style="1" customWidth="1"/>
    <col min="6665" max="6665" width="32.5546875" style="1" customWidth="1"/>
    <col min="6666" max="6666" width="16.88671875" style="1" customWidth="1"/>
    <col min="6667" max="6667" width="16.33203125" style="1" customWidth="1"/>
    <col min="6668" max="6898" width="10.33203125" style="1"/>
    <col min="6899" max="6899" width="4.44140625" style="1" customWidth="1"/>
    <col min="6900" max="6900" width="21.6640625" style="1" customWidth="1"/>
    <col min="6901" max="6901" width="15" style="1" customWidth="1"/>
    <col min="6902" max="6902" width="15.44140625" style="1" customWidth="1"/>
    <col min="6903" max="6903" width="11.5546875" style="1" customWidth="1"/>
    <col min="6904" max="6904" width="7.44140625" style="1" customWidth="1"/>
    <col min="6905" max="6905" width="14.109375" style="1" customWidth="1"/>
    <col min="6906" max="6906" width="10.6640625" style="1" customWidth="1"/>
    <col min="6907" max="6907" width="13.44140625" style="1" customWidth="1"/>
    <col min="6908" max="6908" width="11.44140625" style="1" customWidth="1"/>
    <col min="6909" max="6909" width="15" style="1" customWidth="1"/>
    <col min="6910" max="6910" width="14.5546875" style="1" customWidth="1"/>
    <col min="6911" max="6911" width="10.33203125" style="1"/>
    <col min="6912" max="6912" width="7.44140625" style="1" customWidth="1"/>
    <col min="6913" max="6913" width="12.88671875" style="1" customWidth="1"/>
    <col min="6914" max="6914" width="11.109375" style="1" customWidth="1"/>
    <col min="6915" max="6915" width="14" style="1" customWidth="1"/>
    <col min="6916" max="6916" width="33" style="1" customWidth="1"/>
    <col min="6917" max="6917" width="6.6640625" style="1" customWidth="1"/>
    <col min="6918" max="6918" width="19" style="1" customWidth="1"/>
    <col min="6919" max="6919" width="19.109375" style="1" customWidth="1"/>
    <col min="6920" max="6920" width="21.33203125" style="1" customWidth="1"/>
    <col min="6921" max="6921" width="32.5546875" style="1" customWidth="1"/>
    <col min="6922" max="6922" width="16.88671875" style="1" customWidth="1"/>
    <col min="6923" max="6923" width="16.33203125" style="1" customWidth="1"/>
    <col min="6924" max="7154" width="10.33203125" style="1"/>
    <col min="7155" max="7155" width="4.44140625" style="1" customWidth="1"/>
    <col min="7156" max="7156" width="21.6640625" style="1" customWidth="1"/>
    <col min="7157" max="7157" width="15" style="1" customWidth="1"/>
    <col min="7158" max="7158" width="15.44140625" style="1" customWidth="1"/>
    <col min="7159" max="7159" width="11.5546875" style="1" customWidth="1"/>
    <col min="7160" max="7160" width="7.44140625" style="1" customWidth="1"/>
    <col min="7161" max="7161" width="14.109375" style="1" customWidth="1"/>
    <col min="7162" max="7162" width="10.6640625" style="1" customWidth="1"/>
    <col min="7163" max="7163" width="13.44140625" style="1" customWidth="1"/>
    <col min="7164" max="7164" width="11.44140625" style="1" customWidth="1"/>
    <col min="7165" max="7165" width="15" style="1" customWidth="1"/>
    <col min="7166" max="7166" width="14.5546875" style="1" customWidth="1"/>
    <col min="7167" max="7167" width="10.33203125" style="1"/>
    <col min="7168" max="7168" width="7.44140625" style="1" customWidth="1"/>
    <col min="7169" max="7169" width="12.88671875" style="1" customWidth="1"/>
    <col min="7170" max="7170" width="11.109375" style="1" customWidth="1"/>
    <col min="7171" max="7171" width="14" style="1" customWidth="1"/>
    <col min="7172" max="7172" width="33" style="1" customWidth="1"/>
    <col min="7173" max="7173" width="6.6640625" style="1" customWidth="1"/>
    <col min="7174" max="7174" width="19" style="1" customWidth="1"/>
    <col min="7175" max="7175" width="19.109375" style="1" customWidth="1"/>
    <col min="7176" max="7176" width="21.33203125" style="1" customWidth="1"/>
    <col min="7177" max="7177" width="32.5546875" style="1" customWidth="1"/>
    <col min="7178" max="7178" width="16.88671875" style="1" customWidth="1"/>
    <col min="7179" max="7179" width="16.33203125" style="1" customWidth="1"/>
    <col min="7180" max="7410" width="10.33203125" style="1"/>
    <col min="7411" max="7411" width="4.44140625" style="1" customWidth="1"/>
    <col min="7412" max="7412" width="21.6640625" style="1" customWidth="1"/>
    <col min="7413" max="7413" width="15" style="1" customWidth="1"/>
    <col min="7414" max="7414" width="15.44140625" style="1" customWidth="1"/>
    <col min="7415" max="7415" width="11.5546875" style="1" customWidth="1"/>
    <col min="7416" max="7416" width="7.44140625" style="1" customWidth="1"/>
    <col min="7417" max="7417" width="14.109375" style="1" customWidth="1"/>
    <col min="7418" max="7418" width="10.6640625" style="1" customWidth="1"/>
    <col min="7419" max="7419" width="13.44140625" style="1" customWidth="1"/>
    <col min="7420" max="7420" width="11.44140625" style="1" customWidth="1"/>
    <col min="7421" max="7421" width="15" style="1" customWidth="1"/>
    <col min="7422" max="7422" width="14.5546875" style="1" customWidth="1"/>
    <col min="7423" max="7423" width="10.33203125" style="1"/>
    <col min="7424" max="7424" width="7.44140625" style="1" customWidth="1"/>
    <col min="7425" max="7425" width="12.88671875" style="1" customWidth="1"/>
    <col min="7426" max="7426" width="11.109375" style="1" customWidth="1"/>
    <col min="7427" max="7427" width="14" style="1" customWidth="1"/>
    <col min="7428" max="7428" width="33" style="1" customWidth="1"/>
    <col min="7429" max="7429" width="6.6640625" style="1" customWidth="1"/>
    <col min="7430" max="7430" width="19" style="1" customWidth="1"/>
    <col min="7431" max="7431" width="19.109375" style="1" customWidth="1"/>
    <col min="7432" max="7432" width="21.33203125" style="1" customWidth="1"/>
    <col min="7433" max="7433" width="32.5546875" style="1" customWidth="1"/>
    <col min="7434" max="7434" width="16.88671875" style="1" customWidth="1"/>
    <col min="7435" max="7435" width="16.33203125" style="1" customWidth="1"/>
    <col min="7436" max="7666" width="10.33203125" style="1"/>
    <col min="7667" max="7667" width="4.44140625" style="1" customWidth="1"/>
    <col min="7668" max="7668" width="21.6640625" style="1" customWidth="1"/>
    <col min="7669" max="7669" width="15" style="1" customWidth="1"/>
    <col min="7670" max="7670" width="15.44140625" style="1" customWidth="1"/>
    <col min="7671" max="7671" width="11.5546875" style="1" customWidth="1"/>
    <col min="7672" max="7672" width="7.44140625" style="1" customWidth="1"/>
    <col min="7673" max="7673" width="14.109375" style="1" customWidth="1"/>
    <col min="7674" max="7674" width="10.6640625" style="1" customWidth="1"/>
    <col min="7675" max="7675" width="13.44140625" style="1" customWidth="1"/>
    <col min="7676" max="7676" width="11.44140625" style="1" customWidth="1"/>
    <col min="7677" max="7677" width="15" style="1" customWidth="1"/>
    <col min="7678" max="7678" width="14.5546875" style="1" customWidth="1"/>
    <col min="7679" max="7679" width="10.33203125" style="1"/>
    <col min="7680" max="7680" width="7.44140625" style="1" customWidth="1"/>
    <col min="7681" max="7681" width="12.88671875" style="1" customWidth="1"/>
    <col min="7682" max="7682" width="11.109375" style="1" customWidth="1"/>
    <col min="7683" max="7683" width="14" style="1" customWidth="1"/>
    <col min="7684" max="7684" width="33" style="1" customWidth="1"/>
    <col min="7685" max="7685" width="6.6640625" style="1" customWidth="1"/>
    <col min="7686" max="7686" width="19" style="1" customWidth="1"/>
    <col min="7687" max="7687" width="19.109375" style="1" customWidth="1"/>
    <col min="7688" max="7688" width="21.33203125" style="1" customWidth="1"/>
    <col min="7689" max="7689" width="32.5546875" style="1" customWidth="1"/>
    <col min="7690" max="7690" width="16.88671875" style="1" customWidth="1"/>
    <col min="7691" max="7691" width="16.33203125" style="1" customWidth="1"/>
    <col min="7692" max="7922" width="10.33203125" style="1"/>
    <col min="7923" max="7923" width="4.44140625" style="1" customWidth="1"/>
    <col min="7924" max="7924" width="21.6640625" style="1" customWidth="1"/>
    <col min="7925" max="7925" width="15" style="1" customWidth="1"/>
    <col min="7926" max="7926" width="15.44140625" style="1" customWidth="1"/>
    <col min="7927" max="7927" width="11.5546875" style="1" customWidth="1"/>
    <col min="7928" max="7928" width="7.44140625" style="1" customWidth="1"/>
    <col min="7929" max="7929" width="14.109375" style="1" customWidth="1"/>
    <col min="7930" max="7930" width="10.6640625" style="1" customWidth="1"/>
    <col min="7931" max="7931" width="13.44140625" style="1" customWidth="1"/>
    <col min="7932" max="7932" width="11.44140625" style="1" customWidth="1"/>
    <col min="7933" max="7933" width="15" style="1" customWidth="1"/>
    <col min="7934" max="7934" width="14.5546875" style="1" customWidth="1"/>
    <col min="7935" max="7935" width="10.33203125" style="1"/>
    <col min="7936" max="7936" width="7.44140625" style="1" customWidth="1"/>
    <col min="7937" max="7937" width="12.88671875" style="1" customWidth="1"/>
    <col min="7938" max="7938" width="11.109375" style="1" customWidth="1"/>
    <col min="7939" max="7939" width="14" style="1" customWidth="1"/>
    <col min="7940" max="7940" width="33" style="1" customWidth="1"/>
    <col min="7941" max="7941" width="6.6640625" style="1" customWidth="1"/>
    <col min="7942" max="7942" width="19" style="1" customWidth="1"/>
    <col min="7943" max="7943" width="19.109375" style="1" customWidth="1"/>
    <col min="7944" max="7944" width="21.33203125" style="1" customWidth="1"/>
    <col min="7945" max="7945" width="32.5546875" style="1" customWidth="1"/>
    <col min="7946" max="7946" width="16.88671875" style="1" customWidth="1"/>
    <col min="7947" max="7947" width="16.33203125" style="1" customWidth="1"/>
    <col min="7948" max="8178" width="10.33203125" style="1"/>
    <col min="8179" max="8179" width="4.44140625" style="1" customWidth="1"/>
    <col min="8180" max="8180" width="21.6640625" style="1" customWidth="1"/>
    <col min="8181" max="8181" width="15" style="1" customWidth="1"/>
    <col min="8182" max="8182" width="15.44140625" style="1" customWidth="1"/>
    <col min="8183" max="8183" width="11.5546875" style="1" customWidth="1"/>
    <col min="8184" max="8184" width="7.44140625" style="1" customWidth="1"/>
    <col min="8185" max="8185" width="14.109375" style="1" customWidth="1"/>
    <col min="8186" max="8186" width="10.6640625" style="1" customWidth="1"/>
    <col min="8187" max="8187" width="13.44140625" style="1" customWidth="1"/>
    <col min="8188" max="8188" width="11.44140625" style="1" customWidth="1"/>
    <col min="8189" max="8189" width="15" style="1" customWidth="1"/>
    <col min="8190" max="8190" width="14.5546875" style="1" customWidth="1"/>
    <col min="8191" max="8191" width="10.33203125" style="1"/>
    <col min="8192" max="8192" width="7.44140625" style="1" customWidth="1"/>
    <col min="8193" max="8193" width="12.88671875" style="1" customWidth="1"/>
    <col min="8194" max="8194" width="11.109375" style="1" customWidth="1"/>
    <col min="8195" max="8195" width="14" style="1" customWidth="1"/>
    <col min="8196" max="8196" width="33" style="1" customWidth="1"/>
    <col min="8197" max="8197" width="6.6640625" style="1" customWidth="1"/>
    <col min="8198" max="8198" width="19" style="1" customWidth="1"/>
    <col min="8199" max="8199" width="19.109375" style="1" customWidth="1"/>
    <col min="8200" max="8200" width="21.33203125" style="1" customWidth="1"/>
    <col min="8201" max="8201" width="32.5546875" style="1" customWidth="1"/>
    <col min="8202" max="8202" width="16.88671875" style="1" customWidth="1"/>
    <col min="8203" max="8203" width="16.33203125" style="1" customWidth="1"/>
    <col min="8204" max="8434" width="10.33203125" style="1"/>
    <col min="8435" max="8435" width="4.44140625" style="1" customWidth="1"/>
    <col min="8436" max="8436" width="21.6640625" style="1" customWidth="1"/>
    <col min="8437" max="8437" width="15" style="1" customWidth="1"/>
    <col min="8438" max="8438" width="15.44140625" style="1" customWidth="1"/>
    <col min="8439" max="8439" width="11.5546875" style="1" customWidth="1"/>
    <col min="8440" max="8440" width="7.44140625" style="1" customWidth="1"/>
    <col min="8441" max="8441" width="14.109375" style="1" customWidth="1"/>
    <col min="8442" max="8442" width="10.6640625" style="1" customWidth="1"/>
    <col min="8443" max="8443" width="13.44140625" style="1" customWidth="1"/>
    <col min="8444" max="8444" width="11.44140625" style="1" customWidth="1"/>
    <col min="8445" max="8445" width="15" style="1" customWidth="1"/>
    <col min="8446" max="8446" width="14.5546875" style="1" customWidth="1"/>
    <col min="8447" max="8447" width="10.33203125" style="1"/>
    <col min="8448" max="8448" width="7.44140625" style="1" customWidth="1"/>
    <col min="8449" max="8449" width="12.88671875" style="1" customWidth="1"/>
    <col min="8450" max="8450" width="11.109375" style="1" customWidth="1"/>
    <col min="8451" max="8451" width="14" style="1" customWidth="1"/>
    <col min="8452" max="8452" width="33" style="1" customWidth="1"/>
    <col min="8453" max="8453" width="6.6640625" style="1" customWidth="1"/>
    <col min="8454" max="8454" width="19" style="1" customWidth="1"/>
    <col min="8455" max="8455" width="19.109375" style="1" customWidth="1"/>
    <col min="8456" max="8456" width="21.33203125" style="1" customWidth="1"/>
    <col min="8457" max="8457" width="32.5546875" style="1" customWidth="1"/>
    <col min="8458" max="8458" width="16.88671875" style="1" customWidth="1"/>
    <col min="8459" max="8459" width="16.33203125" style="1" customWidth="1"/>
    <col min="8460" max="8690" width="10.33203125" style="1"/>
    <col min="8691" max="8691" width="4.44140625" style="1" customWidth="1"/>
    <col min="8692" max="8692" width="21.6640625" style="1" customWidth="1"/>
    <col min="8693" max="8693" width="15" style="1" customWidth="1"/>
    <col min="8694" max="8694" width="15.44140625" style="1" customWidth="1"/>
    <col min="8695" max="8695" width="11.5546875" style="1" customWidth="1"/>
    <col min="8696" max="8696" width="7.44140625" style="1" customWidth="1"/>
    <col min="8697" max="8697" width="14.109375" style="1" customWidth="1"/>
    <col min="8698" max="8698" width="10.6640625" style="1" customWidth="1"/>
    <col min="8699" max="8699" width="13.44140625" style="1" customWidth="1"/>
    <col min="8700" max="8700" width="11.44140625" style="1" customWidth="1"/>
    <col min="8701" max="8701" width="15" style="1" customWidth="1"/>
    <col min="8702" max="8702" width="14.5546875" style="1" customWidth="1"/>
    <col min="8703" max="8703" width="10.33203125" style="1"/>
    <col min="8704" max="8704" width="7.44140625" style="1" customWidth="1"/>
    <col min="8705" max="8705" width="12.88671875" style="1" customWidth="1"/>
    <col min="8706" max="8706" width="11.109375" style="1" customWidth="1"/>
    <col min="8707" max="8707" width="14" style="1" customWidth="1"/>
    <col min="8708" max="8708" width="33" style="1" customWidth="1"/>
    <col min="8709" max="8709" width="6.6640625" style="1" customWidth="1"/>
    <col min="8710" max="8710" width="19" style="1" customWidth="1"/>
    <col min="8711" max="8711" width="19.109375" style="1" customWidth="1"/>
    <col min="8712" max="8712" width="21.33203125" style="1" customWidth="1"/>
    <col min="8713" max="8713" width="32.5546875" style="1" customWidth="1"/>
    <col min="8714" max="8714" width="16.88671875" style="1" customWidth="1"/>
    <col min="8715" max="8715" width="16.33203125" style="1" customWidth="1"/>
    <col min="8716" max="8946" width="10.33203125" style="1"/>
    <col min="8947" max="8947" width="4.44140625" style="1" customWidth="1"/>
    <col min="8948" max="8948" width="21.6640625" style="1" customWidth="1"/>
    <col min="8949" max="8949" width="15" style="1" customWidth="1"/>
    <col min="8950" max="8950" width="15.44140625" style="1" customWidth="1"/>
    <col min="8951" max="8951" width="11.5546875" style="1" customWidth="1"/>
    <col min="8952" max="8952" width="7.44140625" style="1" customWidth="1"/>
    <col min="8953" max="8953" width="14.109375" style="1" customWidth="1"/>
    <col min="8954" max="8954" width="10.6640625" style="1" customWidth="1"/>
    <col min="8955" max="8955" width="13.44140625" style="1" customWidth="1"/>
    <col min="8956" max="8956" width="11.44140625" style="1" customWidth="1"/>
    <col min="8957" max="8957" width="15" style="1" customWidth="1"/>
    <col min="8958" max="8958" width="14.5546875" style="1" customWidth="1"/>
    <col min="8959" max="8959" width="10.33203125" style="1"/>
    <col min="8960" max="8960" width="7.44140625" style="1" customWidth="1"/>
    <col min="8961" max="8961" width="12.88671875" style="1" customWidth="1"/>
    <col min="8962" max="8962" width="11.109375" style="1" customWidth="1"/>
    <col min="8963" max="8963" width="14" style="1" customWidth="1"/>
    <col min="8964" max="8964" width="33" style="1" customWidth="1"/>
    <col min="8965" max="8965" width="6.6640625" style="1" customWidth="1"/>
    <col min="8966" max="8966" width="19" style="1" customWidth="1"/>
    <col min="8967" max="8967" width="19.109375" style="1" customWidth="1"/>
    <col min="8968" max="8968" width="21.33203125" style="1" customWidth="1"/>
    <col min="8969" max="8969" width="32.5546875" style="1" customWidth="1"/>
    <col min="8970" max="8970" width="16.88671875" style="1" customWidth="1"/>
    <col min="8971" max="8971" width="16.33203125" style="1" customWidth="1"/>
    <col min="8972" max="9202" width="10.33203125" style="1"/>
    <col min="9203" max="9203" width="4.44140625" style="1" customWidth="1"/>
    <col min="9204" max="9204" width="21.6640625" style="1" customWidth="1"/>
    <col min="9205" max="9205" width="15" style="1" customWidth="1"/>
    <col min="9206" max="9206" width="15.44140625" style="1" customWidth="1"/>
    <col min="9207" max="9207" width="11.5546875" style="1" customWidth="1"/>
    <col min="9208" max="9208" width="7.44140625" style="1" customWidth="1"/>
    <col min="9209" max="9209" width="14.109375" style="1" customWidth="1"/>
    <col min="9210" max="9210" width="10.6640625" style="1" customWidth="1"/>
    <col min="9211" max="9211" width="13.44140625" style="1" customWidth="1"/>
    <col min="9212" max="9212" width="11.44140625" style="1" customWidth="1"/>
    <col min="9213" max="9213" width="15" style="1" customWidth="1"/>
    <col min="9214" max="9214" width="14.5546875" style="1" customWidth="1"/>
    <col min="9215" max="9215" width="10.33203125" style="1"/>
    <col min="9216" max="9216" width="7.44140625" style="1" customWidth="1"/>
    <col min="9217" max="9217" width="12.88671875" style="1" customWidth="1"/>
    <col min="9218" max="9218" width="11.109375" style="1" customWidth="1"/>
    <col min="9219" max="9219" width="14" style="1" customWidth="1"/>
    <col min="9220" max="9220" width="33" style="1" customWidth="1"/>
    <col min="9221" max="9221" width="6.6640625" style="1" customWidth="1"/>
    <col min="9222" max="9222" width="19" style="1" customWidth="1"/>
    <col min="9223" max="9223" width="19.109375" style="1" customWidth="1"/>
    <col min="9224" max="9224" width="21.33203125" style="1" customWidth="1"/>
    <col min="9225" max="9225" width="32.5546875" style="1" customWidth="1"/>
    <col min="9226" max="9226" width="16.88671875" style="1" customWidth="1"/>
    <col min="9227" max="9227" width="16.33203125" style="1" customWidth="1"/>
    <col min="9228" max="9458" width="10.33203125" style="1"/>
    <col min="9459" max="9459" width="4.44140625" style="1" customWidth="1"/>
    <col min="9460" max="9460" width="21.6640625" style="1" customWidth="1"/>
    <col min="9461" max="9461" width="15" style="1" customWidth="1"/>
    <col min="9462" max="9462" width="15.44140625" style="1" customWidth="1"/>
    <col min="9463" max="9463" width="11.5546875" style="1" customWidth="1"/>
    <col min="9464" max="9464" width="7.44140625" style="1" customWidth="1"/>
    <col min="9465" max="9465" width="14.109375" style="1" customWidth="1"/>
    <col min="9466" max="9466" width="10.6640625" style="1" customWidth="1"/>
    <col min="9467" max="9467" width="13.44140625" style="1" customWidth="1"/>
    <col min="9468" max="9468" width="11.44140625" style="1" customWidth="1"/>
    <col min="9469" max="9469" width="15" style="1" customWidth="1"/>
    <col min="9470" max="9470" width="14.5546875" style="1" customWidth="1"/>
    <col min="9471" max="9471" width="10.33203125" style="1"/>
    <col min="9472" max="9472" width="7.44140625" style="1" customWidth="1"/>
    <col min="9473" max="9473" width="12.88671875" style="1" customWidth="1"/>
    <col min="9474" max="9474" width="11.109375" style="1" customWidth="1"/>
    <col min="9475" max="9475" width="14" style="1" customWidth="1"/>
    <col min="9476" max="9476" width="33" style="1" customWidth="1"/>
    <col min="9477" max="9477" width="6.6640625" style="1" customWidth="1"/>
    <col min="9478" max="9478" width="19" style="1" customWidth="1"/>
    <col min="9479" max="9479" width="19.109375" style="1" customWidth="1"/>
    <col min="9480" max="9480" width="21.33203125" style="1" customWidth="1"/>
    <col min="9481" max="9481" width="32.5546875" style="1" customWidth="1"/>
    <col min="9482" max="9482" width="16.88671875" style="1" customWidth="1"/>
    <col min="9483" max="9483" width="16.33203125" style="1" customWidth="1"/>
    <col min="9484" max="9714" width="10.33203125" style="1"/>
    <col min="9715" max="9715" width="4.44140625" style="1" customWidth="1"/>
    <col min="9716" max="9716" width="21.6640625" style="1" customWidth="1"/>
    <col min="9717" max="9717" width="15" style="1" customWidth="1"/>
    <col min="9718" max="9718" width="15.44140625" style="1" customWidth="1"/>
    <col min="9719" max="9719" width="11.5546875" style="1" customWidth="1"/>
    <col min="9720" max="9720" width="7.44140625" style="1" customWidth="1"/>
    <col min="9721" max="9721" width="14.109375" style="1" customWidth="1"/>
    <col min="9722" max="9722" width="10.6640625" style="1" customWidth="1"/>
    <col min="9723" max="9723" width="13.44140625" style="1" customWidth="1"/>
    <col min="9724" max="9724" width="11.44140625" style="1" customWidth="1"/>
    <col min="9725" max="9725" width="15" style="1" customWidth="1"/>
    <col min="9726" max="9726" width="14.5546875" style="1" customWidth="1"/>
    <col min="9727" max="9727" width="10.33203125" style="1"/>
    <col min="9728" max="9728" width="7.44140625" style="1" customWidth="1"/>
    <col min="9729" max="9729" width="12.88671875" style="1" customWidth="1"/>
    <col min="9730" max="9730" width="11.109375" style="1" customWidth="1"/>
    <col min="9731" max="9731" width="14" style="1" customWidth="1"/>
    <col min="9732" max="9732" width="33" style="1" customWidth="1"/>
    <col min="9733" max="9733" width="6.6640625" style="1" customWidth="1"/>
    <col min="9734" max="9734" width="19" style="1" customWidth="1"/>
    <col min="9735" max="9735" width="19.109375" style="1" customWidth="1"/>
    <col min="9736" max="9736" width="21.33203125" style="1" customWidth="1"/>
    <col min="9737" max="9737" width="32.5546875" style="1" customWidth="1"/>
    <col min="9738" max="9738" width="16.88671875" style="1" customWidth="1"/>
    <col min="9739" max="9739" width="16.33203125" style="1" customWidth="1"/>
    <col min="9740" max="9970" width="10.33203125" style="1"/>
    <col min="9971" max="9971" width="4.44140625" style="1" customWidth="1"/>
    <col min="9972" max="9972" width="21.6640625" style="1" customWidth="1"/>
    <col min="9973" max="9973" width="15" style="1" customWidth="1"/>
    <col min="9974" max="9974" width="15.44140625" style="1" customWidth="1"/>
    <col min="9975" max="9975" width="11.5546875" style="1" customWidth="1"/>
    <col min="9976" max="9976" width="7.44140625" style="1" customWidth="1"/>
    <col min="9977" max="9977" width="14.109375" style="1" customWidth="1"/>
    <col min="9978" max="9978" width="10.6640625" style="1" customWidth="1"/>
    <col min="9979" max="9979" width="13.44140625" style="1" customWidth="1"/>
    <col min="9980" max="9980" width="11.44140625" style="1" customWidth="1"/>
    <col min="9981" max="9981" width="15" style="1" customWidth="1"/>
    <col min="9982" max="9982" width="14.5546875" style="1" customWidth="1"/>
    <col min="9983" max="9983" width="10.33203125" style="1"/>
    <col min="9984" max="9984" width="7.44140625" style="1" customWidth="1"/>
    <col min="9985" max="9985" width="12.88671875" style="1" customWidth="1"/>
    <col min="9986" max="9986" width="11.109375" style="1" customWidth="1"/>
    <col min="9987" max="9987" width="14" style="1" customWidth="1"/>
    <col min="9988" max="9988" width="33" style="1" customWidth="1"/>
    <col min="9989" max="9989" width="6.6640625" style="1" customWidth="1"/>
    <col min="9990" max="9990" width="19" style="1" customWidth="1"/>
    <col min="9991" max="9991" width="19.109375" style="1" customWidth="1"/>
    <col min="9992" max="9992" width="21.33203125" style="1" customWidth="1"/>
    <col min="9993" max="9993" width="32.5546875" style="1" customWidth="1"/>
    <col min="9994" max="9994" width="16.88671875" style="1" customWidth="1"/>
    <col min="9995" max="9995" width="16.33203125" style="1" customWidth="1"/>
    <col min="9996" max="10226" width="10.33203125" style="1"/>
    <col min="10227" max="10227" width="4.44140625" style="1" customWidth="1"/>
    <col min="10228" max="10228" width="21.6640625" style="1" customWidth="1"/>
    <col min="10229" max="10229" width="15" style="1" customWidth="1"/>
    <col min="10230" max="10230" width="15.44140625" style="1" customWidth="1"/>
    <col min="10231" max="10231" width="11.5546875" style="1" customWidth="1"/>
    <col min="10232" max="10232" width="7.44140625" style="1" customWidth="1"/>
    <col min="10233" max="10233" width="14.109375" style="1" customWidth="1"/>
    <col min="10234" max="10234" width="10.6640625" style="1" customWidth="1"/>
    <col min="10235" max="10235" width="13.44140625" style="1" customWidth="1"/>
    <col min="10236" max="10236" width="11.44140625" style="1" customWidth="1"/>
    <col min="10237" max="10237" width="15" style="1" customWidth="1"/>
    <col min="10238" max="10238" width="14.5546875" style="1" customWidth="1"/>
    <col min="10239" max="10239" width="10.33203125" style="1"/>
    <col min="10240" max="10240" width="7.44140625" style="1" customWidth="1"/>
    <col min="10241" max="10241" width="12.88671875" style="1" customWidth="1"/>
    <col min="10242" max="10242" width="11.109375" style="1" customWidth="1"/>
    <col min="10243" max="10243" width="14" style="1" customWidth="1"/>
    <col min="10244" max="10244" width="33" style="1" customWidth="1"/>
    <col min="10245" max="10245" width="6.6640625" style="1" customWidth="1"/>
    <col min="10246" max="10246" width="19" style="1" customWidth="1"/>
    <col min="10247" max="10247" width="19.109375" style="1" customWidth="1"/>
    <col min="10248" max="10248" width="21.33203125" style="1" customWidth="1"/>
    <col min="10249" max="10249" width="32.5546875" style="1" customWidth="1"/>
    <col min="10250" max="10250" width="16.88671875" style="1" customWidth="1"/>
    <col min="10251" max="10251" width="16.33203125" style="1" customWidth="1"/>
    <col min="10252" max="10482" width="10.33203125" style="1"/>
    <col min="10483" max="10483" width="4.44140625" style="1" customWidth="1"/>
    <col min="10484" max="10484" width="21.6640625" style="1" customWidth="1"/>
    <col min="10485" max="10485" width="15" style="1" customWidth="1"/>
    <col min="10486" max="10486" width="15.44140625" style="1" customWidth="1"/>
    <col min="10487" max="10487" width="11.5546875" style="1" customWidth="1"/>
    <col min="10488" max="10488" width="7.44140625" style="1" customWidth="1"/>
    <col min="10489" max="10489" width="14.109375" style="1" customWidth="1"/>
    <col min="10490" max="10490" width="10.6640625" style="1" customWidth="1"/>
    <col min="10491" max="10491" width="13.44140625" style="1" customWidth="1"/>
    <col min="10492" max="10492" width="11.44140625" style="1" customWidth="1"/>
    <col min="10493" max="10493" width="15" style="1" customWidth="1"/>
    <col min="10494" max="10494" width="14.5546875" style="1" customWidth="1"/>
    <col min="10495" max="10495" width="10.33203125" style="1"/>
    <col min="10496" max="10496" width="7.44140625" style="1" customWidth="1"/>
    <col min="10497" max="10497" width="12.88671875" style="1" customWidth="1"/>
    <col min="10498" max="10498" width="11.109375" style="1" customWidth="1"/>
    <col min="10499" max="10499" width="14" style="1" customWidth="1"/>
    <col min="10500" max="10500" width="33" style="1" customWidth="1"/>
    <col min="10501" max="10501" width="6.6640625" style="1" customWidth="1"/>
    <col min="10502" max="10502" width="19" style="1" customWidth="1"/>
    <col min="10503" max="10503" width="19.109375" style="1" customWidth="1"/>
    <col min="10504" max="10504" width="21.33203125" style="1" customWidth="1"/>
    <col min="10505" max="10505" width="32.5546875" style="1" customWidth="1"/>
    <col min="10506" max="10506" width="16.88671875" style="1" customWidth="1"/>
    <col min="10507" max="10507" width="16.33203125" style="1" customWidth="1"/>
    <col min="10508" max="10738" width="10.33203125" style="1"/>
    <col min="10739" max="10739" width="4.44140625" style="1" customWidth="1"/>
    <col min="10740" max="10740" width="21.6640625" style="1" customWidth="1"/>
    <col min="10741" max="10741" width="15" style="1" customWidth="1"/>
    <col min="10742" max="10742" width="15.44140625" style="1" customWidth="1"/>
    <col min="10743" max="10743" width="11.5546875" style="1" customWidth="1"/>
    <col min="10744" max="10744" width="7.44140625" style="1" customWidth="1"/>
    <col min="10745" max="10745" width="14.109375" style="1" customWidth="1"/>
    <col min="10746" max="10746" width="10.6640625" style="1" customWidth="1"/>
    <col min="10747" max="10747" width="13.44140625" style="1" customWidth="1"/>
    <col min="10748" max="10748" width="11.44140625" style="1" customWidth="1"/>
    <col min="10749" max="10749" width="15" style="1" customWidth="1"/>
    <col min="10750" max="10750" width="14.5546875" style="1" customWidth="1"/>
    <col min="10751" max="10751" width="10.33203125" style="1"/>
    <col min="10752" max="10752" width="7.44140625" style="1" customWidth="1"/>
    <col min="10753" max="10753" width="12.88671875" style="1" customWidth="1"/>
    <col min="10754" max="10754" width="11.109375" style="1" customWidth="1"/>
    <col min="10755" max="10755" width="14" style="1" customWidth="1"/>
    <col min="10756" max="10756" width="33" style="1" customWidth="1"/>
    <col min="10757" max="10757" width="6.6640625" style="1" customWidth="1"/>
    <col min="10758" max="10758" width="19" style="1" customWidth="1"/>
    <col min="10759" max="10759" width="19.109375" style="1" customWidth="1"/>
    <col min="10760" max="10760" width="21.33203125" style="1" customWidth="1"/>
    <col min="10761" max="10761" width="32.5546875" style="1" customWidth="1"/>
    <col min="10762" max="10762" width="16.88671875" style="1" customWidth="1"/>
    <col min="10763" max="10763" width="16.33203125" style="1" customWidth="1"/>
    <col min="10764" max="10994" width="10.33203125" style="1"/>
    <col min="10995" max="10995" width="4.44140625" style="1" customWidth="1"/>
    <col min="10996" max="10996" width="21.6640625" style="1" customWidth="1"/>
    <col min="10997" max="10997" width="15" style="1" customWidth="1"/>
    <col min="10998" max="10998" width="15.44140625" style="1" customWidth="1"/>
    <col min="10999" max="10999" width="11.5546875" style="1" customWidth="1"/>
    <col min="11000" max="11000" width="7.44140625" style="1" customWidth="1"/>
    <col min="11001" max="11001" width="14.109375" style="1" customWidth="1"/>
    <col min="11002" max="11002" width="10.6640625" style="1" customWidth="1"/>
    <col min="11003" max="11003" width="13.44140625" style="1" customWidth="1"/>
    <col min="11004" max="11004" width="11.44140625" style="1" customWidth="1"/>
    <col min="11005" max="11005" width="15" style="1" customWidth="1"/>
    <col min="11006" max="11006" width="14.5546875" style="1" customWidth="1"/>
    <col min="11007" max="11007" width="10.33203125" style="1"/>
    <col min="11008" max="11008" width="7.44140625" style="1" customWidth="1"/>
    <col min="11009" max="11009" width="12.88671875" style="1" customWidth="1"/>
    <col min="11010" max="11010" width="11.109375" style="1" customWidth="1"/>
    <col min="11011" max="11011" width="14" style="1" customWidth="1"/>
    <col min="11012" max="11012" width="33" style="1" customWidth="1"/>
    <col min="11013" max="11013" width="6.6640625" style="1" customWidth="1"/>
    <col min="11014" max="11014" width="19" style="1" customWidth="1"/>
    <col min="11015" max="11015" width="19.109375" style="1" customWidth="1"/>
    <col min="11016" max="11016" width="21.33203125" style="1" customWidth="1"/>
    <col min="11017" max="11017" width="32.5546875" style="1" customWidth="1"/>
    <col min="11018" max="11018" width="16.88671875" style="1" customWidth="1"/>
    <col min="11019" max="11019" width="16.33203125" style="1" customWidth="1"/>
    <col min="11020" max="11250" width="10.33203125" style="1"/>
    <col min="11251" max="11251" width="4.44140625" style="1" customWidth="1"/>
    <col min="11252" max="11252" width="21.6640625" style="1" customWidth="1"/>
    <col min="11253" max="11253" width="15" style="1" customWidth="1"/>
    <col min="11254" max="11254" width="15.44140625" style="1" customWidth="1"/>
    <col min="11255" max="11255" width="11.5546875" style="1" customWidth="1"/>
    <col min="11256" max="11256" width="7.44140625" style="1" customWidth="1"/>
    <col min="11257" max="11257" width="14.109375" style="1" customWidth="1"/>
    <col min="11258" max="11258" width="10.6640625" style="1" customWidth="1"/>
    <col min="11259" max="11259" width="13.44140625" style="1" customWidth="1"/>
    <col min="11260" max="11260" width="11.44140625" style="1" customWidth="1"/>
    <col min="11261" max="11261" width="15" style="1" customWidth="1"/>
    <col min="11262" max="11262" width="14.5546875" style="1" customWidth="1"/>
    <col min="11263" max="11263" width="10.33203125" style="1"/>
    <col min="11264" max="11264" width="7.44140625" style="1" customWidth="1"/>
    <col min="11265" max="11265" width="12.88671875" style="1" customWidth="1"/>
    <col min="11266" max="11266" width="11.109375" style="1" customWidth="1"/>
    <col min="11267" max="11267" width="14" style="1" customWidth="1"/>
    <col min="11268" max="11268" width="33" style="1" customWidth="1"/>
    <col min="11269" max="11269" width="6.6640625" style="1" customWidth="1"/>
    <col min="11270" max="11270" width="19" style="1" customWidth="1"/>
    <col min="11271" max="11271" width="19.109375" style="1" customWidth="1"/>
    <col min="11272" max="11272" width="21.33203125" style="1" customWidth="1"/>
    <col min="11273" max="11273" width="32.5546875" style="1" customWidth="1"/>
    <col min="11274" max="11274" width="16.88671875" style="1" customWidth="1"/>
    <col min="11275" max="11275" width="16.33203125" style="1" customWidth="1"/>
    <col min="11276" max="11506" width="10.33203125" style="1"/>
    <col min="11507" max="11507" width="4.44140625" style="1" customWidth="1"/>
    <col min="11508" max="11508" width="21.6640625" style="1" customWidth="1"/>
    <col min="11509" max="11509" width="15" style="1" customWidth="1"/>
    <col min="11510" max="11510" width="15.44140625" style="1" customWidth="1"/>
    <col min="11511" max="11511" width="11.5546875" style="1" customWidth="1"/>
    <col min="11512" max="11512" width="7.44140625" style="1" customWidth="1"/>
    <col min="11513" max="11513" width="14.109375" style="1" customWidth="1"/>
    <col min="11514" max="11514" width="10.6640625" style="1" customWidth="1"/>
    <col min="11515" max="11515" width="13.44140625" style="1" customWidth="1"/>
    <col min="11516" max="11516" width="11.44140625" style="1" customWidth="1"/>
    <col min="11517" max="11517" width="15" style="1" customWidth="1"/>
    <col min="11518" max="11518" width="14.5546875" style="1" customWidth="1"/>
    <col min="11519" max="11519" width="10.33203125" style="1"/>
    <col min="11520" max="11520" width="7.44140625" style="1" customWidth="1"/>
    <col min="11521" max="11521" width="12.88671875" style="1" customWidth="1"/>
    <col min="11522" max="11522" width="11.109375" style="1" customWidth="1"/>
    <col min="11523" max="11523" width="14" style="1" customWidth="1"/>
    <col min="11524" max="11524" width="33" style="1" customWidth="1"/>
    <col min="11525" max="11525" width="6.6640625" style="1" customWidth="1"/>
    <col min="11526" max="11526" width="19" style="1" customWidth="1"/>
    <col min="11527" max="11527" width="19.109375" style="1" customWidth="1"/>
    <col min="11528" max="11528" width="21.33203125" style="1" customWidth="1"/>
    <col min="11529" max="11529" width="32.5546875" style="1" customWidth="1"/>
    <col min="11530" max="11530" width="16.88671875" style="1" customWidth="1"/>
    <col min="11531" max="11531" width="16.33203125" style="1" customWidth="1"/>
    <col min="11532" max="11762" width="10.33203125" style="1"/>
    <col min="11763" max="11763" width="4.44140625" style="1" customWidth="1"/>
    <col min="11764" max="11764" width="21.6640625" style="1" customWidth="1"/>
    <col min="11765" max="11765" width="15" style="1" customWidth="1"/>
    <col min="11766" max="11766" width="15.44140625" style="1" customWidth="1"/>
    <col min="11767" max="11767" width="11.5546875" style="1" customWidth="1"/>
    <col min="11768" max="11768" width="7.44140625" style="1" customWidth="1"/>
    <col min="11769" max="11769" width="14.109375" style="1" customWidth="1"/>
    <col min="11770" max="11770" width="10.6640625" style="1" customWidth="1"/>
    <col min="11771" max="11771" width="13.44140625" style="1" customWidth="1"/>
    <col min="11772" max="11772" width="11.44140625" style="1" customWidth="1"/>
    <col min="11773" max="11773" width="15" style="1" customWidth="1"/>
    <col min="11774" max="11774" width="14.5546875" style="1" customWidth="1"/>
    <col min="11775" max="11775" width="10.33203125" style="1"/>
    <col min="11776" max="11776" width="7.44140625" style="1" customWidth="1"/>
    <col min="11777" max="11777" width="12.88671875" style="1" customWidth="1"/>
    <col min="11778" max="11778" width="11.109375" style="1" customWidth="1"/>
    <col min="11779" max="11779" width="14" style="1" customWidth="1"/>
    <col min="11780" max="11780" width="33" style="1" customWidth="1"/>
    <col min="11781" max="11781" width="6.6640625" style="1" customWidth="1"/>
    <col min="11782" max="11782" width="19" style="1" customWidth="1"/>
    <col min="11783" max="11783" width="19.109375" style="1" customWidth="1"/>
    <col min="11784" max="11784" width="21.33203125" style="1" customWidth="1"/>
    <col min="11785" max="11785" width="32.5546875" style="1" customWidth="1"/>
    <col min="11786" max="11786" width="16.88671875" style="1" customWidth="1"/>
    <col min="11787" max="11787" width="16.33203125" style="1" customWidth="1"/>
    <col min="11788" max="12018" width="10.33203125" style="1"/>
    <col min="12019" max="12019" width="4.44140625" style="1" customWidth="1"/>
    <col min="12020" max="12020" width="21.6640625" style="1" customWidth="1"/>
    <col min="12021" max="12021" width="15" style="1" customWidth="1"/>
    <col min="12022" max="12022" width="15.44140625" style="1" customWidth="1"/>
    <col min="12023" max="12023" width="11.5546875" style="1" customWidth="1"/>
    <col min="12024" max="12024" width="7.44140625" style="1" customWidth="1"/>
    <col min="12025" max="12025" width="14.109375" style="1" customWidth="1"/>
    <col min="12026" max="12026" width="10.6640625" style="1" customWidth="1"/>
    <col min="12027" max="12027" width="13.44140625" style="1" customWidth="1"/>
    <col min="12028" max="12028" width="11.44140625" style="1" customWidth="1"/>
    <col min="12029" max="12029" width="15" style="1" customWidth="1"/>
    <col min="12030" max="12030" width="14.5546875" style="1" customWidth="1"/>
    <col min="12031" max="12031" width="10.33203125" style="1"/>
    <col min="12032" max="12032" width="7.44140625" style="1" customWidth="1"/>
    <col min="12033" max="12033" width="12.88671875" style="1" customWidth="1"/>
    <col min="12034" max="12034" width="11.109375" style="1" customWidth="1"/>
    <col min="12035" max="12035" width="14" style="1" customWidth="1"/>
    <col min="12036" max="12036" width="33" style="1" customWidth="1"/>
    <col min="12037" max="12037" width="6.6640625" style="1" customWidth="1"/>
    <col min="12038" max="12038" width="19" style="1" customWidth="1"/>
    <col min="12039" max="12039" width="19.109375" style="1" customWidth="1"/>
    <col min="12040" max="12040" width="21.33203125" style="1" customWidth="1"/>
    <col min="12041" max="12041" width="32.5546875" style="1" customWidth="1"/>
    <col min="12042" max="12042" width="16.88671875" style="1" customWidth="1"/>
    <col min="12043" max="12043" width="16.33203125" style="1" customWidth="1"/>
    <col min="12044" max="12274" width="10.33203125" style="1"/>
    <col min="12275" max="12275" width="4.44140625" style="1" customWidth="1"/>
    <col min="12276" max="12276" width="21.6640625" style="1" customWidth="1"/>
    <col min="12277" max="12277" width="15" style="1" customWidth="1"/>
    <col min="12278" max="12278" width="15.44140625" style="1" customWidth="1"/>
    <col min="12279" max="12279" width="11.5546875" style="1" customWidth="1"/>
    <col min="12280" max="12280" width="7.44140625" style="1" customWidth="1"/>
    <col min="12281" max="12281" width="14.109375" style="1" customWidth="1"/>
    <col min="12282" max="12282" width="10.6640625" style="1" customWidth="1"/>
    <col min="12283" max="12283" width="13.44140625" style="1" customWidth="1"/>
    <col min="12284" max="12284" width="11.44140625" style="1" customWidth="1"/>
    <col min="12285" max="12285" width="15" style="1" customWidth="1"/>
    <col min="12286" max="12286" width="14.5546875" style="1" customWidth="1"/>
    <col min="12287" max="12287" width="10.33203125" style="1"/>
    <col min="12288" max="12288" width="7.44140625" style="1" customWidth="1"/>
    <col min="12289" max="12289" width="12.88671875" style="1" customWidth="1"/>
    <col min="12290" max="12290" width="11.109375" style="1" customWidth="1"/>
    <col min="12291" max="12291" width="14" style="1" customWidth="1"/>
    <col min="12292" max="12292" width="33" style="1" customWidth="1"/>
    <col min="12293" max="12293" width="6.6640625" style="1" customWidth="1"/>
    <col min="12294" max="12294" width="19" style="1" customWidth="1"/>
    <col min="12295" max="12295" width="19.109375" style="1" customWidth="1"/>
    <col min="12296" max="12296" width="21.33203125" style="1" customWidth="1"/>
    <col min="12297" max="12297" width="32.5546875" style="1" customWidth="1"/>
    <col min="12298" max="12298" width="16.88671875" style="1" customWidth="1"/>
    <col min="12299" max="12299" width="16.33203125" style="1" customWidth="1"/>
    <col min="12300" max="12530" width="10.33203125" style="1"/>
    <col min="12531" max="12531" width="4.44140625" style="1" customWidth="1"/>
    <col min="12532" max="12532" width="21.6640625" style="1" customWidth="1"/>
    <col min="12533" max="12533" width="15" style="1" customWidth="1"/>
    <col min="12534" max="12534" width="15.44140625" style="1" customWidth="1"/>
    <col min="12535" max="12535" width="11.5546875" style="1" customWidth="1"/>
    <col min="12536" max="12536" width="7.44140625" style="1" customWidth="1"/>
    <col min="12537" max="12537" width="14.109375" style="1" customWidth="1"/>
    <col min="12538" max="12538" width="10.6640625" style="1" customWidth="1"/>
    <col min="12539" max="12539" width="13.44140625" style="1" customWidth="1"/>
    <col min="12540" max="12540" width="11.44140625" style="1" customWidth="1"/>
    <col min="12541" max="12541" width="15" style="1" customWidth="1"/>
    <col min="12542" max="12542" width="14.5546875" style="1" customWidth="1"/>
    <col min="12543" max="12543" width="10.33203125" style="1"/>
    <col min="12544" max="12544" width="7.44140625" style="1" customWidth="1"/>
    <col min="12545" max="12545" width="12.88671875" style="1" customWidth="1"/>
    <col min="12546" max="12546" width="11.109375" style="1" customWidth="1"/>
    <col min="12547" max="12547" width="14" style="1" customWidth="1"/>
    <col min="12548" max="12548" width="33" style="1" customWidth="1"/>
    <col min="12549" max="12549" width="6.6640625" style="1" customWidth="1"/>
    <col min="12550" max="12550" width="19" style="1" customWidth="1"/>
    <col min="12551" max="12551" width="19.109375" style="1" customWidth="1"/>
    <col min="12552" max="12552" width="21.33203125" style="1" customWidth="1"/>
    <col min="12553" max="12553" width="32.5546875" style="1" customWidth="1"/>
    <col min="12554" max="12554" width="16.88671875" style="1" customWidth="1"/>
    <col min="12555" max="12555" width="16.33203125" style="1" customWidth="1"/>
    <col min="12556" max="12786" width="10.33203125" style="1"/>
    <col min="12787" max="12787" width="4.44140625" style="1" customWidth="1"/>
    <col min="12788" max="12788" width="21.6640625" style="1" customWidth="1"/>
    <col min="12789" max="12789" width="15" style="1" customWidth="1"/>
    <col min="12790" max="12790" width="15.44140625" style="1" customWidth="1"/>
    <col min="12791" max="12791" width="11.5546875" style="1" customWidth="1"/>
    <col min="12792" max="12792" width="7.44140625" style="1" customWidth="1"/>
    <col min="12793" max="12793" width="14.109375" style="1" customWidth="1"/>
    <col min="12794" max="12794" width="10.6640625" style="1" customWidth="1"/>
    <col min="12795" max="12795" width="13.44140625" style="1" customWidth="1"/>
    <col min="12796" max="12796" width="11.44140625" style="1" customWidth="1"/>
    <col min="12797" max="12797" width="15" style="1" customWidth="1"/>
    <col min="12798" max="12798" width="14.5546875" style="1" customWidth="1"/>
    <col min="12799" max="12799" width="10.33203125" style="1"/>
    <col min="12800" max="12800" width="7.44140625" style="1" customWidth="1"/>
    <col min="12801" max="12801" width="12.88671875" style="1" customWidth="1"/>
    <col min="12802" max="12802" width="11.109375" style="1" customWidth="1"/>
    <col min="12803" max="12803" width="14" style="1" customWidth="1"/>
    <col min="12804" max="12804" width="33" style="1" customWidth="1"/>
    <col min="12805" max="12805" width="6.6640625" style="1" customWidth="1"/>
    <col min="12806" max="12806" width="19" style="1" customWidth="1"/>
    <col min="12807" max="12807" width="19.109375" style="1" customWidth="1"/>
    <col min="12808" max="12808" width="21.33203125" style="1" customWidth="1"/>
    <col min="12809" max="12809" width="32.5546875" style="1" customWidth="1"/>
    <col min="12810" max="12810" width="16.88671875" style="1" customWidth="1"/>
    <col min="12811" max="12811" width="16.33203125" style="1" customWidth="1"/>
    <col min="12812" max="13042" width="10.33203125" style="1"/>
    <col min="13043" max="13043" width="4.44140625" style="1" customWidth="1"/>
    <col min="13044" max="13044" width="21.6640625" style="1" customWidth="1"/>
    <col min="13045" max="13045" width="15" style="1" customWidth="1"/>
    <col min="13046" max="13046" width="15.44140625" style="1" customWidth="1"/>
    <col min="13047" max="13047" width="11.5546875" style="1" customWidth="1"/>
    <col min="13048" max="13048" width="7.44140625" style="1" customWidth="1"/>
    <col min="13049" max="13049" width="14.109375" style="1" customWidth="1"/>
    <col min="13050" max="13050" width="10.6640625" style="1" customWidth="1"/>
    <col min="13051" max="13051" width="13.44140625" style="1" customWidth="1"/>
    <col min="13052" max="13052" width="11.44140625" style="1" customWidth="1"/>
    <col min="13053" max="13053" width="15" style="1" customWidth="1"/>
    <col min="13054" max="13054" width="14.5546875" style="1" customWidth="1"/>
    <col min="13055" max="13055" width="10.33203125" style="1"/>
    <col min="13056" max="13056" width="7.44140625" style="1" customWidth="1"/>
    <col min="13057" max="13057" width="12.88671875" style="1" customWidth="1"/>
    <col min="13058" max="13058" width="11.109375" style="1" customWidth="1"/>
    <col min="13059" max="13059" width="14" style="1" customWidth="1"/>
    <col min="13060" max="13060" width="33" style="1" customWidth="1"/>
    <col min="13061" max="13061" width="6.6640625" style="1" customWidth="1"/>
    <col min="13062" max="13062" width="19" style="1" customWidth="1"/>
    <col min="13063" max="13063" width="19.109375" style="1" customWidth="1"/>
    <col min="13064" max="13064" width="21.33203125" style="1" customWidth="1"/>
    <col min="13065" max="13065" width="32.5546875" style="1" customWidth="1"/>
    <col min="13066" max="13066" width="16.88671875" style="1" customWidth="1"/>
    <col min="13067" max="13067" width="16.33203125" style="1" customWidth="1"/>
    <col min="13068" max="13298" width="10.33203125" style="1"/>
    <col min="13299" max="13299" width="4.44140625" style="1" customWidth="1"/>
    <col min="13300" max="13300" width="21.6640625" style="1" customWidth="1"/>
    <col min="13301" max="13301" width="15" style="1" customWidth="1"/>
    <col min="13302" max="13302" width="15.44140625" style="1" customWidth="1"/>
    <col min="13303" max="13303" width="11.5546875" style="1" customWidth="1"/>
    <col min="13304" max="13304" width="7.44140625" style="1" customWidth="1"/>
    <col min="13305" max="13305" width="14.109375" style="1" customWidth="1"/>
    <col min="13306" max="13306" width="10.6640625" style="1" customWidth="1"/>
    <col min="13307" max="13307" width="13.44140625" style="1" customWidth="1"/>
    <col min="13308" max="13308" width="11.44140625" style="1" customWidth="1"/>
    <col min="13309" max="13309" width="15" style="1" customWidth="1"/>
    <col min="13310" max="13310" width="14.5546875" style="1" customWidth="1"/>
    <col min="13311" max="13311" width="10.33203125" style="1"/>
    <col min="13312" max="13312" width="7.44140625" style="1" customWidth="1"/>
    <col min="13313" max="13313" width="12.88671875" style="1" customWidth="1"/>
    <col min="13314" max="13314" width="11.109375" style="1" customWidth="1"/>
    <col min="13315" max="13315" width="14" style="1" customWidth="1"/>
    <col min="13316" max="13316" width="33" style="1" customWidth="1"/>
    <col min="13317" max="13317" width="6.6640625" style="1" customWidth="1"/>
    <col min="13318" max="13318" width="19" style="1" customWidth="1"/>
    <col min="13319" max="13319" width="19.109375" style="1" customWidth="1"/>
    <col min="13320" max="13320" width="21.33203125" style="1" customWidth="1"/>
    <col min="13321" max="13321" width="32.5546875" style="1" customWidth="1"/>
    <col min="13322" max="13322" width="16.88671875" style="1" customWidth="1"/>
    <col min="13323" max="13323" width="16.33203125" style="1" customWidth="1"/>
    <col min="13324" max="13554" width="10.33203125" style="1"/>
    <col min="13555" max="13555" width="4.44140625" style="1" customWidth="1"/>
    <col min="13556" max="13556" width="21.6640625" style="1" customWidth="1"/>
    <col min="13557" max="13557" width="15" style="1" customWidth="1"/>
    <col min="13558" max="13558" width="15.44140625" style="1" customWidth="1"/>
    <col min="13559" max="13559" width="11.5546875" style="1" customWidth="1"/>
    <col min="13560" max="13560" width="7.44140625" style="1" customWidth="1"/>
    <col min="13561" max="13561" width="14.109375" style="1" customWidth="1"/>
    <col min="13562" max="13562" width="10.6640625" style="1" customWidth="1"/>
    <col min="13563" max="13563" width="13.44140625" style="1" customWidth="1"/>
    <col min="13564" max="13564" width="11.44140625" style="1" customWidth="1"/>
    <col min="13565" max="13565" width="15" style="1" customWidth="1"/>
    <col min="13566" max="13566" width="14.5546875" style="1" customWidth="1"/>
    <col min="13567" max="13567" width="10.33203125" style="1"/>
    <col min="13568" max="13568" width="7.44140625" style="1" customWidth="1"/>
    <col min="13569" max="13569" width="12.88671875" style="1" customWidth="1"/>
    <col min="13570" max="13570" width="11.109375" style="1" customWidth="1"/>
    <col min="13571" max="13571" width="14" style="1" customWidth="1"/>
    <col min="13572" max="13572" width="33" style="1" customWidth="1"/>
    <col min="13573" max="13573" width="6.6640625" style="1" customWidth="1"/>
    <col min="13574" max="13574" width="19" style="1" customWidth="1"/>
    <col min="13575" max="13575" width="19.109375" style="1" customWidth="1"/>
    <col min="13576" max="13576" width="21.33203125" style="1" customWidth="1"/>
    <col min="13577" max="13577" width="32.5546875" style="1" customWidth="1"/>
    <col min="13578" max="13578" width="16.88671875" style="1" customWidth="1"/>
    <col min="13579" max="13579" width="16.33203125" style="1" customWidth="1"/>
    <col min="13580" max="13810" width="10.33203125" style="1"/>
    <col min="13811" max="13811" width="4.44140625" style="1" customWidth="1"/>
    <col min="13812" max="13812" width="21.6640625" style="1" customWidth="1"/>
    <col min="13813" max="13813" width="15" style="1" customWidth="1"/>
    <col min="13814" max="13814" width="15.44140625" style="1" customWidth="1"/>
    <col min="13815" max="13815" width="11.5546875" style="1" customWidth="1"/>
    <col min="13816" max="13816" width="7.44140625" style="1" customWidth="1"/>
    <col min="13817" max="13817" width="14.109375" style="1" customWidth="1"/>
    <col min="13818" max="13818" width="10.6640625" style="1" customWidth="1"/>
    <col min="13819" max="13819" width="13.44140625" style="1" customWidth="1"/>
    <col min="13820" max="13820" width="11.44140625" style="1" customWidth="1"/>
    <col min="13821" max="13821" width="15" style="1" customWidth="1"/>
    <col min="13822" max="13822" width="14.5546875" style="1" customWidth="1"/>
    <col min="13823" max="13823" width="10.33203125" style="1"/>
    <col min="13824" max="13824" width="7.44140625" style="1" customWidth="1"/>
    <col min="13825" max="13825" width="12.88671875" style="1" customWidth="1"/>
    <col min="13826" max="13826" width="11.109375" style="1" customWidth="1"/>
    <col min="13827" max="13827" width="14" style="1" customWidth="1"/>
    <col min="13828" max="13828" width="33" style="1" customWidth="1"/>
    <col min="13829" max="13829" width="6.6640625" style="1" customWidth="1"/>
    <col min="13830" max="13830" width="19" style="1" customWidth="1"/>
    <col min="13831" max="13831" width="19.109375" style="1" customWidth="1"/>
    <col min="13832" max="13832" width="21.33203125" style="1" customWidth="1"/>
    <col min="13833" max="13833" width="32.5546875" style="1" customWidth="1"/>
    <col min="13834" max="13834" width="16.88671875" style="1" customWidth="1"/>
    <col min="13835" max="13835" width="16.33203125" style="1" customWidth="1"/>
    <col min="13836" max="14066" width="10.33203125" style="1"/>
    <col min="14067" max="14067" width="4.44140625" style="1" customWidth="1"/>
    <col min="14068" max="14068" width="21.6640625" style="1" customWidth="1"/>
    <col min="14069" max="14069" width="15" style="1" customWidth="1"/>
    <col min="14070" max="14070" width="15.44140625" style="1" customWidth="1"/>
    <col min="14071" max="14071" width="11.5546875" style="1" customWidth="1"/>
    <col min="14072" max="14072" width="7.44140625" style="1" customWidth="1"/>
    <col min="14073" max="14073" width="14.109375" style="1" customWidth="1"/>
    <col min="14074" max="14074" width="10.6640625" style="1" customWidth="1"/>
    <col min="14075" max="14075" width="13.44140625" style="1" customWidth="1"/>
    <col min="14076" max="14076" width="11.44140625" style="1" customWidth="1"/>
    <col min="14077" max="14077" width="15" style="1" customWidth="1"/>
    <col min="14078" max="14078" width="14.5546875" style="1" customWidth="1"/>
    <col min="14079" max="14079" width="10.33203125" style="1"/>
    <col min="14080" max="14080" width="7.44140625" style="1" customWidth="1"/>
    <col min="14081" max="14081" width="12.88671875" style="1" customWidth="1"/>
    <col min="14082" max="14082" width="11.109375" style="1" customWidth="1"/>
    <col min="14083" max="14083" width="14" style="1" customWidth="1"/>
    <col min="14084" max="14084" width="33" style="1" customWidth="1"/>
    <col min="14085" max="14085" width="6.6640625" style="1" customWidth="1"/>
    <col min="14086" max="14086" width="19" style="1" customWidth="1"/>
    <col min="14087" max="14087" width="19.109375" style="1" customWidth="1"/>
    <col min="14088" max="14088" width="21.33203125" style="1" customWidth="1"/>
    <col min="14089" max="14089" width="32.5546875" style="1" customWidth="1"/>
    <col min="14090" max="14090" width="16.88671875" style="1" customWidth="1"/>
    <col min="14091" max="14091" width="16.33203125" style="1" customWidth="1"/>
    <col min="14092" max="14322" width="10.33203125" style="1"/>
    <col min="14323" max="14323" width="4.44140625" style="1" customWidth="1"/>
    <col min="14324" max="14324" width="21.6640625" style="1" customWidth="1"/>
    <col min="14325" max="14325" width="15" style="1" customWidth="1"/>
    <col min="14326" max="14326" width="15.44140625" style="1" customWidth="1"/>
    <col min="14327" max="14327" width="11.5546875" style="1" customWidth="1"/>
    <col min="14328" max="14328" width="7.44140625" style="1" customWidth="1"/>
    <col min="14329" max="14329" width="14.109375" style="1" customWidth="1"/>
    <col min="14330" max="14330" width="10.6640625" style="1" customWidth="1"/>
    <col min="14331" max="14331" width="13.44140625" style="1" customWidth="1"/>
    <col min="14332" max="14332" width="11.44140625" style="1" customWidth="1"/>
    <col min="14333" max="14333" width="15" style="1" customWidth="1"/>
    <col min="14334" max="14334" width="14.5546875" style="1" customWidth="1"/>
    <col min="14335" max="14335" width="10.33203125" style="1"/>
    <col min="14336" max="14336" width="7.44140625" style="1" customWidth="1"/>
    <col min="14337" max="14337" width="12.88671875" style="1" customWidth="1"/>
    <col min="14338" max="14338" width="11.109375" style="1" customWidth="1"/>
    <col min="14339" max="14339" width="14" style="1" customWidth="1"/>
    <col min="14340" max="14340" width="33" style="1" customWidth="1"/>
    <col min="14341" max="14341" width="6.6640625" style="1" customWidth="1"/>
    <col min="14342" max="14342" width="19" style="1" customWidth="1"/>
    <col min="14343" max="14343" width="19.109375" style="1" customWidth="1"/>
    <col min="14344" max="14344" width="21.33203125" style="1" customWidth="1"/>
    <col min="14345" max="14345" width="32.5546875" style="1" customWidth="1"/>
    <col min="14346" max="14346" width="16.88671875" style="1" customWidth="1"/>
    <col min="14347" max="14347" width="16.33203125" style="1" customWidth="1"/>
    <col min="14348" max="14578" width="10.33203125" style="1"/>
    <col min="14579" max="14579" width="4.44140625" style="1" customWidth="1"/>
    <col min="14580" max="14580" width="21.6640625" style="1" customWidth="1"/>
    <col min="14581" max="14581" width="15" style="1" customWidth="1"/>
    <col min="14582" max="14582" width="15.44140625" style="1" customWidth="1"/>
    <col min="14583" max="14583" width="11.5546875" style="1" customWidth="1"/>
    <col min="14584" max="14584" width="7.44140625" style="1" customWidth="1"/>
    <col min="14585" max="14585" width="14.109375" style="1" customWidth="1"/>
    <col min="14586" max="14586" width="10.6640625" style="1" customWidth="1"/>
    <col min="14587" max="14587" width="13.44140625" style="1" customWidth="1"/>
    <col min="14588" max="14588" width="11.44140625" style="1" customWidth="1"/>
    <col min="14589" max="14589" width="15" style="1" customWidth="1"/>
    <col min="14590" max="14590" width="14.5546875" style="1" customWidth="1"/>
    <col min="14591" max="14591" width="10.33203125" style="1"/>
    <col min="14592" max="14592" width="7.44140625" style="1" customWidth="1"/>
    <col min="14593" max="14593" width="12.88671875" style="1" customWidth="1"/>
    <col min="14594" max="14594" width="11.109375" style="1" customWidth="1"/>
    <col min="14595" max="14595" width="14" style="1" customWidth="1"/>
    <col min="14596" max="14596" width="33" style="1" customWidth="1"/>
    <col min="14597" max="14597" width="6.6640625" style="1" customWidth="1"/>
    <col min="14598" max="14598" width="19" style="1" customWidth="1"/>
    <col min="14599" max="14599" width="19.109375" style="1" customWidth="1"/>
    <col min="14600" max="14600" width="21.33203125" style="1" customWidth="1"/>
    <col min="14601" max="14601" width="32.5546875" style="1" customWidth="1"/>
    <col min="14602" max="14602" width="16.88671875" style="1" customWidth="1"/>
    <col min="14603" max="14603" width="16.33203125" style="1" customWidth="1"/>
    <col min="14604" max="14834" width="10.33203125" style="1"/>
    <col min="14835" max="14835" width="4.44140625" style="1" customWidth="1"/>
    <col min="14836" max="14836" width="21.6640625" style="1" customWidth="1"/>
    <col min="14837" max="14837" width="15" style="1" customWidth="1"/>
    <col min="14838" max="14838" width="15.44140625" style="1" customWidth="1"/>
    <col min="14839" max="14839" width="11.5546875" style="1" customWidth="1"/>
    <col min="14840" max="14840" width="7.44140625" style="1" customWidth="1"/>
    <col min="14841" max="14841" width="14.109375" style="1" customWidth="1"/>
    <col min="14842" max="14842" width="10.6640625" style="1" customWidth="1"/>
    <col min="14843" max="14843" width="13.44140625" style="1" customWidth="1"/>
    <col min="14844" max="14844" width="11.44140625" style="1" customWidth="1"/>
    <col min="14845" max="14845" width="15" style="1" customWidth="1"/>
    <col min="14846" max="14846" width="14.5546875" style="1" customWidth="1"/>
    <col min="14847" max="14847" width="10.33203125" style="1"/>
    <col min="14848" max="14848" width="7.44140625" style="1" customWidth="1"/>
    <col min="14849" max="14849" width="12.88671875" style="1" customWidth="1"/>
    <col min="14850" max="14850" width="11.109375" style="1" customWidth="1"/>
    <col min="14851" max="14851" width="14" style="1" customWidth="1"/>
    <col min="14852" max="14852" width="33" style="1" customWidth="1"/>
    <col min="14853" max="14853" width="6.6640625" style="1" customWidth="1"/>
    <col min="14854" max="14854" width="19" style="1" customWidth="1"/>
    <col min="14855" max="14855" width="19.109375" style="1" customWidth="1"/>
    <col min="14856" max="14856" width="21.33203125" style="1" customWidth="1"/>
    <col min="14857" max="14857" width="32.5546875" style="1" customWidth="1"/>
    <col min="14858" max="14858" width="16.88671875" style="1" customWidth="1"/>
    <col min="14859" max="14859" width="16.33203125" style="1" customWidth="1"/>
    <col min="14860" max="15090" width="10.33203125" style="1"/>
    <col min="15091" max="15091" width="4.44140625" style="1" customWidth="1"/>
    <col min="15092" max="15092" width="21.6640625" style="1" customWidth="1"/>
    <col min="15093" max="15093" width="15" style="1" customWidth="1"/>
    <col min="15094" max="15094" width="15.44140625" style="1" customWidth="1"/>
    <col min="15095" max="15095" width="11.5546875" style="1" customWidth="1"/>
    <col min="15096" max="15096" width="7.44140625" style="1" customWidth="1"/>
    <col min="15097" max="15097" width="14.109375" style="1" customWidth="1"/>
    <col min="15098" max="15098" width="10.6640625" style="1" customWidth="1"/>
    <col min="15099" max="15099" width="13.44140625" style="1" customWidth="1"/>
    <col min="15100" max="15100" width="11.44140625" style="1" customWidth="1"/>
    <col min="15101" max="15101" width="15" style="1" customWidth="1"/>
    <col min="15102" max="15102" width="14.5546875" style="1" customWidth="1"/>
    <col min="15103" max="15103" width="10.33203125" style="1"/>
    <col min="15104" max="15104" width="7.44140625" style="1" customWidth="1"/>
    <col min="15105" max="15105" width="12.88671875" style="1" customWidth="1"/>
    <col min="15106" max="15106" width="11.109375" style="1" customWidth="1"/>
    <col min="15107" max="15107" width="14" style="1" customWidth="1"/>
    <col min="15108" max="15108" width="33" style="1" customWidth="1"/>
    <col min="15109" max="15109" width="6.6640625" style="1" customWidth="1"/>
    <col min="15110" max="15110" width="19" style="1" customWidth="1"/>
    <col min="15111" max="15111" width="19.109375" style="1" customWidth="1"/>
    <col min="15112" max="15112" width="21.33203125" style="1" customWidth="1"/>
    <col min="15113" max="15113" width="32.5546875" style="1" customWidth="1"/>
    <col min="15114" max="15114" width="16.88671875" style="1" customWidth="1"/>
    <col min="15115" max="15115" width="16.33203125" style="1" customWidth="1"/>
    <col min="15116" max="15346" width="10.33203125" style="1"/>
    <col min="15347" max="15347" width="4.44140625" style="1" customWidth="1"/>
    <col min="15348" max="15348" width="21.6640625" style="1" customWidth="1"/>
    <col min="15349" max="15349" width="15" style="1" customWidth="1"/>
    <col min="15350" max="15350" width="15.44140625" style="1" customWidth="1"/>
    <col min="15351" max="15351" width="11.5546875" style="1" customWidth="1"/>
    <col min="15352" max="15352" width="7.44140625" style="1" customWidth="1"/>
    <col min="15353" max="15353" width="14.109375" style="1" customWidth="1"/>
    <col min="15354" max="15354" width="10.6640625" style="1" customWidth="1"/>
    <col min="15355" max="15355" width="13.44140625" style="1" customWidth="1"/>
    <col min="15356" max="15356" width="11.44140625" style="1" customWidth="1"/>
    <col min="15357" max="15357" width="15" style="1" customWidth="1"/>
    <col min="15358" max="15358" width="14.5546875" style="1" customWidth="1"/>
    <col min="15359" max="15359" width="10.33203125" style="1"/>
    <col min="15360" max="15360" width="7.44140625" style="1" customWidth="1"/>
    <col min="15361" max="15361" width="12.88671875" style="1" customWidth="1"/>
    <col min="15362" max="15362" width="11.109375" style="1" customWidth="1"/>
    <col min="15363" max="15363" width="14" style="1" customWidth="1"/>
    <col min="15364" max="15364" width="33" style="1" customWidth="1"/>
    <col min="15365" max="15365" width="6.6640625" style="1" customWidth="1"/>
    <col min="15366" max="15366" width="19" style="1" customWidth="1"/>
    <col min="15367" max="15367" width="19.109375" style="1" customWidth="1"/>
    <col min="15368" max="15368" width="21.33203125" style="1" customWidth="1"/>
    <col min="15369" max="15369" width="32.5546875" style="1" customWidth="1"/>
    <col min="15370" max="15370" width="16.88671875" style="1" customWidth="1"/>
    <col min="15371" max="15371" width="16.33203125" style="1" customWidth="1"/>
    <col min="15372" max="15602" width="10.33203125" style="1"/>
    <col min="15603" max="15603" width="4.44140625" style="1" customWidth="1"/>
    <col min="15604" max="15604" width="21.6640625" style="1" customWidth="1"/>
    <col min="15605" max="15605" width="15" style="1" customWidth="1"/>
    <col min="15606" max="15606" width="15.44140625" style="1" customWidth="1"/>
    <col min="15607" max="15607" width="11.5546875" style="1" customWidth="1"/>
    <col min="15608" max="15608" width="7.44140625" style="1" customWidth="1"/>
    <col min="15609" max="15609" width="14.109375" style="1" customWidth="1"/>
    <col min="15610" max="15610" width="10.6640625" style="1" customWidth="1"/>
    <col min="15611" max="15611" width="13.44140625" style="1" customWidth="1"/>
    <col min="15612" max="15612" width="11.44140625" style="1" customWidth="1"/>
    <col min="15613" max="15613" width="15" style="1" customWidth="1"/>
    <col min="15614" max="15614" width="14.5546875" style="1" customWidth="1"/>
    <col min="15615" max="15615" width="10.33203125" style="1"/>
    <col min="15616" max="15616" width="7.44140625" style="1" customWidth="1"/>
    <col min="15617" max="15617" width="12.88671875" style="1" customWidth="1"/>
    <col min="15618" max="15618" width="11.109375" style="1" customWidth="1"/>
    <col min="15619" max="15619" width="14" style="1" customWidth="1"/>
    <col min="15620" max="15620" width="33" style="1" customWidth="1"/>
    <col min="15621" max="15621" width="6.6640625" style="1" customWidth="1"/>
    <col min="15622" max="15622" width="19" style="1" customWidth="1"/>
    <col min="15623" max="15623" width="19.109375" style="1" customWidth="1"/>
    <col min="15624" max="15624" width="21.33203125" style="1" customWidth="1"/>
    <col min="15625" max="15625" width="32.5546875" style="1" customWidth="1"/>
    <col min="15626" max="15626" width="16.88671875" style="1" customWidth="1"/>
    <col min="15627" max="15627" width="16.33203125" style="1" customWidth="1"/>
    <col min="15628" max="15858" width="10.33203125" style="1"/>
    <col min="15859" max="15859" width="4.44140625" style="1" customWidth="1"/>
    <col min="15860" max="15860" width="21.6640625" style="1" customWidth="1"/>
    <col min="15861" max="15861" width="15" style="1" customWidth="1"/>
    <col min="15862" max="15862" width="15.44140625" style="1" customWidth="1"/>
    <col min="15863" max="15863" width="11.5546875" style="1" customWidth="1"/>
    <col min="15864" max="15864" width="7.44140625" style="1" customWidth="1"/>
    <col min="15865" max="15865" width="14.109375" style="1" customWidth="1"/>
    <col min="15866" max="15866" width="10.6640625" style="1" customWidth="1"/>
    <col min="15867" max="15867" width="13.44140625" style="1" customWidth="1"/>
    <col min="15868" max="15868" width="11.44140625" style="1" customWidth="1"/>
    <col min="15869" max="15869" width="15" style="1" customWidth="1"/>
    <col min="15870" max="15870" width="14.5546875" style="1" customWidth="1"/>
    <col min="15871" max="15871" width="10.33203125" style="1"/>
    <col min="15872" max="15872" width="7.44140625" style="1" customWidth="1"/>
    <col min="15873" max="15873" width="12.88671875" style="1" customWidth="1"/>
    <col min="15874" max="15874" width="11.109375" style="1" customWidth="1"/>
    <col min="15875" max="15875" width="14" style="1" customWidth="1"/>
    <col min="15876" max="15876" width="33" style="1" customWidth="1"/>
    <col min="15877" max="15877" width="6.6640625" style="1" customWidth="1"/>
    <col min="15878" max="15878" width="19" style="1" customWidth="1"/>
    <col min="15879" max="15879" width="19.109375" style="1" customWidth="1"/>
    <col min="15880" max="15880" width="21.33203125" style="1" customWidth="1"/>
    <col min="15881" max="15881" width="32.5546875" style="1" customWidth="1"/>
    <col min="15882" max="15882" width="16.88671875" style="1" customWidth="1"/>
    <col min="15883" max="15883" width="16.33203125" style="1" customWidth="1"/>
    <col min="15884" max="16114" width="10.33203125" style="1"/>
    <col min="16115" max="16115" width="4.44140625" style="1" customWidth="1"/>
    <col min="16116" max="16116" width="21.6640625" style="1" customWidth="1"/>
    <col min="16117" max="16117" width="15" style="1" customWidth="1"/>
    <col min="16118" max="16118" width="15.44140625" style="1" customWidth="1"/>
    <col min="16119" max="16119" width="11.5546875" style="1" customWidth="1"/>
    <col min="16120" max="16120" width="7.44140625" style="1" customWidth="1"/>
    <col min="16121" max="16121" width="14.109375" style="1" customWidth="1"/>
    <col min="16122" max="16122" width="10.6640625" style="1" customWidth="1"/>
    <col min="16123" max="16123" width="13.44140625" style="1" customWidth="1"/>
    <col min="16124" max="16124" width="11.44140625" style="1" customWidth="1"/>
    <col min="16125" max="16125" width="15" style="1" customWidth="1"/>
    <col min="16126" max="16126" width="14.5546875" style="1" customWidth="1"/>
    <col min="16127" max="16127" width="10.33203125" style="1"/>
    <col min="16128" max="16128" width="7.44140625" style="1" customWidth="1"/>
    <col min="16129" max="16129" width="12.88671875" style="1" customWidth="1"/>
    <col min="16130" max="16130" width="11.109375" style="1" customWidth="1"/>
    <col min="16131" max="16131" width="14" style="1" customWidth="1"/>
    <col min="16132" max="16132" width="33" style="1" customWidth="1"/>
    <col min="16133" max="16133" width="6.6640625" style="1" customWidth="1"/>
    <col min="16134" max="16134" width="19" style="1" customWidth="1"/>
    <col min="16135" max="16135" width="19.109375" style="1" customWidth="1"/>
    <col min="16136" max="16136" width="21.33203125" style="1" customWidth="1"/>
    <col min="16137" max="16137" width="32.5546875" style="1" customWidth="1"/>
    <col min="16138" max="16138" width="16.88671875" style="1" customWidth="1"/>
    <col min="16139" max="16139" width="16.33203125" style="1" customWidth="1"/>
    <col min="16140" max="16384" width="10.33203125" style="1"/>
  </cols>
  <sheetData>
    <row r="1" spans="1:16" ht="24.6">
      <c r="A1" s="726" t="s">
        <v>0</v>
      </c>
      <c r="B1" s="726"/>
      <c r="C1" s="726"/>
      <c r="D1" s="726"/>
      <c r="E1" s="726"/>
      <c r="F1" s="726"/>
      <c r="G1" s="726"/>
    </row>
    <row r="2" spans="1:16" ht="24.6">
      <c r="A2" s="726" t="s">
        <v>1</v>
      </c>
      <c r="B2" s="726"/>
      <c r="C2" s="726"/>
      <c r="D2" s="726"/>
      <c r="E2" s="726"/>
      <c r="F2" s="726"/>
      <c r="G2" s="726"/>
    </row>
    <row r="3" spans="1:16" ht="24.6">
      <c r="A3" s="727" t="s">
        <v>432</v>
      </c>
      <c r="B3" s="727"/>
      <c r="C3" s="727"/>
      <c r="D3" s="727"/>
      <c r="E3" s="727"/>
      <c r="F3" s="727"/>
      <c r="G3" s="727"/>
    </row>
    <row r="4" spans="1:16" ht="24.6">
      <c r="A4" s="3" t="s">
        <v>3</v>
      </c>
      <c r="B4" s="3" t="s">
        <v>4</v>
      </c>
      <c r="C4" s="3" t="s">
        <v>5</v>
      </c>
      <c r="D4" s="4" t="s">
        <v>296</v>
      </c>
      <c r="E4" s="728" t="s">
        <v>9</v>
      </c>
      <c r="F4" s="729"/>
      <c r="G4" s="730"/>
      <c r="H4" s="11" t="s">
        <v>12</v>
      </c>
      <c r="I4" s="11" t="s">
        <v>13</v>
      </c>
      <c r="J4" s="12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10</v>
      </c>
    </row>
    <row r="5" spans="1:16" ht="24.6">
      <c r="A5" s="3"/>
      <c r="B5" s="13"/>
      <c r="C5" s="3"/>
      <c r="D5" s="14"/>
      <c r="E5" s="9" t="s">
        <v>21</v>
      </c>
      <c r="F5" s="9" t="s">
        <v>22</v>
      </c>
      <c r="G5" s="7"/>
      <c r="H5" s="21"/>
      <c r="I5" s="21"/>
      <c r="J5" s="22"/>
      <c r="K5" s="19"/>
      <c r="L5" s="23"/>
      <c r="M5" s="19"/>
      <c r="N5" s="19"/>
      <c r="O5" s="19"/>
      <c r="P5" s="19"/>
    </row>
    <row r="6" spans="1:16" ht="24.6">
      <c r="A6" s="3"/>
      <c r="B6" s="3"/>
      <c r="C6" s="3"/>
      <c r="D6" s="24"/>
      <c r="E6" s="18"/>
      <c r="F6" s="18"/>
      <c r="G6" s="28" t="s">
        <v>26</v>
      </c>
    </row>
    <row r="7" spans="1:16" ht="24.6" hidden="1">
      <c r="A7" s="3"/>
      <c r="B7" s="30" t="s">
        <v>30</v>
      </c>
      <c r="C7" s="3"/>
      <c r="D7" s="24"/>
      <c r="E7" s="18"/>
      <c r="F7" s="18"/>
      <c r="G7" s="28"/>
    </row>
    <row r="8" spans="1:16" ht="1.8" customHeight="1" thickBot="1">
      <c r="A8" s="3">
        <v>1</v>
      </c>
      <c r="B8" s="30"/>
      <c r="C8" s="3"/>
      <c r="D8" s="31"/>
      <c r="E8" s="32"/>
      <c r="F8" s="32"/>
      <c r="G8" s="34"/>
    </row>
    <row r="9" spans="1:16" ht="20.399999999999999" hidden="1" customHeight="1" thickBot="1">
      <c r="A9" s="3"/>
      <c r="B9" s="3" t="s">
        <v>26</v>
      </c>
      <c r="C9" s="3"/>
      <c r="D9" s="38"/>
      <c r="E9" s="39"/>
      <c r="F9" s="39"/>
      <c r="G9" s="41"/>
    </row>
    <row r="10" spans="1:16" ht="25.2" hidden="1" thickTop="1">
      <c r="A10" s="29"/>
      <c r="B10" s="45" t="s">
        <v>37</v>
      </c>
      <c r="C10" s="29"/>
      <c r="D10" s="57"/>
      <c r="E10" s="46"/>
      <c r="F10" s="28"/>
      <c r="G10" s="57"/>
    </row>
    <row r="11" spans="1:16" ht="25.8" hidden="1" thickTop="1" thickBot="1">
      <c r="A11" s="25">
        <v>1</v>
      </c>
      <c r="B11" s="25"/>
      <c r="C11" s="29"/>
      <c r="D11" s="78"/>
      <c r="E11" s="74"/>
      <c r="F11" s="34"/>
      <c r="G11" s="78"/>
    </row>
    <row r="12" spans="1:16" ht="25.8" hidden="1" thickTop="1" thickBot="1">
      <c r="A12" s="25"/>
      <c r="B12" s="25" t="s">
        <v>26</v>
      </c>
      <c r="C12" s="29"/>
      <c r="D12" s="54"/>
      <c r="E12" s="79"/>
      <c r="F12" s="82"/>
      <c r="G12" s="54"/>
    </row>
    <row r="13" spans="1:16" ht="25.2" hidden="1" thickTop="1">
      <c r="A13" s="25"/>
      <c r="B13" s="45" t="s">
        <v>38</v>
      </c>
      <c r="C13" s="29"/>
      <c r="D13" s="57"/>
      <c r="E13" s="46"/>
      <c r="F13" s="28"/>
      <c r="G13" s="57"/>
    </row>
    <row r="14" spans="1:16" ht="25.8" hidden="1" thickTop="1" thickBot="1">
      <c r="A14" s="25">
        <v>1</v>
      </c>
      <c r="B14" s="25"/>
      <c r="C14" s="29"/>
      <c r="D14" s="78"/>
      <c r="E14" s="74"/>
      <c r="F14" s="34"/>
      <c r="G14" s="78"/>
    </row>
    <row r="15" spans="1:16" ht="25.8" hidden="1" thickTop="1" thickBot="1">
      <c r="A15" s="25"/>
      <c r="B15" s="25" t="s">
        <v>26</v>
      </c>
      <c r="C15" s="29"/>
      <c r="D15" s="63"/>
      <c r="E15" s="64"/>
      <c r="F15" s="41"/>
      <c r="G15" s="63"/>
    </row>
    <row r="16" spans="1:16" ht="25.2" hidden="1" thickTop="1">
      <c r="A16" s="29"/>
      <c r="B16" s="45" t="s">
        <v>49</v>
      </c>
      <c r="C16" s="29"/>
      <c r="D16" s="57"/>
      <c r="E16" s="46"/>
      <c r="F16" s="28"/>
      <c r="G16" s="57"/>
    </row>
    <row r="17" spans="1:7" ht="16.5" hidden="1" customHeight="1" thickTop="1">
      <c r="A17" s="25">
        <v>1</v>
      </c>
      <c r="B17" s="25"/>
      <c r="C17" s="29"/>
      <c r="D17" s="78"/>
      <c r="E17" s="74"/>
      <c r="F17" s="34"/>
      <c r="G17" s="78"/>
    </row>
    <row r="18" spans="1:7" ht="25.8" hidden="1" thickTop="1" thickBot="1">
      <c r="A18" s="25"/>
      <c r="B18" s="25" t="s">
        <v>26</v>
      </c>
      <c r="C18" s="29"/>
      <c r="D18" s="54"/>
      <c r="E18" s="79"/>
      <c r="F18" s="82"/>
      <c r="G18" s="54"/>
    </row>
    <row r="19" spans="1:7" ht="25.2" hidden="1" thickTop="1">
      <c r="A19" s="25"/>
      <c r="B19" s="45" t="s">
        <v>50</v>
      </c>
      <c r="C19" s="29"/>
      <c r="D19" s="57"/>
      <c r="E19" s="46"/>
      <c r="F19" s="28"/>
      <c r="G19" s="57"/>
    </row>
    <row r="20" spans="1:7" ht="25.8" hidden="1" thickTop="1" thickBot="1">
      <c r="A20" s="25"/>
      <c r="B20" s="25"/>
      <c r="C20" s="29"/>
      <c r="D20" s="78"/>
      <c r="E20" s="74"/>
      <c r="F20" s="34"/>
      <c r="G20" s="110">
        <v>0</v>
      </c>
    </row>
    <row r="21" spans="1:7" ht="25.2" hidden="1" thickTop="1">
      <c r="A21" s="25"/>
      <c r="B21" s="25" t="s">
        <v>26</v>
      </c>
      <c r="C21" s="29"/>
      <c r="D21" s="111">
        <v>0</v>
      </c>
      <c r="E21" s="109"/>
      <c r="F21" s="115"/>
      <c r="G21" s="111">
        <v>0</v>
      </c>
    </row>
    <row r="22" spans="1:7" ht="25.2" hidden="1" thickTop="1">
      <c r="A22" s="25"/>
      <c r="B22" s="45" t="s">
        <v>51</v>
      </c>
      <c r="C22" s="29"/>
      <c r="D22" s="59"/>
      <c r="E22" s="29"/>
      <c r="F22" s="25"/>
      <c r="G22" s="59"/>
    </row>
    <row r="23" spans="1:7" ht="25.8" hidden="1" thickTop="1" thickBot="1">
      <c r="A23" s="25">
        <v>1</v>
      </c>
      <c r="B23" s="25"/>
      <c r="C23" s="29"/>
      <c r="D23" s="78"/>
      <c r="E23" s="74"/>
      <c r="F23" s="34"/>
      <c r="G23" s="78"/>
    </row>
    <row r="24" spans="1:7" ht="25.8" hidden="1" thickTop="1" thickBot="1">
      <c r="A24" s="25"/>
      <c r="B24" s="25" t="s">
        <v>26</v>
      </c>
      <c r="C24" s="29"/>
      <c r="D24" s="63"/>
      <c r="E24" s="64"/>
      <c r="F24" s="41"/>
      <c r="G24" s="63"/>
    </row>
    <row r="25" spans="1:7" ht="25.2" thickTop="1">
      <c r="A25" s="29"/>
      <c r="B25" s="45" t="s">
        <v>52</v>
      </c>
      <c r="C25" s="29"/>
      <c r="D25" s="57"/>
      <c r="E25" s="46"/>
      <c r="F25" s="28"/>
      <c r="G25" s="57"/>
    </row>
    <row r="26" spans="1:7" ht="24.6">
      <c r="A26" s="25">
        <v>1</v>
      </c>
      <c r="B26" s="29" t="s">
        <v>73</v>
      </c>
      <c r="C26" s="120">
        <v>84282</v>
      </c>
      <c r="D26" s="49"/>
      <c r="E26" s="90" t="s">
        <v>456</v>
      </c>
      <c r="F26" s="86">
        <v>1</v>
      </c>
      <c r="G26" s="696">
        <v>4860</v>
      </c>
    </row>
    <row r="27" spans="1:7" ht="24.6">
      <c r="A27" s="25">
        <v>2</v>
      </c>
      <c r="B27" s="29" t="s">
        <v>105</v>
      </c>
      <c r="C27" s="29"/>
      <c r="D27" s="49"/>
      <c r="E27" s="90" t="s">
        <v>456</v>
      </c>
      <c r="F27" s="86">
        <v>1</v>
      </c>
      <c r="G27" s="697">
        <v>5000</v>
      </c>
    </row>
    <row r="28" spans="1:7" ht="24.6">
      <c r="A28" s="25">
        <v>3</v>
      </c>
      <c r="B28" s="29" t="s">
        <v>105</v>
      </c>
      <c r="C28" s="29"/>
      <c r="D28" s="49"/>
      <c r="E28" s="90" t="s">
        <v>456</v>
      </c>
      <c r="F28" s="86">
        <v>1</v>
      </c>
      <c r="G28" s="697">
        <v>4650</v>
      </c>
    </row>
    <row r="29" spans="1:7" ht="25.2" thickBot="1">
      <c r="A29" s="29"/>
      <c r="B29" s="25" t="s">
        <v>26</v>
      </c>
      <c r="C29" s="74"/>
      <c r="D29" s="78"/>
      <c r="E29" s="78"/>
      <c r="F29" s="135"/>
      <c r="G29" s="699">
        <f>SUM(G26:G28)</f>
        <v>14510</v>
      </c>
    </row>
    <row r="30" spans="1:7" ht="24.75" customHeight="1" thickTop="1">
      <c r="A30" s="14"/>
      <c r="B30" s="173"/>
      <c r="D30" s="174"/>
      <c r="G30" s="174"/>
    </row>
    <row r="31" spans="1:7" ht="24.75" customHeight="1">
      <c r="A31" s="14"/>
      <c r="B31" s="173"/>
      <c r="D31" s="174"/>
      <c r="G31" s="174"/>
    </row>
    <row r="32" spans="1:7" ht="24.75" customHeight="1">
      <c r="A32" s="4"/>
      <c r="B32" s="188" t="s">
        <v>217</v>
      </c>
      <c r="C32" s="53"/>
      <c r="D32" s="127"/>
      <c r="E32" s="53"/>
      <c r="F32" s="4"/>
      <c r="G32" s="127"/>
    </row>
    <row r="33" spans="1:9" ht="24.75" customHeight="1">
      <c r="A33" s="199">
        <v>1</v>
      </c>
      <c r="B33" s="200" t="s">
        <v>85</v>
      </c>
      <c r="C33" s="203" t="s">
        <v>86</v>
      </c>
      <c r="D33" s="202">
        <v>0</v>
      </c>
      <c r="E33" s="203" t="s">
        <v>229</v>
      </c>
      <c r="F33" s="199">
        <v>7</v>
      </c>
      <c r="G33" s="715">
        <v>30800</v>
      </c>
    </row>
    <row r="34" spans="1:9" ht="24.75" customHeight="1">
      <c r="A34" s="115"/>
      <c r="B34" s="212"/>
      <c r="C34" s="109"/>
      <c r="D34" s="162"/>
      <c r="E34" s="218"/>
      <c r="F34" s="219"/>
      <c r="G34" s="717"/>
    </row>
    <row r="35" spans="1:9" s="96" customFormat="1" ht="24.75" customHeight="1">
      <c r="A35" s="190"/>
      <c r="B35" s="191" t="s">
        <v>232</v>
      </c>
      <c r="C35" s="192" t="s">
        <v>194</v>
      </c>
      <c r="D35" s="193">
        <v>0</v>
      </c>
      <c r="E35" s="192"/>
      <c r="F35" s="190"/>
      <c r="G35" s="715">
        <v>64400</v>
      </c>
    </row>
    <row r="36" spans="1:9" ht="24.6">
      <c r="A36" s="199">
        <v>2</v>
      </c>
      <c r="B36" s="203" t="s">
        <v>32</v>
      </c>
      <c r="C36" s="222" t="s">
        <v>104</v>
      </c>
      <c r="D36" s="202"/>
      <c r="E36" s="199" t="s">
        <v>234</v>
      </c>
      <c r="F36" s="199">
        <v>4</v>
      </c>
      <c r="G36" s="715">
        <v>18600</v>
      </c>
    </row>
    <row r="37" spans="1:9" ht="24.6">
      <c r="A37" s="199">
        <v>3</v>
      </c>
      <c r="B37" s="203" t="s">
        <v>215</v>
      </c>
      <c r="C37" s="222" t="s">
        <v>104</v>
      </c>
      <c r="D37" s="202"/>
      <c r="E37" s="199" t="s">
        <v>236</v>
      </c>
      <c r="F37" s="199">
        <v>4</v>
      </c>
      <c r="G37" s="715">
        <v>23000</v>
      </c>
    </row>
    <row r="38" spans="1:9" s="96" customFormat="1" ht="24.75" customHeight="1">
      <c r="A38" s="229"/>
      <c r="B38" s="230"/>
      <c r="C38" s="231"/>
      <c r="D38" s="232"/>
      <c r="E38" s="231"/>
      <c r="F38" s="229"/>
      <c r="G38" s="722"/>
    </row>
    <row r="39" spans="1:9" ht="24.75" customHeight="1" thickBot="1">
      <c r="A39" s="34"/>
      <c r="B39" s="239"/>
      <c r="C39" s="74"/>
      <c r="D39" s="110">
        <v>0</v>
      </c>
      <c r="E39" s="110"/>
      <c r="F39" s="240"/>
      <c r="G39" s="171">
        <f>SUM(G33:G38)</f>
        <v>136800</v>
      </c>
    </row>
    <row r="40" spans="1:9" ht="25.2" thickTop="1">
      <c r="A40" s="46"/>
      <c r="B40" s="161" t="s">
        <v>238</v>
      </c>
      <c r="C40" s="46"/>
      <c r="D40" s="46"/>
      <c r="E40" s="46"/>
      <c r="F40" s="28"/>
      <c r="G40" s="46"/>
    </row>
    <row r="41" spans="1:9" ht="24.6">
      <c r="A41" s="25">
        <v>1</v>
      </c>
      <c r="B41" s="53" t="s">
        <v>239</v>
      </c>
      <c r="C41" s="109"/>
      <c r="D41" s="109"/>
      <c r="E41" s="109" t="s">
        <v>240</v>
      </c>
      <c r="F41" s="115"/>
      <c r="G41" s="162">
        <v>0</v>
      </c>
    </row>
    <row r="42" spans="1:9" ht="24.6">
      <c r="A42" s="25"/>
      <c r="B42" s="29" t="s">
        <v>241</v>
      </c>
      <c r="C42" s="29"/>
      <c r="D42" s="29"/>
      <c r="E42" s="29" t="s">
        <v>242</v>
      </c>
      <c r="F42" s="25"/>
      <c r="G42" s="697">
        <v>133707.98000000001</v>
      </c>
    </row>
    <row r="43" spans="1:9" ht="24.6">
      <c r="A43" s="25"/>
      <c r="B43" s="29" t="s">
        <v>244</v>
      </c>
      <c r="C43" s="29"/>
      <c r="D43" s="29"/>
      <c r="E43" s="29"/>
      <c r="F43" s="25"/>
      <c r="G43" s="697">
        <v>73800</v>
      </c>
    </row>
    <row r="44" spans="1:9" ht="24.6">
      <c r="A44" s="25"/>
      <c r="B44" s="29" t="s">
        <v>245</v>
      </c>
      <c r="C44" s="29"/>
      <c r="D44" s="29"/>
      <c r="E44" s="29"/>
      <c r="F44" s="25"/>
      <c r="G44" s="697">
        <v>7596.82</v>
      </c>
    </row>
    <row r="45" spans="1:9" ht="24.6">
      <c r="A45" s="25"/>
      <c r="B45" s="29" t="s">
        <v>246</v>
      </c>
      <c r="C45" s="29"/>
      <c r="D45" s="53"/>
      <c r="E45" s="53"/>
      <c r="F45" s="4"/>
      <c r="G45" s="49"/>
    </row>
    <row r="46" spans="1:9" ht="24.6">
      <c r="A46" s="4"/>
      <c r="B46" s="53"/>
      <c r="C46" s="737" t="s">
        <v>247</v>
      </c>
      <c r="D46" s="738"/>
      <c r="E46" s="53"/>
      <c r="F46" s="4"/>
      <c r="G46" s="162"/>
    </row>
    <row r="47" spans="1:9" s="96" customFormat="1" ht="24.75" customHeight="1">
      <c r="A47" s="86">
        <v>2</v>
      </c>
      <c r="B47" s="274" t="s">
        <v>68</v>
      </c>
      <c r="C47" s="87">
        <v>268</v>
      </c>
      <c r="D47" s="89"/>
      <c r="E47" s="86" t="s">
        <v>378</v>
      </c>
      <c r="F47" s="86">
        <v>80</v>
      </c>
      <c r="G47" s="92">
        <v>133752.76</v>
      </c>
    </row>
    <row r="48" spans="1:9" ht="24.75" customHeight="1">
      <c r="A48" s="25"/>
      <c r="B48" s="119" t="s">
        <v>221</v>
      </c>
      <c r="C48" s="278" t="s">
        <v>222</v>
      </c>
      <c r="D48" s="49">
        <v>0</v>
      </c>
      <c r="E48" s="29"/>
      <c r="F48" s="25" t="s">
        <v>172</v>
      </c>
      <c r="G48" s="697">
        <v>19700</v>
      </c>
      <c r="H48" s="211"/>
      <c r="I48" s="211"/>
    </row>
    <row r="49" spans="1:8" ht="24.75" customHeight="1">
      <c r="A49" s="25"/>
      <c r="B49" s="278"/>
      <c r="C49" s="278" t="s">
        <v>223</v>
      </c>
      <c r="D49" s="49"/>
      <c r="E49" s="29"/>
      <c r="F49" s="25" t="s">
        <v>172</v>
      </c>
      <c r="G49" s="697">
        <v>19700</v>
      </c>
      <c r="H49" s="211"/>
    </row>
    <row r="50" spans="1:8" ht="24.75" customHeight="1">
      <c r="A50" s="25"/>
      <c r="B50" s="278"/>
      <c r="C50" s="278" t="s">
        <v>224</v>
      </c>
      <c r="D50" s="49"/>
      <c r="E50" s="29"/>
      <c r="F50" s="25" t="s">
        <v>172</v>
      </c>
      <c r="G50" s="697">
        <v>19700</v>
      </c>
    </row>
    <row r="51" spans="1:8" ht="24.75" customHeight="1">
      <c r="A51" s="25">
        <v>3</v>
      </c>
      <c r="B51" s="119" t="s">
        <v>225</v>
      </c>
      <c r="C51" s="29"/>
      <c r="D51" s="49"/>
      <c r="E51" s="25" t="s">
        <v>226</v>
      </c>
      <c r="F51" s="25">
        <v>88</v>
      </c>
      <c r="G51" s="697">
        <v>304935.7</v>
      </c>
    </row>
    <row r="52" spans="1:8" ht="25.2" thickBot="1">
      <c r="A52" s="25"/>
      <c r="B52" s="29"/>
      <c r="C52" s="29"/>
      <c r="D52" s="74"/>
      <c r="E52" s="74"/>
      <c r="F52" s="34"/>
      <c r="G52" s="171"/>
    </row>
    <row r="53" spans="1:8" s="249" customFormat="1" ht="25.8" thickTop="1" thickBot="1">
      <c r="A53" s="134"/>
      <c r="B53" s="246" t="s">
        <v>26</v>
      </c>
      <c r="C53" s="103"/>
      <c r="D53" s="103">
        <v>0</v>
      </c>
      <c r="E53" s="103"/>
      <c r="F53" s="247"/>
      <c r="G53" s="103">
        <f>SUM(G41:G52)</f>
        <v>712893.26</v>
      </c>
    </row>
    <row r="54" spans="1:8" ht="25.8" thickTop="1" thickBot="1">
      <c r="A54" s="29"/>
      <c r="B54" s="25" t="s">
        <v>248</v>
      </c>
      <c r="C54" s="64"/>
      <c r="D54" s="63">
        <v>63270</v>
      </c>
      <c r="E54" s="63"/>
      <c r="F54" s="105"/>
      <c r="G54" s="63">
        <f>+G29+G39+G53</f>
        <v>864203.26</v>
      </c>
    </row>
    <row r="55" spans="1:8" ht="25.2" thickTop="1"/>
    <row r="56" spans="1:8" ht="24.75" customHeight="1">
      <c r="A56" s="731" t="s">
        <v>211</v>
      </c>
      <c r="B56" s="732"/>
      <c r="C56" s="732"/>
      <c r="D56" s="732"/>
      <c r="E56" s="732"/>
      <c r="F56" s="732"/>
      <c r="G56" s="732"/>
    </row>
    <row r="57" spans="1:8" ht="24.75" customHeight="1">
      <c r="A57" s="46">
        <v>1</v>
      </c>
      <c r="B57" s="180" t="s">
        <v>32</v>
      </c>
      <c r="C57" s="46" t="s">
        <v>104</v>
      </c>
      <c r="D57" s="98">
        <v>4650</v>
      </c>
      <c r="E57" s="46" t="s">
        <v>453</v>
      </c>
      <c r="F57" s="28">
        <v>11</v>
      </c>
      <c r="G57" s="57">
        <v>51150</v>
      </c>
    </row>
    <row r="58" spans="1:8" ht="24" customHeight="1">
      <c r="A58" s="25">
        <v>2</v>
      </c>
      <c r="B58" s="29" t="s">
        <v>215</v>
      </c>
      <c r="C58" s="29" t="s">
        <v>104</v>
      </c>
      <c r="D58" s="49">
        <v>5750</v>
      </c>
      <c r="E58" s="46" t="s">
        <v>453</v>
      </c>
      <c r="F58" s="25">
        <v>11</v>
      </c>
      <c r="G58" s="57">
        <v>63250</v>
      </c>
    </row>
    <row r="59" spans="1:8" ht="24" customHeight="1">
      <c r="A59" s="4">
        <v>3</v>
      </c>
      <c r="B59" s="53" t="s">
        <v>68</v>
      </c>
      <c r="C59" s="53">
        <v>268</v>
      </c>
      <c r="D59" s="127">
        <v>1215</v>
      </c>
      <c r="E59" s="109" t="s">
        <v>454</v>
      </c>
      <c r="F59" s="4">
        <v>26</v>
      </c>
      <c r="G59" s="57">
        <v>31590</v>
      </c>
    </row>
    <row r="60" spans="1:8" ht="24.75" customHeight="1" thickBot="1">
      <c r="A60" s="34"/>
      <c r="B60" s="34" t="s">
        <v>26</v>
      </c>
      <c r="C60" s="74"/>
      <c r="D60" s="110">
        <v>11615</v>
      </c>
      <c r="E60" s="74"/>
      <c r="F60" s="34"/>
      <c r="G60" s="110">
        <f>SUM(G57:G59)</f>
        <v>145990</v>
      </c>
      <c r="H60" s="175">
        <f>+G54+G60</f>
        <v>1010193.26</v>
      </c>
    </row>
    <row r="61" spans="1:8" ht="25.2" thickTop="1"/>
    <row r="62" spans="1:8" ht="24.6"/>
    <row r="63" spans="1:8" ht="24.6"/>
    <row r="64" spans="1:8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</sheetData>
  <mergeCells count="6">
    <mergeCell ref="A56:G56"/>
    <mergeCell ref="C46:D46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CDF9-0EB2-4E41-A6FB-02D54DC00BD0}">
  <sheetPr>
    <tabColor rgb="FFFFC000"/>
  </sheetPr>
  <dimension ref="A1:R818"/>
  <sheetViews>
    <sheetView zoomScale="83" zoomScaleNormal="83" zoomScaleSheetLayoutView="87" workbookViewId="0">
      <pane ySplit="6" topLeftCell="A31" activePane="bottomLeft" state="frozen"/>
      <selection activeCell="I147" sqref="I147"/>
      <selection pane="bottomLeft" activeCell="F48" sqref="F48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6.6640625" style="1" customWidth="1"/>
    <col min="8" max="8" width="19" style="2" customWidth="1"/>
    <col min="9" max="9" width="19.109375" style="1" customWidth="1"/>
    <col min="10" max="10" width="21.33203125" style="1" customWidth="1"/>
    <col min="11" max="11" width="32.5546875" style="1" customWidth="1"/>
    <col min="12" max="12" width="16.88671875" style="1" customWidth="1"/>
    <col min="13" max="13" width="16.33203125" style="1" customWidth="1"/>
    <col min="14" max="244" width="10.33203125" style="1"/>
    <col min="245" max="245" width="4.44140625" style="1" customWidth="1"/>
    <col min="246" max="246" width="21.6640625" style="1" customWidth="1"/>
    <col min="247" max="247" width="15" style="1" customWidth="1"/>
    <col min="248" max="248" width="15.44140625" style="1" customWidth="1"/>
    <col min="249" max="249" width="11.5546875" style="1" customWidth="1"/>
    <col min="250" max="250" width="7.44140625" style="1" customWidth="1"/>
    <col min="251" max="251" width="14.109375" style="1" customWidth="1"/>
    <col min="252" max="252" width="10.6640625" style="1" customWidth="1"/>
    <col min="253" max="253" width="13.44140625" style="1" customWidth="1"/>
    <col min="254" max="254" width="11.44140625" style="1" customWidth="1"/>
    <col min="255" max="255" width="15" style="1" customWidth="1"/>
    <col min="256" max="256" width="14.5546875" style="1" customWidth="1"/>
    <col min="257" max="257" width="10.33203125" style="1"/>
    <col min="258" max="258" width="7.44140625" style="1" customWidth="1"/>
    <col min="259" max="259" width="12.88671875" style="1" customWidth="1"/>
    <col min="260" max="260" width="11.109375" style="1" customWidth="1"/>
    <col min="261" max="261" width="14" style="1" customWidth="1"/>
    <col min="262" max="262" width="33" style="1" customWidth="1"/>
    <col min="263" max="263" width="6.6640625" style="1" customWidth="1"/>
    <col min="264" max="264" width="19" style="1" customWidth="1"/>
    <col min="265" max="265" width="19.109375" style="1" customWidth="1"/>
    <col min="266" max="266" width="21.33203125" style="1" customWidth="1"/>
    <col min="267" max="267" width="32.5546875" style="1" customWidth="1"/>
    <col min="268" max="268" width="16.88671875" style="1" customWidth="1"/>
    <col min="269" max="269" width="16.33203125" style="1" customWidth="1"/>
    <col min="270" max="500" width="10.33203125" style="1"/>
    <col min="501" max="501" width="4.44140625" style="1" customWidth="1"/>
    <col min="502" max="502" width="21.6640625" style="1" customWidth="1"/>
    <col min="503" max="503" width="15" style="1" customWidth="1"/>
    <col min="504" max="504" width="15.44140625" style="1" customWidth="1"/>
    <col min="505" max="505" width="11.5546875" style="1" customWidth="1"/>
    <col min="506" max="506" width="7.44140625" style="1" customWidth="1"/>
    <col min="507" max="507" width="14.109375" style="1" customWidth="1"/>
    <col min="508" max="508" width="10.6640625" style="1" customWidth="1"/>
    <col min="509" max="509" width="13.44140625" style="1" customWidth="1"/>
    <col min="510" max="510" width="11.44140625" style="1" customWidth="1"/>
    <col min="511" max="511" width="15" style="1" customWidth="1"/>
    <col min="512" max="512" width="14.5546875" style="1" customWidth="1"/>
    <col min="513" max="513" width="10.33203125" style="1"/>
    <col min="514" max="514" width="7.44140625" style="1" customWidth="1"/>
    <col min="515" max="515" width="12.88671875" style="1" customWidth="1"/>
    <col min="516" max="516" width="11.109375" style="1" customWidth="1"/>
    <col min="517" max="517" width="14" style="1" customWidth="1"/>
    <col min="518" max="518" width="33" style="1" customWidth="1"/>
    <col min="519" max="519" width="6.6640625" style="1" customWidth="1"/>
    <col min="520" max="520" width="19" style="1" customWidth="1"/>
    <col min="521" max="521" width="19.109375" style="1" customWidth="1"/>
    <col min="522" max="522" width="21.33203125" style="1" customWidth="1"/>
    <col min="523" max="523" width="32.5546875" style="1" customWidth="1"/>
    <col min="524" max="524" width="16.88671875" style="1" customWidth="1"/>
    <col min="525" max="525" width="16.33203125" style="1" customWidth="1"/>
    <col min="526" max="756" width="10.33203125" style="1"/>
    <col min="757" max="757" width="4.44140625" style="1" customWidth="1"/>
    <col min="758" max="758" width="21.6640625" style="1" customWidth="1"/>
    <col min="759" max="759" width="15" style="1" customWidth="1"/>
    <col min="760" max="760" width="15.44140625" style="1" customWidth="1"/>
    <col min="761" max="761" width="11.5546875" style="1" customWidth="1"/>
    <col min="762" max="762" width="7.44140625" style="1" customWidth="1"/>
    <col min="763" max="763" width="14.109375" style="1" customWidth="1"/>
    <col min="764" max="764" width="10.6640625" style="1" customWidth="1"/>
    <col min="765" max="765" width="13.44140625" style="1" customWidth="1"/>
    <col min="766" max="766" width="11.44140625" style="1" customWidth="1"/>
    <col min="767" max="767" width="15" style="1" customWidth="1"/>
    <col min="768" max="768" width="14.5546875" style="1" customWidth="1"/>
    <col min="769" max="769" width="10.33203125" style="1"/>
    <col min="770" max="770" width="7.44140625" style="1" customWidth="1"/>
    <col min="771" max="771" width="12.88671875" style="1" customWidth="1"/>
    <col min="772" max="772" width="11.109375" style="1" customWidth="1"/>
    <col min="773" max="773" width="14" style="1" customWidth="1"/>
    <col min="774" max="774" width="33" style="1" customWidth="1"/>
    <col min="775" max="775" width="6.6640625" style="1" customWidth="1"/>
    <col min="776" max="776" width="19" style="1" customWidth="1"/>
    <col min="777" max="777" width="19.109375" style="1" customWidth="1"/>
    <col min="778" max="778" width="21.33203125" style="1" customWidth="1"/>
    <col min="779" max="779" width="32.5546875" style="1" customWidth="1"/>
    <col min="780" max="780" width="16.88671875" style="1" customWidth="1"/>
    <col min="781" max="781" width="16.33203125" style="1" customWidth="1"/>
    <col min="782" max="1012" width="10.33203125" style="1"/>
    <col min="1013" max="1013" width="4.44140625" style="1" customWidth="1"/>
    <col min="1014" max="1014" width="21.6640625" style="1" customWidth="1"/>
    <col min="1015" max="1015" width="15" style="1" customWidth="1"/>
    <col min="1016" max="1016" width="15.44140625" style="1" customWidth="1"/>
    <col min="1017" max="1017" width="11.5546875" style="1" customWidth="1"/>
    <col min="1018" max="1018" width="7.44140625" style="1" customWidth="1"/>
    <col min="1019" max="1019" width="14.109375" style="1" customWidth="1"/>
    <col min="1020" max="1020" width="10.6640625" style="1" customWidth="1"/>
    <col min="1021" max="1021" width="13.44140625" style="1" customWidth="1"/>
    <col min="1022" max="1022" width="11.44140625" style="1" customWidth="1"/>
    <col min="1023" max="1023" width="15" style="1" customWidth="1"/>
    <col min="1024" max="1024" width="14.5546875" style="1" customWidth="1"/>
    <col min="1025" max="1025" width="10.33203125" style="1"/>
    <col min="1026" max="1026" width="7.44140625" style="1" customWidth="1"/>
    <col min="1027" max="1027" width="12.88671875" style="1" customWidth="1"/>
    <col min="1028" max="1028" width="11.109375" style="1" customWidth="1"/>
    <col min="1029" max="1029" width="14" style="1" customWidth="1"/>
    <col min="1030" max="1030" width="33" style="1" customWidth="1"/>
    <col min="1031" max="1031" width="6.6640625" style="1" customWidth="1"/>
    <col min="1032" max="1032" width="19" style="1" customWidth="1"/>
    <col min="1033" max="1033" width="19.109375" style="1" customWidth="1"/>
    <col min="1034" max="1034" width="21.33203125" style="1" customWidth="1"/>
    <col min="1035" max="1035" width="32.5546875" style="1" customWidth="1"/>
    <col min="1036" max="1036" width="16.88671875" style="1" customWidth="1"/>
    <col min="1037" max="1037" width="16.33203125" style="1" customWidth="1"/>
    <col min="1038" max="1268" width="10.33203125" style="1"/>
    <col min="1269" max="1269" width="4.44140625" style="1" customWidth="1"/>
    <col min="1270" max="1270" width="21.6640625" style="1" customWidth="1"/>
    <col min="1271" max="1271" width="15" style="1" customWidth="1"/>
    <col min="1272" max="1272" width="15.44140625" style="1" customWidth="1"/>
    <col min="1273" max="1273" width="11.5546875" style="1" customWidth="1"/>
    <col min="1274" max="1274" width="7.44140625" style="1" customWidth="1"/>
    <col min="1275" max="1275" width="14.109375" style="1" customWidth="1"/>
    <col min="1276" max="1276" width="10.6640625" style="1" customWidth="1"/>
    <col min="1277" max="1277" width="13.44140625" style="1" customWidth="1"/>
    <col min="1278" max="1278" width="11.44140625" style="1" customWidth="1"/>
    <col min="1279" max="1279" width="15" style="1" customWidth="1"/>
    <col min="1280" max="1280" width="14.5546875" style="1" customWidth="1"/>
    <col min="1281" max="1281" width="10.33203125" style="1"/>
    <col min="1282" max="1282" width="7.44140625" style="1" customWidth="1"/>
    <col min="1283" max="1283" width="12.88671875" style="1" customWidth="1"/>
    <col min="1284" max="1284" width="11.109375" style="1" customWidth="1"/>
    <col min="1285" max="1285" width="14" style="1" customWidth="1"/>
    <col min="1286" max="1286" width="33" style="1" customWidth="1"/>
    <col min="1287" max="1287" width="6.6640625" style="1" customWidth="1"/>
    <col min="1288" max="1288" width="19" style="1" customWidth="1"/>
    <col min="1289" max="1289" width="19.109375" style="1" customWidth="1"/>
    <col min="1290" max="1290" width="21.33203125" style="1" customWidth="1"/>
    <col min="1291" max="1291" width="32.5546875" style="1" customWidth="1"/>
    <col min="1292" max="1292" width="16.88671875" style="1" customWidth="1"/>
    <col min="1293" max="1293" width="16.33203125" style="1" customWidth="1"/>
    <col min="1294" max="1524" width="10.33203125" style="1"/>
    <col min="1525" max="1525" width="4.44140625" style="1" customWidth="1"/>
    <col min="1526" max="1526" width="21.6640625" style="1" customWidth="1"/>
    <col min="1527" max="1527" width="15" style="1" customWidth="1"/>
    <col min="1528" max="1528" width="15.44140625" style="1" customWidth="1"/>
    <col min="1529" max="1529" width="11.5546875" style="1" customWidth="1"/>
    <col min="1530" max="1530" width="7.44140625" style="1" customWidth="1"/>
    <col min="1531" max="1531" width="14.109375" style="1" customWidth="1"/>
    <col min="1532" max="1532" width="10.6640625" style="1" customWidth="1"/>
    <col min="1533" max="1533" width="13.44140625" style="1" customWidth="1"/>
    <col min="1534" max="1534" width="11.44140625" style="1" customWidth="1"/>
    <col min="1535" max="1535" width="15" style="1" customWidth="1"/>
    <col min="1536" max="1536" width="14.5546875" style="1" customWidth="1"/>
    <col min="1537" max="1537" width="10.33203125" style="1"/>
    <col min="1538" max="1538" width="7.44140625" style="1" customWidth="1"/>
    <col min="1539" max="1539" width="12.88671875" style="1" customWidth="1"/>
    <col min="1540" max="1540" width="11.109375" style="1" customWidth="1"/>
    <col min="1541" max="1541" width="14" style="1" customWidth="1"/>
    <col min="1542" max="1542" width="33" style="1" customWidth="1"/>
    <col min="1543" max="1543" width="6.6640625" style="1" customWidth="1"/>
    <col min="1544" max="1544" width="19" style="1" customWidth="1"/>
    <col min="1545" max="1545" width="19.109375" style="1" customWidth="1"/>
    <col min="1546" max="1546" width="21.33203125" style="1" customWidth="1"/>
    <col min="1547" max="1547" width="32.5546875" style="1" customWidth="1"/>
    <col min="1548" max="1548" width="16.88671875" style="1" customWidth="1"/>
    <col min="1549" max="1549" width="16.33203125" style="1" customWidth="1"/>
    <col min="1550" max="1780" width="10.33203125" style="1"/>
    <col min="1781" max="1781" width="4.44140625" style="1" customWidth="1"/>
    <col min="1782" max="1782" width="21.6640625" style="1" customWidth="1"/>
    <col min="1783" max="1783" width="15" style="1" customWidth="1"/>
    <col min="1784" max="1784" width="15.44140625" style="1" customWidth="1"/>
    <col min="1785" max="1785" width="11.5546875" style="1" customWidth="1"/>
    <col min="1786" max="1786" width="7.44140625" style="1" customWidth="1"/>
    <col min="1787" max="1787" width="14.109375" style="1" customWidth="1"/>
    <col min="1788" max="1788" width="10.6640625" style="1" customWidth="1"/>
    <col min="1789" max="1789" width="13.44140625" style="1" customWidth="1"/>
    <col min="1790" max="1790" width="11.44140625" style="1" customWidth="1"/>
    <col min="1791" max="1791" width="15" style="1" customWidth="1"/>
    <col min="1792" max="1792" width="14.5546875" style="1" customWidth="1"/>
    <col min="1793" max="1793" width="10.33203125" style="1"/>
    <col min="1794" max="1794" width="7.44140625" style="1" customWidth="1"/>
    <col min="1795" max="1795" width="12.88671875" style="1" customWidth="1"/>
    <col min="1796" max="1796" width="11.109375" style="1" customWidth="1"/>
    <col min="1797" max="1797" width="14" style="1" customWidth="1"/>
    <col min="1798" max="1798" width="33" style="1" customWidth="1"/>
    <col min="1799" max="1799" width="6.6640625" style="1" customWidth="1"/>
    <col min="1800" max="1800" width="19" style="1" customWidth="1"/>
    <col min="1801" max="1801" width="19.109375" style="1" customWidth="1"/>
    <col min="1802" max="1802" width="21.33203125" style="1" customWidth="1"/>
    <col min="1803" max="1803" width="32.5546875" style="1" customWidth="1"/>
    <col min="1804" max="1804" width="16.88671875" style="1" customWidth="1"/>
    <col min="1805" max="1805" width="16.33203125" style="1" customWidth="1"/>
    <col min="1806" max="2036" width="10.33203125" style="1"/>
    <col min="2037" max="2037" width="4.44140625" style="1" customWidth="1"/>
    <col min="2038" max="2038" width="21.6640625" style="1" customWidth="1"/>
    <col min="2039" max="2039" width="15" style="1" customWidth="1"/>
    <col min="2040" max="2040" width="15.44140625" style="1" customWidth="1"/>
    <col min="2041" max="2041" width="11.5546875" style="1" customWidth="1"/>
    <col min="2042" max="2042" width="7.44140625" style="1" customWidth="1"/>
    <col min="2043" max="2043" width="14.109375" style="1" customWidth="1"/>
    <col min="2044" max="2044" width="10.6640625" style="1" customWidth="1"/>
    <col min="2045" max="2045" width="13.44140625" style="1" customWidth="1"/>
    <col min="2046" max="2046" width="11.44140625" style="1" customWidth="1"/>
    <col min="2047" max="2047" width="15" style="1" customWidth="1"/>
    <col min="2048" max="2048" width="14.5546875" style="1" customWidth="1"/>
    <col min="2049" max="2049" width="10.33203125" style="1"/>
    <col min="2050" max="2050" width="7.44140625" style="1" customWidth="1"/>
    <col min="2051" max="2051" width="12.88671875" style="1" customWidth="1"/>
    <col min="2052" max="2052" width="11.109375" style="1" customWidth="1"/>
    <col min="2053" max="2053" width="14" style="1" customWidth="1"/>
    <col min="2054" max="2054" width="33" style="1" customWidth="1"/>
    <col min="2055" max="2055" width="6.6640625" style="1" customWidth="1"/>
    <col min="2056" max="2056" width="19" style="1" customWidth="1"/>
    <col min="2057" max="2057" width="19.109375" style="1" customWidth="1"/>
    <col min="2058" max="2058" width="21.33203125" style="1" customWidth="1"/>
    <col min="2059" max="2059" width="32.5546875" style="1" customWidth="1"/>
    <col min="2060" max="2060" width="16.88671875" style="1" customWidth="1"/>
    <col min="2061" max="2061" width="16.33203125" style="1" customWidth="1"/>
    <col min="2062" max="2292" width="10.33203125" style="1"/>
    <col min="2293" max="2293" width="4.44140625" style="1" customWidth="1"/>
    <col min="2294" max="2294" width="21.6640625" style="1" customWidth="1"/>
    <col min="2295" max="2295" width="15" style="1" customWidth="1"/>
    <col min="2296" max="2296" width="15.44140625" style="1" customWidth="1"/>
    <col min="2297" max="2297" width="11.5546875" style="1" customWidth="1"/>
    <col min="2298" max="2298" width="7.44140625" style="1" customWidth="1"/>
    <col min="2299" max="2299" width="14.109375" style="1" customWidth="1"/>
    <col min="2300" max="2300" width="10.6640625" style="1" customWidth="1"/>
    <col min="2301" max="2301" width="13.44140625" style="1" customWidth="1"/>
    <col min="2302" max="2302" width="11.44140625" style="1" customWidth="1"/>
    <col min="2303" max="2303" width="15" style="1" customWidth="1"/>
    <col min="2304" max="2304" width="14.5546875" style="1" customWidth="1"/>
    <col min="2305" max="2305" width="10.33203125" style="1"/>
    <col min="2306" max="2306" width="7.44140625" style="1" customWidth="1"/>
    <col min="2307" max="2307" width="12.88671875" style="1" customWidth="1"/>
    <col min="2308" max="2308" width="11.109375" style="1" customWidth="1"/>
    <col min="2309" max="2309" width="14" style="1" customWidth="1"/>
    <col min="2310" max="2310" width="33" style="1" customWidth="1"/>
    <col min="2311" max="2311" width="6.6640625" style="1" customWidth="1"/>
    <col min="2312" max="2312" width="19" style="1" customWidth="1"/>
    <col min="2313" max="2313" width="19.109375" style="1" customWidth="1"/>
    <col min="2314" max="2314" width="21.33203125" style="1" customWidth="1"/>
    <col min="2315" max="2315" width="32.5546875" style="1" customWidth="1"/>
    <col min="2316" max="2316" width="16.88671875" style="1" customWidth="1"/>
    <col min="2317" max="2317" width="16.33203125" style="1" customWidth="1"/>
    <col min="2318" max="2548" width="10.33203125" style="1"/>
    <col min="2549" max="2549" width="4.44140625" style="1" customWidth="1"/>
    <col min="2550" max="2550" width="21.6640625" style="1" customWidth="1"/>
    <col min="2551" max="2551" width="15" style="1" customWidth="1"/>
    <col min="2552" max="2552" width="15.44140625" style="1" customWidth="1"/>
    <col min="2553" max="2553" width="11.5546875" style="1" customWidth="1"/>
    <col min="2554" max="2554" width="7.44140625" style="1" customWidth="1"/>
    <col min="2555" max="2555" width="14.109375" style="1" customWidth="1"/>
    <col min="2556" max="2556" width="10.6640625" style="1" customWidth="1"/>
    <col min="2557" max="2557" width="13.44140625" style="1" customWidth="1"/>
    <col min="2558" max="2558" width="11.44140625" style="1" customWidth="1"/>
    <col min="2559" max="2559" width="15" style="1" customWidth="1"/>
    <col min="2560" max="2560" width="14.5546875" style="1" customWidth="1"/>
    <col min="2561" max="2561" width="10.33203125" style="1"/>
    <col min="2562" max="2562" width="7.44140625" style="1" customWidth="1"/>
    <col min="2563" max="2563" width="12.88671875" style="1" customWidth="1"/>
    <col min="2564" max="2564" width="11.109375" style="1" customWidth="1"/>
    <col min="2565" max="2565" width="14" style="1" customWidth="1"/>
    <col min="2566" max="2566" width="33" style="1" customWidth="1"/>
    <col min="2567" max="2567" width="6.6640625" style="1" customWidth="1"/>
    <col min="2568" max="2568" width="19" style="1" customWidth="1"/>
    <col min="2569" max="2569" width="19.109375" style="1" customWidth="1"/>
    <col min="2570" max="2570" width="21.33203125" style="1" customWidth="1"/>
    <col min="2571" max="2571" width="32.5546875" style="1" customWidth="1"/>
    <col min="2572" max="2572" width="16.88671875" style="1" customWidth="1"/>
    <col min="2573" max="2573" width="16.33203125" style="1" customWidth="1"/>
    <col min="2574" max="2804" width="10.33203125" style="1"/>
    <col min="2805" max="2805" width="4.44140625" style="1" customWidth="1"/>
    <col min="2806" max="2806" width="21.6640625" style="1" customWidth="1"/>
    <col min="2807" max="2807" width="15" style="1" customWidth="1"/>
    <col min="2808" max="2808" width="15.44140625" style="1" customWidth="1"/>
    <col min="2809" max="2809" width="11.5546875" style="1" customWidth="1"/>
    <col min="2810" max="2810" width="7.44140625" style="1" customWidth="1"/>
    <col min="2811" max="2811" width="14.109375" style="1" customWidth="1"/>
    <col min="2812" max="2812" width="10.6640625" style="1" customWidth="1"/>
    <col min="2813" max="2813" width="13.44140625" style="1" customWidth="1"/>
    <col min="2814" max="2814" width="11.44140625" style="1" customWidth="1"/>
    <col min="2815" max="2815" width="15" style="1" customWidth="1"/>
    <col min="2816" max="2816" width="14.5546875" style="1" customWidth="1"/>
    <col min="2817" max="2817" width="10.33203125" style="1"/>
    <col min="2818" max="2818" width="7.44140625" style="1" customWidth="1"/>
    <col min="2819" max="2819" width="12.88671875" style="1" customWidth="1"/>
    <col min="2820" max="2820" width="11.109375" style="1" customWidth="1"/>
    <col min="2821" max="2821" width="14" style="1" customWidth="1"/>
    <col min="2822" max="2822" width="33" style="1" customWidth="1"/>
    <col min="2823" max="2823" width="6.6640625" style="1" customWidth="1"/>
    <col min="2824" max="2824" width="19" style="1" customWidth="1"/>
    <col min="2825" max="2825" width="19.109375" style="1" customWidth="1"/>
    <col min="2826" max="2826" width="21.33203125" style="1" customWidth="1"/>
    <col min="2827" max="2827" width="32.5546875" style="1" customWidth="1"/>
    <col min="2828" max="2828" width="16.88671875" style="1" customWidth="1"/>
    <col min="2829" max="2829" width="16.33203125" style="1" customWidth="1"/>
    <col min="2830" max="3060" width="10.33203125" style="1"/>
    <col min="3061" max="3061" width="4.44140625" style="1" customWidth="1"/>
    <col min="3062" max="3062" width="21.6640625" style="1" customWidth="1"/>
    <col min="3063" max="3063" width="15" style="1" customWidth="1"/>
    <col min="3064" max="3064" width="15.44140625" style="1" customWidth="1"/>
    <col min="3065" max="3065" width="11.5546875" style="1" customWidth="1"/>
    <col min="3066" max="3066" width="7.44140625" style="1" customWidth="1"/>
    <col min="3067" max="3067" width="14.109375" style="1" customWidth="1"/>
    <col min="3068" max="3068" width="10.6640625" style="1" customWidth="1"/>
    <col min="3069" max="3069" width="13.44140625" style="1" customWidth="1"/>
    <col min="3070" max="3070" width="11.44140625" style="1" customWidth="1"/>
    <col min="3071" max="3071" width="15" style="1" customWidth="1"/>
    <col min="3072" max="3072" width="14.5546875" style="1" customWidth="1"/>
    <col min="3073" max="3073" width="10.33203125" style="1"/>
    <col min="3074" max="3074" width="7.44140625" style="1" customWidth="1"/>
    <col min="3075" max="3075" width="12.88671875" style="1" customWidth="1"/>
    <col min="3076" max="3076" width="11.109375" style="1" customWidth="1"/>
    <col min="3077" max="3077" width="14" style="1" customWidth="1"/>
    <col min="3078" max="3078" width="33" style="1" customWidth="1"/>
    <col min="3079" max="3079" width="6.6640625" style="1" customWidth="1"/>
    <col min="3080" max="3080" width="19" style="1" customWidth="1"/>
    <col min="3081" max="3081" width="19.109375" style="1" customWidth="1"/>
    <col min="3082" max="3082" width="21.33203125" style="1" customWidth="1"/>
    <col min="3083" max="3083" width="32.5546875" style="1" customWidth="1"/>
    <col min="3084" max="3084" width="16.88671875" style="1" customWidth="1"/>
    <col min="3085" max="3085" width="16.33203125" style="1" customWidth="1"/>
    <col min="3086" max="3316" width="10.33203125" style="1"/>
    <col min="3317" max="3317" width="4.44140625" style="1" customWidth="1"/>
    <col min="3318" max="3318" width="21.6640625" style="1" customWidth="1"/>
    <col min="3319" max="3319" width="15" style="1" customWidth="1"/>
    <col min="3320" max="3320" width="15.44140625" style="1" customWidth="1"/>
    <col min="3321" max="3321" width="11.5546875" style="1" customWidth="1"/>
    <col min="3322" max="3322" width="7.44140625" style="1" customWidth="1"/>
    <col min="3323" max="3323" width="14.109375" style="1" customWidth="1"/>
    <col min="3324" max="3324" width="10.6640625" style="1" customWidth="1"/>
    <col min="3325" max="3325" width="13.44140625" style="1" customWidth="1"/>
    <col min="3326" max="3326" width="11.44140625" style="1" customWidth="1"/>
    <col min="3327" max="3327" width="15" style="1" customWidth="1"/>
    <col min="3328" max="3328" width="14.5546875" style="1" customWidth="1"/>
    <col min="3329" max="3329" width="10.33203125" style="1"/>
    <col min="3330" max="3330" width="7.44140625" style="1" customWidth="1"/>
    <col min="3331" max="3331" width="12.88671875" style="1" customWidth="1"/>
    <col min="3332" max="3332" width="11.109375" style="1" customWidth="1"/>
    <col min="3333" max="3333" width="14" style="1" customWidth="1"/>
    <col min="3334" max="3334" width="33" style="1" customWidth="1"/>
    <col min="3335" max="3335" width="6.6640625" style="1" customWidth="1"/>
    <col min="3336" max="3336" width="19" style="1" customWidth="1"/>
    <col min="3337" max="3337" width="19.109375" style="1" customWidth="1"/>
    <col min="3338" max="3338" width="21.33203125" style="1" customWidth="1"/>
    <col min="3339" max="3339" width="32.5546875" style="1" customWidth="1"/>
    <col min="3340" max="3340" width="16.88671875" style="1" customWidth="1"/>
    <col min="3341" max="3341" width="16.33203125" style="1" customWidth="1"/>
    <col min="3342" max="3572" width="10.33203125" style="1"/>
    <col min="3573" max="3573" width="4.44140625" style="1" customWidth="1"/>
    <col min="3574" max="3574" width="21.6640625" style="1" customWidth="1"/>
    <col min="3575" max="3575" width="15" style="1" customWidth="1"/>
    <col min="3576" max="3576" width="15.44140625" style="1" customWidth="1"/>
    <col min="3577" max="3577" width="11.5546875" style="1" customWidth="1"/>
    <col min="3578" max="3578" width="7.44140625" style="1" customWidth="1"/>
    <col min="3579" max="3579" width="14.109375" style="1" customWidth="1"/>
    <col min="3580" max="3580" width="10.6640625" style="1" customWidth="1"/>
    <col min="3581" max="3581" width="13.44140625" style="1" customWidth="1"/>
    <col min="3582" max="3582" width="11.44140625" style="1" customWidth="1"/>
    <col min="3583" max="3583" width="15" style="1" customWidth="1"/>
    <col min="3584" max="3584" width="14.5546875" style="1" customWidth="1"/>
    <col min="3585" max="3585" width="10.33203125" style="1"/>
    <col min="3586" max="3586" width="7.44140625" style="1" customWidth="1"/>
    <col min="3587" max="3587" width="12.88671875" style="1" customWidth="1"/>
    <col min="3588" max="3588" width="11.109375" style="1" customWidth="1"/>
    <col min="3589" max="3589" width="14" style="1" customWidth="1"/>
    <col min="3590" max="3590" width="33" style="1" customWidth="1"/>
    <col min="3591" max="3591" width="6.6640625" style="1" customWidth="1"/>
    <col min="3592" max="3592" width="19" style="1" customWidth="1"/>
    <col min="3593" max="3593" width="19.109375" style="1" customWidth="1"/>
    <col min="3594" max="3594" width="21.33203125" style="1" customWidth="1"/>
    <col min="3595" max="3595" width="32.5546875" style="1" customWidth="1"/>
    <col min="3596" max="3596" width="16.88671875" style="1" customWidth="1"/>
    <col min="3597" max="3597" width="16.33203125" style="1" customWidth="1"/>
    <col min="3598" max="3828" width="10.33203125" style="1"/>
    <col min="3829" max="3829" width="4.44140625" style="1" customWidth="1"/>
    <col min="3830" max="3830" width="21.6640625" style="1" customWidth="1"/>
    <col min="3831" max="3831" width="15" style="1" customWidth="1"/>
    <col min="3832" max="3832" width="15.44140625" style="1" customWidth="1"/>
    <col min="3833" max="3833" width="11.5546875" style="1" customWidth="1"/>
    <col min="3834" max="3834" width="7.44140625" style="1" customWidth="1"/>
    <col min="3835" max="3835" width="14.109375" style="1" customWidth="1"/>
    <col min="3836" max="3836" width="10.6640625" style="1" customWidth="1"/>
    <col min="3837" max="3837" width="13.44140625" style="1" customWidth="1"/>
    <col min="3838" max="3838" width="11.44140625" style="1" customWidth="1"/>
    <col min="3839" max="3839" width="15" style="1" customWidth="1"/>
    <col min="3840" max="3840" width="14.5546875" style="1" customWidth="1"/>
    <col min="3841" max="3841" width="10.33203125" style="1"/>
    <col min="3842" max="3842" width="7.44140625" style="1" customWidth="1"/>
    <col min="3843" max="3843" width="12.88671875" style="1" customWidth="1"/>
    <col min="3844" max="3844" width="11.109375" style="1" customWidth="1"/>
    <col min="3845" max="3845" width="14" style="1" customWidth="1"/>
    <col min="3846" max="3846" width="33" style="1" customWidth="1"/>
    <col min="3847" max="3847" width="6.6640625" style="1" customWidth="1"/>
    <col min="3848" max="3848" width="19" style="1" customWidth="1"/>
    <col min="3849" max="3849" width="19.109375" style="1" customWidth="1"/>
    <col min="3850" max="3850" width="21.33203125" style="1" customWidth="1"/>
    <col min="3851" max="3851" width="32.5546875" style="1" customWidth="1"/>
    <col min="3852" max="3852" width="16.88671875" style="1" customWidth="1"/>
    <col min="3853" max="3853" width="16.33203125" style="1" customWidth="1"/>
    <col min="3854" max="4084" width="10.33203125" style="1"/>
    <col min="4085" max="4085" width="4.44140625" style="1" customWidth="1"/>
    <col min="4086" max="4086" width="21.6640625" style="1" customWidth="1"/>
    <col min="4087" max="4087" width="15" style="1" customWidth="1"/>
    <col min="4088" max="4088" width="15.44140625" style="1" customWidth="1"/>
    <col min="4089" max="4089" width="11.5546875" style="1" customWidth="1"/>
    <col min="4090" max="4090" width="7.44140625" style="1" customWidth="1"/>
    <col min="4091" max="4091" width="14.109375" style="1" customWidth="1"/>
    <col min="4092" max="4092" width="10.6640625" style="1" customWidth="1"/>
    <col min="4093" max="4093" width="13.44140625" style="1" customWidth="1"/>
    <col min="4094" max="4094" width="11.44140625" style="1" customWidth="1"/>
    <col min="4095" max="4095" width="15" style="1" customWidth="1"/>
    <col min="4096" max="4096" width="14.5546875" style="1" customWidth="1"/>
    <col min="4097" max="4097" width="10.33203125" style="1"/>
    <col min="4098" max="4098" width="7.44140625" style="1" customWidth="1"/>
    <col min="4099" max="4099" width="12.88671875" style="1" customWidth="1"/>
    <col min="4100" max="4100" width="11.109375" style="1" customWidth="1"/>
    <col min="4101" max="4101" width="14" style="1" customWidth="1"/>
    <col min="4102" max="4102" width="33" style="1" customWidth="1"/>
    <col min="4103" max="4103" width="6.6640625" style="1" customWidth="1"/>
    <col min="4104" max="4104" width="19" style="1" customWidth="1"/>
    <col min="4105" max="4105" width="19.109375" style="1" customWidth="1"/>
    <col min="4106" max="4106" width="21.33203125" style="1" customWidth="1"/>
    <col min="4107" max="4107" width="32.5546875" style="1" customWidth="1"/>
    <col min="4108" max="4108" width="16.88671875" style="1" customWidth="1"/>
    <col min="4109" max="4109" width="16.33203125" style="1" customWidth="1"/>
    <col min="4110" max="4340" width="10.33203125" style="1"/>
    <col min="4341" max="4341" width="4.44140625" style="1" customWidth="1"/>
    <col min="4342" max="4342" width="21.6640625" style="1" customWidth="1"/>
    <col min="4343" max="4343" width="15" style="1" customWidth="1"/>
    <col min="4344" max="4344" width="15.44140625" style="1" customWidth="1"/>
    <col min="4345" max="4345" width="11.5546875" style="1" customWidth="1"/>
    <col min="4346" max="4346" width="7.44140625" style="1" customWidth="1"/>
    <col min="4347" max="4347" width="14.109375" style="1" customWidth="1"/>
    <col min="4348" max="4348" width="10.6640625" style="1" customWidth="1"/>
    <col min="4349" max="4349" width="13.44140625" style="1" customWidth="1"/>
    <col min="4350" max="4350" width="11.44140625" style="1" customWidth="1"/>
    <col min="4351" max="4351" width="15" style="1" customWidth="1"/>
    <col min="4352" max="4352" width="14.5546875" style="1" customWidth="1"/>
    <col min="4353" max="4353" width="10.33203125" style="1"/>
    <col min="4354" max="4354" width="7.44140625" style="1" customWidth="1"/>
    <col min="4355" max="4355" width="12.88671875" style="1" customWidth="1"/>
    <col min="4356" max="4356" width="11.109375" style="1" customWidth="1"/>
    <col min="4357" max="4357" width="14" style="1" customWidth="1"/>
    <col min="4358" max="4358" width="33" style="1" customWidth="1"/>
    <col min="4359" max="4359" width="6.6640625" style="1" customWidth="1"/>
    <col min="4360" max="4360" width="19" style="1" customWidth="1"/>
    <col min="4361" max="4361" width="19.109375" style="1" customWidth="1"/>
    <col min="4362" max="4362" width="21.33203125" style="1" customWidth="1"/>
    <col min="4363" max="4363" width="32.5546875" style="1" customWidth="1"/>
    <col min="4364" max="4364" width="16.88671875" style="1" customWidth="1"/>
    <col min="4365" max="4365" width="16.33203125" style="1" customWidth="1"/>
    <col min="4366" max="4596" width="10.33203125" style="1"/>
    <col min="4597" max="4597" width="4.44140625" style="1" customWidth="1"/>
    <col min="4598" max="4598" width="21.6640625" style="1" customWidth="1"/>
    <col min="4599" max="4599" width="15" style="1" customWidth="1"/>
    <col min="4600" max="4600" width="15.44140625" style="1" customWidth="1"/>
    <col min="4601" max="4601" width="11.5546875" style="1" customWidth="1"/>
    <col min="4602" max="4602" width="7.44140625" style="1" customWidth="1"/>
    <col min="4603" max="4603" width="14.109375" style="1" customWidth="1"/>
    <col min="4604" max="4604" width="10.6640625" style="1" customWidth="1"/>
    <col min="4605" max="4605" width="13.44140625" style="1" customWidth="1"/>
    <col min="4606" max="4606" width="11.44140625" style="1" customWidth="1"/>
    <col min="4607" max="4607" width="15" style="1" customWidth="1"/>
    <col min="4608" max="4608" width="14.5546875" style="1" customWidth="1"/>
    <col min="4609" max="4609" width="10.33203125" style="1"/>
    <col min="4610" max="4610" width="7.44140625" style="1" customWidth="1"/>
    <col min="4611" max="4611" width="12.88671875" style="1" customWidth="1"/>
    <col min="4612" max="4612" width="11.109375" style="1" customWidth="1"/>
    <col min="4613" max="4613" width="14" style="1" customWidth="1"/>
    <col min="4614" max="4614" width="33" style="1" customWidth="1"/>
    <col min="4615" max="4615" width="6.6640625" style="1" customWidth="1"/>
    <col min="4616" max="4616" width="19" style="1" customWidth="1"/>
    <col min="4617" max="4617" width="19.109375" style="1" customWidth="1"/>
    <col min="4618" max="4618" width="21.33203125" style="1" customWidth="1"/>
    <col min="4619" max="4619" width="32.5546875" style="1" customWidth="1"/>
    <col min="4620" max="4620" width="16.88671875" style="1" customWidth="1"/>
    <col min="4621" max="4621" width="16.33203125" style="1" customWidth="1"/>
    <col min="4622" max="4852" width="10.33203125" style="1"/>
    <col min="4853" max="4853" width="4.44140625" style="1" customWidth="1"/>
    <col min="4854" max="4854" width="21.6640625" style="1" customWidth="1"/>
    <col min="4855" max="4855" width="15" style="1" customWidth="1"/>
    <col min="4856" max="4856" width="15.44140625" style="1" customWidth="1"/>
    <col min="4857" max="4857" width="11.5546875" style="1" customWidth="1"/>
    <col min="4858" max="4858" width="7.44140625" style="1" customWidth="1"/>
    <col min="4859" max="4859" width="14.109375" style="1" customWidth="1"/>
    <col min="4860" max="4860" width="10.6640625" style="1" customWidth="1"/>
    <col min="4861" max="4861" width="13.44140625" style="1" customWidth="1"/>
    <col min="4862" max="4862" width="11.44140625" style="1" customWidth="1"/>
    <col min="4863" max="4863" width="15" style="1" customWidth="1"/>
    <col min="4864" max="4864" width="14.5546875" style="1" customWidth="1"/>
    <col min="4865" max="4865" width="10.33203125" style="1"/>
    <col min="4866" max="4866" width="7.44140625" style="1" customWidth="1"/>
    <col min="4867" max="4867" width="12.88671875" style="1" customWidth="1"/>
    <col min="4868" max="4868" width="11.109375" style="1" customWidth="1"/>
    <col min="4869" max="4869" width="14" style="1" customWidth="1"/>
    <col min="4870" max="4870" width="33" style="1" customWidth="1"/>
    <col min="4871" max="4871" width="6.6640625" style="1" customWidth="1"/>
    <col min="4872" max="4872" width="19" style="1" customWidth="1"/>
    <col min="4873" max="4873" width="19.109375" style="1" customWidth="1"/>
    <col min="4874" max="4874" width="21.33203125" style="1" customWidth="1"/>
    <col min="4875" max="4875" width="32.5546875" style="1" customWidth="1"/>
    <col min="4876" max="4876" width="16.88671875" style="1" customWidth="1"/>
    <col min="4877" max="4877" width="16.33203125" style="1" customWidth="1"/>
    <col min="4878" max="5108" width="10.33203125" style="1"/>
    <col min="5109" max="5109" width="4.44140625" style="1" customWidth="1"/>
    <col min="5110" max="5110" width="21.6640625" style="1" customWidth="1"/>
    <col min="5111" max="5111" width="15" style="1" customWidth="1"/>
    <col min="5112" max="5112" width="15.44140625" style="1" customWidth="1"/>
    <col min="5113" max="5113" width="11.5546875" style="1" customWidth="1"/>
    <col min="5114" max="5114" width="7.44140625" style="1" customWidth="1"/>
    <col min="5115" max="5115" width="14.109375" style="1" customWidth="1"/>
    <col min="5116" max="5116" width="10.6640625" style="1" customWidth="1"/>
    <col min="5117" max="5117" width="13.44140625" style="1" customWidth="1"/>
    <col min="5118" max="5118" width="11.44140625" style="1" customWidth="1"/>
    <col min="5119" max="5119" width="15" style="1" customWidth="1"/>
    <col min="5120" max="5120" width="14.5546875" style="1" customWidth="1"/>
    <col min="5121" max="5121" width="10.33203125" style="1"/>
    <col min="5122" max="5122" width="7.44140625" style="1" customWidth="1"/>
    <col min="5123" max="5123" width="12.88671875" style="1" customWidth="1"/>
    <col min="5124" max="5124" width="11.109375" style="1" customWidth="1"/>
    <col min="5125" max="5125" width="14" style="1" customWidth="1"/>
    <col min="5126" max="5126" width="33" style="1" customWidth="1"/>
    <col min="5127" max="5127" width="6.6640625" style="1" customWidth="1"/>
    <col min="5128" max="5128" width="19" style="1" customWidth="1"/>
    <col min="5129" max="5129" width="19.109375" style="1" customWidth="1"/>
    <col min="5130" max="5130" width="21.33203125" style="1" customWidth="1"/>
    <col min="5131" max="5131" width="32.5546875" style="1" customWidth="1"/>
    <col min="5132" max="5132" width="16.88671875" style="1" customWidth="1"/>
    <col min="5133" max="5133" width="16.33203125" style="1" customWidth="1"/>
    <col min="5134" max="5364" width="10.33203125" style="1"/>
    <col min="5365" max="5365" width="4.44140625" style="1" customWidth="1"/>
    <col min="5366" max="5366" width="21.6640625" style="1" customWidth="1"/>
    <col min="5367" max="5367" width="15" style="1" customWidth="1"/>
    <col min="5368" max="5368" width="15.44140625" style="1" customWidth="1"/>
    <col min="5369" max="5369" width="11.5546875" style="1" customWidth="1"/>
    <col min="5370" max="5370" width="7.44140625" style="1" customWidth="1"/>
    <col min="5371" max="5371" width="14.109375" style="1" customWidth="1"/>
    <col min="5372" max="5372" width="10.6640625" style="1" customWidth="1"/>
    <col min="5373" max="5373" width="13.44140625" style="1" customWidth="1"/>
    <col min="5374" max="5374" width="11.44140625" style="1" customWidth="1"/>
    <col min="5375" max="5375" width="15" style="1" customWidth="1"/>
    <col min="5376" max="5376" width="14.5546875" style="1" customWidth="1"/>
    <col min="5377" max="5377" width="10.33203125" style="1"/>
    <col min="5378" max="5378" width="7.44140625" style="1" customWidth="1"/>
    <col min="5379" max="5379" width="12.88671875" style="1" customWidth="1"/>
    <col min="5380" max="5380" width="11.109375" style="1" customWidth="1"/>
    <col min="5381" max="5381" width="14" style="1" customWidth="1"/>
    <col min="5382" max="5382" width="33" style="1" customWidth="1"/>
    <col min="5383" max="5383" width="6.6640625" style="1" customWidth="1"/>
    <col min="5384" max="5384" width="19" style="1" customWidth="1"/>
    <col min="5385" max="5385" width="19.109375" style="1" customWidth="1"/>
    <col min="5386" max="5386" width="21.33203125" style="1" customWidth="1"/>
    <col min="5387" max="5387" width="32.5546875" style="1" customWidth="1"/>
    <col min="5388" max="5388" width="16.88671875" style="1" customWidth="1"/>
    <col min="5389" max="5389" width="16.33203125" style="1" customWidth="1"/>
    <col min="5390" max="5620" width="10.33203125" style="1"/>
    <col min="5621" max="5621" width="4.44140625" style="1" customWidth="1"/>
    <col min="5622" max="5622" width="21.6640625" style="1" customWidth="1"/>
    <col min="5623" max="5623" width="15" style="1" customWidth="1"/>
    <col min="5624" max="5624" width="15.44140625" style="1" customWidth="1"/>
    <col min="5625" max="5625" width="11.5546875" style="1" customWidth="1"/>
    <col min="5626" max="5626" width="7.44140625" style="1" customWidth="1"/>
    <col min="5627" max="5627" width="14.109375" style="1" customWidth="1"/>
    <col min="5628" max="5628" width="10.6640625" style="1" customWidth="1"/>
    <col min="5629" max="5629" width="13.44140625" style="1" customWidth="1"/>
    <col min="5630" max="5630" width="11.44140625" style="1" customWidth="1"/>
    <col min="5631" max="5631" width="15" style="1" customWidth="1"/>
    <col min="5632" max="5632" width="14.5546875" style="1" customWidth="1"/>
    <col min="5633" max="5633" width="10.33203125" style="1"/>
    <col min="5634" max="5634" width="7.44140625" style="1" customWidth="1"/>
    <col min="5635" max="5635" width="12.88671875" style="1" customWidth="1"/>
    <col min="5636" max="5636" width="11.109375" style="1" customWidth="1"/>
    <col min="5637" max="5637" width="14" style="1" customWidth="1"/>
    <col min="5638" max="5638" width="33" style="1" customWidth="1"/>
    <col min="5639" max="5639" width="6.6640625" style="1" customWidth="1"/>
    <col min="5640" max="5640" width="19" style="1" customWidth="1"/>
    <col min="5641" max="5641" width="19.109375" style="1" customWidth="1"/>
    <col min="5642" max="5642" width="21.33203125" style="1" customWidth="1"/>
    <col min="5643" max="5643" width="32.5546875" style="1" customWidth="1"/>
    <col min="5644" max="5644" width="16.88671875" style="1" customWidth="1"/>
    <col min="5645" max="5645" width="16.33203125" style="1" customWidth="1"/>
    <col min="5646" max="5876" width="10.33203125" style="1"/>
    <col min="5877" max="5877" width="4.44140625" style="1" customWidth="1"/>
    <col min="5878" max="5878" width="21.6640625" style="1" customWidth="1"/>
    <col min="5879" max="5879" width="15" style="1" customWidth="1"/>
    <col min="5880" max="5880" width="15.44140625" style="1" customWidth="1"/>
    <col min="5881" max="5881" width="11.5546875" style="1" customWidth="1"/>
    <col min="5882" max="5882" width="7.44140625" style="1" customWidth="1"/>
    <col min="5883" max="5883" width="14.109375" style="1" customWidth="1"/>
    <col min="5884" max="5884" width="10.6640625" style="1" customWidth="1"/>
    <col min="5885" max="5885" width="13.44140625" style="1" customWidth="1"/>
    <col min="5886" max="5886" width="11.44140625" style="1" customWidth="1"/>
    <col min="5887" max="5887" width="15" style="1" customWidth="1"/>
    <col min="5888" max="5888" width="14.5546875" style="1" customWidth="1"/>
    <col min="5889" max="5889" width="10.33203125" style="1"/>
    <col min="5890" max="5890" width="7.44140625" style="1" customWidth="1"/>
    <col min="5891" max="5891" width="12.88671875" style="1" customWidth="1"/>
    <col min="5892" max="5892" width="11.109375" style="1" customWidth="1"/>
    <col min="5893" max="5893" width="14" style="1" customWidth="1"/>
    <col min="5894" max="5894" width="33" style="1" customWidth="1"/>
    <col min="5895" max="5895" width="6.6640625" style="1" customWidth="1"/>
    <col min="5896" max="5896" width="19" style="1" customWidth="1"/>
    <col min="5897" max="5897" width="19.109375" style="1" customWidth="1"/>
    <col min="5898" max="5898" width="21.33203125" style="1" customWidth="1"/>
    <col min="5899" max="5899" width="32.5546875" style="1" customWidth="1"/>
    <col min="5900" max="5900" width="16.88671875" style="1" customWidth="1"/>
    <col min="5901" max="5901" width="16.33203125" style="1" customWidth="1"/>
    <col min="5902" max="6132" width="10.33203125" style="1"/>
    <col min="6133" max="6133" width="4.44140625" style="1" customWidth="1"/>
    <col min="6134" max="6134" width="21.6640625" style="1" customWidth="1"/>
    <col min="6135" max="6135" width="15" style="1" customWidth="1"/>
    <col min="6136" max="6136" width="15.44140625" style="1" customWidth="1"/>
    <col min="6137" max="6137" width="11.5546875" style="1" customWidth="1"/>
    <col min="6138" max="6138" width="7.44140625" style="1" customWidth="1"/>
    <col min="6139" max="6139" width="14.109375" style="1" customWidth="1"/>
    <col min="6140" max="6140" width="10.6640625" style="1" customWidth="1"/>
    <col min="6141" max="6141" width="13.44140625" style="1" customWidth="1"/>
    <col min="6142" max="6142" width="11.44140625" style="1" customWidth="1"/>
    <col min="6143" max="6143" width="15" style="1" customWidth="1"/>
    <col min="6144" max="6144" width="14.5546875" style="1" customWidth="1"/>
    <col min="6145" max="6145" width="10.33203125" style="1"/>
    <col min="6146" max="6146" width="7.44140625" style="1" customWidth="1"/>
    <col min="6147" max="6147" width="12.88671875" style="1" customWidth="1"/>
    <col min="6148" max="6148" width="11.109375" style="1" customWidth="1"/>
    <col min="6149" max="6149" width="14" style="1" customWidth="1"/>
    <col min="6150" max="6150" width="33" style="1" customWidth="1"/>
    <col min="6151" max="6151" width="6.6640625" style="1" customWidth="1"/>
    <col min="6152" max="6152" width="19" style="1" customWidth="1"/>
    <col min="6153" max="6153" width="19.109375" style="1" customWidth="1"/>
    <col min="6154" max="6154" width="21.33203125" style="1" customWidth="1"/>
    <col min="6155" max="6155" width="32.5546875" style="1" customWidth="1"/>
    <col min="6156" max="6156" width="16.88671875" style="1" customWidth="1"/>
    <col min="6157" max="6157" width="16.33203125" style="1" customWidth="1"/>
    <col min="6158" max="6388" width="10.33203125" style="1"/>
    <col min="6389" max="6389" width="4.44140625" style="1" customWidth="1"/>
    <col min="6390" max="6390" width="21.6640625" style="1" customWidth="1"/>
    <col min="6391" max="6391" width="15" style="1" customWidth="1"/>
    <col min="6392" max="6392" width="15.44140625" style="1" customWidth="1"/>
    <col min="6393" max="6393" width="11.5546875" style="1" customWidth="1"/>
    <col min="6394" max="6394" width="7.44140625" style="1" customWidth="1"/>
    <col min="6395" max="6395" width="14.109375" style="1" customWidth="1"/>
    <col min="6396" max="6396" width="10.6640625" style="1" customWidth="1"/>
    <col min="6397" max="6397" width="13.44140625" style="1" customWidth="1"/>
    <col min="6398" max="6398" width="11.44140625" style="1" customWidth="1"/>
    <col min="6399" max="6399" width="15" style="1" customWidth="1"/>
    <col min="6400" max="6400" width="14.5546875" style="1" customWidth="1"/>
    <col min="6401" max="6401" width="10.33203125" style="1"/>
    <col min="6402" max="6402" width="7.44140625" style="1" customWidth="1"/>
    <col min="6403" max="6403" width="12.88671875" style="1" customWidth="1"/>
    <col min="6404" max="6404" width="11.109375" style="1" customWidth="1"/>
    <col min="6405" max="6405" width="14" style="1" customWidth="1"/>
    <col min="6406" max="6406" width="33" style="1" customWidth="1"/>
    <col min="6407" max="6407" width="6.6640625" style="1" customWidth="1"/>
    <col min="6408" max="6408" width="19" style="1" customWidth="1"/>
    <col min="6409" max="6409" width="19.109375" style="1" customWidth="1"/>
    <col min="6410" max="6410" width="21.33203125" style="1" customWidth="1"/>
    <col min="6411" max="6411" width="32.5546875" style="1" customWidth="1"/>
    <col min="6412" max="6412" width="16.88671875" style="1" customWidth="1"/>
    <col min="6413" max="6413" width="16.33203125" style="1" customWidth="1"/>
    <col min="6414" max="6644" width="10.33203125" style="1"/>
    <col min="6645" max="6645" width="4.44140625" style="1" customWidth="1"/>
    <col min="6646" max="6646" width="21.6640625" style="1" customWidth="1"/>
    <col min="6647" max="6647" width="15" style="1" customWidth="1"/>
    <col min="6648" max="6648" width="15.44140625" style="1" customWidth="1"/>
    <col min="6649" max="6649" width="11.5546875" style="1" customWidth="1"/>
    <col min="6650" max="6650" width="7.44140625" style="1" customWidth="1"/>
    <col min="6651" max="6651" width="14.109375" style="1" customWidth="1"/>
    <col min="6652" max="6652" width="10.6640625" style="1" customWidth="1"/>
    <col min="6653" max="6653" width="13.44140625" style="1" customWidth="1"/>
    <col min="6654" max="6654" width="11.44140625" style="1" customWidth="1"/>
    <col min="6655" max="6655" width="15" style="1" customWidth="1"/>
    <col min="6656" max="6656" width="14.5546875" style="1" customWidth="1"/>
    <col min="6657" max="6657" width="10.33203125" style="1"/>
    <col min="6658" max="6658" width="7.44140625" style="1" customWidth="1"/>
    <col min="6659" max="6659" width="12.88671875" style="1" customWidth="1"/>
    <col min="6660" max="6660" width="11.109375" style="1" customWidth="1"/>
    <col min="6661" max="6661" width="14" style="1" customWidth="1"/>
    <col min="6662" max="6662" width="33" style="1" customWidth="1"/>
    <col min="6663" max="6663" width="6.6640625" style="1" customWidth="1"/>
    <col min="6664" max="6664" width="19" style="1" customWidth="1"/>
    <col min="6665" max="6665" width="19.109375" style="1" customWidth="1"/>
    <col min="6666" max="6666" width="21.33203125" style="1" customWidth="1"/>
    <col min="6667" max="6667" width="32.5546875" style="1" customWidth="1"/>
    <col min="6668" max="6668" width="16.88671875" style="1" customWidth="1"/>
    <col min="6669" max="6669" width="16.33203125" style="1" customWidth="1"/>
    <col min="6670" max="6900" width="10.33203125" style="1"/>
    <col min="6901" max="6901" width="4.44140625" style="1" customWidth="1"/>
    <col min="6902" max="6902" width="21.6640625" style="1" customWidth="1"/>
    <col min="6903" max="6903" width="15" style="1" customWidth="1"/>
    <col min="6904" max="6904" width="15.44140625" style="1" customWidth="1"/>
    <col min="6905" max="6905" width="11.5546875" style="1" customWidth="1"/>
    <col min="6906" max="6906" width="7.44140625" style="1" customWidth="1"/>
    <col min="6907" max="6907" width="14.109375" style="1" customWidth="1"/>
    <col min="6908" max="6908" width="10.6640625" style="1" customWidth="1"/>
    <col min="6909" max="6909" width="13.44140625" style="1" customWidth="1"/>
    <col min="6910" max="6910" width="11.44140625" style="1" customWidth="1"/>
    <col min="6911" max="6911" width="15" style="1" customWidth="1"/>
    <col min="6912" max="6912" width="14.5546875" style="1" customWidth="1"/>
    <col min="6913" max="6913" width="10.33203125" style="1"/>
    <col min="6914" max="6914" width="7.44140625" style="1" customWidth="1"/>
    <col min="6915" max="6915" width="12.88671875" style="1" customWidth="1"/>
    <col min="6916" max="6916" width="11.109375" style="1" customWidth="1"/>
    <col min="6917" max="6917" width="14" style="1" customWidth="1"/>
    <col min="6918" max="6918" width="33" style="1" customWidth="1"/>
    <col min="6919" max="6919" width="6.6640625" style="1" customWidth="1"/>
    <col min="6920" max="6920" width="19" style="1" customWidth="1"/>
    <col min="6921" max="6921" width="19.109375" style="1" customWidth="1"/>
    <col min="6922" max="6922" width="21.33203125" style="1" customWidth="1"/>
    <col min="6923" max="6923" width="32.5546875" style="1" customWidth="1"/>
    <col min="6924" max="6924" width="16.88671875" style="1" customWidth="1"/>
    <col min="6925" max="6925" width="16.33203125" style="1" customWidth="1"/>
    <col min="6926" max="7156" width="10.33203125" style="1"/>
    <col min="7157" max="7157" width="4.44140625" style="1" customWidth="1"/>
    <col min="7158" max="7158" width="21.6640625" style="1" customWidth="1"/>
    <col min="7159" max="7159" width="15" style="1" customWidth="1"/>
    <col min="7160" max="7160" width="15.44140625" style="1" customWidth="1"/>
    <col min="7161" max="7161" width="11.5546875" style="1" customWidth="1"/>
    <col min="7162" max="7162" width="7.44140625" style="1" customWidth="1"/>
    <col min="7163" max="7163" width="14.109375" style="1" customWidth="1"/>
    <col min="7164" max="7164" width="10.6640625" style="1" customWidth="1"/>
    <col min="7165" max="7165" width="13.44140625" style="1" customWidth="1"/>
    <col min="7166" max="7166" width="11.44140625" style="1" customWidth="1"/>
    <col min="7167" max="7167" width="15" style="1" customWidth="1"/>
    <col min="7168" max="7168" width="14.5546875" style="1" customWidth="1"/>
    <col min="7169" max="7169" width="10.33203125" style="1"/>
    <col min="7170" max="7170" width="7.44140625" style="1" customWidth="1"/>
    <col min="7171" max="7171" width="12.88671875" style="1" customWidth="1"/>
    <col min="7172" max="7172" width="11.109375" style="1" customWidth="1"/>
    <col min="7173" max="7173" width="14" style="1" customWidth="1"/>
    <col min="7174" max="7174" width="33" style="1" customWidth="1"/>
    <col min="7175" max="7175" width="6.6640625" style="1" customWidth="1"/>
    <col min="7176" max="7176" width="19" style="1" customWidth="1"/>
    <col min="7177" max="7177" width="19.109375" style="1" customWidth="1"/>
    <col min="7178" max="7178" width="21.33203125" style="1" customWidth="1"/>
    <col min="7179" max="7179" width="32.5546875" style="1" customWidth="1"/>
    <col min="7180" max="7180" width="16.88671875" style="1" customWidth="1"/>
    <col min="7181" max="7181" width="16.33203125" style="1" customWidth="1"/>
    <col min="7182" max="7412" width="10.33203125" style="1"/>
    <col min="7413" max="7413" width="4.44140625" style="1" customWidth="1"/>
    <col min="7414" max="7414" width="21.6640625" style="1" customWidth="1"/>
    <col min="7415" max="7415" width="15" style="1" customWidth="1"/>
    <col min="7416" max="7416" width="15.44140625" style="1" customWidth="1"/>
    <col min="7417" max="7417" width="11.5546875" style="1" customWidth="1"/>
    <col min="7418" max="7418" width="7.44140625" style="1" customWidth="1"/>
    <col min="7419" max="7419" width="14.109375" style="1" customWidth="1"/>
    <col min="7420" max="7420" width="10.6640625" style="1" customWidth="1"/>
    <col min="7421" max="7421" width="13.44140625" style="1" customWidth="1"/>
    <col min="7422" max="7422" width="11.44140625" style="1" customWidth="1"/>
    <col min="7423" max="7423" width="15" style="1" customWidth="1"/>
    <col min="7424" max="7424" width="14.5546875" style="1" customWidth="1"/>
    <col min="7425" max="7425" width="10.33203125" style="1"/>
    <col min="7426" max="7426" width="7.44140625" style="1" customWidth="1"/>
    <col min="7427" max="7427" width="12.88671875" style="1" customWidth="1"/>
    <col min="7428" max="7428" width="11.109375" style="1" customWidth="1"/>
    <col min="7429" max="7429" width="14" style="1" customWidth="1"/>
    <col min="7430" max="7430" width="33" style="1" customWidth="1"/>
    <col min="7431" max="7431" width="6.6640625" style="1" customWidth="1"/>
    <col min="7432" max="7432" width="19" style="1" customWidth="1"/>
    <col min="7433" max="7433" width="19.109375" style="1" customWidth="1"/>
    <col min="7434" max="7434" width="21.33203125" style="1" customWidth="1"/>
    <col min="7435" max="7435" width="32.5546875" style="1" customWidth="1"/>
    <col min="7436" max="7436" width="16.88671875" style="1" customWidth="1"/>
    <col min="7437" max="7437" width="16.33203125" style="1" customWidth="1"/>
    <col min="7438" max="7668" width="10.33203125" style="1"/>
    <col min="7669" max="7669" width="4.44140625" style="1" customWidth="1"/>
    <col min="7670" max="7670" width="21.6640625" style="1" customWidth="1"/>
    <col min="7671" max="7671" width="15" style="1" customWidth="1"/>
    <col min="7672" max="7672" width="15.44140625" style="1" customWidth="1"/>
    <col min="7673" max="7673" width="11.5546875" style="1" customWidth="1"/>
    <col min="7674" max="7674" width="7.44140625" style="1" customWidth="1"/>
    <col min="7675" max="7675" width="14.109375" style="1" customWidth="1"/>
    <col min="7676" max="7676" width="10.6640625" style="1" customWidth="1"/>
    <col min="7677" max="7677" width="13.44140625" style="1" customWidth="1"/>
    <col min="7678" max="7678" width="11.44140625" style="1" customWidth="1"/>
    <col min="7679" max="7679" width="15" style="1" customWidth="1"/>
    <col min="7680" max="7680" width="14.5546875" style="1" customWidth="1"/>
    <col min="7681" max="7681" width="10.33203125" style="1"/>
    <col min="7682" max="7682" width="7.44140625" style="1" customWidth="1"/>
    <col min="7683" max="7683" width="12.88671875" style="1" customWidth="1"/>
    <col min="7684" max="7684" width="11.109375" style="1" customWidth="1"/>
    <col min="7685" max="7685" width="14" style="1" customWidth="1"/>
    <col min="7686" max="7686" width="33" style="1" customWidth="1"/>
    <col min="7687" max="7687" width="6.6640625" style="1" customWidth="1"/>
    <col min="7688" max="7688" width="19" style="1" customWidth="1"/>
    <col min="7689" max="7689" width="19.109375" style="1" customWidth="1"/>
    <col min="7690" max="7690" width="21.33203125" style="1" customWidth="1"/>
    <col min="7691" max="7691" width="32.5546875" style="1" customWidth="1"/>
    <col min="7692" max="7692" width="16.88671875" style="1" customWidth="1"/>
    <col min="7693" max="7693" width="16.33203125" style="1" customWidth="1"/>
    <col min="7694" max="7924" width="10.33203125" style="1"/>
    <col min="7925" max="7925" width="4.44140625" style="1" customWidth="1"/>
    <col min="7926" max="7926" width="21.6640625" style="1" customWidth="1"/>
    <col min="7927" max="7927" width="15" style="1" customWidth="1"/>
    <col min="7928" max="7928" width="15.44140625" style="1" customWidth="1"/>
    <col min="7929" max="7929" width="11.5546875" style="1" customWidth="1"/>
    <col min="7930" max="7930" width="7.44140625" style="1" customWidth="1"/>
    <col min="7931" max="7931" width="14.109375" style="1" customWidth="1"/>
    <col min="7932" max="7932" width="10.6640625" style="1" customWidth="1"/>
    <col min="7933" max="7933" width="13.44140625" style="1" customWidth="1"/>
    <col min="7934" max="7934" width="11.44140625" style="1" customWidth="1"/>
    <col min="7935" max="7935" width="15" style="1" customWidth="1"/>
    <col min="7936" max="7936" width="14.5546875" style="1" customWidth="1"/>
    <col min="7937" max="7937" width="10.33203125" style="1"/>
    <col min="7938" max="7938" width="7.44140625" style="1" customWidth="1"/>
    <col min="7939" max="7939" width="12.88671875" style="1" customWidth="1"/>
    <col min="7940" max="7940" width="11.109375" style="1" customWidth="1"/>
    <col min="7941" max="7941" width="14" style="1" customWidth="1"/>
    <col min="7942" max="7942" width="33" style="1" customWidth="1"/>
    <col min="7943" max="7943" width="6.6640625" style="1" customWidth="1"/>
    <col min="7944" max="7944" width="19" style="1" customWidth="1"/>
    <col min="7945" max="7945" width="19.109375" style="1" customWidth="1"/>
    <col min="7946" max="7946" width="21.33203125" style="1" customWidth="1"/>
    <col min="7947" max="7947" width="32.5546875" style="1" customWidth="1"/>
    <col min="7948" max="7948" width="16.88671875" style="1" customWidth="1"/>
    <col min="7949" max="7949" width="16.33203125" style="1" customWidth="1"/>
    <col min="7950" max="8180" width="10.33203125" style="1"/>
    <col min="8181" max="8181" width="4.44140625" style="1" customWidth="1"/>
    <col min="8182" max="8182" width="21.6640625" style="1" customWidth="1"/>
    <col min="8183" max="8183" width="15" style="1" customWidth="1"/>
    <col min="8184" max="8184" width="15.44140625" style="1" customWidth="1"/>
    <col min="8185" max="8185" width="11.5546875" style="1" customWidth="1"/>
    <col min="8186" max="8186" width="7.44140625" style="1" customWidth="1"/>
    <col min="8187" max="8187" width="14.109375" style="1" customWidth="1"/>
    <col min="8188" max="8188" width="10.6640625" style="1" customWidth="1"/>
    <col min="8189" max="8189" width="13.44140625" style="1" customWidth="1"/>
    <col min="8190" max="8190" width="11.44140625" style="1" customWidth="1"/>
    <col min="8191" max="8191" width="15" style="1" customWidth="1"/>
    <col min="8192" max="8192" width="14.5546875" style="1" customWidth="1"/>
    <col min="8193" max="8193" width="10.33203125" style="1"/>
    <col min="8194" max="8194" width="7.44140625" style="1" customWidth="1"/>
    <col min="8195" max="8195" width="12.88671875" style="1" customWidth="1"/>
    <col min="8196" max="8196" width="11.109375" style="1" customWidth="1"/>
    <col min="8197" max="8197" width="14" style="1" customWidth="1"/>
    <col min="8198" max="8198" width="33" style="1" customWidth="1"/>
    <col min="8199" max="8199" width="6.6640625" style="1" customWidth="1"/>
    <col min="8200" max="8200" width="19" style="1" customWidth="1"/>
    <col min="8201" max="8201" width="19.109375" style="1" customWidth="1"/>
    <col min="8202" max="8202" width="21.33203125" style="1" customWidth="1"/>
    <col min="8203" max="8203" width="32.5546875" style="1" customWidth="1"/>
    <col min="8204" max="8204" width="16.88671875" style="1" customWidth="1"/>
    <col min="8205" max="8205" width="16.33203125" style="1" customWidth="1"/>
    <col min="8206" max="8436" width="10.33203125" style="1"/>
    <col min="8437" max="8437" width="4.44140625" style="1" customWidth="1"/>
    <col min="8438" max="8438" width="21.6640625" style="1" customWidth="1"/>
    <col min="8439" max="8439" width="15" style="1" customWidth="1"/>
    <col min="8440" max="8440" width="15.44140625" style="1" customWidth="1"/>
    <col min="8441" max="8441" width="11.5546875" style="1" customWidth="1"/>
    <col min="8442" max="8442" width="7.44140625" style="1" customWidth="1"/>
    <col min="8443" max="8443" width="14.109375" style="1" customWidth="1"/>
    <col min="8444" max="8444" width="10.6640625" style="1" customWidth="1"/>
    <col min="8445" max="8445" width="13.44140625" style="1" customWidth="1"/>
    <col min="8446" max="8446" width="11.44140625" style="1" customWidth="1"/>
    <col min="8447" max="8447" width="15" style="1" customWidth="1"/>
    <col min="8448" max="8448" width="14.5546875" style="1" customWidth="1"/>
    <col min="8449" max="8449" width="10.33203125" style="1"/>
    <col min="8450" max="8450" width="7.44140625" style="1" customWidth="1"/>
    <col min="8451" max="8451" width="12.88671875" style="1" customWidth="1"/>
    <col min="8452" max="8452" width="11.109375" style="1" customWidth="1"/>
    <col min="8453" max="8453" width="14" style="1" customWidth="1"/>
    <col min="8454" max="8454" width="33" style="1" customWidth="1"/>
    <col min="8455" max="8455" width="6.6640625" style="1" customWidth="1"/>
    <col min="8456" max="8456" width="19" style="1" customWidth="1"/>
    <col min="8457" max="8457" width="19.109375" style="1" customWidth="1"/>
    <col min="8458" max="8458" width="21.33203125" style="1" customWidth="1"/>
    <col min="8459" max="8459" width="32.5546875" style="1" customWidth="1"/>
    <col min="8460" max="8460" width="16.88671875" style="1" customWidth="1"/>
    <col min="8461" max="8461" width="16.33203125" style="1" customWidth="1"/>
    <col min="8462" max="8692" width="10.33203125" style="1"/>
    <col min="8693" max="8693" width="4.44140625" style="1" customWidth="1"/>
    <col min="8694" max="8694" width="21.6640625" style="1" customWidth="1"/>
    <col min="8695" max="8695" width="15" style="1" customWidth="1"/>
    <col min="8696" max="8696" width="15.44140625" style="1" customWidth="1"/>
    <col min="8697" max="8697" width="11.5546875" style="1" customWidth="1"/>
    <col min="8698" max="8698" width="7.44140625" style="1" customWidth="1"/>
    <col min="8699" max="8699" width="14.109375" style="1" customWidth="1"/>
    <col min="8700" max="8700" width="10.6640625" style="1" customWidth="1"/>
    <col min="8701" max="8701" width="13.44140625" style="1" customWidth="1"/>
    <col min="8702" max="8702" width="11.44140625" style="1" customWidth="1"/>
    <col min="8703" max="8703" width="15" style="1" customWidth="1"/>
    <col min="8704" max="8704" width="14.5546875" style="1" customWidth="1"/>
    <col min="8705" max="8705" width="10.33203125" style="1"/>
    <col min="8706" max="8706" width="7.44140625" style="1" customWidth="1"/>
    <col min="8707" max="8707" width="12.88671875" style="1" customWidth="1"/>
    <col min="8708" max="8708" width="11.109375" style="1" customWidth="1"/>
    <col min="8709" max="8709" width="14" style="1" customWidth="1"/>
    <col min="8710" max="8710" width="33" style="1" customWidth="1"/>
    <col min="8711" max="8711" width="6.6640625" style="1" customWidth="1"/>
    <col min="8712" max="8712" width="19" style="1" customWidth="1"/>
    <col min="8713" max="8713" width="19.109375" style="1" customWidth="1"/>
    <col min="8714" max="8714" width="21.33203125" style="1" customWidth="1"/>
    <col min="8715" max="8715" width="32.5546875" style="1" customWidth="1"/>
    <col min="8716" max="8716" width="16.88671875" style="1" customWidth="1"/>
    <col min="8717" max="8717" width="16.33203125" style="1" customWidth="1"/>
    <col min="8718" max="8948" width="10.33203125" style="1"/>
    <col min="8949" max="8949" width="4.44140625" style="1" customWidth="1"/>
    <col min="8950" max="8950" width="21.6640625" style="1" customWidth="1"/>
    <col min="8951" max="8951" width="15" style="1" customWidth="1"/>
    <col min="8952" max="8952" width="15.44140625" style="1" customWidth="1"/>
    <col min="8953" max="8953" width="11.5546875" style="1" customWidth="1"/>
    <col min="8954" max="8954" width="7.44140625" style="1" customWidth="1"/>
    <col min="8955" max="8955" width="14.109375" style="1" customWidth="1"/>
    <col min="8956" max="8956" width="10.6640625" style="1" customWidth="1"/>
    <col min="8957" max="8957" width="13.44140625" style="1" customWidth="1"/>
    <col min="8958" max="8958" width="11.44140625" style="1" customWidth="1"/>
    <col min="8959" max="8959" width="15" style="1" customWidth="1"/>
    <col min="8960" max="8960" width="14.5546875" style="1" customWidth="1"/>
    <col min="8961" max="8961" width="10.33203125" style="1"/>
    <col min="8962" max="8962" width="7.44140625" style="1" customWidth="1"/>
    <col min="8963" max="8963" width="12.88671875" style="1" customWidth="1"/>
    <col min="8964" max="8964" width="11.109375" style="1" customWidth="1"/>
    <col min="8965" max="8965" width="14" style="1" customWidth="1"/>
    <col min="8966" max="8966" width="33" style="1" customWidth="1"/>
    <col min="8967" max="8967" width="6.6640625" style="1" customWidth="1"/>
    <col min="8968" max="8968" width="19" style="1" customWidth="1"/>
    <col min="8969" max="8969" width="19.109375" style="1" customWidth="1"/>
    <col min="8970" max="8970" width="21.33203125" style="1" customWidth="1"/>
    <col min="8971" max="8971" width="32.5546875" style="1" customWidth="1"/>
    <col min="8972" max="8972" width="16.88671875" style="1" customWidth="1"/>
    <col min="8973" max="8973" width="16.33203125" style="1" customWidth="1"/>
    <col min="8974" max="9204" width="10.33203125" style="1"/>
    <col min="9205" max="9205" width="4.44140625" style="1" customWidth="1"/>
    <col min="9206" max="9206" width="21.6640625" style="1" customWidth="1"/>
    <col min="9207" max="9207" width="15" style="1" customWidth="1"/>
    <col min="9208" max="9208" width="15.44140625" style="1" customWidth="1"/>
    <col min="9209" max="9209" width="11.5546875" style="1" customWidth="1"/>
    <col min="9210" max="9210" width="7.44140625" style="1" customWidth="1"/>
    <col min="9211" max="9211" width="14.109375" style="1" customWidth="1"/>
    <col min="9212" max="9212" width="10.6640625" style="1" customWidth="1"/>
    <col min="9213" max="9213" width="13.44140625" style="1" customWidth="1"/>
    <col min="9214" max="9214" width="11.44140625" style="1" customWidth="1"/>
    <col min="9215" max="9215" width="15" style="1" customWidth="1"/>
    <col min="9216" max="9216" width="14.5546875" style="1" customWidth="1"/>
    <col min="9217" max="9217" width="10.33203125" style="1"/>
    <col min="9218" max="9218" width="7.44140625" style="1" customWidth="1"/>
    <col min="9219" max="9219" width="12.88671875" style="1" customWidth="1"/>
    <col min="9220" max="9220" width="11.109375" style="1" customWidth="1"/>
    <col min="9221" max="9221" width="14" style="1" customWidth="1"/>
    <col min="9222" max="9222" width="33" style="1" customWidth="1"/>
    <col min="9223" max="9223" width="6.6640625" style="1" customWidth="1"/>
    <col min="9224" max="9224" width="19" style="1" customWidth="1"/>
    <col min="9225" max="9225" width="19.109375" style="1" customWidth="1"/>
    <col min="9226" max="9226" width="21.33203125" style="1" customWidth="1"/>
    <col min="9227" max="9227" width="32.5546875" style="1" customWidth="1"/>
    <col min="9228" max="9228" width="16.88671875" style="1" customWidth="1"/>
    <col min="9229" max="9229" width="16.33203125" style="1" customWidth="1"/>
    <col min="9230" max="9460" width="10.33203125" style="1"/>
    <col min="9461" max="9461" width="4.44140625" style="1" customWidth="1"/>
    <col min="9462" max="9462" width="21.6640625" style="1" customWidth="1"/>
    <col min="9463" max="9463" width="15" style="1" customWidth="1"/>
    <col min="9464" max="9464" width="15.44140625" style="1" customWidth="1"/>
    <col min="9465" max="9465" width="11.5546875" style="1" customWidth="1"/>
    <col min="9466" max="9466" width="7.44140625" style="1" customWidth="1"/>
    <col min="9467" max="9467" width="14.109375" style="1" customWidth="1"/>
    <col min="9468" max="9468" width="10.6640625" style="1" customWidth="1"/>
    <col min="9469" max="9469" width="13.44140625" style="1" customWidth="1"/>
    <col min="9470" max="9470" width="11.44140625" style="1" customWidth="1"/>
    <col min="9471" max="9471" width="15" style="1" customWidth="1"/>
    <col min="9472" max="9472" width="14.5546875" style="1" customWidth="1"/>
    <col min="9473" max="9473" width="10.33203125" style="1"/>
    <col min="9474" max="9474" width="7.44140625" style="1" customWidth="1"/>
    <col min="9475" max="9475" width="12.88671875" style="1" customWidth="1"/>
    <col min="9476" max="9476" width="11.109375" style="1" customWidth="1"/>
    <col min="9477" max="9477" width="14" style="1" customWidth="1"/>
    <col min="9478" max="9478" width="33" style="1" customWidth="1"/>
    <col min="9479" max="9479" width="6.6640625" style="1" customWidth="1"/>
    <col min="9480" max="9480" width="19" style="1" customWidth="1"/>
    <col min="9481" max="9481" width="19.109375" style="1" customWidth="1"/>
    <col min="9482" max="9482" width="21.33203125" style="1" customWidth="1"/>
    <col min="9483" max="9483" width="32.5546875" style="1" customWidth="1"/>
    <col min="9484" max="9484" width="16.88671875" style="1" customWidth="1"/>
    <col min="9485" max="9485" width="16.33203125" style="1" customWidth="1"/>
    <col min="9486" max="9716" width="10.33203125" style="1"/>
    <col min="9717" max="9717" width="4.44140625" style="1" customWidth="1"/>
    <col min="9718" max="9718" width="21.6640625" style="1" customWidth="1"/>
    <col min="9719" max="9719" width="15" style="1" customWidth="1"/>
    <col min="9720" max="9720" width="15.44140625" style="1" customWidth="1"/>
    <col min="9721" max="9721" width="11.5546875" style="1" customWidth="1"/>
    <col min="9722" max="9722" width="7.44140625" style="1" customWidth="1"/>
    <col min="9723" max="9723" width="14.109375" style="1" customWidth="1"/>
    <col min="9724" max="9724" width="10.6640625" style="1" customWidth="1"/>
    <col min="9725" max="9725" width="13.44140625" style="1" customWidth="1"/>
    <col min="9726" max="9726" width="11.44140625" style="1" customWidth="1"/>
    <col min="9727" max="9727" width="15" style="1" customWidth="1"/>
    <col min="9728" max="9728" width="14.5546875" style="1" customWidth="1"/>
    <col min="9729" max="9729" width="10.33203125" style="1"/>
    <col min="9730" max="9730" width="7.44140625" style="1" customWidth="1"/>
    <col min="9731" max="9731" width="12.88671875" style="1" customWidth="1"/>
    <col min="9732" max="9732" width="11.109375" style="1" customWidth="1"/>
    <col min="9733" max="9733" width="14" style="1" customWidth="1"/>
    <col min="9734" max="9734" width="33" style="1" customWidth="1"/>
    <col min="9735" max="9735" width="6.6640625" style="1" customWidth="1"/>
    <col min="9736" max="9736" width="19" style="1" customWidth="1"/>
    <col min="9737" max="9737" width="19.109375" style="1" customWidth="1"/>
    <col min="9738" max="9738" width="21.33203125" style="1" customWidth="1"/>
    <col min="9739" max="9739" width="32.5546875" style="1" customWidth="1"/>
    <col min="9740" max="9740" width="16.88671875" style="1" customWidth="1"/>
    <col min="9741" max="9741" width="16.33203125" style="1" customWidth="1"/>
    <col min="9742" max="9972" width="10.33203125" style="1"/>
    <col min="9973" max="9973" width="4.44140625" style="1" customWidth="1"/>
    <col min="9974" max="9974" width="21.6640625" style="1" customWidth="1"/>
    <col min="9975" max="9975" width="15" style="1" customWidth="1"/>
    <col min="9976" max="9976" width="15.44140625" style="1" customWidth="1"/>
    <col min="9977" max="9977" width="11.5546875" style="1" customWidth="1"/>
    <col min="9978" max="9978" width="7.44140625" style="1" customWidth="1"/>
    <col min="9979" max="9979" width="14.109375" style="1" customWidth="1"/>
    <col min="9980" max="9980" width="10.6640625" style="1" customWidth="1"/>
    <col min="9981" max="9981" width="13.44140625" style="1" customWidth="1"/>
    <col min="9982" max="9982" width="11.44140625" style="1" customWidth="1"/>
    <col min="9983" max="9983" width="15" style="1" customWidth="1"/>
    <col min="9984" max="9984" width="14.5546875" style="1" customWidth="1"/>
    <col min="9985" max="9985" width="10.33203125" style="1"/>
    <col min="9986" max="9986" width="7.44140625" style="1" customWidth="1"/>
    <col min="9987" max="9987" width="12.88671875" style="1" customWidth="1"/>
    <col min="9988" max="9988" width="11.109375" style="1" customWidth="1"/>
    <col min="9989" max="9989" width="14" style="1" customWidth="1"/>
    <col min="9990" max="9990" width="33" style="1" customWidth="1"/>
    <col min="9991" max="9991" width="6.6640625" style="1" customWidth="1"/>
    <col min="9992" max="9992" width="19" style="1" customWidth="1"/>
    <col min="9993" max="9993" width="19.109375" style="1" customWidth="1"/>
    <col min="9994" max="9994" width="21.33203125" style="1" customWidth="1"/>
    <col min="9995" max="9995" width="32.5546875" style="1" customWidth="1"/>
    <col min="9996" max="9996" width="16.88671875" style="1" customWidth="1"/>
    <col min="9997" max="9997" width="16.33203125" style="1" customWidth="1"/>
    <col min="9998" max="10228" width="10.33203125" style="1"/>
    <col min="10229" max="10229" width="4.44140625" style="1" customWidth="1"/>
    <col min="10230" max="10230" width="21.6640625" style="1" customWidth="1"/>
    <col min="10231" max="10231" width="15" style="1" customWidth="1"/>
    <col min="10232" max="10232" width="15.44140625" style="1" customWidth="1"/>
    <col min="10233" max="10233" width="11.5546875" style="1" customWidth="1"/>
    <col min="10234" max="10234" width="7.44140625" style="1" customWidth="1"/>
    <col min="10235" max="10235" width="14.109375" style="1" customWidth="1"/>
    <col min="10236" max="10236" width="10.6640625" style="1" customWidth="1"/>
    <col min="10237" max="10237" width="13.44140625" style="1" customWidth="1"/>
    <col min="10238" max="10238" width="11.44140625" style="1" customWidth="1"/>
    <col min="10239" max="10239" width="15" style="1" customWidth="1"/>
    <col min="10240" max="10240" width="14.5546875" style="1" customWidth="1"/>
    <col min="10241" max="10241" width="10.33203125" style="1"/>
    <col min="10242" max="10242" width="7.44140625" style="1" customWidth="1"/>
    <col min="10243" max="10243" width="12.88671875" style="1" customWidth="1"/>
    <col min="10244" max="10244" width="11.109375" style="1" customWidth="1"/>
    <col min="10245" max="10245" width="14" style="1" customWidth="1"/>
    <col min="10246" max="10246" width="33" style="1" customWidth="1"/>
    <col min="10247" max="10247" width="6.6640625" style="1" customWidth="1"/>
    <col min="10248" max="10248" width="19" style="1" customWidth="1"/>
    <col min="10249" max="10249" width="19.109375" style="1" customWidth="1"/>
    <col min="10250" max="10250" width="21.33203125" style="1" customWidth="1"/>
    <col min="10251" max="10251" width="32.5546875" style="1" customWidth="1"/>
    <col min="10252" max="10252" width="16.88671875" style="1" customWidth="1"/>
    <col min="10253" max="10253" width="16.33203125" style="1" customWidth="1"/>
    <col min="10254" max="10484" width="10.33203125" style="1"/>
    <col min="10485" max="10485" width="4.44140625" style="1" customWidth="1"/>
    <col min="10486" max="10486" width="21.6640625" style="1" customWidth="1"/>
    <col min="10487" max="10487" width="15" style="1" customWidth="1"/>
    <col min="10488" max="10488" width="15.44140625" style="1" customWidth="1"/>
    <col min="10489" max="10489" width="11.5546875" style="1" customWidth="1"/>
    <col min="10490" max="10490" width="7.44140625" style="1" customWidth="1"/>
    <col min="10491" max="10491" width="14.109375" style="1" customWidth="1"/>
    <col min="10492" max="10492" width="10.6640625" style="1" customWidth="1"/>
    <col min="10493" max="10493" width="13.44140625" style="1" customWidth="1"/>
    <col min="10494" max="10494" width="11.44140625" style="1" customWidth="1"/>
    <col min="10495" max="10495" width="15" style="1" customWidth="1"/>
    <col min="10496" max="10496" width="14.5546875" style="1" customWidth="1"/>
    <col min="10497" max="10497" width="10.33203125" style="1"/>
    <col min="10498" max="10498" width="7.44140625" style="1" customWidth="1"/>
    <col min="10499" max="10499" width="12.88671875" style="1" customWidth="1"/>
    <col min="10500" max="10500" width="11.109375" style="1" customWidth="1"/>
    <col min="10501" max="10501" width="14" style="1" customWidth="1"/>
    <col min="10502" max="10502" width="33" style="1" customWidth="1"/>
    <col min="10503" max="10503" width="6.6640625" style="1" customWidth="1"/>
    <col min="10504" max="10504" width="19" style="1" customWidth="1"/>
    <col min="10505" max="10505" width="19.109375" style="1" customWidth="1"/>
    <col min="10506" max="10506" width="21.33203125" style="1" customWidth="1"/>
    <col min="10507" max="10507" width="32.5546875" style="1" customWidth="1"/>
    <col min="10508" max="10508" width="16.88671875" style="1" customWidth="1"/>
    <col min="10509" max="10509" width="16.33203125" style="1" customWidth="1"/>
    <col min="10510" max="10740" width="10.33203125" style="1"/>
    <col min="10741" max="10741" width="4.44140625" style="1" customWidth="1"/>
    <col min="10742" max="10742" width="21.6640625" style="1" customWidth="1"/>
    <col min="10743" max="10743" width="15" style="1" customWidth="1"/>
    <col min="10744" max="10744" width="15.44140625" style="1" customWidth="1"/>
    <col min="10745" max="10745" width="11.5546875" style="1" customWidth="1"/>
    <col min="10746" max="10746" width="7.44140625" style="1" customWidth="1"/>
    <col min="10747" max="10747" width="14.109375" style="1" customWidth="1"/>
    <col min="10748" max="10748" width="10.6640625" style="1" customWidth="1"/>
    <col min="10749" max="10749" width="13.44140625" style="1" customWidth="1"/>
    <col min="10750" max="10750" width="11.44140625" style="1" customWidth="1"/>
    <col min="10751" max="10751" width="15" style="1" customWidth="1"/>
    <col min="10752" max="10752" width="14.5546875" style="1" customWidth="1"/>
    <col min="10753" max="10753" width="10.33203125" style="1"/>
    <col min="10754" max="10754" width="7.44140625" style="1" customWidth="1"/>
    <col min="10755" max="10755" width="12.88671875" style="1" customWidth="1"/>
    <col min="10756" max="10756" width="11.109375" style="1" customWidth="1"/>
    <col min="10757" max="10757" width="14" style="1" customWidth="1"/>
    <col min="10758" max="10758" width="33" style="1" customWidth="1"/>
    <col min="10759" max="10759" width="6.6640625" style="1" customWidth="1"/>
    <col min="10760" max="10760" width="19" style="1" customWidth="1"/>
    <col min="10761" max="10761" width="19.109375" style="1" customWidth="1"/>
    <col min="10762" max="10762" width="21.33203125" style="1" customWidth="1"/>
    <col min="10763" max="10763" width="32.5546875" style="1" customWidth="1"/>
    <col min="10764" max="10764" width="16.88671875" style="1" customWidth="1"/>
    <col min="10765" max="10765" width="16.33203125" style="1" customWidth="1"/>
    <col min="10766" max="10996" width="10.33203125" style="1"/>
    <col min="10997" max="10997" width="4.44140625" style="1" customWidth="1"/>
    <col min="10998" max="10998" width="21.6640625" style="1" customWidth="1"/>
    <col min="10999" max="10999" width="15" style="1" customWidth="1"/>
    <col min="11000" max="11000" width="15.44140625" style="1" customWidth="1"/>
    <col min="11001" max="11001" width="11.5546875" style="1" customWidth="1"/>
    <col min="11002" max="11002" width="7.44140625" style="1" customWidth="1"/>
    <col min="11003" max="11003" width="14.109375" style="1" customWidth="1"/>
    <col min="11004" max="11004" width="10.6640625" style="1" customWidth="1"/>
    <col min="11005" max="11005" width="13.44140625" style="1" customWidth="1"/>
    <col min="11006" max="11006" width="11.44140625" style="1" customWidth="1"/>
    <col min="11007" max="11007" width="15" style="1" customWidth="1"/>
    <col min="11008" max="11008" width="14.5546875" style="1" customWidth="1"/>
    <col min="11009" max="11009" width="10.33203125" style="1"/>
    <col min="11010" max="11010" width="7.44140625" style="1" customWidth="1"/>
    <col min="11011" max="11011" width="12.88671875" style="1" customWidth="1"/>
    <col min="11012" max="11012" width="11.109375" style="1" customWidth="1"/>
    <col min="11013" max="11013" width="14" style="1" customWidth="1"/>
    <col min="11014" max="11014" width="33" style="1" customWidth="1"/>
    <col min="11015" max="11015" width="6.6640625" style="1" customWidth="1"/>
    <col min="11016" max="11016" width="19" style="1" customWidth="1"/>
    <col min="11017" max="11017" width="19.109375" style="1" customWidth="1"/>
    <col min="11018" max="11018" width="21.33203125" style="1" customWidth="1"/>
    <col min="11019" max="11019" width="32.5546875" style="1" customWidth="1"/>
    <col min="11020" max="11020" width="16.88671875" style="1" customWidth="1"/>
    <col min="11021" max="11021" width="16.33203125" style="1" customWidth="1"/>
    <col min="11022" max="11252" width="10.33203125" style="1"/>
    <col min="11253" max="11253" width="4.44140625" style="1" customWidth="1"/>
    <col min="11254" max="11254" width="21.6640625" style="1" customWidth="1"/>
    <col min="11255" max="11255" width="15" style="1" customWidth="1"/>
    <col min="11256" max="11256" width="15.44140625" style="1" customWidth="1"/>
    <col min="11257" max="11257" width="11.5546875" style="1" customWidth="1"/>
    <col min="11258" max="11258" width="7.44140625" style="1" customWidth="1"/>
    <col min="11259" max="11259" width="14.109375" style="1" customWidth="1"/>
    <col min="11260" max="11260" width="10.6640625" style="1" customWidth="1"/>
    <col min="11261" max="11261" width="13.44140625" style="1" customWidth="1"/>
    <col min="11262" max="11262" width="11.44140625" style="1" customWidth="1"/>
    <col min="11263" max="11263" width="15" style="1" customWidth="1"/>
    <col min="11264" max="11264" width="14.5546875" style="1" customWidth="1"/>
    <col min="11265" max="11265" width="10.33203125" style="1"/>
    <col min="11266" max="11266" width="7.44140625" style="1" customWidth="1"/>
    <col min="11267" max="11267" width="12.88671875" style="1" customWidth="1"/>
    <col min="11268" max="11268" width="11.109375" style="1" customWidth="1"/>
    <col min="11269" max="11269" width="14" style="1" customWidth="1"/>
    <col min="11270" max="11270" width="33" style="1" customWidth="1"/>
    <col min="11271" max="11271" width="6.6640625" style="1" customWidth="1"/>
    <col min="11272" max="11272" width="19" style="1" customWidth="1"/>
    <col min="11273" max="11273" width="19.109375" style="1" customWidth="1"/>
    <col min="11274" max="11274" width="21.33203125" style="1" customWidth="1"/>
    <col min="11275" max="11275" width="32.5546875" style="1" customWidth="1"/>
    <col min="11276" max="11276" width="16.88671875" style="1" customWidth="1"/>
    <col min="11277" max="11277" width="16.33203125" style="1" customWidth="1"/>
    <col min="11278" max="11508" width="10.33203125" style="1"/>
    <col min="11509" max="11509" width="4.44140625" style="1" customWidth="1"/>
    <col min="11510" max="11510" width="21.6640625" style="1" customWidth="1"/>
    <col min="11511" max="11511" width="15" style="1" customWidth="1"/>
    <col min="11512" max="11512" width="15.44140625" style="1" customWidth="1"/>
    <col min="11513" max="11513" width="11.5546875" style="1" customWidth="1"/>
    <col min="11514" max="11514" width="7.44140625" style="1" customWidth="1"/>
    <col min="11515" max="11515" width="14.109375" style="1" customWidth="1"/>
    <col min="11516" max="11516" width="10.6640625" style="1" customWidth="1"/>
    <col min="11517" max="11517" width="13.44140625" style="1" customWidth="1"/>
    <col min="11518" max="11518" width="11.44140625" style="1" customWidth="1"/>
    <col min="11519" max="11519" width="15" style="1" customWidth="1"/>
    <col min="11520" max="11520" width="14.5546875" style="1" customWidth="1"/>
    <col min="11521" max="11521" width="10.33203125" style="1"/>
    <col min="11522" max="11522" width="7.44140625" style="1" customWidth="1"/>
    <col min="11523" max="11523" width="12.88671875" style="1" customWidth="1"/>
    <col min="11524" max="11524" width="11.109375" style="1" customWidth="1"/>
    <col min="11525" max="11525" width="14" style="1" customWidth="1"/>
    <col min="11526" max="11526" width="33" style="1" customWidth="1"/>
    <col min="11527" max="11527" width="6.6640625" style="1" customWidth="1"/>
    <col min="11528" max="11528" width="19" style="1" customWidth="1"/>
    <col min="11529" max="11529" width="19.109375" style="1" customWidth="1"/>
    <col min="11530" max="11530" width="21.33203125" style="1" customWidth="1"/>
    <col min="11531" max="11531" width="32.5546875" style="1" customWidth="1"/>
    <col min="11532" max="11532" width="16.88671875" style="1" customWidth="1"/>
    <col min="11533" max="11533" width="16.33203125" style="1" customWidth="1"/>
    <col min="11534" max="11764" width="10.33203125" style="1"/>
    <col min="11765" max="11765" width="4.44140625" style="1" customWidth="1"/>
    <col min="11766" max="11766" width="21.6640625" style="1" customWidth="1"/>
    <col min="11767" max="11767" width="15" style="1" customWidth="1"/>
    <col min="11768" max="11768" width="15.44140625" style="1" customWidth="1"/>
    <col min="11769" max="11769" width="11.5546875" style="1" customWidth="1"/>
    <col min="11770" max="11770" width="7.44140625" style="1" customWidth="1"/>
    <col min="11771" max="11771" width="14.109375" style="1" customWidth="1"/>
    <col min="11772" max="11772" width="10.6640625" style="1" customWidth="1"/>
    <col min="11773" max="11773" width="13.44140625" style="1" customWidth="1"/>
    <col min="11774" max="11774" width="11.44140625" style="1" customWidth="1"/>
    <col min="11775" max="11775" width="15" style="1" customWidth="1"/>
    <col min="11776" max="11776" width="14.5546875" style="1" customWidth="1"/>
    <col min="11777" max="11777" width="10.33203125" style="1"/>
    <col min="11778" max="11778" width="7.44140625" style="1" customWidth="1"/>
    <col min="11779" max="11779" width="12.88671875" style="1" customWidth="1"/>
    <col min="11780" max="11780" width="11.109375" style="1" customWidth="1"/>
    <col min="11781" max="11781" width="14" style="1" customWidth="1"/>
    <col min="11782" max="11782" width="33" style="1" customWidth="1"/>
    <col min="11783" max="11783" width="6.6640625" style="1" customWidth="1"/>
    <col min="11784" max="11784" width="19" style="1" customWidth="1"/>
    <col min="11785" max="11785" width="19.109375" style="1" customWidth="1"/>
    <col min="11786" max="11786" width="21.33203125" style="1" customWidth="1"/>
    <col min="11787" max="11787" width="32.5546875" style="1" customWidth="1"/>
    <col min="11788" max="11788" width="16.88671875" style="1" customWidth="1"/>
    <col min="11789" max="11789" width="16.33203125" style="1" customWidth="1"/>
    <col min="11790" max="12020" width="10.33203125" style="1"/>
    <col min="12021" max="12021" width="4.44140625" style="1" customWidth="1"/>
    <col min="12022" max="12022" width="21.6640625" style="1" customWidth="1"/>
    <col min="12023" max="12023" width="15" style="1" customWidth="1"/>
    <col min="12024" max="12024" width="15.44140625" style="1" customWidth="1"/>
    <col min="12025" max="12025" width="11.5546875" style="1" customWidth="1"/>
    <col min="12026" max="12026" width="7.44140625" style="1" customWidth="1"/>
    <col min="12027" max="12027" width="14.109375" style="1" customWidth="1"/>
    <col min="12028" max="12028" width="10.6640625" style="1" customWidth="1"/>
    <col min="12029" max="12029" width="13.44140625" style="1" customWidth="1"/>
    <col min="12030" max="12030" width="11.44140625" style="1" customWidth="1"/>
    <col min="12031" max="12031" width="15" style="1" customWidth="1"/>
    <col min="12032" max="12032" width="14.5546875" style="1" customWidth="1"/>
    <col min="12033" max="12033" width="10.33203125" style="1"/>
    <col min="12034" max="12034" width="7.44140625" style="1" customWidth="1"/>
    <col min="12035" max="12035" width="12.88671875" style="1" customWidth="1"/>
    <col min="12036" max="12036" width="11.109375" style="1" customWidth="1"/>
    <col min="12037" max="12037" width="14" style="1" customWidth="1"/>
    <col min="12038" max="12038" width="33" style="1" customWidth="1"/>
    <col min="12039" max="12039" width="6.6640625" style="1" customWidth="1"/>
    <col min="12040" max="12040" width="19" style="1" customWidth="1"/>
    <col min="12041" max="12041" width="19.109375" style="1" customWidth="1"/>
    <col min="12042" max="12042" width="21.33203125" style="1" customWidth="1"/>
    <col min="12043" max="12043" width="32.5546875" style="1" customWidth="1"/>
    <col min="12044" max="12044" width="16.88671875" style="1" customWidth="1"/>
    <col min="12045" max="12045" width="16.33203125" style="1" customWidth="1"/>
    <col min="12046" max="12276" width="10.33203125" style="1"/>
    <col min="12277" max="12277" width="4.44140625" style="1" customWidth="1"/>
    <col min="12278" max="12278" width="21.6640625" style="1" customWidth="1"/>
    <col min="12279" max="12279" width="15" style="1" customWidth="1"/>
    <col min="12280" max="12280" width="15.44140625" style="1" customWidth="1"/>
    <col min="12281" max="12281" width="11.5546875" style="1" customWidth="1"/>
    <col min="12282" max="12282" width="7.44140625" style="1" customWidth="1"/>
    <col min="12283" max="12283" width="14.109375" style="1" customWidth="1"/>
    <col min="12284" max="12284" width="10.6640625" style="1" customWidth="1"/>
    <col min="12285" max="12285" width="13.44140625" style="1" customWidth="1"/>
    <col min="12286" max="12286" width="11.44140625" style="1" customWidth="1"/>
    <col min="12287" max="12287" width="15" style="1" customWidth="1"/>
    <col min="12288" max="12288" width="14.5546875" style="1" customWidth="1"/>
    <col min="12289" max="12289" width="10.33203125" style="1"/>
    <col min="12290" max="12290" width="7.44140625" style="1" customWidth="1"/>
    <col min="12291" max="12291" width="12.88671875" style="1" customWidth="1"/>
    <col min="12292" max="12292" width="11.109375" style="1" customWidth="1"/>
    <col min="12293" max="12293" width="14" style="1" customWidth="1"/>
    <col min="12294" max="12294" width="33" style="1" customWidth="1"/>
    <col min="12295" max="12295" width="6.6640625" style="1" customWidth="1"/>
    <col min="12296" max="12296" width="19" style="1" customWidth="1"/>
    <col min="12297" max="12297" width="19.109375" style="1" customWidth="1"/>
    <col min="12298" max="12298" width="21.33203125" style="1" customWidth="1"/>
    <col min="12299" max="12299" width="32.5546875" style="1" customWidth="1"/>
    <col min="12300" max="12300" width="16.88671875" style="1" customWidth="1"/>
    <col min="12301" max="12301" width="16.33203125" style="1" customWidth="1"/>
    <col min="12302" max="12532" width="10.33203125" style="1"/>
    <col min="12533" max="12533" width="4.44140625" style="1" customWidth="1"/>
    <col min="12534" max="12534" width="21.6640625" style="1" customWidth="1"/>
    <col min="12535" max="12535" width="15" style="1" customWidth="1"/>
    <col min="12536" max="12536" width="15.44140625" style="1" customWidth="1"/>
    <col min="12537" max="12537" width="11.5546875" style="1" customWidth="1"/>
    <col min="12538" max="12538" width="7.44140625" style="1" customWidth="1"/>
    <col min="12539" max="12539" width="14.109375" style="1" customWidth="1"/>
    <col min="12540" max="12540" width="10.6640625" style="1" customWidth="1"/>
    <col min="12541" max="12541" width="13.44140625" style="1" customWidth="1"/>
    <col min="12542" max="12542" width="11.44140625" style="1" customWidth="1"/>
    <col min="12543" max="12543" width="15" style="1" customWidth="1"/>
    <col min="12544" max="12544" width="14.5546875" style="1" customWidth="1"/>
    <col min="12545" max="12545" width="10.33203125" style="1"/>
    <col min="12546" max="12546" width="7.44140625" style="1" customWidth="1"/>
    <col min="12547" max="12547" width="12.88671875" style="1" customWidth="1"/>
    <col min="12548" max="12548" width="11.109375" style="1" customWidth="1"/>
    <col min="12549" max="12549" width="14" style="1" customWidth="1"/>
    <col min="12550" max="12550" width="33" style="1" customWidth="1"/>
    <col min="12551" max="12551" width="6.6640625" style="1" customWidth="1"/>
    <col min="12552" max="12552" width="19" style="1" customWidth="1"/>
    <col min="12553" max="12553" width="19.109375" style="1" customWidth="1"/>
    <col min="12554" max="12554" width="21.33203125" style="1" customWidth="1"/>
    <col min="12555" max="12555" width="32.5546875" style="1" customWidth="1"/>
    <col min="12556" max="12556" width="16.88671875" style="1" customWidth="1"/>
    <col min="12557" max="12557" width="16.33203125" style="1" customWidth="1"/>
    <col min="12558" max="12788" width="10.33203125" style="1"/>
    <col min="12789" max="12789" width="4.44140625" style="1" customWidth="1"/>
    <col min="12790" max="12790" width="21.6640625" style="1" customWidth="1"/>
    <col min="12791" max="12791" width="15" style="1" customWidth="1"/>
    <col min="12792" max="12792" width="15.44140625" style="1" customWidth="1"/>
    <col min="12793" max="12793" width="11.5546875" style="1" customWidth="1"/>
    <col min="12794" max="12794" width="7.44140625" style="1" customWidth="1"/>
    <col min="12795" max="12795" width="14.109375" style="1" customWidth="1"/>
    <col min="12796" max="12796" width="10.6640625" style="1" customWidth="1"/>
    <col min="12797" max="12797" width="13.44140625" style="1" customWidth="1"/>
    <col min="12798" max="12798" width="11.44140625" style="1" customWidth="1"/>
    <col min="12799" max="12799" width="15" style="1" customWidth="1"/>
    <col min="12800" max="12800" width="14.5546875" style="1" customWidth="1"/>
    <col min="12801" max="12801" width="10.33203125" style="1"/>
    <col min="12802" max="12802" width="7.44140625" style="1" customWidth="1"/>
    <col min="12803" max="12803" width="12.88671875" style="1" customWidth="1"/>
    <col min="12804" max="12804" width="11.109375" style="1" customWidth="1"/>
    <col min="12805" max="12805" width="14" style="1" customWidth="1"/>
    <col min="12806" max="12806" width="33" style="1" customWidth="1"/>
    <col min="12807" max="12807" width="6.6640625" style="1" customWidth="1"/>
    <col min="12808" max="12808" width="19" style="1" customWidth="1"/>
    <col min="12809" max="12809" width="19.109375" style="1" customWidth="1"/>
    <col min="12810" max="12810" width="21.33203125" style="1" customWidth="1"/>
    <col min="12811" max="12811" width="32.5546875" style="1" customWidth="1"/>
    <col min="12812" max="12812" width="16.88671875" style="1" customWidth="1"/>
    <col min="12813" max="12813" width="16.33203125" style="1" customWidth="1"/>
    <col min="12814" max="13044" width="10.33203125" style="1"/>
    <col min="13045" max="13045" width="4.44140625" style="1" customWidth="1"/>
    <col min="13046" max="13046" width="21.6640625" style="1" customWidth="1"/>
    <col min="13047" max="13047" width="15" style="1" customWidth="1"/>
    <col min="13048" max="13048" width="15.44140625" style="1" customWidth="1"/>
    <col min="13049" max="13049" width="11.5546875" style="1" customWidth="1"/>
    <col min="13050" max="13050" width="7.44140625" style="1" customWidth="1"/>
    <col min="13051" max="13051" width="14.109375" style="1" customWidth="1"/>
    <col min="13052" max="13052" width="10.6640625" style="1" customWidth="1"/>
    <col min="13053" max="13053" width="13.44140625" style="1" customWidth="1"/>
    <col min="13054" max="13054" width="11.44140625" style="1" customWidth="1"/>
    <col min="13055" max="13055" width="15" style="1" customWidth="1"/>
    <col min="13056" max="13056" width="14.5546875" style="1" customWidth="1"/>
    <col min="13057" max="13057" width="10.33203125" style="1"/>
    <col min="13058" max="13058" width="7.44140625" style="1" customWidth="1"/>
    <col min="13059" max="13059" width="12.88671875" style="1" customWidth="1"/>
    <col min="13060" max="13060" width="11.109375" style="1" customWidth="1"/>
    <col min="13061" max="13061" width="14" style="1" customWidth="1"/>
    <col min="13062" max="13062" width="33" style="1" customWidth="1"/>
    <col min="13063" max="13063" width="6.6640625" style="1" customWidth="1"/>
    <col min="13064" max="13064" width="19" style="1" customWidth="1"/>
    <col min="13065" max="13065" width="19.109375" style="1" customWidth="1"/>
    <col min="13066" max="13066" width="21.33203125" style="1" customWidth="1"/>
    <col min="13067" max="13067" width="32.5546875" style="1" customWidth="1"/>
    <col min="13068" max="13068" width="16.88671875" style="1" customWidth="1"/>
    <col min="13069" max="13069" width="16.33203125" style="1" customWidth="1"/>
    <col min="13070" max="13300" width="10.33203125" style="1"/>
    <col min="13301" max="13301" width="4.44140625" style="1" customWidth="1"/>
    <col min="13302" max="13302" width="21.6640625" style="1" customWidth="1"/>
    <col min="13303" max="13303" width="15" style="1" customWidth="1"/>
    <col min="13304" max="13304" width="15.44140625" style="1" customWidth="1"/>
    <col min="13305" max="13305" width="11.5546875" style="1" customWidth="1"/>
    <col min="13306" max="13306" width="7.44140625" style="1" customWidth="1"/>
    <col min="13307" max="13307" width="14.109375" style="1" customWidth="1"/>
    <col min="13308" max="13308" width="10.6640625" style="1" customWidth="1"/>
    <col min="13309" max="13309" width="13.44140625" style="1" customWidth="1"/>
    <col min="13310" max="13310" width="11.44140625" style="1" customWidth="1"/>
    <col min="13311" max="13311" width="15" style="1" customWidth="1"/>
    <col min="13312" max="13312" width="14.5546875" style="1" customWidth="1"/>
    <col min="13313" max="13313" width="10.33203125" style="1"/>
    <col min="13314" max="13314" width="7.44140625" style="1" customWidth="1"/>
    <col min="13315" max="13315" width="12.88671875" style="1" customWidth="1"/>
    <col min="13316" max="13316" width="11.109375" style="1" customWidth="1"/>
    <col min="13317" max="13317" width="14" style="1" customWidth="1"/>
    <col min="13318" max="13318" width="33" style="1" customWidth="1"/>
    <col min="13319" max="13319" width="6.6640625" style="1" customWidth="1"/>
    <col min="13320" max="13320" width="19" style="1" customWidth="1"/>
    <col min="13321" max="13321" width="19.109375" style="1" customWidth="1"/>
    <col min="13322" max="13322" width="21.33203125" style="1" customWidth="1"/>
    <col min="13323" max="13323" width="32.5546875" style="1" customWidth="1"/>
    <col min="13324" max="13324" width="16.88671875" style="1" customWidth="1"/>
    <col min="13325" max="13325" width="16.33203125" style="1" customWidth="1"/>
    <col min="13326" max="13556" width="10.33203125" style="1"/>
    <col min="13557" max="13557" width="4.44140625" style="1" customWidth="1"/>
    <col min="13558" max="13558" width="21.6640625" style="1" customWidth="1"/>
    <col min="13559" max="13559" width="15" style="1" customWidth="1"/>
    <col min="13560" max="13560" width="15.44140625" style="1" customWidth="1"/>
    <col min="13561" max="13561" width="11.5546875" style="1" customWidth="1"/>
    <col min="13562" max="13562" width="7.44140625" style="1" customWidth="1"/>
    <col min="13563" max="13563" width="14.109375" style="1" customWidth="1"/>
    <col min="13564" max="13564" width="10.6640625" style="1" customWidth="1"/>
    <col min="13565" max="13565" width="13.44140625" style="1" customWidth="1"/>
    <col min="13566" max="13566" width="11.44140625" style="1" customWidth="1"/>
    <col min="13567" max="13567" width="15" style="1" customWidth="1"/>
    <col min="13568" max="13568" width="14.5546875" style="1" customWidth="1"/>
    <col min="13569" max="13569" width="10.33203125" style="1"/>
    <col min="13570" max="13570" width="7.44140625" style="1" customWidth="1"/>
    <col min="13571" max="13571" width="12.88671875" style="1" customWidth="1"/>
    <col min="13572" max="13572" width="11.109375" style="1" customWidth="1"/>
    <col min="13573" max="13573" width="14" style="1" customWidth="1"/>
    <col min="13574" max="13574" width="33" style="1" customWidth="1"/>
    <col min="13575" max="13575" width="6.6640625" style="1" customWidth="1"/>
    <col min="13576" max="13576" width="19" style="1" customWidth="1"/>
    <col min="13577" max="13577" width="19.109375" style="1" customWidth="1"/>
    <col min="13578" max="13578" width="21.33203125" style="1" customWidth="1"/>
    <col min="13579" max="13579" width="32.5546875" style="1" customWidth="1"/>
    <col min="13580" max="13580" width="16.88671875" style="1" customWidth="1"/>
    <col min="13581" max="13581" width="16.33203125" style="1" customWidth="1"/>
    <col min="13582" max="13812" width="10.33203125" style="1"/>
    <col min="13813" max="13813" width="4.44140625" style="1" customWidth="1"/>
    <col min="13814" max="13814" width="21.6640625" style="1" customWidth="1"/>
    <col min="13815" max="13815" width="15" style="1" customWidth="1"/>
    <col min="13816" max="13816" width="15.44140625" style="1" customWidth="1"/>
    <col min="13817" max="13817" width="11.5546875" style="1" customWidth="1"/>
    <col min="13818" max="13818" width="7.44140625" style="1" customWidth="1"/>
    <col min="13819" max="13819" width="14.109375" style="1" customWidth="1"/>
    <col min="13820" max="13820" width="10.6640625" style="1" customWidth="1"/>
    <col min="13821" max="13821" width="13.44140625" style="1" customWidth="1"/>
    <col min="13822" max="13822" width="11.44140625" style="1" customWidth="1"/>
    <col min="13823" max="13823" width="15" style="1" customWidth="1"/>
    <col min="13824" max="13824" width="14.5546875" style="1" customWidth="1"/>
    <col min="13825" max="13825" width="10.33203125" style="1"/>
    <col min="13826" max="13826" width="7.44140625" style="1" customWidth="1"/>
    <col min="13827" max="13827" width="12.88671875" style="1" customWidth="1"/>
    <col min="13828" max="13828" width="11.109375" style="1" customWidth="1"/>
    <col min="13829" max="13829" width="14" style="1" customWidth="1"/>
    <col min="13830" max="13830" width="33" style="1" customWidth="1"/>
    <col min="13831" max="13831" width="6.6640625" style="1" customWidth="1"/>
    <col min="13832" max="13832" width="19" style="1" customWidth="1"/>
    <col min="13833" max="13833" width="19.109375" style="1" customWidth="1"/>
    <col min="13834" max="13834" width="21.33203125" style="1" customWidth="1"/>
    <col min="13835" max="13835" width="32.5546875" style="1" customWidth="1"/>
    <col min="13836" max="13836" width="16.88671875" style="1" customWidth="1"/>
    <col min="13837" max="13837" width="16.33203125" style="1" customWidth="1"/>
    <col min="13838" max="14068" width="10.33203125" style="1"/>
    <col min="14069" max="14069" width="4.44140625" style="1" customWidth="1"/>
    <col min="14070" max="14070" width="21.6640625" style="1" customWidth="1"/>
    <col min="14071" max="14071" width="15" style="1" customWidth="1"/>
    <col min="14072" max="14072" width="15.44140625" style="1" customWidth="1"/>
    <col min="14073" max="14073" width="11.5546875" style="1" customWidth="1"/>
    <col min="14074" max="14074" width="7.44140625" style="1" customWidth="1"/>
    <col min="14075" max="14075" width="14.109375" style="1" customWidth="1"/>
    <col min="14076" max="14076" width="10.6640625" style="1" customWidth="1"/>
    <col min="14077" max="14077" width="13.44140625" style="1" customWidth="1"/>
    <col min="14078" max="14078" width="11.44140625" style="1" customWidth="1"/>
    <col min="14079" max="14079" width="15" style="1" customWidth="1"/>
    <col min="14080" max="14080" width="14.5546875" style="1" customWidth="1"/>
    <col min="14081" max="14081" width="10.33203125" style="1"/>
    <col min="14082" max="14082" width="7.44140625" style="1" customWidth="1"/>
    <col min="14083" max="14083" width="12.88671875" style="1" customWidth="1"/>
    <col min="14084" max="14084" width="11.109375" style="1" customWidth="1"/>
    <col min="14085" max="14085" width="14" style="1" customWidth="1"/>
    <col min="14086" max="14086" width="33" style="1" customWidth="1"/>
    <col min="14087" max="14087" width="6.6640625" style="1" customWidth="1"/>
    <col min="14088" max="14088" width="19" style="1" customWidth="1"/>
    <col min="14089" max="14089" width="19.109375" style="1" customWidth="1"/>
    <col min="14090" max="14090" width="21.33203125" style="1" customWidth="1"/>
    <col min="14091" max="14091" width="32.5546875" style="1" customWidth="1"/>
    <col min="14092" max="14092" width="16.88671875" style="1" customWidth="1"/>
    <col min="14093" max="14093" width="16.33203125" style="1" customWidth="1"/>
    <col min="14094" max="14324" width="10.33203125" style="1"/>
    <col min="14325" max="14325" width="4.44140625" style="1" customWidth="1"/>
    <col min="14326" max="14326" width="21.6640625" style="1" customWidth="1"/>
    <col min="14327" max="14327" width="15" style="1" customWidth="1"/>
    <col min="14328" max="14328" width="15.44140625" style="1" customWidth="1"/>
    <col min="14329" max="14329" width="11.5546875" style="1" customWidth="1"/>
    <col min="14330" max="14330" width="7.44140625" style="1" customWidth="1"/>
    <col min="14331" max="14331" width="14.109375" style="1" customWidth="1"/>
    <col min="14332" max="14332" width="10.6640625" style="1" customWidth="1"/>
    <col min="14333" max="14333" width="13.44140625" style="1" customWidth="1"/>
    <col min="14334" max="14334" width="11.44140625" style="1" customWidth="1"/>
    <col min="14335" max="14335" width="15" style="1" customWidth="1"/>
    <col min="14336" max="14336" width="14.5546875" style="1" customWidth="1"/>
    <col min="14337" max="14337" width="10.33203125" style="1"/>
    <col min="14338" max="14338" width="7.44140625" style="1" customWidth="1"/>
    <col min="14339" max="14339" width="12.88671875" style="1" customWidth="1"/>
    <col min="14340" max="14340" width="11.109375" style="1" customWidth="1"/>
    <col min="14341" max="14341" width="14" style="1" customWidth="1"/>
    <col min="14342" max="14342" width="33" style="1" customWidth="1"/>
    <col min="14343" max="14343" width="6.6640625" style="1" customWidth="1"/>
    <col min="14344" max="14344" width="19" style="1" customWidth="1"/>
    <col min="14345" max="14345" width="19.109375" style="1" customWidth="1"/>
    <col min="14346" max="14346" width="21.33203125" style="1" customWidth="1"/>
    <col min="14347" max="14347" width="32.5546875" style="1" customWidth="1"/>
    <col min="14348" max="14348" width="16.88671875" style="1" customWidth="1"/>
    <col min="14349" max="14349" width="16.33203125" style="1" customWidth="1"/>
    <col min="14350" max="14580" width="10.33203125" style="1"/>
    <col min="14581" max="14581" width="4.44140625" style="1" customWidth="1"/>
    <col min="14582" max="14582" width="21.6640625" style="1" customWidth="1"/>
    <col min="14583" max="14583" width="15" style="1" customWidth="1"/>
    <col min="14584" max="14584" width="15.44140625" style="1" customWidth="1"/>
    <col min="14585" max="14585" width="11.5546875" style="1" customWidth="1"/>
    <col min="14586" max="14586" width="7.44140625" style="1" customWidth="1"/>
    <col min="14587" max="14587" width="14.109375" style="1" customWidth="1"/>
    <col min="14588" max="14588" width="10.6640625" style="1" customWidth="1"/>
    <col min="14589" max="14589" width="13.44140625" style="1" customWidth="1"/>
    <col min="14590" max="14590" width="11.44140625" style="1" customWidth="1"/>
    <col min="14591" max="14591" width="15" style="1" customWidth="1"/>
    <col min="14592" max="14592" width="14.5546875" style="1" customWidth="1"/>
    <col min="14593" max="14593" width="10.33203125" style="1"/>
    <col min="14594" max="14594" width="7.44140625" style="1" customWidth="1"/>
    <col min="14595" max="14595" width="12.88671875" style="1" customWidth="1"/>
    <col min="14596" max="14596" width="11.109375" style="1" customWidth="1"/>
    <col min="14597" max="14597" width="14" style="1" customWidth="1"/>
    <col min="14598" max="14598" width="33" style="1" customWidth="1"/>
    <col min="14599" max="14599" width="6.6640625" style="1" customWidth="1"/>
    <col min="14600" max="14600" width="19" style="1" customWidth="1"/>
    <col min="14601" max="14601" width="19.109375" style="1" customWidth="1"/>
    <col min="14602" max="14602" width="21.33203125" style="1" customWidth="1"/>
    <col min="14603" max="14603" width="32.5546875" style="1" customWidth="1"/>
    <col min="14604" max="14604" width="16.88671875" style="1" customWidth="1"/>
    <col min="14605" max="14605" width="16.33203125" style="1" customWidth="1"/>
    <col min="14606" max="14836" width="10.33203125" style="1"/>
    <col min="14837" max="14837" width="4.44140625" style="1" customWidth="1"/>
    <col min="14838" max="14838" width="21.6640625" style="1" customWidth="1"/>
    <col min="14839" max="14839" width="15" style="1" customWidth="1"/>
    <col min="14840" max="14840" width="15.44140625" style="1" customWidth="1"/>
    <col min="14841" max="14841" width="11.5546875" style="1" customWidth="1"/>
    <col min="14842" max="14842" width="7.44140625" style="1" customWidth="1"/>
    <col min="14843" max="14843" width="14.109375" style="1" customWidth="1"/>
    <col min="14844" max="14844" width="10.6640625" style="1" customWidth="1"/>
    <col min="14845" max="14845" width="13.44140625" style="1" customWidth="1"/>
    <col min="14846" max="14846" width="11.44140625" style="1" customWidth="1"/>
    <col min="14847" max="14847" width="15" style="1" customWidth="1"/>
    <col min="14848" max="14848" width="14.5546875" style="1" customWidth="1"/>
    <col min="14849" max="14849" width="10.33203125" style="1"/>
    <col min="14850" max="14850" width="7.44140625" style="1" customWidth="1"/>
    <col min="14851" max="14851" width="12.88671875" style="1" customWidth="1"/>
    <col min="14852" max="14852" width="11.109375" style="1" customWidth="1"/>
    <col min="14853" max="14853" width="14" style="1" customWidth="1"/>
    <col min="14854" max="14854" width="33" style="1" customWidth="1"/>
    <col min="14855" max="14855" width="6.6640625" style="1" customWidth="1"/>
    <col min="14856" max="14856" width="19" style="1" customWidth="1"/>
    <col min="14857" max="14857" width="19.109375" style="1" customWidth="1"/>
    <col min="14858" max="14858" width="21.33203125" style="1" customWidth="1"/>
    <col min="14859" max="14859" width="32.5546875" style="1" customWidth="1"/>
    <col min="14860" max="14860" width="16.88671875" style="1" customWidth="1"/>
    <col min="14861" max="14861" width="16.33203125" style="1" customWidth="1"/>
    <col min="14862" max="15092" width="10.33203125" style="1"/>
    <col min="15093" max="15093" width="4.44140625" style="1" customWidth="1"/>
    <col min="15094" max="15094" width="21.6640625" style="1" customWidth="1"/>
    <col min="15095" max="15095" width="15" style="1" customWidth="1"/>
    <col min="15096" max="15096" width="15.44140625" style="1" customWidth="1"/>
    <col min="15097" max="15097" width="11.5546875" style="1" customWidth="1"/>
    <col min="15098" max="15098" width="7.44140625" style="1" customWidth="1"/>
    <col min="15099" max="15099" width="14.109375" style="1" customWidth="1"/>
    <col min="15100" max="15100" width="10.6640625" style="1" customWidth="1"/>
    <col min="15101" max="15101" width="13.44140625" style="1" customWidth="1"/>
    <col min="15102" max="15102" width="11.44140625" style="1" customWidth="1"/>
    <col min="15103" max="15103" width="15" style="1" customWidth="1"/>
    <col min="15104" max="15104" width="14.5546875" style="1" customWidth="1"/>
    <col min="15105" max="15105" width="10.33203125" style="1"/>
    <col min="15106" max="15106" width="7.44140625" style="1" customWidth="1"/>
    <col min="15107" max="15107" width="12.88671875" style="1" customWidth="1"/>
    <col min="15108" max="15108" width="11.109375" style="1" customWidth="1"/>
    <col min="15109" max="15109" width="14" style="1" customWidth="1"/>
    <col min="15110" max="15110" width="33" style="1" customWidth="1"/>
    <col min="15111" max="15111" width="6.6640625" style="1" customWidth="1"/>
    <col min="15112" max="15112" width="19" style="1" customWidth="1"/>
    <col min="15113" max="15113" width="19.109375" style="1" customWidth="1"/>
    <col min="15114" max="15114" width="21.33203125" style="1" customWidth="1"/>
    <col min="15115" max="15115" width="32.5546875" style="1" customWidth="1"/>
    <col min="15116" max="15116" width="16.88671875" style="1" customWidth="1"/>
    <col min="15117" max="15117" width="16.33203125" style="1" customWidth="1"/>
    <col min="15118" max="15348" width="10.33203125" style="1"/>
    <col min="15349" max="15349" width="4.44140625" style="1" customWidth="1"/>
    <col min="15350" max="15350" width="21.6640625" style="1" customWidth="1"/>
    <col min="15351" max="15351" width="15" style="1" customWidth="1"/>
    <col min="15352" max="15352" width="15.44140625" style="1" customWidth="1"/>
    <col min="15353" max="15353" width="11.5546875" style="1" customWidth="1"/>
    <col min="15354" max="15354" width="7.44140625" style="1" customWidth="1"/>
    <col min="15355" max="15355" width="14.109375" style="1" customWidth="1"/>
    <col min="15356" max="15356" width="10.6640625" style="1" customWidth="1"/>
    <col min="15357" max="15357" width="13.44140625" style="1" customWidth="1"/>
    <col min="15358" max="15358" width="11.44140625" style="1" customWidth="1"/>
    <col min="15359" max="15359" width="15" style="1" customWidth="1"/>
    <col min="15360" max="15360" width="14.5546875" style="1" customWidth="1"/>
    <col min="15361" max="15361" width="10.33203125" style="1"/>
    <col min="15362" max="15362" width="7.44140625" style="1" customWidth="1"/>
    <col min="15363" max="15363" width="12.88671875" style="1" customWidth="1"/>
    <col min="15364" max="15364" width="11.109375" style="1" customWidth="1"/>
    <col min="15365" max="15365" width="14" style="1" customWidth="1"/>
    <col min="15366" max="15366" width="33" style="1" customWidth="1"/>
    <col min="15367" max="15367" width="6.6640625" style="1" customWidth="1"/>
    <col min="15368" max="15368" width="19" style="1" customWidth="1"/>
    <col min="15369" max="15369" width="19.109375" style="1" customWidth="1"/>
    <col min="15370" max="15370" width="21.33203125" style="1" customWidth="1"/>
    <col min="15371" max="15371" width="32.5546875" style="1" customWidth="1"/>
    <col min="15372" max="15372" width="16.88671875" style="1" customWidth="1"/>
    <col min="15373" max="15373" width="16.33203125" style="1" customWidth="1"/>
    <col min="15374" max="15604" width="10.33203125" style="1"/>
    <col min="15605" max="15605" width="4.44140625" style="1" customWidth="1"/>
    <col min="15606" max="15606" width="21.6640625" style="1" customWidth="1"/>
    <col min="15607" max="15607" width="15" style="1" customWidth="1"/>
    <col min="15608" max="15608" width="15.44140625" style="1" customWidth="1"/>
    <col min="15609" max="15609" width="11.5546875" style="1" customWidth="1"/>
    <col min="15610" max="15610" width="7.44140625" style="1" customWidth="1"/>
    <col min="15611" max="15611" width="14.109375" style="1" customWidth="1"/>
    <col min="15612" max="15612" width="10.6640625" style="1" customWidth="1"/>
    <col min="15613" max="15613" width="13.44140625" style="1" customWidth="1"/>
    <col min="15614" max="15614" width="11.44140625" style="1" customWidth="1"/>
    <col min="15615" max="15615" width="15" style="1" customWidth="1"/>
    <col min="15616" max="15616" width="14.5546875" style="1" customWidth="1"/>
    <col min="15617" max="15617" width="10.33203125" style="1"/>
    <col min="15618" max="15618" width="7.44140625" style="1" customWidth="1"/>
    <col min="15619" max="15619" width="12.88671875" style="1" customWidth="1"/>
    <col min="15620" max="15620" width="11.109375" style="1" customWidth="1"/>
    <col min="15621" max="15621" width="14" style="1" customWidth="1"/>
    <col min="15622" max="15622" width="33" style="1" customWidth="1"/>
    <col min="15623" max="15623" width="6.6640625" style="1" customWidth="1"/>
    <col min="15624" max="15624" width="19" style="1" customWidth="1"/>
    <col min="15625" max="15625" width="19.109375" style="1" customWidth="1"/>
    <col min="15626" max="15626" width="21.33203125" style="1" customWidth="1"/>
    <col min="15627" max="15627" width="32.5546875" style="1" customWidth="1"/>
    <col min="15628" max="15628" width="16.88671875" style="1" customWidth="1"/>
    <col min="15629" max="15629" width="16.33203125" style="1" customWidth="1"/>
    <col min="15630" max="15860" width="10.33203125" style="1"/>
    <col min="15861" max="15861" width="4.44140625" style="1" customWidth="1"/>
    <col min="15862" max="15862" width="21.6640625" style="1" customWidth="1"/>
    <col min="15863" max="15863" width="15" style="1" customWidth="1"/>
    <col min="15864" max="15864" width="15.44140625" style="1" customWidth="1"/>
    <col min="15865" max="15865" width="11.5546875" style="1" customWidth="1"/>
    <col min="15866" max="15866" width="7.44140625" style="1" customWidth="1"/>
    <col min="15867" max="15867" width="14.109375" style="1" customWidth="1"/>
    <col min="15868" max="15868" width="10.6640625" style="1" customWidth="1"/>
    <col min="15869" max="15869" width="13.44140625" style="1" customWidth="1"/>
    <col min="15870" max="15870" width="11.44140625" style="1" customWidth="1"/>
    <col min="15871" max="15871" width="15" style="1" customWidth="1"/>
    <col min="15872" max="15872" width="14.5546875" style="1" customWidth="1"/>
    <col min="15873" max="15873" width="10.33203125" style="1"/>
    <col min="15874" max="15874" width="7.44140625" style="1" customWidth="1"/>
    <col min="15875" max="15875" width="12.88671875" style="1" customWidth="1"/>
    <col min="15876" max="15876" width="11.109375" style="1" customWidth="1"/>
    <col min="15877" max="15877" width="14" style="1" customWidth="1"/>
    <col min="15878" max="15878" width="33" style="1" customWidth="1"/>
    <col min="15879" max="15879" width="6.6640625" style="1" customWidth="1"/>
    <col min="15880" max="15880" width="19" style="1" customWidth="1"/>
    <col min="15881" max="15881" width="19.109375" style="1" customWidth="1"/>
    <col min="15882" max="15882" width="21.33203125" style="1" customWidth="1"/>
    <col min="15883" max="15883" width="32.5546875" style="1" customWidth="1"/>
    <col min="15884" max="15884" width="16.88671875" style="1" customWidth="1"/>
    <col min="15885" max="15885" width="16.33203125" style="1" customWidth="1"/>
    <col min="15886" max="16116" width="10.33203125" style="1"/>
    <col min="16117" max="16117" width="4.44140625" style="1" customWidth="1"/>
    <col min="16118" max="16118" width="21.6640625" style="1" customWidth="1"/>
    <col min="16119" max="16119" width="15" style="1" customWidth="1"/>
    <col min="16120" max="16120" width="15.44140625" style="1" customWidth="1"/>
    <col min="16121" max="16121" width="11.5546875" style="1" customWidth="1"/>
    <col min="16122" max="16122" width="7.44140625" style="1" customWidth="1"/>
    <col min="16123" max="16123" width="14.109375" style="1" customWidth="1"/>
    <col min="16124" max="16124" width="10.6640625" style="1" customWidth="1"/>
    <col min="16125" max="16125" width="13.44140625" style="1" customWidth="1"/>
    <col min="16126" max="16126" width="11.44140625" style="1" customWidth="1"/>
    <col min="16127" max="16127" width="15" style="1" customWidth="1"/>
    <col min="16128" max="16128" width="14.5546875" style="1" customWidth="1"/>
    <col min="16129" max="16129" width="10.33203125" style="1"/>
    <col min="16130" max="16130" width="7.44140625" style="1" customWidth="1"/>
    <col min="16131" max="16131" width="12.88671875" style="1" customWidth="1"/>
    <col min="16132" max="16132" width="11.109375" style="1" customWidth="1"/>
    <col min="16133" max="16133" width="14" style="1" customWidth="1"/>
    <col min="16134" max="16134" width="33" style="1" customWidth="1"/>
    <col min="16135" max="16135" width="6.6640625" style="1" customWidth="1"/>
    <col min="16136" max="16136" width="19" style="1" customWidth="1"/>
    <col min="16137" max="16137" width="19.109375" style="1" customWidth="1"/>
    <col min="16138" max="16138" width="21.33203125" style="1" customWidth="1"/>
    <col min="16139" max="16139" width="32.5546875" style="1" customWidth="1"/>
    <col min="16140" max="16140" width="16.88671875" style="1" customWidth="1"/>
    <col min="16141" max="16141" width="16.33203125" style="1" customWidth="1"/>
    <col min="16142" max="16384" width="10.33203125" style="1"/>
  </cols>
  <sheetData>
    <row r="1" spans="1:18" ht="24.6">
      <c r="A1" s="726" t="s">
        <v>0</v>
      </c>
      <c r="B1" s="726"/>
      <c r="C1" s="726"/>
      <c r="D1" s="726"/>
      <c r="E1" s="726"/>
      <c r="F1" s="726"/>
    </row>
    <row r="2" spans="1:18" ht="24.6">
      <c r="A2" s="726" t="s">
        <v>1</v>
      </c>
      <c r="B2" s="726"/>
      <c r="C2" s="726"/>
      <c r="D2" s="726"/>
      <c r="E2" s="726"/>
      <c r="F2" s="726"/>
    </row>
    <row r="3" spans="1:18" ht="24.6">
      <c r="A3" s="727" t="s">
        <v>432</v>
      </c>
      <c r="B3" s="727"/>
      <c r="C3" s="727"/>
      <c r="D3" s="727"/>
      <c r="E3" s="727"/>
      <c r="F3" s="727"/>
    </row>
    <row r="4" spans="1:18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  <c r="H4" s="1" t="s">
        <v>11</v>
      </c>
      <c r="I4" s="10"/>
      <c r="J4" s="11" t="s">
        <v>12</v>
      </c>
      <c r="K4" s="11" t="s">
        <v>13</v>
      </c>
      <c r="L4" s="12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10</v>
      </c>
    </row>
    <row r="5" spans="1:18" ht="24.6">
      <c r="A5" s="3"/>
      <c r="B5" s="13"/>
      <c r="C5" s="3"/>
      <c r="D5" s="15"/>
      <c r="E5" s="16"/>
      <c r="F5" s="8"/>
      <c r="H5" s="19"/>
      <c r="I5" s="20"/>
      <c r="J5" s="21"/>
      <c r="K5" s="21"/>
      <c r="L5" s="22"/>
      <c r="M5" s="19"/>
      <c r="N5" s="23"/>
      <c r="O5" s="19"/>
      <c r="P5" s="19"/>
      <c r="Q5" s="19"/>
      <c r="R5" s="19"/>
    </row>
    <row r="6" spans="1:18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18" ht="24.6" hidden="1">
      <c r="A7" s="3"/>
      <c r="B7" s="30" t="s">
        <v>30</v>
      </c>
      <c r="C7" s="3"/>
      <c r="D7" s="26"/>
      <c r="E7" s="16"/>
      <c r="F7" s="8"/>
    </row>
    <row r="8" spans="1:18" ht="1.8" customHeight="1" thickBot="1">
      <c r="A8" s="3">
        <v>1</v>
      </c>
      <c r="B8" s="30"/>
      <c r="C8" s="3"/>
      <c r="D8" s="35"/>
      <c r="E8" s="36"/>
      <c r="F8" s="37"/>
    </row>
    <row r="9" spans="1:18" ht="20.399999999999999" hidden="1" customHeight="1" thickBot="1">
      <c r="A9" s="3"/>
      <c r="B9" s="3" t="s">
        <v>26</v>
      </c>
      <c r="C9" s="3"/>
      <c r="D9" s="42"/>
      <c r="E9" s="43"/>
      <c r="F9" s="44"/>
    </row>
    <row r="10" spans="1:18" ht="25.2" hidden="1" thickTop="1">
      <c r="A10" s="29"/>
      <c r="B10" s="45" t="s">
        <v>37</v>
      </c>
      <c r="C10" s="29"/>
      <c r="D10" s="47"/>
      <c r="E10" s="48"/>
      <c r="F10" s="58"/>
    </row>
    <row r="11" spans="1:18" ht="25.8" hidden="1" thickTop="1" thickBot="1">
      <c r="A11" s="25">
        <v>1</v>
      </c>
      <c r="B11" s="25"/>
      <c r="C11" s="29"/>
      <c r="D11" s="75"/>
      <c r="E11" s="76"/>
      <c r="F11" s="77"/>
    </row>
    <row r="12" spans="1:18" ht="25.8" hidden="1" thickTop="1" thickBot="1">
      <c r="A12" s="25"/>
      <c r="B12" s="25" t="s">
        <v>26</v>
      </c>
      <c r="C12" s="29"/>
      <c r="D12" s="80"/>
      <c r="E12" s="81"/>
      <c r="F12" s="55"/>
    </row>
    <row r="13" spans="1:18" ht="25.2" hidden="1" thickTop="1">
      <c r="A13" s="25"/>
      <c r="B13" s="45" t="s">
        <v>38</v>
      </c>
      <c r="C13" s="29"/>
      <c r="D13" s="47"/>
      <c r="E13" s="48"/>
      <c r="F13" s="58"/>
    </row>
    <row r="14" spans="1:18" ht="25.8" hidden="1" thickTop="1" thickBot="1">
      <c r="A14" s="25">
        <v>1</v>
      </c>
      <c r="B14" s="25"/>
      <c r="C14" s="29"/>
      <c r="D14" s="75"/>
      <c r="E14" s="76"/>
      <c r="F14" s="77"/>
    </row>
    <row r="15" spans="1:18" ht="25.8" hidden="1" thickTop="1" thickBot="1">
      <c r="A15" s="25"/>
      <c r="B15" s="25" t="s">
        <v>26</v>
      </c>
      <c r="C15" s="29"/>
      <c r="D15" s="65"/>
      <c r="E15" s="66"/>
      <c r="F15" s="67"/>
    </row>
    <row r="16" spans="1:18" ht="25.2" thickTop="1">
      <c r="A16" s="29"/>
      <c r="B16" s="45" t="s">
        <v>39</v>
      </c>
      <c r="C16" s="29"/>
      <c r="D16" s="47"/>
      <c r="E16" s="48"/>
      <c r="F16" s="48"/>
    </row>
    <row r="17" spans="1:8" ht="24.6">
      <c r="A17" s="25">
        <v>1</v>
      </c>
      <c r="B17" s="29" t="s">
        <v>277</v>
      </c>
      <c r="C17" s="29"/>
      <c r="D17" s="137">
        <v>25328</v>
      </c>
      <c r="E17" s="138" t="s">
        <v>433</v>
      </c>
      <c r="F17" s="58">
        <v>535</v>
      </c>
    </row>
    <row r="18" spans="1:8" s="96" customFormat="1" ht="24.6">
      <c r="A18" s="86">
        <v>2</v>
      </c>
      <c r="B18" s="87" t="s">
        <v>44</v>
      </c>
      <c r="C18" s="88"/>
      <c r="D18" s="137">
        <v>25328</v>
      </c>
      <c r="E18" s="138" t="s">
        <v>434</v>
      </c>
      <c r="F18" s="58">
        <v>2100</v>
      </c>
      <c r="H18" s="97"/>
    </row>
    <row r="19" spans="1:8" ht="24.6">
      <c r="A19" s="25">
        <v>3</v>
      </c>
      <c r="B19" s="29" t="s">
        <v>46</v>
      </c>
      <c r="C19" s="29"/>
      <c r="D19" s="26">
        <v>25349</v>
      </c>
      <c r="E19" s="117" t="s">
        <v>435</v>
      </c>
      <c r="F19" s="118">
        <v>535</v>
      </c>
    </row>
    <row r="20" spans="1:8" ht="25.2" thickBot="1">
      <c r="A20" s="29"/>
      <c r="B20" s="25" t="s">
        <v>26</v>
      </c>
      <c r="C20" s="29"/>
      <c r="D20" s="67"/>
      <c r="E20" s="67"/>
      <c r="F20" s="104">
        <f>SUM(F17:F19)</f>
        <v>3170</v>
      </c>
    </row>
    <row r="21" spans="1:8" ht="25.2" hidden="1" thickTop="1">
      <c r="A21" s="29"/>
      <c r="B21" s="45" t="s">
        <v>49</v>
      </c>
      <c r="C21" s="29"/>
      <c r="D21" s="47"/>
      <c r="E21" s="48"/>
      <c r="F21" s="58"/>
    </row>
    <row r="22" spans="1:8" ht="16.5" hidden="1" customHeight="1" thickTop="1">
      <c r="A22" s="25">
        <v>1</v>
      </c>
      <c r="B22" s="25"/>
      <c r="C22" s="29"/>
      <c r="D22" s="75"/>
      <c r="E22" s="76"/>
      <c r="F22" s="77"/>
    </row>
    <row r="23" spans="1:8" ht="25.8" hidden="1" thickTop="1" thickBot="1">
      <c r="A23" s="25"/>
      <c r="B23" s="25" t="s">
        <v>26</v>
      </c>
      <c r="C23" s="29"/>
      <c r="D23" s="80"/>
      <c r="E23" s="81"/>
      <c r="F23" s="55"/>
    </row>
    <row r="24" spans="1:8" ht="25.2" hidden="1" thickTop="1">
      <c r="A24" s="25"/>
      <c r="B24" s="45" t="s">
        <v>50</v>
      </c>
      <c r="C24" s="29"/>
      <c r="D24" s="47"/>
      <c r="E24" s="48"/>
      <c r="F24" s="58"/>
    </row>
    <row r="25" spans="1:8" ht="25.8" hidden="1" thickTop="1" thickBot="1">
      <c r="A25" s="25"/>
      <c r="B25" s="25"/>
      <c r="C25" s="29"/>
      <c r="D25" s="75"/>
      <c r="E25" s="76"/>
      <c r="F25" s="77"/>
    </row>
    <row r="26" spans="1:8" ht="25.2" hidden="1" thickTop="1">
      <c r="A26" s="25"/>
      <c r="B26" s="25" t="s">
        <v>26</v>
      </c>
      <c r="C26" s="29"/>
      <c r="D26" s="112"/>
      <c r="E26" s="113"/>
      <c r="F26" s="114"/>
    </row>
    <row r="27" spans="1:8" ht="25.2" hidden="1" thickTop="1">
      <c r="A27" s="25"/>
      <c r="B27" s="45" t="s">
        <v>51</v>
      </c>
      <c r="C27" s="29"/>
      <c r="D27" s="60"/>
      <c r="E27" s="61"/>
      <c r="F27" s="62"/>
    </row>
    <row r="28" spans="1:8" ht="25.8" hidden="1" thickTop="1" thickBot="1">
      <c r="A28" s="25">
        <v>1</v>
      </c>
      <c r="B28" s="25"/>
      <c r="C28" s="29"/>
      <c r="D28" s="75"/>
      <c r="E28" s="76"/>
      <c r="F28" s="77"/>
    </row>
    <row r="29" spans="1:8" ht="25.8" hidden="1" thickTop="1" thickBot="1">
      <c r="A29" s="25"/>
      <c r="B29" s="25" t="s">
        <v>26</v>
      </c>
      <c r="C29" s="29"/>
      <c r="D29" s="65"/>
      <c r="E29" s="66"/>
      <c r="F29" s="67"/>
    </row>
    <row r="30" spans="1:8" ht="25.2" thickTop="1">
      <c r="A30" s="29"/>
      <c r="B30" s="45" t="s">
        <v>52</v>
      </c>
      <c r="C30" s="29"/>
      <c r="D30" s="47"/>
      <c r="E30" s="48"/>
      <c r="F30" s="58"/>
    </row>
    <row r="31" spans="1:8" ht="24.6">
      <c r="A31" s="25">
        <v>1</v>
      </c>
      <c r="B31" s="29" t="s">
        <v>65</v>
      </c>
      <c r="C31" s="25">
        <v>267</v>
      </c>
      <c r="D31" s="153">
        <v>25330</v>
      </c>
      <c r="E31" s="700" t="s">
        <v>436</v>
      </c>
      <c r="F31" s="702">
        <v>1215</v>
      </c>
    </row>
    <row r="32" spans="1:8" ht="24.6">
      <c r="A32" s="25">
        <v>2</v>
      </c>
      <c r="B32" s="29" t="s">
        <v>70</v>
      </c>
      <c r="C32" s="25" t="s">
        <v>71</v>
      </c>
      <c r="D32" s="153">
        <v>25330</v>
      </c>
      <c r="E32" s="700" t="s">
        <v>437</v>
      </c>
      <c r="F32" s="702">
        <v>2430</v>
      </c>
    </row>
    <row r="33" spans="1:6" ht="24.6">
      <c r="A33" s="25">
        <v>3</v>
      </c>
      <c r="B33" s="29" t="s">
        <v>78</v>
      </c>
      <c r="C33" s="25" t="s">
        <v>79</v>
      </c>
      <c r="D33" s="153">
        <v>25328</v>
      </c>
      <c r="E33" s="700" t="s">
        <v>438</v>
      </c>
      <c r="F33" s="702">
        <v>2430</v>
      </c>
    </row>
    <row r="34" spans="1:6" ht="24.6">
      <c r="A34" s="25">
        <v>4</v>
      </c>
      <c r="B34" s="29" t="s">
        <v>83</v>
      </c>
      <c r="C34" s="25">
        <v>277</v>
      </c>
      <c r="D34" s="153">
        <v>25341</v>
      </c>
      <c r="E34" s="700" t="s">
        <v>439</v>
      </c>
      <c r="F34" s="702">
        <v>1215</v>
      </c>
    </row>
    <row r="35" spans="1:6" ht="24.6">
      <c r="A35" s="25">
        <v>5</v>
      </c>
      <c r="B35" s="29" t="s">
        <v>105</v>
      </c>
      <c r="C35" s="29"/>
      <c r="D35" s="153">
        <v>25341</v>
      </c>
      <c r="E35" s="700" t="s">
        <v>440</v>
      </c>
      <c r="F35" s="702">
        <v>5000</v>
      </c>
    </row>
    <row r="36" spans="1:6" ht="24.6">
      <c r="A36" s="25">
        <v>6</v>
      </c>
      <c r="B36" s="29" t="s">
        <v>105</v>
      </c>
      <c r="C36" s="29"/>
      <c r="D36" s="153">
        <v>25341</v>
      </c>
      <c r="E36" s="700" t="s">
        <v>442</v>
      </c>
      <c r="F36" s="702">
        <v>4650</v>
      </c>
    </row>
    <row r="37" spans="1:6" ht="24.6">
      <c r="A37" s="25">
        <v>7</v>
      </c>
      <c r="B37" s="29" t="s">
        <v>109</v>
      </c>
      <c r="C37" s="53"/>
      <c r="D37" s="153">
        <v>25328</v>
      </c>
      <c r="E37" s="700" t="s">
        <v>443</v>
      </c>
      <c r="F37" s="702">
        <v>3450</v>
      </c>
    </row>
    <row r="38" spans="1:6" ht="24.6">
      <c r="A38" s="25">
        <v>8</v>
      </c>
      <c r="B38" s="29" t="s">
        <v>112</v>
      </c>
      <c r="C38" s="29"/>
      <c r="D38" s="153">
        <v>25328</v>
      </c>
      <c r="E38" s="700" t="s">
        <v>444</v>
      </c>
      <c r="F38" s="702">
        <v>3795</v>
      </c>
    </row>
    <row r="39" spans="1:6" ht="25.5" customHeight="1">
      <c r="A39" s="25">
        <v>9</v>
      </c>
      <c r="B39" s="132" t="s">
        <v>115</v>
      </c>
      <c r="C39" s="132"/>
      <c r="D39" s="153">
        <v>25328</v>
      </c>
      <c r="E39" s="700" t="s">
        <v>445</v>
      </c>
      <c r="F39" s="702">
        <v>8000</v>
      </c>
    </row>
    <row r="40" spans="1:6" ht="25.2" thickBot="1">
      <c r="A40" s="29"/>
      <c r="B40" s="25" t="s">
        <v>26</v>
      </c>
      <c r="C40" s="74"/>
      <c r="D40" s="77"/>
      <c r="E40" s="77"/>
      <c r="F40" s="77">
        <f>SUM(F31:F39)</f>
        <v>32185</v>
      </c>
    </row>
    <row r="41" spans="1:6" ht="25.2" thickTop="1">
      <c r="A41" s="29"/>
      <c r="B41" s="116" t="s">
        <v>117</v>
      </c>
      <c r="C41" s="46"/>
      <c r="D41" s="137"/>
      <c r="E41" s="138"/>
      <c r="F41" s="139"/>
    </row>
    <row r="42" spans="1:6" ht="24.6">
      <c r="A42" s="25">
        <v>2</v>
      </c>
      <c r="B42" s="119" t="s">
        <v>121</v>
      </c>
      <c r="C42" s="46"/>
      <c r="D42" s="153">
        <v>25328</v>
      </c>
      <c r="E42" s="700" t="s">
        <v>446</v>
      </c>
      <c r="F42" s="702">
        <v>6000</v>
      </c>
    </row>
    <row r="43" spans="1:6" ht="24.6">
      <c r="A43" s="25">
        <v>1</v>
      </c>
      <c r="B43" s="29" t="s">
        <v>124</v>
      </c>
      <c r="C43" s="29"/>
      <c r="D43" s="153" t="s">
        <v>447</v>
      </c>
      <c r="E43" s="700" t="s">
        <v>448</v>
      </c>
      <c r="F43" s="702">
        <v>600</v>
      </c>
    </row>
    <row r="44" spans="1:6" ht="24.6">
      <c r="A44" s="25">
        <v>2</v>
      </c>
      <c r="B44" s="29" t="s">
        <v>130</v>
      </c>
      <c r="C44" s="29"/>
      <c r="D44" s="153">
        <v>25353</v>
      </c>
      <c r="E44" s="700" t="s">
        <v>422</v>
      </c>
      <c r="F44" s="702">
        <v>550</v>
      </c>
    </row>
    <row r="45" spans="1:6" ht="24.6">
      <c r="A45" s="25">
        <v>4</v>
      </c>
      <c r="B45" s="29" t="s">
        <v>132</v>
      </c>
      <c r="C45" s="29"/>
      <c r="D45" s="153">
        <v>25341</v>
      </c>
      <c r="E45" s="700" t="s">
        <v>449</v>
      </c>
      <c r="F45" s="702">
        <v>1100</v>
      </c>
    </row>
    <row r="46" spans="1:6" ht="24.6">
      <c r="A46" s="25">
        <v>5</v>
      </c>
      <c r="B46" s="29" t="s">
        <v>134</v>
      </c>
      <c r="C46" s="29"/>
      <c r="D46" s="153">
        <v>25353</v>
      </c>
      <c r="E46" s="705" t="s">
        <v>450</v>
      </c>
      <c r="F46" s="702">
        <v>1650</v>
      </c>
    </row>
    <row r="47" spans="1:6" ht="24.6">
      <c r="A47" s="25">
        <v>1</v>
      </c>
      <c r="B47" s="29" t="s">
        <v>137</v>
      </c>
      <c r="C47" s="29"/>
      <c r="D47" s="153">
        <v>25330</v>
      </c>
      <c r="E47" s="700" t="s">
        <v>451</v>
      </c>
      <c r="F47" s="702">
        <v>5000</v>
      </c>
    </row>
    <row r="48" spans="1:6" ht="25.2" thickBot="1">
      <c r="A48" s="29"/>
      <c r="B48" s="25" t="s">
        <v>26</v>
      </c>
      <c r="C48" s="64"/>
      <c r="D48" s="67"/>
      <c r="E48" s="67"/>
      <c r="F48" s="67">
        <f>SUM(F42:F47)</f>
        <v>14900</v>
      </c>
    </row>
    <row r="49" spans="1:6" ht="24.75" customHeight="1" thickTop="1" thickBot="1">
      <c r="A49" s="34"/>
      <c r="B49" s="34" t="s">
        <v>374</v>
      </c>
      <c r="C49" s="74"/>
      <c r="D49" s="110"/>
      <c r="E49" s="110"/>
      <c r="F49" s="110">
        <f>+F20+F40+F48</f>
        <v>50255</v>
      </c>
    </row>
    <row r="50" spans="1:6" ht="24.75" customHeight="1" thickTop="1">
      <c r="A50" s="14"/>
      <c r="B50" s="173"/>
      <c r="F50" s="178"/>
    </row>
    <row r="51" spans="1:6" ht="24.6">
      <c r="E51" s="250"/>
      <c r="F51" s="252"/>
    </row>
    <row r="52" spans="1:6" ht="24.6">
      <c r="E52" s="250"/>
    </row>
    <row r="53" spans="1:6" ht="24.6"/>
    <row r="54" spans="1:6" ht="24.6"/>
    <row r="55" spans="1:6" ht="24.6"/>
    <row r="56" spans="1:6" ht="24.6"/>
    <row r="57" spans="1:6" ht="24.6"/>
    <row r="58" spans="1:6" ht="24.6"/>
    <row r="59" spans="1:6" ht="24.6"/>
    <row r="60" spans="1:6" ht="24.6"/>
    <row r="61" spans="1:6" ht="24.6"/>
    <row r="62" spans="1:6" ht="24.6"/>
    <row r="63" spans="1:6" ht="24.6"/>
    <row r="64" spans="1:6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colBreaks count="1" manualBreakCount="1"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2255-807C-4BF7-9544-341D687F55CA}">
  <sheetPr>
    <tabColor rgb="FFFFC000"/>
  </sheetPr>
  <dimension ref="A1:AD979"/>
  <sheetViews>
    <sheetView zoomScale="83" zoomScaleNormal="83" zoomScaleSheetLayoutView="87" workbookViewId="0">
      <pane ySplit="6" topLeftCell="A172" activePane="bottomLeft" state="frozen"/>
      <selection activeCell="I147" sqref="I147"/>
      <selection pane="bottomLeft" activeCell="K182" sqref="K182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4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432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.8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399999999999999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customHeight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customHeight="1" thickBot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customHeight="1" thickTop="1" thickBot="1">
      <c r="A12" s="29"/>
      <c r="B12" s="25" t="s">
        <v>26</v>
      </c>
      <c r="C12" s="29"/>
      <c r="D12" s="54">
        <v>0</v>
      </c>
      <c r="E12" s="54"/>
      <c r="F12" s="54"/>
      <c r="G12" s="54">
        <v>0</v>
      </c>
      <c r="H12" s="54">
        <v>0</v>
      </c>
      <c r="I12" s="54">
        <v>0</v>
      </c>
      <c r="J12" s="55"/>
      <c r="K12" s="55"/>
      <c r="L12" s="55"/>
      <c r="M12" s="54"/>
      <c r="N12" s="56"/>
      <c r="O12" s="54">
        <v>0</v>
      </c>
      <c r="P12" s="54">
        <v>0</v>
      </c>
      <c r="Q12" s="54">
        <v>0</v>
      </c>
      <c r="R12" s="29"/>
    </row>
    <row r="13" spans="1:30" ht="22.8" customHeight="1" thickTop="1">
      <c r="A13" s="29"/>
      <c r="B13" s="45" t="s">
        <v>33</v>
      </c>
      <c r="C13" s="29"/>
      <c r="D13" s="57"/>
      <c r="E13" s="46"/>
      <c r="F13" s="46"/>
      <c r="G13" s="57"/>
      <c r="H13" s="57"/>
      <c r="I13" s="57"/>
      <c r="J13" s="47"/>
      <c r="K13" s="48"/>
      <c r="L13" s="58"/>
      <c r="M13" s="46"/>
      <c r="N13" s="28"/>
      <c r="O13" s="57"/>
      <c r="P13" s="57"/>
      <c r="Q13" s="57"/>
      <c r="R13" s="46"/>
    </row>
    <row r="14" spans="1:30" ht="23.4" customHeight="1">
      <c r="A14" s="25"/>
      <c r="B14" s="25"/>
      <c r="C14" s="29"/>
      <c r="D14" s="59"/>
      <c r="E14" s="29"/>
      <c r="F14" s="29"/>
      <c r="G14" s="59" t="s">
        <v>34</v>
      </c>
      <c r="H14" s="59" t="s">
        <v>34</v>
      </c>
      <c r="I14" s="59" t="s">
        <v>34</v>
      </c>
      <c r="J14" s="60"/>
      <c r="K14" s="61"/>
      <c r="L14" s="62"/>
      <c r="M14" s="29"/>
      <c r="N14" s="25"/>
      <c r="O14" s="59" t="s">
        <v>34</v>
      </c>
      <c r="P14" s="59" t="s">
        <v>34</v>
      </c>
      <c r="Q14" s="59" t="s">
        <v>34</v>
      </c>
      <c r="R14" s="29"/>
    </row>
    <row r="15" spans="1:30" ht="17.399999999999999" customHeight="1" thickBot="1">
      <c r="A15" s="29"/>
      <c r="B15" s="25" t="s">
        <v>26</v>
      </c>
      <c r="C15" s="29"/>
      <c r="D15" s="63">
        <v>0</v>
      </c>
      <c r="E15" s="64"/>
      <c r="F15" s="64"/>
      <c r="G15" s="63">
        <v>0</v>
      </c>
      <c r="H15" s="63">
        <v>0</v>
      </c>
      <c r="I15" s="63">
        <v>0</v>
      </c>
      <c r="J15" s="65"/>
      <c r="K15" s="66"/>
      <c r="L15" s="67"/>
      <c r="M15" s="64"/>
      <c r="N15" s="41"/>
      <c r="O15" s="63">
        <v>0</v>
      </c>
      <c r="P15" s="63">
        <v>0</v>
      </c>
      <c r="Q15" s="63">
        <v>0</v>
      </c>
      <c r="R15" s="29"/>
      <c r="V15" s="49"/>
    </row>
    <row r="16" spans="1:30" ht="25.2" thickTop="1">
      <c r="A16" s="29"/>
      <c r="B16" s="45" t="s">
        <v>35</v>
      </c>
      <c r="C16" s="29"/>
      <c r="D16" s="46"/>
      <c r="E16" s="46"/>
      <c r="F16" s="46"/>
      <c r="G16" s="46"/>
      <c r="H16" s="46"/>
      <c r="I16" s="46"/>
      <c r="J16" s="47"/>
      <c r="K16" s="48"/>
      <c r="L16" s="48"/>
      <c r="M16" s="46"/>
      <c r="N16" s="28"/>
      <c r="O16" s="46"/>
      <c r="P16" s="46"/>
      <c r="Q16" s="46"/>
      <c r="R16" s="46"/>
    </row>
    <row r="17" spans="1:20" ht="25.2" thickBot="1">
      <c r="A17" s="25">
        <v>1</v>
      </c>
      <c r="B17" s="29" t="s">
        <v>36</v>
      </c>
      <c r="C17" s="29"/>
      <c r="D17" s="49">
        <v>0</v>
      </c>
      <c r="E17" s="68"/>
      <c r="F17" s="25"/>
      <c r="G17" s="59">
        <v>0</v>
      </c>
      <c r="H17" s="59">
        <v>0</v>
      </c>
      <c r="I17" s="59">
        <v>0</v>
      </c>
      <c r="J17" s="153"/>
      <c r="K17" s="700"/>
      <c r="L17" s="701"/>
      <c r="M17" s="68"/>
      <c r="N17" s="25"/>
      <c r="O17" s="696">
        <v>0</v>
      </c>
      <c r="P17" s="697">
        <v>0</v>
      </c>
      <c r="Q17" s="697">
        <v>0</v>
      </c>
      <c r="R17" s="29"/>
    </row>
    <row r="18" spans="1:20" ht="25.8" thickTop="1" thickBot="1">
      <c r="A18" s="29"/>
      <c r="B18" s="25" t="s">
        <v>26</v>
      </c>
      <c r="C18" s="29"/>
      <c r="D18" s="54">
        <v>0</v>
      </c>
      <c r="E18" s="54"/>
      <c r="F18" s="54"/>
      <c r="G18" s="54">
        <v>0</v>
      </c>
      <c r="H18" s="54">
        <v>0</v>
      </c>
      <c r="I18" s="54">
        <v>0</v>
      </c>
      <c r="J18" s="55"/>
      <c r="K18" s="55"/>
      <c r="L18" s="55"/>
      <c r="M18" s="54"/>
      <c r="N18" s="56"/>
      <c r="O18" s="54">
        <v>0</v>
      </c>
      <c r="P18" s="54">
        <v>0</v>
      </c>
      <c r="Q18" s="54">
        <v>0</v>
      </c>
      <c r="R18" s="53"/>
    </row>
    <row r="19" spans="1:20" ht="25.2" hidden="1" thickTop="1">
      <c r="A19" s="29"/>
      <c r="B19" s="45" t="s">
        <v>37</v>
      </c>
      <c r="C19" s="29"/>
      <c r="D19" s="57"/>
      <c r="E19" s="46"/>
      <c r="F19" s="46"/>
      <c r="G19" s="57"/>
      <c r="H19" s="57"/>
      <c r="I19" s="57"/>
      <c r="J19" s="47"/>
      <c r="K19" s="48"/>
      <c r="L19" s="58"/>
      <c r="M19" s="46"/>
      <c r="N19" s="28"/>
      <c r="O19" s="57"/>
      <c r="P19" s="57"/>
      <c r="Q19" s="57"/>
      <c r="R19" s="29"/>
    </row>
    <row r="20" spans="1:20" ht="25.8" hidden="1" thickTop="1" thickBot="1">
      <c r="A20" s="25">
        <v>1</v>
      </c>
      <c r="B20" s="25"/>
      <c r="C20" s="29"/>
      <c r="D20" s="78"/>
      <c r="E20" s="74"/>
      <c r="F20" s="74"/>
      <c r="G20" s="78"/>
      <c r="H20" s="78"/>
      <c r="I20" s="78"/>
      <c r="J20" s="75"/>
      <c r="K20" s="76"/>
      <c r="L20" s="77"/>
      <c r="M20" s="74"/>
      <c r="N20" s="34"/>
      <c r="O20" s="78"/>
      <c r="P20" s="78"/>
      <c r="Q20" s="78"/>
      <c r="R20" s="29"/>
    </row>
    <row r="21" spans="1:20" ht="25.8" hidden="1" thickTop="1" thickBot="1">
      <c r="A21" s="25"/>
      <c r="B21" s="25" t="s">
        <v>26</v>
      </c>
      <c r="C21" s="29"/>
      <c r="D21" s="54"/>
      <c r="E21" s="79"/>
      <c r="F21" s="79"/>
      <c r="G21" s="54"/>
      <c r="H21" s="54"/>
      <c r="I21" s="54"/>
      <c r="J21" s="80"/>
      <c r="K21" s="81"/>
      <c r="L21" s="55"/>
      <c r="M21" s="79"/>
      <c r="N21" s="82"/>
      <c r="O21" s="54"/>
      <c r="P21" s="54"/>
      <c r="Q21" s="54"/>
      <c r="R21" s="46"/>
    </row>
    <row r="22" spans="1:20" ht="25.2" hidden="1" thickTop="1">
      <c r="A22" s="25"/>
      <c r="B22" s="45" t="s">
        <v>38</v>
      </c>
      <c r="C22" s="29"/>
      <c r="D22" s="57"/>
      <c r="E22" s="46"/>
      <c r="F22" s="46"/>
      <c r="G22" s="57"/>
      <c r="H22" s="57"/>
      <c r="I22" s="57"/>
      <c r="J22" s="47"/>
      <c r="K22" s="48"/>
      <c r="L22" s="58"/>
      <c r="M22" s="46"/>
      <c r="N22" s="28"/>
      <c r="O22" s="57"/>
      <c r="P22" s="57"/>
      <c r="Q22" s="57"/>
      <c r="R22" s="46"/>
    </row>
    <row r="23" spans="1:20" ht="25.8" hidden="1" thickTop="1" thickBot="1">
      <c r="A23" s="25">
        <v>1</v>
      </c>
      <c r="B23" s="25"/>
      <c r="C23" s="29"/>
      <c r="D23" s="78"/>
      <c r="E23" s="74"/>
      <c r="F23" s="74"/>
      <c r="G23" s="78"/>
      <c r="H23" s="78"/>
      <c r="I23" s="78"/>
      <c r="J23" s="75"/>
      <c r="K23" s="76"/>
      <c r="L23" s="77"/>
      <c r="M23" s="74"/>
      <c r="N23" s="34"/>
      <c r="O23" s="78"/>
      <c r="P23" s="78"/>
      <c r="Q23" s="78"/>
      <c r="R23" s="46"/>
    </row>
    <row r="24" spans="1:20" ht="25.8" hidden="1" thickTop="1" thickBot="1">
      <c r="A24" s="25"/>
      <c r="B24" s="25" t="s">
        <v>26</v>
      </c>
      <c r="C24" s="29"/>
      <c r="D24" s="63"/>
      <c r="E24" s="64"/>
      <c r="F24" s="64"/>
      <c r="G24" s="63"/>
      <c r="H24" s="63"/>
      <c r="I24" s="63"/>
      <c r="J24" s="65"/>
      <c r="K24" s="66"/>
      <c r="L24" s="67"/>
      <c r="M24" s="64"/>
      <c r="N24" s="41"/>
      <c r="O24" s="63"/>
      <c r="P24" s="63"/>
      <c r="Q24" s="63"/>
      <c r="R24" s="46"/>
    </row>
    <row r="25" spans="1:20" ht="25.2" thickTop="1">
      <c r="A25" s="29"/>
      <c r="B25" s="45" t="s">
        <v>39</v>
      </c>
      <c r="C25" s="29"/>
      <c r="D25" s="46"/>
      <c r="E25" s="46"/>
      <c r="F25" s="46"/>
      <c r="G25" s="46"/>
      <c r="H25" s="46"/>
      <c r="I25" s="46"/>
      <c r="J25" s="47"/>
      <c r="K25" s="48"/>
      <c r="L25" s="48"/>
      <c r="M25" s="46"/>
      <c r="N25" s="28"/>
      <c r="O25" s="46"/>
      <c r="P25" s="46"/>
      <c r="Q25" s="46"/>
      <c r="R25" s="46"/>
    </row>
    <row r="26" spans="1:20" ht="24.6">
      <c r="A26" s="25">
        <v>1</v>
      </c>
      <c r="B26" s="29" t="s">
        <v>40</v>
      </c>
      <c r="C26" s="29"/>
      <c r="D26" s="257">
        <v>0</v>
      </c>
      <c r="E26" s="68"/>
      <c r="F26" s="25"/>
      <c r="G26" s="52">
        <v>0</v>
      </c>
      <c r="H26" s="59">
        <v>0</v>
      </c>
      <c r="I26" s="52">
        <v>0</v>
      </c>
      <c r="J26" s="153"/>
      <c r="K26" s="700"/>
      <c r="L26" s="702"/>
      <c r="M26" s="68"/>
      <c r="N26" s="25"/>
      <c r="O26" s="696">
        <v>0</v>
      </c>
      <c r="P26" s="697">
        <v>0</v>
      </c>
      <c r="Q26" s="697">
        <v>0</v>
      </c>
      <c r="R26" s="29" t="s">
        <v>41</v>
      </c>
    </row>
    <row r="27" spans="1:20" ht="24.6">
      <c r="A27" s="25">
        <v>2</v>
      </c>
      <c r="B27" s="29" t="s">
        <v>277</v>
      </c>
      <c r="C27" s="29"/>
      <c r="D27" s="257">
        <v>535</v>
      </c>
      <c r="E27" s="25"/>
      <c r="F27" s="25"/>
      <c r="G27" s="52">
        <v>0</v>
      </c>
      <c r="H27" s="59">
        <v>0</v>
      </c>
      <c r="I27" s="52">
        <v>0</v>
      </c>
      <c r="J27" s="137">
        <v>25328</v>
      </c>
      <c r="K27" s="138" t="s">
        <v>433</v>
      </c>
      <c r="L27" s="58">
        <v>535</v>
      </c>
      <c r="M27" s="25"/>
      <c r="N27" s="25"/>
      <c r="O27" s="696">
        <v>0</v>
      </c>
      <c r="P27" s="697">
        <v>0</v>
      </c>
      <c r="Q27" s="697">
        <v>0</v>
      </c>
      <c r="R27" s="29"/>
    </row>
    <row r="28" spans="1:20" s="96" customFormat="1" ht="24.6">
      <c r="A28" s="86">
        <v>3</v>
      </c>
      <c r="B28" s="87" t="s">
        <v>44</v>
      </c>
      <c r="C28" s="88"/>
      <c r="D28" s="258">
        <v>1070</v>
      </c>
      <c r="E28" s="90">
        <v>25294</v>
      </c>
      <c r="F28" s="86">
        <v>1</v>
      </c>
      <c r="G28" s="91">
        <v>1070</v>
      </c>
      <c r="H28" s="92">
        <v>0</v>
      </c>
      <c r="I28" s="91">
        <v>1070</v>
      </c>
      <c r="J28" s="137">
        <v>25328</v>
      </c>
      <c r="K28" s="138" t="s">
        <v>434</v>
      </c>
      <c r="L28" s="58">
        <v>2100</v>
      </c>
      <c r="M28" s="90"/>
      <c r="N28" s="86"/>
      <c r="O28" s="696"/>
      <c r="P28" s="697"/>
      <c r="Q28" s="696"/>
      <c r="R28" s="87"/>
      <c r="T28" s="97"/>
    </row>
    <row r="29" spans="1:20" ht="24.6">
      <c r="A29" s="25">
        <v>4</v>
      </c>
      <c r="B29" s="29" t="s">
        <v>46</v>
      </c>
      <c r="C29" s="29"/>
      <c r="D29" s="259">
        <v>535</v>
      </c>
      <c r="E29" s="28"/>
      <c r="F29" s="28"/>
      <c r="G29" s="99"/>
      <c r="H29" s="59"/>
      <c r="I29" s="52"/>
      <c r="J29" s="26">
        <v>25349</v>
      </c>
      <c r="K29" s="117" t="s">
        <v>435</v>
      </c>
      <c r="L29" s="118">
        <v>535</v>
      </c>
      <c r="M29" s="28"/>
      <c r="N29" s="28"/>
      <c r="O29" s="696">
        <v>0</v>
      </c>
      <c r="P29" s="89">
        <v>0</v>
      </c>
      <c r="Q29" s="89">
        <v>0</v>
      </c>
      <c r="R29" s="703" t="s">
        <v>48</v>
      </c>
    </row>
    <row r="30" spans="1:20" ht="25.2" thickBot="1">
      <c r="A30" s="29"/>
      <c r="B30" s="25" t="s">
        <v>26</v>
      </c>
      <c r="C30" s="29"/>
      <c r="D30" s="103">
        <f>SUM(D26:D29)</f>
        <v>2140</v>
      </c>
      <c r="E30" s="63"/>
      <c r="F30" s="63"/>
      <c r="G30" s="103">
        <f>SUM(G26:G29)</f>
        <v>1070</v>
      </c>
      <c r="H30" s="103">
        <v>0</v>
      </c>
      <c r="I30" s="103">
        <f>+G30+H30</f>
        <v>1070</v>
      </c>
      <c r="J30" s="67"/>
      <c r="K30" s="67"/>
      <c r="L30" s="104">
        <f>SUM(L27:L29)</f>
        <v>3170</v>
      </c>
      <c r="M30" s="63"/>
      <c r="N30" s="105"/>
      <c r="O30" s="576">
        <f>SUM(O27:O29)</f>
        <v>0</v>
      </c>
      <c r="P30" s="704">
        <v>0</v>
      </c>
      <c r="Q30" s="576">
        <f>SUM(Q27:Q29)</f>
        <v>0</v>
      </c>
      <c r="R30" s="53"/>
    </row>
    <row r="31" spans="1:20" ht="25.2" hidden="1" thickTop="1">
      <c r="A31" s="29"/>
      <c r="B31" s="45" t="s">
        <v>49</v>
      </c>
      <c r="C31" s="29"/>
      <c r="D31" s="57"/>
      <c r="E31" s="108"/>
      <c r="F31" s="108"/>
      <c r="G31" s="57"/>
      <c r="H31" s="57"/>
      <c r="I31" s="57"/>
      <c r="J31" s="47"/>
      <c r="K31" s="48"/>
      <c r="L31" s="58"/>
      <c r="M31" s="46"/>
      <c r="N31" s="28"/>
      <c r="O31" s="57"/>
      <c r="P31" s="57"/>
      <c r="Q31" s="57"/>
      <c r="R31" s="29"/>
    </row>
    <row r="32" spans="1:20" ht="16.5" hidden="1" customHeight="1" thickBot="1">
      <c r="A32" s="25">
        <v>1</v>
      </c>
      <c r="B32" s="25"/>
      <c r="C32" s="29"/>
      <c r="D32" s="78"/>
      <c r="E32" s="74"/>
      <c r="F32" s="74"/>
      <c r="G32" s="78"/>
      <c r="H32" s="78"/>
      <c r="I32" s="78"/>
      <c r="J32" s="75"/>
      <c r="K32" s="76"/>
      <c r="L32" s="77"/>
      <c r="M32" s="74"/>
      <c r="N32" s="34"/>
      <c r="O32" s="78"/>
      <c r="P32" s="78"/>
      <c r="Q32" s="78"/>
      <c r="R32" s="29"/>
    </row>
    <row r="33" spans="1:18" ht="25.8" hidden="1" thickTop="1" thickBot="1">
      <c r="A33" s="25"/>
      <c r="B33" s="25" t="s">
        <v>26</v>
      </c>
      <c r="C33" s="29"/>
      <c r="D33" s="54"/>
      <c r="E33" s="64"/>
      <c r="F33" s="64"/>
      <c r="G33" s="54"/>
      <c r="H33" s="54"/>
      <c r="I33" s="54"/>
      <c r="J33" s="80"/>
      <c r="K33" s="81"/>
      <c r="L33" s="55"/>
      <c r="M33" s="79"/>
      <c r="N33" s="82"/>
      <c r="O33" s="54"/>
      <c r="P33" s="54"/>
      <c r="Q33" s="54"/>
      <c r="R33" s="29"/>
    </row>
    <row r="34" spans="1:18" ht="25.2" hidden="1" thickTop="1">
      <c r="A34" s="25"/>
      <c r="B34" s="45" t="s">
        <v>50</v>
      </c>
      <c r="C34" s="29"/>
      <c r="D34" s="57"/>
      <c r="E34" s="109"/>
      <c r="F34" s="109"/>
      <c r="G34" s="57"/>
      <c r="H34" s="57"/>
      <c r="I34" s="57"/>
      <c r="J34" s="47"/>
      <c r="K34" s="48"/>
      <c r="L34" s="58"/>
      <c r="M34" s="46"/>
      <c r="N34" s="28"/>
      <c r="O34" s="57"/>
      <c r="P34" s="57"/>
      <c r="Q34" s="57"/>
      <c r="R34" s="29"/>
    </row>
    <row r="35" spans="1:18" ht="25.8" hidden="1" thickTop="1" thickBot="1">
      <c r="A35" s="25"/>
      <c r="B35" s="25"/>
      <c r="C35" s="29"/>
      <c r="D35" s="78"/>
      <c r="E35" s="74"/>
      <c r="F35" s="74"/>
      <c r="G35" s="78">
        <v>0</v>
      </c>
      <c r="H35" s="78">
        <v>0</v>
      </c>
      <c r="I35" s="78">
        <v>0</v>
      </c>
      <c r="J35" s="75"/>
      <c r="K35" s="76"/>
      <c r="L35" s="77"/>
      <c r="M35" s="74"/>
      <c r="N35" s="34"/>
      <c r="O35" s="110">
        <v>0</v>
      </c>
      <c r="P35" s="110">
        <v>0</v>
      </c>
      <c r="Q35" s="110">
        <v>0</v>
      </c>
      <c r="R35" s="29"/>
    </row>
    <row r="36" spans="1:18" ht="25.2" hidden="1" thickTop="1">
      <c r="A36" s="25"/>
      <c r="B36" s="25" t="s">
        <v>26</v>
      </c>
      <c r="C36" s="29"/>
      <c r="D36" s="111">
        <v>0</v>
      </c>
      <c r="E36" s="46"/>
      <c r="F36" s="46"/>
      <c r="G36" s="111">
        <v>0</v>
      </c>
      <c r="H36" s="111"/>
      <c r="I36" s="111">
        <v>0</v>
      </c>
      <c r="J36" s="112"/>
      <c r="K36" s="113"/>
      <c r="L36" s="114"/>
      <c r="M36" s="109"/>
      <c r="N36" s="115"/>
      <c r="O36" s="111">
        <v>0</v>
      </c>
      <c r="P36" s="111"/>
      <c r="Q36" s="111">
        <v>0</v>
      </c>
      <c r="R36" s="53"/>
    </row>
    <row r="37" spans="1:18" ht="25.2" hidden="1" thickTop="1">
      <c r="A37" s="25"/>
      <c r="B37" s="45" t="s">
        <v>51</v>
      </c>
      <c r="C37" s="29"/>
      <c r="D37" s="59"/>
      <c r="E37" s="109"/>
      <c r="F37" s="109"/>
      <c r="G37" s="59"/>
      <c r="H37" s="59"/>
      <c r="I37" s="59"/>
      <c r="J37" s="60"/>
      <c r="K37" s="61"/>
      <c r="L37" s="62"/>
      <c r="M37" s="29"/>
      <c r="N37" s="25"/>
      <c r="O37" s="59"/>
      <c r="P37" s="59"/>
      <c r="Q37" s="59"/>
      <c r="R37" s="29"/>
    </row>
    <row r="38" spans="1:18" ht="25.8" hidden="1" thickTop="1" thickBot="1">
      <c r="A38" s="25">
        <v>1</v>
      </c>
      <c r="B38" s="25"/>
      <c r="C38" s="29"/>
      <c r="D38" s="78"/>
      <c r="E38" s="74"/>
      <c r="F38" s="74"/>
      <c r="G38" s="78"/>
      <c r="H38" s="78"/>
      <c r="I38" s="78"/>
      <c r="J38" s="75"/>
      <c r="K38" s="76"/>
      <c r="L38" s="77"/>
      <c r="M38" s="74"/>
      <c r="N38" s="34"/>
      <c r="O38" s="78"/>
      <c r="P38" s="78"/>
      <c r="Q38" s="78"/>
      <c r="R38" s="29"/>
    </row>
    <row r="39" spans="1:18" ht="25.8" hidden="1" thickTop="1" thickBot="1">
      <c r="A39" s="25"/>
      <c r="B39" s="25" t="s">
        <v>26</v>
      </c>
      <c r="C39" s="29"/>
      <c r="D39" s="63"/>
      <c r="E39" s="79"/>
      <c r="F39" s="79"/>
      <c r="G39" s="63"/>
      <c r="H39" s="63"/>
      <c r="I39" s="63"/>
      <c r="J39" s="65"/>
      <c r="K39" s="66"/>
      <c r="L39" s="67"/>
      <c r="M39" s="64"/>
      <c r="N39" s="41"/>
      <c r="O39" s="63"/>
      <c r="P39" s="63"/>
      <c r="Q39" s="63"/>
      <c r="R39" s="29"/>
    </row>
    <row r="40" spans="1:18" ht="25.2" thickTop="1">
      <c r="A40" s="29"/>
      <c r="B40" s="45" t="s">
        <v>52</v>
      </c>
      <c r="C40" s="29"/>
      <c r="D40" s="57"/>
      <c r="E40" s="28"/>
      <c r="F40" s="28"/>
      <c r="G40" s="57"/>
      <c r="H40" s="57"/>
      <c r="I40" s="57"/>
      <c r="J40" s="47"/>
      <c r="K40" s="48"/>
      <c r="L40" s="58"/>
      <c r="M40" s="46"/>
      <c r="N40" s="28"/>
      <c r="O40" s="57"/>
      <c r="P40" s="57"/>
      <c r="Q40" s="57"/>
      <c r="R40" s="29"/>
    </row>
    <row r="41" spans="1:18" ht="24.6">
      <c r="A41" s="29"/>
      <c r="B41" s="116" t="s">
        <v>53</v>
      </c>
      <c r="C41" s="29"/>
      <c r="D41" s="57"/>
      <c r="E41" s="25"/>
      <c r="F41" s="25"/>
      <c r="G41" s="57"/>
      <c r="H41" s="57"/>
      <c r="I41" s="57"/>
      <c r="J41" s="47"/>
      <c r="K41" s="48"/>
      <c r="L41" s="58"/>
      <c r="M41" s="46"/>
      <c r="N41" s="28"/>
      <c r="O41" s="57"/>
      <c r="P41" s="57"/>
      <c r="Q41" s="57"/>
      <c r="R41" s="29"/>
    </row>
    <row r="42" spans="1:18" ht="24.6">
      <c r="A42" s="25">
        <v>1</v>
      </c>
      <c r="B42" s="29" t="s">
        <v>54</v>
      </c>
      <c r="C42" s="25" t="s">
        <v>55</v>
      </c>
      <c r="D42" s="49">
        <v>0</v>
      </c>
      <c r="E42" s="25"/>
      <c r="F42" s="25"/>
      <c r="G42" s="49">
        <v>0</v>
      </c>
      <c r="H42" s="49">
        <v>0</v>
      </c>
      <c r="I42" s="49">
        <v>0</v>
      </c>
      <c r="J42" s="26"/>
      <c r="K42" s="117"/>
      <c r="L42" s="118"/>
      <c r="M42" s="25"/>
      <c r="N42" s="25"/>
      <c r="O42" s="696">
        <f t="shared" ref="O42:O47" si="0">D42</f>
        <v>0</v>
      </c>
      <c r="P42" s="697">
        <v>0</v>
      </c>
      <c r="Q42" s="697">
        <f t="shared" ref="Q42:Q45" si="1">D42</f>
        <v>0</v>
      </c>
      <c r="R42" s="29" t="s">
        <v>56</v>
      </c>
    </row>
    <row r="43" spans="1:18" ht="24.6">
      <c r="A43" s="25">
        <v>2</v>
      </c>
      <c r="B43" s="119" t="s">
        <v>57</v>
      </c>
      <c r="C43" s="25">
        <v>259</v>
      </c>
      <c r="D43" s="49">
        <v>0</v>
      </c>
      <c r="E43" s="25"/>
      <c r="F43" s="25"/>
      <c r="G43" s="49">
        <v>0</v>
      </c>
      <c r="H43" s="49">
        <v>0</v>
      </c>
      <c r="I43" s="49">
        <v>0</v>
      </c>
      <c r="J43" s="26"/>
      <c r="K43" s="16"/>
      <c r="L43" s="118"/>
      <c r="M43" s="25"/>
      <c r="N43" s="25"/>
      <c r="O43" s="696">
        <f t="shared" si="0"/>
        <v>0</v>
      </c>
      <c r="P43" s="697">
        <v>0</v>
      </c>
      <c r="Q43" s="697">
        <f t="shared" si="1"/>
        <v>0</v>
      </c>
      <c r="R43" s="29" t="s">
        <v>58</v>
      </c>
    </row>
    <row r="44" spans="1:18" ht="24.6">
      <c r="A44" s="25">
        <v>3</v>
      </c>
      <c r="B44" s="119" t="s">
        <v>57</v>
      </c>
      <c r="C44" s="25">
        <v>260</v>
      </c>
      <c r="D44" s="49"/>
      <c r="E44" s="25"/>
      <c r="F44" s="25"/>
      <c r="G44" s="49">
        <v>0</v>
      </c>
      <c r="H44" s="49">
        <v>0</v>
      </c>
      <c r="I44" s="49">
        <v>0</v>
      </c>
      <c r="J44" s="26"/>
      <c r="K44" s="16"/>
      <c r="L44" s="118"/>
      <c r="M44" s="25"/>
      <c r="N44" s="25"/>
      <c r="O44" s="696">
        <f t="shared" si="0"/>
        <v>0</v>
      </c>
      <c r="P44" s="697">
        <v>0</v>
      </c>
      <c r="Q44" s="697">
        <f t="shared" si="1"/>
        <v>0</v>
      </c>
      <c r="R44" s="29"/>
    </row>
    <row r="45" spans="1:18" ht="24.6">
      <c r="A45" s="25">
        <v>4</v>
      </c>
      <c r="B45" s="119" t="s">
        <v>57</v>
      </c>
      <c r="C45" s="25" t="s">
        <v>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696">
        <f t="shared" si="0"/>
        <v>0</v>
      </c>
      <c r="P45" s="697">
        <v>0</v>
      </c>
      <c r="Q45" s="697">
        <f t="shared" si="1"/>
        <v>0</v>
      </c>
      <c r="R45" s="29" t="s">
        <v>60</v>
      </c>
    </row>
    <row r="46" spans="1:18" ht="24.6">
      <c r="A46" s="25">
        <v>5</v>
      </c>
      <c r="B46" s="119" t="s">
        <v>57</v>
      </c>
      <c r="C46" s="25" t="s">
        <v>61</v>
      </c>
      <c r="D46" s="49">
        <v>0</v>
      </c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696">
        <f t="shared" si="0"/>
        <v>0</v>
      </c>
      <c r="P46" s="697">
        <v>0</v>
      </c>
      <c r="Q46" s="696">
        <f t="shared" ref="Q46:Q50" si="2">D46+I46-L46</f>
        <v>0</v>
      </c>
      <c r="R46" s="29"/>
    </row>
    <row r="47" spans="1:18" ht="24.6">
      <c r="A47" s="25">
        <v>6</v>
      </c>
      <c r="B47" s="29" t="s">
        <v>62</v>
      </c>
      <c r="C47" s="25" t="s">
        <v>63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153"/>
      <c r="K47" s="700"/>
      <c r="L47" s="702"/>
      <c r="M47" s="25"/>
      <c r="N47" s="25"/>
      <c r="O47" s="696">
        <f t="shared" si="0"/>
        <v>0</v>
      </c>
      <c r="P47" s="697">
        <v>0</v>
      </c>
      <c r="Q47" s="696">
        <f t="shared" si="2"/>
        <v>0</v>
      </c>
      <c r="R47" s="29" t="s">
        <v>64</v>
      </c>
    </row>
    <row r="48" spans="1:18" ht="24.6">
      <c r="A48" s="25">
        <v>7</v>
      </c>
      <c r="B48" s="29" t="s">
        <v>65</v>
      </c>
      <c r="C48" s="25">
        <v>267</v>
      </c>
      <c r="D48" s="49">
        <v>1215</v>
      </c>
      <c r="E48" s="25"/>
      <c r="F48" s="25"/>
      <c r="G48" s="49">
        <v>0</v>
      </c>
      <c r="H48" s="49">
        <v>0</v>
      </c>
      <c r="I48" s="49">
        <v>0</v>
      </c>
      <c r="J48" s="153">
        <v>25330</v>
      </c>
      <c r="K48" s="700" t="s">
        <v>436</v>
      </c>
      <c r="L48" s="702">
        <v>1215</v>
      </c>
      <c r="M48" s="25"/>
      <c r="N48" s="25"/>
      <c r="O48" s="696">
        <f>D48+G48-L48</f>
        <v>0</v>
      </c>
      <c r="P48" s="696">
        <f t="shared" ref="P48" si="3">E48+H48-M48</f>
        <v>0</v>
      </c>
      <c r="Q48" s="696">
        <f t="shared" si="2"/>
        <v>0</v>
      </c>
      <c r="R48" s="29" t="s">
        <v>67</v>
      </c>
    </row>
    <row r="49" spans="1:18" ht="24.6">
      <c r="A49" s="25">
        <v>8</v>
      </c>
      <c r="B49" s="29" t="s">
        <v>68</v>
      </c>
      <c r="C49" s="120">
        <v>268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153"/>
      <c r="K49" s="700"/>
      <c r="L49" s="702"/>
      <c r="M49" s="25"/>
      <c r="N49" s="25"/>
      <c r="O49" s="696">
        <f t="shared" ref="O49:O60" si="4">D49+G49-L49</f>
        <v>0</v>
      </c>
      <c r="P49" s="697">
        <v>0</v>
      </c>
      <c r="Q49" s="696">
        <f t="shared" si="2"/>
        <v>0</v>
      </c>
      <c r="R49" s="29" t="s">
        <v>69</v>
      </c>
    </row>
    <row r="50" spans="1:18" ht="24.6">
      <c r="A50" s="25">
        <v>9</v>
      </c>
      <c r="B50" s="29" t="s">
        <v>70</v>
      </c>
      <c r="C50" s="25" t="s">
        <v>71</v>
      </c>
      <c r="D50" s="49">
        <v>2430</v>
      </c>
      <c r="E50" s="25"/>
      <c r="F50" s="25"/>
      <c r="G50" s="49">
        <v>0</v>
      </c>
      <c r="H50" s="49">
        <v>0</v>
      </c>
      <c r="I50" s="49">
        <v>0</v>
      </c>
      <c r="J50" s="153">
        <v>25330</v>
      </c>
      <c r="K50" s="700" t="s">
        <v>437</v>
      </c>
      <c r="L50" s="702">
        <v>2430</v>
      </c>
      <c r="M50" s="25"/>
      <c r="N50" s="25"/>
      <c r="O50" s="696">
        <f t="shared" si="4"/>
        <v>0</v>
      </c>
      <c r="P50" s="697">
        <v>0</v>
      </c>
      <c r="Q50" s="696">
        <f t="shared" si="2"/>
        <v>0</v>
      </c>
      <c r="R50" s="29"/>
    </row>
    <row r="51" spans="1:18" ht="24.6">
      <c r="A51" s="25">
        <v>10</v>
      </c>
      <c r="B51" s="29" t="s">
        <v>73</v>
      </c>
      <c r="C51" s="120">
        <v>84282</v>
      </c>
      <c r="D51" s="49">
        <v>2430</v>
      </c>
      <c r="E51" s="25" t="s">
        <v>455</v>
      </c>
      <c r="F51" s="25">
        <v>1</v>
      </c>
      <c r="G51" s="49">
        <v>2430</v>
      </c>
      <c r="H51" s="49">
        <v>0</v>
      </c>
      <c r="I51" s="49">
        <v>2430</v>
      </c>
      <c r="J51" s="153"/>
      <c r="K51" s="700"/>
      <c r="L51" s="702"/>
      <c r="M51" s="90" t="s">
        <v>456</v>
      </c>
      <c r="N51" s="86">
        <v>1</v>
      </c>
      <c r="O51" s="696">
        <f>D51+G51-L51</f>
        <v>4860</v>
      </c>
      <c r="P51" s="697">
        <v>0</v>
      </c>
      <c r="Q51" s="696">
        <f>D51+I51-L51</f>
        <v>4860</v>
      </c>
      <c r="R51" s="29"/>
    </row>
    <row r="52" spans="1:18" ht="24.6">
      <c r="A52" s="25">
        <v>11</v>
      </c>
      <c r="B52" s="29" t="s">
        <v>76</v>
      </c>
      <c r="C52" s="25">
        <v>281</v>
      </c>
      <c r="D52" s="49">
        <v>0</v>
      </c>
      <c r="E52" s="25"/>
      <c r="F52" s="25"/>
      <c r="G52" s="49">
        <v>0</v>
      </c>
      <c r="H52" s="49">
        <v>0</v>
      </c>
      <c r="I52" s="49">
        <v>0</v>
      </c>
      <c r="J52" s="153"/>
      <c r="K52" s="700"/>
      <c r="L52" s="702"/>
      <c r="M52" s="25"/>
      <c r="N52" s="25"/>
      <c r="O52" s="696">
        <f t="shared" si="4"/>
        <v>0</v>
      </c>
      <c r="P52" s="697">
        <v>0</v>
      </c>
      <c r="Q52" s="696">
        <f t="shared" ref="Q52:Q60" si="5">D52+I52-L52</f>
        <v>0</v>
      </c>
      <c r="R52" s="29" t="s">
        <v>77</v>
      </c>
    </row>
    <row r="53" spans="1:18" ht="24.6">
      <c r="A53" s="25">
        <v>12</v>
      </c>
      <c r="B53" s="29" t="s">
        <v>57</v>
      </c>
      <c r="C53" s="25">
        <v>280</v>
      </c>
      <c r="D53" s="49">
        <v>0</v>
      </c>
      <c r="E53" s="25"/>
      <c r="F53" s="25"/>
      <c r="G53" s="49">
        <v>0</v>
      </c>
      <c r="H53" s="49">
        <v>0</v>
      </c>
      <c r="I53" s="49">
        <v>0</v>
      </c>
      <c r="J53" s="153"/>
      <c r="K53" s="700"/>
      <c r="L53" s="702"/>
      <c r="M53" s="25"/>
      <c r="N53" s="25"/>
      <c r="O53" s="696">
        <f t="shared" si="4"/>
        <v>0</v>
      </c>
      <c r="P53" s="697">
        <v>0</v>
      </c>
      <c r="Q53" s="696">
        <f t="shared" si="5"/>
        <v>0</v>
      </c>
      <c r="R53" s="29"/>
    </row>
    <row r="54" spans="1:18" ht="24.6">
      <c r="A54" s="25">
        <v>13</v>
      </c>
      <c r="B54" s="29" t="s">
        <v>78</v>
      </c>
      <c r="C54" s="25" t="s">
        <v>79</v>
      </c>
      <c r="D54" s="49">
        <v>2430</v>
      </c>
      <c r="E54" s="25"/>
      <c r="F54" s="25"/>
      <c r="G54" s="49">
        <v>0</v>
      </c>
      <c r="H54" s="49">
        <v>0</v>
      </c>
      <c r="I54" s="49">
        <v>0</v>
      </c>
      <c r="J54" s="153">
        <v>25328</v>
      </c>
      <c r="K54" s="700" t="s">
        <v>438</v>
      </c>
      <c r="L54" s="702">
        <v>2430</v>
      </c>
      <c r="M54" s="25"/>
      <c r="N54" s="25"/>
      <c r="O54" s="696">
        <f t="shared" si="4"/>
        <v>0</v>
      </c>
      <c r="P54" s="697">
        <v>0</v>
      </c>
      <c r="Q54" s="696">
        <f t="shared" si="5"/>
        <v>0</v>
      </c>
      <c r="R54" s="29"/>
    </row>
    <row r="55" spans="1:18" ht="24.6">
      <c r="A55" s="25">
        <v>14</v>
      </c>
      <c r="B55" s="29" t="s">
        <v>81</v>
      </c>
      <c r="C55" s="25" t="s">
        <v>82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153"/>
      <c r="K55" s="700"/>
      <c r="L55" s="702"/>
      <c r="M55" s="25"/>
      <c r="N55" s="25"/>
      <c r="O55" s="696">
        <f t="shared" si="4"/>
        <v>0</v>
      </c>
      <c r="P55" s="697">
        <v>0</v>
      </c>
      <c r="Q55" s="696">
        <f t="shared" si="5"/>
        <v>0</v>
      </c>
      <c r="R55" s="29"/>
    </row>
    <row r="56" spans="1:18" ht="24.6">
      <c r="A56" s="25">
        <v>15</v>
      </c>
      <c r="B56" s="29" t="s">
        <v>83</v>
      </c>
      <c r="C56" s="25">
        <v>277</v>
      </c>
      <c r="D56" s="49">
        <v>1215</v>
      </c>
      <c r="E56" s="25"/>
      <c r="F56" s="25"/>
      <c r="G56" s="49">
        <v>0</v>
      </c>
      <c r="H56" s="49">
        <v>0</v>
      </c>
      <c r="I56" s="49">
        <v>0</v>
      </c>
      <c r="J56" s="153">
        <v>25341</v>
      </c>
      <c r="K56" s="700" t="s">
        <v>439</v>
      </c>
      <c r="L56" s="702">
        <v>1215</v>
      </c>
      <c r="M56" s="25"/>
      <c r="N56" s="25"/>
      <c r="O56" s="696">
        <f t="shared" si="4"/>
        <v>0</v>
      </c>
      <c r="P56" s="697">
        <v>0</v>
      </c>
      <c r="Q56" s="696">
        <f t="shared" si="5"/>
        <v>0</v>
      </c>
      <c r="R56" s="29"/>
    </row>
    <row r="57" spans="1:18" ht="24.6">
      <c r="A57" s="25">
        <v>16</v>
      </c>
      <c r="B57" s="29" t="s">
        <v>85</v>
      </c>
      <c r="C57" s="25" t="s">
        <v>86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26"/>
      <c r="K57" s="16"/>
      <c r="L57" s="118"/>
      <c r="M57" s="25"/>
      <c r="N57" s="25"/>
      <c r="O57" s="696">
        <f t="shared" si="4"/>
        <v>0</v>
      </c>
      <c r="P57" s="697">
        <v>0</v>
      </c>
      <c r="Q57" s="696">
        <f t="shared" si="5"/>
        <v>0</v>
      </c>
      <c r="R57" s="29" t="s">
        <v>87</v>
      </c>
    </row>
    <row r="58" spans="1:18" ht="24.6">
      <c r="A58" s="25">
        <v>17</v>
      </c>
      <c r="B58" s="29" t="s">
        <v>57</v>
      </c>
      <c r="C58" s="25" t="s">
        <v>88</v>
      </c>
      <c r="D58" s="49">
        <v>0</v>
      </c>
      <c r="E58" s="25"/>
      <c r="F58" s="25"/>
      <c r="G58" s="49">
        <v>0</v>
      </c>
      <c r="H58" s="49">
        <v>0</v>
      </c>
      <c r="I58" s="49">
        <v>0</v>
      </c>
      <c r="J58" s="26"/>
      <c r="K58" s="16"/>
      <c r="L58" s="118"/>
      <c r="M58" s="25"/>
      <c r="N58" s="25"/>
      <c r="O58" s="696">
        <f t="shared" si="4"/>
        <v>0</v>
      </c>
      <c r="P58" s="697">
        <v>0</v>
      </c>
      <c r="Q58" s="696">
        <f t="shared" si="5"/>
        <v>0</v>
      </c>
      <c r="R58" s="29"/>
    </row>
    <row r="59" spans="1:18" ht="24.6">
      <c r="A59" s="25"/>
      <c r="B59" s="116" t="s">
        <v>89</v>
      </c>
      <c r="C59" s="29"/>
      <c r="D59" s="29"/>
      <c r="E59" s="25"/>
      <c r="F59" s="25"/>
      <c r="G59" s="29">
        <v>0</v>
      </c>
      <c r="H59" s="49"/>
      <c r="I59" s="49">
        <v>0</v>
      </c>
      <c r="J59" s="26"/>
      <c r="K59" s="16"/>
      <c r="L59" s="118"/>
      <c r="M59" s="25"/>
      <c r="N59" s="25"/>
      <c r="O59" s="696">
        <f t="shared" si="4"/>
        <v>0</v>
      </c>
      <c r="P59" s="49"/>
      <c r="Q59" s="696">
        <f t="shared" si="5"/>
        <v>0</v>
      </c>
      <c r="R59" s="29"/>
    </row>
    <row r="60" spans="1:18" ht="24.6">
      <c r="A60" s="25">
        <v>1</v>
      </c>
      <c r="B60" s="29" t="s">
        <v>57</v>
      </c>
      <c r="C60" s="25" t="s">
        <v>90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696">
        <f t="shared" si="4"/>
        <v>0</v>
      </c>
      <c r="P60" s="697">
        <v>0</v>
      </c>
      <c r="Q60" s="696">
        <f t="shared" si="5"/>
        <v>0</v>
      </c>
      <c r="R60" s="29" t="s">
        <v>91</v>
      </c>
    </row>
    <row r="61" spans="1:18" ht="24.6">
      <c r="A61" s="25">
        <v>2</v>
      </c>
      <c r="B61" s="119" t="s">
        <v>57</v>
      </c>
      <c r="C61" s="25" t="s">
        <v>92</v>
      </c>
      <c r="D61" s="49"/>
      <c r="E61" s="25"/>
      <c r="F61" s="25"/>
      <c r="G61" s="49">
        <v>0</v>
      </c>
      <c r="H61" s="49"/>
      <c r="I61" s="49">
        <v>0</v>
      </c>
      <c r="J61" s="26"/>
      <c r="K61" s="16"/>
      <c r="L61" s="118"/>
      <c r="M61" s="25"/>
      <c r="N61" s="25"/>
      <c r="O61" s="696">
        <f t="shared" ref="O61:O69" si="6">D61+G61</f>
        <v>0</v>
      </c>
      <c r="P61" s="49"/>
      <c r="Q61" s="697">
        <f t="shared" ref="Q61:Q68" si="7">D61+I61</f>
        <v>0</v>
      </c>
      <c r="R61" s="29"/>
    </row>
    <row r="62" spans="1:18" ht="24.6">
      <c r="A62" s="25">
        <v>3</v>
      </c>
      <c r="B62" s="29" t="s">
        <v>93</v>
      </c>
      <c r="C62" s="25" t="s">
        <v>94</v>
      </c>
      <c r="D62" s="49">
        <v>0</v>
      </c>
      <c r="E62" s="25"/>
      <c r="F62" s="25"/>
      <c r="G62" s="89">
        <v>0</v>
      </c>
      <c r="H62" s="89">
        <v>0</v>
      </c>
      <c r="I62" s="89">
        <v>0</v>
      </c>
      <c r="J62" s="153"/>
      <c r="K62" s="705"/>
      <c r="L62" s="702"/>
      <c r="M62" s="25"/>
      <c r="N62" s="25"/>
      <c r="O62" s="696">
        <f t="shared" si="6"/>
        <v>0</v>
      </c>
      <c r="P62" s="697">
        <v>0</v>
      </c>
      <c r="Q62" s="697">
        <f t="shared" si="7"/>
        <v>0</v>
      </c>
      <c r="R62" s="29"/>
    </row>
    <row r="63" spans="1:18" ht="24.6">
      <c r="A63" s="25">
        <v>4</v>
      </c>
      <c r="B63" s="119" t="s">
        <v>57</v>
      </c>
      <c r="C63" s="25" t="s">
        <v>95</v>
      </c>
      <c r="D63" s="52">
        <v>0</v>
      </c>
      <c r="E63" s="25"/>
      <c r="F63" s="25"/>
      <c r="G63" s="49">
        <v>0</v>
      </c>
      <c r="H63" s="49"/>
      <c r="I63" s="49">
        <v>0</v>
      </c>
      <c r="J63" s="153"/>
      <c r="K63" s="705"/>
      <c r="L63" s="702"/>
      <c r="M63" s="25"/>
      <c r="N63" s="25"/>
      <c r="O63" s="696">
        <f t="shared" si="6"/>
        <v>0</v>
      </c>
      <c r="P63" s="49"/>
      <c r="Q63" s="697">
        <f t="shared" si="7"/>
        <v>0</v>
      </c>
      <c r="R63" s="29"/>
    </row>
    <row r="64" spans="1:18" ht="24.6">
      <c r="A64" s="25">
        <v>5</v>
      </c>
      <c r="B64" s="29" t="s">
        <v>40</v>
      </c>
      <c r="C64" s="25" t="s">
        <v>96</v>
      </c>
      <c r="D64" s="49">
        <v>0</v>
      </c>
      <c r="E64" s="25"/>
      <c r="F64" s="25"/>
      <c r="G64" s="49">
        <v>0</v>
      </c>
      <c r="H64" s="49">
        <v>0</v>
      </c>
      <c r="I64" s="49">
        <v>0</v>
      </c>
      <c r="J64" s="153"/>
      <c r="K64" s="700"/>
      <c r="L64" s="702"/>
      <c r="M64" s="25"/>
      <c r="N64" s="25"/>
      <c r="O64" s="696">
        <f t="shared" si="6"/>
        <v>0</v>
      </c>
      <c r="P64" s="697">
        <v>0</v>
      </c>
      <c r="Q64" s="697">
        <f t="shared" si="7"/>
        <v>0</v>
      </c>
      <c r="R64" s="29" t="s">
        <v>41</v>
      </c>
    </row>
    <row r="65" spans="1:20" ht="24.6">
      <c r="A65" s="25"/>
      <c r="B65" s="124" t="s">
        <v>97</v>
      </c>
      <c r="C65" s="29"/>
      <c r="D65" s="29"/>
      <c r="E65" s="25"/>
      <c r="F65" s="25"/>
      <c r="G65" s="29">
        <v>0</v>
      </c>
      <c r="H65" s="49"/>
      <c r="I65" s="49">
        <v>0</v>
      </c>
      <c r="J65" s="26"/>
      <c r="K65" s="16"/>
      <c r="L65" s="118"/>
      <c r="M65" s="25"/>
      <c r="N65" s="25"/>
      <c r="O65" s="696">
        <f t="shared" si="6"/>
        <v>0</v>
      </c>
      <c r="P65" s="49"/>
      <c r="Q65" s="697">
        <f t="shared" si="7"/>
        <v>0</v>
      </c>
      <c r="R65" s="29"/>
    </row>
    <row r="66" spans="1:20" ht="24.6">
      <c r="A66" s="25">
        <v>1</v>
      </c>
      <c r="B66" s="125" t="s">
        <v>98</v>
      </c>
      <c r="C66" s="25" t="s">
        <v>99</v>
      </c>
      <c r="D66" s="49">
        <v>0</v>
      </c>
      <c r="E66" s="68" t="s">
        <v>172</v>
      </c>
      <c r="F66" s="25" t="s">
        <v>172</v>
      </c>
      <c r="G66" s="49">
        <v>0</v>
      </c>
      <c r="H66" s="49">
        <v>0</v>
      </c>
      <c r="I66" s="49">
        <v>0</v>
      </c>
      <c r="J66" s="153"/>
      <c r="K66" s="700"/>
      <c r="L66" s="702"/>
      <c r="M66" s="25"/>
      <c r="N66" s="25"/>
      <c r="O66" s="696">
        <f t="shared" si="6"/>
        <v>0</v>
      </c>
      <c r="P66" s="697">
        <v>0</v>
      </c>
      <c r="Q66" s="697">
        <f t="shared" si="7"/>
        <v>0</v>
      </c>
      <c r="R66" s="29" t="s">
        <v>100</v>
      </c>
      <c r="T66" s="2" t="s">
        <v>101</v>
      </c>
    </row>
    <row r="67" spans="1:20" ht="24.6">
      <c r="A67" s="25"/>
      <c r="B67" s="116" t="s">
        <v>102</v>
      </c>
      <c r="C67" s="29"/>
      <c r="D67" s="29"/>
      <c r="E67" s="25"/>
      <c r="F67" s="25"/>
      <c r="G67" s="29">
        <v>0</v>
      </c>
      <c r="H67" s="49"/>
      <c r="I67" s="49">
        <v>0</v>
      </c>
      <c r="J67" s="153"/>
      <c r="K67" s="700"/>
      <c r="L67" s="702"/>
      <c r="M67" s="25"/>
      <c r="N67" s="25"/>
      <c r="O67" s="696">
        <f t="shared" si="6"/>
        <v>0</v>
      </c>
      <c r="P67" s="49"/>
      <c r="Q67" s="697">
        <f t="shared" si="7"/>
        <v>0</v>
      </c>
      <c r="R67" s="29"/>
    </row>
    <row r="68" spans="1:20" ht="20.25" customHeight="1">
      <c r="A68" s="25">
        <v>1</v>
      </c>
      <c r="B68" s="29" t="s">
        <v>36</v>
      </c>
      <c r="C68" s="29"/>
      <c r="D68" s="49">
        <v>0</v>
      </c>
      <c r="E68" s="25"/>
      <c r="F68" s="25"/>
      <c r="G68" s="49">
        <v>0</v>
      </c>
      <c r="H68" s="49">
        <v>0</v>
      </c>
      <c r="I68" s="49">
        <v>0</v>
      </c>
      <c r="J68" s="153"/>
      <c r="K68" s="705"/>
      <c r="L68" s="702"/>
      <c r="M68" s="25"/>
      <c r="N68" s="25"/>
      <c r="O68" s="696">
        <f t="shared" si="6"/>
        <v>0</v>
      </c>
      <c r="P68" s="697">
        <v>0</v>
      </c>
      <c r="Q68" s="697">
        <f t="shared" si="7"/>
        <v>0</v>
      </c>
      <c r="R68" s="29" t="s">
        <v>103</v>
      </c>
    </row>
    <row r="69" spans="1:20" ht="24.6">
      <c r="A69" s="25"/>
      <c r="B69" s="116" t="s">
        <v>104</v>
      </c>
      <c r="C69" s="29"/>
      <c r="D69" s="29"/>
      <c r="E69" s="25"/>
      <c r="F69" s="25"/>
      <c r="G69" s="49">
        <v>0</v>
      </c>
      <c r="H69" s="49"/>
      <c r="I69" s="49">
        <v>0</v>
      </c>
      <c r="J69" s="61"/>
      <c r="K69" s="61"/>
      <c r="L69" s="61"/>
      <c r="N69" s="29"/>
      <c r="O69" s="696">
        <f t="shared" si="6"/>
        <v>0</v>
      </c>
      <c r="P69" s="49"/>
      <c r="Q69" s="697">
        <f>D69+I69-L69</f>
        <v>0</v>
      </c>
      <c r="R69" s="29"/>
    </row>
    <row r="70" spans="1:20" ht="24.6">
      <c r="A70" s="25">
        <v>1</v>
      </c>
      <c r="B70" s="29" t="s">
        <v>105</v>
      </c>
      <c r="C70" s="29"/>
      <c r="D70" s="49">
        <v>5000</v>
      </c>
      <c r="E70" s="706">
        <v>25294</v>
      </c>
      <c r="F70" s="25">
        <v>1</v>
      </c>
      <c r="G70" s="49">
        <v>5000</v>
      </c>
      <c r="H70" s="49">
        <v>0</v>
      </c>
      <c r="I70" s="49">
        <v>5000</v>
      </c>
      <c r="J70" s="153">
        <v>25341</v>
      </c>
      <c r="K70" s="700" t="s">
        <v>440</v>
      </c>
      <c r="L70" s="702">
        <v>5000</v>
      </c>
      <c r="M70" s="90" t="s">
        <v>456</v>
      </c>
      <c r="N70" s="86">
        <v>1</v>
      </c>
      <c r="O70" s="696">
        <v>5000</v>
      </c>
      <c r="P70" s="697"/>
      <c r="Q70" s="697">
        <f>D70+I70-L70</f>
        <v>5000</v>
      </c>
      <c r="R70" s="29"/>
    </row>
    <row r="71" spans="1:20" ht="24.6">
      <c r="A71" s="25">
        <v>2</v>
      </c>
      <c r="B71" s="29" t="s">
        <v>105</v>
      </c>
      <c r="C71" s="29"/>
      <c r="D71" s="49">
        <v>4650</v>
      </c>
      <c r="E71" s="706">
        <v>25294</v>
      </c>
      <c r="F71" s="25">
        <v>1</v>
      </c>
      <c r="G71" s="49">
        <v>4650</v>
      </c>
      <c r="H71" s="49">
        <v>0</v>
      </c>
      <c r="I71" s="49">
        <v>4650</v>
      </c>
      <c r="J71" s="153">
        <v>25341</v>
      </c>
      <c r="K71" s="700" t="s">
        <v>442</v>
      </c>
      <c r="L71" s="702">
        <v>4650</v>
      </c>
      <c r="M71" s="90" t="s">
        <v>456</v>
      </c>
      <c r="N71" s="86">
        <v>1</v>
      </c>
      <c r="O71" s="696">
        <v>4650</v>
      </c>
      <c r="P71" s="697"/>
      <c r="Q71" s="697">
        <f t="shared" ref="Q71:Q74" si="8">D71+I71-L71</f>
        <v>4650</v>
      </c>
      <c r="R71" s="29" t="s">
        <v>108</v>
      </c>
    </row>
    <row r="72" spans="1:20" ht="24.6">
      <c r="A72" s="25">
        <v>3</v>
      </c>
      <c r="B72" s="29" t="s">
        <v>109</v>
      </c>
      <c r="C72" s="53"/>
      <c r="D72" s="127">
        <v>3450</v>
      </c>
      <c r="E72" s="25"/>
      <c r="F72" s="25"/>
      <c r="G72" s="127">
        <v>0</v>
      </c>
      <c r="H72" s="127">
        <v>0</v>
      </c>
      <c r="I72" s="49">
        <v>0</v>
      </c>
      <c r="J72" s="153">
        <v>25328</v>
      </c>
      <c r="K72" s="700" t="s">
        <v>443</v>
      </c>
      <c r="L72" s="702">
        <v>3450</v>
      </c>
      <c r="M72" s="706"/>
      <c r="N72" s="25"/>
      <c r="O72" s="696">
        <f>D72+G72-L72</f>
        <v>0</v>
      </c>
      <c r="P72" s="697">
        <v>0</v>
      </c>
      <c r="Q72" s="697">
        <f t="shared" si="8"/>
        <v>0</v>
      </c>
      <c r="R72" s="29" t="s">
        <v>111</v>
      </c>
    </row>
    <row r="73" spans="1:20" ht="24.6">
      <c r="A73" s="25">
        <v>4</v>
      </c>
      <c r="B73" s="29" t="s">
        <v>112</v>
      </c>
      <c r="C73" s="29"/>
      <c r="D73" s="49">
        <v>3795</v>
      </c>
      <c r="E73" s="25"/>
      <c r="F73" s="25"/>
      <c r="G73" s="49">
        <v>0</v>
      </c>
      <c r="H73" s="49">
        <v>0</v>
      </c>
      <c r="I73" s="49">
        <v>0</v>
      </c>
      <c r="J73" s="153">
        <v>25328</v>
      </c>
      <c r="K73" s="700" t="s">
        <v>444</v>
      </c>
      <c r="L73" s="702">
        <v>3795</v>
      </c>
      <c r="M73" s="25"/>
      <c r="N73" s="25"/>
      <c r="O73" s="696">
        <f>D73+G73-L73</f>
        <v>0</v>
      </c>
      <c r="P73" s="697">
        <v>0</v>
      </c>
      <c r="Q73" s="697">
        <f t="shared" si="8"/>
        <v>0</v>
      </c>
      <c r="R73" s="131" t="s">
        <v>114</v>
      </c>
    </row>
    <row r="74" spans="1:20" ht="25.5" customHeight="1">
      <c r="A74" s="25">
        <v>5</v>
      </c>
      <c r="B74" s="132" t="s">
        <v>115</v>
      </c>
      <c r="C74" s="132"/>
      <c r="D74" s="133">
        <v>8000</v>
      </c>
      <c r="E74" s="29"/>
      <c r="F74" s="29"/>
      <c r="G74" s="134">
        <v>0</v>
      </c>
      <c r="H74" s="134">
        <v>0</v>
      </c>
      <c r="I74" s="134">
        <v>0</v>
      </c>
      <c r="J74" s="153">
        <v>25328</v>
      </c>
      <c r="K74" s="700" t="s">
        <v>445</v>
      </c>
      <c r="L74" s="702">
        <v>8000</v>
      </c>
      <c r="M74" s="25"/>
      <c r="N74" s="25"/>
      <c r="O74" s="696">
        <f>D74+G74-L74</f>
        <v>0</v>
      </c>
      <c r="P74" s="697">
        <v>0</v>
      </c>
      <c r="Q74" s="697">
        <f t="shared" si="8"/>
        <v>0</v>
      </c>
    </row>
    <row r="75" spans="1:20" ht="25.2" thickBot="1">
      <c r="A75" s="29"/>
      <c r="B75" s="25" t="s">
        <v>26</v>
      </c>
      <c r="C75" s="74"/>
      <c r="D75" s="78">
        <f>SUM(D42:D74)</f>
        <v>34615</v>
      </c>
      <c r="E75" s="78"/>
      <c r="F75" s="78"/>
      <c r="G75" s="78">
        <f>SUM(G42:G74)</f>
        <v>12080</v>
      </c>
      <c r="H75" s="78">
        <f>SUM(H42:H74)</f>
        <v>0</v>
      </c>
      <c r="I75" s="78">
        <f>SUM(I42:I74)</f>
        <v>12080</v>
      </c>
      <c r="J75" s="77"/>
      <c r="K75" s="77"/>
      <c r="L75" s="77">
        <f>SUM(L42:L74)</f>
        <v>32185</v>
      </c>
      <c r="M75" s="78"/>
      <c r="N75" s="135"/>
      <c r="O75" s="698">
        <f>SUM(O42:O74)</f>
        <v>14510</v>
      </c>
      <c r="P75" s="78">
        <v>0</v>
      </c>
      <c r="Q75" s="699">
        <f>SUM(Q42:Q74)</f>
        <v>14510</v>
      </c>
      <c r="R75" s="29"/>
    </row>
    <row r="76" spans="1:20" ht="25.2" thickTop="1">
      <c r="A76" s="29"/>
      <c r="B76" s="116" t="s">
        <v>117</v>
      </c>
      <c r="C76" s="46"/>
      <c r="D76" s="46"/>
      <c r="E76" s="28"/>
      <c r="F76" s="28"/>
      <c r="G76" s="46"/>
      <c r="H76" s="46"/>
      <c r="I76" s="46"/>
      <c r="J76" s="137"/>
      <c r="K76" s="138"/>
      <c r="L76" s="139"/>
      <c r="M76" s="28"/>
      <c r="N76" s="28"/>
      <c r="O76" s="696">
        <v>0</v>
      </c>
      <c r="P76" s="46"/>
      <c r="Q76" s="707">
        <v>0</v>
      </c>
      <c r="R76" s="46"/>
    </row>
    <row r="77" spans="1:20" ht="24.6">
      <c r="A77" s="29"/>
      <c r="B77" s="116" t="s">
        <v>118</v>
      </c>
      <c r="C77" s="46"/>
      <c r="D77" s="46"/>
      <c r="E77" s="25"/>
      <c r="F77" s="28"/>
      <c r="G77" s="46"/>
      <c r="H77" s="46"/>
      <c r="I77" s="46"/>
      <c r="J77" s="137"/>
      <c r="K77" s="138"/>
      <c r="L77" s="139"/>
      <c r="M77" s="28"/>
      <c r="N77" s="28"/>
      <c r="O77" s="696">
        <v>0</v>
      </c>
      <c r="P77" s="46"/>
      <c r="Q77" s="697">
        <f t="shared" ref="Q77:Q110" si="9">D77+I77-L77</f>
        <v>0</v>
      </c>
      <c r="R77" s="29"/>
    </row>
    <row r="78" spans="1:20" ht="24.6">
      <c r="A78" s="25">
        <v>1</v>
      </c>
      <c r="B78" s="119" t="s">
        <v>119</v>
      </c>
      <c r="C78" s="46"/>
      <c r="D78" s="98">
        <v>0</v>
      </c>
      <c r="E78" s="25"/>
      <c r="F78" s="28"/>
      <c r="G78" s="49">
        <v>0</v>
      </c>
      <c r="H78" s="49">
        <v>0</v>
      </c>
      <c r="I78" s="49">
        <v>0</v>
      </c>
      <c r="J78" s="26"/>
      <c r="K78" s="16"/>
      <c r="L78" s="118"/>
      <c r="M78" s="119"/>
      <c r="N78" s="28"/>
      <c r="O78" s="696">
        <v>0</v>
      </c>
      <c r="P78" s="141">
        <v>0</v>
      </c>
      <c r="Q78" s="697">
        <f t="shared" si="9"/>
        <v>0</v>
      </c>
      <c r="R78" s="29" t="s">
        <v>120</v>
      </c>
    </row>
    <row r="79" spans="1:20" ht="24.6">
      <c r="A79" s="25"/>
      <c r="B79" s="29" t="s">
        <v>120</v>
      </c>
      <c r="C79" s="46"/>
      <c r="D79" s="98"/>
      <c r="E79" s="25"/>
      <c r="F79" s="28"/>
      <c r="G79" s="49">
        <v>0</v>
      </c>
      <c r="H79" s="49"/>
      <c r="I79" s="49">
        <v>0</v>
      </c>
      <c r="J79" s="26"/>
      <c r="K79" s="16"/>
      <c r="L79" s="118"/>
      <c r="M79" s="25"/>
      <c r="N79" s="28"/>
      <c r="O79" s="696">
        <v>0</v>
      </c>
      <c r="P79" s="46"/>
      <c r="Q79" s="697">
        <f t="shared" si="9"/>
        <v>0</v>
      </c>
      <c r="R79" s="29"/>
    </row>
    <row r="80" spans="1:20" ht="24.6">
      <c r="A80" s="25">
        <v>2</v>
      </c>
      <c r="B80" s="119" t="s">
        <v>121</v>
      </c>
      <c r="C80" s="46"/>
      <c r="D80" s="98">
        <v>6000</v>
      </c>
      <c r="E80" s="25"/>
      <c r="F80" s="25"/>
      <c r="G80" s="49">
        <v>0</v>
      </c>
      <c r="H80" s="49">
        <v>0</v>
      </c>
      <c r="I80" s="49">
        <v>0</v>
      </c>
      <c r="J80" s="153">
        <v>25328</v>
      </c>
      <c r="K80" s="700" t="s">
        <v>446</v>
      </c>
      <c r="L80" s="702">
        <v>6000</v>
      </c>
      <c r="M80" s="25"/>
      <c r="N80" s="25"/>
      <c r="O80" s="696">
        <v>0</v>
      </c>
      <c r="P80" s="697">
        <v>0</v>
      </c>
      <c r="Q80" s="697">
        <f t="shared" si="9"/>
        <v>0</v>
      </c>
      <c r="R80" s="29"/>
    </row>
    <row r="81" spans="1:18" ht="24.6">
      <c r="A81" s="29"/>
      <c r="B81" s="45" t="s">
        <v>123</v>
      </c>
      <c r="C81" s="46"/>
      <c r="D81" s="46"/>
      <c r="E81" s="28"/>
      <c r="F81" s="28"/>
      <c r="G81" s="46"/>
      <c r="H81" s="46"/>
      <c r="I81" s="49">
        <v>0</v>
      </c>
      <c r="J81" s="708"/>
      <c r="K81" s="709"/>
      <c r="L81" s="710"/>
      <c r="M81" s="28"/>
      <c r="N81" s="28"/>
      <c r="O81" s="696">
        <v>0</v>
      </c>
      <c r="P81" s="46"/>
      <c r="Q81" s="697">
        <f t="shared" si="9"/>
        <v>0</v>
      </c>
      <c r="R81" s="29"/>
    </row>
    <row r="82" spans="1:18" ht="24.6">
      <c r="A82" s="25">
        <v>1</v>
      </c>
      <c r="B82" s="29" t="s">
        <v>124</v>
      </c>
      <c r="C82" s="29"/>
      <c r="D82" s="49">
        <v>600</v>
      </c>
      <c r="E82" s="25"/>
      <c r="F82" s="25"/>
      <c r="G82" s="49">
        <v>0</v>
      </c>
      <c r="H82" s="49">
        <v>0</v>
      </c>
      <c r="I82" s="49">
        <v>0</v>
      </c>
      <c r="J82" s="153" t="s">
        <v>447</v>
      </c>
      <c r="K82" s="700" t="s">
        <v>448</v>
      </c>
      <c r="L82" s="702">
        <v>600</v>
      </c>
      <c r="M82" s="25"/>
      <c r="N82" s="25"/>
      <c r="O82" s="696">
        <v>0</v>
      </c>
      <c r="P82" s="697">
        <v>0</v>
      </c>
      <c r="Q82" s="697">
        <f t="shared" si="9"/>
        <v>0</v>
      </c>
      <c r="R82" s="29"/>
    </row>
    <row r="83" spans="1:18" ht="24.6">
      <c r="A83" s="25">
        <v>2</v>
      </c>
      <c r="B83" s="29" t="s">
        <v>40</v>
      </c>
      <c r="C83" s="29"/>
      <c r="D83" s="49">
        <v>0</v>
      </c>
      <c r="E83" s="25"/>
      <c r="F83" s="25"/>
      <c r="G83" s="49">
        <v>0</v>
      </c>
      <c r="H83" s="49">
        <v>0</v>
      </c>
      <c r="I83" s="49">
        <v>0</v>
      </c>
      <c r="J83" s="153"/>
      <c r="K83" s="700"/>
      <c r="L83" s="702"/>
      <c r="M83" s="25"/>
      <c r="N83" s="25"/>
      <c r="O83" s="696">
        <v>0</v>
      </c>
      <c r="P83" s="697">
        <v>0</v>
      </c>
      <c r="Q83" s="697">
        <f t="shared" si="9"/>
        <v>0</v>
      </c>
      <c r="R83" s="29" t="s">
        <v>126</v>
      </c>
    </row>
    <row r="84" spans="1:18" ht="24.6">
      <c r="A84" s="25"/>
      <c r="B84" s="124" t="s">
        <v>127</v>
      </c>
      <c r="C84" s="29"/>
      <c r="D84" s="49"/>
      <c r="E84" s="25"/>
      <c r="F84" s="25"/>
      <c r="G84" s="49">
        <v>0</v>
      </c>
      <c r="H84" s="29"/>
      <c r="I84" s="49">
        <v>0</v>
      </c>
      <c r="J84" s="26"/>
      <c r="K84" s="16"/>
      <c r="L84" s="118"/>
      <c r="M84" s="25"/>
      <c r="N84" s="25"/>
      <c r="O84" s="696">
        <v>0</v>
      </c>
      <c r="P84" s="49"/>
      <c r="Q84" s="697">
        <f t="shared" si="9"/>
        <v>0</v>
      </c>
      <c r="R84" s="29"/>
    </row>
    <row r="85" spans="1:18" ht="24.6">
      <c r="A85" s="25">
        <v>1</v>
      </c>
      <c r="B85" s="119" t="s">
        <v>128</v>
      </c>
      <c r="C85" s="29"/>
      <c r="D85" s="49"/>
      <c r="E85" s="25"/>
      <c r="F85" s="25"/>
      <c r="G85" s="49">
        <v>0</v>
      </c>
      <c r="H85" s="49">
        <v>0</v>
      </c>
      <c r="I85" s="49">
        <v>0</v>
      </c>
      <c r="J85" s="26"/>
      <c r="K85" s="16"/>
      <c r="L85" s="118"/>
      <c r="M85" s="25"/>
      <c r="N85" s="25"/>
      <c r="O85" s="696">
        <v>0</v>
      </c>
      <c r="P85" s="697">
        <v>0</v>
      </c>
      <c r="Q85" s="697">
        <f t="shared" si="9"/>
        <v>0</v>
      </c>
      <c r="R85" s="29" t="s">
        <v>129</v>
      </c>
    </row>
    <row r="86" spans="1:18" ht="24.6">
      <c r="A86" s="25">
        <v>2</v>
      </c>
      <c r="B86" s="29" t="s">
        <v>130</v>
      </c>
      <c r="C86" s="29"/>
      <c r="D86" s="49">
        <v>550</v>
      </c>
      <c r="E86" s="25"/>
      <c r="F86" s="25"/>
      <c r="G86" s="49">
        <v>0</v>
      </c>
      <c r="H86" s="49">
        <v>0</v>
      </c>
      <c r="I86" s="49">
        <v>0</v>
      </c>
      <c r="J86" s="153">
        <v>25353</v>
      </c>
      <c r="K86" s="700" t="s">
        <v>422</v>
      </c>
      <c r="L86" s="702">
        <v>550</v>
      </c>
      <c r="M86" s="25"/>
      <c r="N86" s="25"/>
      <c r="O86" s="696">
        <v>0</v>
      </c>
      <c r="P86" s="697">
        <v>0</v>
      </c>
      <c r="Q86" s="697">
        <f t="shared" si="9"/>
        <v>0</v>
      </c>
      <c r="R86" s="29"/>
    </row>
    <row r="87" spans="1:18" ht="24.6">
      <c r="A87" s="25" t="s">
        <v>370</v>
      </c>
      <c r="B87" s="29" t="s">
        <v>225</v>
      </c>
      <c r="C87" s="29"/>
      <c r="D87" s="49"/>
      <c r="E87" s="25"/>
      <c r="F87" s="25"/>
      <c r="G87" s="49"/>
      <c r="H87" s="49"/>
      <c r="I87" s="49"/>
      <c r="J87" s="153"/>
      <c r="K87" s="700"/>
      <c r="L87" s="702"/>
      <c r="M87" s="25"/>
      <c r="N87" s="25"/>
      <c r="O87" s="696"/>
      <c r="P87" s="707"/>
      <c r="Q87" s="697">
        <f t="shared" si="9"/>
        <v>0</v>
      </c>
      <c r="R87" s="29"/>
    </row>
    <row r="88" spans="1:18" ht="24.6">
      <c r="A88" s="25">
        <v>4</v>
      </c>
      <c r="B88" s="29" t="s">
        <v>132</v>
      </c>
      <c r="C88" s="29"/>
      <c r="D88" s="49">
        <v>1100</v>
      </c>
      <c r="E88" s="25"/>
      <c r="F88" s="25"/>
      <c r="G88" s="89"/>
      <c r="H88" s="49"/>
      <c r="I88" s="49"/>
      <c r="J88" s="153">
        <v>25341</v>
      </c>
      <c r="K88" s="700" t="s">
        <v>449</v>
      </c>
      <c r="L88" s="702">
        <v>1100</v>
      </c>
      <c r="M88" s="25"/>
      <c r="N88" s="25"/>
      <c r="O88" s="696">
        <f>SUM(D88+I88-L88)</f>
        <v>0</v>
      </c>
      <c r="P88" s="696"/>
      <c r="Q88" s="697">
        <f t="shared" si="9"/>
        <v>0</v>
      </c>
      <c r="R88" s="29"/>
    </row>
    <row r="89" spans="1:18" ht="24.6">
      <c r="A89" s="25">
        <v>5</v>
      </c>
      <c r="B89" s="29" t="s">
        <v>134</v>
      </c>
      <c r="C89" s="29"/>
      <c r="D89" s="49">
        <v>1650</v>
      </c>
      <c r="E89" s="25"/>
      <c r="F89" s="25"/>
      <c r="G89" s="89"/>
      <c r="H89" s="49"/>
      <c r="I89" s="49"/>
      <c r="J89" s="153">
        <v>25353</v>
      </c>
      <c r="K89" s="705" t="s">
        <v>450</v>
      </c>
      <c r="L89" s="702">
        <v>1650</v>
      </c>
      <c r="M89" s="25"/>
      <c r="N89" s="25"/>
      <c r="O89" s="696">
        <f t="shared" ref="O89:O93" si="10">SUM(D89+I89-L89)</f>
        <v>0</v>
      </c>
      <c r="P89" s="697">
        <v>0</v>
      </c>
      <c r="Q89" s="697">
        <f t="shared" si="9"/>
        <v>0</v>
      </c>
      <c r="R89" s="29"/>
    </row>
    <row r="90" spans="1:18" ht="24.6">
      <c r="A90" s="25"/>
      <c r="B90" s="116" t="s">
        <v>136</v>
      </c>
      <c r="C90" s="29"/>
      <c r="D90" s="49"/>
      <c r="E90" s="25"/>
      <c r="F90" s="25"/>
      <c r="G90" s="89"/>
      <c r="H90" s="29"/>
      <c r="I90" s="49"/>
      <c r="J90" s="153"/>
      <c r="K90" s="700"/>
      <c r="L90" s="702"/>
      <c r="M90" s="25"/>
      <c r="N90" s="25"/>
      <c r="O90" s="696">
        <f t="shared" si="10"/>
        <v>0</v>
      </c>
      <c r="P90" s="49"/>
      <c r="Q90" s="697">
        <f t="shared" si="9"/>
        <v>0</v>
      </c>
      <c r="R90" s="29"/>
    </row>
    <row r="91" spans="1:18" ht="24.6">
      <c r="A91" s="25">
        <v>1</v>
      </c>
      <c r="B91" s="29" t="s">
        <v>137</v>
      </c>
      <c r="C91" s="29"/>
      <c r="D91" s="49">
        <v>5000</v>
      </c>
      <c r="E91" s="25"/>
      <c r="F91" s="25"/>
      <c r="G91" s="89"/>
      <c r="H91" s="49"/>
      <c r="I91" s="49"/>
      <c r="J91" s="153">
        <v>25330</v>
      </c>
      <c r="K91" s="700" t="s">
        <v>451</v>
      </c>
      <c r="L91" s="702">
        <v>5000</v>
      </c>
      <c r="M91" s="68"/>
      <c r="N91" s="25"/>
      <c r="O91" s="696">
        <f t="shared" si="10"/>
        <v>0</v>
      </c>
      <c r="P91" s="697">
        <v>0</v>
      </c>
      <c r="Q91" s="697">
        <f t="shared" si="9"/>
        <v>0</v>
      </c>
      <c r="R91" s="29"/>
    </row>
    <row r="92" spans="1:18" ht="24.6">
      <c r="A92" s="25"/>
      <c r="B92" s="116" t="s">
        <v>140</v>
      </c>
      <c r="C92" s="29"/>
      <c r="D92" s="49"/>
      <c r="E92" s="25"/>
      <c r="F92" s="25"/>
      <c r="G92" s="49">
        <v>0</v>
      </c>
      <c r="H92" s="49"/>
      <c r="I92" s="49">
        <v>0</v>
      </c>
      <c r="J92" s="153"/>
      <c r="K92" s="705"/>
      <c r="L92" s="702"/>
      <c r="M92" s="25"/>
      <c r="N92" s="25"/>
      <c r="O92" s="696">
        <f t="shared" si="10"/>
        <v>0</v>
      </c>
      <c r="P92" s="49"/>
      <c r="Q92" s="697">
        <f t="shared" si="9"/>
        <v>0</v>
      </c>
      <c r="R92" s="29"/>
    </row>
    <row r="93" spans="1:18" ht="24.6">
      <c r="A93" s="25">
        <v>1</v>
      </c>
      <c r="B93" s="29" t="s">
        <v>141</v>
      </c>
      <c r="C93" s="29"/>
      <c r="D93" s="49">
        <v>0</v>
      </c>
      <c r="E93" s="25"/>
      <c r="F93" s="25"/>
      <c r="G93" s="49">
        <v>0</v>
      </c>
      <c r="H93" s="49">
        <v>0</v>
      </c>
      <c r="I93" s="49">
        <v>0</v>
      </c>
      <c r="J93" s="153"/>
      <c r="K93" s="700"/>
      <c r="L93" s="702"/>
      <c r="M93" s="25"/>
      <c r="N93" s="25"/>
      <c r="O93" s="696">
        <f t="shared" si="10"/>
        <v>0</v>
      </c>
      <c r="P93" s="697">
        <v>0</v>
      </c>
      <c r="Q93" s="697">
        <f t="shared" si="9"/>
        <v>0</v>
      </c>
      <c r="R93" s="29"/>
    </row>
    <row r="94" spans="1:18" ht="24.6">
      <c r="A94" s="25"/>
      <c r="B94" s="116" t="s">
        <v>142</v>
      </c>
      <c r="C94" s="29"/>
      <c r="D94" s="49"/>
      <c r="E94" s="25"/>
      <c r="F94" s="25"/>
      <c r="G94" s="49">
        <v>0</v>
      </c>
      <c r="H94" s="29"/>
      <c r="I94" s="49">
        <v>0</v>
      </c>
      <c r="J94" s="153"/>
      <c r="K94" s="700"/>
      <c r="L94" s="702"/>
      <c r="M94" s="25"/>
      <c r="N94" s="25"/>
      <c r="O94" s="696">
        <v>0</v>
      </c>
      <c r="P94" s="49"/>
      <c r="Q94" s="697">
        <f t="shared" si="9"/>
        <v>0</v>
      </c>
      <c r="R94" s="29"/>
    </row>
    <row r="95" spans="1:18" ht="24.6">
      <c r="A95" s="25">
        <v>1</v>
      </c>
      <c r="B95" s="29" t="s">
        <v>143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153"/>
      <c r="K95" s="700"/>
      <c r="L95" s="702"/>
      <c r="M95" s="25"/>
      <c r="N95" s="25"/>
      <c r="O95" s="696">
        <v>0</v>
      </c>
      <c r="P95" s="697">
        <v>0</v>
      </c>
      <c r="Q95" s="697">
        <f t="shared" si="9"/>
        <v>0</v>
      </c>
      <c r="R95" s="29" t="s">
        <v>64</v>
      </c>
    </row>
    <row r="96" spans="1:18" ht="24.6">
      <c r="A96" s="25">
        <v>2</v>
      </c>
      <c r="B96" s="29" t="s">
        <v>144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145"/>
      <c r="K96" s="146"/>
      <c r="L96" s="147"/>
      <c r="M96" s="25"/>
      <c r="N96" s="25"/>
      <c r="O96" s="696">
        <v>0</v>
      </c>
      <c r="P96" s="697">
        <v>0</v>
      </c>
      <c r="Q96" s="697">
        <f t="shared" si="9"/>
        <v>0</v>
      </c>
      <c r="R96" s="29" t="s">
        <v>145</v>
      </c>
    </row>
    <row r="97" spans="1:18" ht="24.6">
      <c r="A97" s="25">
        <v>3</v>
      </c>
      <c r="B97" s="29" t="s">
        <v>146</v>
      </c>
      <c r="C97" s="29"/>
      <c r="D97" s="49">
        <v>0</v>
      </c>
      <c r="E97" s="25"/>
      <c r="F97" s="25"/>
      <c r="G97" s="52">
        <v>0</v>
      </c>
      <c r="H97" s="49">
        <v>0</v>
      </c>
      <c r="I97" s="49">
        <v>0</v>
      </c>
      <c r="J97" s="153"/>
      <c r="K97" s="700"/>
      <c r="L97" s="702"/>
      <c r="M97" s="25"/>
      <c r="N97" s="25"/>
      <c r="O97" s="696">
        <v>0</v>
      </c>
      <c r="P97" s="697">
        <v>0</v>
      </c>
      <c r="Q97" s="697">
        <f t="shared" si="9"/>
        <v>0</v>
      </c>
      <c r="R97" s="29"/>
    </row>
    <row r="98" spans="1:18" ht="24.6">
      <c r="A98" s="25">
        <v>4</v>
      </c>
      <c r="B98" s="29" t="s">
        <v>147</v>
      </c>
      <c r="C98" s="29"/>
      <c r="D98" s="49">
        <v>0</v>
      </c>
      <c r="E98" s="25"/>
      <c r="F98" s="25"/>
      <c r="G98" s="696">
        <v>0</v>
      </c>
      <c r="H98" s="697">
        <v>0</v>
      </c>
      <c r="I98" s="697">
        <v>0</v>
      </c>
      <c r="J98" s="153"/>
      <c r="K98" s="700"/>
      <c r="L98" s="702"/>
      <c r="M98" s="25"/>
      <c r="N98" s="25"/>
      <c r="O98" s="696">
        <v>0</v>
      </c>
      <c r="P98" s="697">
        <v>0</v>
      </c>
      <c r="Q98" s="697">
        <f t="shared" si="9"/>
        <v>0</v>
      </c>
      <c r="R98" s="29" t="s">
        <v>148</v>
      </c>
    </row>
    <row r="99" spans="1:18" ht="24.6">
      <c r="A99" s="25">
        <v>5</v>
      </c>
      <c r="B99" s="29" t="s">
        <v>149</v>
      </c>
      <c r="C99" s="29"/>
      <c r="D99" s="49">
        <v>0</v>
      </c>
      <c r="E99" s="25"/>
      <c r="F99" s="25"/>
      <c r="G99" s="696">
        <v>0</v>
      </c>
      <c r="H99" s="697">
        <v>0</v>
      </c>
      <c r="I99" s="697">
        <v>0</v>
      </c>
      <c r="J99" s="153"/>
      <c r="K99" s="700"/>
      <c r="L99" s="702"/>
      <c r="M99" s="25"/>
      <c r="N99" s="25"/>
      <c r="O99" s="696">
        <v>0</v>
      </c>
      <c r="P99" s="697">
        <v>0</v>
      </c>
      <c r="Q99" s="697">
        <f t="shared" si="9"/>
        <v>0</v>
      </c>
      <c r="R99" s="29" t="s">
        <v>150</v>
      </c>
    </row>
    <row r="100" spans="1:18" ht="24.6">
      <c r="A100" s="25">
        <v>6</v>
      </c>
      <c r="B100" s="29" t="s">
        <v>151</v>
      </c>
      <c r="C100" s="29"/>
      <c r="D100" s="49"/>
      <c r="E100" s="25"/>
      <c r="F100" s="25"/>
      <c r="G100" s="696">
        <v>0</v>
      </c>
      <c r="H100" s="697"/>
      <c r="I100" s="697">
        <v>0</v>
      </c>
      <c r="J100" s="153"/>
      <c r="K100" s="700"/>
      <c r="L100" s="702"/>
      <c r="M100" s="25"/>
      <c r="N100" s="25"/>
      <c r="O100" s="696">
        <v>0</v>
      </c>
      <c r="P100" s="697"/>
      <c r="Q100" s="697">
        <f t="shared" si="9"/>
        <v>0</v>
      </c>
      <c r="R100" s="29" t="s">
        <v>152</v>
      </c>
    </row>
    <row r="101" spans="1:18" ht="24.6">
      <c r="A101" s="25">
        <v>7</v>
      </c>
      <c r="B101" s="29" t="s">
        <v>153</v>
      </c>
      <c r="C101" s="29"/>
      <c r="D101" s="49"/>
      <c r="E101" s="25"/>
      <c r="F101" s="25"/>
      <c r="G101" s="696">
        <v>0</v>
      </c>
      <c r="H101" s="697"/>
      <c r="I101" s="697">
        <v>0</v>
      </c>
      <c r="J101" s="153"/>
      <c r="K101" s="700"/>
      <c r="L101" s="702"/>
      <c r="M101" s="25"/>
      <c r="N101" s="25"/>
      <c r="O101" s="696">
        <v>0</v>
      </c>
      <c r="P101" s="697"/>
      <c r="Q101" s="697">
        <f t="shared" si="9"/>
        <v>0</v>
      </c>
      <c r="R101" s="29" t="s">
        <v>64</v>
      </c>
    </row>
    <row r="102" spans="1:18" ht="24.6">
      <c r="A102" s="25">
        <v>8</v>
      </c>
      <c r="B102" s="29" t="s">
        <v>154</v>
      </c>
      <c r="C102" s="29"/>
      <c r="D102" s="49"/>
      <c r="E102" s="25"/>
      <c r="F102" s="25"/>
      <c r="G102" s="696">
        <v>0</v>
      </c>
      <c r="H102" s="697"/>
      <c r="I102" s="697">
        <v>0</v>
      </c>
      <c r="J102" s="153"/>
      <c r="K102" s="700"/>
      <c r="L102" s="702"/>
      <c r="M102" s="25"/>
      <c r="N102" s="25"/>
      <c r="O102" s="696">
        <v>0</v>
      </c>
      <c r="P102" s="697"/>
      <c r="Q102" s="697">
        <f t="shared" si="9"/>
        <v>0</v>
      </c>
      <c r="R102" s="29" t="s">
        <v>155</v>
      </c>
    </row>
    <row r="103" spans="1:18" ht="24.6">
      <c r="A103" s="25">
        <v>9</v>
      </c>
      <c r="B103" s="29" t="s">
        <v>156</v>
      </c>
      <c r="C103" s="29"/>
      <c r="D103" s="49"/>
      <c r="E103" s="25"/>
      <c r="F103" s="25"/>
      <c r="G103" s="696">
        <v>0</v>
      </c>
      <c r="H103" s="697"/>
      <c r="I103" s="697">
        <v>0</v>
      </c>
      <c r="J103" s="153"/>
      <c r="K103" s="700"/>
      <c r="L103" s="702"/>
      <c r="M103" s="25"/>
      <c r="N103" s="25"/>
      <c r="O103" s="696">
        <v>0</v>
      </c>
      <c r="P103" s="697"/>
      <c r="Q103" s="697">
        <f t="shared" si="9"/>
        <v>0</v>
      </c>
      <c r="R103" s="29" t="s">
        <v>64</v>
      </c>
    </row>
    <row r="104" spans="1:18" ht="24.6">
      <c r="A104" s="25">
        <v>10</v>
      </c>
      <c r="B104" s="29" t="s">
        <v>157</v>
      </c>
      <c r="C104" s="29"/>
      <c r="D104" s="49"/>
      <c r="E104" s="25"/>
      <c r="F104" s="25"/>
      <c r="G104" s="696">
        <v>0</v>
      </c>
      <c r="H104" s="697"/>
      <c r="I104" s="697">
        <v>0</v>
      </c>
      <c r="J104" s="153"/>
      <c r="K104" s="700"/>
      <c r="L104" s="702"/>
      <c r="M104" s="25"/>
      <c r="N104" s="25"/>
      <c r="O104" s="696">
        <v>0</v>
      </c>
      <c r="P104" s="697"/>
      <c r="Q104" s="697">
        <f t="shared" si="9"/>
        <v>0</v>
      </c>
      <c r="R104" s="29" t="s">
        <v>158</v>
      </c>
    </row>
    <row r="105" spans="1:18" ht="24.6">
      <c r="A105" s="25">
        <v>11</v>
      </c>
      <c r="B105" s="148" t="s">
        <v>159</v>
      </c>
      <c r="C105" s="29"/>
      <c r="D105" s="49">
        <v>0</v>
      </c>
      <c r="E105" s="25"/>
      <c r="F105" s="25"/>
      <c r="G105" s="696">
        <v>0</v>
      </c>
      <c r="H105" s="697">
        <v>0</v>
      </c>
      <c r="I105" s="697">
        <v>0</v>
      </c>
      <c r="J105" s="153"/>
      <c r="K105" s="702"/>
      <c r="L105" s="702"/>
      <c r="M105" s="25"/>
      <c r="N105" s="25"/>
      <c r="O105" s="696">
        <v>0</v>
      </c>
      <c r="P105" s="697">
        <v>0</v>
      </c>
      <c r="Q105" s="697">
        <f t="shared" si="9"/>
        <v>0</v>
      </c>
      <c r="R105" s="29"/>
    </row>
    <row r="106" spans="1:18" ht="24.6">
      <c r="A106" s="25">
        <v>12</v>
      </c>
      <c r="B106" s="29" t="s">
        <v>160</v>
      </c>
      <c r="C106" s="29"/>
      <c r="D106" s="49">
        <v>0</v>
      </c>
      <c r="E106" s="25"/>
      <c r="F106" s="25"/>
      <c r="G106" s="696">
        <v>0</v>
      </c>
      <c r="H106" s="697">
        <v>0</v>
      </c>
      <c r="I106" s="697">
        <v>0</v>
      </c>
      <c r="J106" s="153"/>
      <c r="K106" s="700"/>
      <c r="L106" s="702"/>
      <c r="M106" s="25"/>
      <c r="N106" s="25"/>
      <c r="O106" s="696">
        <v>0</v>
      </c>
      <c r="P106" s="697">
        <v>0</v>
      </c>
      <c r="Q106" s="697">
        <f t="shared" si="9"/>
        <v>0</v>
      </c>
      <c r="R106" s="29" t="s">
        <v>161</v>
      </c>
    </row>
    <row r="107" spans="1:18" ht="24.6">
      <c r="A107" s="25">
        <v>13</v>
      </c>
      <c r="B107" s="148" t="s">
        <v>162</v>
      </c>
      <c r="C107" s="29"/>
      <c r="D107" s="49">
        <v>0</v>
      </c>
      <c r="E107" s="25"/>
      <c r="F107" s="25"/>
      <c r="G107" s="696">
        <v>0</v>
      </c>
      <c r="H107" s="697">
        <v>0</v>
      </c>
      <c r="I107" s="697">
        <v>0</v>
      </c>
      <c r="J107" s="153"/>
      <c r="K107" s="700"/>
      <c r="L107" s="711"/>
      <c r="M107" s="25"/>
      <c r="N107" s="25"/>
      <c r="O107" s="696">
        <v>0</v>
      </c>
      <c r="P107" s="697">
        <v>0</v>
      </c>
      <c r="Q107" s="697">
        <f t="shared" si="9"/>
        <v>0</v>
      </c>
      <c r="R107" s="29" t="s">
        <v>163</v>
      </c>
    </row>
    <row r="108" spans="1:18" ht="24.6">
      <c r="A108" s="25">
        <v>14</v>
      </c>
      <c r="B108" s="148" t="s">
        <v>164</v>
      </c>
      <c r="C108" s="29"/>
      <c r="D108" s="49">
        <v>0</v>
      </c>
      <c r="E108" s="25"/>
      <c r="F108" s="25"/>
      <c r="G108" s="696">
        <v>0</v>
      </c>
      <c r="H108" s="697">
        <v>0</v>
      </c>
      <c r="I108" s="697">
        <v>0</v>
      </c>
      <c r="J108" s="153"/>
      <c r="K108" s="700"/>
      <c r="L108" s="711"/>
      <c r="M108" s="25"/>
      <c r="N108" s="25"/>
      <c r="O108" s="696">
        <v>0</v>
      </c>
      <c r="P108" s="697">
        <v>0</v>
      </c>
      <c r="Q108" s="697">
        <f t="shared" si="9"/>
        <v>0</v>
      </c>
      <c r="R108" s="29" t="s">
        <v>165</v>
      </c>
    </row>
    <row r="109" spans="1:18" ht="24.6">
      <c r="A109" s="25">
        <v>15</v>
      </c>
      <c r="B109" s="148" t="s">
        <v>166</v>
      </c>
      <c r="C109" s="29"/>
      <c r="D109" s="49">
        <v>0</v>
      </c>
      <c r="E109" s="25"/>
      <c r="F109" s="25"/>
      <c r="G109" s="696">
        <v>0</v>
      </c>
      <c r="H109" s="697">
        <v>0</v>
      </c>
      <c r="I109" s="697">
        <v>0</v>
      </c>
      <c r="J109" s="153"/>
      <c r="K109" s="700"/>
      <c r="L109" s="711"/>
      <c r="M109" s="25"/>
      <c r="N109" s="25"/>
      <c r="O109" s="696">
        <v>0</v>
      </c>
      <c r="P109" s="697">
        <v>0</v>
      </c>
      <c r="Q109" s="697">
        <f t="shared" si="9"/>
        <v>0</v>
      </c>
      <c r="R109" s="29" t="s">
        <v>64</v>
      </c>
    </row>
    <row r="110" spans="1:18" ht="18.75" customHeight="1">
      <c r="A110" s="3">
        <v>16</v>
      </c>
      <c r="B110" s="151" t="s">
        <v>167</v>
      </c>
      <c r="C110" s="29"/>
      <c r="D110" s="49">
        <v>0</v>
      </c>
      <c r="E110" s="25"/>
      <c r="F110" s="25"/>
      <c r="G110" s="696">
        <v>0</v>
      </c>
      <c r="H110" s="697">
        <v>0</v>
      </c>
      <c r="I110" s="697">
        <v>0</v>
      </c>
      <c r="J110" s="153"/>
      <c r="K110" s="700"/>
      <c r="L110" s="711"/>
      <c r="M110" s="25"/>
      <c r="N110" s="25"/>
      <c r="O110" s="696">
        <v>0</v>
      </c>
      <c r="P110" s="697">
        <v>0</v>
      </c>
      <c r="Q110" s="697">
        <f t="shared" si="9"/>
        <v>0</v>
      </c>
      <c r="R110" s="29" t="s">
        <v>145</v>
      </c>
    </row>
    <row r="111" spans="1:18" ht="25.2" thickBot="1">
      <c r="A111" s="29"/>
      <c r="B111" s="25" t="s">
        <v>26</v>
      </c>
      <c r="C111" s="64"/>
      <c r="D111" s="63">
        <f>SUM(D78:D110)</f>
        <v>14900</v>
      </c>
      <c r="E111" s="63"/>
      <c r="F111" s="63"/>
      <c r="G111" s="63">
        <f>SUM(G78:G110)</f>
        <v>0</v>
      </c>
      <c r="H111" s="63">
        <f>SUM(H78:H110)</f>
        <v>0</v>
      </c>
      <c r="I111" s="63">
        <f>SUM(I78:I110)</f>
        <v>0</v>
      </c>
      <c r="J111" s="67"/>
      <c r="K111" s="67"/>
      <c r="L111" s="67">
        <f>SUM(L78:L110)</f>
        <v>14900</v>
      </c>
      <c r="M111" s="63"/>
      <c r="N111" s="105"/>
      <c r="O111" s="698">
        <f>SUM(O78:O110)</f>
        <v>0</v>
      </c>
      <c r="P111" s="698">
        <f>SUM(P78:P110)</f>
        <v>0</v>
      </c>
      <c r="Q111" s="698">
        <f>SUM(Q78:Q110)</f>
        <v>0</v>
      </c>
      <c r="R111" s="29"/>
    </row>
    <row r="112" spans="1:18" ht="25.2" thickTop="1">
      <c r="A112" s="29"/>
      <c r="B112" s="25"/>
      <c r="C112" s="46"/>
      <c r="D112" s="57"/>
      <c r="E112" s="46"/>
      <c r="F112" s="46"/>
      <c r="G112" s="57"/>
      <c r="H112" s="57"/>
      <c r="I112" s="57"/>
      <c r="J112" s="137"/>
      <c r="K112" s="48"/>
      <c r="L112" s="58"/>
      <c r="M112" s="46"/>
      <c r="N112" s="28"/>
      <c r="O112" s="57"/>
      <c r="P112" s="57"/>
      <c r="Q112" s="57"/>
      <c r="R112" s="46"/>
    </row>
    <row r="113" spans="1:20" ht="24.6">
      <c r="A113" s="29"/>
      <c r="B113" s="45" t="s">
        <v>168</v>
      </c>
      <c r="C113" s="29"/>
      <c r="D113" s="59"/>
      <c r="E113" s="29"/>
      <c r="F113" s="29"/>
      <c r="G113" s="59"/>
      <c r="H113" s="59"/>
      <c r="I113" s="59"/>
      <c r="J113" s="26"/>
      <c r="K113" s="61"/>
      <c r="L113" s="62"/>
      <c r="M113" s="29"/>
      <c r="N113" s="25"/>
      <c r="O113" s="59"/>
      <c r="P113" s="59"/>
      <c r="Q113" s="59"/>
      <c r="R113" s="46"/>
    </row>
    <row r="114" spans="1:20" ht="25.2" thickBot="1">
      <c r="A114" s="25">
        <v>1</v>
      </c>
      <c r="B114" s="25"/>
      <c r="C114" s="74"/>
      <c r="D114" s="78"/>
      <c r="E114" s="74"/>
      <c r="F114" s="74"/>
      <c r="G114" s="78"/>
      <c r="H114" s="78"/>
      <c r="I114" s="78"/>
      <c r="J114" s="35"/>
      <c r="K114" s="76"/>
      <c r="L114" s="77"/>
      <c r="M114" s="74"/>
      <c r="N114" s="34"/>
      <c r="O114" s="78"/>
      <c r="P114" s="78"/>
      <c r="Q114" s="78"/>
      <c r="R114" s="46"/>
    </row>
    <row r="115" spans="1:20" ht="25.8" thickTop="1" thickBot="1">
      <c r="A115" s="29"/>
      <c r="B115" s="25" t="s">
        <v>26</v>
      </c>
      <c r="C115" s="64"/>
      <c r="D115" s="63"/>
      <c r="E115" s="64"/>
      <c r="F115" s="64"/>
      <c r="G115" s="63"/>
      <c r="H115" s="63"/>
      <c r="I115" s="63"/>
      <c r="J115" s="42"/>
      <c r="K115" s="66"/>
      <c r="L115" s="67"/>
      <c r="M115" s="64"/>
      <c r="N115" s="41"/>
      <c r="O115" s="63"/>
      <c r="P115" s="63"/>
      <c r="Q115" s="63"/>
      <c r="R115" s="46"/>
    </row>
    <row r="116" spans="1:20" ht="25.2" thickTop="1">
      <c r="A116" s="29"/>
      <c r="B116" s="45" t="s">
        <v>169</v>
      </c>
      <c r="C116" s="46"/>
      <c r="D116" s="57"/>
      <c r="E116" s="46"/>
      <c r="F116" s="46"/>
      <c r="G116" s="57"/>
      <c r="H116" s="57"/>
      <c r="I116" s="57"/>
      <c r="J116" s="137"/>
      <c r="K116" s="48"/>
      <c r="L116" s="58"/>
      <c r="M116" s="46"/>
      <c r="N116" s="28"/>
      <c r="O116" s="57"/>
      <c r="P116" s="57"/>
      <c r="Q116" s="57"/>
      <c r="R116" s="46"/>
    </row>
    <row r="117" spans="1:20" ht="25.2" thickBot="1">
      <c r="A117" s="25">
        <v>1</v>
      </c>
      <c r="B117" s="25"/>
      <c r="C117" s="74"/>
      <c r="D117" s="78"/>
      <c r="E117" s="74"/>
      <c r="F117" s="74"/>
      <c r="G117" s="78"/>
      <c r="H117" s="78"/>
      <c r="I117" s="78"/>
      <c r="J117" s="35"/>
      <c r="K117" s="76"/>
      <c r="L117" s="77"/>
      <c r="M117" s="74"/>
      <c r="N117" s="34"/>
      <c r="O117" s="78"/>
      <c r="P117" s="78"/>
      <c r="Q117" s="78"/>
      <c r="R117" s="46"/>
    </row>
    <row r="118" spans="1:20" ht="25.8" thickTop="1" thickBot="1">
      <c r="A118" s="29"/>
      <c r="B118" s="25" t="s">
        <v>26</v>
      </c>
      <c r="C118" s="79"/>
      <c r="D118" s="54"/>
      <c r="E118" s="79"/>
      <c r="F118" s="79"/>
      <c r="G118" s="54"/>
      <c r="H118" s="54"/>
      <c r="I118" s="54"/>
      <c r="J118" s="152"/>
      <c r="K118" s="81"/>
      <c r="L118" s="55"/>
      <c r="M118" s="79"/>
      <c r="N118" s="82"/>
      <c r="O118" s="54"/>
      <c r="P118" s="54"/>
      <c r="Q118" s="54"/>
      <c r="R118" s="46"/>
    </row>
    <row r="119" spans="1:20" ht="25.2" thickTop="1">
      <c r="A119" s="29"/>
      <c r="B119" s="45" t="s">
        <v>170</v>
      </c>
      <c r="C119" s="46"/>
      <c r="D119" s="57"/>
      <c r="E119" s="46"/>
      <c r="F119" s="46"/>
      <c r="G119" s="57"/>
      <c r="H119" s="57"/>
      <c r="I119" s="57"/>
      <c r="J119" s="137"/>
      <c r="K119" s="48"/>
      <c r="L119" s="58"/>
      <c r="M119" s="46"/>
      <c r="N119" s="28"/>
      <c r="O119" s="57"/>
      <c r="P119" s="57"/>
      <c r="Q119" s="57"/>
      <c r="R119" s="46"/>
    </row>
    <row r="120" spans="1:20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20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20" ht="25.2" thickTop="1">
      <c r="A122" s="29"/>
      <c r="B122" s="116" t="s">
        <v>171</v>
      </c>
      <c r="C122" s="46"/>
      <c r="D122" s="46"/>
      <c r="E122" s="46"/>
      <c r="F122" s="46"/>
      <c r="G122" s="46"/>
      <c r="H122" s="46"/>
      <c r="I122" s="46"/>
      <c r="J122" s="137"/>
      <c r="K122" s="48"/>
      <c r="L122" s="48"/>
      <c r="M122" s="46"/>
      <c r="N122" s="28"/>
      <c r="O122" s="46"/>
      <c r="P122" s="46"/>
      <c r="Q122" s="46"/>
      <c r="R122" s="46"/>
    </row>
    <row r="123" spans="1:20" ht="24.6">
      <c r="A123" s="29"/>
      <c r="B123" s="116" t="s">
        <v>53</v>
      </c>
      <c r="C123" s="46"/>
      <c r="D123" s="46"/>
      <c r="E123" s="46"/>
      <c r="F123" s="46"/>
      <c r="G123" s="46"/>
      <c r="H123" s="46"/>
      <c r="I123" s="46"/>
      <c r="J123" s="137"/>
      <c r="K123" s="48"/>
      <c r="L123" s="48"/>
      <c r="M123" s="46"/>
      <c r="N123" s="28"/>
      <c r="O123" s="46"/>
      <c r="P123" s="46"/>
      <c r="Q123" s="46"/>
      <c r="R123" s="46"/>
    </row>
    <row r="124" spans="1:20" s="96" customFormat="1" ht="24.6">
      <c r="A124" s="86">
        <v>1</v>
      </c>
      <c r="B124" s="87" t="s">
        <v>54</v>
      </c>
      <c r="C124" s="87"/>
      <c r="D124" s="89">
        <v>0</v>
      </c>
      <c r="E124" s="87"/>
      <c r="F124" s="87" t="s">
        <v>172</v>
      </c>
      <c r="G124" s="89">
        <v>0</v>
      </c>
      <c r="H124" s="89">
        <v>0</v>
      </c>
      <c r="I124" s="89">
        <v>0</v>
      </c>
      <c r="J124" s="153"/>
      <c r="K124" s="154"/>
      <c r="L124" s="155"/>
      <c r="M124" s="87"/>
      <c r="N124" s="86" t="s">
        <v>172</v>
      </c>
      <c r="O124" s="696">
        <v>0</v>
      </c>
      <c r="P124" s="697">
        <v>0</v>
      </c>
      <c r="Q124" s="697">
        <v>0</v>
      </c>
      <c r="R124" s="87" t="s">
        <v>173</v>
      </c>
      <c r="T124" s="97"/>
    </row>
    <row r="125" spans="1:20" ht="24.6">
      <c r="A125" s="25">
        <v>2</v>
      </c>
      <c r="B125" s="29" t="s">
        <v>174</v>
      </c>
      <c r="C125" s="29"/>
      <c r="D125" s="49">
        <v>0</v>
      </c>
      <c r="E125" s="29"/>
      <c r="F125" s="156"/>
      <c r="G125" s="157">
        <v>0</v>
      </c>
      <c r="H125" s="157">
        <v>0</v>
      </c>
      <c r="I125" s="157">
        <v>0</v>
      </c>
      <c r="J125" s="26"/>
      <c r="K125" s="16"/>
      <c r="L125" s="51"/>
      <c r="M125" s="29"/>
      <c r="N125" s="25"/>
      <c r="O125" s="696">
        <v>0</v>
      </c>
      <c r="P125" s="697">
        <v>0</v>
      </c>
      <c r="Q125" s="697">
        <v>0</v>
      </c>
      <c r="R125" s="29" t="s">
        <v>173</v>
      </c>
    </row>
    <row r="126" spans="1:20" ht="24.6">
      <c r="A126" s="25">
        <v>3</v>
      </c>
      <c r="B126" s="29" t="s">
        <v>175</v>
      </c>
      <c r="C126" s="29"/>
      <c r="D126" s="49">
        <v>0</v>
      </c>
      <c r="E126" s="29"/>
      <c r="F126" s="29"/>
      <c r="G126" s="49">
        <v>0</v>
      </c>
      <c r="H126" s="49">
        <v>0</v>
      </c>
      <c r="I126" s="49">
        <v>0</v>
      </c>
      <c r="J126" s="26"/>
      <c r="K126" s="61"/>
      <c r="L126" s="51"/>
      <c r="M126" s="29"/>
      <c r="N126" s="25"/>
      <c r="O126" s="696">
        <v>0</v>
      </c>
      <c r="P126" s="697">
        <v>0</v>
      </c>
      <c r="Q126" s="697">
        <v>0</v>
      </c>
      <c r="R126" s="29" t="s">
        <v>176</v>
      </c>
    </row>
    <row r="127" spans="1:20" ht="24.6">
      <c r="A127" s="25"/>
      <c r="B127" s="29" t="s">
        <v>177</v>
      </c>
      <c r="C127" s="29"/>
      <c r="D127" s="49"/>
      <c r="E127" s="29"/>
      <c r="F127" s="29"/>
      <c r="G127" s="49">
        <v>0</v>
      </c>
      <c r="H127" s="49">
        <v>0</v>
      </c>
      <c r="I127" s="49">
        <v>0</v>
      </c>
      <c r="J127" s="26"/>
      <c r="K127" s="61"/>
      <c r="L127" s="51"/>
      <c r="M127" s="29"/>
      <c r="N127" s="25"/>
      <c r="O127" s="696">
        <v>0</v>
      </c>
      <c r="P127" s="697">
        <v>0</v>
      </c>
      <c r="Q127" s="697">
        <v>0</v>
      </c>
      <c r="R127" s="29" t="s">
        <v>178</v>
      </c>
    </row>
    <row r="128" spans="1:20" ht="24.6">
      <c r="A128" s="25"/>
      <c r="B128" s="29"/>
      <c r="C128" s="29"/>
      <c r="D128" s="49"/>
      <c r="E128" s="29"/>
      <c r="F128" s="29"/>
      <c r="G128" s="49"/>
      <c r="H128" s="49"/>
      <c r="I128" s="49"/>
      <c r="J128" s="26"/>
      <c r="K128" s="61"/>
      <c r="L128" s="51"/>
      <c r="M128" s="29"/>
      <c r="N128" s="25"/>
      <c r="O128" s="696"/>
      <c r="P128" s="697"/>
      <c r="Q128" s="697"/>
      <c r="R128" s="29" t="s">
        <v>179</v>
      </c>
    </row>
    <row r="129" spans="1:20" ht="24.6">
      <c r="A129" s="25">
        <v>4</v>
      </c>
      <c r="B129" s="29" t="s">
        <v>62</v>
      </c>
      <c r="C129" s="29"/>
      <c r="D129" s="49">
        <v>0</v>
      </c>
      <c r="E129" s="29"/>
      <c r="F129" s="29"/>
      <c r="G129" s="49">
        <v>0</v>
      </c>
      <c r="H129" s="49">
        <v>0</v>
      </c>
      <c r="I129" s="49">
        <v>0</v>
      </c>
      <c r="J129" s="26"/>
      <c r="K129" s="16"/>
      <c r="L129" s="51"/>
      <c r="M129" s="29"/>
      <c r="N129" s="25"/>
      <c r="O129" s="696">
        <v>0</v>
      </c>
      <c r="P129" s="697">
        <v>0</v>
      </c>
      <c r="Q129" s="697">
        <v>0</v>
      </c>
      <c r="R129" s="29"/>
    </row>
    <row r="130" spans="1:20" ht="24.6">
      <c r="A130" s="25">
        <v>5</v>
      </c>
      <c r="B130" s="29" t="s">
        <v>180</v>
      </c>
      <c r="C130" s="29"/>
      <c r="D130" s="49">
        <v>0</v>
      </c>
      <c r="E130" s="29"/>
      <c r="F130" s="29" t="s">
        <v>172</v>
      </c>
      <c r="G130" s="49">
        <v>0</v>
      </c>
      <c r="H130" s="49">
        <v>0</v>
      </c>
      <c r="I130" s="49">
        <v>0</v>
      </c>
      <c r="J130" s="26"/>
      <c r="K130" s="61"/>
      <c r="L130" s="51"/>
      <c r="M130" s="29"/>
      <c r="N130" s="25" t="s">
        <v>172</v>
      </c>
      <c r="O130" s="696">
        <v>0</v>
      </c>
      <c r="P130" s="697">
        <v>0</v>
      </c>
      <c r="Q130" s="697">
        <v>0</v>
      </c>
      <c r="R130" s="29" t="s">
        <v>176</v>
      </c>
    </row>
    <row r="131" spans="1:20" ht="24.6">
      <c r="A131" s="25"/>
      <c r="B131" s="29" t="s">
        <v>181</v>
      </c>
      <c r="C131" s="29"/>
      <c r="D131" s="49"/>
      <c r="E131" s="29"/>
      <c r="F131" s="29"/>
      <c r="G131" s="49"/>
      <c r="H131" s="49"/>
      <c r="I131" s="49"/>
      <c r="J131" s="26"/>
      <c r="K131" s="61"/>
      <c r="L131" s="51"/>
      <c r="M131" s="29"/>
      <c r="N131" s="25"/>
      <c r="O131" s="59"/>
      <c r="P131" s="49"/>
      <c r="Q131" s="59"/>
      <c r="R131" s="29" t="s">
        <v>178</v>
      </c>
    </row>
    <row r="132" spans="1:20" ht="24.6">
      <c r="A132" s="25"/>
      <c r="B132" s="29"/>
      <c r="C132" s="29"/>
      <c r="D132" s="49"/>
      <c r="E132" s="29"/>
      <c r="F132" s="29"/>
      <c r="G132" s="49"/>
      <c r="H132" s="49"/>
      <c r="I132" s="49"/>
      <c r="J132" s="26"/>
      <c r="K132" s="61"/>
      <c r="L132" s="51"/>
      <c r="M132" s="29"/>
      <c r="N132" s="25"/>
      <c r="O132" s="59"/>
      <c r="P132" s="49"/>
      <c r="Q132" s="59"/>
      <c r="R132" s="29" t="s">
        <v>179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59"/>
      <c r="P133" s="49"/>
      <c r="Q133" s="59"/>
      <c r="R133" s="29" t="s">
        <v>182</v>
      </c>
    </row>
    <row r="134" spans="1:20" ht="24.6">
      <c r="A134" s="25">
        <v>6</v>
      </c>
      <c r="B134" s="29" t="s">
        <v>183</v>
      </c>
      <c r="C134" s="29"/>
      <c r="D134" s="158" t="s">
        <v>172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61"/>
      <c r="L134" s="51"/>
      <c r="M134" s="29"/>
      <c r="N134" s="25"/>
      <c r="O134" s="712">
        <v>0</v>
      </c>
      <c r="P134" s="697">
        <v>0</v>
      </c>
      <c r="Q134" s="697">
        <v>0</v>
      </c>
      <c r="R134" s="29" t="s">
        <v>184</v>
      </c>
    </row>
    <row r="135" spans="1:20" ht="24.6">
      <c r="A135" s="25"/>
      <c r="B135" s="29"/>
      <c r="C135" s="29"/>
      <c r="D135" s="49"/>
      <c r="E135" s="29"/>
      <c r="F135" s="29"/>
      <c r="G135" s="49"/>
      <c r="H135" s="49"/>
      <c r="I135" s="49"/>
      <c r="J135" s="26"/>
      <c r="K135" s="61"/>
      <c r="L135" s="51"/>
      <c r="M135" s="29"/>
      <c r="N135" s="25"/>
      <c r="O135" s="59"/>
      <c r="P135" s="49"/>
      <c r="Q135" s="59"/>
      <c r="R135" s="29" t="s">
        <v>185</v>
      </c>
    </row>
    <row r="136" spans="1:20" ht="24.6">
      <c r="A136" s="25"/>
      <c r="B136" s="29"/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186</v>
      </c>
    </row>
    <row r="137" spans="1:20" ht="24.6">
      <c r="A137" s="25">
        <v>7</v>
      </c>
      <c r="B137" s="29" t="s">
        <v>70</v>
      </c>
      <c r="C137" s="29"/>
      <c r="D137" s="49">
        <v>0</v>
      </c>
      <c r="E137" s="29"/>
      <c r="F137" s="29"/>
      <c r="G137" s="49">
        <v>0</v>
      </c>
      <c r="H137" s="49">
        <v>0</v>
      </c>
      <c r="I137" s="49">
        <v>0</v>
      </c>
      <c r="J137" s="26"/>
      <c r="K137" s="16"/>
      <c r="L137" s="51"/>
      <c r="M137" s="29"/>
      <c r="N137" s="25"/>
      <c r="O137" s="696">
        <v>0</v>
      </c>
      <c r="P137" s="697">
        <v>0</v>
      </c>
      <c r="Q137" s="697">
        <v>0</v>
      </c>
      <c r="R137" s="29" t="s">
        <v>187</v>
      </c>
    </row>
    <row r="138" spans="1:20" ht="24.6">
      <c r="A138" s="25">
        <v>8</v>
      </c>
      <c r="B138" s="29" t="s">
        <v>188</v>
      </c>
      <c r="C138" s="29"/>
      <c r="D138" s="49">
        <v>0</v>
      </c>
      <c r="E138" s="29"/>
      <c r="F138" s="29"/>
      <c r="G138" s="49">
        <v>0</v>
      </c>
      <c r="H138" s="49">
        <v>0</v>
      </c>
      <c r="I138" s="49">
        <v>0</v>
      </c>
      <c r="J138" s="26"/>
      <c r="K138" s="16"/>
      <c r="L138" s="51"/>
      <c r="M138" s="29"/>
      <c r="N138" s="25"/>
      <c r="O138" s="696">
        <v>0</v>
      </c>
      <c r="P138" s="697">
        <v>0</v>
      </c>
      <c r="Q138" s="697">
        <v>0</v>
      </c>
      <c r="R138" s="29" t="s">
        <v>187</v>
      </c>
    </row>
    <row r="139" spans="1:20" ht="24.6">
      <c r="A139" s="25">
        <v>9</v>
      </c>
      <c r="B139" s="29" t="s">
        <v>189</v>
      </c>
      <c r="C139" s="29"/>
      <c r="D139" s="49">
        <v>0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696">
        <v>0</v>
      </c>
      <c r="P139" s="697">
        <v>0</v>
      </c>
      <c r="Q139" s="697">
        <v>0</v>
      </c>
      <c r="R139" s="29" t="s">
        <v>190</v>
      </c>
      <c r="T139" s="2" t="s">
        <v>191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192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187</v>
      </c>
    </row>
    <row r="142" spans="1:20" ht="24.6">
      <c r="A142" s="25">
        <v>10</v>
      </c>
      <c r="B142" s="29" t="s">
        <v>193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61"/>
      <c r="L142" s="51"/>
      <c r="M142" s="29"/>
      <c r="N142" s="25"/>
      <c r="O142" s="696">
        <v>0</v>
      </c>
      <c r="P142" s="697">
        <v>0</v>
      </c>
      <c r="Q142" s="697">
        <v>0</v>
      </c>
      <c r="R142" s="29" t="s">
        <v>194</v>
      </c>
    </row>
    <row r="143" spans="1:20" ht="24.6">
      <c r="A143" s="25">
        <v>11</v>
      </c>
      <c r="B143" s="29" t="s">
        <v>78</v>
      </c>
      <c r="C143" s="29"/>
      <c r="D143" s="49"/>
      <c r="E143" s="29"/>
      <c r="F143" s="29"/>
      <c r="G143" s="49">
        <v>0</v>
      </c>
      <c r="H143" s="49">
        <v>0</v>
      </c>
      <c r="I143" s="49">
        <v>0</v>
      </c>
      <c r="J143" s="160"/>
      <c r="K143" s="50"/>
      <c r="L143" s="51"/>
      <c r="M143" s="29"/>
      <c r="N143" s="25"/>
      <c r="O143" s="696">
        <v>0</v>
      </c>
      <c r="P143" s="697">
        <v>0</v>
      </c>
      <c r="Q143" s="697">
        <v>0</v>
      </c>
      <c r="R143" s="29" t="s">
        <v>195</v>
      </c>
    </row>
    <row r="144" spans="1:20" ht="24.6">
      <c r="A144" s="25">
        <v>12</v>
      </c>
      <c r="B144" s="29" t="s">
        <v>196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696">
        <v>0</v>
      </c>
      <c r="P144" s="697">
        <v>0</v>
      </c>
      <c r="Q144" s="697">
        <v>0</v>
      </c>
      <c r="R144" s="29"/>
    </row>
    <row r="145" spans="1:18" ht="24.6">
      <c r="A145" s="25">
        <v>13</v>
      </c>
      <c r="B145" s="29" t="s">
        <v>83</v>
      </c>
      <c r="C145" s="29"/>
      <c r="D145" s="49"/>
      <c r="E145" s="29"/>
      <c r="F145" s="29"/>
      <c r="G145" s="49">
        <v>0</v>
      </c>
      <c r="H145" s="49">
        <v>0</v>
      </c>
      <c r="I145" s="49">
        <v>0</v>
      </c>
      <c r="J145" s="26"/>
      <c r="K145" s="50"/>
      <c r="L145" s="51"/>
      <c r="M145" s="29"/>
      <c r="N145" s="25"/>
      <c r="O145" s="696">
        <v>0</v>
      </c>
      <c r="P145" s="697">
        <v>0</v>
      </c>
      <c r="Q145" s="697">
        <v>0</v>
      </c>
      <c r="R145" s="29" t="s">
        <v>195</v>
      </c>
    </row>
    <row r="146" spans="1:18" ht="24.6">
      <c r="A146" s="25">
        <v>14</v>
      </c>
      <c r="B146" s="29" t="s">
        <v>85</v>
      </c>
      <c r="C146" s="29"/>
      <c r="D146" s="49">
        <v>0</v>
      </c>
      <c r="E146" s="29"/>
      <c r="F146" s="29" t="s">
        <v>172</v>
      </c>
      <c r="G146" s="49">
        <v>0</v>
      </c>
      <c r="H146" s="49">
        <v>0</v>
      </c>
      <c r="I146" s="49">
        <v>0</v>
      </c>
      <c r="J146" s="26"/>
      <c r="K146" s="61"/>
      <c r="L146" s="51"/>
      <c r="M146" s="29"/>
      <c r="N146" s="25" t="s">
        <v>172</v>
      </c>
      <c r="O146" s="696">
        <v>0</v>
      </c>
      <c r="P146" s="697">
        <v>0</v>
      </c>
      <c r="Q146" s="697">
        <v>0</v>
      </c>
      <c r="R146" s="29"/>
    </row>
    <row r="147" spans="1:18" ht="24.6">
      <c r="A147" s="25">
        <v>15</v>
      </c>
      <c r="B147" s="29" t="s">
        <v>197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696">
        <v>0</v>
      </c>
      <c r="P147" s="697">
        <v>0</v>
      </c>
      <c r="Q147" s="697">
        <v>0</v>
      </c>
      <c r="R147" s="29" t="s">
        <v>198</v>
      </c>
    </row>
    <row r="148" spans="1:18" ht="24.6">
      <c r="A148" s="25">
        <v>16</v>
      </c>
      <c r="B148" s="29" t="s">
        <v>199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696">
        <v>0</v>
      </c>
      <c r="P148" s="697">
        <v>0</v>
      </c>
      <c r="Q148" s="697">
        <v>0</v>
      </c>
      <c r="R148" s="29" t="s">
        <v>200</v>
      </c>
    </row>
    <row r="149" spans="1:18" ht="24.6">
      <c r="A149" s="25"/>
      <c r="B149" s="116" t="s">
        <v>89</v>
      </c>
      <c r="C149" s="29"/>
      <c r="D149" s="49"/>
      <c r="E149" s="29"/>
      <c r="F149" s="29"/>
      <c r="G149" s="49"/>
      <c r="H149" s="49"/>
      <c r="I149" s="49"/>
      <c r="J149" s="26"/>
      <c r="K149" s="61"/>
      <c r="L149" s="51"/>
      <c r="M149" s="29"/>
      <c r="N149" s="25"/>
      <c r="O149" s="59"/>
      <c r="P149" s="49"/>
      <c r="Q149" s="59"/>
      <c r="R149" s="29"/>
    </row>
    <row r="150" spans="1:18" ht="24" customHeight="1">
      <c r="A150" s="25">
        <v>16</v>
      </c>
      <c r="B150" s="29" t="s">
        <v>62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696">
        <v>0</v>
      </c>
      <c r="P150" s="697">
        <v>0</v>
      </c>
      <c r="Q150" s="697">
        <v>0</v>
      </c>
      <c r="R150" s="29"/>
    </row>
    <row r="151" spans="1:18" ht="22.5" customHeight="1">
      <c r="A151" s="25">
        <v>17</v>
      </c>
      <c r="B151" s="25" t="s">
        <v>57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16"/>
      <c r="L151" s="51"/>
      <c r="M151" s="29"/>
      <c r="N151" s="25"/>
      <c r="O151" s="696">
        <v>0</v>
      </c>
      <c r="P151" s="697">
        <v>0</v>
      </c>
      <c r="Q151" s="697">
        <v>0</v>
      </c>
      <c r="R151" s="29"/>
    </row>
    <row r="152" spans="1:18" ht="22.5" customHeight="1">
      <c r="A152" s="25">
        <v>18</v>
      </c>
      <c r="B152" s="29" t="s">
        <v>93</v>
      </c>
      <c r="C152" s="29"/>
      <c r="D152" s="49"/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59">
        <v>0</v>
      </c>
      <c r="P152" s="49">
        <v>0</v>
      </c>
      <c r="Q152" s="59">
        <v>0</v>
      </c>
      <c r="R152" s="29" t="s">
        <v>201</v>
      </c>
    </row>
    <row r="153" spans="1:18" ht="24.6">
      <c r="A153" s="25">
        <v>19</v>
      </c>
      <c r="B153" s="25" t="s">
        <v>57</v>
      </c>
      <c r="C153" s="29"/>
      <c r="D153" s="49"/>
      <c r="E153" s="29"/>
      <c r="F153" s="29"/>
      <c r="G153" s="49"/>
      <c r="H153" s="49"/>
      <c r="I153" s="49"/>
      <c r="J153" s="26"/>
      <c r="K153" s="61"/>
      <c r="L153" s="51"/>
      <c r="M153" s="29"/>
      <c r="N153" s="25"/>
      <c r="O153" s="59"/>
      <c r="P153" s="49"/>
      <c r="Q153" s="59"/>
      <c r="R153" s="29"/>
    </row>
    <row r="154" spans="1:18" ht="24.6">
      <c r="A154" s="25">
        <v>20</v>
      </c>
      <c r="B154" s="29" t="s">
        <v>40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696">
        <v>0</v>
      </c>
      <c r="P154" s="697">
        <v>0</v>
      </c>
      <c r="Q154" s="697">
        <v>0</v>
      </c>
      <c r="R154" s="29" t="s">
        <v>203</v>
      </c>
    </row>
    <row r="155" spans="1:18" ht="24.6">
      <c r="A155" s="28"/>
      <c r="B155" s="124" t="s">
        <v>97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18" ht="24.6">
      <c r="A156" s="28">
        <v>21</v>
      </c>
      <c r="B156" s="119" t="s">
        <v>98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696">
        <v>0</v>
      </c>
      <c r="P156" s="697">
        <v>0</v>
      </c>
      <c r="Q156" s="697">
        <v>0</v>
      </c>
      <c r="R156" s="29"/>
    </row>
    <row r="157" spans="1:18" ht="24.6">
      <c r="A157" s="28"/>
      <c r="B157" s="161" t="s">
        <v>204</v>
      </c>
      <c r="C157" s="29"/>
      <c r="D157" s="49"/>
      <c r="E157" s="29"/>
      <c r="F157" s="29"/>
      <c r="G157" s="49"/>
      <c r="H157" s="49"/>
      <c r="I157" s="49"/>
      <c r="J157" s="26"/>
      <c r="K157" s="61"/>
      <c r="L157" s="51"/>
      <c r="M157" s="29"/>
      <c r="N157" s="25"/>
      <c r="O157" s="59"/>
      <c r="P157" s="49"/>
      <c r="Q157" s="59"/>
      <c r="R157" s="29"/>
    </row>
    <row r="158" spans="1:18" ht="24.6">
      <c r="A158" s="28">
        <v>1</v>
      </c>
      <c r="B158" s="46" t="s">
        <v>166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696">
        <v>0</v>
      </c>
      <c r="P158" s="697">
        <v>0</v>
      </c>
      <c r="Q158" s="697">
        <v>0</v>
      </c>
      <c r="R158" s="29"/>
    </row>
    <row r="159" spans="1:18" ht="24.6">
      <c r="A159" s="28">
        <v>2</v>
      </c>
      <c r="B159" s="46" t="s">
        <v>167</v>
      </c>
      <c r="C159" s="29"/>
      <c r="D159" s="49"/>
      <c r="E159" s="29"/>
      <c r="F159" s="29"/>
      <c r="G159" s="49">
        <v>0</v>
      </c>
      <c r="H159" s="49">
        <v>0</v>
      </c>
      <c r="I159" s="49">
        <v>0</v>
      </c>
      <c r="J159" s="26"/>
      <c r="K159" s="61"/>
      <c r="L159" s="51"/>
      <c r="M159" s="29"/>
      <c r="N159" s="25"/>
      <c r="O159" s="696">
        <v>0</v>
      </c>
      <c r="P159" s="697">
        <v>0</v>
      </c>
      <c r="Q159" s="697">
        <v>0</v>
      </c>
      <c r="R159" s="29"/>
    </row>
    <row r="160" spans="1:18" ht="24.6">
      <c r="A160" s="28"/>
      <c r="B160" s="161" t="s">
        <v>205</v>
      </c>
      <c r="C160" s="109"/>
      <c r="D160" s="162"/>
      <c r="E160" s="109"/>
      <c r="F160" s="109"/>
      <c r="G160" s="162"/>
      <c r="H160" s="162"/>
      <c r="I160" s="162"/>
      <c r="J160" s="163"/>
      <c r="K160" s="113"/>
      <c r="L160" s="164"/>
      <c r="M160" s="109"/>
      <c r="N160" s="115"/>
      <c r="O160" s="59"/>
      <c r="P160" s="162"/>
      <c r="Q160" s="111"/>
      <c r="R160" s="29"/>
    </row>
    <row r="161" spans="1:18" ht="24.6">
      <c r="A161" s="28">
        <v>1</v>
      </c>
      <c r="B161" s="46" t="s">
        <v>32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696">
        <v>0</v>
      </c>
      <c r="P161" s="697">
        <v>0</v>
      </c>
      <c r="Q161" s="697">
        <v>0</v>
      </c>
      <c r="R161" s="29" t="s">
        <v>206</v>
      </c>
    </row>
    <row r="162" spans="1:18" ht="25.2" thickBot="1">
      <c r="A162" s="28">
        <v>2</v>
      </c>
      <c r="B162" s="46" t="s">
        <v>207</v>
      </c>
      <c r="C162" s="109"/>
      <c r="D162" s="162"/>
      <c r="E162" s="109"/>
      <c r="F162" s="109"/>
      <c r="G162" s="49">
        <v>0</v>
      </c>
      <c r="H162" s="49">
        <v>0</v>
      </c>
      <c r="I162" s="49">
        <v>0</v>
      </c>
      <c r="J162" s="163"/>
      <c r="K162" s="113"/>
      <c r="L162" s="164"/>
      <c r="M162" s="109"/>
      <c r="N162" s="115"/>
      <c r="O162" s="696">
        <v>0</v>
      </c>
      <c r="P162" s="697">
        <v>0</v>
      </c>
      <c r="Q162" s="697">
        <v>0</v>
      </c>
      <c r="R162" s="29"/>
    </row>
    <row r="163" spans="1:18" ht="25.8" thickTop="1" thickBot="1">
      <c r="A163" s="46"/>
      <c r="B163" s="28" t="s">
        <v>26</v>
      </c>
      <c r="C163" s="79"/>
      <c r="D163" s="165"/>
      <c r="E163" s="165"/>
      <c r="F163" s="165"/>
      <c r="G163" s="165">
        <v>0</v>
      </c>
      <c r="H163" s="165">
        <v>0</v>
      </c>
      <c r="I163" s="165">
        <v>0</v>
      </c>
      <c r="J163" s="166"/>
      <c r="K163" s="166"/>
      <c r="L163" s="166"/>
      <c r="M163" s="165"/>
      <c r="N163" s="167"/>
      <c r="O163" s="165">
        <v>0</v>
      </c>
      <c r="P163" s="165">
        <v>0</v>
      </c>
      <c r="Q163" s="165">
        <v>0</v>
      </c>
      <c r="R163" s="29"/>
    </row>
    <row r="164" spans="1:18" ht="25.2" thickTop="1">
      <c r="A164" s="46"/>
      <c r="B164" s="168" t="s">
        <v>208</v>
      </c>
      <c r="C164" s="46"/>
      <c r="D164" s="98"/>
      <c r="E164" s="46"/>
      <c r="F164" s="46"/>
      <c r="G164" s="57"/>
      <c r="H164" s="57"/>
      <c r="I164" s="57"/>
      <c r="J164" s="137"/>
      <c r="K164" s="48"/>
      <c r="L164" s="169"/>
      <c r="M164" s="46"/>
      <c r="N164" s="28"/>
      <c r="O164" s="57"/>
      <c r="P164" s="57"/>
      <c r="Q164" s="57"/>
      <c r="R164" s="46"/>
    </row>
    <row r="165" spans="1:18" ht="25.2" thickBot="1">
      <c r="A165" s="28">
        <v>1</v>
      </c>
      <c r="B165" s="28"/>
      <c r="C165" s="74"/>
      <c r="D165" s="110"/>
      <c r="E165" s="74"/>
      <c r="F165" s="74"/>
      <c r="G165" s="78"/>
      <c r="H165" s="78"/>
      <c r="I165" s="78"/>
      <c r="J165" s="35"/>
      <c r="K165" s="76"/>
      <c r="L165" s="170"/>
      <c r="M165" s="74"/>
      <c r="N165" s="34"/>
      <c r="O165" s="78"/>
      <c r="P165" s="78"/>
      <c r="Q165" s="78"/>
      <c r="R165" s="46"/>
    </row>
    <row r="166" spans="1:18" ht="25.2" thickTop="1">
      <c r="A166" s="46"/>
      <c r="B166" s="28" t="s">
        <v>26</v>
      </c>
      <c r="C166" s="109"/>
      <c r="D166" s="162"/>
      <c r="E166" s="109"/>
      <c r="F166" s="109"/>
      <c r="G166" s="111"/>
      <c r="H166" s="111"/>
      <c r="I166" s="111"/>
      <c r="J166" s="163"/>
      <c r="K166" s="113"/>
      <c r="L166" s="164"/>
      <c r="M166" s="109"/>
      <c r="N166" s="115"/>
      <c r="O166" s="111"/>
      <c r="P166" s="111"/>
      <c r="Q166" s="111"/>
      <c r="R166" s="46"/>
    </row>
    <row r="167" spans="1:18" ht="24.6">
      <c r="A167" s="46"/>
      <c r="B167" s="168" t="s">
        <v>209</v>
      </c>
      <c r="C167" s="29"/>
      <c r="D167" s="49"/>
      <c r="E167" s="29"/>
      <c r="F167" s="29"/>
      <c r="G167" s="59"/>
      <c r="H167" s="59"/>
      <c r="I167" s="59"/>
      <c r="J167" s="26"/>
      <c r="K167" s="61"/>
      <c r="L167" s="51"/>
      <c r="M167" s="29"/>
      <c r="N167" s="25"/>
      <c r="O167" s="59"/>
      <c r="P167" s="59"/>
      <c r="Q167" s="59"/>
      <c r="R167" s="46"/>
    </row>
    <row r="168" spans="1:18" ht="29.25" customHeight="1" thickBot="1">
      <c r="A168" s="115">
        <v>1</v>
      </c>
      <c r="B168" s="115"/>
      <c r="C168" s="74"/>
      <c r="D168" s="110"/>
      <c r="E168" s="74"/>
      <c r="F168" s="74"/>
      <c r="G168" s="78"/>
      <c r="H168" s="78"/>
      <c r="I168" s="78"/>
      <c r="J168" s="35"/>
      <c r="K168" s="76"/>
      <c r="L168" s="170"/>
      <c r="M168" s="74"/>
      <c r="N168" s="34"/>
      <c r="O168" s="78"/>
      <c r="P168" s="78"/>
      <c r="Q168" s="78"/>
      <c r="R168" s="109"/>
    </row>
    <row r="169" spans="1:18" ht="26.25" customHeight="1" thickTop="1" thickBot="1">
      <c r="A169" s="29"/>
      <c r="B169" s="25" t="s">
        <v>26</v>
      </c>
      <c r="C169" s="64"/>
      <c r="D169" s="171"/>
      <c r="E169" s="64"/>
      <c r="F169" s="64"/>
      <c r="G169" s="63"/>
      <c r="H169" s="63"/>
      <c r="I169" s="63"/>
      <c r="J169" s="42"/>
      <c r="K169" s="66"/>
      <c r="L169" s="172"/>
      <c r="M169" s="64"/>
      <c r="N169" s="41"/>
      <c r="O169" s="63"/>
      <c r="P169" s="63"/>
      <c r="Q169" s="63"/>
      <c r="R169" s="29"/>
    </row>
    <row r="170" spans="1:18" ht="24.75" customHeight="1" thickTop="1">
      <c r="A170" s="46"/>
      <c r="B170" s="168" t="s">
        <v>210</v>
      </c>
      <c r="C170" s="46"/>
      <c r="D170" s="98"/>
      <c r="E170" s="46"/>
      <c r="F170" s="46"/>
      <c r="G170" s="46"/>
      <c r="H170" s="46"/>
      <c r="I170" s="46"/>
      <c r="J170" s="137"/>
      <c r="K170" s="48"/>
      <c r="L170" s="48"/>
      <c r="M170" s="46"/>
      <c r="N170" s="28"/>
      <c r="O170" s="46"/>
      <c r="P170" s="46"/>
      <c r="Q170" s="46"/>
      <c r="R170" s="46"/>
    </row>
    <row r="171" spans="1:18" ht="24.75" customHeight="1">
      <c r="A171" s="46"/>
      <c r="B171" s="168"/>
      <c r="C171" s="46"/>
      <c r="D171" s="98"/>
      <c r="E171" s="46"/>
      <c r="F171" s="46"/>
      <c r="G171" s="46"/>
      <c r="H171" s="46"/>
      <c r="I171" s="46"/>
      <c r="J171" s="137"/>
      <c r="K171" s="48"/>
      <c r="L171" s="48"/>
      <c r="M171" s="46"/>
      <c r="N171" s="28"/>
      <c r="O171" s="46"/>
      <c r="P171" s="46"/>
      <c r="Q171" s="46"/>
      <c r="R171" s="46"/>
    </row>
    <row r="172" spans="1:18" ht="24" customHeight="1">
      <c r="A172" s="25"/>
      <c r="B172" s="29" t="s">
        <v>26</v>
      </c>
      <c r="C172" s="29"/>
      <c r="D172" s="49"/>
      <c r="E172" s="29"/>
      <c r="F172" s="29"/>
      <c r="G172" s="49">
        <v>0</v>
      </c>
      <c r="H172" s="49">
        <v>0</v>
      </c>
      <c r="I172" s="59">
        <v>0</v>
      </c>
      <c r="J172" s="26"/>
      <c r="K172" s="61"/>
      <c r="L172" s="51"/>
      <c r="M172" s="29"/>
      <c r="N172" s="25"/>
      <c r="O172" s="696">
        <v>0</v>
      </c>
      <c r="P172" s="697">
        <v>0</v>
      </c>
      <c r="Q172" s="697">
        <v>0</v>
      </c>
      <c r="R172" s="29"/>
    </row>
    <row r="173" spans="1:18" ht="24.75" customHeight="1" thickBot="1">
      <c r="A173" s="34"/>
      <c r="B173" s="34" t="s">
        <v>374</v>
      </c>
      <c r="C173" s="74"/>
      <c r="D173" s="110">
        <f>SUM(D12+D15+D18+D30+D75+D111+D115+D118+D121+D163+D166+D169+D172)</f>
        <v>51655</v>
      </c>
      <c r="E173" s="110"/>
      <c r="F173" s="110"/>
      <c r="G173" s="110">
        <f t="shared" ref="G173:Q173" si="11">SUM(G12+G15+G18+G30+G75+G111+G115+G118+G121+G163+G166+G169+G172)</f>
        <v>13150</v>
      </c>
      <c r="H173" s="110">
        <f t="shared" si="11"/>
        <v>0</v>
      </c>
      <c r="I173" s="110">
        <f t="shared" si="11"/>
        <v>13150</v>
      </c>
      <c r="J173" s="110"/>
      <c r="K173" s="110"/>
      <c r="L173" s="110">
        <f t="shared" si="11"/>
        <v>50255</v>
      </c>
      <c r="M173" s="110"/>
      <c r="N173" s="110"/>
      <c r="O173" s="110">
        <f t="shared" si="11"/>
        <v>14510</v>
      </c>
      <c r="P173" s="110">
        <f t="shared" si="11"/>
        <v>0</v>
      </c>
      <c r="Q173" s="110">
        <f t="shared" si="11"/>
        <v>14510</v>
      </c>
      <c r="R173" s="74"/>
    </row>
    <row r="174" spans="1:18" ht="24.75" customHeight="1" thickTop="1">
      <c r="A174" s="14"/>
      <c r="B174" s="173"/>
      <c r="D174" s="174"/>
      <c r="G174" s="175"/>
      <c r="H174" s="175"/>
      <c r="I174" s="175"/>
      <c r="L174" s="178"/>
      <c r="O174" s="174"/>
      <c r="P174" s="174"/>
      <c r="Q174" s="174"/>
      <c r="R174" s="179"/>
    </row>
    <row r="175" spans="1:18" ht="24.75" customHeight="1">
      <c r="A175" s="731" t="s">
        <v>211</v>
      </c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3"/>
    </row>
    <row r="176" spans="1:18" ht="24.75" customHeight="1">
      <c r="A176" s="46">
        <v>1</v>
      </c>
      <c r="B176" s="180" t="s">
        <v>32</v>
      </c>
      <c r="C176" s="46" t="s">
        <v>104</v>
      </c>
      <c r="D176" s="98">
        <v>4650</v>
      </c>
      <c r="E176" s="141" t="s">
        <v>405</v>
      </c>
      <c r="F176" s="254">
        <v>10</v>
      </c>
      <c r="G176" s="141">
        <v>46500</v>
      </c>
      <c r="H176" s="141" t="s">
        <v>172</v>
      </c>
      <c r="I176" s="141">
        <v>46500</v>
      </c>
      <c r="J176" s="137"/>
      <c r="K176" s="48"/>
      <c r="L176" s="48"/>
      <c r="M176" s="46" t="s">
        <v>453</v>
      </c>
      <c r="N176" s="28">
        <v>11</v>
      </c>
      <c r="O176" s="57">
        <f>SUM(D176+I176-L176)</f>
        <v>51150</v>
      </c>
      <c r="P176" s="28" t="s">
        <v>172</v>
      </c>
      <c r="Q176" s="57">
        <f>O176</f>
        <v>51150</v>
      </c>
      <c r="R176" s="46" t="s">
        <v>214</v>
      </c>
    </row>
    <row r="177" spans="1:20" ht="24" customHeight="1">
      <c r="A177" s="25">
        <v>2</v>
      </c>
      <c r="B177" s="29" t="s">
        <v>215</v>
      </c>
      <c r="C177" s="29" t="s">
        <v>104</v>
      </c>
      <c r="D177" s="49">
        <v>5750</v>
      </c>
      <c r="E177" s="134" t="s">
        <v>405</v>
      </c>
      <c r="F177" s="255">
        <v>10</v>
      </c>
      <c r="G177" s="134">
        <v>57500</v>
      </c>
      <c r="H177" s="134">
        <v>0</v>
      </c>
      <c r="I177" s="134">
        <v>57500</v>
      </c>
      <c r="J177" s="26"/>
      <c r="K177" s="61"/>
      <c r="L177" s="51"/>
      <c r="M177" s="46" t="s">
        <v>453</v>
      </c>
      <c r="N177" s="25">
        <v>11</v>
      </c>
      <c r="O177" s="57">
        <f>SUM(D177+I177-L177)</f>
        <v>63250</v>
      </c>
      <c r="P177" s="697">
        <v>0</v>
      </c>
      <c r="Q177" s="57">
        <f>O177</f>
        <v>63250</v>
      </c>
      <c r="R177" s="29" t="s">
        <v>214</v>
      </c>
    </row>
    <row r="178" spans="1:20" ht="24" customHeight="1">
      <c r="A178" s="4">
        <v>3</v>
      </c>
      <c r="B178" s="53" t="s">
        <v>68</v>
      </c>
      <c r="C178" s="53">
        <v>268</v>
      </c>
      <c r="D178" s="127">
        <v>1215</v>
      </c>
      <c r="E178" s="280" t="s">
        <v>406</v>
      </c>
      <c r="F178" s="281">
        <v>25</v>
      </c>
      <c r="G178" s="280">
        <v>30375</v>
      </c>
      <c r="H178" s="280"/>
      <c r="I178" s="280">
        <v>30375</v>
      </c>
      <c r="J178" s="282"/>
      <c r="K178" s="244"/>
      <c r="L178" s="283"/>
      <c r="M178" s="109" t="s">
        <v>454</v>
      </c>
      <c r="N178" s="4">
        <v>26</v>
      </c>
      <c r="O178" s="57">
        <f>SUM(D178+I178-L178)</f>
        <v>31590</v>
      </c>
      <c r="P178" s="713"/>
      <c r="Q178" s="57">
        <f>O178</f>
        <v>31590</v>
      </c>
      <c r="R178" s="29" t="s">
        <v>214</v>
      </c>
    </row>
    <row r="179" spans="1:20" ht="24.75" customHeight="1" thickBot="1">
      <c r="A179" s="34"/>
      <c r="B179" s="34" t="s">
        <v>26</v>
      </c>
      <c r="C179" s="74"/>
      <c r="D179" s="110">
        <f>SUM(D176:D178)</f>
        <v>11615</v>
      </c>
      <c r="E179" s="74"/>
      <c r="F179" s="74"/>
      <c r="G179" s="78">
        <f>SUM(G176:G178)</f>
        <v>134375</v>
      </c>
      <c r="H179" s="78">
        <f t="shared" ref="H179:I179" si="12">SUM(H176:H178)</f>
        <v>0</v>
      </c>
      <c r="I179" s="78">
        <f t="shared" si="12"/>
        <v>134375</v>
      </c>
      <c r="J179" s="75"/>
      <c r="K179" s="76"/>
      <c r="L179" s="170"/>
      <c r="M179" s="74"/>
      <c r="N179" s="34"/>
      <c r="O179" s="110">
        <f>SUM(O176:O178)</f>
        <v>145990</v>
      </c>
      <c r="P179" s="110">
        <v>0</v>
      </c>
      <c r="Q179" s="110">
        <f>SUM(Q176:Q178)</f>
        <v>145990</v>
      </c>
      <c r="R179" s="74"/>
    </row>
    <row r="180" spans="1:20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0" ht="24.6">
      <c r="A181" s="734" t="s">
        <v>216</v>
      </c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735"/>
      <c r="R181" s="736"/>
    </row>
    <row r="182" spans="1:20" ht="29.25" customHeight="1">
      <c r="A182" s="115"/>
      <c r="B182" s="115"/>
      <c r="C182" s="181"/>
      <c r="D182" s="182"/>
      <c r="E182" s="181"/>
      <c r="F182" s="181"/>
      <c r="G182" s="183"/>
      <c r="H182" s="183"/>
      <c r="I182" s="183"/>
      <c r="J182" s="184"/>
      <c r="K182" s="185"/>
      <c r="L182" s="186"/>
      <c r="M182" s="181"/>
      <c r="N182" s="187"/>
      <c r="O182" s="183"/>
      <c r="P182" s="183"/>
      <c r="Q182" s="183"/>
      <c r="R182" s="109"/>
    </row>
    <row r="183" spans="1:20" ht="29.25" customHeight="1" thickBot="1">
      <c r="A183" s="115"/>
      <c r="B183" s="115"/>
      <c r="C183" s="64"/>
      <c r="D183" s="171"/>
      <c r="E183" s="64"/>
      <c r="F183" s="64"/>
      <c r="G183" s="63"/>
      <c r="H183" s="63"/>
      <c r="I183" s="63"/>
      <c r="J183" s="42"/>
      <c r="K183" s="66"/>
      <c r="L183" s="172"/>
      <c r="M183" s="64"/>
      <c r="N183" s="41"/>
      <c r="O183" s="63"/>
      <c r="P183" s="63"/>
      <c r="Q183" s="63"/>
      <c r="R183" s="109"/>
    </row>
    <row r="184" spans="1:20" ht="26.25" customHeight="1" thickTop="1" thickBot="1">
      <c r="A184" s="29"/>
      <c r="B184" s="25" t="s">
        <v>26</v>
      </c>
      <c r="C184" s="64"/>
      <c r="D184" s="171"/>
      <c r="E184" s="64"/>
      <c r="F184" s="64"/>
      <c r="G184" s="63">
        <f>SUM(G182:G182)</f>
        <v>0</v>
      </c>
      <c r="H184" s="63">
        <f>SUM(H182:H182)</f>
        <v>0</v>
      </c>
      <c r="I184" s="63">
        <f>SUM(I182:I182)</f>
        <v>0</v>
      </c>
      <c r="J184" s="42"/>
      <c r="K184" s="66"/>
      <c r="L184" s="172"/>
      <c r="M184" s="64"/>
      <c r="N184" s="41"/>
      <c r="O184" s="63">
        <f>SUM(O182:O182)</f>
        <v>0</v>
      </c>
      <c r="P184" s="63">
        <f>SUM(P182:P182)</f>
        <v>0</v>
      </c>
      <c r="Q184" s="63">
        <f>SUM(Q182:Q182)</f>
        <v>0</v>
      </c>
      <c r="R184" s="29"/>
    </row>
    <row r="185" spans="1:20" ht="24.75" customHeight="1" thickTop="1">
      <c r="A185" s="4"/>
      <c r="B185" s="188" t="s">
        <v>217</v>
      </c>
      <c r="C185" s="53"/>
      <c r="D185" s="127"/>
      <c r="E185" s="53"/>
      <c r="F185" s="53"/>
      <c r="G185" s="183"/>
      <c r="H185" s="183"/>
      <c r="I185" s="183"/>
      <c r="J185" s="189"/>
      <c r="K185" s="185"/>
      <c r="L185" s="186"/>
      <c r="M185" s="53"/>
      <c r="N185" s="4"/>
      <c r="O185" s="127"/>
      <c r="P185" s="127"/>
      <c r="Q185" s="127"/>
      <c r="R185" s="181"/>
    </row>
    <row r="186" spans="1:20" ht="24.75" customHeight="1">
      <c r="A186" s="199">
        <v>1</v>
      </c>
      <c r="B186" s="200" t="s">
        <v>85</v>
      </c>
      <c r="C186" s="203" t="s">
        <v>86</v>
      </c>
      <c r="D186" s="202">
        <v>0</v>
      </c>
      <c r="E186" s="199" t="s">
        <v>229</v>
      </c>
      <c r="F186" s="204">
        <v>7</v>
      </c>
      <c r="G186" s="202">
        <v>30800</v>
      </c>
      <c r="H186" s="202">
        <v>0</v>
      </c>
      <c r="I186" s="202">
        <v>30800</v>
      </c>
      <c r="J186" s="205"/>
      <c r="K186" s="206"/>
      <c r="L186" s="207"/>
      <c r="M186" s="203" t="s">
        <v>229</v>
      </c>
      <c r="N186" s="199">
        <v>7</v>
      </c>
      <c r="O186" s="714">
        <v>30800</v>
      </c>
      <c r="P186" s="715">
        <v>0</v>
      </c>
      <c r="Q186" s="715">
        <v>30800</v>
      </c>
      <c r="R186" s="203" t="s">
        <v>230</v>
      </c>
    </row>
    <row r="187" spans="1:20" ht="24.75" customHeight="1">
      <c r="A187" s="115"/>
      <c r="B187" s="212"/>
      <c r="C187" s="109"/>
      <c r="D187" s="162"/>
      <c r="E187" s="115"/>
      <c r="F187" s="213"/>
      <c r="G187" s="162"/>
      <c r="H187" s="214"/>
      <c r="I187" s="214"/>
      <c r="J187" s="215"/>
      <c r="K187" s="216"/>
      <c r="L187" s="217"/>
      <c r="M187" s="218"/>
      <c r="N187" s="219"/>
      <c r="O187" s="716"/>
      <c r="P187" s="717"/>
      <c r="Q187" s="717"/>
      <c r="R187" s="218" t="s">
        <v>231</v>
      </c>
    </row>
    <row r="188" spans="1:20" s="96" customFormat="1" ht="24.75" customHeight="1">
      <c r="A188" s="190"/>
      <c r="B188" s="191" t="s">
        <v>232</v>
      </c>
      <c r="C188" s="192" t="s">
        <v>194</v>
      </c>
      <c r="D188" s="193">
        <v>0</v>
      </c>
      <c r="E188" s="192"/>
      <c r="F188" s="192"/>
      <c r="G188" s="193">
        <v>64400</v>
      </c>
      <c r="H188" s="193">
        <v>0</v>
      </c>
      <c r="I188" s="193">
        <v>64400</v>
      </c>
      <c r="J188" s="195"/>
      <c r="K188" s="196"/>
      <c r="L188" s="197">
        <v>0</v>
      </c>
      <c r="M188" s="192"/>
      <c r="N188" s="190"/>
      <c r="O188" s="714">
        <v>64400</v>
      </c>
      <c r="P188" s="715">
        <v>0</v>
      </c>
      <c r="Q188" s="715">
        <v>64400</v>
      </c>
      <c r="R188" s="192" t="s">
        <v>233</v>
      </c>
      <c r="T188" s="97"/>
    </row>
    <row r="189" spans="1:20" ht="24.6">
      <c r="A189" s="199">
        <v>2</v>
      </c>
      <c r="B189" s="203" t="s">
        <v>32</v>
      </c>
      <c r="C189" s="222" t="s">
        <v>104</v>
      </c>
      <c r="D189" s="202"/>
      <c r="E189" s="223" t="s">
        <v>234</v>
      </c>
      <c r="F189" s="224">
        <v>4</v>
      </c>
      <c r="G189" s="225">
        <v>18600</v>
      </c>
      <c r="H189" s="225">
        <v>0</v>
      </c>
      <c r="I189" s="225">
        <v>18600</v>
      </c>
      <c r="J189" s="718"/>
      <c r="K189" s="719"/>
      <c r="L189" s="720"/>
      <c r="M189" s="199" t="s">
        <v>234</v>
      </c>
      <c r="N189" s="199">
        <v>4</v>
      </c>
      <c r="O189" s="714">
        <f>D189+G189</f>
        <v>18600</v>
      </c>
      <c r="P189" s="715">
        <v>0</v>
      </c>
      <c r="Q189" s="715">
        <f>D189+I189</f>
        <v>18600</v>
      </c>
      <c r="R189" s="203" t="s">
        <v>235</v>
      </c>
    </row>
    <row r="190" spans="1:20" ht="24.6">
      <c r="A190" s="199">
        <v>3</v>
      </c>
      <c r="B190" s="203" t="s">
        <v>215</v>
      </c>
      <c r="C190" s="222" t="s">
        <v>104</v>
      </c>
      <c r="D190" s="202"/>
      <c r="E190" s="199" t="s">
        <v>236</v>
      </c>
      <c r="F190" s="199">
        <v>4</v>
      </c>
      <c r="G190" s="202">
        <v>23000</v>
      </c>
      <c r="H190" s="202">
        <v>0</v>
      </c>
      <c r="I190" s="202">
        <v>23000</v>
      </c>
      <c r="J190" s="718"/>
      <c r="K190" s="719"/>
      <c r="L190" s="720"/>
      <c r="M190" s="199" t="s">
        <v>236</v>
      </c>
      <c r="N190" s="199">
        <v>4</v>
      </c>
      <c r="O190" s="714">
        <f>D190+G190</f>
        <v>23000</v>
      </c>
      <c r="P190" s="715">
        <v>0</v>
      </c>
      <c r="Q190" s="715">
        <f>D190+I190</f>
        <v>23000</v>
      </c>
      <c r="R190" s="203" t="s">
        <v>237</v>
      </c>
    </row>
    <row r="191" spans="1:20" s="96" customFormat="1" ht="24.75" customHeight="1">
      <c r="A191" s="229"/>
      <c r="B191" s="230"/>
      <c r="C191" s="231"/>
      <c r="D191" s="232"/>
      <c r="E191" s="231"/>
      <c r="F191" s="231"/>
      <c r="G191" s="232"/>
      <c r="H191" s="232"/>
      <c r="I191" s="232"/>
      <c r="J191" s="233"/>
      <c r="K191" s="234"/>
      <c r="L191" s="235"/>
      <c r="M191" s="231"/>
      <c r="N191" s="229"/>
      <c r="O191" s="721"/>
      <c r="P191" s="722"/>
      <c r="Q191" s="722"/>
      <c r="R191" s="238"/>
      <c r="T191" s="97"/>
    </row>
    <row r="192" spans="1:20" ht="24.75" customHeight="1" thickBot="1">
      <c r="A192" s="34"/>
      <c r="B192" s="239"/>
      <c r="C192" s="74"/>
      <c r="D192" s="110">
        <v>0</v>
      </c>
      <c r="E192" s="110"/>
      <c r="F192" s="110"/>
      <c r="G192" s="110">
        <f>SUM(G186:G190)</f>
        <v>136800</v>
      </c>
      <c r="H192" s="110">
        <v>0</v>
      </c>
      <c r="I192" s="110">
        <f>SUM(I186:I190)</f>
        <v>136800</v>
      </c>
      <c r="J192" s="170"/>
      <c r="K192" s="170"/>
      <c r="L192" s="170">
        <v>0</v>
      </c>
      <c r="M192" s="110"/>
      <c r="N192" s="240"/>
      <c r="O192" s="171">
        <f>SUM(O186:O190)</f>
        <v>136800</v>
      </c>
      <c r="P192" s="171">
        <v>0</v>
      </c>
      <c r="Q192" s="171">
        <f>SUM(Q186:Q190)</f>
        <v>136800</v>
      </c>
      <c r="R192" s="208"/>
    </row>
    <row r="193" spans="1:23" ht="25.2" thickTop="1">
      <c r="A193" s="46"/>
      <c r="B193" s="161" t="s">
        <v>238</v>
      </c>
      <c r="C193" s="46"/>
      <c r="D193" s="46"/>
      <c r="E193" s="46"/>
      <c r="F193" s="46"/>
      <c r="G193" s="46"/>
      <c r="H193" s="46"/>
      <c r="I193" s="46"/>
      <c r="J193" s="47"/>
      <c r="K193" s="48"/>
      <c r="L193" s="48"/>
      <c r="M193" s="46"/>
      <c r="N193" s="28"/>
      <c r="O193" s="46"/>
      <c r="P193" s="46"/>
      <c r="Q193" s="46"/>
      <c r="R193" s="46"/>
    </row>
    <row r="194" spans="1:23" ht="24.6">
      <c r="A194" s="25">
        <v>1</v>
      </c>
      <c r="B194" s="53" t="s">
        <v>239</v>
      </c>
      <c r="C194" s="109"/>
      <c r="D194" s="109"/>
      <c r="E194" s="109" t="s">
        <v>240</v>
      </c>
      <c r="F194" s="109"/>
      <c r="G194" s="162"/>
      <c r="H194" s="109"/>
      <c r="I194" s="162">
        <v>0</v>
      </c>
      <c r="J194" s="112"/>
      <c r="K194" s="113"/>
      <c r="L194" s="241"/>
      <c r="M194" s="109" t="s">
        <v>240</v>
      </c>
      <c r="N194" s="115"/>
      <c r="O194" s="49"/>
      <c r="P194" s="127"/>
      <c r="Q194" s="162">
        <v>0</v>
      </c>
      <c r="R194" s="29"/>
    </row>
    <row r="195" spans="1:23" ht="24.6">
      <c r="A195" s="25"/>
      <c r="B195" s="29" t="s">
        <v>241</v>
      </c>
      <c r="C195" s="29"/>
      <c r="D195" s="29"/>
      <c r="E195" s="25" t="s">
        <v>242</v>
      </c>
      <c r="F195" s="29"/>
      <c r="G195" s="49">
        <v>133707.98000000001</v>
      </c>
      <c r="H195" s="134">
        <v>0</v>
      </c>
      <c r="I195" s="49">
        <v>133707.98000000001</v>
      </c>
      <c r="J195" s="60"/>
      <c r="K195" s="61"/>
      <c r="L195" s="242"/>
      <c r="M195" s="29" t="s">
        <v>242</v>
      </c>
      <c r="N195" s="25"/>
      <c r="O195" s="696">
        <v>133707.98000000001</v>
      </c>
      <c r="P195" s="697">
        <v>0</v>
      </c>
      <c r="Q195" s="697">
        <v>133707.98000000001</v>
      </c>
      <c r="R195" s="29" t="s">
        <v>243</v>
      </c>
    </row>
    <row r="196" spans="1:23" ht="24.6">
      <c r="A196" s="25"/>
      <c r="B196" s="29" t="s">
        <v>244</v>
      </c>
      <c r="C196" s="29"/>
      <c r="D196" s="29"/>
      <c r="E196" s="29"/>
      <c r="F196" s="29"/>
      <c r="G196" s="49">
        <v>73800</v>
      </c>
      <c r="H196" s="134">
        <v>0</v>
      </c>
      <c r="I196" s="49">
        <v>73800</v>
      </c>
      <c r="J196" s="60"/>
      <c r="K196" s="61"/>
      <c r="L196" s="242"/>
      <c r="M196" s="29"/>
      <c r="N196" s="25"/>
      <c r="O196" s="696">
        <v>73800</v>
      </c>
      <c r="P196" s="697">
        <v>0</v>
      </c>
      <c r="Q196" s="697">
        <v>73800</v>
      </c>
      <c r="R196" s="29"/>
    </row>
    <row r="197" spans="1:23" ht="24.6">
      <c r="A197" s="25"/>
      <c r="B197" s="29" t="s">
        <v>245</v>
      </c>
      <c r="C197" s="29"/>
      <c r="D197" s="29"/>
      <c r="E197" s="29"/>
      <c r="F197" s="29"/>
      <c r="G197" s="49">
        <v>7596.82</v>
      </c>
      <c r="H197" s="134">
        <v>0</v>
      </c>
      <c r="I197" s="89">
        <v>7596.82</v>
      </c>
      <c r="J197" s="60"/>
      <c r="K197" s="61"/>
      <c r="L197" s="242"/>
      <c r="M197" s="29"/>
      <c r="N197" s="25"/>
      <c r="O197" s="696">
        <v>7596.82</v>
      </c>
      <c r="P197" s="697">
        <v>0</v>
      </c>
      <c r="Q197" s="697">
        <v>7596.82</v>
      </c>
      <c r="R197" s="29" t="s">
        <v>243</v>
      </c>
    </row>
    <row r="198" spans="1:23" ht="24.6">
      <c r="A198" s="25"/>
      <c r="B198" s="29" t="s">
        <v>246</v>
      </c>
      <c r="C198" s="29"/>
      <c r="D198" s="53"/>
      <c r="E198" s="53"/>
      <c r="F198" s="53"/>
      <c r="G198" s="127"/>
      <c r="H198" s="53"/>
      <c r="I198" s="127"/>
      <c r="J198" s="243"/>
      <c r="K198" s="244"/>
      <c r="L198" s="245"/>
      <c r="M198" s="53"/>
      <c r="N198" s="4"/>
      <c r="O198" s="127"/>
      <c r="P198" s="127"/>
      <c r="Q198" s="49"/>
      <c r="R198" s="29"/>
      <c r="U198" s="1">
        <v>763210.28</v>
      </c>
    </row>
    <row r="199" spans="1:23" ht="24.6">
      <c r="A199" s="4"/>
      <c r="B199" s="53"/>
      <c r="C199" s="737" t="s">
        <v>247</v>
      </c>
      <c r="D199" s="738"/>
      <c r="E199" s="738"/>
      <c r="F199" s="738"/>
      <c r="G199" s="738"/>
      <c r="H199" s="739"/>
      <c r="I199" s="127"/>
      <c r="J199" s="243"/>
      <c r="K199" s="244"/>
      <c r="L199" s="245"/>
      <c r="M199" s="53"/>
      <c r="N199" s="4"/>
      <c r="O199" s="127"/>
      <c r="P199" s="127"/>
      <c r="Q199" s="162"/>
      <c r="R199" s="53"/>
    </row>
    <row r="200" spans="1:23" s="96" customFormat="1" ht="24.75" customHeight="1">
      <c r="A200" s="86">
        <v>2</v>
      </c>
      <c r="B200" s="274" t="s">
        <v>68</v>
      </c>
      <c r="C200" s="87">
        <v>268</v>
      </c>
      <c r="D200" s="89"/>
      <c r="E200" s="86" t="s">
        <v>378</v>
      </c>
      <c r="F200" s="275">
        <v>80</v>
      </c>
      <c r="G200" s="89">
        <v>133752.76</v>
      </c>
      <c r="H200" s="89" t="s">
        <v>172</v>
      </c>
      <c r="I200" s="89">
        <v>133752.76</v>
      </c>
      <c r="J200" s="276"/>
      <c r="K200" s="154"/>
      <c r="L200" s="155"/>
      <c r="M200" s="86" t="s">
        <v>378</v>
      </c>
      <c r="N200" s="86">
        <v>80</v>
      </c>
      <c r="O200" s="92">
        <f>SUM(D200+G200)</f>
        <v>133752.76</v>
      </c>
      <c r="P200" s="92" t="s">
        <v>172</v>
      </c>
      <c r="Q200" s="92">
        <f>SUM(D200+I200)</f>
        <v>133752.76</v>
      </c>
      <c r="R200" s="87" t="s">
        <v>379</v>
      </c>
      <c r="T200" s="97" t="s">
        <v>375</v>
      </c>
    </row>
    <row r="201" spans="1:23" ht="24.75" customHeight="1">
      <c r="A201" s="25"/>
      <c r="B201" s="119" t="s">
        <v>221</v>
      </c>
      <c r="C201" s="278" t="s">
        <v>222</v>
      </c>
      <c r="D201" s="49">
        <v>0</v>
      </c>
      <c r="E201" s="29"/>
      <c r="F201" s="3" t="s">
        <v>172</v>
      </c>
      <c r="G201" s="49">
        <v>19700</v>
      </c>
      <c r="H201" s="49">
        <v>0</v>
      </c>
      <c r="I201" s="49">
        <v>19700</v>
      </c>
      <c r="J201" s="60"/>
      <c r="K201" s="61"/>
      <c r="L201" s="51">
        <v>0</v>
      </c>
      <c r="M201" s="29"/>
      <c r="N201" s="25" t="s">
        <v>172</v>
      </c>
      <c r="O201" s="92">
        <v>19700</v>
      </c>
      <c r="P201" s="697">
        <v>0</v>
      </c>
      <c r="Q201" s="697">
        <v>19700</v>
      </c>
      <c r="R201" s="29" t="s">
        <v>184</v>
      </c>
      <c r="V201" s="211"/>
      <c r="W201" s="211"/>
    </row>
    <row r="202" spans="1:23" ht="24.75" customHeight="1">
      <c r="A202" s="25"/>
      <c r="B202" s="278"/>
      <c r="C202" s="278" t="s">
        <v>223</v>
      </c>
      <c r="D202" s="49"/>
      <c r="E202" s="29"/>
      <c r="F202" s="3" t="s">
        <v>172</v>
      </c>
      <c r="G202" s="49">
        <v>19700</v>
      </c>
      <c r="H202" s="49">
        <v>0</v>
      </c>
      <c r="I202" s="49">
        <v>19700</v>
      </c>
      <c r="J202" s="60"/>
      <c r="K202" s="61"/>
      <c r="L202" s="51">
        <v>0</v>
      </c>
      <c r="M202" s="29"/>
      <c r="N202" s="25" t="s">
        <v>172</v>
      </c>
      <c r="O202" s="92">
        <v>19700</v>
      </c>
      <c r="P202" s="697">
        <v>0</v>
      </c>
      <c r="Q202" s="697">
        <v>19700</v>
      </c>
      <c r="R202" s="29" t="s">
        <v>185</v>
      </c>
      <c r="V202" s="211"/>
    </row>
    <row r="203" spans="1:23" ht="24.75" customHeight="1">
      <c r="A203" s="25"/>
      <c r="B203" s="278"/>
      <c r="C203" s="278" t="s">
        <v>224</v>
      </c>
      <c r="D203" s="49"/>
      <c r="E203" s="29"/>
      <c r="F203" s="3" t="s">
        <v>172</v>
      </c>
      <c r="G203" s="49">
        <v>19700</v>
      </c>
      <c r="H203" s="49">
        <v>0</v>
      </c>
      <c r="I203" s="49">
        <v>19700</v>
      </c>
      <c r="J203" s="60"/>
      <c r="K203" s="61"/>
      <c r="L203" s="51">
        <v>0</v>
      </c>
      <c r="M203" s="29"/>
      <c r="N203" s="25" t="s">
        <v>172</v>
      </c>
      <c r="O203" s="92">
        <v>19700</v>
      </c>
      <c r="P203" s="697">
        <v>0</v>
      </c>
      <c r="Q203" s="697">
        <v>19700</v>
      </c>
      <c r="R203" s="29" t="s">
        <v>186</v>
      </c>
    </row>
    <row r="204" spans="1:23" ht="24.75" customHeight="1">
      <c r="A204" s="25">
        <v>3</v>
      </c>
      <c r="B204" s="119" t="s">
        <v>225</v>
      </c>
      <c r="C204" s="29"/>
      <c r="D204" s="49"/>
      <c r="E204" s="25" t="s">
        <v>226</v>
      </c>
      <c r="F204" s="3">
        <v>88</v>
      </c>
      <c r="G204" s="49">
        <v>304935.7</v>
      </c>
      <c r="H204" s="49">
        <v>0</v>
      </c>
      <c r="I204" s="49">
        <v>304935.7</v>
      </c>
      <c r="J204" s="60"/>
      <c r="K204" s="61"/>
      <c r="L204" s="51"/>
      <c r="M204" s="25" t="s">
        <v>226</v>
      </c>
      <c r="N204" s="25">
        <v>88</v>
      </c>
      <c r="O204" s="92">
        <v>304935.7</v>
      </c>
      <c r="P204" s="697">
        <v>0</v>
      </c>
      <c r="Q204" s="697">
        <v>304935.7</v>
      </c>
      <c r="R204" s="29" t="s">
        <v>227</v>
      </c>
    </row>
    <row r="205" spans="1:23" ht="25.2" thickBot="1">
      <c r="A205" s="25"/>
      <c r="B205" s="29"/>
      <c r="C205" s="29"/>
      <c r="D205" s="74"/>
      <c r="E205" s="74"/>
      <c r="F205" s="74"/>
      <c r="G205" s="74"/>
      <c r="H205" s="74"/>
      <c r="I205" s="74"/>
      <c r="J205" s="75"/>
      <c r="K205" s="76"/>
      <c r="L205" s="76"/>
      <c r="M205" s="74"/>
      <c r="N205" s="34"/>
      <c r="O205" s="110"/>
      <c r="P205" s="74"/>
      <c r="Q205" s="171"/>
      <c r="R205" s="29"/>
    </row>
    <row r="206" spans="1:23" s="249" customFormat="1" ht="25.8" thickTop="1" thickBot="1">
      <c r="A206" s="134"/>
      <c r="B206" s="246" t="s">
        <v>26</v>
      </c>
      <c r="C206" s="103"/>
      <c r="D206" s="103">
        <v>0</v>
      </c>
      <c r="E206" s="103"/>
      <c r="F206" s="103"/>
      <c r="G206" s="103">
        <f>SUM(G195:G205)</f>
        <v>712893.26</v>
      </c>
      <c r="H206" s="103">
        <f t="shared" ref="H206:I206" si="13">SUM(H195:H205)</f>
        <v>0</v>
      </c>
      <c r="I206" s="103">
        <f t="shared" si="13"/>
        <v>712893.26</v>
      </c>
      <c r="J206" s="104"/>
      <c r="K206" s="104"/>
      <c r="L206" s="104">
        <v>0</v>
      </c>
      <c r="M206" s="103"/>
      <c r="N206" s="247"/>
      <c r="O206" s="103">
        <f>SUM(O195:O205)</f>
        <v>712893.26</v>
      </c>
      <c r="P206" s="103">
        <v>0</v>
      </c>
      <c r="Q206" s="103">
        <f>SUM(Q194:Q205)</f>
        <v>712893.26</v>
      </c>
      <c r="R206" s="248"/>
    </row>
    <row r="207" spans="1:23" ht="25.8" thickTop="1" thickBot="1">
      <c r="A207" s="29"/>
      <c r="B207" s="25" t="s">
        <v>248</v>
      </c>
      <c r="C207" s="64"/>
      <c r="D207" s="63">
        <f>SUM(D30+D75+D111+D179+D184+D192+D206)</f>
        <v>63270</v>
      </c>
      <c r="E207" s="63"/>
      <c r="F207" s="63"/>
      <c r="G207" s="63">
        <f>SUM(G30+G75+G111+G163+G179+G184+G192+G206)</f>
        <v>997218.26</v>
      </c>
      <c r="H207" s="63">
        <v>0</v>
      </c>
      <c r="I207" s="63">
        <f>SUM(I9+I12+I15+I18+I21+I24+I30+I33+I35+I39+I75+I111+I115+I118+I121+I163+I169+I173+I179+I184+I192+I206)</f>
        <v>1010368.26</v>
      </c>
      <c r="J207" s="67"/>
      <c r="K207" s="67"/>
      <c r="L207" s="67">
        <f>SUM(L30+L75+L111)</f>
        <v>50255</v>
      </c>
      <c r="M207" s="63"/>
      <c r="N207" s="105"/>
      <c r="O207" s="63">
        <f>SUM(O30+O75+O111+O179+O184+O192+O206)</f>
        <v>1010193.26</v>
      </c>
      <c r="P207" s="63">
        <f>SUM(P30+P75+P111+P179+P184+P192+P206)</f>
        <v>0</v>
      </c>
      <c r="Q207" s="63">
        <f>SUM(Q30+Q75+Q111+Q179+Q184+Q192+Q206)</f>
        <v>1010193.26</v>
      </c>
      <c r="R207" s="59"/>
      <c r="T207" s="63"/>
    </row>
    <row r="208" spans="1:23" ht="25.2" thickTop="1"/>
    <row r="209" spans="6:17" ht="24.6">
      <c r="K209" s="250"/>
      <c r="Q209" s="249"/>
    </row>
    <row r="210" spans="6:17" ht="24.6">
      <c r="K210" s="723"/>
      <c r="Q210" s="249"/>
    </row>
    <row r="211" spans="6:17" ht="24.6">
      <c r="F211" s="1">
        <v>1010.6000000000058</v>
      </c>
      <c r="K211" s="250"/>
      <c r="Q211" s="249"/>
    </row>
    <row r="212" spans="6:17" ht="24.6">
      <c r="K212" s="250"/>
      <c r="L212" s="252"/>
    </row>
    <row r="213" spans="6:17" ht="24.6">
      <c r="H213" s="253"/>
      <c r="K213" s="25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DD46-5464-4B7A-8AAB-C7C20530023A}">
  <sheetPr>
    <tabColor rgb="FF00B0F0"/>
  </sheetPr>
  <dimension ref="A1:AD979"/>
  <sheetViews>
    <sheetView zoomScale="72" zoomScaleNormal="72" zoomScaleSheetLayoutView="87" workbookViewId="0">
      <pane ySplit="6" topLeftCell="A203" activePane="bottomLeft" state="frozen"/>
      <selection activeCell="I147" sqref="I147"/>
      <selection pane="bottomLeft" activeCell="G173" sqref="G173"/>
    </sheetView>
  </sheetViews>
  <sheetFormatPr defaultColWidth="10.33203125" defaultRowHeight="25.5" customHeight="1"/>
  <cols>
    <col min="1" max="1" width="4.44140625" style="295" customWidth="1"/>
    <col min="2" max="2" width="21.6640625" style="295" customWidth="1"/>
    <col min="3" max="3" width="15" style="295" customWidth="1"/>
    <col min="4" max="4" width="15.44140625" style="295" customWidth="1"/>
    <col min="5" max="5" width="11.5546875" style="295" customWidth="1"/>
    <col min="6" max="6" width="7.44140625" style="295" customWidth="1"/>
    <col min="7" max="7" width="14.109375" style="295" customWidth="1"/>
    <col min="8" max="8" width="10.6640625" style="295" customWidth="1"/>
    <col min="9" max="9" width="13.44140625" style="295" customWidth="1"/>
    <col min="10" max="10" width="11.44140625" style="474" customWidth="1"/>
    <col min="11" max="11" width="15" style="475" customWidth="1"/>
    <col min="12" max="12" width="14.5546875" style="475" customWidth="1"/>
    <col min="13" max="13" width="10.33203125" style="295" customWidth="1"/>
    <col min="14" max="14" width="7.44140625" style="471" customWidth="1"/>
    <col min="15" max="15" width="12.88671875" style="295" customWidth="1"/>
    <col min="16" max="16" width="11.109375" style="295" customWidth="1"/>
    <col min="17" max="17" width="14" style="295" customWidth="1"/>
    <col min="18" max="18" width="33" style="295" customWidth="1"/>
    <col min="19" max="19" width="6.6640625" style="295" customWidth="1"/>
    <col min="20" max="20" width="19" style="629" customWidth="1"/>
    <col min="21" max="21" width="19.109375" style="295" customWidth="1"/>
    <col min="22" max="22" width="21.33203125" style="295" customWidth="1"/>
    <col min="23" max="23" width="32.5546875" style="295" customWidth="1"/>
    <col min="24" max="24" width="16.88671875" style="295" customWidth="1"/>
    <col min="25" max="25" width="16.33203125" style="295" customWidth="1"/>
    <col min="26" max="256" width="10.33203125" style="295"/>
    <col min="257" max="257" width="4.44140625" style="295" customWidth="1"/>
    <col min="258" max="258" width="21.6640625" style="295" customWidth="1"/>
    <col min="259" max="259" width="15" style="295" customWidth="1"/>
    <col min="260" max="260" width="15.44140625" style="295" customWidth="1"/>
    <col min="261" max="261" width="11.5546875" style="295" customWidth="1"/>
    <col min="262" max="262" width="7.44140625" style="295" customWidth="1"/>
    <col min="263" max="263" width="14.109375" style="295" customWidth="1"/>
    <col min="264" max="264" width="10.6640625" style="295" customWidth="1"/>
    <col min="265" max="265" width="13.44140625" style="295" customWidth="1"/>
    <col min="266" max="266" width="11.44140625" style="295" customWidth="1"/>
    <col min="267" max="267" width="15" style="295" customWidth="1"/>
    <col min="268" max="268" width="14.5546875" style="295" customWidth="1"/>
    <col min="269" max="269" width="10.33203125" style="295"/>
    <col min="270" max="270" width="7.44140625" style="295" customWidth="1"/>
    <col min="271" max="271" width="12.88671875" style="295" customWidth="1"/>
    <col min="272" max="272" width="11.109375" style="295" customWidth="1"/>
    <col min="273" max="273" width="14" style="295" customWidth="1"/>
    <col min="274" max="274" width="33" style="295" customWidth="1"/>
    <col min="275" max="275" width="6.6640625" style="295" customWidth="1"/>
    <col min="276" max="276" width="19" style="295" customWidth="1"/>
    <col min="277" max="277" width="19.109375" style="295" customWidth="1"/>
    <col min="278" max="278" width="21.33203125" style="295" customWidth="1"/>
    <col min="279" max="279" width="32.5546875" style="295" customWidth="1"/>
    <col min="280" max="280" width="16.88671875" style="295" customWidth="1"/>
    <col min="281" max="281" width="16.33203125" style="295" customWidth="1"/>
    <col min="282" max="512" width="10.33203125" style="295"/>
    <col min="513" max="513" width="4.44140625" style="295" customWidth="1"/>
    <col min="514" max="514" width="21.6640625" style="295" customWidth="1"/>
    <col min="515" max="515" width="15" style="295" customWidth="1"/>
    <col min="516" max="516" width="15.44140625" style="295" customWidth="1"/>
    <col min="517" max="517" width="11.5546875" style="295" customWidth="1"/>
    <col min="518" max="518" width="7.44140625" style="295" customWidth="1"/>
    <col min="519" max="519" width="14.109375" style="295" customWidth="1"/>
    <col min="520" max="520" width="10.6640625" style="295" customWidth="1"/>
    <col min="521" max="521" width="13.44140625" style="295" customWidth="1"/>
    <col min="522" max="522" width="11.44140625" style="295" customWidth="1"/>
    <col min="523" max="523" width="15" style="295" customWidth="1"/>
    <col min="524" max="524" width="14.5546875" style="295" customWidth="1"/>
    <col min="525" max="525" width="10.33203125" style="295"/>
    <col min="526" max="526" width="7.44140625" style="295" customWidth="1"/>
    <col min="527" max="527" width="12.88671875" style="295" customWidth="1"/>
    <col min="528" max="528" width="11.109375" style="295" customWidth="1"/>
    <col min="529" max="529" width="14" style="295" customWidth="1"/>
    <col min="530" max="530" width="33" style="295" customWidth="1"/>
    <col min="531" max="531" width="6.6640625" style="295" customWidth="1"/>
    <col min="532" max="532" width="19" style="295" customWidth="1"/>
    <col min="533" max="533" width="19.109375" style="295" customWidth="1"/>
    <col min="534" max="534" width="21.33203125" style="295" customWidth="1"/>
    <col min="535" max="535" width="32.5546875" style="295" customWidth="1"/>
    <col min="536" max="536" width="16.88671875" style="295" customWidth="1"/>
    <col min="537" max="537" width="16.33203125" style="295" customWidth="1"/>
    <col min="538" max="768" width="10.33203125" style="295"/>
    <col min="769" max="769" width="4.44140625" style="295" customWidth="1"/>
    <col min="770" max="770" width="21.6640625" style="295" customWidth="1"/>
    <col min="771" max="771" width="15" style="295" customWidth="1"/>
    <col min="772" max="772" width="15.44140625" style="295" customWidth="1"/>
    <col min="773" max="773" width="11.5546875" style="295" customWidth="1"/>
    <col min="774" max="774" width="7.44140625" style="295" customWidth="1"/>
    <col min="775" max="775" width="14.109375" style="295" customWidth="1"/>
    <col min="776" max="776" width="10.6640625" style="295" customWidth="1"/>
    <col min="777" max="777" width="13.44140625" style="295" customWidth="1"/>
    <col min="778" max="778" width="11.44140625" style="295" customWidth="1"/>
    <col min="779" max="779" width="15" style="295" customWidth="1"/>
    <col min="780" max="780" width="14.5546875" style="295" customWidth="1"/>
    <col min="781" max="781" width="10.33203125" style="295"/>
    <col min="782" max="782" width="7.44140625" style="295" customWidth="1"/>
    <col min="783" max="783" width="12.88671875" style="295" customWidth="1"/>
    <col min="784" max="784" width="11.109375" style="295" customWidth="1"/>
    <col min="785" max="785" width="14" style="295" customWidth="1"/>
    <col min="786" max="786" width="33" style="295" customWidth="1"/>
    <col min="787" max="787" width="6.6640625" style="295" customWidth="1"/>
    <col min="788" max="788" width="19" style="295" customWidth="1"/>
    <col min="789" max="789" width="19.109375" style="295" customWidth="1"/>
    <col min="790" max="790" width="21.33203125" style="295" customWidth="1"/>
    <col min="791" max="791" width="32.5546875" style="295" customWidth="1"/>
    <col min="792" max="792" width="16.88671875" style="295" customWidth="1"/>
    <col min="793" max="793" width="16.33203125" style="295" customWidth="1"/>
    <col min="794" max="1024" width="10.33203125" style="295"/>
    <col min="1025" max="1025" width="4.44140625" style="295" customWidth="1"/>
    <col min="1026" max="1026" width="21.6640625" style="295" customWidth="1"/>
    <col min="1027" max="1027" width="15" style="295" customWidth="1"/>
    <col min="1028" max="1028" width="15.44140625" style="295" customWidth="1"/>
    <col min="1029" max="1029" width="11.5546875" style="295" customWidth="1"/>
    <col min="1030" max="1030" width="7.44140625" style="295" customWidth="1"/>
    <col min="1031" max="1031" width="14.109375" style="295" customWidth="1"/>
    <col min="1032" max="1032" width="10.6640625" style="295" customWidth="1"/>
    <col min="1033" max="1033" width="13.44140625" style="295" customWidth="1"/>
    <col min="1034" max="1034" width="11.44140625" style="295" customWidth="1"/>
    <col min="1035" max="1035" width="15" style="295" customWidth="1"/>
    <col min="1036" max="1036" width="14.5546875" style="295" customWidth="1"/>
    <col min="1037" max="1037" width="10.33203125" style="295"/>
    <col min="1038" max="1038" width="7.44140625" style="295" customWidth="1"/>
    <col min="1039" max="1039" width="12.88671875" style="295" customWidth="1"/>
    <col min="1040" max="1040" width="11.109375" style="295" customWidth="1"/>
    <col min="1041" max="1041" width="14" style="295" customWidth="1"/>
    <col min="1042" max="1042" width="33" style="295" customWidth="1"/>
    <col min="1043" max="1043" width="6.6640625" style="295" customWidth="1"/>
    <col min="1044" max="1044" width="19" style="295" customWidth="1"/>
    <col min="1045" max="1045" width="19.109375" style="295" customWidth="1"/>
    <col min="1046" max="1046" width="21.33203125" style="295" customWidth="1"/>
    <col min="1047" max="1047" width="32.5546875" style="295" customWidth="1"/>
    <col min="1048" max="1048" width="16.88671875" style="295" customWidth="1"/>
    <col min="1049" max="1049" width="16.33203125" style="295" customWidth="1"/>
    <col min="1050" max="1280" width="10.33203125" style="295"/>
    <col min="1281" max="1281" width="4.44140625" style="295" customWidth="1"/>
    <col min="1282" max="1282" width="21.6640625" style="295" customWidth="1"/>
    <col min="1283" max="1283" width="15" style="295" customWidth="1"/>
    <col min="1284" max="1284" width="15.44140625" style="295" customWidth="1"/>
    <col min="1285" max="1285" width="11.5546875" style="295" customWidth="1"/>
    <col min="1286" max="1286" width="7.44140625" style="295" customWidth="1"/>
    <col min="1287" max="1287" width="14.109375" style="295" customWidth="1"/>
    <col min="1288" max="1288" width="10.6640625" style="295" customWidth="1"/>
    <col min="1289" max="1289" width="13.44140625" style="295" customWidth="1"/>
    <col min="1290" max="1290" width="11.44140625" style="295" customWidth="1"/>
    <col min="1291" max="1291" width="15" style="295" customWidth="1"/>
    <col min="1292" max="1292" width="14.5546875" style="295" customWidth="1"/>
    <col min="1293" max="1293" width="10.33203125" style="295"/>
    <col min="1294" max="1294" width="7.44140625" style="295" customWidth="1"/>
    <col min="1295" max="1295" width="12.88671875" style="295" customWidth="1"/>
    <col min="1296" max="1296" width="11.109375" style="295" customWidth="1"/>
    <col min="1297" max="1297" width="14" style="295" customWidth="1"/>
    <col min="1298" max="1298" width="33" style="295" customWidth="1"/>
    <col min="1299" max="1299" width="6.6640625" style="295" customWidth="1"/>
    <col min="1300" max="1300" width="19" style="295" customWidth="1"/>
    <col min="1301" max="1301" width="19.109375" style="295" customWidth="1"/>
    <col min="1302" max="1302" width="21.33203125" style="295" customWidth="1"/>
    <col min="1303" max="1303" width="32.5546875" style="295" customWidth="1"/>
    <col min="1304" max="1304" width="16.88671875" style="295" customWidth="1"/>
    <col min="1305" max="1305" width="16.33203125" style="295" customWidth="1"/>
    <col min="1306" max="1536" width="10.33203125" style="295"/>
    <col min="1537" max="1537" width="4.44140625" style="295" customWidth="1"/>
    <col min="1538" max="1538" width="21.6640625" style="295" customWidth="1"/>
    <col min="1539" max="1539" width="15" style="295" customWidth="1"/>
    <col min="1540" max="1540" width="15.44140625" style="295" customWidth="1"/>
    <col min="1541" max="1541" width="11.5546875" style="295" customWidth="1"/>
    <col min="1542" max="1542" width="7.44140625" style="295" customWidth="1"/>
    <col min="1543" max="1543" width="14.109375" style="295" customWidth="1"/>
    <col min="1544" max="1544" width="10.6640625" style="295" customWidth="1"/>
    <col min="1545" max="1545" width="13.44140625" style="295" customWidth="1"/>
    <col min="1546" max="1546" width="11.44140625" style="295" customWidth="1"/>
    <col min="1547" max="1547" width="15" style="295" customWidth="1"/>
    <col min="1548" max="1548" width="14.5546875" style="295" customWidth="1"/>
    <col min="1549" max="1549" width="10.33203125" style="295"/>
    <col min="1550" max="1550" width="7.44140625" style="295" customWidth="1"/>
    <col min="1551" max="1551" width="12.88671875" style="295" customWidth="1"/>
    <col min="1552" max="1552" width="11.109375" style="295" customWidth="1"/>
    <col min="1553" max="1553" width="14" style="295" customWidth="1"/>
    <col min="1554" max="1554" width="33" style="295" customWidth="1"/>
    <col min="1555" max="1555" width="6.6640625" style="295" customWidth="1"/>
    <col min="1556" max="1556" width="19" style="295" customWidth="1"/>
    <col min="1557" max="1557" width="19.109375" style="295" customWidth="1"/>
    <col min="1558" max="1558" width="21.33203125" style="295" customWidth="1"/>
    <col min="1559" max="1559" width="32.5546875" style="295" customWidth="1"/>
    <col min="1560" max="1560" width="16.88671875" style="295" customWidth="1"/>
    <col min="1561" max="1561" width="16.33203125" style="295" customWidth="1"/>
    <col min="1562" max="1792" width="10.33203125" style="295"/>
    <col min="1793" max="1793" width="4.44140625" style="295" customWidth="1"/>
    <col min="1794" max="1794" width="21.6640625" style="295" customWidth="1"/>
    <col min="1795" max="1795" width="15" style="295" customWidth="1"/>
    <col min="1796" max="1796" width="15.44140625" style="295" customWidth="1"/>
    <col min="1797" max="1797" width="11.5546875" style="295" customWidth="1"/>
    <col min="1798" max="1798" width="7.44140625" style="295" customWidth="1"/>
    <col min="1799" max="1799" width="14.109375" style="295" customWidth="1"/>
    <col min="1800" max="1800" width="10.6640625" style="295" customWidth="1"/>
    <col min="1801" max="1801" width="13.44140625" style="295" customWidth="1"/>
    <col min="1802" max="1802" width="11.44140625" style="295" customWidth="1"/>
    <col min="1803" max="1803" width="15" style="295" customWidth="1"/>
    <col min="1804" max="1804" width="14.5546875" style="295" customWidth="1"/>
    <col min="1805" max="1805" width="10.33203125" style="295"/>
    <col min="1806" max="1806" width="7.44140625" style="295" customWidth="1"/>
    <col min="1807" max="1807" width="12.88671875" style="295" customWidth="1"/>
    <col min="1808" max="1808" width="11.109375" style="295" customWidth="1"/>
    <col min="1809" max="1809" width="14" style="295" customWidth="1"/>
    <col min="1810" max="1810" width="33" style="295" customWidth="1"/>
    <col min="1811" max="1811" width="6.6640625" style="295" customWidth="1"/>
    <col min="1812" max="1812" width="19" style="295" customWidth="1"/>
    <col min="1813" max="1813" width="19.109375" style="295" customWidth="1"/>
    <col min="1814" max="1814" width="21.33203125" style="295" customWidth="1"/>
    <col min="1815" max="1815" width="32.5546875" style="295" customWidth="1"/>
    <col min="1816" max="1816" width="16.88671875" style="295" customWidth="1"/>
    <col min="1817" max="1817" width="16.33203125" style="295" customWidth="1"/>
    <col min="1818" max="2048" width="10.33203125" style="295"/>
    <col min="2049" max="2049" width="4.44140625" style="295" customWidth="1"/>
    <col min="2050" max="2050" width="21.6640625" style="295" customWidth="1"/>
    <col min="2051" max="2051" width="15" style="295" customWidth="1"/>
    <col min="2052" max="2052" width="15.44140625" style="295" customWidth="1"/>
    <col min="2053" max="2053" width="11.5546875" style="295" customWidth="1"/>
    <col min="2054" max="2054" width="7.44140625" style="295" customWidth="1"/>
    <col min="2055" max="2055" width="14.109375" style="295" customWidth="1"/>
    <col min="2056" max="2056" width="10.6640625" style="295" customWidth="1"/>
    <col min="2057" max="2057" width="13.44140625" style="295" customWidth="1"/>
    <col min="2058" max="2058" width="11.44140625" style="295" customWidth="1"/>
    <col min="2059" max="2059" width="15" style="295" customWidth="1"/>
    <col min="2060" max="2060" width="14.5546875" style="295" customWidth="1"/>
    <col min="2061" max="2061" width="10.33203125" style="295"/>
    <col min="2062" max="2062" width="7.44140625" style="295" customWidth="1"/>
    <col min="2063" max="2063" width="12.88671875" style="295" customWidth="1"/>
    <col min="2064" max="2064" width="11.109375" style="295" customWidth="1"/>
    <col min="2065" max="2065" width="14" style="295" customWidth="1"/>
    <col min="2066" max="2066" width="33" style="295" customWidth="1"/>
    <col min="2067" max="2067" width="6.6640625" style="295" customWidth="1"/>
    <col min="2068" max="2068" width="19" style="295" customWidth="1"/>
    <col min="2069" max="2069" width="19.109375" style="295" customWidth="1"/>
    <col min="2070" max="2070" width="21.33203125" style="295" customWidth="1"/>
    <col min="2071" max="2071" width="32.5546875" style="295" customWidth="1"/>
    <col min="2072" max="2072" width="16.88671875" style="295" customWidth="1"/>
    <col min="2073" max="2073" width="16.33203125" style="295" customWidth="1"/>
    <col min="2074" max="2304" width="10.33203125" style="295"/>
    <col min="2305" max="2305" width="4.44140625" style="295" customWidth="1"/>
    <col min="2306" max="2306" width="21.6640625" style="295" customWidth="1"/>
    <col min="2307" max="2307" width="15" style="295" customWidth="1"/>
    <col min="2308" max="2308" width="15.44140625" style="295" customWidth="1"/>
    <col min="2309" max="2309" width="11.5546875" style="295" customWidth="1"/>
    <col min="2310" max="2310" width="7.44140625" style="295" customWidth="1"/>
    <col min="2311" max="2311" width="14.109375" style="295" customWidth="1"/>
    <col min="2312" max="2312" width="10.6640625" style="295" customWidth="1"/>
    <col min="2313" max="2313" width="13.44140625" style="295" customWidth="1"/>
    <col min="2314" max="2314" width="11.44140625" style="295" customWidth="1"/>
    <col min="2315" max="2315" width="15" style="295" customWidth="1"/>
    <col min="2316" max="2316" width="14.5546875" style="295" customWidth="1"/>
    <col min="2317" max="2317" width="10.33203125" style="295"/>
    <col min="2318" max="2318" width="7.44140625" style="295" customWidth="1"/>
    <col min="2319" max="2319" width="12.88671875" style="295" customWidth="1"/>
    <col min="2320" max="2320" width="11.109375" style="295" customWidth="1"/>
    <col min="2321" max="2321" width="14" style="295" customWidth="1"/>
    <col min="2322" max="2322" width="33" style="295" customWidth="1"/>
    <col min="2323" max="2323" width="6.6640625" style="295" customWidth="1"/>
    <col min="2324" max="2324" width="19" style="295" customWidth="1"/>
    <col min="2325" max="2325" width="19.109375" style="295" customWidth="1"/>
    <col min="2326" max="2326" width="21.33203125" style="295" customWidth="1"/>
    <col min="2327" max="2327" width="32.5546875" style="295" customWidth="1"/>
    <col min="2328" max="2328" width="16.88671875" style="295" customWidth="1"/>
    <col min="2329" max="2329" width="16.33203125" style="295" customWidth="1"/>
    <col min="2330" max="2560" width="10.33203125" style="295"/>
    <col min="2561" max="2561" width="4.44140625" style="295" customWidth="1"/>
    <col min="2562" max="2562" width="21.6640625" style="295" customWidth="1"/>
    <col min="2563" max="2563" width="15" style="295" customWidth="1"/>
    <col min="2564" max="2564" width="15.44140625" style="295" customWidth="1"/>
    <col min="2565" max="2565" width="11.5546875" style="295" customWidth="1"/>
    <col min="2566" max="2566" width="7.44140625" style="295" customWidth="1"/>
    <col min="2567" max="2567" width="14.109375" style="295" customWidth="1"/>
    <col min="2568" max="2568" width="10.6640625" style="295" customWidth="1"/>
    <col min="2569" max="2569" width="13.44140625" style="295" customWidth="1"/>
    <col min="2570" max="2570" width="11.44140625" style="295" customWidth="1"/>
    <col min="2571" max="2571" width="15" style="295" customWidth="1"/>
    <col min="2572" max="2572" width="14.5546875" style="295" customWidth="1"/>
    <col min="2573" max="2573" width="10.33203125" style="295"/>
    <col min="2574" max="2574" width="7.44140625" style="295" customWidth="1"/>
    <col min="2575" max="2575" width="12.88671875" style="295" customWidth="1"/>
    <col min="2576" max="2576" width="11.109375" style="295" customWidth="1"/>
    <col min="2577" max="2577" width="14" style="295" customWidth="1"/>
    <col min="2578" max="2578" width="33" style="295" customWidth="1"/>
    <col min="2579" max="2579" width="6.6640625" style="295" customWidth="1"/>
    <col min="2580" max="2580" width="19" style="295" customWidth="1"/>
    <col min="2581" max="2581" width="19.109375" style="295" customWidth="1"/>
    <col min="2582" max="2582" width="21.33203125" style="295" customWidth="1"/>
    <col min="2583" max="2583" width="32.5546875" style="295" customWidth="1"/>
    <col min="2584" max="2584" width="16.88671875" style="295" customWidth="1"/>
    <col min="2585" max="2585" width="16.33203125" style="295" customWidth="1"/>
    <col min="2586" max="2816" width="10.33203125" style="295"/>
    <col min="2817" max="2817" width="4.44140625" style="295" customWidth="1"/>
    <col min="2818" max="2818" width="21.6640625" style="295" customWidth="1"/>
    <col min="2819" max="2819" width="15" style="295" customWidth="1"/>
    <col min="2820" max="2820" width="15.44140625" style="295" customWidth="1"/>
    <col min="2821" max="2821" width="11.5546875" style="295" customWidth="1"/>
    <col min="2822" max="2822" width="7.44140625" style="295" customWidth="1"/>
    <col min="2823" max="2823" width="14.109375" style="295" customWidth="1"/>
    <col min="2824" max="2824" width="10.6640625" style="295" customWidth="1"/>
    <col min="2825" max="2825" width="13.44140625" style="295" customWidth="1"/>
    <col min="2826" max="2826" width="11.44140625" style="295" customWidth="1"/>
    <col min="2827" max="2827" width="15" style="295" customWidth="1"/>
    <col min="2828" max="2828" width="14.5546875" style="295" customWidth="1"/>
    <col min="2829" max="2829" width="10.33203125" style="295"/>
    <col min="2830" max="2830" width="7.44140625" style="295" customWidth="1"/>
    <col min="2831" max="2831" width="12.88671875" style="295" customWidth="1"/>
    <col min="2832" max="2832" width="11.109375" style="295" customWidth="1"/>
    <col min="2833" max="2833" width="14" style="295" customWidth="1"/>
    <col min="2834" max="2834" width="33" style="295" customWidth="1"/>
    <col min="2835" max="2835" width="6.6640625" style="295" customWidth="1"/>
    <col min="2836" max="2836" width="19" style="295" customWidth="1"/>
    <col min="2837" max="2837" width="19.109375" style="295" customWidth="1"/>
    <col min="2838" max="2838" width="21.33203125" style="295" customWidth="1"/>
    <col min="2839" max="2839" width="32.5546875" style="295" customWidth="1"/>
    <col min="2840" max="2840" width="16.88671875" style="295" customWidth="1"/>
    <col min="2841" max="2841" width="16.33203125" style="295" customWidth="1"/>
    <col min="2842" max="3072" width="10.33203125" style="295"/>
    <col min="3073" max="3073" width="4.44140625" style="295" customWidth="1"/>
    <col min="3074" max="3074" width="21.6640625" style="295" customWidth="1"/>
    <col min="3075" max="3075" width="15" style="295" customWidth="1"/>
    <col min="3076" max="3076" width="15.44140625" style="295" customWidth="1"/>
    <col min="3077" max="3077" width="11.5546875" style="295" customWidth="1"/>
    <col min="3078" max="3078" width="7.44140625" style="295" customWidth="1"/>
    <col min="3079" max="3079" width="14.109375" style="295" customWidth="1"/>
    <col min="3080" max="3080" width="10.6640625" style="295" customWidth="1"/>
    <col min="3081" max="3081" width="13.44140625" style="295" customWidth="1"/>
    <col min="3082" max="3082" width="11.44140625" style="295" customWidth="1"/>
    <col min="3083" max="3083" width="15" style="295" customWidth="1"/>
    <col min="3084" max="3084" width="14.5546875" style="295" customWidth="1"/>
    <col min="3085" max="3085" width="10.33203125" style="295"/>
    <col min="3086" max="3086" width="7.44140625" style="295" customWidth="1"/>
    <col min="3087" max="3087" width="12.88671875" style="295" customWidth="1"/>
    <col min="3088" max="3088" width="11.109375" style="295" customWidth="1"/>
    <col min="3089" max="3089" width="14" style="295" customWidth="1"/>
    <col min="3090" max="3090" width="33" style="295" customWidth="1"/>
    <col min="3091" max="3091" width="6.6640625" style="295" customWidth="1"/>
    <col min="3092" max="3092" width="19" style="295" customWidth="1"/>
    <col min="3093" max="3093" width="19.109375" style="295" customWidth="1"/>
    <col min="3094" max="3094" width="21.33203125" style="295" customWidth="1"/>
    <col min="3095" max="3095" width="32.5546875" style="295" customWidth="1"/>
    <col min="3096" max="3096" width="16.88671875" style="295" customWidth="1"/>
    <col min="3097" max="3097" width="16.33203125" style="295" customWidth="1"/>
    <col min="3098" max="3328" width="10.33203125" style="295"/>
    <col min="3329" max="3329" width="4.44140625" style="295" customWidth="1"/>
    <col min="3330" max="3330" width="21.6640625" style="295" customWidth="1"/>
    <col min="3331" max="3331" width="15" style="295" customWidth="1"/>
    <col min="3332" max="3332" width="15.44140625" style="295" customWidth="1"/>
    <col min="3333" max="3333" width="11.5546875" style="295" customWidth="1"/>
    <col min="3334" max="3334" width="7.44140625" style="295" customWidth="1"/>
    <col min="3335" max="3335" width="14.109375" style="295" customWidth="1"/>
    <col min="3336" max="3336" width="10.6640625" style="295" customWidth="1"/>
    <col min="3337" max="3337" width="13.44140625" style="295" customWidth="1"/>
    <col min="3338" max="3338" width="11.44140625" style="295" customWidth="1"/>
    <col min="3339" max="3339" width="15" style="295" customWidth="1"/>
    <col min="3340" max="3340" width="14.5546875" style="295" customWidth="1"/>
    <col min="3341" max="3341" width="10.33203125" style="295"/>
    <col min="3342" max="3342" width="7.44140625" style="295" customWidth="1"/>
    <col min="3343" max="3343" width="12.88671875" style="295" customWidth="1"/>
    <col min="3344" max="3344" width="11.109375" style="295" customWidth="1"/>
    <col min="3345" max="3345" width="14" style="295" customWidth="1"/>
    <col min="3346" max="3346" width="33" style="295" customWidth="1"/>
    <col min="3347" max="3347" width="6.6640625" style="295" customWidth="1"/>
    <col min="3348" max="3348" width="19" style="295" customWidth="1"/>
    <col min="3349" max="3349" width="19.109375" style="295" customWidth="1"/>
    <col min="3350" max="3350" width="21.33203125" style="295" customWidth="1"/>
    <col min="3351" max="3351" width="32.5546875" style="295" customWidth="1"/>
    <col min="3352" max="3352" width="16.88671875" style="295" customWidth="1"/>
    <col min="3353" max="3353" width="16.33203125" style="295" customWidth="1"/>
    <col min="3354" max="3584" width="10.33203125" style="295"/>
    <col min="3585" max="3585" width="4.44140625" style="295" customWidth="1"/>
    <col min="3586" max="3586" width="21.6640625" style="295" customWidth="1"/>
    <col min="3587" max="3587" width="15" style="295" customWidth="1"/>
    <col min="3588" max="3588" width="15.44140625" style="295" customWidth="1"/>
    <col min="3589" max="3589" width="11.5546875" style="295" customWidth="1"/>
    <col min="3590" max="3590" width="7.44140625" style="295" customWidth="1"/>
    <col min="3591" max="3591" width="14.109375" style="295" customWidth="1"/>
    <col min="3592" max="3592" width="10.6640625" style="295" customWidth="1"/>
    <col min="3593" max="3593" width="13.44140625" style="295" customWidth="1"/>
    <col min="3594" max="3594" width="11.44140625" style="295" customWidth="1"/>
    <col min="3595" max="3595" width="15" style="295" customWidth="1"/>
    <col min="3596" max="3596" width="14.5546875" style="295" customWidth="1"/>
    <col min="3597" max="3597" width="10.33203125" style="295"/>
    <col min="3598" max="3598" width="7.44140625" style="295" customWidth="1"/>
    <col min="3599" max="3599" width="12.88671875" style="295" customWidth="1"/>
    <col min="3600" max="3600" width="11.109375" style="295" customWidth="1"/>
    <col min="3601" max="3601" width="14" style="295" customWidth="1"/>
    <col min="3602" max="3602" width="33" style="295" customWidth="1"/>
    <col min="3603" max="3603" width="6.6640625" style="295" customWidth="1"/>
    <col min="3604" max="3604" width="19" style="295" customWidth="1"/>
    <col min="3605" max="3605" width="19.109375" style="295" customWidth="1"/>
    <col min="3606" max="3606" width="21.33203125" style="295" customWidth="1"/>
    <col min="3607" max="3607" width="32.5546875" style="295" customWidth="1"/>
    <col min="3608" max="3608" width="16.88671875" style="295" customWidth="1"/>
    <col min="3609" max="3609" width="16.33203125" style="295" customWidth="1"/>
    <col min="3610" max="3840" width="10.33203125" style="295"/>
    <col min="3841" max="3841" width="4.44140625" style="295" customWidth="1"/>
    <col min="3842" max="3842" width="21.6640625" style="295" customWidth="1"/>
    <col min="3843" max="3843" width="15" style="295" customWidth="1"/>
    <col min="3844" max="3844" width="15.44140625" style="295" customWidth="1"/>
    <col min="3845" max="3845" width="11.5546875" style="295" customWidth="1"/>
    <col min="3846" max="3846" width="7.44140625" style="295" customWidth="1"/>
    <col min="3847" max="3847" width="14.109375" style="295" customWidth="1"/>
    <col min="3848" max="3848" width="10.6640625" style="295" customWidth="1"/>
    <col min="3849" max="3849" width="13.44140625" style="295" customWidth="1"/>
    <col min="3850" max="3850" width="11.44140625" style="295" customWidth="1"/>
    <col min="3851" max="3851" width="15" style="295" customWidth="1"/>
    <col min="3852" max="3852" width="14.5546875" style="295" customWidth="1"/>
    <col min="3853" max="3853" width="10.33203125" style="295"/>
    <col min="3854" max="3854" width="7.44140625" style="295" customWidth="1"/>
    <col min="3855" max="3855" width="12.88671875" style="295" customWidth="1"/>
    <col min="3856" max="3856" width="11.109375" style="295" customWidth="1"/>
    <col min="3857" max="3857" width="14" style="295" customWidth="1"/>
    <col min="3858" max="3858" width="33" style="295" customWidth="1"/>
    <col min="3859" max="3859" width="6.6640625" style="295" customWidth="1"/>
    <col min="3860" max="3860" width="19" style="295" customWidth="1"/>
    <col min="3861" max="3861" width="19.109375" style="295" customWidth="1"/>
    <col min="3862" max="3862" width="21.33203125" style="295" customWidth="1"/>
    <col min="3863" max="3863" width="32.5546875" style="295" customWidth="1"/>
    <col min="3864" max="3864" width="16.88671875" style="295" customWidth="1"/>
    <col min="3865" max="3865" width="16.33203125" style="295" customWidth="1"/>
    <col min="3866" max="4096" width="10.33203125" style="295"/>
    <col min="4097" max="4097" width="4.44140625" style="295" customWidth="1"/>
    <col min="4098" max="4098" width="21.6640625" style="295" customWidth="1"/>
    <col min="4099" max="4099" width="15" style="295" customWidth="1"/>
    <col min="4100" max="4100" width="15.44140625" style="295" customWidth="1"/>
    <col min="4101" max="4101" width="11.5546875" style="295" customWidth="1"/>
    <col min="4102" max="4102" width="7.44140625" style="295" customWidth="1"/>
    <col min="4103" max="4103" width="14.109375" style="295" customWidth="1"/>
    <col min="4104" max="4104" width="10.6640625" style="295" customWidth="1"/>
    <col min="4105" max="4105" width="13.44140625" style="295" customWidth="1"/>
    <col min="4106" max="4106" width="11.44140625" style="295" customWidth="1"/>
    <col min="4107" max="4107" width="15" style="295" customWidth="1"/>
    <col min="4108" max="4108" width="14.5546875" style="295" customWidth="1"/>
    <col min="4109" max="4109" width="10.33203125" style="295"/>
    <col min="4110" max="4110" width="7.44140625" style="295" customWidth="1"/>
    <col min="4111" max="4111" width="12.88671875" style="295" customWidth="1"/>
    <col min="4112" max="4112" width="11.109375" style="295" customWidth="1"/>
    <col min="4113" max="4113" width="14" style="295" customWidth="1"/>
    <col min="4114" max="4114" width="33" style="295" customWidth="1"/>
    <col min="4115" max="4115" width="6.6640625" style="295" customWidth="1"/>
    <col min="4116" max="4116" width="19" style="295" customWidth="1"/>
    <col min="4117" max="4117" width="19.109375" style="295" customWidth="1"/>
    <col min="4118" max="4118" width="21.33203125" style="295" customWidth="1"/>
    <col min="4119" max="4119" width="32.5546875" style="295" customWidth="1"/>
    <col min="4120" max="4120" width="16.88671875" style="295" customWidth="1"/>
    <col min="4121" max="4121" width="16.33203125" style="295" customWidth="1"/>
    <col min="4122" max="4352" width="10.33203125" style="295"/>
    <col min="4353" max="4353" width="4.44140625" style="295" customWidth="1"/>
    <col min="4354" max="4354" width="21.6640625" style="295" customWidth="1"/>
    <col min="4355" max="4355" width="15" style="295" customWidth="1"/>
    <col min="4356" max="4356" width="15.44140625" style="295" customWidth="1"/>
    <col min="4357" max="4357" width="11.5546875" style="295" customWidth="1"/>
    <col min="4358" max="4358" width="7.44140625" style="295" customWidth="1"/>
    <col min="4359" max="4359" width="14.109375" style="295" customWidth="1"/>
    <col min="4360" max="4360" width="10.6640625" style="295" customWidth="1"/>
    <col min="4361" max="4361" width="13.44140625" style="295" customWidth="1"/>
    <col min="4362" max="4362" width="11.44140625" style="295" customWidth="1"/>
    <col min="4363" max="4363" width="15" style="295" customWidth="1"/>
    <col min="4364" max="4364" width="14.5546875" style="295" customWidth="1"/>
    <col min="4365" max="4365" width="10.33203125" style="295"/>
    <col min="4366" max="4366" width="7.44140625" style="295" customWidth="1"/>
    <col min="4367" max="4367" width="12.88671875" style="295" customWidth="1"/>
    <col min="4368" max="4368" width="11.109375" style="295" customWidth="1"/>
    <col min="4369" max="4369" width="14" style="295" customWidth="1"/>
    <col min="4370" max="4370" width="33" style="295" customWidth="1"/>
    <col min="4371" max="4371" width="6.6640625" style="295" customWidth="1"/>
    <col min="4372" max="4372" width="19" style="295" customWidth="1"/>
    <col min="4373" max="4373" width="19.109375" style="295" customWidth="1"/>
    <col min="4374" max="4374" width="21.33203125" style="295" customWidth="1"/>
    <col min="4375" max="4375" width="32.5546875" style="295" customWidth="1"/>
    <col min="4376" max="4376" width="16.88671875" style="295" customWidth="1"/>
    <col min="4377" max="4377" width="16.33203125" style="295" customWidth="1"/>
    <col min="4378" max="4608" width="10.33203125" style="295"/>
    <col min="4609" max="4609" width="4.44140625" style="295" customWidth="1"/>
    <col min="4610" max="4610" width="21.6640625" style="295" customWidth="1"/>
    <col min="4611" max="4611" width="15" style="295" customWidth="1"/>
    <col min="4612" max="4612" width="15.44140625" style="295" customWidth="1"/>
    <col min="4613" max="4613" width="11.5546875" style="295" customWidth="1"/>
    <col min="4614" max="4614" width="7.44140625" style="295" customWidth="1"/>
    <col min="4615" max="4615" width="14.109375" style="295" customWidth="1"/>
    <col min="4616" max="4616" width="10.6640625" style="295" customWidth="1"/>
    <col min="4617" max="4617" width="13.44140625" style="295" customWidth="1"/>
    <col min="4618" max="4618" width="11.44140625" style="295" customWidth="1"/>
    <col min="4619" max="4619" width="15" style="295" customWidth="1"/>
    <col min="4620" max="4620" width="14.5546875" style="295" customWidth="1"/>
    <col min="4621" max="4621" width="10.33203125" style="295"/>
    <col min="4622" max="4622" width="7.44140625" style="295" customWidth="1"/>
    <col min="4623" max="4623" width="12.88671875" style="295" customWidth="1"/>
    <col min="4624" max="4624" width="11.109375" style="295" customWidth="1"/>
    <col min="4625" max="4625" width="14" style="295" customWidth="1"/>
    <col min="4626" max="4626" width="33" style="295" customWidth="1"/>
    <col min="4627" max="4627" width="6.6640625" style="295" customWidth="1"/>
    <col min="4628" max="4628" width="19" style="295" customWidth="1"/>
    <col min="4629" max="4629" width="19.109375" style="295" customWidth="1"/>
    <col min="4630" max="4630" width="21.33203125" style="295" customWidth="1"/>
    <col min="4631" max="4631" width="32.5546875" style="295" customWidth="1"/>
    <col min="4632" max="4632" width="16.88671875" style="295" customWidth="1"/>
    <col min="4633" max="4633" width="16.33203125" style="295" customWidth="1"/>
    <col min="4634" max="4864" width="10.33203125" style="295"/>
    <col min="4865" max="4865" width="4.44140625" style="295" customWidth="1"/>
    <col min="4866" max="4866" width="21.6640625" style="295" customWidth="1"/>
    <col min="4867" max="4867" width="15" style="295" customWidth="1"/>
    <col min="4868" max="4868" width="15.44140625" style="295" customWidth="1"/>
    <col min="4869" max="4869" width="11.5546875" style="295" customWidth="1"/>
    <col min="4870" max="4870" width="7.44140625" style="295" customWidth="1"/>
    <col min="4871" max="4871" width="14.109375" style="295" customWidth="1"/>
    <col min="4872" max="4872" width="10.6640625" style="295" customWidth="1"/>
    <col min="4873" max="4873" width="13.44140625" style="295" customWidth="1"/>
    <col min="4874" max="4874" width="11.44140625" style="295" customWidth="1"/>
    <col min="4875" max="4875" width="15" style="295" customWidth="1"/>
    <col min="4876" max="4876" width="14.5546875" style="295" customWidth="1"/>
    <col min="4877" max="4877" width="10.33203125" style="295"/>
    <col min="4878" max="4878" width="7.44140625" style="295" customWidth="1"/>
    <col min="4879" max="4879" width="12.88671875" style="295" customWidth="1"/>
    <col min="4880" max="4880" width="11.109375" style="295" customWidth="1"/>
    <col min="4881" max="4881" width="14" style="295" customWidth="1"/>
    <col min="4882" max="4882" width="33" style="295" customWidth="1"/>
    <col min="4883" max="4883" width="6.6640625" style="295" customWidth="1"/>
    <col min="4884" max="4884" width="19" style="295" customWidth="1"/>
    <col min="4885" max="4885" width="19.109375" style="295" customWidth="1"/>
    <col min="4886" max="4886" width="21.33203125" style="295" customWidth="1"/>
    <col min="4887" max="4887" width="32.5546875" style="295" customWidth="1"/>
    <col min="4888" max="4888" width="16.88671875" style="295" customWidth="1"/>
    <col min="4889" max="4889" width="16.33203125" style="295" customWidth="1"/>
    <col min="4890" max="5120" width="10.33203125" style="295"/>
    <col min="5121" max="5121" width="4.44140625" style="295" customWidth="1"/>
    <col min="5122" max="5122" width="21.6640625" style="295" customWidth="1"/>
    <col min="5123" max="5123" width="15" style="295" customWidth="1"/>
    <col min="5124" max="5124" width="15.44140625" style="295" customWidth="1"/>
    <col min="5125" max="5125" width="11.5546875" style="295" customWidth="1"/>
    <col min="5126" max="5126" width="7.44140625" style="295" customWidth="1"/>
    <col min="5127" max="5127" width="14.109375" style="295" customWidth="1"/>
    <col min="5128" max="5128" width="10.6640625" style="295" customWidth="1"/>
    <col min="5129" max="5129" width="13.44140625" style="295" customWidth="1"/>
    <col min="5130" max="5130" width="11.44140625" style="295" customWidth="1"/>
    <col min="5131" max="5131" width="15" style="295" customWidth="1"/>
    <col min="5132" max="5132" width="14.5546875" style="295" customWidth="1"/>
    <col min="5133" max="5133" width="10.33203125" style="295"/>
    <col min="5134" max="5134" width="7.44140625" style="295" customWidth="1"/>
    <col min="5135" max="5135" width="12.88671875" style="295" customWidth="1"/>
    <col min="5136" max="5136" width="11.109375" style="295" customWidth="1"/>
    <col min="5137" max="5137" width="14" style="295" customWidth="1"/>
    <col min="5138" max="5138" width="33" style="295" customWidth="1"/>
    <col min="5139" max="5139" width="6.6640625" style="295" customWidth="1"/>
    <col min="5140" max="5140" width="19" style="295" customWidth="1"/>
    <col min="5141" max="5141" width="19.109375" style="295" customWidth="1"/>
    <col min="5142" max="5142" width="21.33203125" style="295" customWidth="1"/>
    <col min="5143" max="5143" width="32.5546875" style="295" customWidth="1"/>
    <col min="5144" max="5144" width="16.88671875" style="295" customWidth="1"/>
    <col min="5145" max="5145" width="16.33203125" style="295" customWidth="1"/>
    <col min="5146" max="5376" width="10.33203125" style="295"/>
    <col min="5377" max="5377" width="4.44140625" style="295" customWidth="1"/>
    <col min="5378" max="5378" width="21.6640625" style="295" customWidth="1"/>
    <col min="5379" max="5379" width="15" style="295" customWidth="1"/>
    <col min="5380" max="5380" width="15.44140625" style="295" customWidth="1"/>
    <col min="5381" max="5381" width="11.5546875" style="295" customWidth="1"/>
    <col min="5382" max="5382" width="7.44140625" style="295" customWidth="1"/>
    <col min="5383" max="5383" width="14.109375" style="295" customWidth="1"/>
    <col min="5384" max="5384" width="10.6640625" style="295" customWidth="1"/>
    <col min="5385" max="5385" width="13.44140625" style="295" customWidth="1"/>
    <col min="5386" max="5386" width="11.44140625" style="295" customWidth="1"/>
    <col min="5387" max="5387" width="15" style="295" customWidth="1"/>
    <col min="5388" max="5388" width="14.5546875" style="295" customWidth="1"/>
    <col min="5389" max="5389" width="10.33203125" style="295"/>
    <col min="5390" max="5390" width="7.44140625" style="295" customWidth="1"/>
    <col min="5391" max="5391" width="12.88671875" style="295" customWidth="1"/>
    <col min="5392" max="5392" width="11.109375" style="295" customWidth="1"/>
    <col min="5393" max="5393" width="14" style="295" customWidth="1"/>
    <col min="5394" max="5394" width="33" style="295" customWidth="1"/>
    <col min="5395" max="5395" width="6.6640625" style="295" customWidth="1"/>
    <col min="5396" max="5396" width="19" style="295" customWidth="1"/>
    <col min="5397" max="5397" width="19.109375" style="295" customWidth="1"/>
    <col min="5398" max="5398" width="21.33203125" style="295" customWidth="1"/>
    <col min="5399" max="5399" width="32.5546875" style="295" customWidth="1"/>
    <col min="5400" max="5400" width="16.88671875" style="295" customWidth="1"/>
    <col min="5401" max="5401" width="16.33203125" style="295" customWidth="1"/>
    <col min="5402" max="5632" width="10.33203125" style="295"/>
    <col min="5633" max="5633" width="4.44140625" style="295" customWidth="1"/>
    <col min="5634" max="5634" width="21.6640625" style="295" customWidth="1"/>
    <col min="5635" max="5635" width="15" style="295" customWidth="1"/>
    <col min="5636" max="5636" width="15.44140625" style="295" customWidth="1"/>
    <col min="5637" max="5637" width="11.5546875" style="295" customWidth="1"/>
    <col min="5638" max="5638" width="7.44140625" style="295" customWidth="1"/>
    <col min="5639" max="5639" width="14.109375" style="295" customWidth="1"/>
    <col min="5640" max="5640" width="10.6640625" style="295" customWidth="1"/>
    <col min="5641" max="5641" width="13.44140625" style="295" customWidth="1"/>
    <col min="5642" max="5642" width="11.44140625" style="295" customWidth="1"/>
    <col min="5643" max="5643" width="15" style="295" customWidth="1"/>
    <col min="5644" max="5644" width="14.5546875" style="295" customWidth="1"/>
    <col min="5645" max="5645" width="10.33203125" style="295"/>
    <col min="5646" max="5646" width="7.44140625" style="295" customWidth="1"/>
    <col min="5647" max="5647" width="12.88671875" style="295" customWidth="1"/>
    <col min="5648" max="5648" width="11.109375" style="295" customWidth="1"/>
    <col min="5649" max="5649" width="14" style="295" customWidth="1"/>
    <col min="5650" max="5650" width="33" style="295" customWidth="1"/>
    <col min="5651" max="5651" width="6.6640625" style="295" customWidth="1"/>
    <col min="5652" max="5652" width="19" style="295" customWidth="1"/>
    <col min="5653" max="5653" width="19.109375" style="295" customWidth="1"/>
    <col min="5654" max="5654" width="21.33203125" style="295" customWidth="1"/>
    <col min="5655" max="5655" width="32.5546875" style="295" customWidth="1"/>
    <col min="5656" max="5656" width="16.88671875" style="295" customWidth="1"/>
    <col min="5657" max="5657" width="16.33203125" style="295" customWidth="1"/>
    <col min="5658" max="5888" width="10.33203125" style="295"/>
    <col min="5889" max="5889" width="4.44140625" style="295" customWidth="1"/>
    <col min="5890" max="5890" width="21.6640625" style="295" customWidth="1"/>
    <col min="5891" max="5891" width="15" style="295" customWidth="1"/>
    <col min="5892" max="5892" width="15.44140625" style="295" customWidth="1"/>
    <col min="5893" max="5893" width="11.5546875" style="295" customWidth="1"/>
    <col min="5894" max="5894" width="7.44140625" style="295" customWidth="1"/>
    <col min="5895" max="5895" width="14.109375" style="295" customWidth="1"/>
    <col min="5896" max="5896" width="10.6640625" style="295" customWidth="1"/>
    <col min="5897" max="5897" width="13.44140625" style="295" customWidth="1"/>
    <col min="5898" max="5898" width="11.44140625" style="295" customWidth="1"/>
    <col min="5899" max="5899" width="15" style="295" customWidth="1"/>
    <col min="5900" max="5900" width="14.5546875" style="295" customWidth="1"/>
    <col min="5901" max="5901" width="10.33203125" style="295"/>
    <col min="5902" max="5902" width="7.44140625" style="295" customWidth="1"/>
    <col min="5903" max="5903" width="12.88671875" style="295" customWidth="1"/>
    <col min="5904" max="5904" width="11.109375" style="295" customWidth="1"/>
    <col min="5905" max="5905" width="14" style="295" customWidth="1"/>
    <col min="5906" max="5906" width="33" style="295" customWidth="1"/>
    <col min="5907" max="5907" width="6.6640625" style="295" customWidth="1"/>
    <col min="5908" max="5908" width="19" style="295" customWidth="1"/>
    <col min="5909" max="5909" width="19.109375" style="295" customWidth="1"/>
    <col min="5910" max="5910" width="21.33203125" style="295" customWidth="1"/>
    <col min="5911" max="5911" width="32.5546875" style="295" customWidth="1"/>
    <col min="5912" max="5912" width="16.88671875" style="295" customWidth="1"/>
    <col min="5913" max="5913" width="16.33203125" style="295" customWidth="1"/>
    <col min="5914" max="6144" width="10.33203125" style="295"/>
    <col min="6145" max="6145" width="4.44140625" style="295" customWidth="1"/>
    <col min="6146" max="6146" width="21.6640625" style="295" customWidth="1"/>
    <col min="6147" max="6147" width="15" style="295" customWidth="1"/>
    <col min="6148" max="6148" width="15.44140625" style="295" customWidth="1"/>
    <col min="6149" max="6149" width="11.5546875" style="295" customWidth="1"/>
    <col min="6150" max="6150" width="7.44140625" style="295" customWidth="1"/>
    <col min="6151" max="6151" width="14.109375" style="295" customWidth="1"/>
    <col min="6152" max="6152" width="10.6640625" style="295" customWidth="1"/>
    <col min="6153" max="6153" width="13.44140625" style="295" customWidth="1"/>
    <col min="6154" max="6154" width="11.44140625" style="295" customWidth="1"/>
    <col min="6155" max="6155" width="15" style="295" customWidth="1"/>
    <col min="6156" max="6156" width="14.5546875" style="295" customWidth="1"/>
    <col min="6157" max="6157" width="10.33203125" style="295"/>
    <col min="6158" max="6158" width="7.44140625" style="295" customWidth="1"/>
    <col min="6159" max="6159" width="12.88671875" style="295" customWidth="1"/>
    <col min="6160" max="6160" width="11.109375" style="295" customWidth="1"/>
    <col min="6161" max="6161" width="14" style="295" customWidth="1"/>
    <col min="6162" max="6162" width="33" style="295" customWidth="1"/>
    <col min="6163" max="6163" width="6.6640625" style="295" customWidth="1"/>
    <col min="6164" max="6164" width="19" style="295" customWidth="1"/>
    <col min="6165" max="6165" width="19.109375" style="295" customWidth="1"/>
    <col min="6166" max="6166" width="21.33203125" style="295" customWidth="1"/>
    <col min="6167" max="6167" width="32.5546875" style="295" customWidth="1"/>
    <col min="6168" max="6168" width="16.88671875" style="295" customWidth="1"/>
    <col min="6169" max="6169" width="16.33203125" style="295" customWidth="1"/>
    <col min="6170" max="6400" width="10.33203125" style="295"/>
    <col min="6401" max="6401" width="4.44140625" style="295" customWidth="1"/>
    <col min="6402" max="6402" width="21.6640625" style="295" customWidth="1"/>
    <col min="6403" max="6403" width="15" style="295" customWidth="1"/>
    <col min="6404" max="6404" width="15.44140625" style="295" customWidth="1"/>
    <col min="6405" max="6405" width="11.5546875" style="295" customWidth="1"/>
    <col min="6406" max="6406" width="7.44140625" style="295" customWidth="1"/>
    <col min="6407" max="6407" width="14.109375" style="295" customWidth="1"/>
    <col min="6408" max="6408" width="10.6640625" style="295" customWidth="1"/>
    <col min="6409" max="6409" width="13.44140625" style="295" customWidth="1"/>
    <col min="6410" max="6410" width="11.44140625" style="295" customWidth="1"/>
    <col min="6411" max="6411" width="15" style="295" customWidth="1"/>
    <col min="6412" max="6412" width="14.5546875" style="295" customWidth="1"/>
    <col min="6413" max="6413" width="10.33203125" style="295"/>
    <col min="6414" max="6414" width="7.44140625" style="295" customWidth="1"/>
    <col min="6415" max="6415" width="12.88671875" style="295" customWidth="1"/>
    <col min="6416" max="6416" width="11.109375" style="295" customWidth="1"/>
    <col min="6417" max="6417" width="14" style="295" customWidth="1"/>
    <col min="6418" max="6418" width="33" style="295" customWidth="1"/>
    <col min="6419" max="6419" width="6.6640625" style="295" customWidth="1"/>
    <col min="6420" max="6420" width="19" style="295" customWidth="1"/>
    <col min="6421" max="6421" width="19.109375" style="295" customWidth="1"/>
    <col min="6422" max="6422" width="21.33203125" style="295" customWidth="1"/>
    <col min="6423" max="6423" width="32.5546875" style="295" customWidth="1"/>
    <col min="6424" max="6424" width="16.88671875" style="295" customWidth="1"/>
    <col min="6425" max="6425" width="16.33203125" style="295" customWidth="1"/>
    <col min="6426" max="6656" width="10.33203125" style="295"/>
    <col min="6657" max="6657" width="4.44140625" style="295" customWidth="1"/>
    <col min="6658" max="6658" width="21.6640625" style="295" customWidth="1"/>
    <col min="6659" max="6659" width="15" style="295" customWidth="1"/>
    <col min="6660" max="6660" width="15.44140625" style="295" customWidth="1"/>
    <col min="6661" max="6661" width="11.5546875" style="295" customWidth="1"/>
    <col min="6662" max="6662" width="7.44140625" style="295" customWidth="1"/>
    <col min="6663" max="6663" width="14.109375" style="295" customWidth="1"/>
    <col min="6664" max="6664" width="10.6640625" style="295" customWidth="1"/>
    <col min="6665" max="6665" width="13.44140625" style="295" customWidth="1"/>
    <col min="6666" max="6666" width="11.44140625" style="295" customWidth="1"/>
    <col min="6667" max="6667" width="15" style="295" customWidth="1"/>
    <col min="6668" max="6668" width="14.5546875" style="295" customWidth="1"/>
    <col min="6669" max="6669" width="10.33203125" style="295"/>
    <col min="6670" max="6670" width="7.44140625" style="295" customWidth="1"/>
    <col min="6671" max="6671" width="12.88671875" style="295" customWidth="1"/>
    <col min="6672" max="6672" width="11.109375" style="295" customWidth="1"/>
    <col min="6673" max="6673" width="14" style="295" customWidth="1"/>
    <col min="6674" max="6674" width="33" style="295" customWidth="1"/>
    <col min="6675" max="6675" width="6.6640625" style="295" customWidth="1"/>
    <col min="6676" max="6676" width="19" style="295" customWidth="1"/>
    <col min="6677" max="6677" width="19.109375" style="295" customWidth="1"/>
    <col min="6678" max="6678" width="21.33203125" style="295" customWidth="1"/>
    <col min="6679" max="6679" width="32.5546875" style="295" customWidth="1"/>
    <col min="6680" max="6680" width="16.88671875" style="295" customWidth="1"/>
    <col min="6681" max="6681" width="16.33203125" style="295" customWidth="1"/>
    <col min="6682" max="6912" width="10.33203125" style="295"/>
    <col min="6913" max="6913" width="4.44140625" style="295" customWidth="1"/>
    <col min="6914" max="6914" width="21.6640625" style="295" customWidth="1"/>
    <col min="6915" max="6915" width="15" style="295" customWidth="1"/>
    <col min="6916" max="6916" width="15.44140625" style="295" customWidth="1"/>
    <col min="6917" max="6917" width="11.5546875" style="295" customWidth="1"/>
    <col min="6918" max="6918" width="7.44140625" style="295" customWidth="1"/>
    <col min="6919" max="6919" width="14.109375" style="295" customWidth="1"/>
    <col min="6920" max="6920" width="10.6640625" style="295" customWidth="1"/>
    <col min="6921" max="6921" width="13.44140625" style="295" customWidth="1"/>
    <col min="6922" max="6922" width="11.44140625" style="295" customWidth="1"/>
    <col min="6923" max="6923" width="15" style="295" customWidth="1"/>
    <col min="6924" max="6924" width="14.5546875" style="295" customWidth="1"/>
    <col min="6925" max="6925" width="10.33203125" style="295"/>
    <col min="6926" max="6926" width="7.44140625" style="295" customWidth="1"/>
    <col min="6927" max="6927" width="12.88671875" style="295" customWidth="1"/>
    <col min="6928" max="6928" width="11.109375" style="295" customWidth="1"/>
    <col min="6929" max="6929" width="14" style="295" customWidth="1"/>
    <col min="6930" max="6930" width="33" style="295" customWidth="1"/>
    <col min="6931" max="6931" width="6.6640625" style="295" customWidth="1"/>
    <col min="6932" max="6932" width="19" style="295" customWidth="1"/>
    <col min="6933" max="6933" width="19.109375" style="295" customWidth="1"/>
    <col min="6934" max="6934" width="21.33203125" style="295" customWidth="1"/>
    <col min="6935" max="6935" width="32.5546875" style="295" customWidth="1"/>
    <col min="6936" max="6936" width="16.88671875" style="295" customWidth="1"/>
    <col min="6937" max="6937" width="16.33203125" style="295" customWidth="1"/>
    <col min="6938" max="7168" width="10.33203125" style="295"/>
    <col min="7169" max="7169" width="4.44140625" style="295" customWidth="1"/>
    <col min="7170" max="7170" width="21.6640625" style="295" customWidth="1"/>
    <col min="7171" max="7171" width="15" style="295" customWidth="1"/>
    <col min="7172" max="7172" width="15.44140625" style="295" customWidth="1"/>
    <col min="7173" max="7173" width="11.5546875" style="295" customWidth="1"/>
    <col min="7174" max="7174" width="7.44140625" style="295" customWidth="1"/>
    <col min="7175" max="7175" width="14.109375" style="295" customWidth="1"/>
    <col min="7176" max="7176" width="10.6640625" style="295" customWidth="1"/>
    <col min="7177" max="7177" width="13.44140625" style="295" customWidth="1"/>
    <col min="7178" max="7178" width="11.44140625" style="295" customWidth="1"/>
    <col min="7179" max="7179" width="15" style="295" customWidth="1"/>
    <col min="7180" max="7180" width="14.5546875" style="295" customWidth="1"/>
    <col min="7181" max="7181" width="10.33203125" style="295"/>
    <col min="7182" max="7182" width="7.44140625" style="295" customWidth="1"/>
    <col min="7183" max="7183" width="12.88671875" style="295" customWidth="1"/>
    <col min="7184" max="7184" width="11.109375" style="295" customWidth="1"/>
    <col min="7185" max="7185" width="14" style="295" customWidth="1"/>
    <col min="7186" max="7186" width="33" style="295" customWidth="1"/>
    <col min="7187" max="7187" width="6.6640625" style="295" customWidth="1"/>
    <col min="7188" max="7188" width="19" style="295" customWidth="1"/>
    <col min="7189" max="7189" width="19.109375" style="295" customWidth="1"/>
    <col min="7190" max="7190" width="21.33203125" style="295" customWidth="1"/>
    <col min="7191" max="7191" width="32.5546875" style="295" customWidth="1"/>
    <col min="7192" max="7192" width="16.88671875" style="295" customWidth="1"/>
    <col min="7193" max="7193" width="16.33203125" style="295" customWidth="1"/>
    <col min="7194" max="7424" width="10.33203125" style="295"/>
    <col min="7425" max="7425" width="4.44140625" style="295" customWidth="1"/>
    <col min="7426" max="7426" width="21.6640625" style="295" customWidth="1"/>
    <col min="7427" max="7427" width="15" style="295" customWidth="1"/>
    <col min="7428" max="7428" width="15.44140625" style="295" customWidth="1"/>
    <col min="7429" max="7429" width="11.5546875" style="295" customWidth="1"/>
    <col min="7430" max="7430" width="7.44140625" style="295" customWidth="1"/>
    <col min="7431" max="7431" width="14.109375" style="295" customWidth="1"/>
    <col min="7432" max="7432" width="10.6640625" style="295" customWidth="1"/>
    <col min="7433" max="7433" width="13.44140625" style="295" customWidth="1"/>
    <col min="7434" max="7434" width="11.44140625" style="295" customWidth="1"/>
    <col min="7435" max="7435" width="15" style="295" customWidth="1"/>
    <col min="7436" max="7436" width="14.5546875" style="295" customWidth="1"/>
    <col min="7437" max="7437" width="10.33203125" style="295"/>
    <col min="7438" max="7438" width="7.44140625" style="295" customWidth="1"/>
    <col min="7439" max="7439" width="12.88671875" style="295" customWidth="1"/>
    <col min="7440" max="7440" width="11.109375" style="295" customWidth="1"/>
    <col min="7441" max="7441" width="14" style="295" customWidth="1"/>
    <col min="7442" max="7442" width="33" style="295" customWidth="1"/>
    <col min="7443" max="7443" width="6.6640625" style="295" customWidth="1"/>
    <col min="7444" max="7444" width="19" style="295" customWidth="1"/>
    <col min="7445" max="7445" width="19.109375" style="295" customWidth="1"/>
    <col min="7446" max="7446" width="21.33203125" style="295" customWidth="1"/>
    <col min="7447" max="7447" width="32.5546875" style="295" customWidth="1"/>
    <col min="7448" max="7448" width="16.88671875" style="295" customWidth="1"/>
    <col min="7449" max="7449" width="16.33203125" style="295" customWidth="1"/>
    <col min="7450" max="7680" width="10.33203125" style="295"/>
    <col min="7681" max="7681" width="4.44140625" style="295" customWidth="1"/>
    <col min="7682" max="7682" width="21.6640625" style="295" customWidth="1"/>
    <col min="7683" max="7683" width="15" style="295" customWidth="1"/>
    <col min="7684" max="7684" width="15.44140625" style="295" customWidth="1"/>
    <col min="7685" max="7685" width="11.5546875" style="295" customWidth="1"/>
    <col min="7686" max="7686" width="7.44140625" style="295" customWidth="1"/>
    <col min="7687" max="7687" width="14.109375" style="295" customWidth="1"/>
    <col min="7688" max="7688" width="10.6640625" style="295" customWidth="1"/>
    <col min="7689" max="7689" width="13.44140625" style="295" customWidth="1"/>
    <col min="7690" max="7690" width="11.44140625" style="295" customWidth="1"/>
    <col min="7691" max="7691" width="15" style="295" customWidth="1"/>
    <col min="7692" max="7692" width="14.5546875" style="295" customWidth="1"/>
    <col min="7693" max="7693" width="10.33203125" style="295"/>
    <col min="7694" max="7694" width="7.44140625" style="295" customWidth="1"/>
    <col min="7695" max="7695" width="12.88671875" style="295" customWidth="1"/>
    <col min="7696" max="7696" width="11.109375" style="295" customWidth="1"/>
    <col min="7697" max="7697" width="14" style="295" customWidth="1"/>
    <col min="7698" max="7698" width="33" style="295" customWidth="1"/>
    <col min="7699" max="7699" width="6.6640625" style="295" customWidth="1"/>
    <col min="7700" max="7700" width="19" style="295" customWidth="1"/>
    <col min="7701" max="7701" width="19.109375" style="295" customWidth="1"/>
    <col min="7702" max="7702" width="21.33203125" style="295" customWidth="1"/>
    <col min="7703" max="7703" width="32.5546875" style="295" customWidth="1"/>
    <col min="7704" max="7704" width="16.88671875" style="295" customWidth="1"/>
    <col min="7705" max="7705" width="16.33203125" style="295" customWidth="1"/>
    <col min="7706" max="7936" width="10.33203125" style="295"/>
    <col min="7937" max="7937" width="4.44140625" style="295" customWidth="1"/>
    <col min="7938" max="7938" width="21.6640625" style="295" customWidth="1"/>
    <col min="7939" max="7939" width="15" style="295" customWidth="1"/>
    <col min="7940" max="7940" width="15.44140625" style="295" customWidth="1"/>
    <col min="7941" max="7941" width="11.5546875" style="295" customWidth="1"/>
    <col min="7942" max="7942" width="7.44140625" style="295" customWidth="1"/>
    <col min="7943" max="7943" width="14.109375" style="295" customWidth="1"/>
    <col min="7944" max="7944" width="10.6640625" style="295" customWidth="1"/>
    <col min="7945" max="7945" width="13.44140625" style="295" customWidth="1"/>
    <col min="7946" max="7946" width="11.44140625" style="295" customWidth="1"/>
    <col min="7947" max="7947" width="15" style="295" customWidth="1"/>
    <col min="7948" max="7948" width="14.5546875" style="295" customWidth="1"/>
    <col min="7949" max="7949" width="10.33203125" style="295"/>
    <col min="7950" max="7950" width="7.44140625" style="295" customWidth="1"/>
    <col min="7951" max="7951" width="12.88671875" style="295" customWidth="1"/>
    <col min="7952" max="7952" width="11.109375" style="295" customWidth="1"/>
    <col min="7953" max="7953" width="14" style="295" customWidth="1"/>
    <col min="7954" max="7954" width="33" style="295" customWidth="1"/>
    <col min="7955" max="7955" width="6.6640625" style="295" customWidth="1"/>
    <col min="7956" max="7956" width="19" style="295" customWidth="1"/>
    <col min="7957" max="7957" width="19.109375" style="295" customWidth="1"/>
    <col min="7958" max="7958" width="21.33203125" style="295" customWidth="1"/>
    <col min="7959" max="7959" width="32.5546875" style="295" customWidth="1"/>
    <col min="7960" max="7960" width="16.88671875" style="295" customWidth="1"/>
    <col min="7961" max="7961" width="16.33203125" style="295" customWidth="1"/>
    <col min="7962" max="8192" width="10.33203125" style="295"/>
    <col min="8193" max="8193" width="4.44140625" style="295" customWidth="1"/>
    <col min="8194" max="8194" width="21.6640625" style="295" customWidth="1"/>
    <col min="8195" max="8195" width="15" style="295" customWidth="1"/>
    <col min="8196" max="8196" width="15.44140625" style="295" customWidth="1"/>
    <col min="8197" max="8197" width="11.5546875" style="295" customWidth="1"/>
    <col min="8198" max="8198" width="7.44140625" style="295" customWidth="1"/>
    <col min="8199" max="8199" width="14.109375" style="295" customWidth="1"/>
    <col min="8200" max="8200" width="10.6640625" style="295" customWidth="1"/>
    <col min="8201" max="8201" width="13.44140625" style="295" customWidth="1"/>
    <col min="8202" max="8202" width="11.44140625" style="295" customWidth="1"/>
    <col min="8203" max="8203" width="15" style="295" customWidth="1"/>
    <col min="8204" max="8204" width="14.5546875" style="295" customWidth="1"/>
    <col min="8205" max="8205" width="10.33203125" style="295"/>
    <col min="8206" max="8206" width="7.44140625" style="295" customWidth="1"/>
    <col min="8207" max="8207" width="12.88671875" style="295" customWidth="1"/>
    <col min="8208" max="8208" width="11.109375" style="295" customWidth="1"/>
    <col min="8209" max="8209" width="14" style="295" customWidth="1"/>
    <col min="8210" max="8210" width="33" style="295" customWidth="1"/>
    <col min="8211" max="8211" width="6.6640625" style="295" customWidth="1"/>
    <col min="8212" max="8212" width="19" style="295" customWidth="1"/>
    <col min="8213" max="8213" width="19.109375" style="295" customWidth="1"/>
    <col min="8214" max="8214" width="21.33203125" style="295" customWidth="1"/>
    <col min="8215" max="8215" width="32.5546875" style="295" customWidth="1"/>
    <col min="8216" max="8216" width="16.88671875" style="295" customWidth="1"/>
    <col min="8217" max="8217" width="16.33203125" style="295" customWidth="1"/>
    <col min="8218" max="8448" width="10.33203125" style="295"/>
    <col min="8449" max="8449" width="4.44140625" style="295" customWidth="1"/>
    <col min="8450" max="8450" width="21.6640625" style="295" customWidth="1"/>
    <col min="8451" max="8451" width="15" style="295" customWidth="1"/>
    <col min="8452" max="8452" width="15.44140625" style="295" customWidth="1"/>
    <col min="8453" max="8453" width="11.5546875" style="295" customWidth="1"/>
    <col min="8454" max="8454" width="7.44140625" style="295" customWidth="1"/>
    <col min="8455" max="8455" width="14.109375" style="295" customWidth="1"/>
    <col min="8456" max="8456" width="10.6640625" style="295" customWidth="1"/>
    <col min="8457" max="8457" width="13.44140625" style="295" customWidth="1"/>
    <col min="8458" max="8458" width="11.44140625" style="295" customWidth="1"/>
    <col min="8459" max="8459" width="15" style="295" customWidth="1"/>
    <col min="8460" max="8460" width="14.5546875" style="295" customWidth="1"/>
    <col min="8461" max="8461" width="10.33203125" style="295"/>
    <col min="8462" max="8462" width="7.44140625" style="295" customWidth="1"/>
    <col min="8463" max="8463" width="12.88671875" style="295" customWidth="1"/>
    <col min="8464" max="8464" width="11.109375" style="295" customWidth="1"/>
    <col min="8465" max="8465" width="14" style="295" customWidth="1"/>
    <col min="8466" max="8466" width="33" style="295" customWidth="1"/>
    <col min="8467" max="8467" width="6.6640625" style="295" customWidth="1"/>
    <col min="8468" max="8468" width="19" style="295" customWidth="1"/>
    <col min="8469" max="8469" width="19.109375" style="295" customWidth="1"/>
    <col min="8470" max="8470" width="21.33203125" style="295" customWidth="1"/>
    <col min="8471" max="8471" width="32.5546875" style="295" customWidth="1"/>
    <col min="8472" max="8472" width="16.88671875" style="295" customWidth="1"/>
    <col min="8473" max="8473" width="16.33203125" style="295" customWidth="1"/>
    <col min="8474" max="8704" width="10.33203125" style="295"/>
    <col min="8705" max="8705" width="4.44140625" style="295" customWidth="1"/>
    <col min="8706" max="8706" width="21.6640625" style="295" customWidth="1"/>
    <col min="8707" max="8707" width="15" style="295" customWidth="1"/>
    <col min="8708" max="8708" width="15.44140625" style="295" customWidth="1"/>
    <col min="8709" max="8709" width="11.5546875" style="295" customWidth="1"/>
    <col min="8710" max="8710" width="7.44140625" style="295" customWidth="1"/>
    <col min="8711" max="8711" width="14.109375" style="295" customWidth="1"/>
    <col min="8712" max="8712" width="10.6640625" style="295" customWidth="1"/>
    <col min="8713" max="8713" width="13.44140625" style="295" customWidth="1"/>
    <col min="8714" max="8714" width="11.44140625" style="295" customWidth="1"/>
    <col min="8715" max="8715" width="15" style="295" customWidth="1"/>
    <col min="8716" max="8716" width="14.5546875" style="295" customWidth="1"/>
    <col min="8717" max="8717" width="10.33203125" style="295"/>
    <col min="8718" max="8718" width="7.44140625" style="295" customWidth="1"/>
    <col min="8719" max="8719" width="12.88671875" style="295" customWidth="1"/>
    <col min="8720" max="8720" width="11.109375" style="295" customWidth="1"/>
    <col min="8721" max="8721" width="14" style="295" customWidth="1"/>
    <col min="8722" max="8722" width="33" style="295" customWidth="1"/>
    <col min="8723" max="8723" width="6.6640625" style="295" customWidth="1"/>
    <col min="8724" max="8724" width="19" style="295" customWidth="1"/>
    <col min="8725" max="8725" width="19.109375" style="295" customWidth="1"/>
    <col min="8726" max="8726" width="21.33203125" style="295" customWidth="1"/>
    <col min="8727" max="8727" width="32.5546875" style="295" customWidth="1"/>
    <col min="8728" max="8728" width="16.88671875" style="295" customWidth="1"/>
    <col min="8729" max="8729" width="16.33203125" style="295" customWidth="1"/>
    <col min="8730" max="8960" width="10.33203125" style="295"/>
    <col min="8961" max="8961" width="4.44140625" style="295" customWidth="1"/>
    <col min="8962" max="8962" width="21.6640625" style="295" customWidth="1"/>
    <col min="8963" max="8963" width="15" style="295" customWidth="1"/>
    <col min="8964" max="8964" width="15.44140625" style="295" customWidth="1"/>
    <col min="8965" max="8965" width="11.5546875" style="295" customWidth="1"/>
    <col min="8966" max="8966" width="7.44140625" style="295" customWidth="1"/>
    <col min="8967" max="8967" width="14.109375" style="295" customWidth="1"/>
    <col min="8968" max="8968" width="10.6640625" style="295" customWidth="1"/>
    <col min="8969" max="8969" width="13.44140625" style="295" customWidth="1"/>
    <col min="8970" max="8970" width="11.44140625" style="295" customWidth="1"/>
    <col min="8971" max="8971" width="15" style="295" customWidth="1"/>
    <col min="8972" max="8972" width="14.5546875" style="295" customWidth="1"/>
    <col min="8973" max="8973" width="10.33203125" style="295"/>
    <col min="8974" max="8974" width="7.44140625" style="295" customWidth="1"/>
    <col min="8975" max="8975" width="12.88671875" style="295" customWidth="1"/>
    <col min="8976" max="8976" width="11.109375" style="295" customWidth="1"/>
    <col min="8977" max="8977" width="14" style="295" customWidth="1"/>
    <col min="8978" max="8978" width="33" style="295" customWidth="1"/>
    <col min="8979" max="8979" width="6.6640625" style="295" customWidth="1"/>
    <col min="8980" max="8980" width="19" style="295" customWidth="1"/>
    <col min="8981" max="8981" width="19.109375" style="295" customWidth="1"/>
    <col min="8982" max="8982" width="21.33203125" style="295" customWidth="1"/>
    <col min="8983" max="8983" width="32.5546875" style="295" customWidth="1"/>
    <col min="8984" max="8984" width="16.88671875" style="295" customWidth="1"/>
    <col min="8985" max="8985" width="16.33203125" style="295" customWidth="1"/>
    <col min="8986" max="9216" width="10.33203125" style="295"/>
    <col min="9217" max="9217" width="4.44140625" style="295" customWidth="1"/>
    <col min="9218" max="9218" width="21.6640625" style="295" customWidth="1"/>
    <col min="9219" max="9219" width="15" style="295" customWidth="1"/>
    <col min="9220" max="9220" width="15.44140625" style="295" customWidth="1"/>
    <col min="9221" max="9221" width="11.5546875" style="295" customWidth="1"/>
    <col min="9222" max="9222" width="7.44140625" style="295" customWidth="1"/>
    <col min="9223" max="9223" width="14.109375" style="295" customWidth="1"/>
    <col min="9224" max="9224" width="10.6640625" style="295" customWidth="1"/>
    <col min="9225" max="9225" width="13.44140625" style="295" customWidth="1"/>
    <col min="9226" max="9226" width="11.44140625" style="295" customWidth="1"/>
    <col min="9227" max="9227" width="15" style="295" customWidth="1"/>
    <col min="9228" max="9228" width="14.5546875" style="295" customWidth="1"/>
    <col min="9229" max="9229" width="10.33203125" style="295"/>
    <col min="9230" max="9230" width="7.44140625" style="295" customWidth="1"/>
    <col min="9231" max="9231" width="12.88671875" style="295" customWidth="1"/>
    <col min="9232" max="9232" width="11.109375" style="295" customWidth="1"/>
    <col min="9233" max="9233" width="14" style="295" customWidth="1"/>
    <col min="9234" max="9234" width="33" style="295" customWidth="1"/>
    <col min="9235" max="9235" width="6.6640625" style="295" customWidth="1"/>
    <col min="9236" max="9236" width="19" style="295" customWidth="1"/>
    <col min="9237" max="9237" width="19.109375" style="295" customWidth="1"/>
    <col min="9238" max="9238" width="21.33203125" style="295" customWidth="1"/>
    <col min="9239" max="9239" width="32.5546875" style="295" customWidth="1"/>
    <col min="9240" max="9240" width="16.88671875" style="295" customWidth="1"/>
    <col min="9241" max="9241" width="16.33203125" style="295" customWidth="1"/>
    <col min="9242" max="9472" width="10.33203125" style="295"/>
    <col min="9473" max="9473" width="4.44140625" style="295" customWidth="1"/>
    <col min="9474" max="9474" width="21.6640625" style="295" customWidth="1"/>
    <col min="9475" max="9475" width="15" style="295" customWidth="1"/>
    <col min="9476" max="9476" width="15.44140625" style="295" customWidth="1"/>
    <col min="9477" max="9477" width="11.5546875" style="295" customWidth="1"/>
    <col min="9478" max="9478" width="7.44140625" style="295" customWidth="1"/>
    <col min="9479" max="9479" width="14.109375" style="295" customWidth="1"/>
    <col min="9480" max="9480" width="10.6640625" style="295" customWidth="1"/>
    <col min="9481" max="9481" width="13.44140625" style="295" customWidth="1"/>
    <col min="9482" max="9482" width="11.44140625" style="295" customWidth="1"/>
    <col min="9483" max="9483" width="15" style="295" customWidth="1"/>
    <col min="9484" max="9484" width="14.5546875" style="295" customWidth="1"/>
    <col min="9485" max="9485" width="10.33203125" style="295"/>
    <col min="9486" max="9486" width="7.44140625" style="295" customWidth="1"/>
    <col min="9487" max="9487" width="12.88671875" style="295" customWidth="1"/>
    <col min="9488" max="9488" width="11.109375" style="295" customWidth="1"/>
    <col min="9489" max="9489" width="14" style="295" customWidth="1"/>
    <col min="9490" max="9490" width="33" style="295" customWidth="1"/>
    <col min="9491" max="9491" width="6.6640625" style="295" customWidth="1"/>
    <col min="9492" max="9492" width="19" style="295" customWidth="1"/>
    <col min="9493" max="9493" width="19.109375" style="295" customWidth="1"/>
    <col min="9494" max="9494" width="21.33203125" style="295" customWidth="1"/>
    <col min="9495" max="9495" width="32.5546875" style="295" customWidth="1"/>
    <col min="9496" max="9496" width="16.88671875" style="295" customWidth="1"/>
    <col min="9497" max="9497" width="16.33203125" style="295" customWidth="1"/>
    <col min="9498" max="9728" width="10.33203125" style="295"/>
    <col min="9729" max="9729" width="4.44140625" style="295" customWidth="1"/>
    <col min="9730" max="9730" width="21.6640625" style="295" customWidth="1"/>
    <col min="9731" max="9731" width="15" style="295" customWidth="1"/>
    <col min="9732" max="9732" width="15.44140625" style="295" customWidth="1"/>
    <col min="9733" max="9733" width="11.5546875" style="295" customWidth="1"/>
    <col min="9734" max="9734" width="7.44140625" style="295" customWidth="1"/>
    <col min="9735" max="9735" width="14.109375" style="295" customWidth="1"/>
    <col min="9736" max="9736" width="10.6640625" style="295" customWidth="1"/>
    <col min="9737" max="9737" width="13.44140625" style="295" customWidth="1"/>
    <col min="9738" max="9738" width="11.44140625" style="295" customWidth="1"/>
    <col min="9739" max="9739" width="15" style="295" customWidth="1"/>
    <col min="9740" max="9740" width="14.5546875" style="295" customWidth="1"/>
    <col min="9741" max="9741" width="10.33203125" style="295"/>
    <col min="9742" max="9742" width="7.44140625" style="295" customWidth="1"/>
    <col min="9743" max="9743" width="12.88671875" style="295" customWidth="1"/>
    <col min="9744" max="9744" width="11.109375" style="295" customWidth="1"/>
    <col min="9745" max="9745" width="14" style="295" customWidth="1"/>
    <col min="9746" max="9746" width="33" style="295" customWidth="1"/>
    <col min="9747" max="9747" width="6.6640625" style="295" customWidth="1"/>
    <col min="9748" max="9748" width="19" style="295" customWidth="1"/>
    <col min="9749" max="9749" width="19.109375" style="295" customWidth="1"/>
    <col min="9750" max="9750" width="21.33203125" style="295" customWidth="1"/>
    <col min="9751" max="9751" width="32.5546875" style="295" customWidth="1"/>
    <col min="9752" max="9752" width="16.88671875" style="295" customWidth="1"/>
    <col min="9753" max="9753" width="16.33203125" style="295" customWidth="1"/>
    <col min="9754" max="9984" width="10.33203125" style="295"/>
    <col min="9985" max="9985" width="4.44140625" style="295" customWidth="1"/>
    <col min="9986" max="9986" width="21.6640625" style="295" customWidth="1"/>
    <col min="9987" max="9987" width="15" style="295" customWidth="1"/>
    <col min="9988" max="9988" width="15.44140625" style="295" customWidth="1"/>
    <col min="9989" max="9989" width="11.5546875" style="295" customWidth="1"/>
    <col min="9990" max="9990" width="7.44140625" style="295" customWidth="1"/>
    <col min="9991" max="9991" width="14.109375" style="295" customWidth="1"/>
    <col min="9992" max="9992" width="10.6640625" style="295" customWidth="1"/>
    <col min="9993" max="9993" width="13.44140625" style="295" customWidth="1"/>
    <col min="9994" max="9994" width="11.44140625" style="295" customWidth="1"/>
    <col min="9995" max="9995" width="15" style="295" customWidth="1"/>
    <col min="9996" max="9996" width="14.5546875" style="295" customWidth="1"/>
    <col min="9997" max="9997" width="10.33203125" style="295"/>
    <col min="9998" max="9998" width="7.44140625" style="295" customWidth="1"/>
    <col min="9999" max="9999" width="12.88671875" style="295" customWidth="1"/>
    <col min="10000" max="10000" width="11.109375" style="295" customWidth="1"/>
    <col min="10001" max="10001" width="14" style="295" customWidth="1"/>
    <col min="10002" max="10002" width="33" style="295" customWidth="1"/>
    <col min="10003" max="10003" width="6.6640625" style="295" customWidth="1"/>
    <col min="10004" max="10004" width="19" style="295" customWidth="1"/>
    <col min="10005" max="10005" width="19.109375" style="295" customWidth="1"/>
    <col min="10006" max="10006" width="21.33203125" style="295" customWidth="1"/>
    <col min="10007" max="10007" width="32.5546875" style="295" customWidth="1"/>
    <col min="10008" max="10008" width="16.88671875" style="295" customWidth="1"/>
    <col min="10009" max="10009" width="16.33203125" style="295" customWidth="1"/>
    <col min="10010" max="10240" width="10.33203125" style="295"/>
    <col min="10241" max="10241" width="4.44140625" style="295" customWidth="1"/>
    <col min="10242" max="10242" width="21.6640625" style="295" customWidth="1"/>
    <col min="10243" max="10243" width="15" style="295" customWidth="1"/>
    <col min="10244" max="10244" width="15.44140625" style="295" customWidth="1"/>
    <col min="10245" max="10245" width="11.5546875" style="295" customWidth="1"/>
    <col min="10246" max="10246" width="7.44140625" style="295" customWidth="1"/>
    <col min="10247" max="10247" width="14.109375" style="295" customWidth="1"/>
    <col min="10248" max="10248" width="10.6640625" style="295" customWidth="1"/>
    <col min="10249" max="10249" width="13.44140625" style="295" customWidth="1"/>
    <col min="10250" max="10250" width="11.44140625" style="295" customWidth="1"/>
    <col min="10251" max="10251" width="15" style="295" customWidth="1"/>
    <col min="10252" max="10252" width="14.5546875" style="295" customWidth="1"/>
    <col min="10253" max="10253" width="10.33203125" style="295"/>
    <col min="10254" max="10254" width="7.44140625" style="295" customWidth="1"/>
    <col min="10255" max="10255" width="12.88671875" style="295" customWidth="1"/>
    <col min="10256" max="10256" width="11.109375" style="295" customWidth="1"/>
    <col min="10257" max="10257" width="14" style="295" customWidth="1"/>
    <col min="10258" max="10258" width="33" style="295" customWidth="1"/>
    <col min="10259" max="10259" width="6.6640625" style="295" customWidth="1"/>
    <col min="10260" max="10260" width="19" style="295" customWidth="1"/>
    <col min="10261" max="10261" width="19.109375" style="295" customWidth="1"/>
    <col min="10262" max="10262" width="21.33203125" style="295" customWidth="1"/>
    <col min="10263" max="10263" width="32.5546875" style="295" customWidth="1"/>
    <col min="10264" max="10264" width="16.88671875" style="295" customWidth="1"/>
    <col min="10265" max="10265" width="16.33203125" style="295" customWidth="1"/>
    <col min="10266" max="10496" width="10.33203125" style="295"/>
    <col min="10497" max="10497" width="4.44140625" style="295" customWidth="1"/>
    <col min="10498" max="10498" width="21.6640625" style="295" customWidth="1"/>
    <col min="10499" max="10499" width="15" style="295" customWidth="1"/>
    <col min="10500" max="10500" width="15.44140625" style="295" customWidth="1"/>
    <col min="10501" max="10501" width="11.5546875" style="295" customWidth="1"/>
    <col min="10502" max="10502" width="7.44140625" style="295" customWidth="1"/>
    <col min="10503" max="10503" width="14.109375" style="295" customWidth="1"/>
    <col min="10504" max="10504" width="10.6640625" style="295" customWidth="1"/>
    <col min="10505" max="10505" width="13.44140625" style="295" customWidth="1"/>
    <col min="10506" max="10506" width="11.44140625" style="295" customWidth="1"/>
    <col min="10507" max="10507" width="15" style="295" customWidth="1"/>
    <col min="10508" max="10508" width="14.5546875" style="295" customWidth="1"/>
    <col min="10509" max="10509" width="10.33203125" style="295"/>
    <col min="10510" max="10510" width="7.44140625" style="295" customWidth="1"/>
    <col min="10511" max="10511" width="12.88671875" style="295" customWidth="1"/>
    <col min="10512" max="10512" width="11.109375" style="295" customWidth="1"/>
    <col min="10513" max="10513" width="14" style="295" customWidth="1"/>
    <col min="10514" max="10514" width="33" style="295" customWidth="1"/>
    <col min="10515" max="10515" width="6.6640625" style="295" customWidth="1"/>
    <col min="10516" max="10516" width="19" style="295" customWidth="1"/>
    <col min="10517" max="10517" width="19.109375" style="295" customWidth="1"/>
    <col min="10518" max="10518" width="21.33203125" style="295" customWidth="1"/>
    <col min="10519" max="10519" width="32.5546875" style="295" customWidth="1"/>
    <col min="10520" max="10520" width="16.88671875" style="295" customWidth="1"/>
    <col min="10521" max="10521" width="16.33203125" style="295" customWidth="1"/>
    <col min="10522" max="10752" width="10.33203125" style="295"/>
    <col min="10753" max="10753" width="4.44140625" style="295" customWidth="1"/>
    <col min="10754" max="10754" width="21.6640625" style="295" customWidth="1"/>
    <col min="10755" max="10755" width="15" style="295" customWidth="1"/>
    <col min="10756" max="10756" width="15.44140625" style="295" customWidth="1"/>
    <col min="10757" max="10757" width="11.5546875" style="295" customWidth="1"/>
    <col min="10758" max="10758" width="7.44140625" style="295" customWidth="1"/>
    <col min="10759" max="10759" width="14.109375" style="295" customWidth="1"/>
    <col min="10760" max="10760" width="10.6640625" style="295" customWidth="1"/>
    <col min="10761" max="10761" width="13.44140625" style="295" customWidth="1"/>
    <col min="10762" max="10762" width="11.44140625" style="295" customWidth="1"/>
    <col min="10763" max="10763" width="15" style="295" customWidth="1"/>
    <col min="10764" max="10764" width="14.5546875" style="295" customWidth="1"/>
    <col min="10765" max="10765" width="10.33203125" style="295"/>
    <col min="10766" max="10766" width="7.44140625" style="295" customWidth="1"/>
    <col min="10767" max="10767" width="12.88671875" style="295" customWidth="1"/>
    <col min="10768" max="10768" width="11.109375" style="295" customWidth="1"/>
    <col min="10769" max="10769" width="14" style="295" customWidth="1"/>
    <col min="10770" max="10770" width="33" style="295" customWidth="1"/>
    <col min="10771" max="10771" width="6.6640625" style="295" customWidth="1"/>
    <col min="10772" max="10772" width="19" style="295" customWidth="1"/>
    <col min="10773" max="10773" width="19.109375" style="295" customWidth="1"/>
    <col min="10774" max="10774" width="21.33203125" style="295" customWidth="1"/>
    <col min="10775" max="10775" width="32.5546875" style="295" customWidth="1"/>
    <col min="10776" max="10776" width="16.88671875" style="295" customWidth="1"/>
    <col min="10777" max="10777" width="16.33203125" style="295" customWidth="1"/>
    <col min="10778" max="11008" width="10.33203125" style="295"/>
    <col min="11009" max="11009" width="4.44140625" style="295" customWidth="1"/>
    <col min="11010" max="11010" width="21.6640625" style="295" customWidth="1"/>
    <col min="11011" max="11011" width="15" style="295" customWidth="1"/>
    <col min="11012" max="11012" width="15.44140625" style="295" customWidth="1"/>
    <col min="11013" max="11013" width="11.5546875" style="295" customWidth="1"/>
    <col min="11014" max="11014" width="7.44140625" style="295" customWidth="1"/>
    <col min="11015" max="11015" width="14.109375" style="295" customWidth="1"/>
    <col min="11016" max="11016" width="10.6640625" style="295" customWidth="1"/>
    <col min="11017" max="11017" width="13.44140625" style="295" customWidth="1"/>
    <col min="11018" max="11018" width="11.44140625" style="295" customWidth="1"/>
    <col min="11019" max="11019" width="15" style="295" customWidth="1"/>
    <col min="11020" max="11020" width="14.5546875" style="295" customWidth="1"/>
    <col min="11021" max="11021" width="10.33203125" style="295"/>
    <col min="11022" max="11022" width="7.44140625" style="295" customWidth="1"/>
    <col min="11023" max="11023" width="12.88671875" style="295" customWidth="1"/>
    <col min="11024" max="11024" width="11.109375" style="295" customWidth="1"/>
    <col min="11025" max="11025" width="14" style="295" customWidth="1"/>
    <col min="11026" max="11026" width="33" style="295" customWidth="1"/>
    <col min="11027" max="11027" width="6.6640625" style="295" customWidth="1"/>
    <col min="11028" max="11028" width="19" style="295" customWidth="1"/>
    <col min="11029" max="11029" width="19.109375" style="295" customWidth="1"/>
    <col min="11030" max="11030" width="21.33203125" style="295" customWidth="1"/>
    <col min="11031" max="11031" width="32.5546875" style="295" customWidth="1"/>
    <col min="11032" max="11032" width="16.88671875" style="295" customWidth="1"/>
    <col min="11033" max="11033" width="16.33203125" style="295" customWidth="1"/>
    <col min="11034" max="11264" width="10.33203125" style="295"/>
    <col min="11265" max="11265" width="4.44140625" style="295" customWidth="1"/>
    <col min="11266" max="11266" width="21.6640625" style="295" customWidth="1"/>
    <col min="11267" max="11267" width="15" style="295" customWidth="1"/>
    <col min="11268" max="11268" width="15.44140625" style="295" customWidth="1"/>
    <col min="11269" max="11269" width="11.5546875" style="295" customWidth="1"/>
    <col min="11270" max="11270" width="7.44140625" style="295" customWidth="1"/>
    <col min="11271" max="11271" width="14.109375" style="295" customWidth="1"/>
    <col min="11272" max="11272" width="10.6640625" style="295" customWidth="1"/>
    <col min="11273" max="11273" width="13.44140625" style="295" customWidth="1"/>
    <col min="11274" max="11274" width="11.44140625" style="295" customWidth="1"/>
    <col min="11275" max="11275" width="15" style="295" customWidth="1"/>
    <col min="11276" max="11276" width="14.5546875" style="295" customWidth="1"/>
    <col min="11277" max="11277" width="10.33203125" style="295"/>
    <col min="11278" max="11278" width="7.44140625" style="295" customWidth="1"/>
    <col min="11279" max="11279" width="12.88671875" style="295" customWidth="1"/>
    <col min="11280" max="11280" width="11.109375" style="295" customWidth="1"/>
    <col min="11281" max="11281" width="14" style="295" customWidth="1"/>
    <col min="11282" max="11282" width="33" style="295" customWidth="1"/>
    <col min="11283" max="11283" width="6.6640625" style="295" customWidth="1"/>
    <col min="11284" max="11284" width="19" style="295" customWidth="1"/>
    <col min="11285" max="11285" width="19.109375" style="295" customWidth="1"/>
    <col min="11286" max="11286" width="21.33203125" style="295" customWidth="1"/>
    <col min="11287" max="11287" width="32.5546875" style="295" customWidth="1"/>
    <col min="11288" max="11288" width="16.88671875" style="295" customWidth="1"/>
    <col min="11289" max="11289" width="16.33203125" style="295" customWidth="1"/>
    <col min="11290" max="11520" width="10.33203125" style="295"/>
    <col min="11521" max="11521" width="4.44140625" style="295" customWidth="1"/>
    <col min="11522" max="11522" width="21.6640625" style="295" customWidth="1"/>
    <col min="11523" max="11523" width="15" style="295" customWidth="1"/>
    <col min="11524" max="11524" width="15.44140625" style="295" customWidth="1"/>
    <col min="11525" max="11525" width="11.5546875" style="295" customWidth="1"/>
    <col min="11526" max="11526" width="7.44140625" style="295" customWidth="1"/>
    <col min="11527" max="11527" width="14.109375" style="295" customWidth="1"/>
    <col min="11528" max="11528" width="10.6640625" style="295" customWidth="1"/>
    <col min="11529" max="11529" width="13.44140625" style="295" customWidth="1"/>
    <col min="11530" max="11530" width="11.44140625" style="295" customWidth="1"/>
    <col min="11531" max="11531" width="15" style="295" customWidth="1"/>
    <col min="11532" max="11532" width="14.5546875" style="295" customWidth="1"/>
    <col min="11533" max="11533" width="10.33203125" style="295"/>
    <col min="11534" max="11534" width="7.44140625" style="295" customWidth="1"/>
    <col min="11535" max="11535" width="12.88671875" style="295" customWidth="1"/>
    <col min="11536" max="11536" width="11.109375" style="295" customWidth="1"/>
    <col min="11537" max="11537" width="14" style="295" customWidth="1"/>
    <col min="11538" max="11538" width="33" style="295" customWidth="1"/>
    <col min="11539" max="11539" width="6.6640625" style="295" customWidth="1"/>
    <col min="11540" max="11540" width="19" style="295" customWidth="1"/>
    <col min="11541" max="11541" width="19.109375" style="295" customWidth="1"/>
    <col min="11542" max="11542" width="21.33203125" style="295" customWidth="1"/>
    <col min="11543" max="11543" width="32.5546875" style="295" customWidth="1"/>
    <col min="11544" max="11544" width="16.88671875" style="295" customWidth="1"/>
    <col min="11545" max="11545" width="16.33203125" style="295" customWidth="1"/>
    <col min="11546" max="11776" width="10.33203125" style="295"/>
    <col min="11777" max="11777" width="4.44140625" style="295" customWidth="1"/>
    <col min="11778" max="11778" width="21.6640625" style="295" customWidth="1"/>
    <col min="11779" max="11779" width="15" style="295" customWidth="1"/>
    <col min="11780" max="11780" width="15.44140625" style="295" customWidth="1"/>
    <col min="11781" max="11781" width="11.5546875" style="295" customWidth="1"/>
    <col min="11782" max="11782" width="7.44140625" style="295" customWidth="1"/>
    <col min="11783" max="11783" width="14.109375" style="295" customWidth="1"/>
    <col min="11784" max="11784" width="10.6640625" style="295" customWidth="1"/>
    <col min="11785" max="11785" width="13.44140625" style="295" customWidth="1"/>
    <col min="11786" max="11786" width="11.44140625" style="295" customWidth="1"/>
    <col min="11787" max="11787" width="15" style="295" customWidth="1"/>
    <col min="11788" max="11788" width="14.5546875" style="295" customWidth="1"/>
    <col min="11789" max="11789" width="10.33203125" style="295"/>
    <col min="11790" max="11790" width="7.44140625" style="295" customWidth="1"/>
    <col min="11791" max="11791" width="12.88671875" style="295" customWidth="1"/>
    <col min="11792" max="11792" width="11.109375" style="295" customWidth="1"/>
    <col min="11793" max="11793" width="14" style="295" customWidth="1"/>
    <col min="11794" max="11794" width="33" style="295" customWidth="1"/>
    <col min="11795" max="11795" width="6.6640625" style="295" customWidth="1"/>
    <col min="11796" max="11796" width="19" style="295" customWidth="1"/>
    <col min="11797" max="11797" width="19.109375" style="295" customWidth="1"/>
    <col min="11798" max="11798" width="21.33203125" style="295" customWidth="1"/>
    <col min="11799" max="11799" width="32.5546875" style="295" customWidth="1"/>
    <col min="11800" max="11800" width="16.88671875" style="295" customWidth="1"/>
    <col min="11801" max="11801" width="16.33203125" style="295" customWidth="1"/>
    <col min="11802" max="12032" width="10.33203125" style="295"/>
    <col min="12033" max="12033" width="4.44140625" style="295" customWidth="1"/>
    <col min="12034" max="12034" width="21.6640625" style="295" customWidth="1"/>
    <col min="12035" max="12035" width="15" style="295" customWidth="1"/>
    <col min="12036" max="12036" width="15.44140625" style="295" customWidth="1"/>
    <col min="12037" max="12037" width="11.5546875" style="295" customWidth="1"/>
    <col min="12038" max="12038" width="7.44140625" style="295" customWidth="1"/>
    <col min="12039" max="12039" width="14.109375" style="295" customWidth="1"/>
    <col min="12040" max="12040" width="10.6640625" style="295" customWidth="1"/>
    <col min="12041" max="12041" width="13.44140625" style="295" customWidth="1"/>
    <col min="12042" max="12042" width="11.44140625" style="295" customWidth="1"/>
    <col min="12043" max="12043" width="15" style="295" customWidth="1"/>
    <col min="12044" max="12044" width="14.5546875" style="295" customWidth="1"/>
    <col min="12045" max="12045" width="10.33203125" style="295"/>
    <col min="12046" max="12046" width="7.44140625" style="295" customWidth="1"/>
    <col min="12047" max="12047" width="12.88671875" style="295" customWidth="1"/>
    <col min="12048" max="12048" width="11.109375" style="295" customWidth="1"/>
    <col min="12049" max="12049" width="14" style="295" customWidth="1"/>
    <col min="12050" max="12050" width="33" style="295" customWidth="1"/>
    <col min="12051" max="12051" width="6.6640625" style="295" customWidth="1"/>
    <col min="12052" max="12052" width="19" style="295" customWidth="1"/>
    <col min="12053" max="12053" width="19.109375" style="295" customWidth="1"/>
    <col min="12054" max="12054" width="21.33203125" style="295" customWidth="1"/>
    <col min="12055" max="12055" width="32.5546875" style="295" customWidth="1"/>
    <col min="12056" max="12056" width="16.88671875" style="295" customWidth="1"/>
    <col min="12057" max="12057" width="16.33203125" style="295" customWidth="1"/>
    <col min="12058" max="12288" width="10.33203125" style="295"/>
    <col min="12289" max="12289" width="4.44140625" style="295" customWidth="1"/>
    <col min="12290" max="12290" width="21.6640625" style="295" customWidth="1"/>
    <col min="12291" max="12291" width="15" style="295" customWidth="1"/>
    <col min="12292" max="12292" width="15.44140625" style="295" customWidth="1"/>
    <col min="12293" max="12293" width="11.5546875" style="295" customWidth="1"/>
    <col min="12294" max="12294" width="7.44140625" style="295" customWidth="1"/>
    <col min="12295" max="12295" width="14.109375" style="295" customWidth="1"/>
    <col min="12296" max="12296" width="10.6640625" style="295" customWidth="1"/>
    <col min="12297" max="12297" width="13.44140625" style="295" customWidth="1"/>
    <col min="12298" max="12298" width="11.44140625" style="295" customWidth="1"/>
    <col min="12299" max="12299" width="15" style="295" customWidth="1"/>
    <col min="12300" max="12300" width="14.5546875" style="295" customWidth="1"/>
    <col min="12301" max="12301" width="10.33203125" style="295"/>
    <col min="12302" max="12302" width="7.44140625" style="295" customWidth="1"/>
    <col min="12303" max="12303" width="12.88671875" style="295" customWidth="1"/>
    <col min="12304" max="12304" width="11.109375" style="295" customWidth="1"/>
    <col min="12305" max="12305" width="14" style="295" customWidth="1"/>
    <col min="12306" max="12306" width="33" style="295" customWidth="1"/>
    <col min="12307" max="12307" width="6.6640625" style="295" customWidth="1"/>
    <col min="12308" max="12308" width="19" style="295" customWidth="1"/>
    <col min="12309" max="12309" width="19.109375" style="295" customWidth="1"/>
    <col min="12310" max="12310" width="21.33203125" style="295" customWidth="1"/>
    <col min="12311" max="12311" width="32.5546875" style="295" customWidth="1"/>
    <col min="12312" max="12312" width="16.88671875" style="295" customWidth="1"/>
    <col min="12313" max="12313" width="16.33203125" style="295" customWidth="1"/>
    <col min="12314" max="12544" width="10.33203125" style="295"/>
    <col min="12545" max="12545" width="4.44140625" style="295" customWidth="1"/>
    <col min="12546" max="12546" width="21.6640625" style="295" customWidth="1"/>
    <col min="12547" max="12547" width="15" style="295" customWidth="1"/>
    <col min="12548" max="12548" width="15.44140625" style="295" customWidth="1"/>
    <col min="12549" max="12549" width="11.5546875" style="295" customWidth="1"/>
    <col min="12550" max="12550" width="7.44140625" style="295" customWidth="1"/>
    <col min="12551" max="12551" width="14.109375" style="295" customWidth="1"/>
    <col min="12552" max="12552" width="10.6640625" style="295" customWidth="1"/>
    <col min="12553" max="12553" width="13.44140625" style="295" customWidth="1"/>
    <col min="12554" max="12554" width="11.44140625" style="295" customWidth="1"/>
    <col min="12555" max="12555" width="15" style="295" customWidth="1"/>
    <col min="12556" max="12556" width="14.5546875" style="295" customWidth="1"/>
    <col min="12557" max="12557" width="10.33203125" style="295"/>
    <col min="12558" max="12558" width="7.44140625" style="295" customWidth="1"/>
    <col min="12559" max="12559" width="12.88671875" style="295" customWidth="1"/>
    <col min="12560" max="12560" width="11.109375" style="295" customWidth="1"/>
    <col min="12561" max="12561" width="14" style="295" customWidth="1"/>
    <col min="12562" max="12562" width="33" style="295" customWidth="1"/>
    <col min="12563" max="12563" width="6.6640625" style="295" customWidth="1"/>
    <col min="12564" max="12564" width="19" style="295" customWidth="1"/>
    <col min="12565" max="12565" width="19.109375" style="295" customWidth="1"/>
    <col min="12566" max="12566" width="21.33203125" style="295" customWidth="1"/>
    <col min="12567" max="12567" width="32.5546875" style="295" customWidth="1"/>
    <col min="12568" max="12568" width="16.88671875" style="295" customWidth="1"/>
    <col min="12569" max="12569" width="16.33203125" style="295" customWidth="1"/>
    <col min="12570" max="12800" width="10.33203125" style="295"/>
    <col min="12801" max="12801" width="4.44140625" style="295" customWidth="1"/>
    <col min="12802" max="12802" width="21.6640625" style="295" customWidth="1"/>
    <col min="12803" max="12803" width="15" style="295" customWidth="1"/>
    <col min="12804" max="12804" width="15.44140625" style="295" customWidth="1"/>
    <col min="12805" max="12805" width="11.5546875" style="295" customWidth="1"/>
    <col min="12806" max="12806" width="7.44140625" style="295" customWidth="1"/>
    <col min="12807" max="12807" width="14.109375" style="295" customWidth="1"/>
    <col min="12808" max="12808" width="10.6640625" style="295" customWidth="1"/>
    <col min="12809" max="12809" width="13.44140625" style="295" customWidth="1"/>
    <col min="12810" max="12810" width="11.44140625" style="295" customWidth="1"/>
    <col min="12811" max="12811" width="15" style="295" customWidth="1"/>
    <col min="12812" max="12812" width="14.5546875" style="295" customWidth="1"/>
    <col min="12813" max="12813" width="10.33203125" style="295"/>
    <col min="12814" max="12814" width="7.44140625" style="295" customWidth="1"/>
    <col min="12815" max="12815" width="12.88671875" style="295" customWidth="1"/>
    <col min="12816" max="12816" width="11.109375" style="295" customWidth="1"/>
    <col min="12817" max="12817" width="14" style="295" customWidth="1"/>
    <col min="12818" max="12818" width="33" style="295" customWidth="1"/>
    <col min="12819" max="12819" width="6.6640625" style="295" customWidth="1"/>
    <col min="12820" max="12820" width="19" style="295" customWidth="1"/>
    <col min="12821" max="12821" width="19.109375" style="295" customWidth="1"/>
    <col min="12822" max="12822" width="21.33203125" style="295" customWidth="1"/>
    <col min="12823" max="12823" width="32.5546875" style="295" customWidth="1"/>
    <col min="12824" max="12824" width="16.88671875" style="295" customWidth="1"/>
    <col min="12825" max="12825" width="16.33203125" style="295" customWidth="1"/>
    <col min="12826" max="13056" width="10.33203125" style="295"/>
    <col min="13057" max="13057" width="4.44140625" style="295" customWidth="1"/>
    <col min="13058" max="13058" width="21.6640625" style="295" customWidth="1"/>
    <col min="13059" max="13059" width="15" style="295" customWidth="1"/>
    <col min="13060" max="13060" width="15.44140625" style="295" customWidth="1"/>
    <col min="13061" max="13061" width="11.5546875" style="295" customWidth="1"/>
    <col min="13062" max="13062" width="7.44140625" style="295" customWidth="1"/>
    <col min="13063" max="13063" width="14.109375" style="295" customWidth="1"/>
    <col min="13064" max="13064" width="10.6640625" style="295" customWidth="1"/>
    <col min="13065" max="13065" width="13.44140625" style="295" customWidth="1"/>
    <col min="13066" max="13066" width="11.44140625" style="295" customWidth="1"/>
    <col min="13067" max="13067" width="15" style="295" customWidth="1"/>
    <col min="13068" max="13068" width="14.5546875" style="295" customWidth="1"/>
    <col min="13069" max="13069" width="10.33203125" style="295"/>
    <col min="13070" max="13070" width="7.44140625" style="295" customWidth="1"/>
    <col min="13071" max="13071" width="12.88671875" style="295" customWidth="1"/>
    <col min="13072" max="13072" width="11.109375" style="295" customWidth="1"/>
    <col min="13073" max="13073" width="14" style="295" customWidth="1"/>
    <col min="13074" max="13074" width="33" style="295" customWidth="1"/>
    <col min="13075" max="13075" width="6.6640625" style="295" customWidth="1"/>
    <col min="13076" max="13076" width="19" style="295" customWidth="1"/>
    <col min="13077" max="13077" width="19.109375" style="295" customWidth="1"/>
    <col min="13078" max="13078" width="21.33203125" style="295" customWidth="1"/>
    <col min="13079" max="13079" width="32.5546875" style="295" customWidth="1"/>
    <col min="13080" max="13080" width="16.88671875" style="295" customWidth="1"/>
    <col min="13081" max="13081" width="16.33203125" style="295" customWidth="1"/>
    <col min="13082" max="13312" width="10.33203125" style="295"/>
    <col min="13313" max="13313" width="4.44140625" style="295" customWidth="1"/>
    <col min="13314" max="13314" width="21.6640625" style="295" customWidth="1"/>
    <col min="13315" max="13315" width="15" style="295" customWidth="1"/>
    <col min="13316" max="13316" width="15.44140625" style="295" customWidth="1"/>
    <col min="13317" max="13317" width="11.5546875" style="295" customWidth="1"/>
    <col min="13318" max="13318" width="7.44140625" style="295" customWidth="1"/>
    <col min="13319" max="13319" width="14.109375" style="295" customWidth="1"/>
    <col min="13320" max="13320" width="10.6640625" style="295" customWidth="1"/>
    <col min="13321" max="13321" width="13.44140625" style="295" customWidth="1"/>
    <col min="13322" max="13322" width="11.44140625" style="295" customWidth="1"/>
    <col min="13323" max="13323" width="15" style="295" customWidth="1"/>
    <col min="13324" max="13324" width="14.5546875" style="295" customWidth="1"/>
    <col min="13325" max="13325" width="10.33203125" style="295"/>
    <col min="13326" max="13326" width="7.44140625" style="295" customWidth="1"/>
    <col min="13327" max="13327" width="12.88671875" style="295" customWidth="1"/>
    <col min="13328" max="13328" width="11.109375" style="295" customWidth="1"/>
    <col min="13329" max="13329" width="14" style="295" customWidth="1"/>
    <col min="13330" max="13330" width="33" style="295" customWidth="1"/>
    <col min="13331" max="13331" width="6.6640625" style="295" customWidth="1"/>
    <col min="13332" max="13332" width="19" style="295" customWidth="1"/>
    <col min="13333" max="13333" width="19.109375" style="295" customWidth="1"/>
    <col min="13334" max="13334" width="21.33203125" style="295" customWidth="1"/>
    <col min="13335" max="13335" width="32.5546875" style="295" customWidth="1"/>
    <col min="13336" max="13336" width="16.88671875" style="295" customWidth="1"/>
    <col min="13337" max="13337" width="16.33203125" style="295" customWidth="1"/>
    <col min="13338" max="13568" width="10.33203125" style="295"/>
    <col min="13569" max="13569" width="4.44140625" style="295" customWidth="1"/>
    <col min="13570" max="13570" width="21.6640625" style="295" customWidth="1"/>
    <col min="13571" max="13571" width="15" style="295" customWidth="1"/>
    <col min="13572" max="13572" width="15.44140625" style="295" customWidth="1"/>
    <col min="13573" max="13573" width="11.5546875" style="295" customWidth="1"/>
    <col min="13574" max="13574" width="7.44140625" style="295" customWidth="1"/>
    <col min="13575" max="13575" width="14.109375" style="295" customWidth="1"/>
    <col min="13576" max="13576" width="10.6640625" style="295" customWidth="1"/>
    <col min="13577" max="13577" width="13.44140625" style="295" customWidth="1"/>
    <col min="13578" max="13578" width="11.44140625" style="295" customWidth="1"/>
    <col min="13579" max="13579" width="15" style="295" customWidth="1"/>
    <col min="13580" max="13580" width="14.5546875" style="295" customWidth="1"/>
    <col min="13581" max="13581" width="10.33203125" style="295"/>
    <col min="13582" max="13582" width="7.44140625" style="295" customWidth="1"/>
    <col min="13583" max="13583" width="12.88671875" style="295" customWidth="1"/>
    <col min="13584" max="13584" width="11.109375" style="295" customWidth="1"/>
    <col min="13585" max="13585" width="14" style="295" customWidth="1"/>
    <col min="13586" max="13586" width="33" style="295" customWidth="1"/>
    <col min="13587" max="13587" width="6.6640625" style="295" customWidth="1"/>
    <col min="13588" max="13588" width="19" style="295" customWidth="1"/>
    <col min="13589" max="13589" width="19.109375" style="295" customWidth="1"/>
    <col min="13590" max="13590" width="21.33203125" style="295" customWidth="1"/>
    <col min="13591" max="13591" width="32.5546875" style="295" customWidth="1"/>
    <col min="13592" max="13592" width="16.88671875" style="295" customWidth="1"/>
    <col min="13593" max="13593" width="16.33203125" style="295" customWidth="1"/>
    <col min="13594" max="13824" width="10.33203125" style="295"/>
    <col min="13825" max="13825" width="4.44140625" style="295" customWidth="1"/>
    <col min="13826" max="13826" width="21.6640625" style="295" customWidth="1"/>
    <col min="13827" max="13827" width="15" style="295" customWidth="1"/>
    <col min="13828" max="13828" width="15.44140625" style="295" customWidth="1"/>
    <col min="13829" max="13829" width="11.5546875" style="295" customWidth="1"/>
    <col min="13830" max="13830" width="7.44140625" style="295" customWidth="1"/>
    <col min="13831" max="13831" width="14.109375" style="295" customWidth="1"/>
    <col min="13832" max="13832" width="10.6640625" style="295" customWidth="1"/>
    <col min="13833" max="13833" width="13.44140625" style="295" customWidth="1"/>
    <col min="13834" max="13834" width="11.44140625" style="295" customWidth="1"/>
    <col min="13835" max="13835" width="15" style="295" customWidth="1"/>
    <col min="13836" max="13836" width="14.5546875" style="295" customWidth="1"/>
    <col min="13837" max="13837" width="10.33203125" style="295"/>
    <col min="13838" max="13838" width="7.44140625" style="295" customWidth="1"/>
    <col min="13839" max="13839" width="12.88671875" style="295" customWidth="1"/>
    <col min="13840" max="13840" width="11.109375" style="295" customWidth="1"/>
    <col min="13841" max="13841" width="14" style="295" customWidth="1"/>
    <col min="13842" max="13842" width="33" style="295" customWidth="1"/>
    <col min="13843" max="13843" width="6.6640625" style="295" customWidth="1"/>
    <col min="13844" max="13844" width="19" style="295" customWidth="1"/>
    <col min="13845" max="13845" width="19.109375" style="295" customWidth="1"/>
    <col min="13846" max="13846" width="21.33203125" style="295" customWidth="1"/>
    <col min="13847" max="13847" width="32.5546875" style="295" customWidth="1"/>
    <col min="13848" max="13848" width="16.88671875" style="295" customWidth="1"/>
    <col min="13849" max="13849" width="16.33203125" style="295" customWidth="1"/>
    <col min="13850" max="14080" width="10.33203125" style="295"/>
    <col min="14081" max="14081" width="4.44140625" style="295" customWidth="1"/>
    <col min="14082" max="14082" width="21.6640625" style="295" customWidth="1"/>
    <col min="14083" max="14083" width="15" style="295" customWidth="1"/>
    <col min="14084" max="14084" width="15.44140625" style="295" customWidth="1"/>
    <col min="14085" max="14085" width="11.5546875" style="295" customWidth="1"/>
    <col min="14086" max="14086" width="7.44140625" style="295" customWidth="1"/>
    <col min="14087" max="14087" width="14.109375" style="295" customWidth="1"/>
    <col min="14088" max="14088" width="10.6640625" style="295" customWidth="1"/>
    <col min="14089" max="14089" width="13.44140625" style="295" customWidth="1"/>
    <col min="14090" max="14090" width="11.44140625" style="295" customWidth="1"/>
    <col min="14091" max="14091" width="15" style="295" customWidth="1"/>
    <col min="14092" max="14092" width="14.5546875" style="295" customWidth="1"/>
    <col min="14093" max="14093" width="10.33203125" style="295"/>
    <col min="14094" max="14094" width="7.44140625" style="295" customWidth="1"/>
    <col min="14095" max="14095" width="12.88671875" style="295" customWidth="1"/>
    <col min="14096" max="14096" width="11.109375" style="295" customWidth="1"/>
    <col min="14097" max="14097" width="14" style="295" customWidth="1"/>
    <col min="14098" max="14098" width="33" style="295" customWidth="1"/>
    <col min="14099" max="14099" width="6.6640625" style="295" customWidth="1"/>
    <col min="14100" max="14100" width="19" style="295" customWidth="1"/>
    <col min="14101" max="14101" width="19.109375" style="295" customWidth="1"/>
    <col min="14102" max="14102" width="21.33203125" style="295" customWidth="1"/>
    <col min="14103" max="14103" width="32.5546875" style="295" customWidth="1"/>
    <col min="14104" max="14104" width="16.88671875" style="295" customWidth="1"/>
    <col min="14105" max="14105" width="16.33203125" style="295" customWidth="1"/>
    <col min="14106" max="14336" width="10.33203125" style="295"/>
    <col min="14337" max="14337" width="4.44140625" style="295" customWidth="1"/>
    <col min="14338" max="14338" width="21.6640625" style="295" customWidth="1"/>
    <col min="14339" max="14339" width="15" style="295" customWidth="1"/>
    <col min="14340" max="14340" width="15.44140625" style="295" customWidth="1"/>
    <col min="14341" max="14341" width="11.5546875" style="295" customWidth="1"/>
    <col min="14342" max="14342" width="7.44140625" style="295" customWidth="1"/>
    <col min="14343" max="14343" width="14.109375" style="295" customWidth="1"/>
    <col min="14344" max="14344" width="10.6640625" style="295" customWidth="1"/>
    <col min="14345" max="14345" width="13.44140625" style="295" customWidth="1"/>
    <col min="14346" max="14346" width="11.44140625" style="295" customWidth="1"/>
    <col min="14347" max="14347" width="15" style="295" customWidth="1"/>
    <col min="14348" max="14348" width="14.5546875" style="295" customWidth="1"/>
    <col min="14349" max="14349" width="10.33203125" style="295"/>
    <col min="14350" max="14350" width="7.44140625" style="295" customWidth="1"/>
    <col min="14351" max="14351" width="12.88671875" style="295" customWidth="1"/>
    <col min="14352" max="14352" width="11.109375" style="295" customWidth="1"/>
    <col min="14353" max="14353" width="14" style="295" customWidth="1"/>
    <col min="14354" max="14354" width="33" style="295" customWidth="1"/>
    <col min="14355" max="14355" width="6.6640625" style="295" customWidth="1"/>
    <col min="14356" max="14356" width="19" style="295" customWidth="1"/>
    <col min="14357" max="14357" width="19.109375" style="295" customWidth="1"/>
    <col min="14358" max="14358" width="21.33203125" style="295" customWidth="1"/>
    <col min="14359" max="14359" width="32.5546875" style="295" customWidth="1"/>
    <col min="14360" max="14360" width="16.88671875" style="295" customWidth="1"/>
    <col min="14361" max="14361" width="16.33203125" style="295" customWidth="1"/>
    <col min="14362" max="14592" width="10.33203125" style="295"/>
    <col min="14593" max="14593" width="4.44140625" style="295" customWidth="1"/>
    <col min="14594" max="14594" width="21.6640625" style="295" customWidth="1"/>
    <col min="14595" max="14595" width="15" style="295" customWidth="1"/>
    <col min="14596" max="14596" width="15.44140625" style="295" customWidth="1"/>
    <col min="14597" max="14597" width="11.5546875" style="295" customWidth="1"/>
    <col min="14598" max="14598" width="7.44140625" style="295" customWidth="1"/>
    <col min="14599" max="14599" width="14.109375" style="295" customWidth="1"/>
    <col min="14600" max="14600" width="10.6640625" style="295" customWidth="1"/>
    <col min="14601" max="14601" width="13.44140625" style="295" customWidth="1"/>
    <col min="14602" max="14602" width="11.44140625" style="295" customWidth="1"/>
    <col min="14603" max="14603" width="15" style="295" customWidth="1"/>
    <col min="14604" max="14604" width="14.5546875" style="295" customWidth="1"/>
    <col min="14605" max="14605" width="10.33203125" style="295"/>
    <col min="14606" max="14606" width="7.44140625" style="295" customWidth="1"/>
    <col min="14607" max="14607" width="12.88671875" style="295" customWidth="1"/>
    <col min="14608" max="14608" width="11.109375" style="295" customWidth="1"/>
    <col min="14609" max="14609" width="14" style="295" customWidth="1"/>
    <col min="14610" max="14610" width="33" style="295" customWidth="1"/>
    <col min="14611" max="14611" width="6.6640625" style="295" customWidth="1"/>
    <col min="14612" max="14612" width="19" style="295" customWidth="1"/>
    <col min="14613" max="14613" width="19.109375" style="295" customWidth="1"/>
    <col min="14614" max="14614" width="21.33203125" style="295" customWidth="1"/>
    <col min="14615" max="14615" width="32.5546875" style="295" customWidth="1"/>
    <col min="14616" max="14616" width="16.88671875" style="295" customWidth="1"/>
    <col min="14617" max="14617" width="16.33203125" style="295" customWidth="1"/>
    <col min="14618" max="14848" width="10.33203125" style="295"/>
    <col min="14849" max="14849" width="4.44140625" style="295" customWidth="1"/>
    <col min="14850" max="14850" width="21.6640625" style="295" customWidth="1"/>
    <col min="14851" max="14851" width="15" style="295" customWidth="1"/>
    <col min="14852" max="14852" width="15.44140625" style="295" customWidth="1"/>
    <col min="14853" max="14853" width="11.5546875" style="295" customWidth="1"/>
    <col min="14854" max="14854" width="7.44140625" style="295" customWidth="1"/>
    <col min="14855" max="14855" width="14.109375" style="295" customWidth="1"/>
    <col min="14856" max="14856" width="10.6640625" style="295" customWidth="1"/>
    <col min="14857" max="14857" width="13.44140625" style="295" customWidth="1"/>
    <col min="14858" max="14858" width="11.44140625" style="295" customWidth="1"/>
    <col min="14859" max="14859" width="15" style="295" customWidth="1"/>
    <col min="14860" max="14860" width="14.5546875" style="295" customWidth="1"/>
    <col min="14861" max="14861" width="10.33203125" style="295"/>
    <col min="14862" max="14862" width="7.44140625" style="295" customWidth="1"/>
    <col min="14863" max="14863" width="12.88671875" style="295" customWidth="1"/>
    <col min="14864" max="14864" width="11.109375" style="295" customWidth="1"/>
    <col min="14865" max="14865" width="14" style="295" customWidth="1"/>
    <col min="14866" max="14866" width="33" style="295" customWidth="1"/>
    <col min="14867" max="14867" width="6.6640625" style="295" customWidth="1"/>
    <col min="14868" max="14868" width="19" style="295" customWidth="1"/>
    <col min="14869" max="14869" width="19.109375" style="295" customWidth="1"/>
    <col min="14870" max="14870" width="21.33203125" style="295" customWidth="1"/>
    <col min="14871" max="14871" width="32.5546875" style="295" customWidth="1"/>
    <col min="14872" max="14872" width="16.88671875" style="295" customWidth="1"/>
    <col min="14873" max="14873" width="16.33203125" style="295" customWidth="1"/>
    <col min="14874" max="15104" width="10.33203125" style="295"/>
    <col min="15105" max="15105" width="4.44140625" style="295" customWidth="1"/>
    <col min="15106" max="15106" width="21.6640625" style="295" customWidth="1"/>
    <col min="15107" max="15107" width="15" style="295" customWidth="1"/>
    <col min="15108" max="15108" width="15.44140625" style="295" customWidth="1"/>
    <col min="15109" max="15109" width="11.5546875" style="295" customWidth="1"/>
    <col min="15110" max="15110" width="7.44140625" style="295" customWidth="1"/>
    <col min="15111" max="15111" width="14.109375" style="295" customWidth="1"/>
    <col min="15112" max="15112" width="10.6640625" style="295" customWidth="1"/>
    <col min="15113" max="15113" width="13.44140625" style="295" customWidth="1"/>
    <col min="15114" max="15114" width="11.44140625" style="295" customWidth="1"/>
    <col min="15115" max="15115" width="15" style="295" customWidth="1"/>
    <col min="15116" max="15116" width="14.5546875" style="295" customWidth="1"/>
    <col min="15117" max="15117" width="10.33203125" style="295"/>
    <col min="15118" max="15118" width="7.44140625" style="295" customWidth="1"/>
    <col min="15119" max="15119" width="12.88671875" style="295" customWidth="1"/>
    <col min="15120" max="15120" width="11.109375" style="295" customWidth="1"/>
    <col min="15121" max="15121" width="14" style="295" customWidth="1"/>
    <col min="15122" max="15122" width="33" style="295" customWidth="1"/>
    <col min="15123" max="15123" width="6.6640625" style="295" customWidth="1"/>
    <col min="15124" max="15124" width="19" style="295" customWidth="1"/>
    <col min="15125" max="15125" width="19.109375" style="295" customWidth="1"/>
    <col min="15126" max="15126" width="21.33203125" style="295" customWidth="1"/>
    <col min="15127" max="15127" width="32.5546875" style="295" customWidth="1"/>
    <col min="15128" max="15128" width="16.88671875" style="295" customWidth="1"/>
    <col min="15129" max="15129" width="16.33203125" style="295" customWidth="1"/>
    <col min="15130" max="15360" width="10.33203125" style="295"/>
    <col min="15361" max="15361" width="4.44140625" style="295" customWidth="1"/>
    <col min="15362" max="15362" width="21.6640625" style="295" customWidth="1"/>
    <col min="15363" max="15363" width="15" style="295" customWidth="1"/>
    <col min="15364" max="15364" width="15.44140625" style="295" customWidth="1"/>
    <col min="15365" max="15365" width="11.5546875" style="295" customWidth="1"/>
    <col min="15366" max="15366" width="7.44140625" style="295" customWidth="1"/>
    <col min="15367" max="15367" width="14.109375" style="295" customWidth="1"/>
    <col min="15368" max="15368" width="10.6640625" style="295" customWidth="1"/>
    <col min="15369" max="15369" width="13.44140625" style="295" customWidth="1"/>
    <col min="15370" max="15370" width="11.44140625" style="295" customWidth="1"/>
    <col min="15371" max="15371" width="15" style="295" customWidth="1"/>
    <col min="15372" max="15372" width="14.5546875" style="295" customWidth="1"/>
    <col min="15373" max="15373" width="10.33203125" style="295"/>
    <col min="15374" max="15374" width="7.44140625" style="295" customWidth="1"/>
    <col min="15375" max="15375" width="12.88671875" style="295" customWidth="1"/>
    <col min="15376" max="15376" width="11.109375" style="295" customWidth="1"/>
    <col min="15377" max="15377" width="14" style="295" customWidth="1"/>
    <col min="15378" max="15378" width="33" style="295" customWidth="1"/>
    <col min="15379" max="15379" width="6.6640625" style="295" customWidth="1"/>
    <col min="15380" max="15380" width="19" style="295" customWidth="1"/>
    <col min="15381" max="15381" width="19.109375" style="295" customWidth="1"/>
    <col min="15382" max="15382" width="21.33203125" style="295" customWidth="1"/>
    <col min="15383" max="15383" width="32.5546875" style="295" customWidth="1"/>
    <col min="15384" max="15384" width="16.88671875" style="295" customWidth="1"/>
    <col min="15385" max="15385" width="16.33203125" style="295" customWidth="1"/>
    <col min="15386" max="15616" width="10.33203125" style="295"/>
    <col min="15617" max="15617" width="4.44140625" style="295" customWidth="1"/>
    <col min="15618" max="15618" width="21.6640625" style="295" customWidth="1"/>
    <col min="15619" max="15619" width="15" style="295" customWidth="1"/>
    <col min="15620" max="15620" width="15.44140625" style="295" customWidth="1"/>
    <col min="15621" max="15621" width="11.5546875" style="295" customWidth="1"/>
    <col min="15622" max="15622" width="7.44140625" style="295" customWidth="1"/>
    <col min="15623" max="15623" width="14.109375" style="295" customWidth="1"/>
    <col min="15624" max="15624" width="10.6640625" style="295" customWidth="1"/>
    <col min="15625" max="15625" width="13.44140625" style="295" customWidth="1"/>
    <col min="15626" max="15626" width="11.44140625" style="295" customWidth="1"/>
    <col min="15627" max="15627" width="15" style="295" customWidth="1"/>
    <col min="15628" max="15628" width="14.5546875" style="295" customWidth="1"/>
    <col min="15629" max="15629" width="10.33203125" style="295"/>
    <col min="15630" max="15630" width="7.44140625" style="295" customWidth="1"/>
    <col min="15631" max="15631" width="12.88671875" style="295" customWidth="1"/>
    <col min="15632" max="15632" width="11.109375" style="295" customWidth="1"/>
    <col min="15633" max="15633" width="14" style="295" customWidth="1"/>
    <col min="15634" max="15634" width="33" style="295" customWidth="1"/>
    <col min="15635" max="15635" width="6.6640625" style="295" customWidth="1"/>
    <col min="15636" max="15636" width="19" style="295" customWidth="1"/>
    <col min="15637" max="15637" width="19.109375" style="295" customWidth="1"/>
    <col min="15638" max="15638" width="21.33203125" style="295" customWidth="1"/>
    <col min="15639" max="15639" width="32.5546875" style="295" customWidth="1"/>
    <col min="15640" max="15640" width="16.88671875" style="295" customWidth="1"/>
    <col min="15641" max="15641" width="16.33203125" style="295" customWidth="1"/>
    <col min="15642" max="15872" width="10.33203125" style="295"/>
    <col min="15873" max="15873" width="4.44140625" style="295" customWidth="1"/>
    <col min="15874" max="15874" width="21.6640625" style="295" customWidth="1"/>
    <col min="15875" max="15875" width="15" style="295" customWidth="1"/>
    <col min="15876" max="15876" width="15.44140625" style="295" customWidth="1"/>
    <col min="15877" max="15877" width="11.5546875" style="295" customWidth="1"/>
    <col min="15878" max="15878" width="7.44140625" style="295" customWidth="1"/>
    <col min="15879" max="15879" width="14.109375" style="295" customWidth="1"/>
    <col min="15880" max="15880" width="10.6640625" style="295" customWidth="1"/>
    <col min="15881" max="15881" width="13.44140625" style="295" customWidth="1"/>
    <col min="15882" max="15882" width="11.44140625" style="295" customWidth="1"/>
    <col min="15883" max="15883" width="15" style="295" customWidth="1"/>
    <col min="15884" max="15884" width="14.5546875" style="295" customWidth="1"/>
    <col min="15885" max="15885" width="10.33203125" style="295"/>
    <col min="15886" max="15886" width="7.44140625" style="295" customWidth="1"/>
    <col min="15887" max="15887" width="12.88671875" style="295" customWidth="1"/>
    <col min="15888" max="15888" width="11.109375" style="295" customWidth="1"/>
    <col min="15889" max="15889" width="14" style="295" customWidth="1"/>
    <col min="15890" max="15890" width="33" style="295" customWidth="1"/>
    <col min="15891" max="15891" width="6.6640625" style="295" customWidth="1"/>
    <col min="15892" max="15892" width="19" style="295" customWidth="1"/>
    <col min="15893" max="15893" width="19.109375" style="295" customWidth="1"/>
    <col min="15894" max="15894" width="21.33203125" style="295" customWidth="1"/>
    <col min="15895" max="15895" width="32.5546875" style="295" customWidth="1"/>
    <col min="15896" max="15896" width="16.88671875" style="295" customWidth="1"/>
    <col min="15897" max="15897" width="16.33203125" style="295" customWidth="1"/>
    <col min="15898" max="16128" width="10.33203125" style="295"/>
    <col min="16129" max="16129" width="4.44140625" style="295" customWidth="1"/>
    <col min="16130" max="16130" width="21.6640625" style="295" customWidth="1"/>
    <col min="16131" max="16131" width="15" style="295" customWidth="1"/>
    <col min="16132" max="16132" width="15.44140625" style="295" customWidth="1"/>
    <col min="16133" max="16133" width="11.5546875" style="295" customWidth="1"/>
    <col min="16134" max="16134" width="7.44140625" style="295" customWidth="1"/>
    <col min="16135" max="16135" width="14.109375" style="295" customWidth="1"/>
    <col min="16136" max="16136" width="10.6640625" style="295" customWidth="1"/>
    <col min="16137" max="16137" width="13.44140625" style="295" customWidth="1"/>
    <col min="16138" max="16138" width="11.44140625" style="295" customWidth="1"/>
    <col min="16139" max="16139" width="15" style="295" customWidth="1"/>
    <col min="16140" max="16140" width="14.5546875" style="295" customWidth="1"/>
    <col min="16141" max="16141" width="10.33203125" style="295"/>
    <col min="16142" max="16142" width="7.44140625" style="295" customWidth="1"/>
    <col min="16143" max="16143" width="12.88671875" style="295" customWidth="1"/>
    <col min="16144" max="16144" width="11.109375" style="295" customWidth="1"/>
    <col min="16145" max="16145" width="14" style="295" customWidth="1"/>
    <col min="16146" max="16146" width="33" style="295" customWidth="1"/>
    <col min="16147" max="16147" width="6.6640625" style="295" customWidth="1"/>
    <col min="16148" max="16148" width="19" style="295" customWidth="1"/>
    <col min="16149" max="16149" width="19.109375" style="295" customWidth="1"/>
    <col min="16150" max="16150" width="21.33203125" style="295" customWidth="1"/>
    <col min="16151" max="16151" width="32.5546875" style="295" customWidth="1"/>
    <col min="16152" max="16152" width="16.88671875" style="295" customWidth="1"/>
    <col min="16153" max="16153" width="16.33203125" style="295" customWidth="1"/>
    <col min="16154" max="16384" width="10.33203125" style="295"/>
  </cols>
  <sheetData>
    <row r="1" spans="1:30" ht="24.6">
      <c r="A1" s="752" t="s">
        <v>0</v>
      </c>
      <c r="B1" s="752"/>
      <c r="C1" s="752"/>
      <c r="D1" s="752"/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</row>
    <row r="2" spans="1:30" ht="24.6">
      <c r="A2" s="752" t="s">
        <v>1</v>
      </c>
      <c r="B2" s="752"/>
      <c r="C2" s="752"/>
      <c r="D2" s="752"/>
      <c r="E2" s="752"/>
      <c r="F2" s="752"/>
      <c r="G2" s="752"/>
      <c r="H2" s="752"/>
      <c r="I2" s="752"/>
      <c r="J2" s="752"/>
      <c r="K2" s="752"/>
      <c r="L2" s="752"/>
      <c r="M2" s="752"/>
      <c r="N2" s="752"/>
      <c r="O2" s="752"/>
      <c r="P2" s="752"/>
      <c r="Q2" s="752"/>
      <c r="R2" s="752"/>
    </row>
    <row r="3" spans="1:30" ht="24.6">
      <c r="A3" s="753" t="s">
        <v>432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  <c r="N3" s="753"/>
      <c r="O3" s="753"/>
      <c r="P3" s="753"/>
      <c r="Q3" s="753"/>
      <c r="R3" s="753"/>
    </row>
    <row r="4" spans="1:30" ht="24.6">
      <c r="A4" s="297" t="s">
        <v>3</v>
      </c>
      <c r="B4" s="297" t="s">
        <v>4</v>
      </c>
      <c r="C4" s="297" t="s">
        <v>5</v>
      </c>
      <c r="D4" s="298" t="s">
        <v>6</v>
      </c>
      <c r="E4" s="754" t="s">
        <v>7</v>
      </c>
      <c r="F4" s="755"/>
      <c r="G4" s="755"/>
      <c r="H4" s="755"/>
      <c r="I4" s="756"/>
      <c r="J4" s="757" t="s">
        <v>8</v>
      </c>
      <c r="K4" s="758"/>
      <c r="L4" s="759"/>
      <c r="M4" s="754" t="s">
        <v>9</v>
      </c>
      <c r="N4" s="755"/>
      <c r="O4" s="755"/>
      <c r="P4" s="755"/>
      <c r="Q4" s="756"/>
      <c r="R4" s="303" t="s">
        <v>10</v>
      </c>
      <c r="T4" s="295" t="s">
        <v>11</v>
      </c>
      <c r="U4" s="304"/>
      <c r="V4" s="305" t="s">
        <v>12</v>
      </c>
      <c r="W4" s="305" t="s">
        <v>13</v>
      </c>
      <c r="X4" s="306" t="s">
        <v>14</v>
      </c>
      <c r="Y4" s="295" t="s">
        <v>15</v>
      </c>
      <c r="Z4" s="295" t="s">
        <v>16</v>
      </c>
      <c r="AA4" s="295" t="s">
        <v>17</v>
      </c>
      <c r="AB4" s="295" t="s">
        <v>18</v>
      </c>
      <c r="AC4" s="295" t="s">
        <v>19</v>
      </c>
      <c r="AD4" s="295" t="s">
        <v>10</v>
      </c>
    </row>
    <row r="5" spans="1:30" ht="24.6">
      <c r="A5" s="297"/>
      <c r="B5" s="307"/>
      <c r="C5" s="297"/>
      <c r="D5" s="308" t="s">
        <v>20</v>
      </c>
      <c r="E5" s="303" t="s">
        <v>21</v>
      </c>
      <c r="F5" s="303" t="s">
        <v>22</v>
      </c>
      <c r="G5" s="299"/>
      <c r="H5" s="300" t="s">
        <v>23</v>
      </c>
      <c r="I5" s="301"/>
      <c r="J5" s="309"/>
      <c r="K5" s="310"/>
      <c r="L5" s="302"/>
      <c r="M5" s="303" t="s">
        <v>21</v>
      </c>
      <c r="N5" s="303" t="s">
        <v>22</v>
      </c>
      <c r="O5" s="311"/>
      <c r="P5" s="311" t="s">
        <v>23</v>
      </c>
      <c r="Q5" s="301"/>
      <c r="R5" s="312"/>
      <c r="T5" s="313"/>
      <c r="U5" s="314"/>
      <c r="V5" s="315"/>
      <c r="W5" s="315"/>
      <c r="X5" s="316"/>
      <c r="Y5" s="313"/>
      <c r="Z5" s="317"/>
      <c r="AA5" s="313"/>
      <c r="AB5" s="313"/>
      <c r="AC5" s="313"/>
      <c r="AD5" s="313"/>
    </row>
    <row r="6" spans="1:30" ht="24.6">
      <c r="A6" s="297"/>
      <c r="B6" s="297"/>
      <c r="C6" s="297"/>
      <c r="D6" s="318"/>
      <c r="E6" s="312"/>
      <c r="F6" s="312"/>
      <c r="G6" s="301" t="s">
        <v>24</v>
      </c>
      <c r="H6" s="319" t="s">
        <v>25</v>
      </c>
      <c r="I6" s="319" t="s">
        <v>26</v>
      </c>
      <c r="J6" s="320" t="s">
        <v>27</v>
      </c>
      <c r="K6" s="310" t="s">
        <v>28</v>
      </c>
      <c r="L6" s="302" t="s">
        <v>29</v>
      </c>
      <c r="M6" s="312"/>
      <c r="N6" s="312"/>
      <c r="O6" s="321" t="s">
        <v>24</v>
      </c>
      <c r="P6" s="322" t="s">
        <v>25</v>
      </c>
      <c r="Q6" s="322" t="s">
        <v>26</v>
      </c>
      <c r="R6" s="323"/>
    </row>
    <row r="7" spans="1:30" ht="24.6" hidden="1">
      <c r="A7" s="297"/>
      <c r="B7" s="324" t="s">
        <v>30</v>
      </c>
      <c r="C7" s="297"/>
      <c r="D7" s="318"/>
      <c r="E7" s="312"/>
      <c r="F7" s="312"/>
      <c r="G7" s="301"/>
      <c r="H7" s="319"/>
      <c r="I7" s="319"/>
      <c r="J7" s="320"/>
      <c r="K7" s="310"/>
      <c r="L7" s="302"/>
      <c r="M7" s="312"/>
      <c r="N7" s="312"/>
      <c r="O7" s="321"/>
      <c r="P7" s="322"/>
      <c r="Q7" s="322"/>
      <c r="R7" s="323"/>
    </row>
    <row r="8" spans="1:30" ht="1.8" customHeight="1" thickBot="1">
      <c r="A8" s="297">
        <v>1</v>
      </c>
      <c r="B8" s="324"/>
      <c r="C8" s="297"/>
      <c r="D8" s="325"/>
      <c r="E8" s="326"/>
      <c r="F8" s="326"/>
      <c r="G8" s="327"/>
      <c r="H8" s="328"/>
      <c r="I8" s="328"/>
      <c r="J8" s="329"/>
      <c r="K8" s="330"/>
      <c r="L8" s="331"/>
      <c r="M8" s="326"/>
      <c r="N8" s="326"/>
      <c r="O8" s="327"/>
      <c r="P8" s="328"/>
      <c r="Q8" s="328"/>
      <c r="R8" s="323"/>
    </row>
    <row r="9" spans="1:30" ht="20.399999999999999" hidden="1" customHeight="1">
      <c r="A9" s="297"/>
      <c r="B9" s="297" t="s">
        <v>26</v>
      </c>
      <c r="C9" s="297"/>
      <c r="D9" s="332"/>
      <c r="E9" s="333"/>
      <c r="F9" s="333"/>
      <c r="G9" s="334"/>
      <c r="H9" s="335"/>
      <c r="I9" s="335"/>
      <c r="J9" s="336"/>
      <c r="K9" s="337"/>
      <c r="L9" s="338"/>
      <c r="M9" s="333"/>
      <c r="N9" s="333"/>
      <c r="O9" s="334"/>
      <c r="P9" s="335"/>
      <c r="Q9" s="335"/>
      <c r="R9" s="323"/>
    </row>
    <row r="10" spans="1:30" ht="24.6" customHeight="1" thickTop="1">
      <c r="A10" s="323"/>
      <c r="B10" s="339" t="s">
        <v>31</v>
      </c>
      <c r="C10" s="323"/>
      <c r="D10" s="340"/>
      <c r="E10" s="340"/>
      <c r="F10" s="340"/>
      <c r="G10" s="340"/>
      <c r="H10" s="340"/>
      <c r="I10" s="340"/>
      <c r="J10" s="341"/>
      <c r="K10" s="342"/>
      <c r="L10" s="342"/>
      <c r="M10" s="340"/>
      <c r="N10" s="322"/>
      <c r="O10" s="340"/>
      <c r="P10" s="340"/>
      <c r="Q10" s="340"/>
      <c r="R10" s="323"/>
    </row>
    <row r="11" spans="1:30" ht="24.6" customHeight="1" thickBot="1">
      <c r="A11" s="319">
        <v>1</v>
      </c>
      <c r="B11" s="323" t="s">
        <v>32</v>
      </c>
      <c r="C11" s="323"/>
      <c r="D11" s="630"/>
      <c r="E11" s="319"/>
      <c r="F11" s="319"/>
      <c r="G11" s="630"/>
      <c r="H11" s="630"/>
      <c r="I11" s="630"/>
      <c r="J11" s="320"/>
      <c r="K11" s="344"/>
      <c r="L11" s="631"/>
      <c r="M11" s="319"/>
      <c r="N11" s="319"/>
      <c r="O11" s="630"/>
      <c r="P11" s="632"/>
      <c r="Q11" s="632"/>
      <c r="R11" s="323"/>
    </row>
    <row r="12" spans="1:30" ht="24.6" customHeight="1" thickTop="1" thickBot="1">
      <c r="A12" s="323"/>
      <c r="B12" s="319" t="s">
        <v>26</v>
      </c>
      <c r="C12" s="323"/>
      <c r="D12" s="347">
        <v>0</v>
      </c>
      <c r="E12" s="347"/>
      <c r="F12" s="347"/>
      <c r="G12" s="347">
        <v>0</v>
      </c>
      <c r="H12" s="347">
        <v>0</v>
      </c>
      <c r="I12" s="347">
        <v>0</v>
      </c>
      <c r="J12" s="348"/>
      <c r="K12" s="348"/>
      <c r="L12" s="348"/>
      <c r="M12" s="347"/>
      <c r="N12" s="349"/>
      <c r="O12" s="347">
        <v>0</v>
      </c>
      <c r="P12" s="347">
        <v>0</v>
      </c>
      <c r="Q12" s="347">
        <v>0</v>
      </c>
      <c r="R12" s="323"/>
    </row>
    <row r="13" spans="1:30" ht="22.8" customHeight="1" thickTop="1">
      <c r="A13" s="323"/>
      <c r="B13" s="339" t="s">
        <v>33</v>
      </c>
      <c r="C13" s="323"/>
      <c r="D13" s="350"/>
      <c r="E13" s="340"/>
      <c r="F13" s="340"/>
      <c r="G13" s="350"/>
      <c r="H13" s="350"/>
      <c r="I13" s="350"/>
      <c r="J13" s="341"/>
      <c r="K13" s="342"/>
      <c r="L13" s="351"/>
      <c r="M13" s="340"/>
      <c r="N13" s="322"/>
      <c r="O13" s="350"/>
      <c r="P13" s="350"/>
      <c r="Q13" s="350"/>
      <c r="R13" s="340"/>
    </row>
    <row r="14" spans="1:30" ht="23.4" customHeight="1">
      <c r="A14" s="319"/>
      <c r="B14" s="319"/>
      <c r="C14" s="323"/>
      <c r="D14" s="352"/>
      <c r="E14" s="323"/>
      <c r="F14" s="323"/>
      <c r="G14" s="352" t="s">
        <v>34</v>
      </c>
      <c r="H14" s="352" t="s">
        <v>34</v>
      </c>
      <c r="I14" s="352" t="s">
        <v>34</v>
      </c>
      <c r="J14" s="353"/>
      <c r="K14" s="354"/>
      <c r="L14" s="355"/>
      <c r="M14" s="323"/>
      <c r="N14" s="319"/>
      <c r="O14" s="352" t="s">
        <v>34</v>
      </c>
      <c r="P14" s="352" t="s">
        <v>34</v>
      </c>
      <c r="Q14" s="352" t="s">
        <v>34</v>
      </c>
      <c r="R14" s="323"/>
    </row>
    <row r="15" spans="1:30" ht="17.399999999999999" customHeight="1" thickBot="1">
      <c r="A15" s="323"/>
      <c r="B15" s="319" t="s">
        <v>26</v>
      </c>
      <c r="C15" s="323"/>
      <c r="D15" s="356">
        <v>0</v>
      </c>
      <c r="E15" s="357"/>
      <c r="F15" s="357"/>
      <c r="G15" s="356">
        <v>0</v>
      </c>
      <c r="H15" s="356">
        <v>0</v>
      </c>
      <c r="I15" s="356">
        <v>0</v>
      </c>
      <c r="J15" s="358"/>
      <c r="K15" s="359"/>
      <c r="L15" s="360"/>
      <c r="M15" s="357"/>
      <c r="N15" s="335"/>
      <c r="O15" s="356">
        <v>0</v>
      </c>
      <c r="P15" s="356">
        <v>0</v>
      </c>
      <c r="Q15" s="356">
        <v>0</v>
      </c>
      <c r="R15" s="323"/>
      <c r="V15" s="630"/>
    </row>
    <row r="16" spans="1:30" ht="25.2" thickTop="1">
      <c r="A16" s="323"/>
      <c r="B16" s="339" t="s">
        <v>35</v>
      </c>
      <c r="C16" s="323"/>
      <c r="D16" s="340"/>
      <c r="E16" s="340"/>
      <c r="F16" s="340"/>
      <c r="G16" s="340"/>
      <c r="H16" s="340"/>
      <c r="I16" s="340"/>
      <c r="J16" s="341"/>
      <c r="K16" s="342"/>
      <c r="L16" s="342"/>
      <c r="M16" s="340"/>
      <c r="N16" s="322"/>
      <c r="O16" s="340"/>
      <c r="P16" s="340"/>
      <c r="Q16" s="340"/>
      <c r="R16" s="340"/>
    </row>
    <row r="17" spans="1:20" ht="25.2" thickBot="1">
      <c r="A17" s="319">
        <v>1</v>
      </c>
      <c r="B17" s="323" t="s">
        <v>36</v>
      </c>
      <c r="C17" s="323"/>
      <c r="D17" s="630">
        <v>0</v>
      </c>
      <c r="E17" s="361"/>
      <c r="F17" s="319"/>
      <c r="G17" s="352">
        <v>0</v>
      </c>
      <c r="H17" s="352">
        <v>0</v>
      </c>
      <c r="I17" s="352">
        <v>0</v>
      </c>
      <c r="J17" s="362"/>
      <c r="K17" s="363"/>
      <c r="L17" s="364"/>
      <c r="M17" s="361"/>
      <c r="N17" s="319"/>
      <c r="O17" s="365">
        <v>0</v>
      </c>
      <c r="P17" s="633">
        <v>0</v>
      </c>
      <c r="Q17" s="633">
        <v>0</v>
      </c>
      <c r="R17" s="323"/>
    </row>
    <row r="18" spans="1:20" ht="25.8" thickTop="1" thickBot="1">
      <c r="A18" s="323"/>
      <c r="B18" s="319" t="s">
        <v>26</v>
      </c>
      <c r="C18" s="323"/>
      <c r="D18" s="347">
        <v>0</v>
      </c>
      <c r="E18" s="347"/>
      <c r="F18" s="347"/>
      <c r="G18" s="347">
        <v>0</v>
      </c>
      <c r="H18" s="347">
        <v>0</v>
      </c>
      <c r="I18" s="347">
        <v>0</v>
      </c>
      <c r="J18" s="348"/>
      <c r="K18" s="348"/>
      <c r="L18" s="348"/>
      <c r="M18" s="347"/>
      <c r="N18" s="349"/>
      <c r="O18" s="347">
        <v>0</v>
      </c>
      <c r="P18" s="347">
        <v>0</v>
      </c>
      <c r="Q18" s="347">
        <v>0</v>
      </c>
      <c r="R18" s="367"/>
    </row>
    <row r="19" spans="1:20" ht="25.2" hidden="1" thickTop="1">
      <c r="A19" s="323"/>
      <c r="B19" s="339" t="s">
        <v>37</v>
      </c>
      <c r="C19" s="323"/>
      <c r="D19" s="350"/>
      <c r="E19" s="340"/>
      <c r="F19" s="340"/>
      <c r="G19" s="350"/>
      <c r="H19" s="350"/>
      <c r="I19" s="350"/>
      <c r="J19" s="341"/>
      <c r="K19" s="342"/>
      <c r="L19" s="351"/>
      <c r="M19" s="340"/>
      <c r="N19" s="322"/>
      <c r="O19" s="350"/>
      <c r="P19" s="350"/>
      <c r="Q19" s="350"/>
      <c r="R19" s="323"/>
    </row>
    <row r="20" spans="1:20" ht="25.8" hidden="1" thickTop="1" thickBot="1">
      <c r="A20" s="319">
        <v>1</v>
      </c>
      <c r="B20" s="319"/>
      <c r="C20" s="323"/>
      <c r="D20" s="368"/>
      <c r="E20" s="369"/>
      <c r="F20" s="369"/>
      <c r="G20" s="368"/>
      <c r="H20" s="368"/>
      <c r="I20" s="368"/>
      <c r="J20" s="370"/>
      <c r="K20" s="371"/>
      <c r="L20" s="372"/>
      <c r="M20" s="369"/>
      <c r="N20" s="328"/>
      <c r="O20" s="368"/>
      <c r="P20" s="368"/>
      <c r="Q20" s="368"/>
      <c r="R20" s="323"/>
    </row>
    <row r="21" spans="1:20" ht="25.8" hidden="1" thickTop="1" thickBot="1">
      <c r="A21" s="319"/>
      <c r="B21" s="319" t="s">
        <v>26</v>
      </c>
      <c r="C21" s="323"/>
      <c r="D21" s="347"/>
      <c r="E21" s="373"/>
      <c r="F21" s="373"/>
      <c r="G21" s="347"/>
      <c r="H21" s="347"/>
      <c r="I21" s="347"/>
      <c r="J21" s="374"/>
      <c r="K21" s="375"/>
      <c r="L21" s="348"/>
      <c r="M21" s="373"/>
      <c r="N21" s="376"/>
      <c r="O21" s="347"/>
      <c r="P21" s="347"/>
      <c r="Q21" s="347"/>
      <c r="R21" s="340"/>
    </row>
    <row r="22" spans="1:20" ht="25.2" hidden="1" thickTop="1">
      <c r="A22" s="319"/>
      <c r="B22" s="339" t="s">
        <v>38</v>
      </c>
      <c r="C22" s="323"/>
      <c r="D22" s="350"/>
      <c r="E22" s="340"/>
      <c r="F22" s="340"/>
      <c r="G22" s="350"/>
      <c r="H22" s="350"/>
      <c r="I22" s="350"/>
      <c r="J22" s="341"/>
      <c r="K22" s="342"/>
      <c r="L22" s="351"/>
      <c r="M22" s="340"/>
      <c r="N22" s="322"/>
      <c r="O22" s="350"/>
      <c r="P22" s="350"/>
      <c r="Q22" s="350"/>
      <c r="R22" s="340"/>
    </row>
    <row r="23" spans="1:20" ht="25.8" hidden="1" thickTop="1" thickBot="1">
      <c r="A23" s="319">
        <v>1</v>
      </c>
      <c r="B23" s="319"/>
      <c r="C23" s="323"/>
      <c r="D23" s="368"/>
      <c r="E23" s="369"/>
      <c r="F23" s="369"/>
      <c r="G23" s="368"/>
      <c r="H23" s="368"/>
      <c r="I23" s="368"/>
      <c r="J23" s="370"/>
      <c r="K23" s="371"/>
      <c r="L23" s="372"/>
      <c r="M23" s="369"/>
      <c r="N23" s="328"/>
      <c r="O23" s="368"/>
      <c r="P23" s="368"/>
      <c r="Q23" s="368"/>
      <c r="R23" s="340"/>
    </row>
    <row r="24" spans="1:20" ht="25.8" hidden="1" thickTop="1" thickBot="1">
      <c r="A24" s="319"/>
      <c r="B24" s="319" t="s">
        <v>26</v>
      </c>
      <c r="C24" s="323"/>
      <c r="D24" s="356"/>
      <c r="E24" s="357"/>
      <c r="F24" s="357"/>
      <c r="G24" s="356"/>
      <c r="H24" s="356"/>
      <c r="I24" s="356"/>
      <c r="J24" s="358"/>
      <c r="K24" s="359"/>
      <c r="L24" s="360"/>
      <c r="M24" s="357"/>
      <c r="N24" s="335"/>
      <c r="O24" s="356"/>
      <c r="P24" s="356"/>
      <c r="Q24" s="356"/>
      <c r="R24" s="340"/>
    </row>
    <row r="25" spans="1:20" ht="25.2" thickTop="1">
      <c r="A25" s="323"/>
      <c r="B25" s="339" t="s">
        <v>39</v>
      </c>
      <c r="C25" s="323"/>
      <c r="D25" s="340"/>
      <c r="E25" s="340"/>
      <c r="F25" s="340"/>
      <c r="G25" s="340"/>
      <c r="H25" s="340"/>
      <c r="I25" s="340"/>
      <c r="J25" s="341"/>
      <c r="K25" s="342"/>
      <c r="L25" s="342"/>
      <c r="M25" s="340"/>
      <c r="N25" s="322"/>
      <c r="O25" s="340"/>
      <c r="P25" s="340"/>
      <c r="Q25" s="340"/>
      <c r="R25" s="340"/>
    </row>
    <row r="26" spans="1:20" ht="24.6">
      <c r="A26" s="319">
        <v>1</v>
      </c>
      <c r="B26" s="323" t="s">
        <v>40</v>
      </c>
      <c r="C26" s="323"/>
      <c r="D26" s="634">
        <v>0</v>
      </c>
      <c r="E26" s="361"/>
      <c r="F26" s="319"/>
      <c r="G26" s="632">
        <v>0</v>
      </c>
      <c r="H26" s="352">
        <v>0</v>
      </c>
      <c r="I26" s="632">
        <v>0</v>
      </c>
      <c r="J26" s="362"/>
      <c r="K26" s="363"/>
      <c r="L26" s="635"/>
      <c r="M26" s="361"/>
      <c r="N26" s="319"/>
      <c r="O26" s="365">
        <v>0</v>
      </c>
      <c r="P26" s="633">
        <v>0</v>
      </c>
      <c r="Q26" s="633">
        <v>0</v>
      </c>
      <c r="R26" s="323" t="s">
        <v>41</v>
      </c>
    </row>
    <row r="27" spans="1:20" ht="24.6">
      <c r="A27" s="379">
        <v>2</v>
      </c>
      <c r="B27" s="380" t="s">
        <v>277</v>
      </c>
      <c r="C27" s="380"/>
      <c r="D27" s="634">
        <v>535</v>
      </c>
      <c r="E27" s="379"/>
      <c r="F27" s="379"/>
      <c r="G27" s="636">
        <v>0</v>
      </c>
      <c r="H27" s="382">
        <v>0</v>
      </c>
      <c r="I27" s="636">
        <v>0</v>
      </c>
      <c r="J27" s="383">
        <v>25328</v>
      </c>
      <c r="K27" s="384" t="s">
        <v>433</v>
      </c>
      <c r="L27" s="351">
        <v>535</v>
      </c>
      <c r="M27" s="319"/>
      <c r="N27" s="319"/>
      <c r="O27" s="365">
        <v>0</v>
      </c>
      <c r="P27" s="633">
        <v>0</v>
      </c>
      <c r="Q27" s="633">
        <v>0</v>
      </c>
      <c r="R27" s="323"/>
    </row>
    <row r="28" spans="1:20" s="395" customFormat="1" ht="24.6">
      <c r="A28" s="385">
        <v>3</v>
      </c>
      <c r="B28" s="386" t="s">
        <v>44</v>
      </c>
      <c r="C28" s="387"/>
      <c r="D28" s="637">
        <v>1070</v>
      </c>
      <c r="E28" s="389">
        <v>25294</v>
      </c>
      <c r="F28" s="385">
        <v>1</v>
      </c>
      <c r="G28" s="638">
        <v>1000</v>
      </c>
      <c r="H28" s="391">
        <v>70</v>
      </c>
      <c r="I28" s="638">
        <v>1070</v>
      </c>
      <c r="J28" s="383">
        <v>25328</v>
      </c>
      <c r="K28" s="384" t="s">
        <v>434</v>
      </c>
      <c r="L28" s="351">
        <v>2100</v>
      </c>
      <c r="M28" s="392"/>
      <c r="N28" s="393" t="s">
        <v>172</v>
      </c>
      <c r="O28" s="365">
        <v>0</v>
      </c>
      <c r="P28" s="633">
        <v>0</v>
      </c>
      <c r="Q28" s="633">
        <v>0</v>
      </c>
      <c r="R28" s="394"/>
      <c r="T28" s="639"/>
    </row>
    <row r="29" spans="1:20" ht="24.6">
      <c r="A29" s="379">
        <v>4</v>
      </c>
      <c r="B29" s="380" t="s">
        <v>46</v>
      </c>
      <c r="C29" s="380"/>
      <c r="D29" s="640">
        <v>535</v>
      </c>
      <c r="E29" s="398"/>
      <c r="F29" s="398"/>
      <c r="G29" s="641"/>
      <c r="H29" s="382"/>
      <c r="I29" s="636"/>
      <c r="J29" s="320">
        <v>25349</v>
      </c>
      <c r="K29" s="400" t="s">
        <v>435</v>
      </c>
      <c r="L29" s="642">
        <v>535</v>
      </c>
      <c r="M29" s="322"/>
      <c r="N29" s="322"/>
      <c r="O29" s="365">
        <v>0</v>
      </c>
      <c r="P29" s="643">
        <v>0</v>
      </c>
      <c r="Q29" s="643">
        <v>0</v>
      </c>
      <c r="R29" s="403" t="s">
        <v>48</v>
      </c>
    </row>
    <row r="30" spans="1:20" ht="25.2" thickBot="1">
      <c r="A30" s="323"/>
      <c r="B30" s="319" t="s">
        <v>26</v>
      </c>
      <c r="C30" s="323"/>
      <c r="D30" s="404">
        <f>SUM(D26:D29)</f>
        <v>2140</v>
      </c>
      <c r="E30" s="356"/>
      <c r="F30" s="356"/>
      <c r="G30" s="404">
        <v>0</v>
      </c>
      <c r="H30" s="404">
        <v>0</v>
      </c>
      <c r="I30" s="404">
        <v>0</v>
      </c>
      <c r="J30" s="360"/>
      <c r="K30" s="360"/>
      <c r="L30" s="405">
        <f>SUM(L27:L29)</f>
        <v>3170</v>
      </c>
      <c r="M30" s="356"/>
      <c r="N30" s="406"/>
      <c r="O30" s="407">
        <v>0</v>
      </c>
      <c r="P30" s="644">
        <v>0</v>
      </c>
      <c r="Q30" s="644">
        <v>0</v>
      </c>
      <c r="R30" s="367"/>
    </row>
    <row r="31" spans="1:20" ht="25.2" hidden="1" thickTop="1">
      <c r="A31" s="323"/>
      <c r="B31" s="339" t="s">
        <v>49</v>
      </c>
      <c r="C31" s="323"/>
      <c r="D31" s="350"/>
      <c r="E31" s="409"/>
      <c r="F31" s="409"/>
      <c r="G31" s="350"/>
      <c r="H31" s="350"/>
      <c r="I31" s="350"/>
      <c r="J31" s="341"/>
      <c r="K31" s="342"/>
      <c r="L31" s="351"/>
      <c r="M31" s="340"/>
      <c r="N31" s="322"/>
      <c r="O31" s="350"/>
      <c r="P31" s="350"/>
      <c r="Q31" s="350"/>
      <c r="R31" s="323"/>
    </row>
    <row r="32" spans="1:20" ht="16.5" hidden="1" customHeight="1">
      <c r="A32" s="319">
        <v>1</v>
      </c>
      <c r="B32" s="319"/>
      <c r="C32" s="323"/>
      <c r="D32" s="368"/>
      <c r="E32" s="369"/>
      <c r="F32" s="369"/>
      <c r="G32" s="368"/>
      <c r="H32" s="368"/>
      <c r="I32" s="368"/>
      <c r="J32" s="370"/>
      <c r="K32" s="371"/>
      <c r="L32" s="372"/>
      <c r="M32" s="369"/>
      <c r="N32" s="328"/>
      <c r="O32" s="368"/>
      <c r="P32" s="368"/>
      <c r="Q32" s="368"/>
      <c r="R32" s="323"/>
    </row>
    <row r="33" spans="1:18" ht="25.8" hidden="1" thickTop="1" thickBot="1">
      <c r="A33" s="319"/>
      <c r="B33" s="319" t="s">
        <v>26</v>
      </c>
      <c r="C33" s="323"/>
      <c r="D33" s="347"/>
      <c r="E33" s="357"/>
      <c r="F33" s="357"/>
      <c r="G33" s="347"/>
      <c r="H33" s="347"/>
      <c r="I33" s="347"/>
      <c r="J33" s="374"/>
      <c r="K33" s="375"/>
      <c r="L33" s="348"/>
      <c r="M33" s="373"/>
      <c r="N33" s="376"/>
      <c r="O33" s="347"/>
      <c r="P33" s="347"/>
      <c r="Q33" s="347"/>
      <c r="R33" s="323"/>
    </row>
    <row r="34" spans="1:18" ht="25.2" hidden="1" thickTop="1">
      <c r="A34" s="319"/>
      <c r="B34" s="339" t="s">
        <v>50</v>
      </c>
      <c r="C34" s="323"/>
      <c r="D34" s="350"/>
      <c r="E34" s="410"/>
      <c r="F34" s="410"/>
      <c r="G34" s="350"/>
      <c r="H34" s="350"/>
      <c r="I34" s="350"/>
      <c r="J34" s="341"/>
      <c r="K34" s="342"/>
      <c r="L34" s="351"/>
      <c r="M34" s="340"/>
      <c r="N34" s="322"/>
      <c r="O34" s="350"/>
      <c r="P34" s="350"/>
      <c r="Q34" s="350"/>
      <c r="R34" s="323"/>
    </row>
    <row r="35" spans="1:18" ht="25.8" hidden="1" thickTop="1" thickBot="1">
      <c r="A35" s="319"/>
      <c r="B35" s="319"/>
      <c r="C35" s="323"/>
      <c r="D35" s="368"/>
      <c r="E35" s="369"/>
      <c r="F35" s="369"/>
      <c r="G35" s="368">
        <v>0</v>
      </c>
      <c r="H35" s="368">
        <v>0</v>
      </c>
      <c r="I35" s="368">
        <v>0</v>
      </c>
      <c r="J35" s="370"/>
      <c r="K35" s="371"/>
      <c r="L35" s="372"/>
      <c r="M35" s="369"/>
      <c r="N35" s="328"/>
      <c r="O35" s="645">
        <v>0</v>
      </c>
      <c r="P35" s="645">
        <v>0</v>
      </c>
      <c r="Q35" s="645">
        <v>0</v>
      </c>
      <c r="R35" s="323"/>
    </row>
    <row r="36" spans="1:18" ht="25.2" hidden="1" thickTop="1">
      <c r="A36" s="319"/>
      <c r="B36" s="319" t="s">
        <v>26</v>
      </c>
      <c r="C36" s="323"/>
      <c r="D36" s="412">
        <v>0</v>
      </c>
      <c r="E36" s="340"/>
      <c r="F36" s="340"/>
      <c r="G36" s="412">
        <v>0</v>
      </c>
      <c r="H36" s="412"/>
      <c r="I36" s="412">
        <v>0</v>
      </c>
      <c r="J36" s="413"/>
      <c r="K36" s="414"/>
      <c r="L36" s="415"/>
      <c r="M36" s="410"/>
      <c r="N36" s="416"/>
      <c r="O36" s="412">
        <v>0</v>
      </c>
      <c r="P36" s="412"/>
      <c r="Q36" s="412">
        <v>0</v>
      </c>
      <c r="R36" s="367"/>
    </row>
    <row r="37" spans="1:18" ht="25.2" hidden="1" thickTop="1">
      <c r="A37" s="319"/>
      <c r="B37" s="339" t="s">
        <v>51</v>
      </c>
      <c r="C37" s="323"/>
      <c r="D37" s="352"/>
      <c r="E37" s="410"/>
      <c r="F37" s="410"/>
      <c r="G37" s="352"/>
      <c r="H37" s="352"/>
      <c r="I37" s="352"/>
      <c r="J37" s="353"/>
      <c r="K37" s="354"/>
      <c r="L37" s="355"/>
      <c r="M37" s="323"/>
      <c r="N37" s="319"/>
      <c r="O37" s="352"/>
      <c r="P37" s="352"/>
      <c r="Q37" s="352"/>
      <c r="R37" s="323"/>
    </row>
    <row r="38" spans="1:18" ht="25.8" hidden="1" thickTop="1" thickBot="1">
      <c r="A38" s="319">
        <v>1</v>
      </c>
      <c r="B38" s="319"/>
      <c r="C38" s="323"/>
      <c r="D38" s="368"/>
      <c r="E38" s="369"/>
      <c r="F38" s="369"/>
      <c r="G38" s="368"/>
      <c r="H38" s="368"/>
      <c r="I38" s="368"/>
      <c r="J38" s="370"/>
      <c r="K38" s="371"/>
      <c r="L38" s="372"/>
      <c r="M38" s="369"/>
      <c r="N38" s="328"/>
      <c r="O38" s="368"/>
      <c r="P38" s="368"/>
      <c r="Q38" s="368"/>
      <c r="R38" s="323"/>
    </row>
    <row r="39" spans="1:18" ht="25.8" hidden="1" thickTop="1" thickBot="1">
      <c r="A39" s="319"/>
      <c r="B39" s="319" t="s">
        <v>26</v>
      </c>
      <c r="C39" s="323"/>
      <c r="D39" s="356"/>
      <c r="E39" s="373"/>
      <c r="F39" s="373"/>
      <c r="G39" s="356"/>
      <c r="H39" s="356"/>
      <c r="I39" s="356"/>
      <c r="J39" s="358"/>
      <c r="K39" s="359"/>
      <c r="L39" s="360"/>
      <c r="M39" s="357"/>
      <c r="N39" s="335"/>
      <c r="O39" s="356"/>
      <c r="P39" s="356"/>
      <c r="Q39" s="356"/>
      <c r="R39" s="323"/>
    </row>
    <row r="40" spans="1:18" ht="25.2" thickTop="1">
      <c r="A40" s="323"/>
      <c r="B40" s="339" t="s">
        <v>52</v>
      </c>
      <c r="C40" s="323"/>
      <c r="D40" s="350"/>
      <c r="E40" s="322"/>
      <c r="F40" s="322"/>
      <c r="G40" s="350"/>
      <c r="H40" s="350"/>
      <c r="I40" s="350"/>
      <c r="J40" s="341"/>
      <c r="K40" s="342"/>
      <c r="L40" s="351"/>
      <c r="M40" s="340"/>
      <c r="N40" s="322"/>
      <c r="O40" s="350"/>
      <c r="P40" s="350"/>
      <c r="Q40" s="350"/>
      <c r="R40" s="323"/>
    </row>
    <row r="41" spans="1:18" ht="24.6">
      <c r="A41" s="323"/>
      <c r="B41" s="417" t="s">
        <v>53</v>
      </c>
      <c r="C41" s="323"/>
      <c r="D41" s="350"/>
      <c r="E41" s="319"/>
      <c r="F41" s="319"/>
      <c r="G41" s="350"/>
      <c r="H41" s="350"/>
      <c r="I41" s="350"/>
      <c r="J41" s="341"/>
      <c r="K41" s="342"/>
      <c r="L41" s="351"/>
      <c r="M41" s="340"/>
      <c r="N41" s="322"/>
      <c r="O41" s="350"/>
      <c r="P41" s="350"/>
      <c r="Q41" s="350"/>
      <c r="R41" s="323"/>
    </row>
    <row r="42" spans="1:18" ht="24.6">
      <c r="A42" s="319">
        <v>1</v>
      </c>
      <c r="B42" s="323" t="s">
        <v>54</v>
      </c>
      <c r="C42" s="319" t="s">
        <v>55</v>
      </c>
      <c r="D42" s="630">
        <v>0</v>
      </c>
      <c r="E42" s="319"/>
      <c r="F42" s="319"/>
      <c r="G42" s="630">
        <v>0</v>
      </c>
      <c r="H42" s="630">
        <v>0</v>
      </c>
      <c r="I42" s="630">
        <v>0</v>
      </c>
      <c r="J42" s="320"/>
      <c r="K42" s="400"/>
      <c r="L42" s="642"/>
      <c r="M42" s="319"/>
      <c r="N42" s="319"/>
      <c r="O42" s="365">
        <f t="shared" ref="O42:O47" si="0">D42</f>
        <v>0</v>
      </c>
      <c r="P42" s="633">
        <v>0</v>
      </c>
      <c r="Q42" s="633">
        <f t="shared" ref="Q42:Q45" si="1">D42</f>
        <v>0</v>
      </c>
      <c r="R42" s="323" t="s">
        <v>56</v>
      </c>
    </row>
    <row r="43" spans="1:18" ht="24.6">
      <c r="A43" s="319">
        <v>2</v>
      </c>
      <c r="B43" s="418" t="s">
        <v>57</v>
      </c>
      <c r="C43" s="319">
        <v>259</v>
      </c>
      <c r="D43" s="630">
        <v>0</v>
      </c>
      <c r="E43" s="319"/>
      <c r="F43" s="319"/>
      <c r="G43" s="630">
        <v>0</v>
      </c>
      <c r="H43" s="630">
        <v>0</v>
      </c>
      <c r="I43" s="630">
        <v>0</v>
      </c>
      <c r="J43" s="320"/>
      <c r="K43" s="310"/>
      <c r="L43" s="642"/>
      <c r="M43" s="319"/>
      <c r="N43" s="319"/>
      <c r="O43" s="365">
        <f t="shared" si="0"/>
        <v>0</v>
      </c>
      <c r="P43" s="633">
        <v>0</v>
      </c>
      <c r="Q43" s="633">
        <f t="shared" si="1"/>
        <v>0</v>
      </c>
      <c r="R43" s="323" t="s">
        <v>58</v>
      </c>
    </row>
    <row r="44" spans="1:18" ht="24.6">
      <c r="A44" s="319">
        <v>3</v>
      </c>
      <c r="B44" s="418" t="s">
        <v>57</v>
      </c>
      <c r="C44" s="319">
        <v>260</v>
      </c>
      <c r="D44" s="630"/>
      <c r="E44" s="319"/>
      <c r="F44" s="319"/>
      <c r="G44" s="630">
        <v>0</v>
      </c>
      <c r="H44" s="630">
        <v>0</v>
      </c>
      <c r="I44" s="630">
        <v>0</v>
      </c>
      <c r="J44" s="320"/>
      <c r="K44" s="310"/>
      <c r="L44" s="642"/>
      <c r="M44" s="319"/>
      <c r="N44" s="319"/>
      <c r="O44" s="365">
        <f t="shared" si="0"/>
        <v>0</v>
      </c>
      <c r="P44" s="633">
        <v>0</v>
      </c>
      <c r="Q44" s="633">
        <f t="shared" si="1"/>
        <v>0</v>
      </c>
      <c r="R44" s="323"/>
    </row>
    <row r="45" spans="1:18" ht="24.6">
      <c r="A45" s="319">
        <v>4</v>
      </c>
      <c r="B45" s="418" t="s">
        <v>57</v>
      </c>
      <c r="C45" s="319" t="s">
        <v>59</v>
      </c>
      <c r="D45" s="630">
        <v>0</v>
      </c>
      <c r="E45" s="319"/>
      <c r="F45" s="319"/>
      <c r="G45" s="630">
        <v>0</v>
      </c>
      <c r="H45" s="630">
        <v>0</v>
      </c>
      <c r="I45" s="630">
        <v>0</v>
      </c>
      <c r="J45" s="320"/>
      <c r="K45" s="310"/>
      <c r="L45" s="642"/>
      <c r="M45" s="319"/>
      <c r="N45" s="319"/>
      <c r="O45" s="365">
        <f t="shared" si="0"/>
        <v>0</v>
      </c>
      <c r="P45" s="633">
        <v>0</v>
      </c>
      <c r="Q45" s="633">
        <f t="shared" si="1"/>
        <v>0</v>
      </c>
      <c r="R45" s="323" t="s">
        <v>60</v>
      </c>
    </row>
    <row r="46" spans="1:18" ht="24.6">
      <c r="A46" s="319">
        <v>5</v>
      </c>
      <c r="B46" s="418" t="s">
        <v>57</v>
      </c>
      <c r="C46" s="319" t="s">
        <v>61</v>
      </c>
      <c r="D46" s="630">
        <v>0</v>
      </c>
      <c r="E46" s="319"/>
      <c r="F46" s="319"/>
      <c r="G46" s="630">
        <v>0</v>
      </c>
      <c r="H46" s="630">
        <v>0</v>
      </c>
      <c r="I46" s="630">
        <v>0</v>
      </c>
      <c r="J46" s="320"/>
      <c r="K46" s="310"/>
      <c r="L46" s="642"/>
      <c r="M46" s="319"/>
      <c r="N46" s="319"/>
      <c r="O46" s="365">
        <f t="shared" si="0"/>
        <v>0</v>
      </c>
      <c r="P46" s="633">
        <v>0</v>
      </c>
      <c r="Q46" s="365">
        <f t="shared" ref="Q46:Q50" si="2">D46+I46-L46</f>
        <v>0</v>
      </c>
      <c r="R46" s="323"/>
    </row>
    <row r="47" spans="1:18" ht="24.6">
      <c r="A47" s="319">
        <v>6</v>
      </c>
      <c r="B47" s="323" t="s">
        <v>62</v>
      </c>
      <c r="C47" s="319" t="s">
        <v>63</v>
      </c>
      <c r="D47" s="630">
        <v>0</v>
      </c>
      <c r="E47" s="319"/>
      <c r="F47" s="319"/>
      <c r="G47" s="630">
        <v>0</v>
      </c>
      <c r="H47" s="630">
        <v>0</v>
      </c>
      <c r="I47" s="630">
        <v>0</v>
      </c>
      <c r="J47" s="362"/>
      <c r="K47" s="363"/>
      <c r="L47" s="635"/>
      <c r="M47" s="319"/>
      <c r="N47" s="319"/>
      <c r="O47" s="365">
        <f t="shared" si="0"/>
        <v>0</v>
      </c>
      <c r="P47" s="633">
        <v>0</v>
      </c>
      <c r="Q47" s="365">
        <f t="shared" si="2"/>
        <v>0</v>
      </c>
      <c r="R47" s="323" t="s">
        <v>64</v>
      </c>
    </row>
    <row r="48" spans="1:18" ht="24.6">
      <c r="A48" s="379">
        <v>7</v>
      </c>
      <c r="B48" s="380" t="s">
        <v>65</v>
      </c>
      <c r="C48" s="379">
        <v>267</v>
      </c>
      <c r="D48" s="634">
        <v>1215</v>
      </c>
      <c r="E48" s="379"/>
      <c r="F48" s="379"/>
      <c r="G48" s="634">
        <v>0</v>
      </c>
      <c r="H48" s="634">
        <v>0</v>
      </c>
      <c r="I48" s="634">
        <v>0</v>
      </c>
      <c r="J48" s="362">
        <v>25330</v>
      </c>
      <c r="K48" s="363" t="s">
        <v>436</v>
      </c>
      <c r="L48" s="635">
        <v>1215</v>
      </c>
      <c r="M48" s="319"/>
      <c r="N48" s="319"/>
      <c r="O48" s="365">
        <f>D48+G48-L48</f>
        <v>0</v>
      </c>
      <c r="P48" s="365">
        <f t="shared" ref="P48" si="3">E48+H48-M48</f>
        <v>0</v>
      </c>
      <c r="Q48" s="365">
        <f t="shared" si="2"/>
        <v>0</v>
      </c>
      <c r="R48" s="323" t="s">
        <v>67</v>
      </c>
    </row>
    <row r="49" spans="1:18" ht="24.6">
      <c r="A49" s="379">
        <v>8</v>
      </c>
      <c r="B49" s="380" t="s">
        <v>68</v>
      </c>
      <c r="C49" s="419">
        <v>268</v>
      </c>
      <c r="D49" s="634">
        <v>0</v>
      </c>
      <c r="E49" s="379"/>
      <c r="F49" s="379"/>
      <c r="G49" s="634">
        <v>0</v>
      </c>
      <c r="H49" s="634">
        <v>0</v>
      </c>
      <c r="I49" s="634">
        <v>0</v>
      </c>
      <c r="J49" s="362"/>
      <c r="K49" s="363"/>
      <c r="L49" s="635"/>
      <c r="M49" s="319"/>
      <c r="N49" s="319"/>
      <c r="O49" s="365">
        <f t="shared" ref="O49:O60" si="4">D49+G49-L49</f>
        <v>0</v>
      </c>
      <c r="P49" s="633">
        <v>0</v>
      </c>
      <c r="Q49" s="365">
        <f t="shared" si="2"/>
        <v>0</v>
      </c>
      <c r="R49" s="323" t="s">
        <v>69</v>
      </c>
    </row>
    <row r="50" spans="1:18" ht="24.6">
      <c r="A50" s="379">
        <v>9</v>
      </c>
      <c r="B50" s="380" t="s">
        <v>70</v>
      </c>
      <c r="C50" s="379" t="s">
        <v>71</v>
      </c>
      <c r="D50" s="634">
        <v>2430</v>
      </c>
      <c r="E50" s="379"/>
      <c r="F50" s="379"/>
      <c r="G50" s="634">
        <v>0</v>
      </c>
      <c r="H50" s="634">
        <v>0</v>
      </c>
      <c r="I50" s="634">
        <v>0</v>
      </c>
      <c r="J50" s="362">
        <v>25330</v>
      </c>
      <c r="K50" s="363" t="s">
        <v>437</v>
      </c>
      <c r="L50" s="635">
        <v>2430</v>
      </c>
      <c r="M50" s="319"/>
      <c r="N50" s="319"/>
      <c r="O50" s="365">
        <f t="shared" si="4"/>
        <v>0</v>
      </c>
      <c r="P50" s="633">
        <v>0</v>
      </c>
      <c r="Q50" s="365">
        <f t="shared" si="2"/>
        <v>0</v>
      </c>
      <c r="R50" s="323"/>
    </row>
    <row r="51" spans="1:18" ht="24.6">
      <c r="A51" s="379">
        <v>10</v>
      </c>
      <c r="B51" s="380" t="s">
        <v>73</v>
      </c>
      <c r="C51" s="419">
        <v>84282</v>
      </c>
      <c r="D51" s="634">
        <v>2430</v>
      </c>
      <c r="E51" s="646">
        <v>25294</v>
      </c>
      <c r="F51" s="379">
        <v>1</v>
      </c>
      <c r="G51" s="634">
        <v>2430</v>
      </c>
      <c r="H51" s="634">
        <v>0</v>
      </c>
      <c r="I51" s="634">
        <v>2430</v>
      </c>
      <c r="J51" s="362"/>
      <c r="K51" s="363"/>
      <c r="L51" s="635"/>
      <c r="M51" s="420">
        <v>25324</v>
      </c>
      <c r="N51" s="421">
        <v>1</v>
      </c>
      <c r="O51" s="365">
        <f>D51+G51-L51</f>
        <v>4860</v>
      </c>
      <c r="P51" s="633">
        <v>0</v>
      </c>
      <c r="Q51" s="365">
        <f>D51+I51-L51</f>
        <v>4860</v>
      </c>
      <c r="R51" s="323"/>
    </row>
    <row r="52" spans="1:18" ht="24.6">
      <c r="A52" s="379">
        <v>11</v>
      </c>
      <c r="B52" s="380" t="s">
        <v>76</v>
      </c>
      <c r="C52" s="379">
        <v>281</v>
      </c>
      <c r="D52" s="634">
        <v>0</v>
      </c>
      <c r="E52" s="379"/>
      <c r="F52" s="379"/>
      <c r="G52" s="634">
        <v>0</v>
      </c>
      <c r="H52" s="634">
        <v>0</v>
      </c>
      <c r="I52" s="634">
        <v>0</v>
      </c>
      <c r="J52" s="362"/>
      <c r="K52" s="363"/>
      <c r="L52" s="635"/>
      <c r="M52" s="319"/>
      <c r="N52" s="319"/>
      <c r="O52" s="365">
        <f t="shared" si="4"/>
        <v>0</v>
      </c>
      <c r="P52" s="633">
        <v>0</v>
      </c>
      <c r="Q52" s="365">
        <f t="shared" ref="Q52:Q60" si="5">D52+I52-L52</f>
        <v>0</v>
      </c>
      <c r="R52" s="323" t="s">
        <v>77</v>
      </c>
    </row>
    <row r="53" spans="1:18" ht="24.6">
      <c r="A53" s="379">
        <v>12</v>
      </c>
      <c r="B53" s="380" t="s">
        <v>57</v>
      </c>
      <c r="C53" s="379">
        <v>280</v>
      </c>
      <c r="D53" s="634">
        <v>0</v>
      </c>
      <c r="E53" s="379"/>
      <c r="F53" s="379"/>
      <c r="G53" s="634">
        <v>0</v>
      </c>
      <c r="H53" s="634">
        <v>0</v>
      </c>
      <c r="I53" s="634">
        <v>0</v>
      </c>
      <c r="J53" s="362"/>
      <c r="K53" s="363"/>
      <c r="L53" s="635"/>
      <c r="M53" s="319"/>
      <c r="N53" s="319"/>
      <c r="O53" s="365">
        <f t="shared" si="4"/>
        <v>0</v>
      </c>
      <c r="P53" s="633">
        <v>0</v>
      </c>
      <c r="Q53" s="365">
        <f t="shared" si="5"/>
        <v>0</v>
      </c>
      <c r="R53" s="323"/>
    </row>
    <row r="54" spans="1:18" ht="24.6">
      <c r="A54" s="379">
        <v>13</v>
      </c>
      <c r="B54" s="380" t="s">
        <v>78</v>
      </c>
      <c r="C54" s="379" t="s">
        <v>79</v>
      </c>
      <c r="D54" s="634">
        <v>2430</v>
      </c>
      <c r="E54" s="379"/>
      <c r="F54" s="379"/>
      <c r="G54" s="634">
        <v>0</v>
      </c>
      <c r="H54" s="634">
        <v>0</v>
      </c>
      <c r="I54" s="634">
        <v>0</v>
      </c>
      <c r="J54" s="362">
        <v>25328</v>
      </c>
      <c r="K54" s="363" t="s">
        <v>438</v>
      </c>
      <c r="L54" s="635">
        <v>2430</v>
      </c>
      <c r="M54" s="319"/>
      <c r="N54" s="319"/>
      <c r="O54" s="365">
        <f t="shared" si="4"/>
        <v>0</v>
      </c>
      <c r="P54" s="633">
        <v>0</v>
      </c>
      <c r="Q54" s="365">
        <f t="shared" si="5"/>
        <v>0</v>
      </c>
      <c r="R54" s="323"/>
    </row>
    <row r="55" spans="1:18" ht="24.6">
      <c r="A55" s="379">
        <v>14</v>
      </c>
      <c r="B55" s="380" t="s">
        <v>81</v>
      </c>
      <c r="C55" s="379" t="s">
        <v>82</v>
      </c>
      <c r="D55" s="634">
        <v>0</v>
      </c>
      <c r="E55" s="379"/>
      <c r="F55" s="379"/>
      <c r="G55" s="634">
        <v>0</v>
      </c>
      <c r="H55" s="634">
        <v>0</v>
      </c>
      <c r="I55" s="634">
        <v>0</v>
      </c>
      <c r="J55" s="362"/>
      <c r="K55" s="363"/>
      <c r="L55" s="635"/>
      <c r="M55" s="319"/>
      <c r="N55" s="319"/>
      <c r="O55" s="365">
        <f t="shared" si="4"/>
        <v>0</v>
      </c>
      <c r="P55" s="633">
        <v>0</v>
      </c>
      <c r="Q55" s="365">
        <f t="shared" si="5"/>
        <v>0</v>
      </c>
      <c r="R55" s="323"/>
    </row>
    <row r="56" spans="1:18" ht="24.6">
      <c r="A56" s="379">
        <v>15</v>
      </c>
      <c r="B56" s="380" t="s">
        <v>83</v>
      </c>
      <c r="C56" s="379">
        <v>277</v>
      </c>
      <c r="D56" s="634">
        <v>1215</v>
      </c>
      <c r="E56" s="379"/>
      <c r="F56" s="379"/>
      <c r="G56" s="634">
        <v>0</v>
      </c>
      <c r="H56" s="634">
        <v>0</v>
      </c>
      <c r="I56" s="634">
        <v>0</v>
      </c>
      <c r="J56" s="362">
        <v>25341</v>
      </c>
      <c r="K56" s="363" t="s">
        <v>439</v>
      </c>
      <c r="L56" s="635">
        <v>1215</v>
      </c>
      <c r="M56" s="319"/>
      <c r="N56" s="319"/>
      <c r="O56" s="365">
        <f t="shared" si="4"/>
        <v>0</v>
      </c>
      <c r="P56" s="633">
        <v>0</v>
      </c>
      <c r="Q56" s="365">
        <f t="shared" si="5"/>
        <v>0</v>
      </c>
      <c r="R56" s="323"/>
    </row>
    <row r="57" spans="1:18" ht="24.6">
      <c r="A57" s="379">
        <v>16</v>
      </c>
      <c r="B57" s="380" t="s">
        <v>85</v>
      </c>
      <c r="C57" s="379" t="s">
        <v>86</v>
      </c>
      <c r="D57" s="634">
        <v>0</v>
      </c>
      <c r="E57" s="379"/>
      <c r="F57" s="379"/>
      <c r="G57" s="634">
        <v>0</v>
      </c>
      <c r="H57" s="634">
        <v>0</v>
      </c>
      <c r="I57" s="634">
        <v>0</v>
      </c>
      <c r="J57" s="362"/>
      <c r="K57" s="363"/>
      <c r="L57" s="635"/>
      <c r="M57" s="319"/>
      <c r="N57" s="319"/>
      <c r="O57" s="365">
        <f t="shared" si="4"/>
        <v>0</v>
      </c>
      <c r="P57" s="633">
        <v>0</v>
      </c>
      <c r="Q57" s="365">
        <f t="shared" si="5"/>
        <v>0</v>
      </c>
      <c r="R57" s="323" t="s">
        <v>87</v>
      </c>
    </row>
    <row r="58" spans="1:18" ht="24.6">
      <c r="A58" s="319">
        <v>17</v>
      </c>
      <c r="B58" s="323" t="s">
        <v>57</v>
      </c>
      <c r="C58" s="319" t="s">
        <v>88</v>
      </c>
      <c r="D58" s="630">
        <v>0</v>
      </c>
      <c r="E58" s="319"/>
      <c r="F58" s="319"/>
      <c r="G58" s="630">
        <v>0</v>
      </c>
      <c r="H58" s="630">
        <v>0</v>
      </c>
      <c r="I58" s="630">
        <v>0</v>
      </c>
      <c r="J58" s="320"/>
      <c r="K58" s="310"/>
      <c r="L58" s="642"/>
      <c r="M58" s="319"/>
      <c r="N58" s="319"/>
      <c r="O58" s="365">
        <f t="shared" si="4"/>
        <v>0</v>
      </c>
      <c r="P58" s="633">
        <v>0</v>
      </c>
      <c r="Q58" s="365">
        <f t="shared" si="5"/>
        <v>0</v>
      </c>
      <c r="R58" s="323"/>
    </row>
    <row r="59" spans="1:18" ht="24.6">
      <c r="A59" s="319"/>
      <c r="B59" s="417" t="s">
        <v>89</v>
      </c>
      <c r="C59" s="323"/>
      <c r="D59" s="323"/>
      <c r="E59" s="319"/>
      <c r="F59" s="319"/>
      <c r="G59" s="323">
        <v>0</v>
      </c>
      <c r="H59" s="630"/>
      <c r="I59" s="630">
        <v>0</v>
      </c>
      <c r="J59" s="320"/>
      <c r="K59" s="310"/>
      <c r="L59" s="642"/>
      <c r="M59" s="319"/>
      <c r="N59" s="319"/>
      <c r="O59" s="365">
        <f t="shared" si="4"/>
        <v>0</v>
      </c>
      <c r="P59" s="630"/>
      <c r="Q59" s="365">
        <f t="shared" si="5"/>
        <v>0</v>
      </c>
      <c r="R59" s="323"/>
    </row>
    <row r="60" spans="1:18" ht="24.6">
      <c r="A60" s="319">
        <v>1</v>
      </c>
      <c r="B60" s="323" t="s">
        <v>57</v>
      </c>
      <c r="C60" s="319" t="s">
        <v>90</v>
      </c>
      <c r="D60" s="630">
        <v>0</v>
      </c>
      <c r="E60" s="319"/>
      <c r="F60" s="319"/>
      <c r="G60" s="630">
        <v>0</v>
      </c>
      <c r="H60" s="630">
        <v>0</v>
      </c>
      <c r="I60" s="630">
        <v>0</v>
      </c>
      <c r="J60" s="320"/>
      <c r="K60" s="310"/>
      <c r="L60" s="642"/>
      <c r="M60" s="319"/>
      <c r="N60" s="319"/>
      <c r="O60" s="365">
        <f t="shared" si="4"/>
        <v>0</v>
      </c>
      <c r="P60" s="633">
        <v>0</v>
      </c>
      <c r="Q60" s="365">
        <f t="shared" si="5"/>
        <v>0</v>
      </c>
      <c r="R60" s="323" t="s">
        <v>91</v>
      </c>
    </row>
    <row r="61" spans="1:18" ht="24.6">
      <c r="A61" s="319">
        <v>2</v>
      </c>
      <c r="B61" s="418" t="s">
        <v>57</v>
      </c>
      <c r="C61" s="319" t="s">
        <v>92</v>
      </c>
      <c r="D61" s="630"/>
      <c r="E61" s="319"/>
      <c r="F61" s="319"/>
      <c r="G61" s="630">
        <v>0</v>
      </c>
      <c r="H61" s="630"/>
      <c r="I61" s="630">
        <v>0</v>
      </c>
      <c r="J61" s="320"/>
      <c r="K61" s="310"/>
      <c r="L61" s="642"/>
      <c r="M61" s="319"/>
      <c r="N61" s="319"/>
      <c r="O61" s="365">
        <f t="shared" ref="O61:O69" si="6">D61+G61</f>
        <v>0</v>
      </c>
      <c r="P61" s="630"/>
      <c r="Q61" s="633">
        <f t="shared" ref="Q61:Q69" si="7">D61+I61</f>
        <v>0</v>
      </c>
      <c r="R61" s="323"/>
    </row>
    <row r="62" spans="1:18" ht="24.6">
      <c r="A62" s="319">
        <v>3</v>
      </c>
      <c r="B62" s="323" t="s">
        <v>93</v>
      </c>
      <c r="C62" s="319" t="s">
        <v>94</v>
      </c>
      <c r="D62" s="630">
        <v>0</v>
      </c>
      <c r="E62" s="319"/>
      <c r="F62" s="319"/>
      <c r="G62" s="647">
        <v>0</v>
      </c>
      <c r="H62" s="647">
        <v>0</v>
      </c>
      <c r="I62" s="647">
        <v>0</v>
      </c>
      <c r="J62" s="362"/>
      <c r="K62" s="423"/>
      <c r="L62" s="635"/>
      <c r="M62" s="319"/>
      <c r="N62" s="319"/>
      <c r="O62" s="365">
        <f t="shared" si="6"/>
        <v>0</v>
      </c>
      <c r="P62" s="633">
        <v>0</v>
      </c>
      <c r="Q62" s="633">
        <f t="shared" si="7"/>
        <v>0</v>
      </c>
      <c r="R62" s="323"/>
    </row>
    <row r="63" spans="1:18" ht="24.6">
      <c r="A63" s="319">
        <v>4</v>
      </c>
      <c r="B63" s="418" t="s">
        <v>57</v>
      </c>
      <c r="C63" s="319" t="s">
        <v>95</v>
      </c>
      <c r="D63" s="632">
        <v>0</v>
      </c>
      <c r="E63" s="319"/>
      <c r="F63" s="319"/>
      <c r="G63" s="630">
        <v>0</v>
      </c>
      <c r="H63" s="630"/>
      <c r="I63" s="630">
        <v>0</v>
      </c>
      <c r="J63" s="362"/>
      <c r="K63" s="423"/>
      <c r="L63" s="635"/>
      <c r="M63" s="319"/>
      <c r="N63" s="319"/>
      <c r="O63" s="365">
        <f t="shared" si="6"/>
        <v>0</v>
      </c>
      <c r="P63" s="630"/>
      <c r="Q63" s="633">
        <f t="shared" si="7"/>
        <v>0</v>
      </c>
      <c r="R63" s="323"/>
    </row>
    <row r="64" spans="1:18" ht="24.6">
      <c r="A64" s="319">
        <v>5</v>
      </c>
      <c r="B64" s="323" t="s">
        <v>40</v>
      </c>
      <c r="C64" s="319" t="s">
        <v>96</v>
      </c>
      <c r="D64" s="630">
        <v>0</v>
      </c>
      <c r="E64" s="319"/>
      <c r="F64" s="319"/>
      <c r="G64" s="630">
        <v>0</v>
      </c>
      <c r="H64" s="630">
        <v>0</v>
      </c>
      <c r="I64" s="630">
        <v>0</v>
      </c>
      <c r="J64" s="362"/>
      <c r="K64" s="363"/>
      <c r="L64" s="635"/>
      <c r="M64" s="319"/>
      <c r="N64" s="319"/>
      <c r="O64" s="365">
        <f t="shared" si="6"/>
        <v>0</v>
      </c>
      <c r="P64" s="633">
        <v>0</v>
      </c>
      <c r="Q64" s="633">
        <f t="shared" si="7"/>
        <v>0</v>
      </c>
      <c r="R64" s="323" t="s">
        <v>41</v>
      </c>
    </row>
    <row r="65" spans="1:20" ht="24.6">
      <c r="A65" s="319"/>
      <c r="B65" s="424" t="s">
        <v>97</v>
      </c>
      <c r="C65" s="323"/>
      <c r="D65" s="323"/>
      <c r="E65" s="319" t="s">
        <v>172</v>
      </c>
      <c r="F65" s="319" t="s">
        <v>172</v>
      </c>
      <c r="G65" s="323">
        <v>0</v>
      </c>
      <c r="H65" s="630"/>
      <c r="I65" s="630">
        <v>0</v>
      </c>
      <c r="J65" s="320"/>
      <c r="K65" s="310"/>
      <c r="L65" s="642"/>
      <c r="M65" s="319"/>
      <c r="N65" s="319"/>
      <c r="O65" s="365">
        <f t="shared" si="6"/>
        <v>0</v>
      </c>
      <c r="P65" s="630"/>
      <c r="Q65" s="633">
        <f t="shared" si="7"/>
        <v>0</v>
      </c>
      <c r="R65" s="323"/>
    </row>
    <row r="66" spans="1:20" ht="24.6">
      <c r="A66" s="319">
        <v>1</v>
      </c>
      <c r="B66" s="425" t="s">
        <v>98</v>
      </c>
      <c r="C66" s="319" t="s">
        <v>99</v>
      </c>
      <c r="D66" s="630">
        <v>0</v>
      </c>
      <c r="E66" s="361"/>
      <c r="F66" s="319"/>
      <c r="G66" s="630">
        <v>0</v>
      </c>
      <c r="H66" s="630">
        <v>0</v>
      </c>
      <c r="I66" s="630">
        <v>0</v>
      </c>
      <c r="J66" s="362" t="s">
        <v>172</v>
      </c>
      <c r="K66" s="363" t="s">
        <v>172</v>
      </c>
      <c r="L66" s="635">
        <v>0</v>
      </c>
      <c r="M66" s="319" t="s">
        <v>172</v>
      </c>
      <c r="N66" s="319" t="s">
        <v>172</v>
      </c>
      <c r="O66" s="365">
        <f t="shared" si="6"/>
        <v>0</v>
      </c>
      <c r="P66" s="633">
        <v>0</v>
      </c>
      <c r="Q66" s="633">
        <f t="shared" si="7"/>
        <v>0</v>
      </c>
      <c r="R66" s="323" t="s">
        <v>100</v>
      </c>
      <c r="T66" s="629" t="s">
        <v>101</v>
      </c>
    </row>
    <row r="67" spans="1:20" ht="24.6">
      <c r="A67" s="319"/>
      <c r="B67" s="417" t="s">
        <v>102</v>
      </c>
      <c r="C67" s="323"/>
      <c r="D67" s="323"/>
      <c r="E67" s="319"/>
      <c r="F67" s="319"/>
      <c r="G67" s="323">
        <v>0</v>
      </c>
      <c r="H67" s="630"/>
      <c r="I67" s="630">
        <v>0</v>
      </c>
      <c r="J67" s="362"/>
      <c r="K67" s="363"/>
      <c r="L67" s="635"/>
      <c r="M67" s="319"/>
      <c r="N67" s="319"/>
      <c r="O67" s="365">
        <f t="shared" si="6"/>
        <v>0</v>
      </c>
      <c r="P67" s="630"/>
      <c r="Q67" s="633">
        <f t="shared" si="7"/>
        <v>0</v>
      </c>
      <c r="R67" s="323"/>
    </row>
    <row r="68" spans="1:20" ht="20.25" customHeight="1">
      <c r="A68" s="319">
        <v>1</v>
      </c>
      <c r="B68" s="323" t="s">
        <v>36</v>
      </c>
      <c r="C68" s="323"/>
      <c r="D68" s="630">
        <v>0</v>
      </c>
      <c r="E68" s="319"/>
      <c r="F68" s="319"/>
      <c r="G68" s="630">
        <v>0</v>
      </c>
      <c r="H68" s="630">
        <v>0</v>
      </c>
      <c r="I68" s="630">
        <v>0</v>
      </c>
      <c r="J68" s="362"/>
      <c r="K68" s="423"/>
      <c r="L68" s="635"/>
      <c r="M68" s="319"/>
      <c r="N68" s="319"/>
      <c r="O68" s="365">
        <f t="shared" si="6"/>
        <v>0</v>
      </c>
      <c r="P68" s="633">
        <v>0</v>
      </c>
      <c r="Q68" s="633">
        <f t="shared" si="7"/>
        <v>0</v>
      </c>
      <c r="R68" s="323" t="s">
        <v>103</v>
      </c>
    </row>
    <row r="69" spans="1:20" ht="24.6">
      <c r="A69" s="319"/>
      <c r="B69" s="417" t="s">
        <v>104</v>
      </c>
      <c r="C69" s="323"/>
      <c r="D69" s="323"/>
      <c r="E69" s="319"/>
      <c r="F69" s="319"/>
      <c r="G69" s="630">
        <v>0</v>
      </c>
      <c r="H69" s="630"/>
      <c r="I69" s="630">
        <v>0</v>
      </c>
      <c r="J69" s="354"/>
      <c r="K69" s="354"/>
      <c r="L69" s="354"/>
      <c r="N69" s="295"/>
      <c r="O69" s="365">
        <f t="shared" si="6"/>
        <v>0</v>
      </c>
      <c r="P69" s="630"/>
      <c r="Q69" s="633">
        <f t="shared" si="7"/>
        <v>0</v>
      </c>
      <c r="R69" s="323"/>
    </row>
    <row r="70" spans="1:20" ht="24.6">
      <c r="A70" s="379">
        <v>1</v>
      </c>
      <c r="B70" s="380" t="s">
        <v>105</v>
      </c>
      <c r="C70" s="380"/>
      <c r="D70" s="634">
        <v>5000</v>
      </c>
      <c r="E70" s="426">
        <v>25294</v>
      </c>
      <c r="F70" s="379">
        <v>1</v>
      </c>
      <c r="G70" s="634">
        <v>5000</v>
      </c>
      <c r="H70" s="634">
        <v>0</v>
      </c>
      <c r="I70" s="634">
        <v>5000</v>
      </c>
      <c r="J70" s="362">
        <v>25341</v>
      </c>
      <c r="K70" s="363" t="s">
        <v>440</v>
      </c>
      <c r="L70" s="635">
        <v>5000</v>
      </c>
      <c r="M70" s="427">
        <v>25324</v>
      </c>
      <c r="N70" s="319">
        <v>1</v>
      </c>
      <c r="O70" s="365">
        <f>D70+G70-L70</f>
        <v>5000</v>
      </c>
      <c r="P70" s="633">
        <v>0</v>
      </c>
      <c r="Q70" s="633">
        <f>D70+I70-L70</f>
        <v>5000</v>
      </c>
      <c r="R70" s="323"/>
    </row>
    <row r="71" spans="1:20" ht="24.6">
      <c r="A71" s="379">
        <v>2</v>
      </c>
      <c r="B71" s="380" t="s">
        <v>105</v>
      </c>
      <c r="C71" s="380"/>
      <c r="D71" s="634">
        <v>4650</v>
      </c>
      <c r="E71" s="426" t="s">
        <v>441</v>
      </c>
      <c r="F71" s="379">
        <v>1</v>
      </c>
      <c r="G71" s="634">
        <v>4650</v>
      </c>
      <c r="H71" s="634">
        <v>0</v>
      </c>
      <c r="I71" s="634">
        <v>4650</v>
      </c>
      <c r="J71" s="362">
        <v>25341</v>
      </c>
      <c r="K71" s="363" t="s">
        <v>442</v>
      </c>
      <c r="L71" s="635">
        <v>4650</v>
      </c>
      <c r="M71" s="427">
        <v>25324</v>
      </c>
      <c r="N71" s="319">
        <v>1</v>
      </c>
      <c r="O71" s="365">
        <f>D71+G71-L71</f>
        <v>4650</v>
      </c>
      <c r="P71" s="633">
        <v>0</v>
      </c>
      <c r="Q71" s="633">
        <f>D71+I71-L71</f>
        <v>4650</v>
      </c>
      <c r="R71" s="323" t="s">
        <v>108</v>
      </c>
    </row>
    <row r="72" spans="1:20" ht="24.6">
      <c r="A72" s="379">
        <v>3</v>
      </c>
      <c r="B72" s="380" t="s">
        <v>109</v>
      </c>
      <c r="C72" s="428"/>
      <c r="D72" s="648">
        <v>3450</v>
      </c>
      <c r="E72" s="379"/>
      <c r="F72" s="379"/>
      <c r="G72" s="648">
        <v>0</v>
      </c>
      <c r="H72" s="648">
        <v>0</v>
      </c>
      <c r="I72" s="634">
        <v>0</v>
      </c>
      <c r="J72" s="362">
        <v>25328</v>
      </c>
      <c r="K72" s="363" t="s">
        <v>443</v>
      </c>
      <c r="L72" s="635">
        <v>3450</v>
      </c>
      <c r="M72" s="426"/>
      <c r="N72" s="319"/>
      <c r="O72" s="365">
        <f>D72+G72-L72</f>
        <v>0</v>
      </c>
      <c r="P72" s="633">
        <v>0</v>
      </c>
      <c r="Q72" s="633">
        <f>D72+I72-L72</f>
        <v>0</v>
      </c>
      <c r="R72" s="323" t="s">
        <v>111</v>
      </c>
    </row>
    <row r="73" spans="1:20" ht="24.6">
      <c r="A73" s="379">
        <v>4</v>
      </c>
      <c r="B73" s="380" t="s">
        <v>112</v>
      </c>
      <c r="C73" s="380"/>
      <c r="D73" s="634">
        <v>3795</v>
      </c>
      <c r="E73" s="379"/>
      <c r="F73" s="379"/>
      <c r="G73" s="634">
        <v>0</v>
      </c>
      <c r="H73" s="634">
        <v>0</v>
      </c>
      <c r="I73" s="634">
        <v>0</v>
      </c>
      <c r="J73" s="362">
        <v>25328</v>
      </c>
      <c r="K73" s="363" t="s">
        <v>444</v>
      </c>
      <c r="L73" s="635">
        <v>3795</v>
      </c>
      <c r="M73" s="319"/>
      <c r="N73" s="319"/>
      <c r="O73" s="365">
        <f>D73+G73-L73</f>
        <v>0</v>
      </c>
      <c r="P73" s="633">
        <v>0</v>
      </c>
      <c r="Q73" s="633">
        <f>D73+I73-L73</f>
        <v>0</v>
      </c>
      <c r="R73" s="430" t="s">
        <v>114</v>
      </c>
    </row>
    <row r="74" spans="1:20" ht="25.5" customHeight="1">
      <c r="A74" s="379">
        <v>5</v>
      </c>
      <c r="B74" s="649" t="s">
        <v>115</v>
      </c>
      <c r="C74" s="649"/>
      <c r="D74" s="650">
        <v>8000</v>
      </c>
      <c r="E74" s="380"/>
      <c r="F74" s="380"/>
      <c r="G74" s="433">
        <v>0</v>
      </c>
      <c r="H74" s="433">
        <v>0</v>
      </c>
      <c r="I74" s="433">
        <v>0</v>
      </c>
      <c r="J74" s="362">
        <v>25328</v>
      </c>
      <c r="K74" s="363" t="s">
        <v>445</v>
      </c>
      <c r="L74" s="635">
        <v>8000</v>
      </c>
      <c r="M74" s="319"/>
      <c r="N74" s="319"/>
      <c r="O74" s="365">
        <f>D74+G74-L74</f>
        <v>0</v>
      </c>
      <c r="P74" s="633">
        <v>0</v>
      </c>
      <c r="Q74" s="633">
        <f>D74+I74-L74</f>
        <v>0</v>
      </c>
    </row>
    <row r="75" spans="1:20" ht="25.2" thickBot="1">
      <c r="A75" s="323"/>
      <c r="B75" s="319" t="s">
        <v>26</v>
      </c>
      <c r="C75" s="369"/>
      <c r="D75" s="368">
        <f>SUM(D42:D74)</f>
        <v>34615</v>
      </c>
      <c r="E75" s="368"/>
      <c r="F75" s="368"/>
      <c r="G75" s="368">
        <f>SUM(G42:G74)</f>
        <v>12080</v>
      </c>
      <c r="H75" s="368">
        <f>SUM(H42:H74)</f>
        <v>0</v>
      </c>
      <c r="I75" s="368">
        <f>SUM(I42:I74)</f>
        <v>12080</v>
      </c>
      <c r="J75" s="372"/>
      <c r="K75" s="372"/>
      <c r="L75" s="372">
        <f>SUM(L42:L74)</f>
        <v>32185</v>
      </c>
      <c r="M75" s="368"/>
      <c r="N75" s="434"/>
      <c r="O75" s="407">
        <f>SUM(O42:O74)</f>
        <v>14510</v>
      </c>
      <c r="P75" s="368">
        <v>0</v>
      </c>
      <c r="Q75" s="651">
        <f>SUM(Q42:Q74)</f>
        <v>14510</v>
      </c>
      <c r="R75" s="323"/>
    </row>
    <row r="76" spans="1:20" ht="25.2" thickTop="1">
      <c r="A76" s="323"/>
      <c r="B76" s="417" t="s">
        <v>117</v>
      </c>
      <c r="C76" s="340"/>
      <c r="D76" s="340"/>
      <c r="E76" s="322"/>
      <c r="F76" s="322"/>
      <c r="G76" s="340"/>
      <c r="H76" s="340"/>
      <c r="I76" s="340"/>
      <c r="J76" s="383"/>
      <c r="K76" s="384"/>
      <c r="L76" s="652"/>
      <c r="M76" s="322"/>
      <c r="N76" s="322"/>
      <c r="O76" s="365">
        <v>0</v>
      </c>
      <c r="P76" s="340"/>
      <c r="Q76" s="653">
        <v>0</v>
      </c>
      <c r="R76" s="340"/>
    </row>
    <row r="77" spans="1:20" ht="24.6">
      <c r="A77" s="323"/>
      <c r="B77" s="417" t="s">
        <v>118</v>
      </c>
      <c r="C77" s="340"/>
      <c r="D77" s="340"/>
      <c r="E77" s="319"/>
      <c r="F77" s="322"/>
      <c r="G77" s="340"/>
      <c r="H77" s="340"/>
      <c r="I77" s="340"/>
      <c r="J77" s="383"/>
      <c r="K77" s="384"/>
      <c r="L77" s="652"/>
      <c r="M77" s="322"/>
      <c r="N77" s="322"/>
      <c r="O77" s="365">
        <v>0</v>
      </c>
      <c r="P77" s="340"/>
      <c r="Q77" s="633">
        <v>0</v>
      </c>
      <c r="R77" s="323"/>
    </row>
    <row r="78" spans="1:20" ht="24.6">
      <c r="A78" s="319">
        <v>1</v>
      </c>
      <c r="B78" s="418" t="s">
        <v>119</v>
      </c>
      <c r="C78" s="340"/>
      <c r="D78" s="654">
        <v>0</v>
      </c>
      <c r="E78" s="319"/>
      <c r="F78" s="322"/>
      <c r="G78" s="630">
        <v>0</v>
      </c>
      <c r="H78" s="630">
        <v>0</v>
      </c>
      <c r="I78" s="630">
        <v>0</v>
      </c>
      <c r="J78" s="320"/>
      <c r="K78" s="310"/>
      <c r="L78" s="642"/>
      <c r="M78" s="418"/>
      <c r="N78" s="322"/>
      <c r="O78" s="365">
        <v>0</v>
      </c>
      <c r="P78" s="439">
        <v>0</v>
      </c>
      <c r="Q78" s="633">
        <v>0</v>
      </c>
      <c r="R78" s="323" t="s">
        <v>120</v>
      </c>
    </row>
    <row r="79" spans="1:20" ht="24.6">
      <c r="A79" s="319"/>
      <c r="B79" s="323" t="s">
        <v>120</v>
      </c>
      <c r="C79" s="340"/>
      <c r="D79" s="654"/>
      <c r="E79" s="319"/>
      <c r="F79" s="322"/>
      <c r="G79" s="630">
        <v>0</v>
      </c>
      <c r="H79" s="630"/>
      <c r="I79" s="630">
        <v>0</v>
      </c>
      <c r="J79" s="320"/>
      <c r="K79" s="310"/>
      <c r="L79" s="642"/>
      <c r="M79" s="319"/>
      <c r="N79" s="322"/>
      <c r="O79" s="365">
        <v>0</v>
      </c>
      <c r="P79" s="340"/>
      <c r="Q79" s="633">
        <v>0</v>
      </c>
      <c r="R79" s="323"/>
    </row>
    <row r="80" spans="1:20" ht="24.6">
      <c r="A80" s="319">
        <v>2</v>
      </c>
      <c r="B80" s="418" t="s">
        <v>121</v>
      </c>
      <c r="C80" s="340"/>
      <c r="D80" s="654">
        <v>6000</v>
      </c>
      <c r="E80" s="319"/>
      <c r="F80" s="319"/>
      <c r="G80" s="630">
        <v>0</v>
      </c>
      <c r="H80" s="630">
        <v>0</v>
      </c>
      <c r="I80" s="630">
        <v>0</v>
      </c>
      <c r="J80" s="362">
        <v>25328</v>
      </c>
      <c r="K80" s="363" t="s">
        <v>446</v>
      </c>
      <c r="L80" s="635">
        <v>6000</v>
      </c>
      <c r="M80" s="319"/>
      <c r="N80" s="319"/>
      <c r="O80" s="365">
        <v>0</v>
      </c>
      <c r="P80" s="633">
        <v>0</v>
      </c>
      <c r="Q80" s="633">
        <v>0</v>
      </c>
      <c r="R80" s="323"/>
    </row>
    <row r="81" spans="1:18" ht="24.6">
      <c r="A81" s="323"/>
      <c r="B81" s="339" t="s">
        <v>123</v>
      </c>
      <c r="C81" s="340"/>
      <c r="D81" s="340"/>
      <c r="E81" s="322"/>
      <c r="F81" s="322"/>
      <c r="G81" s="340">
        <v>0</v>
      </c>
      <c r="H81" s="340"/>
      <c r="I81" s="630">
        <v>0</v>
      </c>
      <c r="J81" s="440"/>
      <c r="K81" s="441"/>
      <c r="L81" s="655"/>
      <c r="M81" s="322"/>
      <c r="N81" s="322"/>
      <c r="O81" s="365">
        <v>0</v>
      </c>
      <c r="P81" s="340"/>
      <c r="Q81" s="633">
        <v>0</v>
      </c>
      <c r="R81" s="323"/>
    </row>
    <row r="82" spans="1:18" ht="24.6">
      <c r="A82" s="319">
        <v>1</v>
      </c>
      <c r="B82" s="323" t="s">
        <v>124</v>
      </c>
      <c r="C82" s="323"/>
      <c r="D82" s="630">
        <v>600</v>
      </c>
      <c r="E82" s="319"/>
      <c r="F82" s="319"/>
      <c r="G82" s="630">
        <v>0</v>
      </c>
      <c r="H82" s="630">
        <v>0</v>
      </c>
      <c r="I82" s="630">
        <v>0</v>
      </c>
      <c r="J82" s="362" t="s">
        <v>447</v>
      </c>
      <c r="K82" s="363" t="s">
        <v>448</v>
      </c>
      <c r="L82" s="635">
        <v>600</v>
      </c>
      <c r="M82" s="319"/>
      <c r="N82" s="319"/>
      <c r="O82" s="365">
        <v>0</v>
      </c>
      <c r="P82" s="633">
        <v>0</v>
      </c>
      <c r="Q82" s="633">
        <v>0</v>
      </c>
      <c r="R82" s="323"/>
    </row>
    <row r="83" spans="1:18" ht="24.6">
      <c r="A83" s="319">
        <v>2</v>
      </c>
      <c r="B83" s="323" t="s">
        <v>40</v>
      </c>
      <c r="C83" s="323"/>
      <c r="D83" s="630">
        <v>0</v>
      </c>
      <c r="E83" s="319"/>
      <c r="F83" s="319"/>
      <c r="G83" s="630">
        <v>0</v>
      </c>
      <c r="H83" s="630">
        <v>0</v>
      </c>
      <c r="I83" s="630">
        <v>0</v>
      </c>
      <c r="J83" s="362"/>
      <c r="K83" s="363"/>
      <c r="L83" s="635"/>
      <c r="M83" s="319"/>
      <c r="N83" s="319"/>
      <c r="O83" s="365">
        <v>0</v>
      </c>
      <c r="P83" s="633">
        <v>0</v>
      </c>
      <c r="Q83" s="633">
        <v>0</v>
      </c>
      <c r="R83" s="323" t="s">
        <v>126</v>
      </c>
    </row>
    <row r="84" spans="1:18" ht="24.6">
      <c r="A84" s="319"/>
      <c r="B84" s="424" t="s">
        <v>127</v>
      </c>
      <c r="C84" s="323"/>
      <c r="D84" s="630"/>
      <c r="E84" s="319"/>
      <c r="F84" s="319"/>
      <c r="G84" s="630">
        <v>0</v>
      </c>
      <c r="H84" s="323"/>
      <c r="I84" s="630">
        <v>0</v>
      </c>
      <c r="J84" s="320"/>
      <c r="K84" s="310"/>
      <c r="L84" s="642"/>
      <c r="M84" s="319"/>
      <c r="N84" s="319"/>
      <c r="O84" s="365">
        <v>0</v>
      </c>
      <c r="P84" s="630"/>
      <c r="Q84" s="633">
        <v>0</v>
      </c>
      <c r="R84" s="323"/>
    </row>
    <row r="85" spans="1:18" ht="24.6">
      <c r="A85" s="319">
        <v>1</v>
      </c>
      <c r="B85" s="418" t="s">
        <v>128</v>
      </c>
      <c r="C85" s="323"/>
      <c r="D85" s="630"/>
      <c r="E85" s="319"/>
      <c r="F85" s="319"/>
      <c r="G85" s="630">
        <v>0</v>
      </c>
      <c r="H85" s="630">
        <v>0</v>
      </c>
      <c r="I85" s="630">
        <v>0</v>
      </c>
      <c r="J85" s="320"/>
      <c r="K85" s="310"/>
      <c r="L85" s="642"/>
      <c r="M85" s="319"/>
      <c r="N85" s="319"/>
      <c r="O85" s="365">
        <v>0</v>
      </c>
      <c r="P85" s="633">
        <v>0</v>
      </c>
      <c r="Q85" s="633">
        <v>0</v>
      </c>
      <c r="R85" s="323" t="s">
        <v>129</v>
      </c>
    </row>
    <row r="86" spans="1:18" ht="24.6">
      <c r="A86" s="379">
        <v>2</v>
      </c>
      <c r="B86" s="380" t="s">
        <v>130</v>
      </c>
      <c r="C86" s="380"/>
      <c r="D86" s="634">
        <v>550</v>
      </c>
      <c r="E86" s="379"/>
      <c r="F86" s="379"/>
      <c r="G86" s="634">
        <v>0</v>
      </c>
      <c r="H86" s="634">
        <v>0</v>
      </c>
      <c r="I86" s="634">
        <v>0</v>
      </c>
      <c r="J86" s="362">
        <v>25353</v>
      </c>
      <c r="K86" s="363" t="s">
        <v>422</v>
      </c>
      <c r="L86" s="635">
        <v>550</v>
      </c>
      <c r="M86" s="319"/>
      <c r="N86" s="319"/>
      <c r="O86" s="365">
        <v>0</v>
      </c>
      <c r="P86" s="633">
        <v>0</v>
      </c>
      <c r="Q86" s="633">
        <v>0</v>
      </c>
      <c r="R86" s="323"/>
    </row>
    <row r="87" spans="1:18" ht="24.6">
      <c r="A87" s="319" t="s">
        <v>370</v>
      </c>
      <c r="B87" s="323" t="s">
        <v>225</v>
      </c>
      <c r="C87" s="323"/>
      <c r="D87" s="630"/>
      <c r="E87" s="319"/>
      <c r="F87" s="319"/>
      <c r="G87" s="630"/>
      <c r="H87" s="630"/>
      <c r="I87" s="630"/>
      <c r="J87" s="362"/>
      <c r="K87" s="363"/>
      <c r="L87" s="635"/>
      <c r="M87" s="319"/>
      <c r="N87" s="319"/>
      <c r="O87" s="365"/>
      <c r="P87" s="653"/>
      <c r="Q87" s="653"/>
      <c r="R87" s="323"/>
    </row>
    <row r="88" spans="1:18" ht="24.6">
      <c r="A88" s="319">
        <v>4</v>
      </c>
      <c r="B88" s="323" t="s">
        <v>132</v>
      </c>
      <c r="C88" s="323"/>
      <c r="D88" s="630">
        <v>1100</v>
      </c>
      <c r="E88" s="319" t="s">
        <v>172</v>
      </c>
      <c r="F88" s="319" t="s">
        <v>172</v>
      </c>
      <c r="G88" s="647">
        <v>0</v>
      </c>
      <c r="H88" s="630"/>
      <c r="I88" s="630">
        <v>0</v>
      </c>
      <c r="J88" s="362">
        <v>25341</v>
      </c>
      <c r="K88" s="363" t="s">
        <v>449</v>
      </c>
      <c r="L88" s="635">
        <v>1100</v>
      </c>
      <c r="M88" s="319" t="s">
        <v>172</v>
      </c>
      <c r="N88" s="319" t="s">
        <v>172</v>
      </c>
      <c r="O88" s="365">
        <f>SUM(D88+I88-L88)</f>
        <v>0</v>
      </c>
      <c r="P88" s="365"/>
      <c r="Q88" s="365">
        <f>SUM(D88+I88-L88)</f>
        <v>0</v>
      </c>
      <c r="R88" s="323"/>
    </row>
    <row r="89" spans="1:18" ht="24.6">
      <c r="A89" s="379">
        <v>5</v>
      </c>
      <c r="B89" s="380" t="s">
        <v>134</v>
      </c>
      <c r="C89" s="380"/>
      <c r="D89" s="634">
        <v>1650</v>
      </c>
      <c r="E89" s="379"/>
      <c r="F89" s="379"/>
      <c r="G89" s="637" t="s">
        <v>425</v>
      </c>
      <c r="H89" s="634">
        <v>0</v>
      </c>
      <c r="I89" s="634">
        <v>0</v>
      </c>
      <c r="J89" s="362">
        <v>25353</v>
      </c>
      <c r="K89" s="363" t="s">
        <v>450</v>
      </c>
      <c r="L89" s="635">
        <v>1650</v>
      </c>
      <c r="M89" s="319"/>
      <c r="N89" s="319"/>
      <c r="O89" s="365">
        <f t="shared" ref="O89:O93" si="8">SUM(D89+I89-L89)</f>
        <v>0</v>
      </c>
      <c r="P89" s="633">
        <v>0</v>
      </c>
      <c r="Q89" s="365">
        <f t="shared" ref="Q89:Q92" si="9">SUM(D89+I89-L89)</f>
        <v>0</v>
      </c>
      <c r="R89" s="323"/>
    </row>
    <row r="90" spans="1:18" ht="24.6">
      <c r="A90" s="319"/>
      <c r="B90" s="417" t="s">
        <v>136</v>
      </c>
      <c r="C90" s="323"/>
      <c r="D90" s="630"/>
      <c r="E90" s="319"/>
      <c r="F90" s="319"/>
      <c r="G90" s="647">
        <v>0</v>
      </c>
      <c r="H90" s="323"/>
      <c r="I90" s="630">
        <v>0</v>
      </c>
      <c r="J90" s="362"/>
      <c r="K90" s="363"/>
      <c r="L90" s="635"/>
      <c r="M90" s="319"/>
      <c r="N90" s="319"/>
      <c r="O90" s="365">
        <f t="shared" si="8"/>
        <v>0</v>
      </c>
      <c r="P90" s="630"/>
      <c r="Q90" s="365">
        <f t="shared" si="9"/>
        <v>0</v>
      </c>
      <c r="R90" s="323"/>
    </row>
    <row r="91" spans="1:18" ht="24.6">
      <c r="A91" s="319">
        <v>1</v>
      </c>
      <c r="B91" s="323" t="s">
        <v>137</v>
      </c>
      <c r="C91" s="323"/>
      <c r="D91" s="630">
        <v>5000</v>
      </c>
      <c r="E91" s="319" t="s">
        <v>172</v>
      </c>
      <c r="F91" s="319" t="s">
        <v>172</v>
      </c>
      <c r="G91" s="647">
        <v>0</v>
      </c>
      <c r="H91" s="630">
        <v>0</v>
      </c>
      <c r="I91" s="630">
        <v>0</v>
      </c>
      <c r="J91" s="362">
        <v>25330</v>
      </c>
      <c r="K91" s="363" t="s">
        <v>451</v>
      </c>
      <c r="L91" s="635">
        <v>5000</v>
      </c>
      <c r="M91" s="361" t="s">
        <v>172</v>
      </c>
      <c r="N91" s="319" t="s">
        <v>172</v>
      </c>
      <c r="O91" s="365">
        <f t="shared" si="8"/>
        <v>0</v>
      </c>
      <c r="P91" s="633">
        <v>0</v>
      </c>
      <c r="Q91" s="365">
        <f t="shared" si="9"/>
        <v>0</v>
      </c>
      <c r="R91" s="323"/>
    </row>
    <row r="92" spans="1:18" ht="24.6">
      <c r="A92" s="319"/>
      <c r="B92" s="417" t="s">
        <v>140</v>
      </c>
      <c r="C92" s="323"/>
      <c r="D92" s="630"/>
      <c r="E92" s="319"/>
      <c r="F92" s="319"/>
      <c r="G92" s="630">
        <v>0</v>
      </c>
      <c r="H92" s="630"/>
      <c r="I92" s="630">
        <v>0</v>
      </c>
      <c r="J92" s="362"/>
      <c r="K92" s="423"/>
      <c r="L92" s="635"/>
      <c r="M92" s="319"/>
      <c r="N92" s="319"/>
      <c r="O92" s="365">
        <f t="shared" si="8"/>
        <v>0</v>
      </c>
      <c r="P92" s="630"/>
      <c r="Q92" s="365">
        <f t="shared" si="9"/>
        <v>0</v>
      </c>
      <c r="R92" s="323"/>
    </row>
    <row r="93" spans="1:18" ht="24.6">
      <c r="A93" s="319">
        <v>1</v>
      </c>
      <c r="B93" s="323" t="s">
        <v>141</v>
      </c>
      <c r="C93" s="323"/>
      <c r="D93" s="630">
        <v>0</v>
      </c>
      <c r="E93" s="319"/>
      <c r="F93" s="319"/>
      <c r="G93" s="630">
        <v>0</v>
      </c>
      <c r="H93" s="630">
        <v>0</v>
      </c>
      <c r="I93" s="630">
        <v>0</v>
      </c>
      <c r="J93" s="362"/>
      <c r="K93" s="363"/>
      <c r="L93" s="635"/>
      <c r="M93" s="319"/>
      <c r="N93" s="319"/>
      <c r="O93" s="365">
        <f t="shared" si="8"/>
        <v>0</v>
      </c>
      <c r="P93" s="633">
        <v>0</v>
      </c>
      <c r="Q93" s="633">
        <v>0</v>
      </c>
      <c r="R93" s="323"/>
    </row>
    <row r="94" spans="1:18" ht="24.6">
      <c r="A94" s="319"/>
      <c r="B94" s="417" t="s">
        <v>142</v>
      </c>
      <c r="C94" s="323"/>
      <c r="D94" s="630"/>
      <c r="E94" s="319"/>
      <c r="F94" s="319"/>
      <c r="G94" s="630">
        <v>0</v>
      </c>
      <c r="H94" s="323"/>
      <c r="I94" s="630">
        <v>0</v>
      </c>
      <c r="J94" s="362"/>
      <c r="K94" s="363"/>
      <c r="L94" s="635"/>
      <c r="M94" s="319"/>
      <c r="N94" s="319"/>
      <c r="O94" s="365">
        <v>0</v>
      </c>
      <c r="P94" s="630"/>
      <c r="Q94" s="633">
        <v>0</v>
      </c>
      <c r="R94" s="323"/>
    </row>
    <row r="95" spans="1:18" ht="24.6">
      <c r="A95" s="319">
        <v>1</v>
      </c>
      <c r="B95" s="323" t="s">
        <v>143</v>
      </c>
      <c r="C95" s="323"/>
      <c r="D95" s="630">
        <v>0</v>
      </c>
      <c r="E95" s="319"/>
      <c r="F95" s="319"/>
      <c r="G95" s="630">
        <v>0</v>
      </c>
      <c r="H95" s="630">
        <v>0</v>
      </c>
      <c r="I95" s="630">
        <v>0</v>
      </c>
      <c r="J95" s="362"/>
      <c r="K95" s="363"/>
      <c r="L95" s="635"/>
      <c r="M95" s="319"/>
      <c r="N95" s="319"/>
      <c r="O95" s="365">
        <v>0</v>
      </c>
      <c r="P95" s="633">
        <v>0</v>
      </c>
      <c r="Q95" s="633">
        <v>0</v>
      </c>
      <c r="R95" s="323" t="s">
        <v>64</v>
      </c>
    </row>
    <row r="96" spans="1:18" ht="24.6">
      <c r="A96" s="319">
        <v>2</v>
      </c>
      <c r="B96" s="323" t="s">
        <v>144</v>
      </c>
      <c r="C96" s="323"/>
      <c r="D96" s="630">
        <v>0</v>
      </c>
      <c r="E96" s="319"/>
      <c r="F96" s="319"/>
      <c r="G96" s="630">
        <v>0</v>
      </c>
      <c r="H96" s="630">
        <v>0</v>
      </c>
      <c r="I96" s="630">
        <v>0</v>
      </c>
      <c r="J96" s="656"/>
      <c r="K96" s="657"/>
      <c r="L96" s="658"/>
      <c r="M96" s="319"/>
      <c r="N96" s="319"/>
      <c r="O96" s="365">
        <v>0</v>
      </c>
      <c r="P96" s="633">
        <v>0</v>
      </c>
      <c r="Q96" s="633">
        <v>0</v>
      </c>
      <c r="R96" s="323" t="s">
        <v>145</v>
      </c>
    </row>
    <row r="97" spans="1:18" ht="24.6">
      <c r="A97" s="319">
        <v>3</v>
      </c>
      <c r="B97" s="323" t="s">
        <v>146</v>
      </c>
      <c r="C97" s="323"/>
      <c r="D97" s="630">
        <v>0</v>
      </c>
      <c r="E97" s="319"/>
      <c r="F97" s="319"/>
      <c r="G97" s="632">
        <v>0</v>
      </c>
      <c r="H97" s="630">
        <v>0</v>
      </c>
      <c r="I97" s="630">
        <v>0</v>
      </c>
      <c r="J97" s="362"/>
      <c r="K97" s="363"/>
      <c r="L97" s="635"/>
      <c r="M97" s="319"/>
      <c r="N97" s="319"/>
      <c r="O97" s="365">
        <v>0</v>
      </c>
      <c r="P97" s="633">
        <v>0</v>
      </c>
      <c r="Q97" s="633">
        <v>0</v>
      </c>
      <c r="R97" s="323"/>
    </row>
    <row r="98" spans="1:18" ht="24.6">
      <c r="A98" s="319">
        <v>4</v>
      </c>
      <c r="B98" s="323" t="s">
        <v>147</v>
      </c>
      <c r="C98" s="323"/>
      <c r="D98" s="630">
        <v>0</v>
      </c>
      <c r="E98" s="319"/>
      <c r="F98" s="319"/>
      <c r="G98" s="365">
        <v>0</v>
      </c>
      <c r="H98" s="633">
        <v>0</v>
      </c>
      <c r="I98" s="633">
        <v>0</v>
      </c>
      <c r="J98" s="362"/>
      <c r="K98" s="363"/>
      <c r="L98" s="635"/>
      <c r="M98" s="319"/>
      <c r="N98" s="319"/>
      <c r="O98" s="365">
        <v>0</v>
      </c>
      <c r="P98" s="633">
        <v>0</v>
      </c>
      <c r="Q98" s="633">
        <v>0</v>
      </c>
      <c r="R98" s="323" t="s">
        <v>148</v>
      </c>
    </row>
    <row r="99" spans="1:18" ht="24.6">
      <c r="A99" s="319">
        <v>5</v>
      </c>
      <c r="B99" s="323" t="s">
        <v>149</v>
      </c>
      <c r="C99" s="323"/>
      <c r="D99" s="630">
        <v>0</v>
      </c>
      <c r="E99" s="319"/>
      <c r="F99" s="319"/>
      <c r="G99" s="365">
        <v>0</v>
      </c>
      <c r="H99" s="633">
        <v>0</v>
      </c>
      <c r="I99" s="633">
        <v>0</v>
      </c>
      <c r="J99" s="362"/>
      <c r="K99" s="363"/>
      <c r="L99" s="635"/>
      <c r="M99" s="319"/>
      <c r="N99" s="319"/>
      <c r="O99" s="365">
        <v>0</v>
      </c>
      <c r="P99" s="633">
        <v>0</v>
      </c>
      <c r="Q99" s="633">
        <v>0</v>
      </c>
      <c r="R99" s="323" t="s">
        <v>150</v>
      </c>
    </row>
    <row r="100" spans="1:18" ht="24.6">
      <c r="A100" s="319">
        <v>6</v>
      </c>
      <c r="B100" s="323" t="s">
        <v>151</v>
      </c>
      <c r="C100" s="323"/>
      <c r="D100" s="630"/>
      <c r="E100" s="319"/>
      <c r="F100" s="319"/>
      <c r="G100" s="365">
        <v>0</v>
      </c>
      <c r="H100" s="633"/>
      <c r="I100" s="633">
        <v>0</v>
      </c>
      <c r="J100" s="362"/>
      <c r="K100" s="363"/>
      <c r="L100" s="635"/>
      <c r="M100" s="319"/>
      <c r="N100" s="319"/>
      <c r="O100" s="365">
        <v>0</v>
      </c>
      <c r="P100" s="633"/>
      <c r="Q100" s="633">
        <v>0</v>
      </c>
      <c r="R100" s="323" t="s">
        <v>152</v>
      </c>
    </row>
    <row r="101" spans="1:18" ht="24.6">
      <c r="A101" s="319">
        <v>7</v>
      </c>
      <c r="B101" s="323" t="s">
        <v>153</v>
      </c>
      <c r="C101" s="323"/>
      <c r="D101" s="630"/>
      <c r="E101" s="319"/>
      <c r="F101" s="319"/>
      <c r="G101" s="365">
        <v>0</v>
      </c>
      <c r="H101" s="633"/>
      <c r="I101" s="633">
        <v>0</v>
      </c>
      <c r="J101" s="362"/>
      <c r="K101" s="363"/>
      <c r="L101" s="635"/>
      <c r="M101" s="319"/>
      <c r="N101" s="319"/>
      <c r="O101" s="365">
        <v>0</v>
      </c>
      <c r="P101" s="633"/>
      <c r="Q101" s="633">
        <v>0</v>
      </c>
      <c r="R101" s="323" t="s">
        <v>64</v>
      </c>
    </row>
    <row r="102" spans="1:18" ht="24.6">
      <c r="A102" s="319">
        <v>8</v>
      </c>
      <c r="B102" s="323" t="s">
        <v>154</v>
      </c>
      <c r="C102" s="323"/>
      <c r="D102" s="630"/>
      <c r="E102" s="319"/>
      <c r="F102" s="319"/>
      <c r="G102" s="365">
        <v>0</v>
      </c>
      <c r="H102" s="633"/>
      <c r="I102" s="633">
        <v>0</v>
      </c>
      <c r="J102" s="362"/>
      <c r="K102" s="363"/>
      <c r="L102" s="635"/>
      <c r="M102" s="319"/>
      <c r="N102" s="319"/>
      <c r="O102" s="365">
        <v>0</v>
      </c>
      <c r="P102" s="633"/>
      <c r="Q102" s="633">
        <v>0</v>
      </c>
      <c r="R102" s="323" t="s">
        <v>155</v>
      </c>
    </row>
    <row r="103" spans="1:18" ht="24.6">
      <c r="A103" s="319">
        <v>9</v>
      </c>
      <c r="B103" s="323" t="s">
        <v>156</v>
      </c>
      <c r="C103" s="323"/>
      <c r="D103" s="630"/>
      <c r="E103" s="319"/>
      <c r="F103" s="319"/>
      <c r="G103" s="365">
        <v>0</v>
      </c>
      <c r="H103" s="633"/>
      <c r="I103" s="633">
        <v>0</v>
      </c>
      <c r="J103" s="362"/>
      <c r="K103" s="363"/>
      <c r="L103" s="635"/>
      <c r="M103" s="319"/>
      <c r="N103" s="319"/>
      <c r="O103" s="365">
        <v>0</v>
      </c>
      <c r="P103" s="633"/>
      <c r="Q103" s="633">
        <v>0</v>
      </c>
      <c r="R103" s="323" t="s">
        <v>64</v>
      </c>
    </row>
    <row r="104" spans="1:18" ht="24.6">
      <c r="A104" s="319">
        <v>10</v>
      </c>
      <c r="B104" s="323" t="s">
        <v>157</v>
      </c>
      <c r="C104" s="323"/>
      <c r="D104" s="630"/>
      <c r="E104" s="319"/>
      <c r="F104" s="319"/>
      <c r="G104" s="365">
        <v>0</v>
      </c>
      <c r="H104" s="633"/>
      <c r="I104" s="633">
        <v>0</v>
      </c>
      <c r="J104" s="362"/>
      <c r="K104" s="363"/>
      <c r="L104" s="635"/>
      <c r="M104" s="319"/>
      <c r="N104" s="319"/>
      <c r="O104" s="365">
        <v>0</v>
      </c>
      <c r="P104" s="633"/>
      <c r="Q104" s="633">
        <v>0</v>
      </c>
      <c r="R104" s="323" t="s">
        <v>158</v>
      </c>
    </row>
    <row r="105" spans="1:18" ht="24.6">
      <c r="A105" s="319">
        <v>11</v>
      </c>
      <c r="B105" s="446" t="s">
        <v>159</v>
      </c>
      <c r="C105" s="323"/>
      <c r="D105" s="630">
        <v>0</v>
      </c>
      <c r="E105" s="319"/>
      <c r="F105" s="319"/>
      <c r="G105" s="365">
        <v>0</v>
      </c>
      <c r="H105" s="633">
        <v>0</v>
      </c>
      <c r="I105" s="633">
        <v>0</v>
      </c>
      <c r="J105" s="362"/>
      <c r="K105" s="635"/>
      <c r="L105" s="635"/>
      <c r="M105" s="319"/>
      <c r="N105" s="319"/>
      <c r="O105" s="365">
        <v>0</v>
      </c>
      <c r="P105" s="633">
        <v>0</v>
      </c>
      <c r="Q105" s="633">
        <v>0</v>
      </c>
      <c r="R105" s="323"/>
    </row>
    <row r="106" spans="1:18" ht="24.6">
      <c r="A106" s="319">
        <v>12</v>
      </c>
      <c r="B106" s="323" t="s">
        <v>160</v>
      </c>
      <c r="C106" s="323"/>
      <c r="D106" s="630">
        <v>0</v>
      </c>
      <c r="E106" s="319"/>
      <c r="F106" s="319"/>
      <c r="G106" s="365">
        <v>0</v>
      </c>
      <c r="H106" s="633">
        <v>0</v>
      </c>
      <c r="I106" s="633">
        <v>0</v>
      </c>
      <c r="J106" s="362"/>
      <c r="K106" s="363"/>
      <c r="L106" s="635"/>
      <c r="M106" s="319"/>
      <c r="N106" s="319"/>
      <c r="O106" s="365">
        <v>0</v>
      </c>
      <c r="P106" s="633">
        <v>0</v>
      </c>
      <c r="Q106" s="633">
        <v>0</v>
      </c>
      <c r="R106" s="447" t="s">
        <v>161</v>
      </c>
    </row>
    <row r="107" spans="1:18" ht="24.6">
      <c r="A107" s="319">
        <v>13</v>
      </c>
      <c r="B107" s="446" t="s">
        <v>162</v>
      </c>
      <c r="C107" s="323"/>
      <c r="D107" s="630">
        <v>0</v>
      </c>
      <c r="E107" s="319"/>
      <c r="F107" s="319"/>
      <c r="G107" s="365">
        <v>0</v>
      </c>
      <c r="H107" s="633">
        <v>0</v>
      </c>
      <c r="I107" s="633">
        <v>0</v>
      </c>
      <c r="J107" s="362"/>
      <c r="K107" s="363"/>
      <c r="L107" s="659"/>
      <c r="M107" s="319"/>
      <c r="N107" s="319"/>
      <c r="O107" s="365">
        <v>0</v>
      </c>
      <c r="P107" s="633">
        <v>0</v>
      </c>
      <c r="Q107" s="633">
        <v>0</v>
      </c>
      <c r="R107" s="323" t="s">
        <v>163</v>
      </c>
    </row>
    <row r="108" spans="1:18" ht="24.6">
      <c r="A108" s="319">
        <v>14</v>
      </c>
      <c r="B108" s="446" t="s">
        <v>164</v>
      </c>
      <c r="C108" s="323"/>
      <c r="D108" s="630">
        <v>0</v>
      </c>
      <c r="E108" s="319"/>
      <c r="F108" s="319"/>
      <c r="G108" s="365">
        <v>0</v>
      </c>
      <c r="H108" s="633">
        <v>0</v>
      </c>
      <c r="I108" s="633">
        <v>0</v>
      </c>
      <c r="J108" s="362"/>
      <c r="K108" s="363"/>
      <c r="L108" s="659"/>
      <c r="M108" s="319"/>
      <c r="N108" s="319"/>
      <c r="O108" s="365">
        <v>0</v>
      </c>
      <c r="P108" s="633">
        <v>0</v>
      </c>
      <c r="Q108" s="633">
        <v>0</v>
      </c>
      <c r="R108" s="323" t="s">
        <v>165</v>
      </c>
    </row>
    <row r="109" spans="1:18" ht="24.6">
      <c r="A109" s="319">
        <v>15</v>
      </c>
      <c r="B109" s="446" t="s">
        <v>166</v>
      </c>
      <c r="C109" s="323"/>
      <c r="D109" s="630">
        <v>0</v>
      </c>
      <c r="E109" s="319"/>
      <c r="F109" s="319"/>
      <c r="G109" s="365">
        <v>0</v>
      </c>
      <c r="H109" s="633">
        <v>0</v>
      </c>
      <c r="I109" s="633">
        <v>0</v>
      </c>
      <c r="J109" s="362"/>
      <c r="K109" s="363"/>
      <c r="L109" s="659"/>
      <c r="M109" s="319"/>
      <c r="N109" s="319"/>
      <c r="O109" s="365">
        <v>0</v>
      </c>
      <c r="P109" s="633">
        <v>0</v>
      </c>
      <c r="Q109" s="633">
        <v>0</v>
      </c>
      <c r="R109" s="323" t="s">
        <v>64</v>
      </c>
    </row>
    <row r="110" spans="1:18" ht="18.75" customHeight="1">
      <c r="A110" s="297">
        <v>16</v>
      </c>
      <c r="B110" s="449" t="s">
        <v>167</v>
      </c>
      <c r="C110" s="323"/>
      <c r="D110" s="630">
        <v>0</v>
      </c>
      <c r="E110" s="319"/>
      <c r="F110" s="319"/>
      <c r="G110" s="365">
        <v>0</v>
      </c>
      <c r="H110" s="633">
        <v>0</v>
      </c>
      <c r="I110" s="633">
        <v>0</v>
      </c>
      <c r="J110" s="362"/>
      <c r="K110" s="363"/>
      <c r="L110" s="659"/>
      <c r="M110" s="319"/>
      <c r="N110" s="319"/>
      <c r="O110" s="365">
        <v>0</v>
      </c>
      <c r="P110" s="633">
        <v>0</v>
      </c>
      <c r="Q110" s="633">
        <v>0</v>
      </c>
      <c r="R110" s="323" t="s">
        <v>145</v>
      </c>
    </row>
    <row r="111" spans="1:18" ht="25.2" thickBot="1">
      <c r="A111" s="323"/>
      <c r="B111" s="319" t="s">
        <v>26</v>
      </c>
      <c r="C111" s="357"/>
      <c r="D111" s="356">
        <f>SUM(D78:D110)</f>
        <v>14900</v>
      </c>
      <c r="E111" s="356"/>
      <c r="F111" s="356"/>
      <c r="G111" s="356">
        <f>SUM(G78:G110)</f>
        <v>0</v>
      </c>
      <c r="H111" s="356">
        <f>SUM(H78:H110)</f>
        <v>0</v>
      </c>
      <c r="I111" s="356">
        <f>SUM(I78:I110)</f>
        <v>0</v>
      </c>
      <c r="J111" s="360"/>
      <c r="K111" s="360"/>
      <c r="L111" s="360">
        <f>SUM(L78:L110)</f>
        <v>14900</v>
      </c>
      <c r="M111" s="356"/>
      <c r="N111" s="406"/>
      <c r="O111" s="407">
        <f>SUM(O78:O110)</f>
        <v>0</v>
      </c>
      <c r="P111" s="407">
        <f>SUM(P78:P110)</f>
        <v>0</v>
      </c>
      <c r="Q111" s="407">
        <f>SUM(Q78:Q110)</f>
        <v>0</v>
      </c>
      <c r="R111" s="323"/>
    </row>
    <row r="112" spans="1:18" ht="25.2" thickTop="1">
      <c r="A112" s="323"/>
      <c r="B112" s="319"/>
      <c r="C112" s="340"/>
      <c r="D112" s="350"/>
      <c r="E112" s="340"/>
      <c r="F112" s="340"/>
      <c r="G112" s="350"/>
      <c r="H112" s="350"/>
      <c r="I112" s="350"/>
      <c r="J112" s="383"/>
      <c r="K112" s="342"/>
      <c r="L112" s="351"/>
      <c r="M112" s="340"/>
      <c r="N112" s="322"/>
      <c r="O112" s="350"/>
      <c r="P112" s="350"/>
      <c r="Q112" s="350"/>
      <c r="R112" s="340"/>
    </row>
    <row r="113" spans="1:20" ht="24.6">
      <c r="A113" s="323"/>
      <c r="B113" s="339" t="s">
        <v>168</v>
      </c>
      <c r="C113" s="323"/>
      <c r="D113" s="352"/>
      <c r="E113" s="323"/>
      <c r="F113" s="323"/>
      <c r="G113" s="352"/>
      <c r="H113" s="352"/>
      <c r="I113" s="352"/>
      <c r="J113" s="320"/>
      <c r="K113" s="354"/>
      <c r="L113" s="355"/>
      <c r="M113" s="323"/>
      <c r="N113" s="319"/>
      <c r="O113" s="352"/>
      <c r="P113" s="352"/>
      <c r="Q113" s="352"/>
      <c r="R113" s="340"/>
    </row>
    <row r="114" spans="1:20" ht="25.2" thickBot="1">
      <c r="A114" s="319">
        <v>1</v>
      </c>
      <c r="B114" s="319"/>
      <c r="C114" s="369"/>
      <c r="D114" s="368"/>
      <c r="E114" s="369"/>
      <c r="F114" s="369"/>
      <c r="G114" s="368"/>
      <c r="H114" s="368"/>
      <c r="I114" s="368"/>
      <c r="J114" s="329"/>
      <c r="K114" s="371"/>
      <c r="L114" s="372"/>
      <c r="M114" s="369"/>
      <c r="N114" s="328"/>
      <c r="O114" s="368"/>
      <c r="P114" s="368"/>
      <c r="Q114" s="368"/>
      <c r="R114" s="340"/>
    </row>
    <row r="115" spans="1:20" ht="25.8" thickTop="1" thickBot="1">
      <c r="A115" s="323"/>
      <c r="B115" s="319" t="s">
        <v>26</v>
      </c>
      <c r="C115" s="357"/>
      <c r="D115" s="356"/>
      <c r="E115" s="357"/>
      <c r="F115" s="357"/>
      <c r="G115" s="356"/>
      <c r="H115" s="356"/>
      <c r="I115" s="356"/>
      <c r="J115" s="336"/>
      <c r="K115" s="359"/>
      <c r="L115" s="360"/>
      <c r="M115" s="357"/>
      <c r="N115" s="335"/>
      <c r="O115" s="356"/>
      <c r="P115" s="356"/>
      <c r="Q115" s="356"/>
      <c r="R115" s="340"/>
    </row>
    <row r="116" spans="1:20" ht="25.2" thickTop="1">
      <c r="A116" s="323"/>
      <c r="B116" s="339" t="s">
        <v>169</v>
      </c>
      <c r="C116" s="340"/>
      <c r="D116" s="350"/>
      <c r="E116" s="340"/>
      <c r="F116" s="340"/>
      <c r="G116" s="350"/>
      <c r="H116" s="350"/>
      <c r="I116" s="350"/>
      <c r="J116" s="383"/>
      <c r="K116" s="342"/>
      <c r="L116" s="351"/>
      <c r="M116" s="340"/>
      <c r="N116" s="322"/>
      <c r="O116" s="350"/>
      <c r="P116" s="350"/>
      <c r="Q116" s="350"/>
      <c r="R116" s="340"/>
    </row>
    <row r="117" spans="1:20" ht="25.2" thickBot="1">
      <c r="A117" s="319">
        <v>1</v>
      </c>
      <c r="B117" s="319"/>
      <c r="C117" s="369"/>
      <c r="D117" s="368"/>
      <c r="E117" s="369"/>
      <c r="F117" s="369"/>
      <c r="G117" s="368"/>
      <c r="H117" s="368"/>
      <c r="I117" s="368"/>
      <c r="J117" s="329"/>
      <c r="K117" s="371"/>
      <c r="L117" s="372"/>
      <c r="M117" s="369"/>
      <c r="N117" s="328"/>
      <c r="O117" s="368"/>
      <c r="P117" s="368"/>
      <c r="Q117" s="368"/>
      <c r="R117" s="340"/>
    </row>
    <row r="118" spans="1:20" ht="25.8" thickTop="1" thickBot="1">
      <c r="A118" s="323"/>
      <c r="B118" s="319" t="s">
        <v>26</v>
      </c>
      <c r="C118" s="373"/>
      <c r="D118" s="347"/>
      <c r="E118" s="373"/>
      <c r="F118" s="373"/>
      <c r="G118" s="347"/>
      <c r="H118" s="347"/>
      <c r="I118" s="347"/>
      <c r="J118" s="450"/>
      <c r="K118" s="375"/>
      <c r="L118" s="348"/>
      <c r="M118" s="373"/>
      <c r="N118" s="376"/>
      <c r="O118" s="347"/>
      <c r="P118" s="347"/>
      <c r="Q118" s="347"/>
      <c r="R118" s="340"/>
    </row>
    <row r="119" spans="1:20" ht="25.2" thickTop="1">
      <c r="A119" s="323"/>
      <c r="B119" s="339" t="s">
        <v>170</v>
      </c>
      <c r="C119" s="340"/>
      <c r="D119" s="350"/>
      <c r="E119" s="340"/>
      <c r="F119" s="340"/>
      <c r="G119" s="350"/>
      <c r="H119" s="350"/>
      <c r="I119" s="350"/>
      <c r="J119" s="383"/>
      <c r="K119" s="342"/>
      <c r="L119" s="351"/>
      <c r="M119" s="340"/>
      <c r="N119" s="322"/>
      <c r="O119" s="350"/>
      <c r="P119" s="350"/>
      <c r="Q119" s="350"/>
      <c r="R119" s="340"/>
    </row>
    <row r="120" spans="1:20" ht="25.2" thickBot="1">
      <c r="A120" s="319">
        <v>1</v>
      </c>
      <c r="B120" s="319"/>
      <c r="C120" s="369"/>
      <c r="D120" s="368"/>
      <c r="E120" s="369"/>
      <c r="F120" s="369"/>
      <c r="G120" s="368"/>
      <c r="H120" s="368"/>
      <c r="I120" s="368"/>
      <c r="J120" s="329"/>
      <c r="K120" s="371"/>
      <c r="L120" s="372"/>
      <c r="M120" s="369"/>
      <c r="N120" s="328"/>
      <c r="O120" s="368"/>
      <c r="P120" s="368"/>
      <c r="Q120" s="368"/>
      <c r="R120" s="340"/>
    </row>
    <row r="121" spans="1:20" ht="25.8" thickTop="1" thickBot="1">
      <c r="A121" s="323"/>
      <c r="B121" s="319" t="s">
        <v>26</v>
      </c>
      <c r="C121" s="357"/>
      <c r="D121" s="356"/>
      <c r="E121" s="357"/>
      <c r="F121" s="357"/>
      <c r="G121" s="356"/>
      <c r="H121" s="356"/>
      <c r="I121" s="356"/>
      <c r="J121" s="336"/>
      <c r="K121" s="359"/>
      <c r="L121" s="360"/>
      <c r="M121" s="357"/>
      <c r="N121" s="335"/>
      <c r="O121" s="356"/>
      <c r="P121" s="356"/>
      <c r="Q121" s="356"/>
      <c r="R121" s="340"/>
    </row>
    <row r="122" spans="1:20" ht="25.2" thickTop="1">
      <c r="A122" s="323"/>
      <c r="B122" s="417" t="s">
        <v>171</v>
      </c>
      <c r="C122" s="340"/>
      <c r="D122" s="340"/>
      <c r="E122" s="340"/>
      <c r="F122" s="340"/>
      <c r="G122" s="340"/>
      <c r="H122" s="340"/>
      <c r="I122" s="340"/>
      <c r="J122" s="383"/>
      <c r="K122" s="342"/>
      <c r="L122" s="342"/>
      <c r="M122" s="340"/>
      <c r="N122" s="322"/>
      <c r="O122" s="340"/>
      <c r="P122" s="340"/>
      <c r="Q122" s="340"/>
      <c r="R122" s="340"/>
    </row>
    <row r="123" spans="1:20" ht="24.6">
      <c r="A123" s="323"/>
      <c r="B123" s="417" t="s">
        <v>53</v>
      </c>
      <c r="C123" s="340"/>
      <c r="D123" s="340"/>
      <c r="E123" s="340"/>
      <c r="F123" s="340"/>
      <c r="G123" s="340"/>
      <c r="H123" s="340"/>
      <c r="I123" s="340"/>
      <c r="J123" s="383"/>
      <c r="K123" s="342"/>
      <c r="L123" s="342"/>
      <c r="M123" s="340"/>
      <c r="N123" s="322"/>
      <c r="O123" s="340"/>
      <c r="P123" s="340"/>
      <c r="Q123" s="340"/>
      <c r="R123" s="340"/>
    </row>
    <row r="124" spans="1:20" s="395" customFormat="1" ht="24.6">
      <c r="A124" s="393">
        <v>1</v>
      </c>
      <c r="B124" s="394" t="s">
        <v>54</v>
      </c>
      <c r="C124" s="394"/>
      <c r="D124" s="647">
        <v>0</v>
      </c>
      <c r="E124" s="394"/>
      <c r="F124" s="394" t="s">
        <v>172</v>
      </c>
      <c r="G124" s="647">
        <v>0</v>
      </c>
      <c r="H124" s="647">
        <v>0</v>
      </c>
      <c r="I124" s="647">
        <v>0</v>
      </c>
      <c r="J124" s="451"/>
      <c r="K124" s="452"/>
      <c r="L124" s="660"/>
      <c r="M124" s="394"/>
      <c r="N124" s="393" t="s">
        <v>172</v>
      </c>
      <c r="O124" s="365">
        <v>0</v>
      </c>
      <c r="P124" s="633">
        <v>0</v>
      </c>
      <c r="Q124" s="633">
        <v>0</v>
      </c>
      <c r="R124" s="394" t="s">
        <v>173</v>
      </c>
      <c r="T124" s="639"/>
    </row>
    <row r="125" spans="1:20" ht="24.6">
      <c r="A125" s="319">
        <v>2</v>
      </c>
      <c r="B125" s="323" t="s">
        <v>174</v>
      </c>
      <c r="C125" s="323"/>
      <c r="D125" s="630">
        <v>0</v>
      </c>
      <c r="E125" s="323"/>
      <c r="F125" s="454"/>
      <c r="G125" s="661">
        <v>0</v>
      </c>
      <c r="H125" s="661">
        <v>0</v>
      </c>
      <c r="I125" s="661">
        <v>0</v>
      </c>
      <c r="J125" s="320"/>
      <c r="K125" s="310"/>
      <c r="L125" s="631"/>
      <c r="M125" s="323"/>
      <c r="N125" s="319"/>
      <c r="O125" s="365">
        <v>0</v>
      </c>
      <c r="P125" s="633">
        <v>0</v>
      </c>
      <c r="Q125" s="633">
        <v>0</v>
      </c>
      <c r="R125" s="323" t="s">
        <v>173</v>
      </c>
    </row>
    <row r="126" spans="1:20" ht="24.6">
      <c r="A126" s="319">
        <v>3</v>
      </c>
      <c r="B126" s="323" t="s">
        <v>175</v>
      </c>
      <c r="C126" s="323"/>
      <c r="D126" s="630">
        <v>0</v>
      </c>
      <c r="E126" s="323"/>
      <c r="F126" s="323"/>
      <c r="G126" s="630">
        <v>0</v>
      </c>
      <c r="H126" s="630">
        <v>0</v>
      </c>
      <c r="I126" s="630">
        <v>0</v>
      </c>
      <c r="J126" s="320"/>
      <c r="K126" s="354"/>
      <c r="L126" s="631"/>
      <c r="M126" s="323"/>
      <c r="N126" s="319"/>
      <c r="O126" s="365">
        <v>0</v>
      </c>
      <c r="P126" s="633">
        <v>0</v>
      </c>
      <c r="Q126" s="633">
        <v>0</v>
      </c>
      <c r="R126" s="323" t="s">
        <v>176</v>
      </c>
    </row>
    <row r="127" spans="1:20" ht="24.6">
      <c r="A127" s="319"/>
      <c r="B127" s="323" t="s">
        <v>177</v>
      </c>
      <c r="C127" s="323"/>
      <c r="D127" s="630"/>
      <c r="E127" s="323"/>
      <c r="F127" s="323"/>
      <c r="G127" s="630">
        <v>0</v>
      </c>
      <c r="H127" s="630">
        <v>0</v>
      </c>
      <c r="I127" s="630">
        <v>0</v>
      </c>
      <c r="J127" s="320"/>
      <c r="K127" s="354"/>
      <c r="L127" s="631"/>
      <c r="M127" s="323"/>
      <c r="N127" s="319"/>
      <c r="O127" s="365">
        <v>0</v>
      </c>
      <c r="P127" s="633">
        <v>0</v>
      </c>
      <c r="Q127" s="633">
        <v>0</v>
      </c>
      <c r="R127" s="323" t="s">
        <v>178</v>
      </c>
    </row>
    <row r="128" spans="1:20" ht="24.6">
      <c r="A128" s="319"/>
      <c r="B128" s="323"/>
      <c r="C128" s="323"/>
      <c r="D128" s="630"/>
      <c r="E128" s="323"/>
      <c r="F128" s="323"/>
      <c r="G128" s="630"/>
      <c r="H128" s="630"/>
      <c r="I128" s="630"/>
      <c r="J128" s="320"/>
      <c r="K128" s="354"/>
      <c r="L128" s="631"/>
      <c r="M128" s="323"/>
      <c r="N128" s="319"/>
      <c r="O128" s="365"/>
      <c r="P128" s="633"/>
      <c r="Q128" s="633"/>
      <c r="R128" s="323" t="s">
        <v>179</v>
      </c>
    </row>
    <row r="129" spans="1:20" ht="24.6">
      <c r="A129" s="319">
        <v>4</v>
      </c>
      <c r="B129" s="323" t="s">
        <v>62</v>
      </c>
      <c r="C129" s="323"/>
      <c r="D129" s="630">
        <v>0</v>
      </c>
      <c r="E129" s="323"/>
      <c r="F129" s="323"/>
      <c r="G129" s="630">
        <v>0</v>
      </c>
      <c r="H129" s="630">
        <v>0</v>
      </c>
      <c r="I129" s="630">
        <v>0</v>
      </c>
      <c r="J129" s="320"/>
      <c r="K129" s="310"/>
      <c r="L129" s="631"/>
      <c r="M129" s="323"/>
      <c r="N129" s="319"/>
      <c r="O129" s="365">
        <v>0</v>
      </c>
      <c r="P129" s="633">
        <v>0</v>
      </c>
      <c r="Q129" s="633">
        <v>0</v>
      </c>
      <c r="R129" s="323"/>
    </row>
    <row r="130" spans="1:20" ht="24.6">
      <c r="A130" s="319">
        <v>5</v>
      </c>
      <c r="B130" s="323" t="s">
        <v>180</v>
      </c>
      <c r="C130" s="323"/>
      <c r="D130" s="630">
        <v>0</v>
      </c>
      <c r="E130" s="323"/>
      <c r="F130" s="323" t="s">
        <v>172</v>
      </c>
      <c r="G130" s="630">
        <v>0</v>
      </c>
      <c r="H130" s="630">
        <v>0</v>
      </c>
      <c r="I130" s="630">
        <v>0</v>
      </c>
      <c r="J130" s="320"/>
      <c r="K130" s="354"/>
      <c r="L130" s="631"/>
      <c r="M130" s="323"/>
      <c r="N130" s="319" t="s">
        <v>172</v>
      </c>
      <c r="O130" s="365">
        <v>0</v>
      </c>
      <c r="P130" s="633">
        <v>0</v>
      </c>
      <c r="Q130" s="633">
        <v>0</v>
      </c>
      <c r="R130" s="323" t="s">
        <v>176</v>
      </c>
    </row>
    <row r="131" spans="1:20" ht="24.6">
      <c r="A131" s="319"/>
      <c r="B131" s="323" t="s">
        <v>181</v>
      </c>
      <c r="C131" s="323"/>
      <c r="D131" s="630"/>
      <c r="E131" s="323"/>
      <c r="F131" s="323"/>
      <c r="G131" s="630"/>
      <c r="H131" s="630"/>
      <c r="I131" s="630"/>
      <c r="J131" s="320"/>
      <c r="K131" s="354"/>
      <c r="L131" s="631"/>
      <c r="M131" s="323"/>
      <c r="N131" s="319"/>
      <c r="O131" s="352"/>
      <c r="P131" s="630"/>
      <c r="Q131" s="352"/>
      <c r="R131" s="323" t="s">
        <v>178</v>
      </c>
    </row>
    <row r="132" spans="1:20" ht="24.6">
      <c r="A132" s="319"/>
      <c r="B132" s="323"/>
      <c r="C132" s="323"/>
      <c r="D132" s="630"/>
      <c r="E132" s="323"/>
      <c r="F132" s="323"/>
      <c r="G132" s="630"/>
      <c r="H132" s="630"/>
      <c r="I132" s="630"/>
      <c r="J132" s="320"/>
      <c r="K132" s="354"/>
      <c r="L132" s="631"/>
      <c r="M132" s="323"/>
      <c r="N132" s="319"/>
      <c r="O132" s="352"/>
      <c r="P132" s="630"/>
      <c r="Q132" s="352"/>
      <c r="R132" s="323" t="s">
        <v>179</v>
      </c>
    </row>
    <row r="133" spans="1:20" ht="24.6">
      <c r="A133" s="319"/>
      <c r="B133" s="323"/>
      <c r="C133" s="323"/>
      <c r="D133" s="630"/>
      <c r="E133" s="323"/>
      <c r="F133" s="323"/>
      <c r="G133" s="630"/>
      <c r="H133" s="630"/>
      <c r="I133" s="630"/>
      <c r="J133" s="320"/>
      <c r="K133" s="354"/>
      <c r="L133" s="631"/>
      <c r="M133" s="323"/>
      <c r="N133" s="319"/>
      <c r="O133" s="352"/>
      <c r="P133" s="630"/>
      <c r="Q133" s="352"/>
      <c r="R133" s="323" t="s">
        <v>182</v>
      </c>
    </row>
    <row r="134" spans="1:20" ht="24.6">
      <c r="A134" s="319">
        <v>6</v>
      </c>
      <c r="B134" s="323" t="s">
        <v>428</v>
      </c>
      <c r="C134" s="323"/>
      <c r="D134" s="662" t="s">
        <v>172</v>
      </c>
      <c r="E134" s="323"/>
      <c r="F134" s="323"/>
      <c r="G134" s="630">
        <v>0</v>
      </c>
      <c r="H134" s="630">
        <v>0</v>
      </c>
      <c r="I134" s="630">
        <v>0</v>
      </c>
      <c r="J134" s="320"/>
      <c r="K134" s="354"/>
      <c r="L134" s="631"/>
      <c r="M134" s="323"/>
      <c r="N134" s="319"/>
      <c r="O134" s="457">
        <v>0</v>
      </c>
      <c r="P134" s="633">
        <v>0</v>
      </c>
      <c r="Q134" s="633">
        <v>0</v>
      </c>
      <c r="R134" s="323" t="s">
        <v>184</v>
      </c>
    </row>
    <row r="135" spans="1:20" ht="24.6">
      <c r="A135" s="319"/>
      <c r="B135" s="323"/>
      <c r="C135" s="323"/>
      <c r="D135" s="630"/>
      <c r="E135" s="323"/>
      <c r="F135" s="323"/>
      <c r="G135" s="630"/>
      <c r="H135" s="630"/>
      <c r="I135" s="630"/>
      <c r="J135" s="320"/>
      <c r="K135" s="354"/>
      <c r="L135" s="631"/>
      <c r="M135" s="323"/>
      <c r="N135" s="319"/>
      <c r="O135" s="352"/>
      <c r="P135" s="630"/>
      <c r="Q135" s="352"/>
      <c r="R135" s="323" t="s">
        <v>185</v>
      </c>
    </row>
    <row r="136" spans="1:20" ht="24.6">
      <c r="A136" s="319"/>
      <c r="B136" s="323"/>
      <c r="C136" s="323"/>
      <c r="D136" s="630"/>
      <c r="E136" s="323"/>
      <c r="F136" s="323"/>
      <c r="G136" s="630"/>
      <c r="H136" s="630"/>
      <c r="I136" s="630"/>
      <c r="J136" s="320"/>
      <c r="K136" s="354"/>
      <c r="L136" s="631"/>
      <c r="M136" s="323"/>
      <c r="N136" s="319"/>
      <c r="O136" s="352"/>
      <c r="P136" s="630"/>
      <c r="Q136" s="352"/>
      <c r="R136" s="323" t="s">
        <v>186</v>
      </c>
    </row>
    <row r="137" spans="1:20" ht="24.6">
      <c r="A137" s="319">
        <v>7</v>
      </c>
      <c r="B137" s="323" t="s">
        <v>70</v>
      </c>
      <c r="C137" s="323"/>
      <c r="D137" s="630">
        <v>0</v>
      </c>
      <c r="E137" s="323"/>
      <c r="F137" s="323"/>
      <c r="G137" s="630">
        <v>0</v>
      </c>
      <c r="H137" s="630">
        <v>0</v>
      </c>
      <c r="I137" s="630">
        <v>0</v>
      </c>
      <c r="J137" s="320"/>
      <c r="K137" s="310"/>
      <c r="L137" s="631"/>
      <c r="M137" s="323"/>
      <c r="N137" s="319"/>
      <c r="O137" s="365">
        <v>0</v>
      </c>
      <c r="P137" s="633">
        <v>0</v>
      </c>
      <c r="Q137" s="633">
        <v>0</v>
      </c>
      <c r="R137" s="323" t="s">
        <v>187</v>
      </c>
    </row>
    <row r="138" spans="1:20" ht="24.6">
      <c r="A138" s="319">
        <v>8</v>
      </c>
      <c r="B138" s="323" t="s">
        <v>188</v>
      </c>
      <c r="C138" s="323"/>
      <c r="D138" s="630">
        <v>0</v>
      </c>
      <c r="E138" s="323"/>
      <c r="F138" s="323"/>
      <c r="G138" s="630">
        <v>0</v>
      </c>
      <c r="H138" s="630">
        <v>0</v>
      </c>
      <c r="I138" s="630">
        <v>0</v>
      </c>
      <c r="J138" s="320"/>
      <c r="K138" s="310"/>
      <c r="L138" s="631"/>
      <c r="M138" s="323"/>
      <c r="N138" s="319"/>
      <c r="O138" s="365">
        <v>0</v>
      </c>
      <c r="P138" s="633">
        <v>0</v>
      </c>
      <c r="Q138" s="633">
        <v>0</v>
      </c>
      <c r="R138" s="323" t="s">
        <v>187</v>
      </c>
    </row>
    <row r="139" spans="1:20" ht="24.6">
      <c r="A139" s="319">
        <v>9</v>
      </c>
      <c r="B139" s="323" t="s">
        <v>189</v>
      </c>
      <c r="C139" s="323"/>
      <c r="D139" s="630">
        <v>0</v>
      </c>
      <c r="E139" s="323"/>
      <c r="F139" s="323"/>
      <c r="G139" s="630">
        <v>0</v>
      </c>
      <c r="H139" s="630">
        <v>0</v>
      </c>
      <c r="I139" s="630">
        <v>0</v>
      </c>
      <c r="J139" s="320"/>
      <c r="K139" s="354"/>
      <c r="L139" s="631"/>
      <c r="M139" s="323"/>
      <c r="N139" s="319"/>
      <c r="O139" s="365">
        <v>0</v>
      </c>
      <c r="P139" s="633">
        <v>0</v>
      </c>
      <c r="Q139" s="633">
        <v>0</v>
      </c>
      <c r="R139" s="323" t="s">
        <v>190</v>
      </c>
      <c r="T139" s="629" t="s">
        <v>191</v>
      </c>
    </row>
    <row r="140" spans="1:20" ht="24.6">
      <c r="A140" s="319"/>
      <c r="B140" s="323"/>
      <c r="C140" s="323"/>
      <c r="D140" s="630"/>
      <c r="E140" s="323"/>
      <c r="F140" s="323"/>
      <c r="G140" s="630"/>
      <c r="H140" s="630"/>
      <c r="I140" s="630"/>
      <c r="J140" s="320"/>
      <c r="K140" s="354"/>
      <c r="L140" s="631"/>
      <c r="M140" s="323"/>
      <c r="N140" s="319"/>
      <c r="O140" s="352"/>
      <c r="P140" s="630"/>
      <c r="Q140" s="352"/>
      <c r="R140" s="323" t="s">
        <v>192</v>
      </c>
    </row>
    <row r="141" spans="1:20" ht="24.6">
      <c r="A141" s="319"/>
      <c r="B141" s="323"/>
      <c r="C141" s="323"/>
      <c r="D141" s="630"/>
      <c r="E141" s="323"/>
      <c r="F141" s="323"/>
      <c r="G141" s="630"/>
      <c r="H141" s="630"/>
      <c r="I141" s="630"/>
      <c r="J141" s="320"/>
      <c r="K141" s="354"/>
      <c r="L141" s="631"/>
      <c r="M141" s="323"/>
      <c r="N141" s="319"/>
      <c r="O141" s="352"/>
      <c r="P141" s="630"/>
      <c r="Q141" s="352"/>
      <c r="R141" s="323" t="s">
        <v>187</v>
      </c>
    </row>
    <row r="142" spans="1:20" ht="24.6">
      <c r="A142" s="319">
        <v>10</v>
      </c>
      <c r="B142" s="323" t="s">
        <v>193</v>
      </c>
      <c r="C142" s="323"/>
      <c r="D142" s="630">
        <v>0</v>
      </c>
      <c r="E142" s="323"/>
      <c r="F142" s="323"/>
      <c r="G142" s="630">
        <v>0</v>
      </c>
      <c r="H142" s="630">
        <v>0</v>
      </c>
      <c r="I142" s="630">
        <v>0</v>
      </c>
      <c r="J142" s="320"/>
      <c r="K142" s="354"/>
      <c r="L142" s="631"/>
      <c r="M142" s="323"/>
      <c r="N142" s="319"/>
      <c r="O142" s="365">
        <v>0</v>
      </c>
      <c r="P142" s="633">
        <v>0</v>
      </c>
      <c r="Q142" s="633">
        <v>0</v>
      </c>
      <c r="R142" s="323" t="s">
        <v>194</v>
      </c>
    </row>
    <row r="143" spans="1:20" ht="24.6">
      <c r="A143" s="319">
        <v>11</v>
      </c>
      <c r="B143" s="323" t="s">
        <v>78</v>
      </c>
      <c r="C143" s="323"/>
      <c r="D143" s="630"/>
      <c r="E143" s="323"/>
      <c r="F143" s="323"/>
      <c r="G143" s="630">
        <v>0</v>
      </c>
      <c r="H143" s="630">
        <v>0</v>
      </c>
      <c r="I143" s="630">
        <v>0</v>
      </c>
      <c r="J143" s="458"/>
      <c r="K143" s="344"/>
      <c r="L143" s="631"/>
      <c r="M143" s="323"/>
      <c r="N143" s="319"/>
      <c r="O143" s="365">
        <v>0</v>
      </c>
      <c r="P143" s="633">
        <v>0</v>
      </c>
      <c r="Q143" s="633">
        <v>0</v>
      </c>
      <c r="R143" s="323" t="s">
        <v>195</v>
      </c>
    </row>
    <row r="144" spans="1:20" ht="24.6">
      <c r="A144" s="319">
        <v>12</v>
      </c>
      <c r="B144" s="323" t="s">
        <v>196</v>
      </c>
      <c r="C144" s="323"/>
      <c r="D144" s="630">
        <v>0</v>
      </c>
      <c r="E144" s="323"/>
      <c r="F144" s="323"/>
      <c r="G144" s="630">
        <v>0</v>
      </c>
      <c r="H144" s="630">
        <v>0</v>
      </c>
      <c r="I144" s="630">
        <v>0</v>
      </c>
      <c r="J144" s="320"/>
      <c r="K144" s="310"/>
      <c r="L144" s="631"/>
      <c r="M144" s="323"/>
      <c r="N144" s="319"/>
      <c r="O144" s="365">
        <v>0</v>
      </c>
      <c r="P144" s="633">
        <v>0</v>
      </c>
      <c r="Q144" s="633">
        <v>0</v>
      </c>
      <c r="R144" s="323"/>
    </row>
    <row r="145" spans="1:18" ht="24.6">
      <c r="A145" s="319">
        <v>13</v>
      </c>
      <c r="B145" s="323" t="s">
        <v>83</v>
      </c>
      <c r="C145" s="323"/>
      <c r="D145" s="630"/>
      <c r="E145" s="323"/>
      <c r="F145" s="323"/>
      <c r="G145" s="630">
        <v>0</v>
      </c>
      <c r="H145" s="630">
        <v>0</v>
      </c>
      <c r="I145" s="630">
        <v>0</v>
      </c>
      <c r="J145" s="320"/>
      <c r="K145" s="344"/>
      <c r="L145" s="631"/>
      <c r="M145" s="323"/>
      <c r="N145" s="319"/>
      <c r="O145" s="365">
        <v>0</v>
      </c>
      <c r="P145" s="633">
        <v>0</v>
      </c>
      <c r="Q145" s="633">
        <v>0</v>
      </c>
      <c r="R145" s="323" t="s">
        <v>195</v>
      </c>
    </row>
    <row r="146" spans="1:18" ht="24.6">
      <c r="A146" s="319">
        <v>14</v>
      </c>
      <c r="B146" s="323" t="s">
        <v>85</v>
      </c>
      <c r="C146" s="323"/>
      <c r="D146" s="630">
        <v>0</v>
      </c>
      <c r="E146" s="323"/>
      <c r="F146" s="323" t="s">
        <v>172</v>
      </c>
      <c r="G146" s="630">
        <v>0</v>
      </c>
      <c r="H146" s="630">
        <v>0</v>
      </c>
      <c r="I146" s="630">
        <v>0</v>
      </c>
      <c r="J146" s="320"/>
      <c r="K146" s="354"/>
      <c r="L146" s="631"/>
      <c r="M146" s="323"/>
      <c r="N146" s="319" t="s">
        <v>172</v>
      </c>
      <c r="O146" s="365">
        <v>0</v>
      </c>
      <c r="P146" s="633">
        <v>0</v>
      </c>
      <c r="Q146" s="633">
        <v>0</v>
      </c>
      <c r="R146" s="323"/>
    </row>
    <row r="147" spans="1:18" ht="24.6">
      <c r="A147" s="319">
        <v>15</v>
      </c>
      <c r="B147" s="323" t="s">
        <v>197</v>
      </c>
      <c r="C147" s="323"/>
      <c r="D147" s="630">
        <v>0</v>
      </c>
      <c r="E147" s="323"/>
      <c r="F147" s="323"/>
      <c r="G147" s="630">
        <v>0</v>
      </c>
      <c r="H147" s="630">
        <v>0</v>
      </c>
      <c r="I147" s="630">
        <v>0</v>
      </c>
      <c r="J147" s="320"/>
      <c r="K147" s="354"/>
      <c r="L147" s="631"/>
      <c r="M147" s="323"/>
      <c r="N147" s="319"/>
      <c r="O147" s="365">
        <v>0</v>
      </c>
      <c r="P147" s="633">
        <v>0</v>
      </c>
      <c r="Q147" s="633">
        <v>0</v>
      </c>
      <c r="R147" s="323" t="s">
        <v>198</v>
      </c>
    </row>
    <row r="148" spans="1:18" ht="24.6">
      <c r="A148" s="319">
        <v>16</v>
      </c>
      <c r="B148" s="323" t="s">
        <v>199</v>
      </c>
      <c r="C148" s="323"/>
      <c r="D148" s="630"/>
      <c r="E148" s="323"/>
      <c r="F148" s="323"/>
      <c r="G148" s="630">
        <v>0</v>
      </c>
      <c r="H148" s="630">
        <v>0</v>
      </c>
      <c r="I148" s="630">
        <v>0</v>
      </c>
      <c r="J148" s="320"/>
      <c r="K148" s="354"/>
      <c r="L148" s="631"/>
      <c r="M148" s="323"/>
      <c r="N148" s="319"/>
      <c r="O148" s="365">
        <v>0</v>
      </c>
      <c r="P148" s="633">
        <v>0</v>
      </c>
      <c r="Q148" s="633">
        <v>0</v>
      </c>
      <c r="R148" s="323" t="s">
        <v>200</v>
      </c>
    </row>
    <row r="149" spans="1:18" ht="24.6">
      <c r="A149" s="319"/>
      <c r="B149" s="417" t="s">
        <v>89</v>
      </c>
      <c r="C149" s="323"/>
      <c r="D149" s="630"/>
      <c r="E149" s="323"/>
      <c r="F149" s="323"/>
      <c r="G149" s="630"/>
      <c r="H149" s="630"/>
      <c r="I149" s="630"/>
      <c r="J149" s="320"/>
      <c r="K149" s="354"/>
      <c r="L149" s="631"/>
      <c r="M149" s="323"/>
      <c r="N149" s="319"/>
      <c r="O149" s="352"/>
      <c r="P149" s="630"/>
      <c r="Q149" s="352"/>
      <c r="R149" s="323"/>
    </row>
    <row r="150" spans="1:18" ht="24" customHeight="1">
      <c r="A150" s="319">
        <v>16</v>
      </c>
      <c r="B150" s="323" t="s">
        <v>62</v>
      </c>
      <c r="C150" s="323"/>
      <c r="D150" s="630"/>
      <c r="E150" s="323"/>
      <c r="F150" s="323"/>
      <c r="G150" s="630">
        <v>0</v>
      </c>
      <c r="H150" s="630">
        <v>0</v>
      </c>
      <c r="I150" s="630">
        <v>0</v>
      </c>
      <c r="J150" s="320"/>
      <c r="K150" s="310"/>
      <c r="L150" s="631"/>
      <c r="M150" s="323"/>
      <c r="N150" s="319"/>
      <c r="O150" s="365">
        <v>0</v>
      </c>
      <c r="P150" s="633">
        <v>0</v>
      </c>
      <c r="Q150" s="633">
        <v>0</v>
      </c>
      <c r="R150" s="323"/>
    </row>
    <row r="151" spans="1:18" ht="22.5" customHeight="1">
      <c r="A151" s="319">
        <v>17</v>
      </c>
      <c r="B151" s="319" t="s">
        <v>57</v>
      </c>
      <c r="C151" s="323"/>
      <c r="D151" s="630"/>
      <c r="E151" s="323"/>
      <c r="F151" s="323"/>
      <c r="G151" s="630">
        <v>0</v>
      </c>
      <c r="H151" s="630">
        <v>0</v>
      </c>
      <c r="I151" s="630">
        <v>0</v>
      </c>
      <c r="J151" s="320"/>
      <c r="K151" s="310"/>
      <c r="L151" s="631"/>
      <c r="M151" s="323"/>
      <c r="N151" s="319"/>
      <c r="O151" s="365">
        <v>0</v>
      </c>
      <c r="P151" s="633">
        <v>0</v>
      </c>
      <c r="Q151" s="633">
        <v>0</v>
      </c>
      <c r="R151" s="323"/>
    </row>
    <row r="152" spans="1:18" ht="22.5" customHeight="1">
      <c r="A152" s="319">
        <v>18</v>
      </c>
      <c r="B152" s="323" t="s">
        <v>93</v>
      </c>
      <c r="C152" s="323"/>
      <c r="D152" s="630"/>
      <c r="E152" s="323"/>
      <c r="F152" s="323"/>
      <c r="G152" s="630">
        <v>0</v>
      </c>
      <c r="H152" s="630">
        <v>0</v>
      </c>
      <c r="I152" s="630">
        <v>0</v>
      </c>
      <c r="J152" s="320"/>
      <c r="K152" s="354"/>
      <c r="L152" s="631"/>
      <c r="M152" s="323"/>
      <c r="N152" s="319"/>
      <c r="O152" s="352">
        <v>0</v>
      </c>
      <c r="P152" s="630">
        <v>0</v>
      </c>
      <c r="Q152" s="352">
        <v>0</v>
      </c>
      <c r="R152" s="323" t="s">
        <v>201</v>
      </c>
    </row>
    <row r="153" spans="1:18" ht="24.6">
      <c r="A153" s="319">
        <v>19</v>
      </c>
      <c r="B153" s="319" t="s">
        <v>57</v>
      </c>
      <c r="C153" s="323"/>
      <c r="D153" s="630"/>
      <c r="E153" s="323"/>
      <c r="F153" s="323"/>
      <c r="G153" s="630"/>
      <c r="H153" s="630"/>
      <c r="I153" s="630"/>
      <c r="J153" s="320"/>
      <c r="K153" s="354"/>
      <c r="L153" s="631"/>
      <c r="M153" s="323"/>
      <c r="N153" s="319"/>
      <c r="O153" s="352"/>
      <c r="P153" s="630"/>
      <c r="Q153" s="352"/>
      <c r="R153" s="323"/>
    </row>
    <row r="154" spans="1:18" ht="24.6">
      <c r="A154" s="319">
        <v>20</v>
      </c>
      <c r="B154" s="323" t="s">
        <v>40</v>
      </c>
      <c r="C154" s="323"/>
      <c r="D154" s="630"/>
      <c r="E154" s="323"/>
      <c r="F154" s="323"/>
      <c r="G154" s="630">
        <v>0</v>
      </c>
      <c r="H154" s="630">
        <v>0</v>
      </c>
      <c r="I154" s="630">
        <v>0</v>
      </c>
      <c r="J154" s="320"/>
      <c r="K154" s="354"/>
      <c r="L154" s="631"/>
      <c r="M154" s="323"/>
      <c r="N154" s="319"/>
      <c r="O154" s="365">
        <v>0</v>
      </c>
      <c r="P154" s="633">
        <v>0</v>
      </c>
      <c r="Q154" s="633">
        <v>0</v>
      </c>
      <c r="R154" s="323" t="s">
        <v>203</v>
      </c>
    </row>
    <row r="155" spans="1:18" ht="24.6">
      <c r="A155" s="322"/>
      <c r="B155" s="424" t="s">
        <v>97</v>
      </c>
      <c r="C155" s="323"/>
      <c r="D155" s="630"/>
      <c r="E155" s="323"/>
      <c r="F155" s="323"/>
      <c r="G155" s="630"/>
      <c r="H155" s="630"/>
      <c r="I155" s="630"/>
      <c r="J155" s="320"/>
      <c r="K155" s="354"/>
      <c r="L155" s="631"/>
      <c r="M155" s="323"/>
      <c r="N155" s="319"/>
      <c r="O155" s="352"/>
      <c r="P155" s="630"/>
      <c r="Q155" s="352"/>
      <c r="R155" s="323"/>
    </row>
    <row r="156" spans="1:18" ht="24.6">
      <c r="A156" s="322">
        <v>21</v>
      </c>
      <c r="B156" s="418" t="s">
        <v>98</v>
      </c>
      <c r="C156" s="323"/>
      <c r="D156" s="630"/>
      <c r="E156" s="323"/>
      <c r="F156" s="323"/>
      <c r="G156" s="630">
        <v>0</v>
      </c>
      <c r="H156" s="630">
        <v>0</v>
      </c>
      <c r="I156" s="630">
        <v>0</v>
      </c>
      <c r="J156" s="320"/>
      <c r="K156" s="310"/>
      <c r="L156" s="631"/>
      <c r="M156" s="323"/>
      <c r="N156" s="319"/>
      <c r="O156" s="365">
        <v>0</v>
      </c>
      <c r="P156" s="633">
        <v>0</v>
      </c>
      <c r="Q156" s="633">
        <v>0</v>
      </c>
      <c r="R156" s="323"/>
    </row>
    <row r="157" spans="1:18" ht="24.6">
      <c r="A157" s="322"/>
      <c r="B157" s="459" t="s">
        <v>204</v>
      </c>
      <c r="C157" s="323"/>
      <c r="D157" s="630"/>
      <c r="E157" s="323"/>
      <c r="F157" s="323"/>
      <c r="G157" s="630"/>
      <c r="H157" s="630"/>
      <c r="I157" s="630"/>
      <c r="J157" s="320"/>
      <c r="K157" s="354"/>
      <c r="L157" s="631"/>
      <c r="M157" s="323"/>
      <c r="N157" s="319"/>
      <c r="O157" s="352"/>
      <c r="P157" s="630"/>
      <c r="Q157" s="352"/>
      <c r="R157" s="323"/>
    </row>
    <row r="158" spans="1:18" ht="24.6">
      <c r="A158" s="322">
        <v>1</v>
      </c>
      <c r="B158" s="340" t="s">
        <v>166</v>
      </c>
      <c r="C158" s="323"/>
      <c r="D158" s="630"/>
      <c r="E158" s="323"/>
      <c r="F158" s="323"/>
      <c r="G158" s="630">
        <v>0</v>
      </c>
      <c r="H158" s="630">
        <v>0</v>
      </c>
      <c r="I158" s="630">
        <v>0</v>
      </c>
      <c r="J158" s="320"/>
      <c r="K158" s="354"/>
      <c r="L158" s="631"/>
      <c r="M158" s="323"/>
      <c r="N158" s="319"/>
      <c r="O158" s="365">
        <v>0</v>
      </c>
      <c r="P158" s="633">
        <v>0</v>
      </c>
      <c r="Q158" s="633">
        <v>0</v>
      </c>
      <c r="R158" s="323"/>
    </row>
    <row r="159" spans="1:18" ht="24.6">
      <c r="A159" s="322">
        <v>2</v>
      </c>
      <c r="B159" s="340" t="s">
        <v>167</v>
      </c>
      <c r="C159" s="323"/>
      <c r="D159" s="630"/>
      <c r="E159" s="323"/>
      <c r="F159" s="323"/>
      <c r="G159" s="630">
        <v>0</v>
      </c>
      <c r="H159" s="630">
        <v>0</v>
      </c>
      <c r="I159" s="630">
        <v>0</v>
      </c>
      <c r="J159" s="320"/>
      <c r="K159" s="354"/>
      <c r="L159" s="631"/>
      <c r="M159" s="323"/>
      <c r="N159" s="319"/>
      <c r="O159" s="365">
        <v>0</v>
      </c>
      <c r="P159" s="633">
        <v>0</v>
      </c>
      <c r="Q159" s="633">
        <v>0</v>
      </c>
      <c r="R159" s="323"/>
    </row>
    <row r="160" spans="1:18" ht="24.6">
      <c r="A160" s="322"/>
      <c r="B160" s="459" t="s">
        <v>205</v>
      </c>
      <c r="C160" s="410"/>
      <c r="D160" s="663"/>
      <c r="E160" s="410"/>
      <c r="F160" s="410"/>
      <c r="G160" s="663"/>
      <c r="H160" s="663"/>
      <c r="I160" s="663"/>
      <c r="J160" s="461"/>
      <c r="K160" s="414"/>
      <c r="L160" s="664"/>
      <c r="M160" s="410"/>
      <c r="N160" s="416"/>
      <c r="O160" s="352"/>
      <c r="P160" s="663"/>
      <c r="Q160" s="412"/>
      <c r="R160" s="323"/>
    </row>
    <row r="161" spans="1:18" ht="24.6">
      <c r="A161" s="322">
        <v>1</v>
      </c>
      <c r="B161" s="340" t="s">
        <v>32</v>
      </c>
      <c r="C161" s="323"/>
      <c r="D161" s="630"/>
      <c r="E161" s="323"/>
      <c r="F161" s="323"/>
      <c r="G161" s="630">
        <v>0</v>
      </c>
      <c r="H161" s="630">
        <v>0</v>
      </c>
      <c r="I161" s="630">
        <v>0</v>
      </c>
      <c r="J161" s="320"/>
      <c r="K161" s="354"/>
      <c r="L161" s="631"/>
      <c r="M161" s="323"/>
      <c r="N161" s="319"/>
      <c r="O161" s="365">
        <v>0</v>
      </c>
      <c r="P161" s="633">
        <v>0</v>
      </c>
      <c r="Q161" s="633">
        <v>0</v>
      </c>
      <c r="R161" s="323" t="s">
        <v>206</v>
      </c>
    </row>
    <row r="162" spans="1:18" ht="25.2" thickBot="1">
      <c r="A162" s="322">
        <v>2</v>
      </c>
      <c r="B162" s="340" t="s">
        <v>207</v>
      </c>
      <c r="C162" s="410"/>
      <c r="D162" s="663"/>
      <c r="E162" s="410"/>
      <c r="F162" s="410"/>
      <c r="G162" s="630">
        <v>0</v>
      </c>
      <c r="H162" s="630">
        <v>0</v>
      </c>
      <c r="I162" s="630">
        <v>0</v>
      </c>
      <c r="J162" s="461"/>
      <c r="K162" s="414"/>
      <c r="L162" s="664"/>
      <c r="M162" s="410"/>
      <c r="N162" s="416"/>
      <c r="O162" s="365">
        <v>0</v>
      </c>
      <c r="P162" s="633">
        <v>0</v>
      </c>
      <c r="Q162" s="633">
        <v>0</v>
      </c>
      <c r="R162" s="323"/>
    </row>
    <row r="163" spans="1:18" ht="25.8" thickTop="1" thickBot="1">
      <c r="A163" s="340"/>
      <c r="B163" s="322" t="s">
        <v>26</v>
      </c>
      <c r="C163" s="373"/>
      <c r="D163" s="665"/>
      <c r="E163" s="665"/>
      <c r="F163" s="665"/>
      <c r="G163" s="665">
        <v>0</v>
      </c>
      <c r="H163" s="665">
        <v>0</v>
      </c>
      <c r="I163" s="665">
        <v>0</v>
      </c>
      <c r="J163" s="666"/>
      <c r="K163" s="666"/>
      <c r="L163" s="666"/>
      <c r="M163" s="665"/>
      <c r="N163" s="667"/>
      <c r="O163" s="665">
        <v>0</v>
      </c>
      <c r="P163" s="665">
        <v>0</v>
      </c>
      <c r="Q163" s="665">
        <v>0</v>
      </c>
      <c r="R163" s="323"/>
    </row>
    <row r="164" spans="1:18" ht="25.2" thickTop="1">
      <c r="A164" s="340"/>
      <c r="B164" s="466" t="s">
        <v>208</v>
      </c>
      <c r="C164" s="340"/>
      <c r="D164" s="654"/>
      <c r="E164" s="340"/>
      <c r="F164" s="340"/>
      <c r="G164" s="350"/>
      <c r="H164" s="350"/>
      <c r="I164" s="350"/>
      <c r="J164" s="383"/>
      <c r="K164" s="342"/>
      <c r="L164" s="668"/>
      <c r="M164" s="340"/>
      <c r="N164" s="322"/>
      <c r="O164" s="350"/>
      <c r="P164" s="350"/>
      <c r="Q164" s="350"/>
      <c r="R164" s="340"/>
    </row>
    <row r="165" spans="1:18" ht="25.2" thickBot="1">
      <c r="A165" s="322">
        <v>1</v>
      </c>
      <c r="B165" s="322"/>
      <c r="C165" s="369"/>
      <c r="D165" s="645"/>
      <c r="E165" s="369"/>
      <c r="F165" s="369"/>
      <c r="G165" s="368"/>
      <c r="H165" s="368"/>
      <c r="I165" s="368"/>
      <c r="J165" s="329"/>
      <c r="K165" s="371"/>
      <c r="L165" s="669"/>
      <c r="M165" s="369"/>
      <c r="N165" s="328"/>
      <c r="O165" s="368"/>
      <c r="P165" s="368"/>
      <c r="Q165" s="368"/>
      <c r="R165" s="340"/>
    </row>
    <row r="166" spans="1:18" ht="25.2" thickTop="1">
      <c r="A166" s="340"/>
      <c r="B166" s="322" t="s">
        <v>26</v>
      </c>
      <c r="C166" s="410"/>
      <c r="D166" s="663"/>
      <c r="E166" s="410"/>
      <c r="F166" s="410"/>
      <c r="G166" s="412"/>
      <c r="H166" s="412"/>
      <c r="I166" s="412"/>
      <c r="J166" s="461"/>
      <c r="K166" s="414"/>
      <c r="L166" s="664"/>
      <c r="M166" s="410"/>
      <c r="N166" s="416"/>
      <c r="O166" s="412"/>
      <c r="P166" s="412"/>
      <c r="Q166" s="412"/>
      <c r="R166" s="340"/>
    </row>
    <row r="167" spans="1:18" ht="24.6">
      <c r="A167" s="340"/>
      <c r="B167" s="466" t="s">
        <v>209</v>
      </c>
      <c r="C167" s="323"/>
      <c r="D167" s="630"/>
      <c r="E167" s="323"/>
      <c r="F167" s="323"/>
      <c r="G167" s="352"/>
      <c r="H167" s="352"/>
      <c r="I167" s="352"/>
      <c r="J167" s="320"/>
      <c r="K167" s="354"/>
      <c r="L167" s="631"/>
      <c r="M167" s="323"/>
      <c r="N167" s="319"/>
      <c r="O167" s="352"/>
      <c r="P167" s="352"/>
      <c r="Q167" s="352"/>
      <c r="R167" s="340"/>
    </row>
    <row r="168" spans="1:18" ht="29.25" customHeight="1" thickBot="1">
      <c r="A168" s="416">
        <v>1</v>
      </c>
      <c r="B168" s="416"/>
      <c r="C168" s="369"/>
      <c r="D168" s="645"/>
      <c r="E168" s="369"/>
      <c r="F168" s="369"/>
      <c r="G168" s="368"/>
      <c r="H168" s="368"/>
      <c r="I168" s="368"/>
      <c r="J168" s="329"/>
      <c r="K168" s="371"/>
      <c r="L168" s="669"/>
      <c r="M168" s="369"/>
      <c r="N168" s="328"/>
      <c r="O168" s="368"/>
      <c r="P168" s="368"/>
      <c r="Q168" s="368"/>
      <c r="R168" s="410"/>
    </row>
    <row r="169" spans="1:18" ht="26.25" customHeight="1" thickTop="1" thickBot="1">
      <c r="A169" s="323"/>
      <c r="B169" s="319" t="s">
        <v>26</v>
      </c>
      <c r="C169" s="357"/>
      <c r="D169" s="670"/>
      <c r="E169" s="357"/>
      <c r="F169" s="357"/>
      <c r="G169" s="356"/>
      <c r="H169" s="356"/>
      <c r="I169" s="356"/>
      <c r="J169" s="336"/>
      <c r="K169" s="359"/>
      <c r="L169" s="671"/>
      <c r="M169" s="357"/>
      <c r="N169" s="335"/>
      <c r="O169" s="356"/>
      <c r="P169" s="356"/>
      <c r="Q169" s="356"/>
      <c r="R169" s="323"/>
    </row>
    <row r="170" spans="1:18" ht="24.75" customHeight="1" thickTop="1">
      <c r="A170" s="340"/>
      <c r="B170" s="466" t="s">
        <v>210</v>
      </c>
      <c r="C170" s="340"/>
      <c r="D170" s="654"/>
      <c r="E170" s="340"/>
      <c r="F170" s="340"/>
      <c r="G170" s="340"/>
      <c r="H170" s="340"/>
      <c r="I170" s="340"/>
      <c r="J170" s="383"/>
      <c r="K170" s="342"/>
      <c r="L170" s="342"/>
      <c r="M170" s="340"/>
      <c r="N170" s="322"/>
      <c r="O170" s="340"/>
      <c r="P170" s="340"/>
      <c r="Q170" s="340"/>
      <c r="R170" s="340"/>
    </row>
    <row r="171" spans="1:18" ht="24.75" customHeight="1">
      <c r="A171" s="340"/>
      <c r="B171" s="466"/>
      <c r="C171" s="340"/>
      <c r="D171" s="654"/>
      <c r="E171" s="340"/>
      <c r="F171" s="340"/>
      <c r="G171" s="340"/>
      <c r="H171" s="340"/>
      <c r="I171" s="340"/>
      <c r="J171" s="383"/>
      <c r="K171" s="342"/>
      <c r="L171" s="342"/>
      <c r="M171" s="340"/>
      <c r="N171" s="322"/>
      <c r="O171" s="340"/>
      <c r="P171" s="340"/>
      <c r="Q171" s="340"/>
      <c r="R171" s="340"/>
    </row>
    <row r="172" spans="1:18" ht="24" customHeight="1">
      <c r="A172" s="319"/>
      <c r="B172" s="323" t="s">
        <v>26</v>
      </c>
      <c r="C172" s="323"/>
      <c r="D172" s="630"/>
      <c r="E172" s="323"/>
      <c r="F172" s="323"/>
      <c r="G172" s="630">
        <v>0</v>
      </c>
      <c r="H172" s="630">
        <v>0</v>
      </c>
      <c r="I172" s="352">
        <v>0</v>
      </c>
      <c r="J172" s="320"/>
      <c r="K172" s="354"/>
      <c r="L172" s="631"/>
      <c r="M172" s="323"/>
      <c r="N172" s="319"/>
      <c r="O172" s="365">
        <v>0</v>
      </c>
      <c r="P172" s="633">
        <v>0</v>
      </c>
      <c r="Q172" s="633">
        <v>0</v>
      </c>
      <c r="R172" s="323"/>
    </row>
    <row r="173" spans="1:18" ht="24.75" customHeight="1" thickBot="1">
      <c r="A173" s="328"/>
      <c r="B173" s="328" t="s">
        <v>374</v>
      </c>
      <c r="C173" s="369"/>
      <c r="D173" s="645">
        <f>SUM(D12+D15+D18+D30+D75+D111+D115+D118+D121+D163+D166+D169+D172)</f>
        <v>51655</v>
      </c>
      <c r="E173" s="645"/>
      <c r="F173" s="645"/>
      <c r="G173" s="645">
        <f t="shared" ref="G173:Q173" si="10">SUM(G12+G15+G18+G30+G75+G111+G115+G118+G121+G163+G166+G169+G172)</f>
        <v>12080</v>
      </c>
      <c r="H173" s="645">
        <f t="shared" si="10"/>
        <v>0</v>
      </c>
      <c r="I173" s="645">
        <f t="shared" si="10"/>
        <v>12080</v>
      </c>
      <c r="J173" s="645"/>
      <c r="K173" s="645"/>
      <c r="L173" s="645">
        <f t="shared" si="10"/>
        <v>50255</v>
      </c>
      <c r="M173" s="645"/>
      <c r="N173" s="645"/>
      <c r="O173" s="645">
        <f t="shared" si="10"/>
        <v>14510</v>
      </c>
      <c r="P173" s="645">
        <f t="shared" si="10"/>
        <v>0</v>
      </c>
      <c r="Q173" s="645">
        <f t="shared" si="10"/>
        <v>14510</v>
      </c>
      <c r="R173" s="369"/>
    </row>
    <row r="174" spans="1:18" ht="24.75" customHeight="1" thickTop="1">
      <c r="A174" s="308"/>
      <c r="B174" s="471"/>
      <c r="D174" s="672"/>
      <c r="G174" s="473"/>
      <c r="H174" s="473"/>
      <c r="I174" s="473"/>
      <c r="L174" s="673"/>
      <c r="O174" s="672"/>
      <c r="P174" s="672"/>
      <c r="Q174" s="672"/>
      <c r="R174" s="477"/>
    </row>
    <row r="175" spans="1:18" ht="24.75" customHeight="1">
      <c r="A175" s="743" t="s">
        <v>211</v>
      </c>
      <c r="B175" s="744"/>
      <c r="C175" s="744"/>
      <c r="D175" s="744"/>
      <c r="E175" s="744"/>
      <c r="F175" s="744"/>
      <c r="G175" s="744"/>
      <c r="H175" s="744"/>
      <c r="I175" s="744"/>
      <c r="J175" s="744"/>
      <c r="K175" s="744"/>
      <c r="L175" s="744"/>
      <c r="M175" s="744"/>
      <c r="N175" s="744"/>
      <c r="O175" s="744"/>
      <c r="P175" s="744"/>
      <c r="Q175" s="744"/>
      <c r="R175" s="745"/>
    </row>
    <row r="176" spans="1:18" ht="24.75" customHeight="1">
      <c r="A176" s="340">
        <v>1</v>
      </c>
      <c r="B176" s="478" t="s">
        <v>32</v>
      </c>
      <c r="C176" s="340" t="s">
        <v>104</v>
      </c>
      <c r="D176" s="654">
        <v>4650</v>
      </c>
      <c r="E176" s="439" t="s">
        <v>452</v>
      </c>
      <c r="F176" s="479">
        <v>10</v>
      </c>
      <c r="G176" s="439">
        <v>46500</v>
      </c>
      <c r="H176" s="439" t="s">
        <v>172</v>
      </c>
      <c r="I176" s="439">
        <v>46500</v>
      </c>
      <c r="J176" s="383"/>
      <c r="K176" s="342"/>
      <c r="L176" s="342"/>
      <c r="M176" s="480" t="s">
        <v>453</v>
      </c>
      <c r="N176" s="322">
        <v>11</v>
      </c>
      <c r="O176" s="350">
        <f>SUM(D176+I176-L176)</f>
        <v>51150</v>
      </c>
      <c r="P176" s="322" t="s">
        <v>172</v>
      </c>
      <c r="Q176" s="350">
        <f>O176</f>
        <v>51150</v>
      </c>
      <c r="R176" s="340" t="s">
        <v>214</v>
      </c>
    </row>
    <row r="177" spans="1:20" ht="24" customHeight="1">
      <c r="A177" s="319">
        <v>2</v>
      </c>
      <c r="B177" s="323" t="s">
        <v>215</v>
      </c>
      <c r="C177" s="323" t="s">
        <v>104</v>
      </c>
      <c r="D177" s="630">
        <v>5750</v>
      </c>
      <c r="E177" s="439" t="s">
        <v>452</v>
      </c>
      <c r="F177" s="482">
        <v>10</v>
      </c>
      <c r="G177" s="481">
        <v>51750</v>
      </c>
      <c r="H177" s="481">
        <v>0</v>
      </c>
      <c r="I177" s="481">
        <v>51750</v>
      </c>
      <c r="J177" s="320"/>
      <c r="K177" s="354"/>
      <c r="L177" s="631"/>
      <c r="M177" s="480" t="s">
        <v>453</v>
      </c>
      <c r="N177" s="319">
        <v>11</v>
      </c>
      <c r="O177" s="350">
        <f>SUM(D177+I177-L177)</f>
        <v>57500</v>
      </c>
      <c r="P177" s="633">
        <v>0</v>
      </c>
      <c r="Q177" s="350">
        <f>O177</f>
        <v>57500</v>
      </c>
      <c r="R177" s="323" t="s">
        <v>214</v>
      </c>
    </row>
    <row r="178" spans="1:20" ht="24" customHeight="1">
      <c r="A178" s="298">
        <v>3</v>
      </c>
      <c r="B178" s="367" t="s">
        <v>68</v>
      </c>
      <c r="C178" s="367">
        <v>268</v>
      </c>
      <c r="D178" s="674">
        <v>1215</v>
      </c>
      <c r="E178" s="484" t="s">
        <v>430</v>
      </c>
      <c r="F178" s="485">
        <v>25</v>
      </c>
      <c r="G178" s="484">
        <v>30375</v>
      </c>
      <c r="H178" s="484"/>
      <c r="I178" s="484">
        <v>30375</v>
      </c>
      <c r="J178" s="486"/>
      <c r="K178" s="487"/>
      <c r="L178" s="675"/>
      <c r="M178" s="480" t="s">
        <v>454</v>
      </c>
      <c r="N178" s="298">
        <v>26</v>
      </c>
      <c r="O178" s="350">
        <v>30375</v>
      </c>
      <c r="P178" s="676"/>
      <c r="Q178" s="350">
        <f>O178</f>
        <v>30375</v>
      </c>
      <c r="R178" s="323" t="s">
        <v>214</v>
      </c>
    </row>
    <row r="179" spans="1:20" ht="24.75" customHeight="1" thickBot="1">
      <c r="A179" s="328"/>
      <c r="B179" s="328" t="s">
        <v>26</v>
      </c>
      <c r="C179" s="369"/>
      <c r="D179" s="645">
        <f>SUM(D176:D178)</f>
        <v>11615</v>
      </c>
      <c r="E179" s="369"/>
      <c r="F179" s="369"/>
      <c r="G179" s="368">
        <f>SUM(G176:G178)</f>
        <v>128625</v>
      </c>
      <c r="H179" s="368">
        <f t="shared" ref="H179:I179" si="11">SUM(H176:H178)</f>
        <v>0</v>
      </c>
      <c r="I179" s="368">
        <f t="shared" si="11"/>
        <v>128625</v>
      </c>
      <c r="J179" s="370"/>
      <c r="K179" s="371"/>
      <c r="L179" s="669"/>
      <c r="M179" s="369"/>
      <c r="N179" s="328"/>
      <c r="O179" s="645">
        <f>SUM(O176:O178)</f>
        <v>139025</v>
      </c>
      <c r="P179" s="645">
        <v>0</v>
      </c>
      <c r="Q179" s="645">
        <f>SUM(Q176:Q178)</f>
        <v>139025</v>
      </c>
      <c r="R179" s="369"/>
    </row>
    <row r="180" spans="1:20" ht="24.75" customHeight="1" thickTop="1">
      <c r="A180" s="308"/>
      <c r="B180" s="471"/>
      <c r="D180" s="672"/>
      <c r="G180" s="473"/>
      <c r="H180" s="473"/>
      <c r="I180" s="473"/>
      <c r="L180" s="673"/>
      <c r="O180" s="672"/>
      <c r="P180" s="672"/>
      <c r="Q180" s="672"/>
      <c r="R180" s="477"/>
    </row>
    <row r="181" spans="1:20" ht="24.6">
      <c r="A181" s="746" t="s">
        <v>216</v>
      </c>
      <c r="B181" s="747"/>
      <c r="C181" s="747"/>
      <c r="D181" s="747"/>
      <c r="E181" s="747"/>
      <c r="F181" s="747"/>
      <c r="G181" s="747"/>
      <c r="H181" s="747"/>
      <c r="I181" s="747"/>
      <c r="J181" s="747"/>
      <c r="K181" s="747"/>
      <c r="L181" s="747"/>
      <c r="M181" s="747"/>
      <c r="N181" s="747"/>
      <c r="O181" s="747"/>
      <c r="P181" s="747"/>
      <c r="Q181" s="747"/>
      <c r="R181" s="748"/>
    </row>
    <row r="182" spans="1:20" ht="29.25" customHeight="1">
      <c r="A182" s="416"/>
      <c r="B182" s="416"/>
      <c r="C182" s="490"/>
      <c r="D182" s="677"/>
      <c r="E182" s="490"/>
      <c r="F182" s="490"/>
      <c r="G182" s="492"/>
      <c r="H182" s="492"/>
      <c r="I182" s="492"/>
      <c r="J182" s="493"/>
      <c r="K182" s="494"/>
      <c r="L182" s="678"/>
      <c r="M182" s="490"/>
      <c r="N182" s="496"/>
      <c r="O182" s="492"/>
      <c r="P182" s="492"/>
      <c r="Q182" s="492"/>
      <c r="R182" s="410"/>
    </row>
    <row r="183" spans="1:20" ht="29.25" customHeight="1" thickBot="1">
      <c r="A183" s="416"/>
      <c r="B183" s="416"/>
      <c r="C183" s="357"/>
      <c r="D183" s="670"/>
      <c r="E183" s="357"/>
      <c r="F183" s="357"/>
      <c r="G183" s="356"/>
      <c r="H183" s="356"/>
      <c r="I183" s="356"/>
      <c r="J183" s="336"/>
      <c r="K183" s="359"/>
      <c r="L183" s="671"/>
      <c r="M183" s="357"/>
      <c r="N183" s="335"/>
      <c r="O183" s="356"/>
      <c r="P183" s="356"/>
      <c r="Q183" s="356"/>
      <c r="R183" s="410"/>
    </row>
    <row r="184" spans="1:20" ht="26.25" customHeight="1" thickTop="1" thickBot="1">
      <c r="A184" s="323"/>
      <c r="B184" s="319" t="s">
        <v>26</v>
      </c>
      <c r="C184" s="357"/>
      <c r="D184" s="670"/>
      <c r="E184" s="357"/>
      <c r="F184" s="357"/>
      <c r="G184" s="356">
        <f>SUM(G182:G182)</f>
        <v>0</v>
      </c>
      <c r="H184" s="356">
        <f>SUM(H182:H182)</f>
        <v>0</v>
      </c>
      <c r="I184" s="356">
        <f>SUM(I182:I182)</f>
        <v>0</v>
      </c>
      <c r="J184" s="336"/>
      <c r="K184" s="359"/>
      <c r="L184" s="671"/>
      <c r="M184" s="357"/>
      <c r="N184" s="335"/>
      <c r="O184" s="356">
        <f>SUM(O182:O182)</f>
        <v>0</v>
      </c>
      <c r="P184" s="356">
        <f>SUM(P182:P182)</f>
        <v>0</v>
      </c>
      <c r="Q184" s="356">
        <f>SUM(Q182:Q182)</f>
        <v>0</v>
      </c>
      <c r="R184" s="323"/>
    </row>
    <row r="185" spans="1:20" ht="24.75" customHeight="1" thickTop="1">
      <c r="A185" s="298"/>
      <c r="B185" s="497" t="s">
        <v>217</v>
      </c>
      <c r="C185" s="367"/>
      <c r="D185" s="674"/>
      <c r="E185" s="367"/>
      <c r="F185" s="367"/>
      <c r="G185" s="492"/>
      <c r="H185" s="492"/>
      <c r="I185" s="492"/>
      <c r="J185" s="498"/>
      <c r="K185" s="494"/>
      <c r="L185" s="678"/>
      <c r="M185" s="367"/>
      <c r="N185" s="298"/>
      <c r="O185" s="674"/>
      <c r="P185" s="674"/>
      <c r="Q185" s="674"/>
      <c r="R185" s="490"/>
    </row>
    <row r="186" spans="1:20" ht="24.75" customHeight="1">
      <c r="A186" s="499">
        <v>1</v>
      </c>
      <c r="B186" s="500" t="s">
        <v>85</v>
      </c>
      <c r="C186" s="501" t="s">
        <v>86</v>
      </c>
      <c r="D186" s="679">
        <v>0</v>
      </c>
      <c r="E186" s="499" t="s">
        <v>229</v>
      </c>
      <c r="F186" s="503">
        <v>7</v>
      </c>
      <c r="G186" s="679">
        <v>30800</v>
      </c>
      <c r="H186" s="679">
        <v>0</v>
      </c>
      <c r="I186" s="679">
        <v>30800</v>
      </c>
      <c r="J186" s="504"/>
      <c r="K186" s="505"/>
      <c r="L186" s="680"/>
      <c r="M186" s="501" t="s">
        <v>229</v>
      </c>
      <c r="N186" s="499">
        <v>7</v>
      </c>
      <c r="O186" s="507">
        <v>30800</v>
      </c>
      <c r="P186" s="681">
        <v>0</v>
      </c>
      <c r="Q186" s="681">
        <v>30800</v>
      </c>
      <c r="R186" s="501" t="s">
        <v>230</v>
      </c>
    </row>
    <row r="187" spans="1:20" ht="24.75" customHeight="1">
      <c r="A187" s="416"/>
      <c r="B187" s="509"/>
      <c r="C187" s="410"/>
      <c r="D187" s="663"/>
      <c r="E187" s="416"/>
      <c r="F187" s="510"/>
      <c r="G187" s="663"/>
      <c r="H187" s="682"/>
      <c r="I187" s="682"/>
      <c r="J187" s="512"/>
      <c r="K187" s="513"/>
      <c r="L187" s="683"/>
      <c r="M187" s="515"/>
      <c r="N187" s="516"/>
      <c r="O187" s="517"/>
      <c r="P187" s="684"/>
      <c r="Q187" s="684"/>
      <c r="R187" s="515" t="s">
        <v>231</v>
      </c>
    </row>
    <row r="188" spans="1:20" s="395" customFormat="1" ht="24.75" customHeight="1">
      <c r="A188" s="519"/>
      <c r="B188" s="520" t="s">
        <v>232</v>
      </c>
      <c r="C188" s="521" t="s">
        <v>194</v>
      </c>
      <c r="D188" s="685">
        <v>0</v>
      </c>
      <c r="E188" s="521"/>
      <c r="F188" s="521"/>
      <c r="G188" s="685">
        <v>64400</v>
      </c>
      <c r="H188" s="685">
        <v>0</v>
      </c>
      <c r="I188" s="685">
        <v>64400</v>
      </c>
      <c r="J188" s="523"/>
      <c r="K188" s="524"/>
      <c r="L188" s="686">
        <v>0</v>
      </c>
      <c r="M188" s="521"/>
      <c r="N188" s="519"/>
      <c r="O188" s="507">
        <v>64400</v>
      </c>
      <c r="P188" s="681">
        <v>0</v>
      </c>
      <c r="Q188" s="681">
        <v>64400</v>
      </c>
      <c r="R188" s="521" t="s">
        <v>233</v>
      </c>
      <c r="T188" s="639"/>
    </row>
    <row r="189" spans="1:20" ht="24.6">
      <c r="A189" s="499">
        <v>2</v>
      </c>
      <c r="B189" s="501" t="s">
        <v>32</v>
      </c>
      <c r="C189" s="526" t="s">
        <v>104</v>
      </c>
      <c r="D189" s="679"/>
      <c r="E189" s="687" t="s">
        <v>234</v>
      </c>
      <c r="F189" s="688">
        <v>4</v>
      </c>
      <c r="G189" s="689">
        <v>18600</v>
      </c>
      <c r="H189" s="689">
        <v>0</v>
      </c>
      <c r="I189" s="689">
        <v>18600</v>
      </c>
      <c r="J189" s="530"/>
      <c r="K189" s="531"/>
      <c r="L189" s="690"/>
      <c r="M189" s="499" t="s">
        <v>234</v>
      </c>
      <c r="N189" s="499">
        <v>4</v>
      </c>
      <c r="O189" s="507">
        <f>D189+G189</f>
        <v>18600</v>
      </c>
      <c r="P189" s="681">
        <v>0</v>
      </c>
      <c r="Q189" s="681">
        <f>D189+I189</f>
        <v>18600</v>
      </c>
      <c r="R189" s="501" t="s">
        <v>235</v>
      </c>
    </row>
    <row r="190" spans="1:20" ht="24.6">
      <c r="A190" s="499">
        <v>3</v>
      </c>
      <c r="B190" s="501" t="s">
        <v>215</v>
      </c>
      <c r="C190" s="526" t="s">
        <v>104</v>
      </c>
      <c r="D190" s="679"/>
      <c r="E190" s="499" t="s">
        <v>236</v>
      </c>
      <c r="F190" s="499">
        <v>4</v>
      </c>
      <c r="G190" s="679">
        <v>23000</v>
      </c>
      <c r="H190" s="679">
        <v>0</v>
      </c>
      <c r="I190" s="679">
        <v>23000</v>
      </c>
      <c r="J190" s="530"/>
      <c r="K190" s="531"/>
      <c r="L190" s="690"/>
      <c r="M190" s="499" t="s">
        <v>236</v>
      </c>
      <c r="N190" s="499">
        <v>4</v>
      </c>
      <c r="O190" s="507">
        <f>D190+G190</f>
        <v>23000</v>
      </c>
      <c r="P190" s="681">
        <v>0</v>
      </c>
      <c r="Q190" s="681">
        <f>D190+I190</f>
        <v>23000</v>
      </c>
      <c r="R190" s="501" t="s">
        <v>237</v>
      </c>
    </row>
    <row r="191" spans="1:20" s="395" customFormat="1" ht="24.75" customHeight="1">
      <c r="A191" s="533"/>
      <c r="B191" s="534"/>
      <c r="C191" s="535"/>
      <c r="D191" s="691"/>
      <c r="E191" s="535"/>
      <c r="F191" s="535"/>
      <c r="G191" s="691"/>
      <c r="H191" s="691"/>
      <c r="I191" s="691"/>
      <c r="J191" s="537"/>
      <c r="K191" s="538"/>
      <c r="L191" s="692"/>
      <c r="M191" s="535"/>
      <c r="N191" s="533"/>
      <c r="O191" s="540"/>
      <c r="P191" s="693"/>
      <c r="Q191" s="693"/>
      <c r="R191" s="542"/>
      <c r="T191" s="639"/>
    </row>
    <row r="192" spans="1:20" ht="24.75" customHeight="1" thickBot="1">
      <c r="A192" s="328"/>
      <c r="B192" s="543"/>
      <c r="C192" s="369"/>
      <c r="D192" s="645">
        <v>0</v>
      </c>
      <c r="E192" s="645"/>
      <c r="F192" s="645"/>
      <c r="G192" s="645">
        <f>SUM(G186:G190)</f>
        <v>136800</v>
      </c>
      <c r="H192" s="645">
        <v>0</v>
      </c>
      <c r="I192" s="645">
        <f>SUM(I186:I190)</f>
        <v>136800</v>
      </c>
      <c r="J192" s="669"/>
      <c r="K192" s="669"/>
      <c r="L192" s="669">
        <v>0</v>
      </c>
      <c r="M192" s="645"/>
      <c r="N192" s="694"/>
      <c r="O192" s="670">
        <f>SUM(O186:O190)</f>
        <v>136800</v>
      </c>
      <c r="P192" s="670">
        <v>0</v>
      </c>
      <c r="Q192" s="670">
        <f>SUM(Q186:Q190)</f>
        <v>136800</v>
      </c>
      <c r="R192" s="545"/>
    </row>
    <row r="193" spans="1:23" ht="25.2" thickTop="1">
      <c r="A193" s="340"/>
      <c r="B193" s="459" t="s">
        <v>238</v>
      </c>
      <c r="C193" s="340"/>
      <c r="D193" s="340"/>
      <c r="E193" s="340"/>
      <c r="F193" s="340"/>
      <c r="G193" s="340"/>
      <c r="H193" s="340"/>
      <c r="I193" s="340"/>
      <c r="J193" s="341"/>
      <c r="K193" s="342"/>
      <c r="L193" s="342"/>
      <c r="M193" s="340"/>
      <c r="N193" s="322"/>
      <c r="O193" s="340"/>
      <c r="P193" s="340"/>
      <c r="Q193" s="340"/>
      <c r="R193" s="340"/>
    </row>
    <row r="194" spans="1:23" ht="24.6">
      <c r="A194" s="319">
        <v>1</v>
      </c>
      <c r="B194" s="367" t="s">
        <v>431</v>
      </c>
      <c r="C194" s="410"/>
      <c r="D194" s="410"/>
      <c r="E194" s="410" t="s">
        <v>240</v>
      </c>
      <c r="F194" s="410"/>
      <c r="G194" s="663"/>
      <c r="H194" s="410"/>
      <c r="I194" s="663">
        <v>0</v>
      </c>
      <c r="J194" s="413"/>
      <c r="K194" s="414"/>
      <c r="L194" s="546"/>
      <c r="M194" s="410" t="s">
        <v>240</v>
      </c>
      <c r="N194" s="416"/>
      <c r="O194" s="630"/>
      <c r="P194" s="674"/>
      <c r="Q194" s="663">
        <v>0</v>
      </c>
      <c r="R194" s="323"/>
    </row>
    <row r="195" spans="1:23" ht="24.6">
      <c r="A195" s="319"/>
      <c r="B195" s="323" t="s">
        <v>241</v>
      </c>
      <c r="C195" s="323"/>
      <c r="D195" s="323"/>
      <c r="E195" s="319" t="s">
        <v>242</v>
      </c>
      <c r="F195" s="323"/>
      <c r="G195" s="630">
        <v>133707.98000000001</v>
      </c>
      <c r="H195" s="481">
        <v>0</v>
      </c>
      <c r="I195" s="630">
        <v>133707.98000000001</v>
      </c>
      <c r="J195" s="353"/>
      <c r="K195" s="354"/>
      <c r="L195" s="547"/>
      <c r="M195" s="323" t="s">
        <v>242</v>
      </c>
      <c r="N195" s="319"/>
      <c r="O195" s="365">
        <v>133707.98000000001</v>
      </c>
      <c r="P195" s="633">
        <v>0</v>
      </c>
      <c r="Q195" s="633">
        <v>133707.98000000001</v>
      </c>
      <c r="R195" s="323" t="s">
        <v>243</v>
      </c>
    </row>
    <row r="196" spans="1:23" ht="24.6">
      <c r="A196" s="319"/>
      <c r="B196" s="323" t="s">
        <v>244</v>
      </c>
      <c r="C196" s="323"/>
      <c r="D196" s="323"/>
      <c r="E196" s="323"/>
      <c r="F196" s="323"/>
      <c r="G196" s="630">
        <v>73800</v>
      </c>
      <c r="H196" s="481">
        <v>0</v>
      </c>
      <c r="I196" s="630">
        <v>73800</v>
      </c>
      <c r="J196" s="353"/>
      <c r="K196" s="354"/>
      <c r="L196" s="547"/>
      <c r="M196" s="323"/>
      <c r="N196" s="319"/>
      <c r="O196" s="365">
        <v>73800</v>
      </c>
      <c r="P196" s="633">
        <v>0</v>
      </c>
      <c r="Q196" s="633">
        <v>73800</v>
      </c>
      <c r="R196" s="323"/>
    </row>
    <row r="197" spans="1:23" ht="24.6">
      <c r="A197" s="319"/>
      <c r="B197" s="323" t="s">
        <v>245</v>
      </c>
      <c r="C197" s="323"/>
      <c r="D197" s="323"/>
      <c r="E197" s="323"/>
      <c r="F197" s="323"/>
      <c r="G197" s="630">
        <v>7596.82</v>
      </c>
      <c r="H197" s="481">
        <v>0</v>
      </c>
      <c r="I197" s="647">
        <v>7596.82</v>
      </c>
      <c r="J197" s="353"/>
      <c r="K197" s="354"/>
      <c r="L197" s="547"/>
      <c r="M197" s="323"/>
      <c r="N197" s="319"/>
      <c r="O197" s="365">
        <v>7596.82</v>
      </c>
      <c r="P197" s="633">
        <v>0</v>
      </c>
      <c r="Q197" s="633">
        <v>7596.82</v>
      </c>
      <c r="R197" s="323" t="s">
        <v>243</v>
      </c>
    </row>
    <row r="198" spans="1:23" ht="24.6">
      <c r="A198" s="319"/>
      <c r="B198" s="323" t="s">
        <v>246</v>
      </c>
      <c r="C198" s="323"/>
      <c r="D198" s="367"/>
      <c r="E198" s="367"/>
      <c r="F198" s="367"/>
      <c r="G198" s="674"/>
      <c r="H198" s="367"/>
      <c r="I198" s="674"/>
      <c r="J198" s="548"/>
      <c r="K198" s="487"/>
      <c r="L198" s="549"/>
      <c r="M198" s="367"/>
      <c r="N198" s="298"/>
      <c r="O198" s="674"/>
      <c r="P198" s="674"/>
      <c r="Q198" s="630"/>
      <c r="R198" s="323"/>
      <c r="U198" s="295">
        <v>763210.28</v>
      </c>
    </row>
    <row r="199" spans="1:23" ht="24.6">
      <c r="A199" s="298"/>
      <c r="B199" s="367"/>
      <c r="C199" s="749" t="s">
        <v>247</v>
      </c>
      <c r="D199" s="750"/>
      <c r="E199" s="750"/>
      <c r="F199" s="750"/>
      <c r="G199" s="750"/>
      <c r="H199" s="751"/>
      <c r="I199" s="674"/>
      <c r="J199" s="548"/>
      <c r="K199" s="487"/>
      <c r="L199" s="549"/>
      <c r="M199" s="367"/>
      <c r="N199" s="298"/>
      <c r="O199" s="674"/>
      <c r="P199" s="674"/>
      <c r="Q199" s="663"/>
      <c r="R199" s="367"/>
    </row>
    <row r="200" spans="1:23" s="395" customFormat="1" ht="24.75" customHeight="1">
      <c r="A200" s="393">
        <v>2</v>
      </c>
      <c r="B200" s="550" t="s">
        <v>68</v>
      </c>
      <c r="C200" s="394">
        <v>268</v>
      </c>
      <c r="D200" s="647"/>
      <c r="E200" s="393" t="s">
        <v>378</v>
      </c>
      <c r="F200" s="551">
        <v>80</v>
      </c>
      <c r="G200" s="647">
        <v>133752.76</v>
      </c>
      <c r="H200" s="647" t="s">
        <v>172</v>
      </c>
      <c r="I200" s="647">
        <v>133752.76</v>
      </c>
      <c r="J200" s="552"/>
      <c r="K200" s="452"/>
      <c r="L200" s="660"/>
      <c r="M200" s="393" t="s">
        <v>378</v>
      </c>
      <c r="N200" s="393">
        <v>80</v>
      </c>
      <c r="O200" s="553">
        <f>SUM(D200+G200)</f>
        <v>133752.76</v>
      </c>
      <c r="P200" s="553" t="s">
        <v>172</v>
      </c>
      <c r="Q200" s="553">
        <f>SUM(D200+I200)</f>
        <v>133752.76</v>
      </c>
      <c r="R200" s="394" t="s">
        <v>379</v>
      </c>
      <c r="T200" s="639" t="s">
        <v>375</v>
      </c>
    </row>
    <row r="201" spans="1:23" ht="24.75" customHeight="1">
      <c r="A201" s="319"/>
      <c r="B201" s="418" t="s">
        <v>221</v>
      </c>
      <c r="C201" s="695" t="s">
        <v>222</v>
      </c>
      <c r="D201" s="630">
        <v>0</v>
      </c>
      <c r="E201" s="323"/>
      <c r="F201" s="297" t="s">
        <v>172</v>
      </c>
      <c r="G201" s="630">
        <v>19700</v>
      </c>
      <c r="H201" s="630">
        <v>0</v>
      </c>
      <c r="I201" s="630">
        <v>19700</v>
      </c>
      <c r="J201" s="353"/>
      <c r="K201" s="354"/>
      <c r="L201" s="631">
        <v>0</v>
      </c>
      <c r="M201" s="323"/>
      <c r="N201" s="319" t="s">
        <v>172</v>
      </c>
      <c r="O201" s="553">
        <v>19700</v>
      </c>
      <c r="P201" s="633">
        <v>0</v>
      </c>
      <c r="Q201" s="633">
        <v>19700</v>
      </c>
      <c r="R201" s="323" t="s">
        <v>184</v>
      </c>
      <c r="V201" s="555"/>
      <c r="W201" s="555"/>
    </row>
    <row r="202" spans="1:23" ht="24.75" customHeight="1">
      <c r="A202" s="319"/>
      <c r="B202" s="695"/>
      <c r="C202" s="695" t="s">
        <v>223</v>
      </c>
      <c r="D202" s="630"/>
      <c r="E202" s="323"/>
      <c r="F202" s="297" t="s">
        <v>172</v>
      </c>
      <c r="G202" s="630">
        <v>19700</v>
      </c>
      <c r="H202" s="630">
        <v>0</v>
      </c>
      <c r="I202" s="630">
        <v>19700</v>
      </c>
      <c r="J202" s="353"/>
      <c r="K202" s="354"/>
      <c r="L202" s="631">
        <v>0</v>
      </c>
      <c r="M202" s="323"/>
      <c r="N202" s="319" t="s">
        <v>172</v>
      </c>
      <c r="O202" s="553">
        <v>19700</v>
      </c>
      <c r="P202" s="633">
        <v>0</v>
      </c>
      <c r="Q202" s="633">
        <v>19700</v>
      </c>
      <c r="R202" s="323" t="s">
        <v>185</v>
      </c>
      <c r="V202" s="555"/>
    </row>
    <row r="203" spans="1:23" ht="24.75" customHeight="1">
      <c r="A203" s="319"/>
      <c r="B203" s="695"/>
      <c r="C203" s="695" t="s">
        <v>224</v>
      </c>
      <c r="D203" s="630"/>
      <c r="E203" s="323"/>
      <c r="F203" s="297" t="s">
        <v>172</v>
      </c>
      <c r="G203" s="630">
        <v>19700</v>
      </c>
      <c r="H203" s="630">
        <v>0</v>
      </c>
      <c r="I203" s="630">
        <v>19700</v>
      </c>
      <c r="J203" s="353"/>
      <c r="K203" s="354"/>
      <c r="L203" s="631">
        <v>0</v>
      </c>
      <c r="M203" s="323"/>
      <c r="N203" s="319" t="s">
        <v>172</v>
      </c>
      <c r="O203" s="553">
        <v>19700</v>
      </c>
      <c r="P203" s="633">
        <v>0</v>
      </c>
      <c r="Q203" s="633">
        <v>19700</v>
      </c>
      <c r="R203" s="323" t="s">
        <v>186</v>
      </c>
    </row>
    <row r="204" spans="1:23" ht="24.75" customHeight="1">
      <c r="A204" s="319">
        <v>3</v>
      </c>
      <c r="B204" s="418" t="s">
        <v>225</v>
      </c>
      <c r="C204" s="323"/>
      <c r="D204" s="630"/>
      <c r="E204" s="319" t="s">
        <v>226</v>
      </c>
      <c r="F204" s="297">
        <v>88</v>
      </c>
      <c r="G204" s="630">
        <v>304935.7</v>
      </c>
      <c r="H204" s="630">
        <v>0</v>
      </c>
      <c r="I204" s="630">
        <v>304935.7</v>
      </c>
      <c r="J204" s="353"/>
      <c r="K204" s="354"/>
      <c r="L204" s="631"/>
      <c r="M204" s="319" t="s">
        <v>226</v>
      </c>
      <c r="N204" s="319">
        <v>88</v>
      </c>
      <c r="O204" s="553">
        <v>304935.7</v>
      </c>
      <c r="P204" s="633">
        <v>0</v>
      </c>
      <c r="Q204" s="633">
        <v>304935.7</v>
      </c>
      <c r="R204" s="323" t="s">
        <v>227</v>
      </c>
    </row>
    <row r="205" spans="1:23" ht="25.2" thickBot="1">
      <c r="A205" s="319"/>
      <c r="B205" s="323"/>
      <c r="C205" s="323"/>
      <c r="D205" s="369"/>
      <c r="E205" s="369"/>
      <c r="F205" s="369"/>
      <c r="G205" s="369"/>
      <c r="H205" s="369"/>
      <c r="I205" s="369"/>
      <c r="J205" s="370"/>
      <c r="K205" s="371"/>
      <c r="L205" s="371"/>
      <c r="M205" s="369"/>
      <c r="N205" s="328"/>
      <c r="O205" s="645"/>
      <c r="P205" s="369"/>
      <c r="Q205" s="670"/>
      <c r="R205" s="323"/>
    </row>
    <row r="206" spans="1:23" s="559" customFormat="1" ht="25.8" thickTop="1" thickBot="1">
      <c r="A206" s="481"/>
      <c r="B206" s="556" t="s">
        <v>26</v>
      </c>
      <c r="C206" s="404"/>
      <c r="D206" s="404">
        <v>0</v>
      </c>
      <c r="E206" s="404"/>
      <c r="F206" s="404"/>
      <c r="G206" s="404">
        <f>SUM(G195:G205)</f>
        <v>712893.26</v>
      </c>
      <c r="H206" s="404">
        <f t="shared" ref="H206:I206" si="12">SUM(H195:H205)</f>
        <v>0</v>
      </c>
      <c r="I206" s="404">
        <f t="shared" si="12"/>
        <v>712893.26</v>
      </c>
      <c r="J206" s="405"/>
      <c r="K206" s="405"/>
      <c r="L206" s="405">
        <v>0</v>
      </c>
      <c r="M206" s="404"/>
      <c r="N206" s="557"/>
      <c r="O206" s="404">
        <f>SUM(O195:O205)</f>
        <v>712893.26</v>
      </c>
      <c r="P206" s="404">
        <v>0</v>
      </c>
      <c r="Q206" s="404">
        <f>SUM(Q194:Q205)</f>
        <v>712893.26</v>
      </c>
      <c r="R206" s="558"/>
    </row>
    <row r="207" spans="1:23" ht="25.8" thickTop="1" thickBot="1">
      <c r="A207" s="323"/>
      <c r="B207" s="319" t="s">
        <v>248</v>
      </c>
      <c r="C207" s="357"/>
      <c r="D207" s="356">
        <f>SUM(D30+D75+D111+D179+D184+D192+D206)</f>
        <v>63270</v>
      </c>
      <c r="E207" s="356"/>
      <c r="F207" s="356"/>
      <c r="G207" s="356">
        <f>SUM(G30+G75+G111+G163+G179+G184+G192+G206)</f>
        <v>990398.26</v>
      </c>
      <c r="H207" s="356">
        <v>0</v>
      </c>
      <c r="I207" s="356">
        <f>SUM(I9+I12+I15+I18+I21+I24+I30+I33+I35+I39+I75+I111+I115+I118+I121+I163+I169+I173+I179+I184+I192+I206)</f>
        <v>1002478.26</v>
      </c>
      <c r="J207" s="360"/>
      <c r="K207" s="360"/>
      <c r="L207" s="360">
        <f>SUM(L30+L75+L111)</f>
        <v>50255</v>
      </c>
      <c r="M207" s="356"/>
      <c r="N207" s="406"/>
      <c r="O207" s="356">
        <f>SUM(O30+O75+O111+O179+O184+O192+O206)</f>
        <v>1003228.26</v>
      </c>
      <c r="P207" s="356">
        <f>SUM(P30+P75+P111+P179+P184+P192+P206)</f>
        <v>0</v>
      </c>
      <c r="Q207" s="356">
        <f>SUM(Q30+Q75+Q111+Q179+Q184+Q192+Q206)</f>
        <v>1003228.26</v>
      </c>
      <c r="R207" s="352"/>
      <c r="T207" s="356"/>
    </row>
    <row r="208" spans="1:23" ht="25.2" thickTop="1"/>
    <row r="209" spans="6:17" ht="24.6">
      <c r="K209" s="560"/>
      <c r="Q209" s="559"/>
    </row>
    <row r="210" spans="6:17" ht="24.6">
      <c r="K210" s="561"/>
      <c r="Q210" s="559"/>
    </row>
    <row r="211" spans="6:17" ht="24.6">
      <c r="F211" s="295">
        <v>1010.6000000000058</v>
      </c>
      <c r="K211" s="560"/>
      <c r="Q211" s="559"/>
    </row>
    <row r="212" spans="6:17" ht="24.6">
      <c r="K212" s="560"/>
      <c r="L212" s="562"/>
    </row>
    <row r="213" spans="6:17" ht="24.6">
      <c r="H213" s="563"/>
      <c r="K213" s="56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5F40-85EE-4ECB-97B2-55CEB82BF00E}">
  <sheetPr>
    <tabColor rgb="FFFFC000"/>
  </sheetPr>
  <dimension ref="A1:F813"/>
  <sheetViews>
    <sheetView zoomScale="83" zoomScaleNormal="83" zoomScaleSheetLayoutView="87" workbookViewId="0">
      <pane ySplit="5" topLeftCell="A30" activePane="bottomLeft" state="frozen"/>
      <selection activeCell="I147" sqref="I147"/>
      <selection pane="bottomLeft" activeCell="B7" sqref="B7:F10"/>
    </sheetView>
  </sheetViews>
  <sheetFormatPr defaultColWidth="10.33203125" defaultRowHeight="25.5" customHeight="1"/>
  <cols>
    <col min="1" max="1" width="5.21875" style="1" customWidth="1"/>
    <col min="2" max="2" width="21.6640625" style="1" customWidth="1"/>
    <col min="3" max="3" width="15" style="1" customWidth="1"/>
    <col min="4" max="4" width="11.5546875" style="1" customWidth="1"/>
    <col min="5" max="5" width="7.44140625" style="1" customWidth="1"/>
    <col min="6" max="6" width="13.44140625" style="1" customWidth="1"/>
    <col min="7" max="229" width="10.33203125" style="1"/>
    <col min="230" max="230" width="4.44140625" style="1" customWidth="1"/>
    <col min="231" max="231" width="21.6640625" style="1" customWidth="1"/>
    <col min="232" max="232" width="15" style="1" customWidth="1"/>
    <col min="233" max="233" width="15.44140625" style="1" customWidth="1"/>
    <col min="234" max="234" width="11.5546875" style="1" customWidth="1"/>
    <col min="235" max="235" width="7.44140625" style="1" customWidth="1"/>
    <col min="236" max="236" width="14.109375" style="1" customWidth="1"/>
    <col min="237" max="237" width="10.6640625" style="1" customWidth="1"/>
    <col min="238" max="238" width="13.44140625" style="1" customWidth="1"/>
    <col min="239" max="239" width="11.44140625" style="1" customWidth="1"/>
    <col min="240" max="240" width="15" style="1" customWidth="1"/>
    <col min="241" max="241" width="14.5546875" style="1" customWidth="1"/>
    <col min="242" max="242" width="10.33203125" style="1"/>
    <col min="243" max="243" width="7.44140625" style="1" customWidth="1"/>
    <col min="244" max="244" width="12.88671875" style="1" customWidth="1"/>
    <col min="245" max="245" width="11.109375" style="1" customWidth="1"/>
    <col min="246" max="246" width="14" style="1" customWidth="1"/>
    <col min="247" max="247" width="33" style="1" customWidth="1"/>
    <col min="248" max="248" width="6.6640625" style="1" customWidth="1"/>
    <col min="249" max="249" width="19" style="1" customWidth="1"/>
    <col min="250" max="250" width="19.109375" style="1" customWidth="1"/>
    <col min="251" max="251" width="21.33203125" style="1" customWidth="1"/>
    <col min="252" max="252" width="32.5546875" style="1" customWidth="1"/>
    <col min="253" max="253" width="16.88671875" style="1" customWidth="1"/>
    <col min="254" max="254" width="16.33203125" style="1" customWidth="1"/>
    <col min="255" max="485" width="10.33203125" style="1"/>
    <col min="486" max="486" width="4.44140625" style="1" customWidth="1"/>
    <col min="487" max="487" width="21.6640625" style="1" customWidth="1"/>
    <col min="488" max="488" width="15" style="1" customWidth="1"/>
    <col min="489" max="489" width="15.44140625" style="1" customWidth="1"/>
    <col min="490" max="490" width="11.5546875" style="1" customWidth="1"/>
    <col min="491" max="491" width="7.44140625" style="1" customWidth="1"/>
    <col min="492" max="492" width="14.109375" style="1" customWidth="1"/>
    <col min="493" max="493" width="10.6640625" style="1" customWidth="1"/>
    <col min="494" max="494" width="13.44140625" style="1" customWidth="1"/>
    <col min="495" max="495" width="11.44140625" style="1" customWidth="1"/>
    <col min="496" max="496" width="15" style="1" customWidth="1"/>
    <col min="497" max="497" width="14.5546875" style="1" customWidth="1"/>
    <col min="498" max="498" width="10.33203125" style="1"/>
    <col min="499" max="499" width="7.44140625" style="1" customWidth="1"/>
    <col min="500" max="500" width="12.88671875" style="1" customWidth="1"/>
    <col min="501" max="501" width="11.109375" style="1" customWidth="1"/>
    <col min="502" max="502" width="14" style="1" customWidth="1"/>
    <col min="503" max="503" width="33" style="1" customWidth="1"/>
    <col min="504" max="504" width="6.6640625" style="1" customWidth="1"/>
    <col min="505" max="505" width="19" style="1" customWidth="1"/>
    <col min="506" max="506" width="19.109375" style="1" customWidth="1"/>
    <col min="507" max="507" width="21.33203125" style="1" customWidth="1"/>
    <col min="508" max="508" width="32.5546875" style="1" customWidth="1"/>
    <col min="509" max="509" width="16.88671875" style="1" customWidth="1"/>
    <col min="510" max="510" width="16.33203125" style="1" customWidth="1"/>
    <col min="511" max="741" width="10.33203125" style="1"/>
    <col min="742" max="742" width="4.44140625" style="1" customWidth="1"/>
    <col min="743" max="743" width="21.6640625" style="1" customWidth="1"/>
    <col min="744" max="744" width="15" style="1" customWidth="1"/>
    <col min="745" max="745" width="15.44140625" style="1" customWidth="1"/>
    <col min="746" max="746" width="11.5546875" style="1" customWidth="1"/>
    <col min="747" max="747" width="7.44140625" style="1" customWidth="1"/>
    <col min="748" max="748" width="14.109375" style="1" customWidth="1"/>
    <col min="749" max="749" width="10.6640625" style="1" customWidth="1"/>
    <col min="750" max="750" width="13.44140625" style="1" customWidth="1"/>
    <col min="751" max="751" width="11.44140625" style="1" customWidth="1"/>
    <col min="752" max="752" width="15" style="1" customWidth="1"/>
    <col min="753" max="753" width="14.5546875" style="1" customWidth="1"/>
    <col min="754" max="754" width="10.33203125" style="1"/>
    <col min="755" max="755" width="7.44140625" style="1" customWidth="1"/>
    <col min="756" max="756" width="12.88671875" style="1" customWidth="1"/>
    <col min="757" max="757" width="11.109375" style="1" customWidth="1"/>
    <col min="758" max="758" width="14" style="1" customWidth="1"/>
    <col min="759" max="759" width="33" style="1" customWidth="1"/>
    <col min="760" max="760" width="6.6640625" style="1" customWidth="1"/>
    <col min="761" max="761" width="19" style="1" customWidth="1"/>
    <col min="762" max="762" width="19.109375" style="1" customWidth="1"/>
    <col min="763" max="763" width="21.33203125" style="1" customWidth="1"/>
    <col min="764" max="764" width="32.5546875" style="1" customWidth="1"/>
    <col min="765" max="765" width="16.88671875" style="1" customWidth="1"/>
    <col min="766" max="766" width="16.33203125" style="1" customWidth="1"/>
    <col min="767" max="997" width="10.33203125" style="1"/>
    <col min="998" max="998" width="4.44140625" style="1" customWidth="1"/>
    <col min="999" max="999" width="21.6640625" style="1" customWidth="1"/>
    <col min="1000" max="1000" width="15" style="1" customWidth="1"/>
    <col min="1001" max="1001" width="15.44140625" style="1" customWidth="1"/>
    <col min="1002" max="1002" width="11.5546875" style="1" customWidth="1"/>
    <col min="1003" max="1003" width="7.44140625" style="1" customWidth="1"/>
    <col min="1004" max="1004" width="14.109375" style="1" customWidth="1"/>
    <col min="1005" max="1005" width="10.6640625" style="1" customWidth="1"/>
    <col min="1006" max="1006" width="13.44140625" style="1" customWidth="1"/>
    <col min="1007" max="1007" width="11.44140625" style="1" customWidth="1"/>
    <col min="1008" max="1008" width="15" style="1" customWidth="1"/>
    <col min="1009" max="1009" width="14.5546875" style="1" customWidth="1"/>
    <col min="1010" max="1010" width="10.33203125" style="1"/>
    <col min="1011" max="1011" width="7.44140625" style="1" customWidth="1"/>
    <col min="1012" max="1012" width="12.88671875" style="1" customWidth="1"/>
    <col min="1013" max="1013" width="11.109375" style="1" customWidth="1"/>
    <col min="1014" max="1014" width="14" style="1" customWidth="1"/>
    <col min="1015" max="1015" width="33" style="1" customWidth="1"/>
    <col min="1016" max="1016" width="6.6640625" style="1" customWidth="1"/>
    <col min="1017" max="1017" width="19" style="1" customWidth="1"/>
    <col min="1018" max="1018" width="19.109375" style="1" customWidth="1"/>
    <col min="1019" max="1019" width="21.33203125" style="1" customWidth="1"/>
    <col min="1020" max="1020" width="32.5546875" style="1" customWidth="1"/>
    <col min="1021" max="1021" width="16.88671875" style="1" customWidth="1"/>
    <col min="1022" max="1022" width="16.33203125" style="1" customWidth="1"/>
    <col min="1023" max="1253" width="10.33203125" style="1"/>
    <col min="1254" max="1254" width="4.44140625" style="1" customWidth="1"/>
    <col min="1255" max="1255" width="21.6640625" style="1" customWidth="1"/>
    <col min="1256" max="1256" width="15" style="1" customWidth="1"/>
    <col min="1257" max="1257" width="15.44140625" style="1" customWidth="1"/>
    <col min="1258" max="1258" width="11.5546875" style="1" customWidth="1"/>
    <col min="1259" max="1259" width="7.44140625" style="1" customWidth="1"/>
    <col min="1260" max="1260" width="14.109375" style="1" customWidth="1"/>
    <col min="1261" max="1261" width="10.6640625" style="1" customWidth="1"/>
    <col min="1262" max="1262" width="13.44140625" style="1" customWidth="1"/>
    <col min="1263" max="1263" width="11.44140625" style="1" customWidth="1"/>
    <col min="1264" max="1264" width="15" style="1" customWidth="1"/>
    <col min="1265" max="1265" width="14.5546875" style="1" customWidth="1"/>
    <col min="1266" max="1266" width="10.33203125" style="1"/>
    <col min="1267" max="1267" width="7.44140625" style="1" customWidth="1"/>
    <col min="1268" max="1268" width="12.88671875" style="1" customWidth="1"/>
    <col min="1269" max="1269" width="11.109375" style="1" customWidth="1"/>
    <col min="1270" max="1270" width="14" style="1" customWidth="1"/>
    <col min="1271" max="1271" width="33" style="1" customWidth="1"/>
    <col min="1272" max="1272" width="6.6640625" style="1" customWidth="1"/>
    <col min="1273" max="1273" width="19" style="1" customWidth="1"/>
    <col min="1274" max="1274" width="19.109375" style="1" customWidth="1"/>
    <col min="1275" max="1275" width="21.33203125" style="1" customWidth="1"/>
    <col min="1276" max="1276" width="32.5546875" style="1" customWidth="1"/>
    <col min="1277" max="1277" width="16.88671875" style="1" customWidth="1"/>
    <col min="1278" max="1278" width="16.33203125" style="1" customWidth="1"/>
    <col min="1279" max="1509" width="10.33203125" style="1"/>
    <col min="1510" max="1510" width="4.44140625" style="1" customWidth="1"/>
    <col min="1511" max="1511" width="21.6640625" style="1" customWidth="1"/>
    <col min="1512" max="1512" width="15" style="1" customWidth="1"/>
    <col min="1513" max="1513" width="15.44140625" style="1" customWidth="1"/>
    <col min="1514" max="1514" width="11.5546875" style="1" customWidth="1"/>
    <col min="1515" max="1515" width="7.44140625" style="1" customWidth="1"/>
    <col min="1516" max="1516" width="14.109375" style="1" customWidth="1"/>
    <col min="1517" max="1517" width="10.6640625" style="1" customWidth="1"/>
    <col min="1518" max="1518" width="13.44140625" style="1" customWidth="1"/>
    <col min="1519" max="1519" width="11.44140625" style="1" customWidth="1"/>
    <col min="1520" max="1520" width="15" style="1" customWidth="1"/>
    <col min="1521" max="1521" width="14.5546875" style="1" customWidth="1"/>
    <col min="1522" max="1522" width="10.33203125" style="1"/>
    <col min="1523" max="1523" width="7.44140625" style="1" customWidth="1"/>
    <col min="1524" max="1524" width="12.88671875" style="1" customWidth="1"/>
    <col min="1525" max="1525" width="11.109375" style="1" customWidth="1"/>
    <col min="1526" max="1526" width="14" style="1" customWidth="1"/>
    <col min="1527" max="1527" width="33" style="1" customWidth="1"/>
    <col min="1528" max="1528" width="6.6640625" style="1" customWidth="1"/>
    <col min="1529" max="1529" width="19" style="1" customWidth="1"/>
    <col min="1530" max="1530" width="19.109375" style="1" customWidth="1"/>
    <col min="1531" max="1531" width="21.33203125" style="1" customWidth="1"/>
    <col min="1532" max="1532" width="32.5546875" style="1" customWidth="1"/>
    <col min="1533" max="1533" width="16.88671875" style="1" customWidth="1"/>
    <col min="1534" max="1534" width="16.33203125" style="1" customWidth="1"/>
    <col min="1535" max="1765" width="10.33203125" style="1"/>
    <col min="1766" max="1766" width="4.44140625" style="1" customWidth="1"/>
    <col min="1767" max="1767" width="21.6640625" style="1" customWidth="1"/>
    <col min="1768" max="1768" width="15" style="1" customWidth="1"/>
    <col min="1769" max="1769" width="15.44140625" style="1" customWidth="1"/>
    <col min="1770" max="1770" width="11.5546875" style="1" customWidth="1"/>
    <col min="1771" max="1771" width="7.44140625" style="1" customWidth="1"/>
    <col min="1772" max="1772" width="14.109375" style="1" customWidth="1"/>
    <col min="1773" max="1773" width="10.6640625" style="1" customWidth="1"/>
    <col min="1774" max="1774" width="13.44140625" style="1" customWidth="1"/>
    <col min="1775" max="1775" width="11.44140625" style="1" customWidth="1"/>
    <col min="1776" max="1776" width="15" style="1" customWidth="1"/>
    <col min="1777" max="1777" width="14.5546875" style="1" customWidth="1"/>
    <col min="1778" max="1778" width="10.33203125" style="1"/>
    <col min="1779" max="1779" width="7.44140625" style="1" customWidth="1"/>
    <col min="1780" max="1780" width="12.88671875" style="1" customWidth="1"/>
    <col min="1781" max="1781" width="11.109375" style="1" customWidth="1"/>
    <col min="1782" max="1782" width="14" style="1" customWidth="1"/>
    <col min="1783" max="1783" width="33" style="1" customWidth="1"/>
    <col min="1784" max="1784" width="6.6640625" style="1" customWidth="1"/>
    <col min="1785" max="1785" width="19" style="1" customWidth="1"/>
    <col min="1786" max="1786" width="19.109375" style="1" customWidth="1"/>
    <col min="1787" max="1787" width="21.33203125" style="1" customWidth="1"/>
    <col min="1788" max="1788" width="32.5546875" style="1" customWidth="1"/>
    <col min="1789" max="1789" width="16.88671875" style="1" customWidth="1"/>
    <col min="1790" max="1790" width="16.33203125" style="1" customWidth="1"/>
    <col min="1791" max="2021" width="10.33203125" style="1"/>
    <col min="2022" max="2022" width="4.44140625" style="1" customWidth="1"/>
    <col min="2023" max="2023" width="21.6640625" style="1" customWidth="1"/>
    <col min="2024" max="2024" width="15" style="1" customWidth="1"/>
    <col min="2025" max="2025" width="15.44140625" style="1" customWidth="1"/>
    <col min="2026" max="2026" width="11.5546875" style="1" customWidth="1"/>
    <col min="2027" max="2027" width="7.44140625" style="1" customWidth="1"/>
    <col min="2028" max="2028" width="14.109375" style="1" customWidth="1"/>
    <col min="2029" max="2029" width="10.6640625" style="1" customWidth="1"/>
    <col min="2030" max="2030" width="13.44140625" style="1" customWidth="1"/>
    <col min="2031" max="2031" width="11.44140625" style="1" customWidth="1"/>
    <col min="2032" max="2032" width="15" style="1" customWidth="1"/>
    <col min="2033" max="2033" width="14.5546875" style="1" customWidth="1"/>
    <col min="2034" max="2034" width="10.33203125" style="1"/>
    <col min="2035" max="2035" width="7.44140625" style="1" customWidth="1"/>
    <col min="2036" max="2036" width="12.88671875" style="1" customWidth="1"/>
    <col min="2037" max="2037" width="11.109375" style="1" customWidth="1"/>
    <col min="2038" max="2038" width="14" style="1" customWidth="1"/>
    <col min="2039" max="2039" width="33" style="1" customWidth="1"/>
    <col min="2040" max="2040" width="6.6640625" style="1" customWidth="1"/>
    <col min="2041" max="2041" width="19" style="1" customWidth="1"/>
    <col min="2042" max="2042" width="19.109375" style="1" customWidth="1"/>
    <col min="2043" max="2043" width="21.33203125" style="1" customWidth="1"/>
    <col min="2044" max="2044" width="32.5546875" style="1" customWidth="1"/>
    <col min="2045" max="2045" width="16.88671875" style="1" customWidth="1"/>
    <col min="2046" max="2046" width="16.33203125" style="1" customWidth="1"/>
    <col min="2047" max="2277" width="10.33203125" style="1"/>
    <col min="2278" max="2278" width="4.44140625" style="1" customWidth="1"/>
    <col min="2279" max="2279" width="21.6640625" style="1" customWidth="1"/>
    <col min="2280" max="2280" width="15" style="1" customWidth="1"/>
    <col min="2281" max="2281" width="15.44140625" style="1" customWidth="1"/>
    <col min="2282" max="2282" width="11.5546875" style="1" customWidth="1"/>
    <col min="2283" max="2283" width="7.44140625" style="1" customWidth="1"/>
    <col min="2284" max="2284" width="14.109375" style="1" customWidth="1"/>
    <col min="2285" max="2285" width="10.6640625" style="1" customWidth="1"/>
    <col min="2286" max="2286" width="13.44140625" style="1" customWidth="1"/>
    <col min="2287" max="2287" width="11.44140625" style="1" customWidth="1"/>
    <col min="2288" max="2288" width="15" style="1" customWidth="1"/>
    <col min="2289" max="2289" width="14.5546875" style="1" customWidth="1"/>
    <col min="2290" max="2290" width="10.33203125" style="1"/>
    <col min="2291" max="2291" width="7.44140625" style="1" customWidth="1"/>
    <col min="2292" max="2292" width="12.88671875" style="1" customWidth="1"/>
    <col min="2293" max="2293" width="11.109375" style="1" customWidth="1"/>
    <col min="2294" max="2294" width="14" style="1" customWidth="1"/>
    <col min="2295" max="2295" width="33" style="1" customWidth="1"/>
    <col min="2296" max="2296" width="6.6640625" style="1" customWidth="1"/>
    <col min="2297" max="2297" width="19" style="1" customWidth="1"/>
    <col min="2298" max="2298" width="19.109375" style="1" customWidth="1"/>
    <col min="2299" max="2299" width="21.33203125" style="1" customWidth="1"/>
    <col min="2300" max="2300" width="32.5546875" style="1" customWidth="1"/>
    <col min="2301" max="2301" width="16.88671875" style="1" customWidth="1"/>
    <col min="2302" max="2302" width="16.33203125" style="1" customWidth="1"/>
    <col min="2303" max="2533" width="10.33203125" style="1"/>
    <col min="2534" max="2534" width="4.44140625" style="1" customWidth="1"/>
    <col min="2535" max="2535" width="21.6640625" style="1" customWidth="1"/>
    <col min="2536" max="2536" width="15" style="1" customWidth="1"/>
    <col min="2537" max="2537" width="15.44140625" style="1" customWidth="1"/>
    <col min="2538" max="2538" width="11.5546875" style="1" customWidth="1"/>
    <col min="2539" max="2539" width="7.44140625" style="1" customWidth="1"/>
    <col min="2540" max="2540" width="14.109375" style="1" customWidth="1"/>
    <col min="2541" max="2541" width="10.6640625" style="1" customWidth="1"/>
    <col min="2542" max="2542" width="13.44140625" style="1" customWidth="1"/>
    <col min="2543" max="2543" width="11.44140625" style="1" customWidth="1"/>
    <col min="2544" max="2544" width="15" style="1" customWidth="1"/>
    <col min="2545" max="2545" width="14.5546875" style="1" customWidth="1"/>
    <col min="2546" max="2546" width="10.33203125" style="1"/>
    <col min="2547" max="2547" width="7.44140625" style="1" customWidth="1"/>
    <col min="2548" max="2548" width="12.88671875" style="1" customWidth="1"/>
    <col min="2549" max="2549" width="11.109375" style="1" customWidth="1"/>
    <col min="2550" max="2550" width="14" style="1" customWidth="1"/>
    <col min="2551" max="2551" width="33" style="1" customWidth="1"/>
    <col min="2552" max="2552" width="6.6640625" style="1" customWidth="1"/>
    <col min="2553" max="2553" width="19" style="1" customWidth="1"/>
    <col min="2554" max="2554" width="19.109375" style="1" customWidth="1"/>
    <col min="2555" max="2555" width="21.33203125" style="1" customWidth="1"/>
    <col min="2556" max="2556" width="32.5546875" style="1" customWidth="1"/>
    <col min="2557" max="2557" width="16.88671875" style="1" customWidth="1"/>
    <col min="2558" max="2558" width="16.33203125" style="1" customWidth="1"/>
    <col min="2559" max="2789" width="10.33203125" style="1"/>
    <col min="2790" max="2790" width="4.44140625" style="1" customWidth="1"/>
    <col min="2791" max="2791" width="21.6640625" style="1" customWidth="1"/>
    <col min="2792" max="2792" width="15" style="1" customWidth="1"/>
    <col min="2793" max="2793" width="15.44140625" style="1" customWidth="1"/>
    <col min="2794" max="2794" width="11.5546875" style="1" customWidth="1"/>
    <col min="2795" max="2795" width="7.44140625" style="1" customWidth="1"/>
    <col min="2796" max="2796" width="14.109375" style="1" customWidth="1"/>
    <col min="2797" max="2797" width="10.6640625" style="1" customWidth="1"/>
    <col min="2798" max="2798" width="13.44140625" style="1" customWidth="1"/>
    <col min="2799" max="2799" width="11.44140625" style="1" customWidth="1"/>
    <col min="2800" max="2800" width="15" style="1" customWidth="1"/>
    <col min="2801" max="2801" width="14.5546875" style="1" customWidth="1"/>
    <col min="2802" max="2802" width="10.33203125" style="1"/>
    <col min="2803" max="2803" width="7.44140625" style="1" customWidth="1"/>
    <col min="2804" max="2804" width="12.88671875" style="1" customWidth="1"/>
    <col min="2805" max="2805" width="11.109375" style="1" customWidth="1"/>
    <col min="2806" max="2806" width="14" style="1" customWidth="1"/>
    <col min="2807" max="2807" width="33" style="1" customWidth="1"/>
    <col min="2808" max="2808" width="6.6640625" style="1" customWidth="1"/>
    <col min="2809" max="2809" width="19" style="1" customWidth="1"/>
    <col min="2810" max="2810" width="19.109375" style="1" customWidth="1"/>
    <col min="2811" max="2811" width="21.33203125" style="1" customWidth="1"/>
    <col min="2812" max="2812" width="32.5546875" style="1" customWidth="1"/>
    <col min="2813" max="2813" width="16.88671875" style="1" customWidth="1"/>
    <col min="2814" max="2814" width="16.33203125" style="1" customWidth="1"/>
    <col min="2815" max="3045" width="10.33203125" style="1"/>
    <col min="3046" max="3046" width="4.44140625" style="1" customWidth="1"/>
    <col min="3047" max="3047" width="21.6640625" style="1" customWidth="1"/>
    <col min="3048" max="3048" width="15" style="1" customWidth="1"/>
    <col min="3049" max="3049" width="15.44140625" style="1" customWidth="1"/>
    <col min="3050" max="3050" width="11.5546875" style="1" customWidth="1"/>
    <col min="3051" max="3051" width="7.44140625" style="1" customWidth="1"/>
    <col min="3052" max="3052" width="14.109375" style="1" customWidth="1"/>
    <col min="3053" max="3053" width="10.6640625" style="1" customWidth="1"/>
    <col min="3054" max="3054" width="13.44140625" style="1" customWidth="1"/>
    <col min="3055" max="3055" width="11.44140625" style="1" customWidth="1"/>
    <col min="3056" max="3056" width="15" style="1" customWidth="1"/>
    <col min="3057" max="3057" width="14.5546875" style="1" customWidth="1"/>
    <col min="3058" max="3058" width="10.33203125" style="1"/>
    <col min="3059" max="3059" width="7.44140625" style="1" customWidth="1"/>
    <col min="3060" max="3060" width="12.88671875" style="1" customWidth="1"/>
    <col min="3061" max="3061" width="11.109375" style="1" customWidth="1"/>
    <col min="3062" max="3062" width="14" style="1" customWidth="1"/>
    <col min="3063" max="3063" width="33" style="1" customWidth="1"/>
    <col min="3064" max="3064" width="6.6640625" style="1" customWidth="1"/>
    <col min="3065" max="3065" width="19" style="1" customWidth="1"/>
    <col min="3066" max="3066" width="19.109375" style="1" customWidth="1"/>
    <col min="3067" max="3067" width="21.33203125" style="1" customWidth="1"/>
    <col min="3068" max="3068" width="32.5546875" style="1" customWidth="1"/>
    <col min="3069" max="3069" width="16.88671875" style="1" customWidth="1"/>
    <col min="3070" max="3070" width="16.33203125" style="1" customWidth="1"/>
    <col min="3071" max="3301" width="10.33203125" style="1"/>
    <col min="3302" max="3302" width="4.44140625" style="1" customWidth="1"/>
    <col min="3303" max="3303" width="21.6640625" style="1" customWidth="1"/>
    <col min="3304" max="3304" width="15" style="1" customWidth="1"/>
    <col min="3305" max="3305" width="15.44140625" style="1" customWidth="1"/>
    <col min="3306" max="3306" width="11.5546875" style="1" customWidth="1"/>
    <col min="3307" max="3307" width="7.44140625" style="1" customWidth="1"/>
    <col min="3308" max="3308" width="14.109375" style="1" customWidth="1"/>
    <col min="3309" max="3309" width="10.6640625" style="1" customWidth="1"/>
    <col min="3310" max="3310" width="13.44140625" style="1" customWidth="1"/>
    <col min="3311" max="3311" width="11.44140625" style="1" customWidth="1"/>
    <col min="3312" max="3312" width="15" style="1" customWidth="1"/>
    <col min="3313" max="3313" width="14.5546875" style="1" customWidth="1"/>
    <col min="3314" max="3314" width="10.33203125" style="1"/>
    <col min="3315" max="3315" width="7.44140625" style="1" customWidth="1"/>
    <col min="3316" max="3316" width="12.88671875" style="1" customWidth="1"/>
    <col min="3317" max="3317" width="11.109375" style="1" customWidth="1"/>
    <col min="3318" max="3318" width="14" style="1" customWidth="1"/>
    <col min="3319" max="3319" width="33" style="1" customWidth="1"/>
    <col min="3320" max="3320" width="6.6640625" style="1" customWidth="1"/>
    <col min="3321" max="3321" width="19" style="1" customWidth="1"/>
    <col min="3322" max="3322" width="19.109375" style="1" customWidth="1"/>
    <col min="3323" max="3323" width="21.33203125" style="1" customWidth="1"/>
    <col min="3324" max="3324" width="32.5546875" style="1" customWidth="1"/>
    <col min="3325" max="3325" width="16.88671875" style="1" customWidth="1"/>
    <col min="3326" max="3326" width="16.33203125" style="1" customWidth="1"/>
    <col min="3327" max="3557" width="10.33203125" style="1"/>
    <col min="3558" max="3558" width="4.44140625" style="1" customWidth="1"/>
    <col min="3559" max="3559" width="21.6640625" style="1" customWidth="1"/>
    <col min="3560" max="3560" width="15" style="1" customWidth="1"/>
    <col min="3561" max="3561" width="15.44140625" style="1" customWidth="1"/>
    <col min="3562" max="3562" width="11.5546875" style="1" customWidth="1"/>
    <col min="3563" max="3563" width="7.44140625" style="1" customWidth="1"/>
    <col min="3564" max="3564" width="14.109375" style="1" customWidth="1"/>
    <col min="3565" max="3565" width="10.6640625" style="1" customWidth="1"/>
    <col min="3566" max="3566" width="13.44140625" style="1" customWidth="1"/>
    <col min="3567" max="3567" width="11.44140625" style="1" customWidth="1"/>
    <col min="3568" max="3568" width="15" style="1" customWidth="1"/>
    <col min="3569" max="3569" width="14.5546875" style="1" customWidth="1"/>
    <col min="3570" max="3570" width="10.33203125" style="1"/>
    <col min="3571" max="3571" width="7.44140625" style="1" customWidth="1"/>
    <col min="3572" max="3572" width="12.88671875" style="1" customWidth="1"/>
    <col min="3573" max="3573" width="11.109375" style="1" customWidth="1"/>
    <col min="3574" max="3574" width="14" style="1" customWidth="1"/>
    <col min="3575" max="3575" width="33" style="1" customWidth="1"/>
    <col min="3576" max="3576" width="6.6640625" style="1" customWidth="1"/>
    <col min="3577" max="3577" width="19" style="1" customWidth="1"/>
    <col min="3578" max="3578" width="19.109375" style="1" customWidth="1"/>
    <col min="3579" max="3579" width="21.33203125" style="1" customWidth="1"/>
    <col min="3580" max="3580" width="32.5546875" style="1" customWidth="1"/>
    <col min="3581" max="3581" width="16.88671875" style="1" customWidth="1"/>
    <col min="3582" max="3582" width="16.33203125" style="1" customWidth="1"/>
    <col min="3583" max="3813" width="10.33203125" style="1"/>
    <col min="3814" max="3814" width="4.44140625" style="1" customWidth="1"/>
    <col min="3815" max="3815" width="21.6640625" style="1" customWidth="1"/>
    <col min="3816" max="3816" width="15" style="1" customWidth="1"/>
    <col min="3817" max="3817" width="15.44140625" style="1" customWidth="1"/>
    <col min="3818" max="3818" width="11.5546875" style="1" customWidth="1"/>
    <col min="3819" max="3819" width="7.44140625" style="1" customWidth="1"/>
    <col min="3820" max="3820" width="14.109375" style="1" customWidth="1"/>
    <col min="3821" max="3821" width="10.6640625" style="1" customWidth="1"/>
    <col min="3822" max="3822" width="13.44140625" style="1" customWidth="1"/>
    <col min="3823" max="3823" width="11.44140625" style="1" customWidth="1"/>
    <col min="3824" max="3824" width="15" style="1" customWidth="1"/>
    <col min="3825" max="3825" width="14.5546875" style="1" customWidth="1"/>
    <col min="3826" max="3826" width="10.33203125" style="1"/>
    <col min="3827" max="3827" width="7.44140625" style="1" customWidth="1"/>
    <col min="3828" max="3828" width="12.88671875" style="1" customWidth="1"/>
    <col min="3829" max="3829" width="11.109375" style="1" customWidth="1"/>
    <col min="3830" max="3830" width="14" style="1" customWidth="1"/>
    <col min="3831" max="3831" width="33" style="1" customWidth="1"/>
    <col min="3832" max="3832" width="6.6640625" style="1" customWidth="1"/>
    <col min="3833" max="3833" width="19" style="1" customWidth="1"/>
    <col min="3834" max="3834" width="19.109375" style="1" customWidth="1"/>
    <col min="3835" max="3835" width="21.33203125" style="1" customWidth="1"/>
    <col min="3836" max="3836" width="32.5546875" style="1" customWidth="1"/>
    <col min="3837" max="3837" width="16.88671875" style="1" customWidth="1"/>
    <col min="3838" max="3838" width="16.33203125" style="1" customWidth="1"/>
    <col min="3839" max="4069" width="10.33203125" style="1"/>
    <col min="4070" max="4070" width="4.44140625" style="1" customWidth="1"/>
    <col min="4071" max="4071" width="21.6640625" style="1" customWidth="1"/>
    <col min="4072" max="4072" width="15" style="1" customWidth="1"/>
    <col min="4073" max="4073" width="15.44140625" style="1" customWidth="1"/>
    <col min="4074" max="4074" width="11.5546875" style="1" customWidth="1"/>
    <col min="4075" max="4075" width="7.44140625" style="1" customWidth="1"/>
    <col min="4076" max="4076" width="14.109375" style="1" customWidth="1"/>
    <col min="4077" max="4077" width="10.6640625" style="1" customWidth="1"/>
    <col min="4078" max="4078" width="13.44140625" style="1" customWidth="1"/>
    <col min="4079" max="4079" width="11.44140625" style="1" customWidth="1"/>
    <col min="4080" max="4080" width="15" style="1" customWidth="1"/>
    <col min="4081" max="4081" width="14.5546875" style="1" customWidth="1"/>
    <col min="4082" max="4082" width="10.33203125" style="1"/>
    <col min="4083" max="4083" width="7.44140625" style="1" customWidth="1"/>
    <col min="4084" max="4084" width="12.88671875" style="1" customWidth="1"/>
    <col min="4085" max="4085" width="11.109375" style="1" customWidth="1"/>
    <col min="4086" max="4086" width="14" style="1" customWidth="1"/>
    <col min="4087" max="4087" width="33" style="1" customWidth="1"/>
    <col min="4088" max="4088" width="6.6640625" style="1" customWidth="1"/>
    <col min="4089" max="4089" width="19" style="1" customWidth="1"/>
    <col min="4090" max="4090" width="19.109375" style="1" customWidth="1"/>
    <col min="4091" max="4091" width="21.33203125" style="1" customWidth="1"/>
    <col min="4092" max="4092" width="32.5546875" style="1" customWidth="1"/>
    <col min="4093" max="4093" width="16.88671875" style="1" customWidth="1"/>
    <col min="4094" max="4094" width="16.33203125" style="1" customWidth="1"/>
    <col min="4095" max="4325" width="10.33203125" style="1"/>
    <col min="4326" max="4326" width="4.44140625" style="1" customWidth="1"/>
    <col min="4327" max="4327" width="21.6640625" style="1" customWidth="1"/>
    <col min="4328" max="4328" width="15" style="1" customWidth="1"/>
    <col min="4329" max="4329" width="15.44140625" style="1" customWidth="1"/>
    <col min="4330" max="4330" width="11.5546875" style="1" customWidth="1"/>
    <col min="4331" max="4331" width="7.44140625" style="1" customWidth="1"/>
    <col min="4332" max="4332" width="14.109375" style="1" customWidth="1"/>
    <col min="4333" max="4333" width="10.6640625" style="1" customWidth="1"/>
    <col min="4334" max="4334" width="13.44140625" style="1" customWidth="1"/>
    <col min="4335" max="4335" width="11.44140625" style="1" customWidth="1"/>
    <col min="4336" max="4336" width="15" style="1" customWidth="1"/>
    <col min="4337" max="4337" width="14.5546875" style="1" customWidth="1"/>
    <col min="4338" max="4338" width="10.33203125" style="1"/>
    <col min="4339" max="4339" width="7.44140625" style="1" customWidth="1"/>
    <col min="4340" max="4340" width="12.88671875" style="1" customWidth="1"/>
    <col min="4341" max="4341" width="11.109375" style="1" customWidth="1"/>
    <col min="4342" max="4342" width="14" style="1" customWidth="1"/>
    <col min="4343" max="4343" width="33" style="1" customWidth="1"/>
    <col min="4344" max="4344" width="6.6640625" style="1" customWidth="1"/>
    <col min="4345" max="4345" width="19" style="1" customWidth="1"/>
    <col min="4346" max="4346" width="19.109375" style="1" customWidth="1"/>
    <col min="4347" max="4347" width="21.33203125" style="1" customWidth="1"/>
    <col min="4348" max="4348" width="32.5546875" style="1" customWidth="1"/>
    <col min="4349" max="4349" width="16.88671875" style="1" customWidth="1"/>
    <col min="4350" max="4350" width="16.33203125" style="1" customWidth="1"/>
    <col min="4351" max="4581" width="10.33203125" style="1"/>
    <col min="4582" max="4582" width="4.44140625" style="1" customWidth="1"/>
    <col min="4583" max="4583" width="21.6640625" style="1" customWidth="1"/>
    <col min="4584" max="4584" width="15" style="1" customWidth="1"/>
    <col min="4585" max="4585" width="15.44140625" style="1" customWidth="1"/>
    <col min="4586" max="4586" width="11.5546875" style="1" customWidth="1"/>
    <col min="4587" max="4587" width="7.44140625" style="1" customWidth="1"/>
    <col min="4588" max="4588" width="14.109375" style="1" customWidth="1"/>
    <col min="4589" max="4589" width="10.6640625" style="1" customWidth="1"/>
    <col min="4590" max="4590" width="13.44140625" style="1" customWidth="1"/>
    <col min="4591" max="4591" width="11.44140625" style="1" customWidth="1"/>
    <col min="4592" max="4592" width="15" style="1" customWidth="1"/>
    <col min="4593" max="4593" width="14.5546875" style="1" customWidth="1"/>
    <col min="4594" max="4594" width="10.33203125" style="1"/>
    <col min="4595" max="4595" width="7.44140625" style="1" customWidth="1"/>
    <col min="4596" max="4596" width="12.88671875" style="1" customWidth="1"/>
    <col min="4597" max="4597" width="11.109375" style="1" customWidth="1"/>
    <col min="4598" max="4598" width="14" style="1" customWidth="1"/>
    <col min="4599" max="4599" width="33" style="1" customWidth="1"/>
    <col min="4600" max="4600" width="6.6640625" style="1" customWidth="1"/>
    <col min="4601" max="4601" width="19" style="1" customWidth="1"/>
    <col min="4602" max="4602" width="19.109375" style="1" customWidth="1"/>
    <col min="4603" max="4603" width="21.33203125" style="1" customWidth="1"/>
    <col min="4604" max="4604" width="32.5546875" style="1" customWidth="1"/>
    <col min="4605" max="4605" width="16.88671875" style="1" customWidth="1"/>
    <col min="4606" max="4606" width="16.33203125" style="1" customWidth="1"/>
    <col min="4607" max="4837" width="10.33203125" style="1"/>
    <col min="4838" max="4838" width="4.44140625" style="1" customWidth="1"/>
    <col min="4839" max="4839" width="21.6640625" style="1" customWidth="1"/>
    <col min="4840" max="4840" width="15" style="1" customWidth="1"/>
    <col min="4841" max="4841" width="15.44140625" style="1" customWidth="1"/>
    <col min="4842" max="4842" width="11.5546875" style="1" customWidth="1"/>
    <col min="4843" max="4843" width="7.44140625" style="1" customWidth="1"/>
    <col min="4844" max="4844" width="14.109375" style="1" customWidth="1"/>
    <col min="4845" max="4845" width="10.6640625" style="1" customWidth="1"/>
    <col min="4846" max="4846" width="13.44140625" style="1" customWidth="1"/>
    <col min="4847" max="4847" width="11.44140625" style="1" customWidth="1"/>
    <col min="4848" max="4848" width="15" style="1" customWidth="1"/>
    <col min="4849" max="4849" width="14.5546875" style="1" customWidth="1"/>
    <col min="4850" max="4850" width="10.33203125" style="1"/>
    <col min="4851" max="4851" width="7.44140625" style="1" customWidth="1"/>
    <col min="4852" max="4852" width="12.88671875" style="1" customWidth="1"/>
    <col min="4853" max="4853" width="11.109375" style="1" customWidth="1"/>
    <col min="4854" max="4854" width="14" style="1" customWidth="1"/>
    <col min="4855" max="4855" width="33" style="1" customWidth="1"/>
    <col min="4856" max="4856" width="6.6640625" style="1" customWidth="1"/>
    <col min="4857" max="4857" width="19" style="1" customWidth="1"/>
    <col min="4858" max="4858" width="19.109375" style="1" customWidth="1"/>
    <col min="4859" max="4859" width="21.33203125" style="1" customWidth="1"/>
    <col min="4860" max="4860" width="32.5546875" style="1" customWidth="1"/>
    <col min="4861" max="4861" width="16.88671875" style="1" customWidth="1"/>
    <col min="4862" max="4862" width="16.33203125" style="1" customWidth="1"/>
    <col min="4863" max="5093" width="10.33203125" style="1"/>
    <col min="5094" max="5094" width="4.44140625" style="1" customWidth="1"/>
    <col min="5095" max="5095" width="21.6640625" style="1" customWidth="1"/>
    <col min="5096" max="5096" width="15" style="1" customWidth="1"/>
    <col min="5097" max="5097" width="15.44140625" style="1" customWidth="1"/>
    <col min="5098" max="5098" width="11.5546875" style="1" customWidth="1"/>
    <col min="5099" max="5099" width="7.44140625" style="1" customWidth="1"/>
    <col min="5100" max="5100" width="14.109375" style="1" customWidth="1"/>
    <col min="5101" max="5101" width="10.6640625" style="1" customWidth="1"/>
    <col min="5102" max="5102" width="13.44140625" style="1" customWidth="1"/>
    <col min="5103" max="5103" width="11.44140625" style="1" customWidth="1"/>
    <col min="5104" max="5104" width="15" style="1" customWidth="1"/>
    <col min="5105" max="5105" width="14.5546875" style="1" customWidth="1"/>
    <col min="5106" max="5106" width="10.33203125" style="1"/>
    <col min="5107" max="5107" width="7.44140625" style="1" customWidth="1"/>
    <col min="5108" max="5108" width="12.88671875" style="1" customWidth="1"/>
    <col min="5109" max="5109" width="11.109375" style="1" customWidth="1"/>
    <col min="5110" max="5110" width="14" style="1" customWidth="1"/>
    <col min="5111" max="5111" width="33" style="1" customWidth="1"/>
    <col min="5112" max="5112" width="6.6640625" style="1" customWidth="1"/>
    <col min="5113" max="5113" width="19" style="1" customWidth="1"/>
    <col min="5114" max="5114" width="19.109375" style="1" customWidth="1"/>
    <col min="5115" max="5115" width="21.33203125" style="1" customWidth="1"/>
    <col min="5116" max="5116" width="32.5546875" style="1" customWidth="1"/>
    <col min="5117" max="5117" width="16.88671875" style="1" customWidth="1"/>
    <col min="5118" max="5118" width="16.33203125" style="1" customWidth="1"/>
    <col min="5119" max="5349" width="10.33203125" style="1"/>
    <col min="5350" max="5350" width="4.44140625" style="1" customWidth="1"/>
    <col min="5351" max="5351" width="21.6640625" style="1" customWidth="1"/>
    <col min="5352" max="5352" width="15" style="1" customWidth="1"/>
    <col min="5353" max="5353" width="15.44140625" style="1" customWidth="1"/>
    <col min="5354" max="5354" width="11.5546875" style="1" customWidth="1"/>
    <col min="5355" max="5355" width="7.44140625" style="1" customWidth="1"/>
    <col min="5356" max="5356" width="14.109375" style="1" customWidth="1"/>
    <col min="5357" max="5357" width="10.6640625" style="1" customWidth="1"/>
    <col min="5358" max="5358" width="13.44140625" style="1" customWidth="1"/>
    <col min="5359" max="5359" width="11.44140625" style="1" customWidth="1"/>
    <col min="5360" max="5360" width="15" style="1" customWidth="1"/>
    <col min="5361" max="5361" width="14.5546875" style="1" customWidth="1"/>
    <col min="5362" max="5362" width="10.33203125" style="1"/>
    <col min="5363" max="5363" width="7.44140625" style="1" customWidth="1"/>
    <col min="5364" max="5364" width="12.88671875" style="1" customWidth="1"/>
    <col min="5365" max="5365" width="11.109375" style="1" customWidth="1"/>
    <col min="5366" max="5366" width="14" style="1" customWidth="1"/>
    <col min="5367" max="5367" width="33" style="1" customWidth="1"/>
    <col min="5368" max="5368" width="6.6640625" style="1" customWidth="1"/>
    <col min="5369" max="5369" width="19" style="1" customWidth="1"/>
    <col min="5370" max="5370" width="19.109375" style="1" customWidth="1"/>
    <col min="5371" max="5371" width="21.33203125" style="1" customWidth="1"/>
    <col min="5372" max="5372" width="32.5546875" style="1" customWidth="1"/>
    <col min="5373" max="5373" width="16.88671875" style="1" customWidth="1"/>
    <col min="5374" max="5374" width="16.33203125" style="1" customWidth="1"/>
    <col min="5375" max="5605" width="10.33203125" style="1"/>
    <col min="5606" max="5606" width="4.44140625" style="1" customWidth="1"/>
    <col min="5607" max="5607" width="21.6640625" style="1" customWidth="1"/>
    <col min="5608" max="5608" width="15" style="1" customWidth="1"/>
    <col min="5609" max="5609" width="15.44140625" style="1" customWidth="1"/>
    <col min="5610" max="5610" width="11.5546875" style="1" customWidth="1"/>
    <col min="5611" max="5611" width="7.44140625" style="1" customWidth="1"/>
    <col min="5612" max="5612" width="14.109375" style="1" customWidth="1"/>
    <col min="5613" max="5613" width="10.6640625" style="1" customWidth="1"/>
    <col min="5614" max="5614" width="13.44140625" style="1" customWidth="1"/>
    <col min="5615" max="5615" width="11.44140625" style="1" customWidth="1"/>
    <col min="5616" max="5616" width="15" style="1" customWidth="1"/>
    <col min="5617" max="5617" width="14.5546875" style="1" customWidth="1"/>
    <col min="5618" max="5618" width="10.33203125" style="1"/>
    <col min="5619" max="5619" width="7.44140625" style="1" customWidth="1"/>
    <col min="5620" max="5620" width="12.88671875" style="1" customWidth="1"/>
    <col min="5621" max="5621" width="11.109375" style="1" customWidth="1"/>
    <col min="5622" max="5622" width="14" style="1" customWidth="1"/>
    <col min="5623" max="5623" width="33" style="1" customWidth="1"/>
    <col min="5624" max="5624" width="6.6640625" style="1" customWidth="1"/>
    <col min="5625" max="5625" width="19" style="1" customWidth="1"/>
    <col min="5626" max="5626" width="19.109375" style="1" customWidth="1"/>
    <col min="5627" max="5627" width="21.33203125" style="1" customWidth="1"/>
    <col min="5628" max="5628" width="32.5546875" style="1" customWidth="1"/>
    <col min="5629" max="5629" width="16.88671875" style="1" customWidth="1"/>
    <col min="5630" max="5630" width="16.33203125" style="1" customWidth="1"/>
    <col min="5631" max="5861" width="10.33203125" style="1"/>
    <col min="5862" max="5862" width="4.44140625" style="1" customWidth="1"/>
    <col min="5863" max="5863" width="21.6640625" style="1" customWidth="1"/>
    <col min="5864" max="5864" width="15" style="1" customWidth="1"/>
    <col min="5865" max="5865" width="15.44140625" style="1" customWidth="1"/>
    <col min="5866" max="5866" width="11.5546875" style="1" customWidth="1"/>
    <col min="5867" max="5867" width="7.44140625" style="1" customWidth="1"/>
    <col min="5868" max="5868" width="14.109375" style="1" customWidth="1"/>
    <col min="5869" max="5869" width="10.6640625" style="1" customWidth="1"/>
    <col min="5870" max="5870" width="13.44140625" style="1" customWidth="1"/>
    <col min="5871" max="5871" width="11.44140625" style="1" customWidth="1"/>
    <col min="5872" max="5872" width="15" style="1" customWidth="1"/>
    <col min="5873" max="5873" width="14.5546875" style="1" customWidth="1"/>
    <col min="5874" max="5874" width="10.33203125" style="1"/>
    <col min="5875" max="5875" width="7.44140625" style="1" customWidth="1"/>
    <col min="5876" max="5876" width="12.88671875" style="1" customWidth="1"/>
    <col min="5877" max="5877" width="11.109375" style="1" customWidth="1"/>
    <col min="5878" max="5878" width="14" style="1" customWidth="1"/>
    <col min="5879" max="5879" width="33" style="1" customWidth="1"/>
    <col min="5880" max="5880" width="6.6640625" style="1" customWidth="1"/>
    <col min="5881" max="5881" width="19" style="1" customWidth="1"/>
    <col min="5882" max="5882" width="19.109375" style="1" customWidth="1"/>
    <col min="5883" max="5883" width="21.33203125" style="1" customWidth="1"/>
    <col min="5884" max="5884" width="32.5546875" style="1" customWidth="1"/>
    <col min="5885" max="5885" width="16.88671875" style="1" customWidth="1"/>
    <col min="5886" max="5886" width="16.33203125" style="1" customWidth="1"/>
    <col min="5887" max="6117" width="10.33203125" style="1"/>
    <col min="6118" max="6118" width="4.44140625" style="1" customWidth="1"/>
    <col min="6119" max="6119" width="21.6640625" style="1" customWidth="1"/>
    <col min="6120" max="6120" width="15" style="1" customWidth="1"/>
    <col min="6121" max="6121" width="15.44140625" style="1" customWidth="1"/>
    <col min="6122" max="6122" width="11.5546875" style="1" customWidth="1"/>
    <col min="6123" max="6123" width="7.44140625" style="1" customWidth="1"/>
    <col min="6124" max="6124" width="14.109375" style="1" customWidth="1"/>
    <col min="6125" max="6125" width="10.6640625" style="1" customWidth="1"/>
    <col min="6126" max="6126" width="13.44140625" style="1" customWidth="1"/>
    <col min="6127" max="6127" width="11.44140625" style="1" customWidth="1"/>
    <col min="6128" max="6128" width="15" style="1" customWidth="1"/>
    <col min="6129" max="6129" width="14.5546875" style="1" customWidth="1"/>
    <col min="6130" max="6130" width="10.33203125" style="1"/>
    <col min="6131" max="6131" width="7.44140625" style="1" customWidth="1"/>
    <col min="6132" max="6132" width="12.88671875" style="1" customWidth="1"/>
    <col min="6133" max="6133" width="11.109375" style="1" customWidth="1"/>
    <col min="6134" max="6134" width="14" style="1" customWidth="1"/>
    <col min="6135" max="6135" width="33" style="1" customWidth="1"/>
    <col min="6136" max="6136" width="6.6640625" style="1" customWidth="1"/>
    <col min="6137" max="6137" width="19" style="1" customWidth="1"/>
    <col min="6138" max="6138" width="19.109375" style="1" customWidth="1"/>
    <col min="6139" max="6139" width="21.33203125" style="1" customWidth="1"/>
    <col min="6140" max="6140" width="32.5546875" style="1" customWidth="1"/>
    <col min="6141" max="6141" width="16.88671875" style="1" customWidth="1"/>
    <col min="6142" max="6142" width="16.33203125" style="1" customWidth="1"/>
    <col min="6143" max="6373" width="10.33203125" style="1"/>
    <col min="6374" max="6374" width="4.44140625" style="1" customWidth="1"/>
    <col min="6375" max="6375" width="21.6640625" style="1" customWidth="1"/>
    <col min="6376" max="6376" width="15" style="1" customWidth="1"/>
    <col min="6377" max="6377" width="15.44140625" style="1" customWidth="1"/>
    <col min="6378" max="6378" width="11.5546875" style="1" customWidth="1"/>
    <col min="6379" max="6379" width="7.44140625" style="1" customWidth="1"/>
    <col min="6380" max="6380" width="14.109375" style="1" customWidth="1"/>
    <col min="6381" max="6381" width="10.6640625" style="1" customWidth="1"/>
    <col min="6382" max="6382" width="13.44140625" style="1" customWidth="1"/>
    <col min="6383" max="6383" width="11.44140625" style="1" customWidth="1"/>
    <col min="6384" max="6384" width="15" style="1" customWidth="1"/>
    <col min="6385" max="6385" width="14.5546875" style="1" customWidth="1"/>
    <col min="6386" max="6386" width="10.33203125" style="1"/>
    <col min="6387" max="6387" width="7.44140625" style="1" customWidth="1"/>
    <col min="6388" max="6388" width="12.88671875" style="1" customWidth="1"/>
    <col min="6389" max="6389" width="11.109375" style="1" customWidth="1"/>
    <col min="6390" max="6390" width="14" style="1" customWidth="1"/>
    <col min="6391" max="6391" width="33" style="1" customWidth="1"/>
    <col min="6392" max="6392" width="6.6640625" style="1" customWidth="1"/>
    <col min="6393" max="6393" width="19" style="1" customWidth="1"/>
    <col min="6394" max="6394" width="19.109375" style="1" customWidth="1"/>
    <col min="6395" max="6395" width="21.33203125" style="1" customWidth="1"/>
    <col min="6396" max="6396" width="32.5546875" style="1" customWidth="1"/>
    <col min="6397" max="6397" width="16.88671875" style="1" customWidth="1"/>
    <col min="6398" max="6398" width="16.33203125" style="1" customWidth="1"/>
    <col min="6399" max="6629" width="10.33203125" style="1"/>
    <col min="6630" max="6630" width="4.44140625" style="1" customWidth="1"/>
    <col min="6631" max="6631" width="21.6640625" style="1" customWidth="1"/>
    <col min="6632" max="6632" width="15" style="1" customWidth="1"/>
    <col min="6633" max="6633" width="15.44140625" style="1" customWidth="1"/>
    <col min="6634" max="6634" width="11.5546875" style="1" customWidth="1"/>
    <col min="6635" max="6635" width="7.44140625" style="1" customWidth="1"/>
    <col min="6636" max="6636" width="14.109375" style="1" customWidth="1"/>
    <col min="6637" max="6637" width="10.6640625" style="1" customWidth="1"/>
    <col min="6638" max="6638" width="13.44140625" style="1" customWidth="1"/>
    <col min="6639" max="6639" width="11.44140625" style="1" customWidth="1"/>
    <col min="6640" max="6640" width="15" style="1" customWidth="1"/>
    <col min="6641" max="6641" width="14.5546875" style="1" customWidth="1"/>
    <col min="6642" max="6642" width="10.33203125" style="1"/>
    <col min="6643" max="6643" width="7.44140625" style="1" customWidth="1"/>
    <col min="6644" max="6644" width="12.88671875" style="1" customWidth="1"/>
    <col min="6645" max="6645" width="11.109375" style="1" customWidth="1"/>
    <col min="6646" max="6646" width="14" style="1" customWidth="1"/>
    <col min="6647" max="6647" width="33" style="1" customWidth="1"/>
    <col min="6648" max="6648" width="6.6640625" style="1" customWidth="1"/>
    <col min="6649" max="6649" width="19" style="1" customWidth="1"/>
    <col min="6650" max="6650" width="19.109375" style="1" customWidth="1"/>
    <col min="6651" max="6651" width="21.33203125" style="1" customWidth="1"/>
    <col min="6652" max="6652" width="32.5546875" style="1" customWidth="1"/>
    <col min="6653" max="6653" width="16.88671875" style="1" customWidth="1"/>
    <col min="6654" max="6654" width="16.33203125" style="1" customWidth="1"/>
    <col min="6655" max="6885" width="10.33203125" style="1"/>
    <col min="6886" max="6886" width="4.44140625" style="1" customWidth="1"/>
    <col min="6887" max="6887" width="21.6640625" style="1" customWidth="1"/>
    <col min="6888" max="6888" width="15" style="1" customWidth="1"/>
    <col min="6889" max="6889" width="15.44140625" style="1" customWidth="1"/>
    <col min="6890" max="6890" width="11.5546875" style="1" customWidth="1"/>
    <col min="6891" max="6891" width="7.44140625" style="1" customWidth="1"/>
    <col min="6892" max="6892" width="14.109375" style="1" customWidth="1"/>
    <col min="6893" max="6893" width="10.6640625" style="1" customWidth="1"/>
    <col min="6894" max="6894" width="13.44140625" style="1" customWidth="1"/>
    <col min="6895" max="6895" width="11.44140625" style="1" customWidth="1"/>
    <col min="6896" max="6896" width="15" style="1" customWidth="1"/>
    <col min="6897" max="6897" width="14.5546875" style="1" customWidth="1"/>
    <col min="6898" max="6898" width="10.33203125" style="1"/>
    <col min="6899" max="6899" width="7.44140625" style="1" customWidth="1"/>
    <col min="6900" max="6900" width="12.88671875" style="1" customWidth="1"/>
    <col min="6901" max="6901" width="11.109375" style="1" customWidth="1"/>
    <col min="6902" max="6902" width="14" style="1" customWidth="1"/>
    <col min="6903" max="6903" width="33" style="1" customWidth="1"/>
    <col min="6904" max="6904" width="6.6640625" style="1" customWidth="1"/>
    <col min="6905" max="6905" width="19" style="1" customWidth="1"/>
    <col min="6906" max="6906" width="19.109375" style="1" customWidth="1"/>
    <col min="6907" max="6907" width="21.33203125" style="1" customWidth="1"/>
    <col min="6908" max="6908" width="32.5546875" style="1" customWidth="1"/>
    <col min="6909" max="6909" width="16.88671875" style="1" customWidth="1"/>
    <col min="6910" max="6910" width="16.33203125" style="1" customWidth="1"/>
    <col min="6911" max="7141" width="10.33203125" style="1"/>
    <col min="7142" max="7142" width="4.44140625" style="1" customWidth="1"/>
    <col min="7143" max="7143" width="21.6640625" style="1" customWidth="1"/>
    <col min="7144" max="7144" width="15" style="1" customWidth="1"/>
    <col min="7145" max="7145" width="15.44140625" style="1" customWidth="1"/>
    <col min="7146" max="7146" width="11.5546875" style="1" customWidth="1"/>
    <col min="7147" max="7147" width="7.44140625" style="1" customWidth="1"/>
    <col min="7148" max="7148" width="14.109375" style="1" customWidth="1"/>
    <col min="7149" max="7149" width="10.6640625" style="1" customWidth="1"/>
    <col min="7150" max="7150" width="13.44140625" style="1" customWidth="1"/>
    <col min="7151" max="7151" width="11.44140625" style="1" customWidth="1"/>
    <col min="7152" max="7152" width="15" style="1" customWidth="1"/>
    <col min="7153" max="7153" width="14.5546875" style="1" customWidth="1"/>
    <col min="7154" max="7154" width="10.33203125" style="1"/>
    <col min="7155" max="7155" width="7.44140625" style="1" customWidth="1"/>
    <col min="7156" max="7156" width="12.88671875" style="1" customWidth="1"/>
    <col min="7157" max="7157" width="11.109375" style="1" customWidth="1"/>
    <col min="7158" max="7158" width="14" style="1" customWidth="1"/>
    <col min="7159" max="7159" width="33" style="1" customWidth="1"/>
    <col min="7160" max="7160" width="6.6640625" style="1" customWidth="1"/>
    <col min="7161" max="7161" width="19" style="1" customWidth="1"/>
    <col min="7162" max="7162" width="19.109375" style="1" customWidth="1"/>
    <col min="7163" max="7163" width="21.33203125" style="1" customWidth="1"/>
    <col min="7164" max="7164" width="32.5546875" style="1" customWidth="1"/>
    <col min="7165" max="7165" width="16.88671875" style="1" customWidth="1"/>
    <col min="7166" max="7166" width="16.33203125" style="1" customWidth="1"/>
    <col min="7167" max="7397" width="10.33203125" style="1"/>
    <col min="7398" max="7398" width="4.44140625" style="1" customWidth="1"/>
    <col min="7399" max="7399" width="21.6640625" style="1" customWidth="1"/>
    <col min="7400" max="7400" width="15" style="1" customWidth="1"/>
    <col min="7401" max="7401" width="15.44140625" style="1" customWidth="1"/>
    <col min="7402" max="7402" width="11.5546875" style="1" customWidth="1"/>
    <col min="7403" max="7403" width="7.44140625" style="1" customWidth="1"/>
    <col min="7404" max="7404" width="14.109375" style="1" customWidth="1"/>
    <col min="7405" max="7405" width="10.6640625" style="1" customWidth="1"/>
    <col min="7406" max="7406" width="13.44140625" style="1" customWidth="1"/>
    <col min="7407" max="7407" width="11.44140625" style="1" customWidth="1"/>
    <col min="7408" max="7408" width="15" style="1" customWidth="1"/>
    <col min="7409" max="7409" width="14.5546875" style="1" customWidth="1"/>
    <col min="7410" max="7410" width="10.33203125" style="1"/>
    <col min="7411" max="7411" width="7.44140625" style="1" customWidth="1"/>
    <col min="7412" max="7412" width="12.88671875" style="1" customWidth="1"/>
    <col min="7413" max="7413" width="11.109375" style="1" customWidth="1"/>
    <col min="7414" max="7414" width="14" style="1" customWidth="1"/>
    <col min="7415" max="7415" width="33" style="1" customWidth="1"/>
    <col min="7416" max="7416" width="6.6640625" style="1" customWidth="1"/>
    <col min="7417" max="7417" width="19" style="1" customWidth="1"/>
    <col min="7418" max="7418" width="19.109375" style="1" customWidth="1"/>
    <col min="7419" max="7419" width="21.33203125" style="1" customWidth="1"/>
    <col min="7420" max="7420" width="32.5546875" style="1" customWidth="1"/>
    <col min="7421" max="7421" width="16.88671875" style="1" customWidth="1"/>
    <col min="7422" max="7422" width="16.33203125" style="1" customWidth="1"/>
    <col min="7423" max="7653" width="10.33203125" style="1"/>
    <col min="7654" max="7654" width="4.44140625" style="1" customWidth="1"/>
    <col min="7655" max="7655" width="21.6640625" style="1" customWidth="1"/>
    <col min="7656" max="7656" width="15" style="1" customWidth="1"/>
    <col min="7657" max="7657" width="15.44140625" style="1" customWidth="1"/>
    <col min="7658" max="7658" width="11.5546875" style="1" customWidth="1"/>
    <col min="7659" max="7659" width="7.44140625" style="1" customWidth="1"/>
    <col min="7660" max="7660" width="14.109375" style="1" customWidth="1"/>
    <col min="7661" max="7661" width="10.6640625" style="1" customWidth="1"/>
    <col min="7662" max="7662" width="13.44140625" style="1" customWidth="1"/>
    <col min="7663" max="7663" width="11.44140625" style="1" customWidth="1"/>
    <col min="7664" max="7664" width="15" style="1" customWidth="1"/>
    <col min="7665" max="7665" width="14.5546875" style="1" customWidth="1"/>
    <col min="7666" max="7666" width="10.33203125" style="1"/>
    <col min="7667" max="7667" width="7.44140625" style="1" customWidth="1"/>
    <col min="7668" max="7668" width="12.88671875" style="1" customWidth="1"/>
    <col min="7669" max="7669" width="11.109375" style="1" customWidth="1"/>
    <col min="7670" max="7670" width="14" style="1" customWidth="1"/>
    <col min="7671" max="7671" width="33" style="1" customWidth="1"/>
    <col min="7672" max="7672" width="6.6640625" style="1" customWidth="1"/>
    <col min="7673" max="7673" width="19" style="1" customWidth="1"/>
    <col min="7674" max="7674" width="19.109375" style="1" customWidth="1"/>
    <col min="7675" max="7675" width="21.33203125" style="1" customWidth="1"/>
    <col min="7676" max="7676" width="32.5546875" style="1" customWidth="1"/>
    <col min="7677" max="7677" width="16.88671875" style="1" customWidth="1"/>
    <col min="7678" max="7678" width="16.33203125" style="1" customWidth="1"/>
    <col min="7679" max="7909" width="10.33203125" style="1"/>
    <col min="7910" max="7910" width="4.44140625" style="1" customWidth="1"/>
    <col min="7911" max="7911" width="21.6640625" style="1" customWidth="1"/>
    <col min="7912" max="7912" width="15" style="1" customWidth="1"/>
    <col min="7913" max="7913" width="15.44140625" style="1" customWidth="1"/>
    <col min="7914" max="7914" width="11.5546875" style="1" customWidth="1"/>
    <col min="7915" max="7915" width="7.44140625" style="1" customWidth="1"/>
    <col min="7916" max="7916" width="14.109375" style="1" customWidth="1"/>
    <col min="7917" max="7917" width="10.6640625" style="1" customWidth="1"/>
    <col min="7918" max="7918" width="13.44140625" style="1" customWidth="1"/>
    <col min="7919" max="7919" width="11.44140625" style="1" customWidth="1"/>
    <col min="7920" max="7920" width="15" style="1" customWidth="1"/>
    <col min="7921" max="7921" width="14.5546875" style="1" customWidth="1"/>
    <col min="7922" max="7922" width="10.33203125" style="1"/>
    <col min="7923" max="7923" width="7.44140625" style="1" customWidth="1"/>
    <col min="7924" max="7924" width="12.88671875" style="1" customWidth="1"/>
    <col min="7925" max="7925" width="11.109375" style="1" customWidth="1"/>
    <col min="7926" max="7926" width="14" style="1" customWidth="1"/>
    <col min="7927" max="7927" width="33" style="1" customWidth="1"/>
    <col min="7928" max="7928" width="6.6640625" style="1" customWidth="1"/>
    <col min="7929" max="7929" width="19" style="1" customWidth="1"/>
    <col min="7930" max="7930" width="19.109375" style="1" customWidth="1"/>
    <col min="7931" max="7931" width="21.33203125" style="1" customWidth="1"/>
    <col min="7932" max="7932" width="32.5546875" style="1" customWidth="1"/>
    <col min="7933" max="7933" width="16.88671875" style="1" customWidth="1"/>
    <col min="7934" max="7934" width="16.33203125" style="1" customWidth="1"/>
    <col min="7935" max="8165" width="10.33203125" style="1"/>
    <col min="8166" max="8166" width="4.44140625" style="1" customWidth="1"/>
    <col min="8167" max="8167" width="21.6640625" style="1" customWidth="1"/>
    <col min="8168" max="8168" width="15" style="1" customWidth="1"/>
    <col min="8169" max="8169" width="15.44140625" style="1" customWidth="1"/>
    <col min="8170" max="8170" width="11.5546875" style="1" customWidth="1"/>
    <col min="8171" max="8171" width="7.44140625" style="1" customWidth="1"/>
    <col min="8172" max="8172" width="14.109375" style="1" customWidth="1"/>
    <col min="8173" max="8173" width="10.6640625" style="1" customWidth="1"/>
    <col min="8174" max="8174" width="13.44140625" style="1" customWidth="1"/>
    <col min="8175" max="8175" width="11.44140625" style="1" customWidth="1"/>
    <col min="8176" max="8176" width="15" style="1" customWidth="1"/>
    <col min="8177" max="8177" width="14.5546875" style="1" customWidth="1"/>
    <col min="8178" max="8178" width="10.33203125" style="1"/>
    <col min="8179" max="8179" width="7.44140625" style="1" customWidth="1"/>
    <col min="8180" max="8180" width="12.88671875" style="1" customWidth="1"/>
    <col min="8181" max="8181" width="11.109375" style="1" customWidth="1"/>
    <col min="8182" max="8182" width="14" style="1" customWidth="1"/>
    <col min="8183" max="8183" width="33" style="1" customWidth="1"/>
    <col min="8184" max="8184" width="6.6640625" style="1" customWidth="1"/>
    <col min="8185" max="8185" width="19" style="1" customWidth="1"/>
    <col min="8186" max="8186" width="19.109375" style="1" customWidth="1"/>
    <col min="8187" max="8187" width="21.33203125" style="1" customWidth="1"/>
    <col min="8188" max="8188" width="32.5546875" style="1" customWidth="1"/>
    <col min="8189" max="8189" width="16.88671875" style="1" customWidth="1"/>
    <col min="8190" max="8190" width="16.33203125" style="1" customWidth="1"/>
    <col min="8191" max="8421" width="10.33203125" style="1"/>
    <col min="8422" max="8422" width="4.44140625" style="1" customWidth="1"/>
    <col min="8423" max="8423" width="21.6640625" style="1" customWidth="1"/>
    <col min="8424" max="8424" width="15" style="1" customWidth="1"/>
    <col min="8425" max="8425" width="15.44140625" style="1" customWidth="1"/>
    <col min="8426" max="8426" width="11.5546875" style="1" customWidth="1"/>
    <col min="8427" max="8427" width="7.44140625" style="1" customWidth="1"/>
    <col min="8428" max="8428" width="14.109375" style="1" customWidth="1"/>
    <col min="8429" max="8429" width="10.6640625" style="1" customWidth="1"/>
    <col min="8430" max="8430" width="13.44140625" style="1" customWidth="1"/>
    <col min="8431" max="8431" width="11.44140625" style="1" customWidth="1"/>
    <col min="8432" max="8432" width="15" style="1" customWidth="1"/>
    <col min="8433" max="8433" width="14.5546875" style="1" customWidth="1"/>
    <col min="8434" max="8434" width="10.33203125" style="1"/>
    <col min="8435" max="8435" width="7.44140625" style="1" customWidth="1"/>
    <col min="8436" max="8436" width="12.88671875" style="1" customWidth="1"/>
    <col min="8437" max="8437" width="11.109375" style="1" customWidth="1"/>
    <col min="8438" max="8438" width="14" style="1" customWidth="1"/>
    <col min="8439" max="8439" width="33" style="1" customWidth="1"/>
    <col min="8440" max="8440" width="6.6640625" style="1" customWidth="1"/>
    <col min="8441" max="8441" width="19" style="1" customWidth="1"/>
    <col min="8442" max="8442" width="19.109375" style="1" customWidth="1"/>
    <col min="8443" max="8443" width="21.33203125" style="1" customWidth="1"/>
    <col min="8444" max="8444" width="32.5546875" style="1" customWidth="1"/>
    <col min="8445" max="8445" width="16.88671875" style="1" customWidth="1"/>
    <col min="8446" max="8446" width="16.33203125" style="1" customWidth="1"/>
    <col min="8447" max="8677" width="10.33203125" style="1"/>
    <col min="8678" max="8678" width="4.44140625" style="1" customWidth="1"/>
    <col min="8679" max="8679" width="21.6640625" style="1" customWidth="1"/>
    <col min="8680" max="8680" width="15" style="1" customWidth="1"/>
    <col min="8681" max="8681" width="15.44140625" style="1" customWidth="1"/>
    <col min="8682" max="8682" width="11.5546875" style="1" customWidth="1"/>
    <col min="8683" max="8683" width="7.44140625" style="1" customWidth="1"/>
    <col min="8684" max="8684" width="14.109375" style="1" customWidth="1"/>
    <col min="8685" max="8685" width="10.6640625" style="1" customWidth="1"/>
    <col min="8686" max="8686" width="13.44140625" style="1" customWidth="1"/>
    <col min="8687" max="8687" width="11.44140625" style="1" customWidth="1"/>
    <col min="8688" max="8688" width="15" style="1" customWidth="1"/>
    <col min="8689" max="8689" width="14.5546875" style="1" customWidth="1"/>
    <col min="8690" max="8690" width="10.33203125" style="1"/>
    <col min="8691" max="8691" width="7.44140625" style="1" customWidth="1"/>
    <col min="8692" max="8692" width="12.88671875" style="1" customWidth="1"/>
    <col min="8693" max="8693" width="11.109375" style="1" customWidth="1"/>
    <col min="8694" max="8694" width="14" style="1" customWidth="1"/>
    <col min="8695" max="8695" width="33" style="1" customWidth="1"/>
    <col min="8696" max="8696" width="6.6640625" style="1" customWidth="1"/>
    <col min="8697" max="8697" width="19" style="1" customWidth="1"/>
    <col min="8698" max="8698" width="19.109375" style="1" customWidth="1"/>
    <col min="8699" max="8699" width="21.33203125" style="1" customWidth="1"/>
    <col min="8700" max="8700" width="32.5546875" style="1" customWidth="1"/>
    <col min="8701" max="8701" width="16.88671875" style="1" customWidth="1"/>
    <col min="8702" max="8702" width="16.33203125" style="1" customWidth="1"/>
    <col min="8703" max="8933" width="10.33203125" style="1"/>
    <col min="8934" max="8934" width="4.44140625" style="1" customWidth="1"/>
    <col min="8935" max="8935" width="21.6640625" style="1" customWidth="1"/>
    <col min="8936" max="8936" width="15" style="1" customWidth="1"/>
    <col min="8937" max="8937" width="15.44140625" style="1" customWidth="1"/>
    <col min="8938" max="8938" width="11.5546875" style="1" customWidth="1"/>
    <col min="8939" max="8939" width="7.44140625" style="1" customWidth="1"/>
    <col min="8940" max="8940" width="14.109375" style="1" customWidth="1"/>
    <col min="8941" max="8941" width="10.6640625" style="1" customWidth="1"/>
    <col min="8942" max="8942" width="13.44140625" style="1" customWidth="1"/>
    <col min="8943" max="8943" width="11.44140625" style="1" customWidth="1"/>
    <col min="8944" max="8944" width="15" style="1" customWidth="1"/>
    <col min="8945" max="8945" width="14.5546875" style="1" customWidth="1"/>
    <col min="8946" max="8946" width="10.33203125" style="1"/>
    <col min="8947" max="8947" width="7.44140625" style="1" customWidth="1"/>
    <col min="8948" max="8948" width="12.88671875" style="1" customWidth="1"/>
    <col min="8949" max="8949" width="11.109375" style="1" customWidth="1"/>
    <col min="8950" max="8950" width="14" style="1" customWidth="1"/>
    <col min="8951" max="8951" width="33" style="1" customWidth="1"/>
    <col min="8952" max="8952" width="6.6640625" style="1" customWidth="1"/>
    <col min="8953" max="8953" width="19" style="1" customWidth="1"/>
    <col min="8954" max="8954" width="19.109375" style="1" customWidth="1"/>
    <col min="8955" max="8955" width="21.33203125" style="1" customWidth="1"/>
    <col min="8956" max="8956" width="32.5546875" style="1" customWidth="1"/>
    <col min="8957" max="8957" width="16.88671875" style="1" customWidth="1"/>
    <col min="8958" max="8958" width="16.33203125" style="1" customWidth="1"/>
    <col min="8959" max="9189" width="10.33203125" style="1"/>
    <col min="9190" max="9190" width="4.44140625" style="1" customWidth="1"/>
    <col min="9191" max="9191" width="21.6640625" style="1" customWidth="1"/>
    <col min="9192" max="9192" width="15" style="1" customWidth="1"/>
    <col min="9193" max="9193" width="15.44140625" style="1" customWidth="1"/>
    <col min="9194" max="9194" width="11.5546875" style="1" customWidth="1"/>
    <col min="9195" max="9195" width="7.44140625" style="1" customWidth="1"/>
    <col min="9196" max="9196" width="14.109375" style="1" customWidth="1"/>
    <col min="9197" max="9197" width="10.6640625" style="1" customWidth="1"/>
    <col min="9198" max="9198" width="13.44140625" style="1" customWidth="1"/>
    <col min="9199" max="9199" width="11.44140625" style="1" customWidth="1"/>
    <col min="9200" max="9200" width="15" style="1" customWidth="1"/>
    <col min="9201" max="9201" width="14.5546875" style="1" customWidth="1"/>
    <col min="9202" max="9202" width="10.33203125" style="1"/>
    <col min="9203" max="9203" width="7.44140625" style="1" customWidth="1"/>
    <col min="9204" max="9204" width="12.88671875" style="1" customWidth="1"/>
    <col min="9205" max="9205" width="11.109375" style="1" customWidth="1"/>
    <col min="9206" max="9206" width="14" style="1" customWidth="1"/>
    <col min="9207" max="9207" width="33" style="1" customWidth="1"/>
    <col min="9208" max="9208" width="6.6640625" style="1" customWidth="1"/>
    <col min="9209" max="9209" width="19" style="1" customWidth="1"/>
    <col min="9210" max="9210" width="19.109375" style="1" customWidth="1"/>
    <col min="9211" max="9211" width="21.33203125" style="1" customWidth="1"/>
    <col min="9212" max="9212" width="32.5546875" style="1" customWidth="1"/>
    <col min="9213" max="9213" width="16.88671875" style="1" customWidth="1"/>
    <col min="9214" max="9214" width="16.33203125" style="1" customWidth="1"/>
    <col min="9215" max="9445" width="10.33203125" style="1"/>
    <col min="9446" max="9446" width="4.44140625" style="1" customWidth="1"/>
    <col min="9447" max="9447" width="21.6640625" style="1" customWidth="1"/>
    <col min="9448" max="9448" width="15" style="1" customWidth="1"/>
    <col min="9449" max="9449" width="15.44140625" style="1" customWidth="1"/>
    <col min="9450" max="9450" width="11.5546875" style="1" customWidth="1"/>
    <col min="9451" max="9451" width="7.44140625" style="1" customWidth="1"/>
    <col min="9452" max="9452" width="14.109375" style="1" customWidth="1"/>
    <col min="9453" max="9453" width="10.6640625" style="1" customWidth="1"/>
    <col min="9454" max="9454" width="13.44140625" style="1" customWidth="1"/>
    <col min="9455" max="9455" width="11.44140625" style="1" customWidth="1"/>
    <col min="9456" max="9456" width="15" style="1" customWidth="1"/>
    <col min="9457" max="9457" width="14.5546875" style="1" customWidth="1"/>
    <col min="9458" max="9458" width="10.33203125" style="1"/>
    <col min="9459" max="9459" width="7.44140625" style="1" customWidth="1"/>
    <col min="9460" max="9460" width="12.88671875" style="1" customWidth="1"/>
    <col min="9461" max="9461" width="11.109375" style="1" customWidth="1"/>
    <col min="9462" max="9462" width="14" style="1" customWidth="1"/>
    <col min="9463" max="9463" width="33" style="1" customWidth="1"/>
    <col min="9464" max="9464" width="6.6640625" style="1" customWidth="1"/>
    <col min="9465" max="9465" width="19" style="1" customWidth="1"/>
    <col min="9466" max="9466" width="19.109375" style="1" customWidth="1"/>
    <col min="9467" max="9467" width="21.33203125" style="1" customWidth="1"/>
    <col min="9468" max="9468" width="32.5546875" style="1" customWidth="1"/>
    <col min="9469" max="9469" width="16.88671875" style="1" customWidth="1"/>
    <col min="9470" max="9470" width="16.33203125" style="1" customWidth="1"/>
    <col min="9471" max="9701" width="10.33203125" style="1"/>
    <col min="9702" max="9702" width="4.44140625" style="1" customWidth="1"/>
    <col min="9703" max="9703" width="21.6640625" style="1" customWidth="1"/>
    <col min="9704" max="9704" width="15" style="1" customWidth="1"/>
    <col min="9705" max="9705" width="15.44140625" style="1" customWidth="1"/>
    <col min="9706" max="9706" width="11.5546875" style="1" customWidth="1"/>
    <col min="9707" max="9707" width="7.44140625" style="1" customWidth="1"/>
    <col min="9708" max="9708" width="14.109375" style="1" customWidth="1"/>
    <col min="9709" max="9709" width="10.6640625" style="1" customWidth="1"/>
    <col min="9710" max="9710" width="13.44140625" style="1" customWidth="1"/>
    <col min="9711" max="9711" width="11.44140625" style="1" customWidth="1"/>
    <col min="9712" max="9712" width="15" style="1" customWidth="1"/>
    <col min="9713" max="9713" width="14.5546875" style="1" customWidth="1"/>
    <col min="9714" max="9714" width="10.33203125" style="1"/>
    <col min="9715" max="9715" width="7.44140625" style="1" customWidth="1"/>
    <col min="9716" max="9716" width="12.88671875" style="1" customWidth="1"/>
    <col min="9717" max="9717" width="11.109375" style="1" customWidth="1"/>
    <col min="9718" max="9718" width="14" style="1" customWidth="1"/>
    <col min="9719" max="9719" width="33" style="1" customWidth="1"/>
    <col min="9720" max="9720" width="6.6640625" style="1" customWidth="1"/>
    <col min="9721" max="9721" width="19" style="1" customWidth="1"/>
    <col min="9722" max="9722" width="19.109375" style="1" customWidth="1"/>
    <col min="9723" max="9723" width="21.33203125" style="1" customWidth="1"/>
    <col min="9724" max="9724" width="32.5546875" style="1" customWidth="1"/>
    <col min="9725" max="9725" width="16.88671875" style="1" customWidth="1"/>
    <col min="9726" max="9726" width="16.33203125" style="1" customWidth="1"/>
    <col min="9727" max="9957" width="10.33203125" style="1"/>
    <col min="9958" max="9958" width="4.44140625" style="1" customWidth="1"/>
    <col min="9959" max="9959" width="21.6640625" style="1" customWidth="1"/>
    <col min="9960" max="9960" width="15" style="1" customWidth="1"/>
    <col min="9961" max="9961" width="15.44140625" style="1" customWidth="1"/>
    <col min="9962" max="9962" width="11.5546875" style="1" customWidth="1"/>
    <col min="9963" max="9963" width="7.44140625" style="1" customWidth="1"/>
    <col min="9964" max="9964" width="14.109375" style="1" customWidth="1"/>
    <col min="9965" max="9965" width="10.6640625" style="1" customWidth="1"/>
    <col min="9966" max="9966" width="13.44140625" style="1" customWidth="1"/>
    <col min="9967" max="9967" width="11.44140625" style="1" customWidth="1"/>
    <col min="9968" max="9968" width="15" style="1" customWidth="1"/>
    <col min="9969" max="9969" width="14.5546875" style="1" customWidth="1"/>
    <col min="9970" max="9970" width="10.33203125" style="1"/>
    <col min="9971" max="9971" width="7.44140625" style="1" customWidth="1"/>
    <col min="9972" max="9972" width="12.88671875" style="1" customWidth="1"/>
    <col min="9973" max="9973" width="11.109375" style="1" customWidth="1"/>
    <col min="9974" max="9974" width="14" style="1" customWidth="1"/>
    <col min="9975" max="9975" width="33" style="1" customWidth="1"/>
    <col min="9976" max="9976" width="6.6640625" style="1" customWidth="1"/>
    <col min="9977" max="9977" width="19" style="1" customWidth="1"/>
    <col min="9978" max="9978" width="19.109375" style="1" customWidth="1"/>
    <col min="9979" max="9979" width="21.33203125" style="1" customWidth="1"/>
    <col min="9980" max="9980" width="32.5546875" style="1" customWidth="1"/>
    <col min="9981" max="9981" width="16.88671875" style="1" customWidth="1"/>
    <col min="9982" max="9982" width="16.33203125" style="1" customWidth="1"/>
    <col min="9983" max="10213" width="10.33203125" style="1"/>
    <col min="10214" max="10214" width="4.44140625" style="1" customWidth="1"/>
    <col min="10215" max="10215" width="21.6640625" style="1" customWidth="1"/>
    <col min="10216" max="10216" width="15" style="1" customWidth="1"/>
    <col min="10217" max="10217" width="15.44140625" style="1" customWidth="1"/>
    <col min="10218" max="10218" width="11.5546875" style="1" customWidth="1"/>
    <col min="10219" max="10219" width="7.44140625" style="1" customWidth="1"/>
    <col min="10220" max="10220" width="14.109375" style="1" customWidth="1"/>
    <col min="10221" max="10221" width="10.6640625" style="1" customWidth="1"/>
    <col min="10222" max="10222" width="13.44140625" style="1" customWidth="1"/>
    <col min="10223" max="10223" width="11.44140625" style="1" customWidth="1"/>
    <col min="10224" max="10224" width="15" style="1" customWidth="1"/>
    <col min="10225" max="10225" width="14.5546875" style="1" customWidth="1"/>
    <col min="10226" max="10226" width="10.33203125" style="1"/>
    <col min="10227" max="10227" width="7.44140625" style="1" customWidth="1"/>
    <col min="10228" max="10228" width="12.88671875" style="1" customWidth="1"/>
    <col min="10229" max="10229" width="11.109375" style="1" customWidth="1"/>
    <col min="10230" max="10230" width="14" style="1" customWidth="1"/>
    <col min="10231" max="10231" width="33" style="1" customWidth="1"/>
    <col min="10232" max="10232" width="6.6640625" style="1" customWidth="1"/>
    <col min="10233" max="10233" width="19" style="1" customWidth="1"/>
    <col min="10234" max="10234" width="19.109375" style="1" customWidth="1"/>
    <col min="10235" max="10235" width="21.33203125" style="1" customWidth="1"/>
    <col min="10236" max="10236" width="32.5546875" style="1" customWidth="1"/>
    <col min="10237" max="10237" width="16.88671875" style="1" customWidth="1"/>
    <col min="10238" max="10238" width="16.33203125" style="1" customWidth="1"/>
    <col min="10239" max="10469" width="10.33203125" style="1"/>
    <col min="10470" max="10470" width="4.44140625" style="1" customWidth="1"/>
    <col min="10471" max="10471" width="21.6640625" style="1" customWidth="1"/>
    <col min="10472" max="10472" width="15" style="1" customWidth="1"/>
    <col min="10473" max="10473" width="15.44140625" style="1" customWidth="1"/>
    <col min="10474" max="10474" width="11.5546875" style="1" customWidth="1"/>
    <col min="10475" max="10475" width="7.44140625" style="1" customWidth="1"/>
    <col min="10476" max="10476" width="14.109375" style="1" customWidth="1"/>
    <col min="10477" max="10477" width="10.6640625" style="1" customWidth="1"/>
    <col min="10478" max="10478" width="13.44140625" style="1" customWidth="1"/>
    <col min="10479" max="10479" width="11.44140625" style="1" customWidth="1"/>
    <col min="10480" max="10480" width="15" style="1" customWidth="1"/>
    <col min="10481" max="10481" width="14.5546875" style="1" customWidth="1"/>
    <col min="10482" max="10482" width="10.33203125" style="1"/>
    <col min="10483" max="10483" width="7.44140625" style="1" customWidth="1"/>
    <col min="10484" max="10484" width="12.88671875" style="1" customWidth="1"/>
    <col min="10485" max="10485" width="11.109375" style="1" customWidth="1"/>
    <col min="10486" max="10486" width="14" style="1" customWidth="1"/>
    <col min="10487" max="10487" width="33" style="1" customWidth="1"/>
    <col min="10488" max="10488" width="6.6640625" style="1" customWidth="1"/>
    <col min="10489" max="10489" width="19" style="1" customWidth="1"/>
    <col min="10490" max="10490" width="19.109375" style="1" customWidth="1"/>
    <col min="10491" max="10491" width="21.33203125" style="1" customWidth="1"/>
    <col min="10492" max="10492" width="32.5546875" style="1" customWidth="1"/>
    <col min="10493" max="10493" width="16.88671875" style="1" customWidth="1"/>
    <col min="10494" max="10494" width="16.33203125" style="1" customWidth="1"/>
    <col min="10495" max="10725" width="10.33203125" style="1"/>
    <col min="10726" max="10726" width="4.44140625" style="1" customWidth="1"/>
    <col min="10727" max="10727" width="21.6640625" style="1" customWidth="1"/>
    <col min="10728" max="10728" width="15" style="1" customWidth="1"/>
    <col min="10729" max="10729" width="15.44140625" style="1" customWidth="1"/>
    <col min="10730" max="10730" width="11.5546875" style="1" customWidth="1"/>
    <col min="10731" max="10731" width="7.44140625" style="1" customWidth="1"/>
    <col min="10732" max="10732" width="14.109375" style="1" customWidth="1"/>
    <col min="10733" max="10733" width="10.6640625" style="1" customWidth="1"/>
    <col min="10734" max="10734" width="13.44140625" style="1" customWidth="1"/>
    <col min="10735" max="10735" width="11.44140625" style="1" customWidth="1"/>
    <col min="10736" max="10736" width="15" style="1" customWidth="1"/>
    <col min="10737" max="10737" width="14.5546875" style="1" customWidth="1"/>
    <col min="10738" max="10738" width="10.33203125" style="1"/>
    <col min="10739" max="10739" width="7.44140625" style="1" customWidth="1"/>
    <col min="10740" max="10740" width="12.88671875" style="1" customWidth="1"/>
    <col min="10741" max="10741" width="11.109375" style="1" customWidth="1"/>
    <col min="10742" max="10742" width="14" style="1" customWidth="1"/>
    <col min="10743" max="10743" width="33" style="1" customWidth="1"/>
    <col min="10744" max="10744" width="6.6640625" style="1" customWidth="1"/>
    <col min="10745" max="10745" width="19" style="1" customWidth="1"/>
    <col min="10746" max="10746" width="19.109375" style="1" customWidth="1"/>
    <col min="10747" max="10747" width="21.33203125" style="1" customWidth="1"/>
    <col min="10748" max="10748" width="32.5546875" style="1" customWidth="1"/>
    <col min="10749" max="10749" width="16.88671875" style="1" customWidth="1"/>
    <col min="10750" max="10750" width="16.33203125" style="1" customWidth="1"/>
    <col min="10751" max="10981" width="10.33203125" style="1"/>
    <col min="10982" max="10982" width="4.44140625" style="1" customWidth="1"/>
    <col min="10983" max="10983" width="21.6640625" style="1" customWidth="1"/>
    <col min="10984" max="10984" width="15" style="1" customWidth="1"/>
    <col min="10985" max="10985" width="15.44140625" style="1" customWidth="1"/>
    <col min="10986" max="10986" width="11.5546875" style="1" customWidth="1"/>
    <col min="10987" max="10987" width="7.44140625" style="1" customWidth="1"/>
    <col min="10988" max="10988" width="14.109375" style="1" customWidth="1"/>
    <col min="10989" max="10989" width="10.6640625" style="1" customWidth="1"/>
    <col min="10990" max="10990" width="13.44140625" style="1" customWidth="1"/>
    <col min="10991" max="10991" width="11.44140625" style="1" customWidth="1"/>
    <col min="10992" max="10992" width="15" style="1" customWidth="1"/>
    <col min="10993" max="10993" width="14.5546875" style="1" customWidth="1"/>
    <col min="10994" max="10994" width="10.33203125" style="1"/>
    <col min="10995" max="10995" width="7.44140625" style="1" customWidth="1"/>
    <col min="10996" max="10996" width="12.88671875" style="1" customWidth="1"/>
    <col min="10997" max="10997" width="11.109375" style="1" customWidth="1"/>
    <col min="10998" max="10998" width="14" style="1" customWidth="1"/>
    <col min="10999" max="10999" width="33" style="1" customWidth="1"/>
    <col min="11000" max="11000" width="6.6640625" style="1" customWidth="1"/>
    <col min="11001" max="11001" width="19" style="1" customWidth="1"/>
    <col min="11002" max="11002" width="19.109375" style="1" customWidth="1"/>
    <col min="11003" max="11003" width="21.33203125" style="1" customWidth="1"/>
    <col min="11004" max="11004" width="32.5546875" style="1" customWidth="1"/>
    <col min="11005" max="11005" width="16.88671875" style="1" customWidth="1"/>
    <col min="11006" max="11006" width="16.33203125" style="1" customWidth="1"/>
    <col min="11007" max="11237" width="10.33203125" style="1"/>
    <col min="11238" max="11238" width="4.44140625" style="1" customWidth="1"/>
    <col min="11239" max="11239" width="21.6640625" style="1" customWidth="1"/>
    <col min="11240" max="11240" width="15" style="1" customWidth="1"/>
    <col min="11241" max="11241" width="15.44140625" style="1" customWidth="1"/>
    <col min="11242" max="11242" width="11.5546875" style="1" customWidth="1"/>
    <col min="11243" max="11243" width="7.44140625" style="1" customWidth="1"/>
    <col min="11244" max="11244" width="14.109375" style="1" customWidth="1"/>
    <col min="11245" max="11245" width="10.6640625" style="1" customWidth="1"/>
    <col min="11246" max="11246" width="13.44140625" style="1" customWidth="1"/>
    <col min="11247" max="11247" width="11.44140625" style="1" customWidth="1"/>
    <col min="11248" max="11248" width="15" style="1" customWidth="1"/>
    <col min="11249" max="11249" width="14.5546875" style="1" customWidth="1"/>
    <col min="11250" max="11250" width="10.33203125" style="1"/>
    <col min="11251" max="11251" width="7.44140625" style="1" customWidth="1"/>
    <col min="11252" max="11252" width="12.88671875" style="1" customWidth="1"/>
    <col min="11253" max="11253" width="11.109375" style="1" customWidth="1"/>
    <col min="11254" max="11254" width="14" style="1" customWidth="1"/>
    <col min="11255" max="11255" width="33" style="1" customWidth="1"/>
    <col min="11256" max="11256" width="6.6640625" style="1" customWidth="1"/>
    <col min="11257" max="11257" width="19" style="1" customWidth="1"/>
    <col min="11258" max="11258" width="19.109375" style="1" customWidth="1"/>
    <col min="11259" max="11259" width="21.33203125" style="1" customWidth="1"/>
    <col min="11260" max="11260" width="32.5546875" style="1" customWidth="1"/>
    <col min="11261" max="11261" width="16.88671875" style="1" customWidth="1"/>
    <col min="11262" max="11262" width="16.33203125" style="1" customWidth="1"/>
    <col min="11263" max="11493" width="10.33203125" style="1"/>
    <col min="11494" max="11494" width="4.44140625" style="1" customWidth="1"/>
    <col min="11495" max="11495" width="21.6640625" style="1" customWidth="1"/>
    <col min="11496" max="11496" width="15" style="1" customWidth="1"/>
    <col min="11497" max="11497" width="15.44140625" style="1" customWidth="1"/>
    <col min="11498" max="11498" width="11.5546875" style="1" customWidth="1"/>
    <col min="11499" max="11499" width="7.44140625" style="1" customWidth="1"/>
    <col min="11500" max="11500" width="14.109375" style="1" customWidth="1"/>
    <col min="11501" max="11501" width="10.6640625" style="1" customWidth="1"/>
    <col min="11502" max="11502" width="13.44140625" style="1" customWidth="1"/>
    <col min="11503" max="11503" width="11.44140625" style="1" customWidth="1"/>
    <col min="11504" max="11504" width="15" style="1" customWidth="1"/>
    <col min="11505" max="11505" width="14.5546875" style="1" customWidth="1"/>
    <col min="11506" max="11506" width="10.33203125" style="1"/>
    <col min="11507" max="11507" width="7.44140625" style="1" customWidth="1"/>
    <col min="11508" max="11508" width="12.88671875" style="1" customWidth="1"/>
    <col min="11509" max="11509" width="11.109375" style="1" customWidth="1"/>
    <col min="11510" max="11510" width="14" style="1" customWidth="1"/>
    <col min="11511" max="11511" width="33" style="1" customWidth="1"/>
    <col min="11512" max="11512" width="6.6640625" style="1" customWidth="1"/>
    <col min="11513" max="11513" width="19" style="1" customWidth="1"/>
    <col min="11514" max="11514" width="19.109375" style="1" customWidth="1"/>
    <col min="11515" max="11515" width="21.33203125" style="1" customWidth="1"/>
    <col min="11516" max="11516" width="32.5546875" style="1" customWidth="1"/>
    <col min="11517" max="11517" width="16.88671875" style="1" customWidth="1"/>
    <col min="11518" max="11518" width="16.33203125" style="1" customWidth="1"/>
    <col min="11519" max="11749" width="10.33203125" style="1"/>
    <col min="11750" max="11750" width="4.44140625" style="1" customWidth="1"/>
    <col min="11751" max="11751" width="21.6640625" style="1" customWidth="1"/>
    <col min="11752" max="11752" width="15" style="1" customWidth="1"/>
    <col min="11753" max="11753" width="15.44140625" style="1" customWidth="1"/>
    <col min="11754" max="11754" width="11.5546875" style="1" customWidth="1"/>
    <col min="11755" max="11755" width="7.44140625" style="1" customWidth="1"/>
    <col min="11756" max="11756" width="14.109375" style="1" customWidth="1"/>
    <col min="11757" max="11757" width="10.6640625" style="1" customWidth="1"/>
    <col min="11758" max="11758" width="13.44140625" style="1" customWidth="1"/>
    <col min="11759" max="11759" width="11.44140625" style="1" customWidth="1"/>
    <col min="11760" max="11760" width="15" style="1" customWidth="1"/>
    <col min="11761" max="11761" width="14.5546875" style="1" customWidth="1"/>
    <col min="11762" max="11762" width="10.33203125" style="1"/>
    <col min="11763" max="11763" width="7.44140625" style="1" customWidth="1"/>
    <col min="11764" max="11764" width="12.88671875" style="1" customWidth="1"/>
    <col min="11765" max="11765" width="11.109375" style="1" customWidth="1"/>
    <col min="11766" max="11766" width="14" style="1" customWidth="1"/>
    <col min="11767" max="11767" width="33" style="1" customWidth="1"/>
    <col min="11768" max="11768" width="6.6640625" style="1" customWidth="1"/>
    <col min="11769" max="11769" width="19" style="1" customWidth="1"/>
    <col min="11770" max="11770" width="19.109375" style="1" customWidth="1"/>
    <col min="11771" max="11771" width="21.33203125" style="1" customWidth="1"/>
    <col min="11772" max="11772" width="32.5546875" style="1" customWidth="1"/>
    <col min="11773" max="11773" width="16.88671875" style="1" customWidth="1"/>
    <col min="11774" max="11774" width="16.33203125" style="1" customWidth="1"/>
    <col min="11775" max="12005" width="10.33203125" style="1"/>
    <col min="12006" max="12006" width="4.44140625" style="1" customWidth="1"/>
    <col min="12007" max="12007" width="21.6640625" style="1" customWidth="1"/>
    <col min="12008" max="12008" width="15" style="1" customWidth="1"/>
    <col min="12009" max="12009" width="15.44140625" style="1" customWidth="1"/>
    <col min="12010" max="12010" width="11.5546875" style="1" customWidth="1"/>
    <col min="12011" max="12011" width="7.44140625" style="1" customWidth="1"/>
    <col min="12012" max="12012" width="14.109375" style="1" customWidth="1"/>
    <col min="12013" max="12013" width="10.6640625" style="1" customWidth="1"/>
    <col min="12014" max="12014" width="13.44140625" style="1" customWidth="1"/>
    <col min="12015" max="12015" width="11.44140625" style="1" customWidth="1"/>
    <col min="12016" max="12016" width="15" style="1" customWidth="1"/>
    <col min="12017" max="12017" width="14.5546875" style="1" customWidth="1"/>
    <col min="12018" max="12018" width="10.33203125" style="1"/>
    <col min="12019" max="12019" width="7.44140625" style="1" customWidth="1"/>
    <col min="12020" max="12020" width="12.88671875" style="1" customWidth="1"/>
    <col min="12021" max="12021" width="11.109375" style="1" customWidth="1"/>
    <col min="12022" max="12022" width="14" style="1" customWidth="1"/>
    <col min="12023" max="12023" width="33" style="1" customWidth="1"/>
    <col min="12024" max="12024" width="6.6640625" style="1" customWidth="1"/>
    <col min="12025" max="12025" width="19" style="1" customWidth="1"/>
    <col min="12026" max="12026" width="19.109375" style="1" customWidth="1"/>
    <col min="12027" max="12027" width="21.33203125" style="1" customWidth="1"/>
    <col min="12028" max="12028" width="32.5546875" style="1" customWidth="1"/>
    <col min="12029" max="12029" width="16.88671875" style="1" customWidth="1"/>
    <col min="12030" max="12030" width="16.33203125" style="1" customWidth="1"/>
    <col min="12031" max="12261" width="10.33203125" style="1"/>
    <col min="12262" max="12262" width="4.44140625" style="1" customWidth="1"/>
    <col min="12263" max="12263" width="21.6640625" style="1" customWidth="1"/>
    <col min="12264" max="12264" width="15" style="1" customWidth="1"/>
    <col min="12265" max="12265" width="15.44140625" style="1" customWidth="1"/>
    <col min="12266" max="12266" width="11.5546875" style="1" customWidth="1"/>
    <col min="12267" max="12267" width="7.44140625" style="1" customWidth="1"/>
    <col min="12268" max="12268" width="14.109375" style="1" customWidth="1"/>
    <col min="12269" max="12269" width="10.6640625" style="1" customWidth="1"/>
    <col min="12270" max="12270" width="13.44140625" style="1" customWidth="1"/>
    <col min="12271" max="12271" width="11.44140625" style="1" customWidth="1"/>
    <col min="12272" max="12272" width="15" style="1" customWidth="1"/>
    <col min="12273" max="12273" width="14.5546875" style="1" customWidth="1"/>
    <col min="12274" max="12274" width="10.33203125" style="1"/>
    <col min="12275" max="12275" width="7.44140625" style="1" customWidth="1"/>
    <col min="12276" max="12276" width="12.88671875" style="1" customWidth="1"/>
    <col min="12277" max="12277" width="11.109375" style="1" customWidth="1"/>
    <col min="12278" max="12278" width="14" style="1" customWidth="1"/>
    <col min="12279" max="12279" width="33" style="1" customWidth="1"/>
    <col min="12280" max="12280" width="6.6640625" style="1" customWidth="1"/>
    <col min="12281" max="12281" width="19" style="1" customWidth="1"/>
    <col min="12282" max="12282" width="19.109375" style="1" customWidth="1"/>
    <col min="12283" max="12283" width="21.33203125" style="1" customWidth="1"/>
    <col min="12284" max="12284" width="32.5546875" style="1" customWidth="1"/>
    <col min="12285" max="12285" width="16.88671875" style="1" customWidth="1"/>
    <col min="12286" max="12286" width="16.33203125" style="1" customWidth="1"/>
    <col min="12287" max="12517" width="10.33203125" style="1"/>
    <col min="12518" max="12518" width="4.44140625" style="1" customWidth="1"/>
    <col min="12519" max="12519" width="21.6640625" style="1" customWidth="1"/>
    <col min="12520" max="12520" width="15" style="1" customWidth="1"/>
    <col min="12521" max="12521" width="15.44140625" style="1" customWidth="1"/>
    <col min="12522" max="12522" width="11.5546875" style="1" customWidth="1"/>
    <col min="12523" max="12523" width="7.44140625" style="1" customWidth="1"/>
    <col min="12524" max="12524" width="14.109375" style="1" customWidth="1"/>
    <col min="12525" max="12525" width="10.6640625" style="1" customWidth="1"/>
    <col min="12526" max="12526" width="13.44140625" style="1" customWidth="1"/>
    <col min="12527" max="12527" width="11.44140625" style="1" customWidth="1"/>
    <col min="12528" max="12528" width="15" style="1" customWidth="1"/>
    <col min="12529" max="12529" width="14.5546875" style="1" customWidth="1"/>
    <col min="12530" max="12530" width="10.33203125" style="1"/>
    <col min="12531" max="12531" width="7.44140625" style="1" customWidth="1"/>
    <col min="12532" max="12532" width="12.88671875" style="1" customWidth="1"/>
    <col min="12533" max="12533" width="11.109375" style="1" customWidth="1"/>
    <col min="12534" max="12534" width="14" style="1" customWidth="1"/>
    <col min="12535" max="12535" width="33" style="1" customWidth="1"/>
    <col min="12536" max="12536" width="6.6640625" style="1" customWidth="1"/>
    <col min="12537" max="12537" width="19" style="1" customWidth="1"/>
    <col min="12538" max="12538" width="19.109375" style="1" customWidth="1"/>
    <col min="12539" max="12539" width="21.33203125" style="1" customWidth="1"/>
    <col min="12540" max="12540" width="32.5546875" style="1" customWidth="1"/>
    <col min="12541" max="12541" width="16.88671875" style="1" customWidth="1"/>
    <col min="12542" max="12542" width="16.33203125" style="1" customWidth="1"/>
    <col min="12543" max="12773" width="10.33203125" style="1"/>
    <col min="12774" max="12774" width="4.44140625" style="1" customWidth="1"/>
    <col min="12775" max="12775" width="21.6640625" style="1" customWidth="1"/>
    <col min="12776" max="12776" width="15" style="1" customWidth="1"/>
    <col min="12777" max="12777" width="15.44140625" style="1" customWidth="1"/>
    <col min="12778" max="12778" width="11.5546875" style="1" customWidth="1"/>
    <col min="12779" max="12779" width="7.44140625" style="1" customWidth="1"/>
    <col min="12780" max="12780" width="14.109375" style="1" customWidth="1"/>
    <col min="12781" max="12781" width="10.6640625" style="1" customWidth="1"/>
    <col min="12782" max="12782" width="13.44140625" style="1" customWidth="1"/>
    <col min="12783" max="12783" width="11.44140625" style="1" customWidth="1"/>
    <col min="12784" max="12784" width="15" style="1" customWidth="1"/>
    <col min="12785" max="12785" width="14.5546875" style="1" customWidth="1"/>
    <col min="12786" max="12786" width="10.33203125" style="1"/>
    <col min="12787" max="12787" width="7.44140625" style="1" customWidth="1"/>
    <col min="12788" max="12788" width="12.88671875" style="1" customWidth="1"/>
    <col min="12789" max="12789" width="11.109375" style="1" customWidth="1"/>
    <col min="12790" max="12790" width="14" style="1" customWidth="1"/>
    <col min="12791" max="12791" width="33" style="1" customWidth="1"/>
    <col min="12792" max="12792" width="6.6640625" style="1" customWidth="1"/>
    <col min="12793" max="12793" width="19" style="1" customWidth="1"/>
    <col min="12794" max="12794" width="19.109375" style="1" customWidth="1"/>
    <col min="12795" max="12795" width="21.33203125" style="1" customWidth="1"/>
    <col min="12796" max="12796" width="32.5546875" style="1" customWidth="1"/>
    <col min="12797" max="12797" width="16.88671875" style="1" customWidth="1"/>
    <col min="12798" max="12798" width="16.33203125" style="1" customWidth="1"/>
    <col min="12799" max="13029" width="10.33203125" style="1"/>
    <col min="13030" max="13030" width="4.44140625" style="1" customWidth="1"/>
    <col min="13031" max="13031" width="21.6640625" style="1" customWidth="1"/>
    <col min="13032" max="13032" width="15" style="1" customWidth="1"/>
    <col min="13033" max="13033" width="15.44140625" style="1" customWidth="1"/>
    <col min="13034" max="13034" width="11.5546875" style="1" customWidth="1"/>
    <col min="13035" max="13035" width="7.44140625" style="1" customWidth="1"/>
    <col min="13036" max="13036" width="14.109375" style="1" customWidth="1"/>
    <col min="13037" max="13037" width="10.6640625" style="1" customWidth="1"/>
    <col min="13038" max="13038" width="13.44140625" style="1" customWidth="1"/>
    <col min="13039" max="13039" width="11.44140625" style="1" customWidth="1"/>
    <col min="13040" max="13040" width="15" style="1" customWidth="1"/>
    <col min="13041" max="13041" width="14.5546875" style="1" customWidth="1"/>
    <col min="13042" max="13042" width="10.33203125" style="1"/>
    <col min="13043" max="13043" width="7.44140625" style="1" customWidth="1"/>
    <col min="13044" max="13044" width="12.88671875" style="1" customWidth="1"/>
    <col min="13045" max="13045" width="11.109375" style="1" customWidth="1"/>
    <col min="13046" max="13046" width="14" style="1" customWidth="1"/>
    <col min="13047" max="13047" width="33" style="1" customWidth="1"/>
    <col min="13048" max="13048" width="6.6640625" style="1" customWidth="1"/>
    <col min="13049" max="13049" width="19" style="1" customWidth="1"/>
    <col min="13050" max="13050" width="19.109375" style="1" customWidth="1"/>
    <col min="13051" max="13051" width="21.33203125" style="1" customWidth="1"/>
    <col min="13052" max="13052" width="32.5546875" style="1" customWidth="1"/>
    <col min="13053" max="13053" width="16.88671875" style="1" customWidth="1"/>
    <col min="13054" max="13054" width="16.33203125" style="1" customWidth="1"/>
    <col min="13055" max="13285" width="10.33203125" style="1"/>
    <col min="13286" max="13286" width="4.44140625" style="1" customWidth="1"/>
    <col min="13287" max="13287" width="21.6640625" style="1" customWidth="1"/>
    <col min="13288" max="13288" width="15" style="1" customWidth="1"/>
    <col min="13289" max="13289" width="15.44140625" style="1" customWidth="1"/>
    <col min="13290" max="13290" width="11.5546875" style="1" customWidth="1"/>
    <col min="13291" max="13291" width="7.44140625" style="1" customWidth="1"/>
    <col min="13292" max="13292" width="14.109375" style="1" customWidth="1"/>
    <col min="13293" max="13293" width="10.6640625" style="1" customWidth="1"/>
    <col min="13294" max="13294" width="13.44140625" style="1" customWidth="1"/>
    <col min="13295" max="13295" width="11.44140625" style="1" customWidth="1"/>
    <col min="13296" max="13296" width="15" style="1" customWidth="1"/>
    <col min="13297" max="13297" width="14.5546875" style="1" customWidth="1"/>
    <col min="13298" max="13298" width="10.33203125" style="1"/>
    <col min="13299" max="13299" width="7.44140625" style="1" customWidth="1"/>
    <col min="13300" max="13300" width="12.88671875" style="1" customWidth="1"/>
    <col min="13301" max="13301" width="11.109375" style="1" customWidth="1"/>
    <col min="13302" max="13302" width="14" style="1" customWidth="1"/>
    <col min="13303" max="13303" width="33" style="1" customWidth="1"/>
    <col min="13304" max="13304" width="6.6640625" style="1" customWidth="1"/>
    <col min="13305" max="13305" width="19" style="1" customWidth="1"/>
    <col min="13306" max="13306" width="19.109375" style="1" customWidth="1"/>
    <col min="13307" max="13307" width="21.33203125" style="1" customWidth="1"/>
    <col min="13308" max="13308" width="32.5546875" style="1" customWidth="1"/>
    <col min="13309" max="13309" width="16.88671875" style="1" customWidth="1"/>
    <col min="13310" max="13310" width="16.33203125" style="1" customWidth="1"/>
    <col min="13311" max="13541" width="10.33203125" style="1"/>
    <col min="13542" max="13542" width="4.44140625" style="1" customWidth="1"/>
    <col min="13543" max="13543" width="21.6640625" style="1" customWidth="1"/>
    <col min="13544" max="13544" width="15" style="1" customWidth="1"/>
    <col min="13545" max="13545" width="15.44140625" style="1" customWidth="1"/>
    <col min="13546" max="13546" width="11.5546875" style="1" customWidth="1"/>
    <col min="13547" max="13547" width="7.44140625" style="1" customWidth="1"/>
    <col min="13548" max="13548" width="14.109375" style="1" customWidth="1"/>
    <col min="13549" max="13549" width="10.6640625" style="1" customWidth="1"/>
    <col min="13550" max="13550" width="13.44140625" style="1" customWidth="1"/>
    <col min="13551" max="13551" width="11.44140625" style="1" customWidth="1"/>
    <col min="13552" max="13552" width="15" style="1" customWidth="1"/>
    <col min="13553" max="13553" width="14.5546875" style="1" customWidth="1"/>
    <col min="13554" max="13554" width="10.33203125" style="1"/>
    <col min="13555" max="13555" width="7.44140625" style="1" customWidth="1"/>
    <col min="13556" max="13556" width="12.88671875" style="1" customWidth="1"/>
    <col min="13557" max="13557" width="11.109375" style="1" customWidth="1"/>
    <col min="13558" max="13558" width="14" style="1" customWidth="1"/>
    <col min="13559" max="13559" width="33" style="1" customWidth="1"/>
    <col min="13560" max="13560" width="6.6640625" style="1" customWidth="1"/>
    <col min="13561" max="13561" width="19" style="1" customWidth="1"/>
    <col min="13562" max="13562" width="19.109375" style="1" customWidth="1"/>
    <col min="13563" max="13563" width="21.33203125" style="1" customWidth="1"/>
    <col min="13564" max="13564" width="32.5546875" style="1" customWidth="1"/>
    <col min="13565" max="13565" width="16.88671875" style="1" customWidth="1"/>
    <col min="13566" max="13566" width="16.33203125" style="1" customWidth="1"/>
    <col min="13567" max="13797" width="10.33203125" style="1"/>
    <col min="13798" max="13798" width="4.44140625" style="1" customWidth="1"/>
    <col min="13799" max="13799" width="21.6640625" style="1" customWidth="1"/>
    <col min="13800" max="13800" width="15" style="1" customWidth="1"/>
    <col min="13801" max="13801" width="15.44140625" style="1" customWidth="1"/>
    <col min="13802" max="13802" width="11.5546875" style="1" customWidth="1"/>
    <col min="13803" max="13803" width="7.44140625" style="1" customWidth="1"/>
    <col min="13804" max="13804" width="14.109375" style="1" customWidth="1"/>
    <col min="13805" max="13805" width="10.6640625" style="1" customWidth="1"/>
    <col min="13806" max="13806" width="13.44140625" style="1" customWidth="1"/>
    <col min="13807" max="13807" width="11.44140625" style="1" customWidth="1"/>
    <col min="13808" max="13808" width="15" style="1" customWidth="1"/>
    <col min="13809" max="13809" width="14.5546875" style="1" customWidth="1"/>
    <col min="13810" max="13810" width="10.33203125" style="1"/>
    <col min="13811" max="13811" width="7.44140625" style="1" customWidth="1"/>
    <col min="13812" max="13812" width="12.88671875" style="1" customWidth="1"/>
    <col min="13813" max="13813" width="11.109375" style="1" customWidth="1"/>
    <col min="13814" max="13814" width="14" style="1" customWidth="1"/>
    <col min="13815" max="13815" width="33" style="1" customWidth="1"/>
    <col min="13816" max="13816" width="6.6640625" style="1" customWidth="1"/>
    <col min="13817" max="13817" width="19" style="1" customWidth="1"/>
    <col min="13818" max="13818" width="19.109375" style="1" customWidth="1"/>
    <col min="13819" max="13819" width="21.33203125" style="1" customWidth="1"/>
    <col min="13820" max="13820" width="32.5546875" style="1" customWidth="1"/>
    <col min="13821" max="13821" width="16.88671875" style="1" customWidth="1"/>
    <col min="13822" max="13822" width="16.33203125" style="1" customWidth="1"/>
    <col min="13823" max="14053" width="10.33203125" style="1"/>
    <col min="14054" max="14054" width="4.44140625" style="1" customWidth="1"/>
    <col min="14055" max="14055" width="21.6640625" style="1" customWidth="1"/>
    <col min="14056" max="14056" width="15" style="1" customWidth="1"/>
    <col min="14057" max="14057" width="15.44140625" style="1" customWidth="1"/>
    <col min="14058" max="14058" width="11.5546875" style="1" customWidth="1"/>
    <col min="14059" max="14059" width="7.44140625" style="1" customWidth="1"/>
    <col min="14060" max="14060" width="14.109375" style="1" customWidth="1"/>
    <col min="14061" max="14061" width="10.6640625" style="1" customWidth="1"/>
    <col min="14062" max="14062" width="13.44140625" style="1" customWidth="1"/>
    <col min="14063" max="14063" width="11.44140625" style="1" customWidth="1"/>
    <col min="14064" max="14064" width="15" style="1" customWidth="1"/>
    <col min="14065" max="14065" width="14.5546875" style="1" customWidth="1"/>
    <col min="14066" max="14066" width="10.33203125" style="1"/>
    <col min="14067" max="14067" width="7.44140625" style="1" customWidth="1"/>
    <col min="14068" max="14068" width="12.88671875" style="1" customWidth="1"/>
    <col min="14069" max="14069" width="11.109375" style="1" customWidth="1"/>
    <col min="14070" max="14070" width="14" style="1" customWidth="1"/>
    <col min="14071" max="14071" width="33" style="1" customWidth="1"/>
    <col min="14072" max="14072" width="6.6640625" style="1" customWidth="1"/>
    <col min="14073" max="14073" width="19" style="1" customWidth="1"/>
    <col min="14074" max="14074" width="19.109375" style="1" customWidth="1"/>
    <col min="14075" max="14075" width="21.33203125" style="1" customWidth="1"/>
    <col min="14076" max="14076" width="32.5546875" style="1" customWidth="1"/>
    <col min="14077" max="14077" width="16.88671875" style="1" customWidth="1"/>
    <col min="14078" max="14078" width="16.33203125" style="1" customWidth="1"/>
    <col min="14079" max="14309" width="10.33203125" style="1"/>
    <col min="14310" max="14310" width="4.44140625" style="1" customWidth="1"/>
    <col min="14311" max="14311" width="21.6640625" style="1" customWidth="1"/>
    <col min="14312" max="14312" width="15" style="1" customWidth="1"/>
    <col min="14313" max="14313" width="15.44140625" style="1" customWidth="1"/>
    <col min="14314" max="14314" width="11.5546875" style="1" customWidth="1"/>
    <col min="14315" max="14315" width="7.44140625" style="1" customWidth="1"/>
    <col min="14316" max="14316" width="14.109375" style="1" customWidth="1"/>
    <col min="14317" max="14317" width="10.6640625" style="1" customWidth="1"/>
    <col min="14318" max="14318" width="13.44140625" style="1" customWidth="1"/>
    <col min="14319" max="14319" width="11.44140625" style="1" customWidth="1"/>
    <col min="14320" max="14320" width="15" style="1" customWidth="1"/>
    <col min="14321" max="14321" width="14.5546875" style="1" customWidth="1"/>
    <col min="14322" max="14322" width="10.33203125" style="1"/>
    <col min="14323" max="14323" width="7.44140625" style="1" customWidth="1"/>
    <col min="14324" max="14324" width="12.88671875" style="1" customWidth="1"/>
    <col min="14325" max="14325" width="11.109375" style="1" customWidth="1"/>
    <col min="14326" max="14326" width="14" style="1" customWidth="1"/>
    <col min="14327" max="14327" width="33" style="1" customWidth="1"/>
    <col min="14328" max="14328" width="6.6640625" style="1" customWidth="1"/>
    <col min="14329" max="14329" width="19" style="1" customWidth="1"/>
    <col min="14330" max="14330" width="19.109375" style="1" customWidth="1"/>
    <col min="14331" max="14331" width="21.33203125" style="1" customWidth="1"/>
    <col min="14332" max="14332" width="32.5546875" style="1" customWidth="1"/>
    <col min="14333" max="14333" width="16.88671875" style="1" customWidth="1"/>
    <col min="14334" max="14334" width="16.33203125" style="1" customWidth="1"/>
    <col min="14335" max="14565" width="10.33203125" style="1"/>
    <col min="14566" max="14566" width="4.44140625" style="1" customWidth="1"/>
    <col min="14567" max="14567" width="21.6640625" style="1" customWidth="1"/>
    <col min="14568" max="14568" width="15" style="1" customWidth="1"/>
    <col min="14569" max="14569" width="15.44140625" style="1" customWidth="1"/>
    <col min="14570" max="14570" width="11.5546875" style="1" customWidth="1"/>
    <col min="14571" max="14571" width="7.44140625" style="1" customWidth="1"/>
    <col min="14572" max="14572" width="14.109375" style="1" customWidth="1"/>
    <col min="14573" max="14573" width="10.6640625" style="1" customWidth="1"/>
    <col min="14574" max="14574" width="13.44140625" style="1" customWidth="1"/>
    <col min="14575" max="14575" width="11.44140625" style="1" customWidth="1"/>
    <col min="14576" max="14576" width="15" style="1" customWidth="1"/>
    <col min="14577" max="14577" width="14.5546875" style="1" customWidth="1"/>
    <col min="14578" max="14578" width="10.33203125" style="1"/>
    <col min="14579" max="14579" width="7.44140625" style="1" customWidth="1"/>
    <col min="14580" max="14580" width="12.88671875" style="1" customWidth="1"/>
    <col min="14581" max="14581" width="11.109375" style="1" customWidth="1"/>
    <col min="14582" max="14582" width="14" style="1" customWidth="1"/>
    <col min="14583" max="14583" width="33" style="1" customWidth="1"/>
    <col min="14584" max="14584" width="6.6640625" style="1" customWidth="1"/>
    <col min="14585" max="14585" width="19" style="1" customWidth="1"/>
    <col min="14586" max="14586" width="19.109375" style="1" customWidth="1"/>
    <col min="14587" max="14587" width="21.33203125" style="1" customWidth="1"/>
    <col min="14588" max="14588" width="32.5546875" style="1" customWidth="1"/>
    <col min="14589" max="14589" width="16.88671875" style="1" customWidth="1"/>
    <col min="14590" max="14590" width="16.33203125" style="1" customWidth="1"/>
    <col min="14591" max="14821" width="10.33203125" style="1"/>
    <col min="14822" max="14822" width="4.44140625" style="1" customWidth="1"/>
    <col min="14823" max="14823" width="21.6640625" style="1" customWidth="1"/>
    <col min="14824" max="14824" width="15" style="1" customWidth="1"/>
    <col min="14825" max="14825" width="15.44140625" style="1" customWidth="1"/>
    <col min="14826" max="14826" width="11.5546875" style="1" customWidth="1"/>
    <col min="14827" max="14827" width="7.44140625" style="1" customWidth="1"/>
    <col min="14828" max="14828" width="14.109375" style="1" customWidth="1"/>
    <col min="14829" max="14829" width="10.6640625" style="1" customWidth="1"/>
    <col min="14830" max="14830" width="13.44140625" style="1" customWidth="1"/>
    <col min="14831" max="14831" width="11.44140625" style="1" customWidth="1"/>
    <col min="14832" max="14832" width="15" style="1" customWidth="1"/>
    <col min="14833" max="14833" width="14.5546875" style="1" customWidth="1"/>
    <col min="14834" max="14834" width="10.33203125" style="1"/>
    <col min="14835" max="14835" width="7.44140625" style="1" customWidth="1"/>
    <col min="14836" max="14836" width="12.88671875" style="1" customWidth="1"/>
    <col min="14837" max="14837" width="11.109375" style="1" customWidth="1"/>
    <col min="14838" max="14838" width="14" style="1" customWidth="1"/>
    <col min="14839" max="14839" width="33" style="1" customWidth="1"/>
    <col min="14840" max="14840" width="6.6640625" style="1" customWidth="1"/>
    <col min="14841" max="14841" width="19" style="1" customWidth="1"/>
    <col min="14842" max="14842" width="19.109375" style="1" customWidth="1"/>
    <col min="14843" max="14843" width="21.33203125" style="1" customWidth="1"/>
    <col min="14844" max="14844" width="32.5546875" style="1" customWidth="1"/>
    <col min="14845" max="14845" width="16.88671875" style="1" customWidth="1"/>
    <col min="14846" max="14846" width="16.33203125" style="1" customWidth="1"/>
    <col min="14847" max="15077" width="10.33203125" style="1"/>
    <col min="15078" max="15078" width="4.44140625" style="1" customWidth="1"/>
    <col min="15079" max="15079" width="21.6640625" style="1" customWidth="1"/>
    <col min="15080" max="15080" width="15" style="1" customWidth="1"/>
    <col min="15081" max="15081" width="15.44140625" style="1" customWidth="1"/>
    <col min="15082" max="15082" width="11.5546875" style="1" customWidth="1"/>
    <col min="15083" max="15083" width="7.44140625" style="1" customWidth="1"/>
    <col min="15084" max="15084" width="14.109375" style="1" customWidth="1"/>
    <col min="15085" max="15085" width="10.6640625" style="1" customWidth="1"/>
    <col min="15086" max="15086" width="13.44140625" style="1" customWidth="1"/>
    <col min="15087" max="15087" width="11.44140625" style="1" customWidth="1"/>
    <col min="15088" max="15088" width="15" style="1" customWidth="1"/>
    <col min="15089" max="15089" width="14.5546875" style="1" customWidth="1"/>
    <col min="15090" max="15090" width="10.33203125" style="1"/>
    <col min="15091" max="15091" width="7.44140625" style="1" customWidth="1"/>
    <col min="15092" max="15092" width="12.88671875" style="1" customWidth="1"/>
    <col min="15093" max="15093" width="11.109375" style="1" customWidth="1"/>
    <col min="15094" max="15094" width="14" style="1" customWidth="1"/>
    <col min="15095" max="15095" width="33" style="1" customWidth="1"/>
    <col min="15096" max="15096" width="6.6640625" style="1" customWidth="1"/>
    <col min="15097" max="15097" width="19" style="1" customWidth="1"/>
    <col min="15098" max="15098" width="19.109375" style="1" customWidth="1"/>
    <col min="15099" max="15099" width="21.33203125" style="1" customWidth="1"/>
    <col min="15100" max="15100" width="32.5546875" style="1" customWidth="1"/>
    <col min="15101" max="15101" width="16.88671875" style="1" customWidth="1"/>
    <col min="15102" max="15102" width="16.33203125" style="1" customWidth="1"/>
    <col min="15103" max="15333" width="10.33203125" style="1"/>
    <col min="15334" max="15334" width="4.44140625" style="1" customWidth="1"/>
    <col min="15335" max="15335" width="21.6640625" style="1" customWidth="1"/>
    <col min="15336" max="15336" width="15" style="1" customWidth="1"/>
    <col min="15337" max="15337" width="15.44140625" style="1" customWidth="1"/>
    <col min="15338" max="15338" width="11.5546875" style="1" customWidth="1"/>
    <col min="15339" max="15339" width="7.44140625" style="1" customWidth="1"/>
    <col min="15340" max="15340" width="14.109375" style="1" customWidth="1"/>
    <col min="15341" max="15341" width="10.6640625" style="1" customWidth="1"/>
    <col min="15342" max="15342" width="13.44140625" style="1" customWidth="1"/>
    <col min="15343" max="15343" width="11.44140625" style="1" customWidth="1"/>
    <col min="15344" max="15344" width="15" style="1" customWidth="1"/>
    <col min="15345" max="15345" width="14.5546875" style="1" customWidth="1"/>
    <col min="15346" max="15346" width="10.33203125" style="1"/>
    <col min="15347" max="15347" width="7.44140625" style="1" customWidth="1"/>
    <col min="15348" max="15348" width="12.88671875" style="1" customWidth="1"/>
    <col min="15349" max="15349" width="11.109375" style="1" customWidth="1"/>
    <col min="15350" max="15350" width="14" style="1" customWidth="1"/>
    <col min="15351" max="15351" width="33" style="1" customWidth="1"/>
    <col min="15352" max="15352" width="6.6640625" style="1" customWidth="1"/>
    <col min="15353" max="15353" width="19" style="1" customWidth="1"/>
    <col min="15354" max="15354" width="19.109375" style="1" customWidth="1"/>
    <col min="15355" max="15355" width="21.33203125" style="1" customWidth="1"/>
    <col min="15356" max="15356" width="32.5546875" style="1" customWidth="1"/>
    <col min="15357" max="15357" width="16.88671875" style="1" customWidth="1"/>
    <col min="15358" max="15358" width="16.33203125" style="1" customWidth="1"/>
    <col min="15359" max="15589" width="10.33203125" style="1"/>
    <col min="15590" max="15590" width="4.44140625" style="1" customWidth="1"/>
    <col min="15591" max="15591" width="21.6640625" style="1" customWidth="1"/>
    <col min="15592" max="15592" width="15" style="1" customWidth="1"/>
    <col min="15593" max="15593" width="15.44140625" style="1" customWidth="1"/>
    <col min="15594" max="15594" width="11.5546875" style="1" customWidth="1"/>
    <col min="15595" max="15595" width="7.44140625" style="1" customWidth="1"/>
    <col min="15596" max="15596" width="14.109375" style="1" customWidth="1"/>
    <col min="15597" max="15597" width="10.6640625" style="1" customWidth="1"/>
    <col min="15598" max="15598" width="13.44140625" style="1" customWidth="1"/>
    <col min="15599" max="15599" width="11.44140625" style="1" customWidth="1"/>
    <col min="15600" max="15600" width="15" style="1" customWidth="1"/>
    <col min="15601" max="15601" width="14.5546875" style="1" customWidth="1"/>
    <col min="15602" max="15602" width="10.33203125" style="1"/>
    <col min="15603" max="15603" width="7.44140625" style="1" customWidth="1"/>
    <col min="15604" max="15604" width="12.88671875" style="1" customWidth="1"/>
    <col min="15605" max="15605" width="11.109375" style="1" customWidth="1"/>
    <col min="15606" max="15606" width="14" style="1" customWidth="1"/>
    <col min="15607" max="15607" width="33" style="1" customWidth="1"/>
    <col min="15608" max="15608" width="6.6640625" style="1" customWidth="1"/>
    <col min="15609" max="15609" width="19" style="1" customWidth="1"/>
    <col min="15610" max="15610" width="19.109375" style="1" customWidth="1"/>
    <col min="15611" max="15611" width="21.33203125" style="1" customWidth="1"/>
    <col min="15612" max="15612" width="32.5546875" style="1" customWidth="1"/>
    <col min="15613" max="15613" width="16.88671875" style="1" customWidth="1"/>
    <col min="15614" max="15614" width="16.33203125" style="1" customWidth="1"/>
    <col min="15615" max="15845" width="10.33203125" style="1"/>
    <col min="15846" max="15846" width="4.44140625" style="1" customWidth="1"/>
    <col min="15847" max="15847" width="21.6640625" style="1" customWidth="1"/>
    <col min="15848" max="15848" width="15" style="1" customWidth="1"/>
    <col min="15849" max="15849" width="15.44140625" style="1" customWidth="1"/>
    <col min="15850" max="15850" width="11.5546875" style="1" customWidth="1"/>
    <col min="15851" max="15851" width="7.44140625" style="1" customWidth="1"/>
    <col min="15852" max="15852" width="14.109375" style="1" customWidth="1"/>
    <col min="15853" max="15853" width="10.6640625" style="1" customWidth="1"/>
    <col min="15854" max="15854" width="13.44140625" style="1" customWidth="1"/>
    <col min="15855" max="15855" width="11.44140625" style="1" customWidth="1"/>
    <col min="15856" max="15856" width="15" style="1" customWidth="1"/>
    <col min="15857" max="15857" width="14.5546875" style="1" customWidth="1"/>
    <col min="15858" max="15858" width="10.33203125" style="1"/>
    <col min="15859" max="15859" width="7.44140625" style="1" customWidth="1"/>
    <col min="15860" max="15860" width="12.88671875" style="1" customWidth="1"/>
    <col min="15861" max="15861" width="11.109375" style="1" customWidth="1"/>
    <col min="15862" max="15862" width="14" style="1" customWidth="1"/>
    <col min="15863" max="15863" width="33" style="1" customWidth="1"/>
    <col min="15864" max="15864" width="6.6640625" style="1" customWidth="1"/>
    <col min="15865" max="15865" width="19" style="1" customWidth="1"/>
    <col min="15866" max="15866" width="19.109375" style="1" customWidth="1"/>
    <col min="15867" max="15867" width="21.33203125" style="1" customWidth="1"/>
    <col min="15868" max="15868" width="32.5546875" style="1" customWidth="1"/>
    <col min="15869" max="15869" width="16.88671875" style="1" customWidth="1"/>
    <col min="15870" max="15870" width="16.33203125" style="1" customWidth="1"/>
    <col min="15871" max="16101" width="10.33203125" style="1"/>
    <col min="16102" max="16102" width="4.44140625" style="1" customWidth="1"/>
    <col min="16103" max="16103" width="21.6640625" style="1" customWidth="1"/>
    <col min="16104" max="16104" width="15" style="1" customWidth="1"/>
    <col min="16105" max="16105" width="15.44140625" style="1" customWidth="1"/>
    <col min="16106" max="16106" width="11.5546875" style="1" customWidth="1"/>
    <col min="16107" max="16107" width="7.44140625" style="1" customWidth="1"/>
    <col min="16108" max="16108" width="14.109375" style="1" customWidth="1"/>
    <col min="16109" max="16109" width="10.6640625" style="1" customWidth="1"/>
    <col min="16110" max="16110" width="13.44140625" style="1" customWidth="1"/>
    <col min="16111" max="16111" width="11.44140625" style="1" customWidth="1"/>
    <col min="16112" max="16112" width="15" style="1" customWidth="1"/>
    <col min="16113" max="16113" width="14.5546875" style="1" customWidth="1"/>
    <col min="16114" max="16114" width="10.33203125" style="1"/>
    <col min="16115" max="16115" width="7.44140625" style="1" customWidth="1"/>
    <col min="16116" max="16116" width="12.88671875" style="1" customWidth="1"/>
    <col min="16117" max="16117" width="11.109375" style="1" customWidth="1"/>
    <col min="16118" max="16118" width="14" style="1" customWidth="1"/>
    <col min="16119" max="16119" width="33" style="1" customWidth="1"/>
    <col min="16120" max="16120" width="6.6640625" style="1" customWidth="1"/>
    <col min="16121" max="16121" width="19" style="1" customWidth="1"/>
    <col min="16122" max="16122" width="19.109375" style="1" customWidth="1"/>
    <col min="16123" max="16123" width="21.33203125" style="1" customWidth="1"/>
    <col min="16124" max="16124" width="32.5546875" style="1" customWidth="1"/>
    <col min="16125" max="16125" width="16.88671875" style="1" customWidth="1"/>
    <col min="16126" max="16126" width="16.33203125" style="1" customWidth="1"/>
    <col min="16127" max="16384" width="10.33203125" style="1"/>
  </cols>
  <sheetData>
    <row r="1" spans="1:6" ht="24.6">
      <c r="A1" s="96" t="s">
        <v>0</v>
      </c>
      <c r="B1" s="96"/>
      <c r="C1" s="96"/>
      <c r="D1" s="96"/>
      <c r="E1" s="96"/>
      <c r="F1" s="96"/>
    </row>
    <row r="2" spans="1:6" ht="24.6">
      <c r="A2" s="96" t="s">
        <v>1</v>
      </c>
      <c r="B2" s="96"/>
      <c r="C2" s="96"/>
      <c r="D2" s="96"/>
      <c r="E2" s="96"/>
      <c r="F2" s="96"/>
    </row>
    <row r="3" spans="1:6" ht="24.6">
      <c r="A3" s="613" t="s">
        <v>404</v>
      </c>
      <c r="B3" s="613"/>
      <c r="C3" s="613"/>
      <c r="D3" s="613"/>
      <c r="E3" s="613"/>
      <c r="F3" s="613"/>
    </row>
    <row r="4" spans="1:6" ht="24.6">
      <c r="A4" s="3" t="s">
        <v>3</v>
      </c>
      <c r="B4" s="3" t="s">
        <v>4</v>
      </c>
      <c r="C4" s="3" t="s">
        <v>5</v>
      </c>
      <c r="D4" s="614" t="s">
        <v>9</v>
      </c>
      <c r="E4" s="615"/>
      <c r="F4" s="131"/>
    </row>
    <row r="5" spans="1:6" ht="24.6">
      <c r="A5" s="3"/>
      <c r="B5" s="13"/>
      <c r="C5" s="3"/>
      <c r="D5" s="9" t="s">
        <v>21</v>
      </c>
      <c r="E5" s="9" t="s">
        <v>22</v>
      </c>
      <c r="F5" s="25" t="s">
        <v>26</v>
      </c>
    </row>
    <row r="6" spans="1:6" ht="24.6">
      <c r="A6" s="29"/>
      <c r="B6" s="45" t="s">
        <v>299</v>
      </c>
      <c r="C6" s="29"/>
      <c r="D6" s="46"/>
      <c r="E6" s="46"/>
      <c r="F6" s="46"/>
    </row>
    <row r="7" spans="1:6" s="96" customFormat="1" ht="24.6">
      <c r="A7" s="86">
        <v>1</v>
      </c>
      <c r="B7" s="87" t="s">
        <v>44</v>
      </c>
      <c r="C7" s="88"/>
      <c r="D7" s="90">
        <v>25294</v>
      </c>
      <c r="E7" s="86">
        <v>1</v>
      </c>
      <c r="F7" s="91">
        <v>1070</v>
      </c>
    </row>
    <row r="8" spans="1:6" ht="24.6">
      <c r="A8" s="25">
        <v>2</v>
      </c>
      <c r="B8" s="29" t="s">
        <v>73</v>
      </c>
      <c r="C8" s="120"/>
      <c r="D8" s="90">
        <v>25294</v>
      </c>
      <c r="E8" s="25">
        <v>1</v>
      </c>
      <c r="F8" s="49">
        <v>2430</v>
      </c>
    </row>
    <row r="9" spans="1:6" ht="24.6">
      <c r="A9" s="25">
        <v>3</v>
      </c>
      <c r="B9" s="29" t="s">
        <v>105</v>
      </c>
      <c r="C9" s="29"/>
      <c r="D9" s="90">
        <v>25294</v>
      </c>
      <c r="E9" s="25">
        <v>1</v>
      </c>
      <c r="F9" s="49">
        <v>5000</v>
      </c>
    </row>
    <row r="10" spans="1:6" ht="24.6">
      <c r="A10" s="25">
        <v>4</v>
      </c>
      <c r="B10" s="29" t="s">
        <v>105</v>
      </c>
      <c r="C10" s="29"/>
      <c r="D10" s="90">
        <v>25294</v>
      </c>
      <c r="E10" s="25">
        <v>1</v>
      </c>
      <c r="F10" s="49">
        <v>4650</v>
      </c>
    </row>
    <row r="11" spans="1:6" ht="24.75" customHeight="1" thickBot="1">
      <c r="A11" s="34"/>
      <c r="B11" s="34" t="s">
        <v>26</v>
      </c>
      <c r="C11" s="74"/>
      <c r="D11" s="74"/>
      <c r="E11" s="74"/>
      <c r="F11" s="608">
        <f>SUM(F7:F10)</f>
        <v>13150</v>
      </c>
    </row>
    <row r="12" spans="1:6" ht="24.75" customHeight="1" thickTop="1">
      <c r="A12" s="273"/>
      <c r="B12" s="294"/>
      <c r="C12" s="612"/>
      <c r="D12" s="612"/>
      <c r="E12" s="612"/>
      <c r="F12" s="618"/>
    </row>
    <row r="13" spans="1:6" ht="24.75" customHeight="1">
      <c r="A13" s="610" t="s">
        <v>211</v>
      </c>
      <c r="B13" s="611"/>
      <c r="C13" s="611"/>
      <c r="D13" s="611"/>
      <c r="E13" s="611"/>
      <c r="F13" s="611"/>
    </row>
    <row r="14" spans="1:6" ht="24.75" customHeight="1">
      <c r="A14" s="28">
        <v>1</v>
      </c>
      <c r="B14" s="180" t="s">
        <v>32</v>
      </c>
      <c r="C14" s="46" t="s">
        <v>104</v>
      </c>
      <c r="D14" s="141" t="s">
        <v>405</v>
      </c>
      <c r="E14" s="254">
        <v>10</v>
      </c>
      <c r="F14" s="141">
        <v>46500</v>
      </c>
    </row>
    <row r="15" spans="1:6" ht="24" customHeight="1">
      <c r="A15" s="25">
        <v>2</v>
      </c>
      <c r="B15" s="29" t="s">
        <v>215</v>
      </c>
      <c r="C15" s="29" t="s">
        <v>104</v>
      </c>
      <c r="D15" s="134" t="s">
        <v>405</v>
      </c>
      <c r="E15" s="255">
        <v>10</v>
      </c>
      <c r="F15" s="134">
        <v>57500</v>
      </c>
    </row>
    <row r="16" spans="1:6" ht="24" customHeight="1">
      <c r="A16" s="4">
        <v>3</v>
      </c>
      <c r="B16" s="53" t="s">
        <v>68</v>
      </c>
      <c r="C16" s="53">
        <v>268</v>
      </c>
      <c r="D16" s="280" t="s">
        <v>406</v>
      </c>
      <c r="E16" s="281">
        <v>25</v>
      </c>
      <c r="F16" s="280">
        <v>30375</v>
      </c>
    </row>
    <row r="17" spans="1:6" ht="24.75" customHeight="1" thickBot="1">
      <c r="A17" s="34"/>
      <c r="B17" s="34" t="s">
        <v>26</v>
      </c>
      <c r="C17" s="74"/>
      <c r="D17" s="74"/>
      <c r="E17" s="74"/>
      <c r="F17" s="608">
        <f>SUM(F14:F16)</f>
        <v>134375</v>
      </c>
    </row>
    <row r="18" spans="1:6" ht="24.75" customHeight="1" thickTop="1">
      <c r="A18" s="14"/>
      <c r="B18" s="173"/>
      <c r="F18" s="175"/>
    </row>
    <row r="19" spans="1:6" ht="24.75" customHeight="1">
      <c r="A19" s="4"/>
      <c r="B19" s="188" t="s">
        <v>217</v>
      </c>
      <c r="C19" s="53"/>
      <c r="D19" s="53"/>
      <c r="E19" s="53"/>
      <c r="F19" s="183"/>
    </row>
    <row r="20" spans="1:6" ht="24.75" customHeight="1">
      <c r="A20" s="199">
        <v>1</v>
      </c>
      <c r="B20" s="200" t="s">
        <v>85</v>
      </c>
      <c r="C20" s="203" t="s">
        <v>86</v>
      </c>
      <c r="D20" s="199" t="s">
        <v>229</v>
      </c>
      <c r="E20" s="204">
        <v>7</v>
      </c>
      <c r="F20" s="202">
        <v>30800</v>
      </c>
    </row>
    <row r="21" spans="1:6" ht="24.75" customHeight="1">
      <c r="A21" s="115"/>
      <c r="B21" s="212"/>
      <c r="C21" s="109"/>
      <c r="D21" s="115"/>
      <c r="E21" s="213"/>
      <c r="F21" s="214"/>
    </row>
    <row r="22" spans="1:6" s="96" customFormat="1" ht="24.75" customHeight="1">
      <c r="A22" s="190"/>
      <c r="B22" s="191" t="s">
        <v>232</v>
      </c>
      <c r="C22" s="192" t="s">
        <v>194</v>
      </c>
      <c r="D22" s="192"/>
      <c r="E22" s="192"/>
      <c r="F22" s="193">
        <v>64400</v>
      </c>
    </row>
    <row r="23" spans="1:6" ht="24.6">
      <c r="A23" s="199">
        <v>2</v>
      </c>
      <c r="B23" s="203" t="s">
        <v>32</v>
      </c>
      <c r="C23" s="222" t="s">
        <v>104</v>
      </c>
      <c r="D23" s="223" t="s">
        <v>234</v>
      </c>
      <c r="E23" s="224">
        <v>4</v>
      </c>
      <c r="F23" s="225">
        <v>18600</v>
      </c>
    </row>
    <row r="24" spans="1:6" ht="24.6">
      <c r="A24" s="199">
        <v>3</v>
      </c>
      <c r="B24" s="203" t="s">
        <v>215</v>
      </c>
      <c r="C24" s="222" t="s">
        <v>104</v>
      </c>
      <c r="D24" s="199" t="s">
        <v>236</v>
      </c>
      <c r="E24" s="199">
        <v>4</v>
      </c>
      <c r="F24" s="202">
        <v>23000</v>
      </c>
    </row>
    <row r="25" spans="1:6" s="96" customFormat="1" ht="24.75" customHeight="1">
      <c r="A25" s="229"/>
      <c r="B25" s="230"/>
      <c r="C25" s="231"/>
      <c r="D25" s="231"/>
      <c r="E25" s="231"/>
      <c r="F25" s="232"/>
    </row>
    <row r="26" spans="1:6" ht="24.75" customHeight="1" thickBot="1">
      <c r="A26" s="34"/>
      <c r="B26" s="239"/>
      <c r="C26" s="74"/>
      <c r="D26" s="110"/>
      <c r="E26" s="110"/>
      <c r="F26" s="616">
        <v>136800</v>
      </c>
    </row>
    <row r="27" spans="1:6" ht="25.2" thickTop="1">
      <c r="A27" s="46"/>
      <c r="B27" s="161" t="s">
        <v>238</v>
      </c>
      <c r="C27" s="46"/>
      <c r="D27" s="46"/>
      <c r="E27" s="46"/>
      <c r="F27" s="46"/>
    </row>
    <row r="28" spans="1:6" ht="24.6">
      <c r="A28" s="25">
        <v>1</v>
      </c>
      <c r="B28" s="53" t="s">
        <v>239</v>
      </c>
      <c r="C28" s="109"/>
      <c r="D28" s="109" t="s">
        <v>240</v>
      </c>
      <c r="E28" s="109"/>
      <c r="F28" s="162">
        <v>0</v>
      </c>
    </row>
    <row r="29" spans="1:6" ht="24.6">
      <c r="A29" s="25"/>
      <c r="B29" s="29" t="s">
        <v>241</v>
      </c>
      <c r="C29" s="29"/>
      <c r="D29" s="25" t="s">
        <v>242</v>
      </c>
      <c r="E29" s="29"/>
      <c r="F29" s="49">
        <v>133707.98000000001</v>
      </c>
    </row>
    <row r="30" spans="1:6" ht="24.6">
      <c r="A30" s="25"/>
      <c r="B30" s="29" t="s">
        <v>244</v>
      </c>
      <c r="C30" s="29"/>
      <c r="D30" s="29"/>
      <c r="E30" s="29"/>
      <c r="F30" s="49">
        <v>73800</v>
      </c>
    </row>
    <row r="31" spans="1:6" ht="24.6">
      <c r="A31" s="25"/>
      <c r="B31" s="29" t="s">
        <v>245</v>
      </c>
      <c r="C31" s="29"/>
      <c r="D31" s="29"/>
      <c r="E31" s="29"/>
      <c r="F31" s="89">
        <v>7596.82</v>
      </c>
    </row>
    <row r="32" spans="1:6" ht="24.6">
      <c r="A32" s="25"/>
      <c r="B32" s="29" t="s">
        <v>246</v>
      </c>
      <c r="C32" s="29"/>
      <c r="D32" s="53"/>
      <c r="E32" s="53"/>
      <c r="F32" s="127"/>
    </row>
    <row r="33" spans="1:6" ht="24.6">
      <c r="A33" s="4"/>
      <c r="B33" s="53"/>
      <c r="C33" s="148" t="s">
        <v>247</v>
      </c>
      <c r="D33" s="612"/>
      <c r="E33" s="612"/>
      <c r="F33" s="127"/>
    </row>
    <row r="34" spans="1:6" s="96" customFormat="1" ht="24.75" customHeight="1">
      <c r="A34" s="86">
        <v>2</v>
      </c>
      <c r="B34" s="274" t="s">
        <v>68</v>
      </c>
      <c r="C34" s="87">
        <v>268</v>
      </c>
      <c r="D34" s="86" t="s">
        <v>378</v>
      </c>
      <c r="E34" s="275">
        <v>80</v>
      </c>
      <c r="F34" s="89">
        <v>133752.76</v>
      </c>
    </row>
    <row r="35" spans="1:6" ht="24.75" customHeight="1">
      <c r="A35" s="25"/>
      <c r="B35" s="119" t="s">
        <v>221</v>
      </c>
      <c r="C35" s="278" t="s">
        <v>222</v>
      </c>
      <c r="D35" s="29"/>
      <c r="E35" s="3" t="s">
        <v>172</v>
      </c>
      <c r="F35" s="49">
        <v>19700</v>
      </c>
    </row>
    <row r="36" spans="1:6" ht="24.75" customHeight="1">
      <c r="A36" s="25"/>
      <c r="B36" s="278"/>
      <c r="C36" s="278" t="s">
        <v>223</v>
      </c>
      <c r="D36" s="29"/>
      <c r="E36" s="3" t="s">
        <v>172</v>
      </c>
      <c r="F36" s="49">
        <v>19700</v>
      </c>
    </row>
    <row r="37" spans="1:6" ht="24.75" customHeight="1">
      <c r="A37" s="25"/>
      <c r="B37" s="278"/>
      <c r="C37" s="278" t="s">
        <v>224</v>
      </c>
      <c r="D37" s="29"/>
      <c r="E37" s="3" t="s">
        <v>172</v>
      </c>
      <c r="F37" s="49">
        <v>19700</v>
      </c>
    </row>
    <row r="38" spans="1:6" ht="24.75" customHeight="1">
      <c r="A38" s="25">
        <v>3</v>
      </c>
      <c r="B38" s="119" t="s">
        <v>225</v>
      </c>
      <c r="C38" s="29"/>
      <c r="D38" s="25" t="s">
        <v>226</v>
      </c>
      <c r="E38" s="3">
        <v>88</v>
      </c>
      <c r="F38" s="49">
        <v>304935.7</v>
      </c>
    </row>
    <row r="39" spans="1:6" ht="25.2" thickBot="1">
      <c r="A39" s="25"/>
      <c r="B39" s="29"/>
      <c r="C39" s="29"/>
      <c r="D39" s="74"/>
      <c r="E39" s="74"/>
      <c r="F39" s="74"/>
    </row>
    <row r="40" spans="1:6" s="249" customFormat="1" ht="25.8" thickTop="1" thickBot="1">
      <c r="A40" s="134"/>
      <c r="B40" s="246" t="s">
        <v>26</v>
      </c>
      <c r="C40" s="103"/>
      <c r="D40" s="103"/>
      <c r="E40" s="103"/>
      <c r="F40" s="607">
        <v>712893.26</v>
      </c>
    </row>
    <row r="41" spans="1:6" ht="25.8" thickTop="1" thickBot="1">
      <c r="A41" s="29"/>
      <c r="B41" s="25" t="s">
        <v>248</v>
      </c>
      <c r="C41" s="64"/>
      <c r="D41" s="63"/>
      <c r="E41" s="63"/>
      <c r="F41" s="63">
        <f>F11+F17+F26+F40</f>
        <v>997218.26</v>
      </c>
    </row>
    <row r="42" spans="1:6" ht="25.2" thickTop="1"/>
    <row r="43" spans="1:6" ht="24.6"/>
    <row r="44" spans="1:6" ht="24.6"/>
    <row r="45" spans="1:6" ht="24.6"/>
    <row r="46" spans="1:6" ht="24.6"/>
    <row r="47" spans="1:6" ht="24.6"/>
    <row r="48" spans="1:6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</sheetData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B44F-D5F5-43E4-AC71-E65454D4FCC0}">
  <sheetPr>
    <tabColor rgb="FFFFC000"/>
  </sheetPr>
  <dimension ref="A1:J818"/>
  <sheetViews>
    <sheetView zoomScale="83" zoomScaleNormal="83" zoomScaleSheetLayoutView="87" workbookViewId="0">
      <pane ySplit="5" topLeftCell="A36" activePane="bottomLeft" state="frozen"/>
      <selection activeCell="I147" sqref="I147"/>
      <selection pane="bottomLeft" activeCell="G16" sqref="G1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3.44140625" style="1" customWidth="1"/>
    <col min="8" max="9" width="10.33203125" style="1"/>
    <col min="10" max="10" width="12.109375" style="1" bestFit="1" customWidth="1"/>
    <col min="11" max="230" width="10.33203125" style="1"/>
    <col min="231" max="231" width="4.44140625" style="1" customWidth="1"/>
    <col min="232" max="232" width="21.6640625" style="1" customWidth="1"/>
    <col min="233" max="233" width="15" style="1" customWidth="1"/>
    <col min="234" max="234" width="15.44140625" style="1" customWidth="1"/>
    <col min="235" max="235" width="11.5546875" style="1" customWidth="1"/>
    <col min="236" max="236" width="7.44140625" style="1" customWidth="1"/>
    <col min="237" max="237" width="14.109375" style="1" customWidth="1"/>
    <col min="238" max="238" width="10.6640625" style="1" customWidth="1"/>
    <col min="239" max="239" width="13.44140625" style="1" customWidth="1"/>
    <col min="240" max="240" width="11.44140625" style="1" customWidth="1"/>
    <col min="241" max="241" width="15" style="1" customWidth="1"/>
    <col min="242" max="242" width="14.5546875" style="1" customWidth="1"/>
    <col min="243" max="243" width="10.33203125" style="1"/>
    <col min="244" max="244" width="7.44140625" style="1" customWidth="1"/>
    <col min="245" max="245" width="12.88671875" style="1" customWidth="1"/>
    <col min="246" max="246" width="11.109375" style="1" customWidth="1"/>
    <col min="247" max="247" width="14" style="1" customWidth="1"/>
    <col min="248" max="248" width="33" style="1" customWidth="1"/>
    <col min="249" max="249" width="6.6640625" style="1" customWidth="1"/>
    <col min="250" max="250" width="19" style="1" customWidth="1"/>
    <col min="251" max="251" width="19.109375" style="1" customWidth="1"/>
    <col min="252" max="252" width="21.33203125" style="1" customWidth="1"/>
    <col min="253" max="253" width="32.5546875" style="1" customWidth="1"/>
    <col min="254" max="254" width="16.88671875" style="1" customWidth="1"/>
    <col min="255" max="255" width="16.33203125" style="1" customWidth="1"/>
    <col min="256" max="486" width="10.33203125" style="1"/>
    <col min="487" max="487" width="4.44140625" style="1" customWidth="1"/>
    <col min="488" max="488" width="21.6640625" style="1" customWidth="1"/>
    <col min="489" max="489" width="15" style="1" customWidth="1"/>
    <col min="490" max="490" width="15.44140625" style="1" customWidth="1"/>
    <col min="491" max="491" width="11.5546875" style="1" customWidth="1"/>
    <col min="492" max="492" width="7.44140625" style="1" customWidth="1"/>
    <col min="493" max="493" width="14.109375" style="1" customWidth="1"/>
    <col min="494" max="494" width="10.6640625" style="1" customWidth="1"/>
    <col min="495" max="495" width="13.44140625" style="1" customWidth="1"/>
    <col min="496" max="496" width="11.44140625" style="1" customWidth="1"/>
    <col min="497" max="497" width="15" style="1" customWidth="1"/>
    <col min="498" max="498" width="14.5546875" style="1" customWidth="1"/>
    <col min="499" max="499" width="10.33203125" style="1"/>
    <col min="500" max="500" width="7.44140625" style="1" customWidth="1"/>
    <col min="501" max="501" width="12.88671875" style="1" customWidth="1"/>
    <col min="502" max="502" width="11.109375" style="1" customWidth="1"/>
    <col min="503" max="503" width="14" style="1" customWidth="1"/>
    <col min="504" max="504" width="33" style="1" customWidth="1"/>
    <col min="505" max="505" width="6.6640625" style="1" customWidth="1"/>
    <col min="506" max="506" width="19" style="1" customWidth="1"/>
    <col min="507" max="507" width="19.109375" style="1" customWidth="1"/>
    <col min="508" max="508" width="21.33203125" style="1" customWidth="1"/>
    <col min="509" max="509" width="32.5546875" style="1" customWidth="1"/>
    <col min="510" max="510" width="16.88671875" style="1" customWidth="1"/>
    <col min="511" max="511" width="16.33203125" style="1" customWidth="1"/>
    <col min="512" max="742" width="10.33203125" style="1"/>
    <col min="743" max="743" width="4.44140625" style="1" customWidth="1"/>
    <col min="744" max="744" width="21.6640625" style="1" customWidth="1"/>
    <col min="745" max="745" width="15" style="1" customWidth="1"/>
    <col min="746" max="746" width="15.44140625" style="1" customWidth="1"/>
    <col min="747" max="747" width="11.5546875" style="1" customWidth="1"/>
    <col min="748" max="748" width="7.44140625" style="1" customWidth="1"/>
    <col min="749" max="749" width="14.109375" style="1" customWidth="1"/>
    <col min="750" max="750" width="10.6640625" style="1" customWidth="1"/>
    <col min="751" max="751" width="13.44140625" style="1" customWidth="1"/>
    <col min="752" max="752" width="11.44140625" style="1" customWidth="1"/>
    <col min="753" max="753" width="15" style="1" customWidth="1"/>
    <col min="754" max="754" width="14.5546875" style="1" customWidth="1"/>
    <col min="755" max="755" width="10.33203125" style="1"/>
    <col min="756" max="756" width="7.44140625" style="1" customWidth="1"/>
    <col min="757" max="757" width="12.88671875" style="1" customWidth="1"/>
    <col min="758" max="758" width="11.109375" style="1" customWidth="1"/>
    <col min="759" max="759" width="14" style="1" customWidth="1"/>
    <col min="760" max="760" width="33" style="1" customWidth="1"/>
    <col min="761" max="761" width="6.6640625" style="1" customWidth="1"/>
    <col min="762" max="762" width="19" style="1" customWidth="1"/>
    <col min="763" max="763" width="19.109375" style="1" customWidth="1"/>
    <col min="764" max="764" width="21.33203125" style="1" customWidth="1"/>
    <col min="765" max="765" width="32.5546875" style="1" customWidth="1"/>
    <col min="766" max="766" width="16.88671875" style="1" customWidth="1"/>
    <col min="767" max="767" width="16.33203125" style="1" customWidth="1"/>
    <col min="768" max="998" width="10.33203125" style="1"/>
    <col min="999" max="999" width="4.44140625" style="1" customWidth="1"/>
    <col min="1000" max="1000" width="21.6640625" style="1" customWidth="1"/>
    <col min="1001" max="1001" width="15" style="1" customWidth="1"/>
    <col min="1002" max="1002" width="15.44140625" style="1" customWidth="1"/>
    <col min="1003" max="1003" width="11.5546875" style="1" customWidth="1"/>
    <col min="1004" max="1004" width="7.44140625" style="1" customWidth="1"/>
    <col min="1005" max="1005" width="14.109375" style="1" customWidth="1"/>
    <col min="1006" max="1006" width="10.6640625" style="1" customWidth="1"/>
    <col min="1007" max="1007" width="13.44140625" style="1" customWidth="1"/>
    <col min="1008" max="1008" width="11.44140625" style="1" customWidth="1"/>
    <col min="1009" max="1009" width="15" style="1" customWidth="1"/>
    <col min="1010" max="1010" width="14.5546875" style="1" customWidth="1"/>
    <col min="1011" max="1011" width="10.33203125" style="1"/>
    <col min="1012" max="1012" width="7.44140625" style="1" customWidth="1"/>
    <col min="1013" max="1013" width="12.88671875" style="1" customWidth="1"/>
    <col min="1014" max="1014" width="11.109375" style="1" customWidth="1"/>
    <col min="1015" max="1015" width="14" style="1" customWidth="1"/>
    <col min="1016" max="1016" width="33" style="1" customWidth="1"/>
    <col min="1017" max="1017" width="6.6640625" style="1" customWidth="1"/>
    <col min="1018" max="1018" width="19" style="1" customWidth="1"/>
    <col min="1019" max="1019" width="19.109375" style="1" customWidth="1"/>
    <col min="1020" max="1020" width="21.33203125" style="1" customWidth="1"/>
    <col min="1021" max="1021" width="32.5546875" style="1" customWidth="1"/>
    <col min="1022" max="1022" width="16.88671875" style="1" customWidth="1"/>
    <col min="1023" max="1023" width="16.33203125" style="1" customWidth="1"/>
    <col min="1024" max="1254" width="10.33203125" style="1"/>
    <col min="1255" max="1255" width="4.44140625" style="1" customWidth="1"/>
    <col min="1256" max="1256" width="21.6640625" style="1" customWidth="1"/>
    <col min="1257" max="1257" width="15" style="1" customWidth="1"/>
    <col min="1258" max="1258" width="15.44140625" style="1" customWidth="1"/>
    <col min="1259" max="1259" width="11.5546875" style="1" customWidth="1"/>
    <col min="1260" max="1260" width="7.44140625" style="1" customWidth="1"/>
    <col min="1261" max="1261" width="14.109375" style="1" customWidth="1"/>
    <col min="1262" max="1262" width="10.6640625" style="1" customWidth="1"/>
    <col min="1263" max="1263" width="13.44140625" style="1" customWidth="1"/>
    <col min="1264" max="1264" width="11.44140625" style="1" customWidth="1"/>
    <col min="1265" max="1265" width="15" style="1" customWidth="1"/>
    <col min="1266" max="1266" width="14.5546875" style="1" customWidth="1"/>
    <col min="1267" max="1267" width="10.33203125" style="1"/>
    <col min="1268" max="1268" width="7.44140625" style="1" customWidth="1"/>
    <col min="1269" max="1269" width="12.88671875" style="1" customWidth="1"/>
    <col min="1270" max="1270" width="11.109375" style="1" customWidth="1"/>
    <col min="1271" max="1271" width="14" style="1" customWidth="1"/>
    <col min="1272" max="1272" width="33" style="1" customWidth="1"/>
    <col min="1273" max="1273" width="6.6640625" style="1" customWidth="1"/>
    <col min="1274" max="1274" width="19" style="1" customWidth="1"/>
    <col min="1275" max="1275" width="19.109375" style="1" customWidth="1"/>
    <col min="1276" max="1276" width="21.33203125" style="1" customWidth="1"/>
    <col min="1277" max="1277" width="32.5546875" style="1" customWidth="1"/>
    <col min="1278" max="1278" width="16.88671875" style="1" customWidth="1"/>
    <col min="1279" max="1279" width="16.33203125" style="1" customWidth="1"/>
    <col min="1280" max="1510" width="10.33203125" style="1"/>
    <col min="1511" max="1511" width="4.44140625" style="1" customWidth="1"/>
    <col min="1512" max="1512" width="21.6640625" style="1" customWidth="1"/>
    <col min="1513" max="1513" width="15" style="1" customWidth="1"/>
    <col min="1514" max="1514" width="15.44140625" style="1" customWidth="1"/>
    <col min="1515" max="1515" width="11.5546875" style="1" customWidth="1"/>
    <col min="1516" max="1516" width="7.44140625" style="1" customWidth="1"/>
    <col min="1517" max="1517" width="14.109375" style="1" customWidth="1"/>
    <col min="1518" max="1518" width="10.6640625" style="1" customWidth="1"/>
    <col min="1519" max="1519" width="13.44140625" style="1" customWidth="1"/>
    <col min="1520" max="1520" width="11.44140625" style="1" customWidth="1"/>
    <col min="1521" max="1521" width="15" style="1" customWidth="1"/>
    <col min="1522" max="1522" width="14.5546875" style="1" customWidth="1"/>
    <col min="1523" max="1523" width="10.33203125" style="1"/>
    <col min="1524" max="1524" width="7.44140625" style="1" customWidth="1"/>
    <col min="1525" max="1525" width="12.88671875" style="1" customWidth="1"/>
    <col min="1526" max="1526" width="11.109375" style="1" customWidth="1"/>
    <col min="1527" max="1527" width="14" style="1" customWidth="1"/>
    <col min="1528" max="1528" width="33" style="1" customWidth="1"/>
    <col min="1529" max="1529" width="6.6640625" style="1" customWidth="1"/>
    <col min="1530" max="1530" width="19" style="1" customWidth="1"/>
    <col min="1531" max="1531" width="19.109375" style="1" customWidth="1"/>
    <col min="1532" max="1532" width="21.33203125" style="1" customWidth="1"/>
    <col min="1533" max="1533" width="32.5546875" style="1" customWidth="1"/>
    <col min="1534" max="1534" width="16.88671875" style="1" customWidth="1"/>
    <col min="1535" max="1535" width="16.33203125" style="1" customWidth="1"/>
    <col min="1536" max="1766" width="10.33203125" style="1"/>
    <col min="1767" max="1767" width="4.44140625" style="1" customWidth="1"/>
    <col min="1768" max="1768" width="21.6640625" style="1" customWidth="1"/>
    <col min="1769" max="1769" width="15" style="1" customWidth="1"/>
    <col min="1770" max="1770" width="15.44140625" style="1" customWidth="1"/>
    <col min="1771" max="1771" width="11.5546875" style="1" customWidth="1"/>
    <col min="1772" max="1772" width="7.44140625" style="1" customWidth="1"/>
    <col min="1773" max="1773" width="14.109375" style="1" customWidth="1"/>
    <col min="1774" max="1774" width="10.6640625" style="1" customWidth="1"/>
    <col min="1775" max="1775" width="13.44140625" style="1" customWidth="1"/>
    <col min="1776" max="1776" width="11.44140625" style="1" customWidth="1"/>
    <col min="1777" max="1777" width="15" style="1" customWidth="1"/>
    <col min="1778" max="1778" width="14.5546875" style="1" customWidth="1"/>
    <col min="1779" max="1779" width="10.33203125" style="1"/>
    <col min="1780" max="1780" width="7.44140625" style="1" customWidth="1"/>
    <col min="1781" max="1781" width="12.88671875" style="1" customWidth="1"/>
    <col min="1782" max="1782" width="11.109375" style="1" customWidth="1"/>
    <col min="1783" max="1783" width="14" style="1" customWidth="1"/>
    <col min="1784" max="1784" width="33" style="1" customWidth="1"/>
    <col min="1785" max="1785" width="6.6640625" style="1" customWidth="1"/>
    <col min="1786" max="1786" width="19" style="1" customWidth="1"/>
    <col min="1787" max="1787" width="19.109375" style="1" customWidth="1"/>
    <col min="1788" max="1788" width="21.33203125" style="1" customWidth="1"/>
    <col min="1789" max="1789" width="32.5546875" style="1" customWidth="1"/>
    <col min="1790" max="1790" width="16.88671875" style="1" customWidth="1"/>
    <col min="1791" max="1791" width="16.33203125" style="1" customWidth="1"/>
    <col min="1792" max="2022" width="10.33203125" style="1"/>
    <col min="2023" max="2023" width="4.44140625" style="1" customWidth="1"/>
    <col min="2024" max="2024" width="21.6640625" style="1" customWidth="1"/>
    <col min="2025" max="2025" width="15" style="1" customWidth="1"/>
    <col min="2026" max="2026" width="15.44140625" style="1" customWidth="1"/>
    <col min="2027" max="2027" width="11.5546875" style="1" customWidth="1"/>
    <col min="2028" max="2028" width="7.44140625" style="1" customWidth="1"/>
    <col min="2029" max="2029" width="14.109375" style="1" customWidth="1"/>
    <col min="2030" max="2030" width="10.6640625" style="1" customWidth="1"/>
    <col min="2031" max="2031" width="13.44140625" style="1" customWidth="1"/>
    <col min="2032" max="2032" width="11.44140625" style="1" customWidth="1"/>
    <col min="2033" max="2033" width="15" style="1" customWidth="1"/>
    <col min="2034" max="2034" width="14.5546875" style="1" customWidth="1"/>
    <col min="2035" max="2035" width="10.33203125" style="1"/>
    <col min="2036" max="2036" width="7.44140625" style="1" customWidth="1"/>
    <col min="2037" max="2037" width="12.88671875" style="1" customWidth="1"/>
    <col min="2038" max="2038" width="11.109375" style="1" customWidth="1"/>
    <col min="2039" max="2039" width="14" style="1" customWidth="1"/>
    <col min="2040" max="2040" width="33" style="1" customWidth="1"/>
    <col min="2041" max="2041" width="6.6640625" style="1" customWidth="1"/>
    <col min="2042" max="2042" width="19" style="1" customWidth="1"/>
    <col min="2043" max="2043" width="19.109375" style="1" customWidth="1"/>
    <col min="2044" max="2044" width="21.33203125" style="1" customWidth="1"/>
    <col min="2045" max="2045" width="32.5546875" style="1" customWidth="1"/>
    <col min="2046" max="2046" width="16.88671875" style="1" customWidth="1"/>
    <col min="2047" max="2047" width="16.33203125" style="1" customWidth="1"/>
    <col min="2048" max="2278" width="10.33203125" style="1"/>
    <col min="2279" max="2279" width="4.44140625" style="1" customWidth="1"/>
    <col min="2280" max="2280" width="21.6640625" style="1" customWidth="1"/>
    <col min="2281" max="2281" width="15" style="1" customWidth="1"/>
    <col min="2282" max="2282" width="15.44140625" style="1" customWidth="1"/>
    <col min="2283" max="2283" width="11.5546875" style="1" customWidth="1"/>
    <col min="2284" max="2284" width="7.44140625" style="1" customWidth="1"/>
    <col min="2285" max="2285" width="14.109375" style="1" customWidth="1"/>
    <col min="2286" max="2286" width="10.6640625" style="1" customWidth="1"/>
    <col min="2287" max="2287" width="13.44140625" style="1" customWidth="1"/>
    <col min="2288" max="2288" width="11.44140625" style="1" customWidth="1"/>
    <col min="2289" max="2289" width="15" style="1" customWidth="1"/>
    <col min="2290" max="2290" width="14.5546875" style="1" customWidth="1"/>
    <col min="2291" max="2291" width="10.33203125" style="1"/>
    <col min="2292" max="2292" width="7.44140625" style="1" customWidth="1"/>
    <col min="2293" max="2293" width="12.88671875" style="1" customWidth="1"/>
    <col min="2294" max="2294" width="11.109375" style="1" customWidth="1"/>
    <col min="2295" max="2295" width="14" style="1" customWidth="1"/>
    <col min="2296" max="2296" width="33" style="1" customWidth="1"/>
    <col min="2297" max="2297" width="6.6640625" style="1" customWidth="1"/>
    <col min="2298" max="2298" width="19" style="1" customWidth="1"/>
    <col min="2299" max="2299" width="19.109375" style="1" customWidth="1"/>
    <col min="2300" max="2300" width="21.33203125" style="1" customWidth="1"/>
    <col min="2301" max="2301" width="32.5546875" style="1" customWidth="1"/>
    <col min="2302" max="2302" width="16.88671875" style="1" customWidth="1"/>
    <col min="2303" max="2303" width="16.33203125" style="1" customWidth="1"/>
    <col min="2304" max="2534" width="10.33203125" style="1"/>
    <col min="2535" max="2535" width="4.44140625" style="1" customWidth="1"/>
    <col min="2536" max="2536" width="21.6640625" style="1" customWidth="1"/>
    <col min="2537" max="2537" width="15" style="1" customWidth="1"/>
    <col min="2538" max="2538" width="15.44140625" style="1" customWidth="1"/>
    <col min="2539" max="2539" width="11.5546875" style="1" customWidth="1"/>
    <col min="2540" max="2540" width="7.44140625" style="1" customWidth="1"/>
    <col min="2541" max="2541" width="14.109375" style="1" customWidth="1"/>
    <col min="2542" max="2542" width="10.6640625" style="1" customWidth="1"/>
    <col min="2543" max="2543" width="13.44140625" style="1" customWidth="1"/>
    <col min="2544" max="2544" width="11.44140625" style="1" customWidth="1"/>
    <col min="2545" max="2545" width="15" style="1" customWidth="1"/>
    <col min="2546" max="2546" width="14.5546875" style="1" customWidth="1"/>
    <col min="2547" max="2547" width="10.33203125" style="1"/>
    <col min="2548" max="2548" width="7.44140625" style="1" customWidth="1"/>
    <col min="2549" max="2549" width="12.88671875" style="1" customWidth="1"/>
    <col min="2550" max="2550" width="11.109375" style="1" customWidth="1"/>
    <col min="2551" max="2551" width="14" style="1" customWidth="1"/>
    <col min="2552" max="2552" width="33" style="1" customWidth="1"/>
    <col min="2553" max="2553" width="6.6640625" style="1" customWidth="1"/>
    <col min="2554" max="2554" width="19" style="1" customWidth="1"/>
    <col min="2555" max="2555" width="19.109375" style="1" customWidth="1"/>
    <col min="2556" max="2556" width="21.33203125" style="1" customWidth="1"/>
    <col min="2557" max="2557" width="32.5546875" style="1" customWidth="1"/>
    <col min="2558" max="2558" width="16.88671875" style="1" customWidth="1"/>
    <col min="2559" max="2559" width="16.33203125" style="1" customWidth="1"/>
    <col min="2560" max="2790" width="10.33203125" style="1"/>
    <col min="2791" max="2791" width="4.44140625" style="1" customWidth="1"/>
    <col min="2792" max="2792" width="21.6640625" style="1" customWidth="1"/>
    <col min="2793" max="2793" width="15" style="1" customWidth="1"/>
    <col min="2794" max="2794" width="15.44140625" style="1" customWidth="1"/>
    <col min="2795" max="2795" width="11.5546875" style="1" customWidth="1"/>
    <col min="2796" max="2796" width="7.44140625" style="1" customWidth="1"/>
    <col min="2797" max="2797" width="14.109375" style="1" customWidth="1"/>
    <col min="2798" max="2798" width="10.6640625" style="1" customWidth="1"/>
    <col min="2799" max="2799" width="13.44140625" style="1" customWidth="1"/>
    <col min="2800" max="2800" width="11.44140625" style="1" customWidth="1"/>
    <col min="2801" max="2801" width="15" style="1" customWidth="1"/>
    <col min="2802" max="2802" width="14.5546875" style="1" customWidth="1"/>
    <col min="2803" max="2803" width="10.33203125" style="1"/>
    <col min="2804" max="2804" width="7.44140625" style="1" customWidth="1"/>
    <col min="2805" max="2805" width="12.88671875" style="1" customWidth="1"/>
    <col min="2806" max="2806" width="11.109375" style="1" customWidth="1"/>
    <col min="2807" max="2807" width="14" style="1" customWidth="1"/>
    <col min="2808" max="2808" width="33" style="1" customWidth="1"/>
    <col min="2809" max="2809" width="6.6640625" style="1" customWidth="1"/>
    <col min="2810" max="2810" width="19" style="1" customWidth="1"/>
    <col min="2811" max="2811" width="19.109375" style="1" customWidth="1"/>
    <col min="2812" max="2812" width="21.33203125" style="1" customWidth="1"/>
    <col min="2813" max="2813" width="32.5546875" style="1" customWidth="1"/>
    <col min="2814" max="2814" width="16.88671875" style="1" customWidth="1"/>
    <col min="2815" max="2815" width="16.33203125" style="1" customWidth="1"/>
    <col min="2816" max="3046" width="10.33203125" style="1"/>
    <col min="3047" max="3047" width="4.44140625" style="1" customWidth="1"/>
    <col min="3048" max="3048" width="21.6640625" style="1" customWidth="1"/>
    <col min="3049" max="3049" width="15" style="1" customWidth="1"/>
    <col min="3050" max="3050" width="15.44140625" style="1" customWidth="1"/>
    <col min="3051" max="3051" width="11.5546875" style="1" customWidth="1"/>
    <col min="3052" max="3052" width="7.44140625" style="1" customWidth="1"/>
    <col min="3053" max="3053" width="14.109375" style="1" customWidth="1"/>
    <col min="3054" max="3054" width="10.6640625" style="1" customWidth="1"/>
    <col min="3055" max="3055" width="13.44140625" style="1" customWidth="1"/>
    <col min="3056" max="3056" width="11.44140625" style="1" customWidth="1"/>
    <col min="3057" max="3057" width="15" style="1" customWidth="1"/>
    <col min="3058" max="3058" width="14.5546875" style="1" customWidth="1"/>
    <col min="3059" max="3059" width="10.33203125" style="1"/>
    <col min="3060" max="3060" width="7.44140625" style="1" customWidth="1"/>
    <col min="3061" max="3061" width="12.88671875" style="1" customWidth="1"/>
    <col min="3062" max="3062" width="11.109375" style="1" customWidth="1"/>
    <col min="3063" max="3063" width="14" style="1" customWidth="1"/>
    <col min="3064" max="3064" width="33" style="1" customWidth="1"/>
    <col min="3065" max="3065" width="6.6640625" style="1" customWidth="1"/>
    <col min="3066" max="3066" width="19" style="1" customWidth="1"/>
    <col min="3067" max="3067" width="19.109375" style="1" customWidth="1"/>
    <col min="3068" max="3068" width="21.33203125" style="1" customWidth="1"/>
    <col min="3069" max="3069" width="32.5546875" style="1" customWidth="1"/>
    <col min="3070" max="3070" width="16.88671875" style="1" customWidth="1"/>
    <col min="3071" max="3071" width="16.33203125" style="1" customWidth="1"/>
    <col min="3072" max="3302" width="10.33203125" style="1"/>
    <col min="3303" max="3303" width="4.44140625" style="1" customWidth="1"/>
    <col min="3304" max="3304" width="21.6640625" style="1" customWidth="1"/>
    <col min="3305" max="3305" width="15" style="1" customWidth="1"/>
    <col min="3306" max="3306" width="15.44140625" style="1" customWidth="1"/>
    <col min="3307" max="3307" width="11.5546875" style="1" customWidth="1"/>
    <col min="3308" max="3308" width="7.44140625" style="1" customWidth="1"/>
    <col min="3309" max="3309" width="14.109375" style="1" customWidth="1"/>
    <col min="3310" max="3310" width="10.6640625" style="1" customWidth="1"/>
    <col min="3311" max="3311" width="13.44140625" style="1" customWidth="1"/>
    <col min="3312" max="3312" width="11.44140625" style="1" customWidth="1"/>
    <col min="3313" max="3313" width="15" style="1" customWidth="1"/>
    <col min="3314" max="3314" width="14.5546875" style="1" customWidth="1"/>
    <col min="3315" max="3315" width="10.33203125" style="1"/>
    <col min="3316" max="3316" width="7.44140625" style="1" customWidth="1"/>
    <col min="3317" max="3317" width="12.88671875" style="1" customWidth="1"/>
    <col min="3318" max="3318" width="11.109375" style="1" customWidth="1"/>
    <col min="3319" max="3319" width="14" style="1" customWidth="1"/>
    <col min="3320" max="3320" width="33" style="1" customWidth="1"/>
    <col min="3321" max="3321" width="6.6640625" style="1" customWidth="1"/>
    <col min="3322" max="3322" width="19" style="1" customWidth="1"/>
    <col min="3323" max="3323" width="19.109375" style="1" customWidth="1"/>
    <col min="3324" max="3324" width="21.33203125" style="1" customWidth="1"/>
    <col min="3325" max="3325" width="32.5546875" style="1" customWidth="1"/>
    <col min="3326" max="3326" width="16.88671875" style="1" customWidth="1"/>
    <col min="3327" max="3327" width="16.33203125" style="1" customWidth="1"/>
    <col min="3328" max="3558" width="10.33203125" style="1"/>
    <col min="3559" max="3559" width="4.44140625" style="1" customWidth="1"/>
    <col min="3560" max="3560" width="21.6640625" style="1" customWidth="1"/>
    <col min="3561" max="3561" width="15" style="1" customWidth="1"/>
    <col min="3562" max="3562" width="15.44140625" style="1" customWidth="1"/>
    <col min="3563" max="3563" width="11.5546875" style="1" customWidth="1"/>
    <col min="3564" max="3564" width="7.44140625" style="1" customWidth="1"/>
    <col min="3565" max="3565" width="14.109375" style="1" customWidth="1"/>
    <col min="3566" max="3566" width="10.6640625" style="1" customWidth="1"/>
    <col min="3567" max="3567" width="13.44140625" style="1" customWidth="1"/>
    <col min="3568" max="3568" width="11.44140625" style="1" customWidth="1"/>
    <col min="3569" max="3569" width="15" style="1" customWidth="1"/>
    <col min="3570" max="3570" width="14.5546875" style="1" customWidth="1"/>
    <col min="3571" max="3571" width="10.33203125" style="1"/>
    <col min="3572" max="3572" width="7.44140625" style="1" customWidth="1"/>
    <col min="3573" max="3573" width="12.88671875" style="1" customWidth="1"/>
    <col min="3574" max="3574" width="11.109375" style="1" customWidth="1"/>
    <col min="3575" max="3575" width="14" style="1" customWidth="1"/>
    <col min="3576" max="3576" width="33" style="1" customWidth="1"/>
    <col min="3577" max="3577" width="6.6640625" style="1" customWidth="1"/>
    <col min="3578" max="3578" width="19" style="1" customWidth="1"/>
    <col min="3579" max="3579" width="19.109375" style="1" customWidth="1"/>
    <col min="3580" max="3580" width="21.33203125" style="1" customWidth="1"/>
    <col min="3581" max="3581" width="32.5546875" style="1" customWidth="1"/>
    <col min="3582" max="3582" width="16.88671875" style="1" customWidth="1"/>
    <col min="3583" max="3583" width="16.33203125" style="1" customWidth="1"/>
    <col min="3584" max="3814" width="10.33203125" style="1"/>
    <col min="3815" max="3815" width="4.44140625" style="1" customWidth="1"/>
    <col min="3816" max="3816" width="21.6640625" style="1" customWidth="1"/>
    <col min="3817" max="3817" width="15" style="1" customWidth="1"/>
    <col min="3818" max="3818" width="15.44140625" style="1" customWidth="1"/>
    <col min="3819" max="3819" width="11.5546875" style="1" customWidth="1"/>
    <col min="3820" max="3820" width="7.44140625" style="1" customWidth="1"/>
    <col min="3821" max="3821" width="14.109375" style="1" customWidth="1"/>
    <col min="3822" max="3822" width="10.6640625" style="1" customWidth="1"/>
    <col min="3823" max="3823" width="13.44140625" style="1" customWidth="1"/>
    <col min="3824" max="3824" width="11.44140625" style="1" customWidth="1"/>
    <col min="3825" max="3825" width="15" style="1" customWidth="1"/>
    <col min="3826" max="3826" width="14.5546875" style="1" customWidth="1"/>
    <col min="3827" max="3827" width="10.33203125" style="1"/>
    <col min="3828" max="3828" width="7.44140625" style="1" customWidth="1"/>
    <col min="3829" max="3829" width="12.88671875" style="1" customWidth="1"/>
    <col min="3830" max="3830" width="11.109375" style="1" customWidth="1"/>
    <col min="3831" max="3831" width="14" style="1" customWidth="1"/>
    <col min="3832" max="3832" width="33" style="1" customWidth="1"/>
    <col min="3833" max="3833" width="6.6640625" style="1" customWidth="1"/>
    <col min="3834" max="3834" width="19" style="1" customWidth="1"/>
    <col min="3835" max="3835" width="19.109375" style="1" customWidth="1"/>
    <col min="3836" max="3836" width="21.33203125" style="1" customWidth="1"/>
    <col min="3837" max="3837" width="32.5546875" style="1" customWidth="1"/>
    <col min="3838" max="3838" width="16.88671875" style="1" customWidth="1"/>
    <col min="3839" max="3839" width="16.33203125" style="1" customWidth="1"/>
    <col min="3840" max="4070" width="10.33203125" style="1"/>
    <col min="4071" max="4071" width="4.44140625" style="1" customWidth="1"/>
    <col min="4072" max="4072" width="21.6640625" style="1" customWidth="1"/>
    <col min="4073" max="4073" width="15" style="1" customWidth="1"/>
    <col min="4074" max="4074" width="15.44140625" style="1" customWidth="1"/>
    <col min="4075" max="4075" width="11.5546875" style="1" customWidth="1"/>
    <col min="4076" max="4076" width="7.44140625" style="1" customWidth="1"/>
    <col min="4077" max="4077" width="14.109375" style="1" customWidth="1"/>
    <col min="4078" max="4078" width="10.6640625" style="1" customWidth="1"/>
    <col min="4079" max="4079" width="13.44140625" style="1" customWidth="1"/>
    <col min="4080" max="4080" width="11.44140625" style="1" customWidth="1"/>
    <col min="4081" max="4081" width="15" style="1" customWidth="1"/>
    <col min="4082" max="4082" width="14.5546875" style="1" customWidth="1"/>
    <col min="4083" max="4083" width="10.33203125" style="1"/>
    <col min="4084" max="4084" width="7.44140625" style="1" customWidth="1"/>
    <col min="4085" max="4085" width="12.88671875" style="1" customWidth="1"/>
    <col min="4086" max="4086" width="11.109375" style="1" customWidth="1"/>
    <col min="4087" max="4087" width="14" style="1" customWidth="1"/>
    <col min="4088" max="4088" width="33" style="1" customWidth="1"/>
    <col min="4089" max="4089" width="6.6640625" style="1" customWidth="1"/>
    <col min="4090" max="4090" width="19" style="1" customWidth="1"/>
    <col min="4091" max="4091" width="19.109375" style="1" customWidth="1"/>
    <col min="4092" max="4092" width="21.33203125" style="1" customWidth="1"/>
    <col min="4093" max="4093" width="32.5546875" style="1" customWidth="1"/>
    <col min="4094" max="4094" width="16.88671875" style="1" customWidth="1"/>
    <col min="4095" max="4095" width="16.33203125" style="1" customWidth="1"/>
    <col min="4096" max="4326" width="10.33203125" style="1"/>
    <col min="4327" max="4327" width="4.44140625" style="1" customWidth="1"/>
    <col min="4328" max="4328" width="21.6640625" style="1" customWidth="1"/>
    <col min="4329" max="4329" width="15" style="1" customWidth="1"/>
    <col min="4330" max="4330" width="15.44140625" style="1" customWidth="1"/>
    <col min="4331" max="4331" width="11.5546875" style="1" customWidth="1"/>
    <col min="4332" max="4332" width="7.44140625" style="1" customWidth="1"/>
    <col min="4333" max="4333" width="14.109375" style="1" customWidth="1"/>
    <col min="4334" max="4334" width="10.6640625" style="1" customWidth="1"/>
    <col min="4335" max="4335" width="13.44140625" style="1" customWidth="1"/>
    <col min="4336" max="4336" width="11.44140625" style="1" customWidth="1"/>
    <col min="4337" max="4337" width="15" style="1" customWidth="1"/>
    <col min="4338" max="4338" width="14.5546875" style="1" customWidth="1"/>
    <col min="4339" max="4339" width="10.33203125" style="1"/>
    <col min="4340" max="4340" width="7.44140625" style="1" customWidth="1"/>
    <col min="4341" max="4341" width="12.88671875" style="1" customWidth="1"/>
    <col min="4342" max="4342" width="11.109375" style="1" customWidth="1"/>
    <col min="4343" max="4343" width="14" style="1" customWidth="1"/>
    <col min="4344" max="4344" width="33" style="1" customWidth="1"/>
    <col min="4345" max="4345" width="6.6640625" style="1" customWidth="1"/>
    <col min="4346" max="4346" width="19" style="1" customWidth="1"/>
    <col min="4347" max="4347" width="19.109375" style="1" customWidth="1"/>
    <col min="4348" max="4348" width="21.33203125" style="1" customWidth="1"/>
    <col min="4349" max="4349" width="32.5546875" style="1" customWidth="1"/>
    <col min="4350" max="4350" width="16.88671875" style="1" customWidth="1"/>
    <col min="4351" max="4351" width="16.33203125" style="1" customWidth="1"/>
    <col min="4352" max="4582" width="10.33203125" style="1"/>
    <col min="4583" max="4583" width="4.44140625" style="1" customWidth="1"/>
    <col min="4584" max="4584" width="21.6640625" style="1" customWidth="1"/>
    <col min="4585" max="4585" width="15" style="1" customWidth="1"/>
    <col min="4586" max="4586" width="15.44140625" style="1" customWidth="1"/>
    <col min="4587" max="4587" width="11.5546875" style="1" customWidth="1"/>
    <col min="4588" max="4588" width="7.44140625" style="1" customWidth="1"/>
    <col min="4589" max="4589" width="14.109375" style="1" customWidth="1"/>
    <col min="4590" max="4590" width="10.6640625" style="1" customWidth="1"/>
    <col min="4591" max="4591" width="13.44140625" style="1" customWidth="1"/>
    <col min="4592" max="4592" width="11.44140625" style="1" customWidth="1"/>
    <col min="4593" max="4593" width="15" style="1" customWidth="1"/>
    <col min="4594" max="4594" width="14.5546875" style="1" customWidth="1"/>
    <col min="4595" max="4595" width="10.33203125" style="1"/>
    <col min="4596" max="4596" width="7.44140625" style="1" customWidth="1"/>
    <col min="4597" max="4597" width="12.88671875" style="1" customWidth="1"/>
    <col min="4598" max="4598" width="11.109375" style="1" customWidth="1"/>
    <col min="4599" max="4599" width="14" style="1" customWidth="1"/>
    <col min="4600" max="4600" width="33" style="1" customWidth="1"/>
    <col min="4601" max="4601" width="6.6640625" style="1" customWidth="1"/>
    <col min="4602" max="4602" width="19" style="1" customWidth="1"/>
    <col min="4603" max="4603" width="19.109375" style="1" customWidth="1"/>
    <col min="4604" max="4604" width="21.33203125" style="1" customWidth="1"/>
    <col min="4605" max="4605" width="32.5546875" style="1" customWidth="1"/>
    <col min="4606" max="4606" width="16.88671875" style="1" customWidth="1"/>
    <col min="4607" max="4607" width="16.33203125" style="1" customWidth="1"/>
    <col min="4608" max="4838" width="10.33203125" style="1"/>
    <col min="4839" max="4839" width="4.44140625" style="1" customWidth="1"/>
    <col min="4840" max="4840" width="21.6640625" style="1" customWidth="1"/>
    <col min="4841" max="4841" width="15" style="1" customWidth="1"/>
    <col min="4842" max="4842" width="15.44140625" style="1" customWidth="1"/>
    <col min="4843" max="4843" width="11.5546875" style="1" customWidth="1"/>
    <col min="4844" max="4844" width="7.44140625" style="1" customWidth="1"/>
    <col min="4845" max="4845" width="14.109375" style="1" customWidth="1"/>
    <col min="4846" max="4846" width="10.6640625" style="1" customWidth="1"/>
    <col min="4847" max="4847" width="13.44140625" style="1" customWidth="1"/>
    <col min="4848" max="4848" width="11.44140625" style="1" customWidth="1"/>
    <col min="4849" max="4849" width="15" style="1" customWidth="1"/>
    <col min="4850" max="4850" width="14.5546875" style="1" customWidth="1"/>
    <col min="4851" max="4851" width="10.33203125" style="1"/>
    <col min="4852" max="4852" width="7.44140625" style="1" customWidth="1"/>
    <col min="4853" max="4853" width="12.88671875" style="1" customWidth="1"/>
    <col min="4854" max="4854" width="11.109375" style="1" customWidth="1"/>
    <col min="4855" max="4855" width="14" style="1" customWidth="1"/>
    <col min="4856" max="4856" width="33" style="1" customWidth="1"/>
    <col min="4857" max="4857" width="6.6640625" style="1" customWidth="1"/>
    <col min="4858" max="4858" width="19" style="1" customWidth="1"/>
    <col min="4859" max="4859" width="19.109375" style="1" customWidth="1"/>
    <col min="4860" max="4860" width="21.33203125" style="1" customWidth="1"/>
    <col min="4861" max="4861" width="32.5546875" style="1" customWidth="1"/>
    <col min="4862" max="4862" width="16.88671875" style="1" customWidth="1"/>
    <col min="4863" max="4863" width="16.33203125" style="1" customWidth="1"/>
    <col min="4864" max="5094" width="10.33203125" style="1"/>
    <col min="5095" max="5095" width="4.44140625" style="1" customWidth="1"/>
    <col min="5096" max="5096" width="21.6640625" style="1" customWidth="1"/>
    <col min="5097" max="5097" width="15" style="1" customWidth="1"/>
    <col min="5098" max="5098" width="15.44140625" style="1" customWidth="1"/>
    <col min="5099" max="5099" width="11.5546875" style="1" customWidth="1"/>
    <col min="5100" max="5100" width="7.44140625" style="1" customWidth="1"/>
    <col min="5101" max="5101" width="14.109375" style="1" customWidth="1"/>
    <col min="5102" max="5102" width="10.6640625" style="1" customWidth="1"/>
    <col min="5103" max="5103" width="13.44140625" style="1" customWidth="1"/>
    <col min="5104" max="5104" width="11.44140625" style="1" customWidth="1"/>
    <col min="5105" max="5105" width="15" style="1" customWidth="1"/>
    <col min="5106" max="5106" width="14.5546875" style="1" customWidth="1"/>
    <col min="5107" max="5107" width="10.33203125" style="1"/>
    <col min="5108" max="5108" width="7.44140625" style="1" customWidth="1"/>
    <col min="5109" max="5109" width="12.88671875" style="1" customWidth="1"/>
    <col min="5110" max="5110" width="11.109375" style="1" customWidth="1"/>
    <col min="5111" max="5111" width="14" style="1" customWidth="1"/>
    <col min="5112" max="5112" width="33" style="1" customWidth="1"/>
    <col min="5113" max="5113" width="6.6640625" style="1" customWidth="1"/>
    <col min="5114" max="5114" width="19" style="1" customWidth="1"/>
    <col min="5115" max="5115" width="19.109375" style="1" customWidth="1"/>
    <col min="5116" max="5116" width="21.33203125" style="1" customWidth="1"/>
    <col min="5117" max="5117" width="32.5546875" style="1" customWidth="1"/>
    <col min="5118" max="5118" width="16.88671875" style="1" customWidth="1"/>
    <col min="5119" max="5119" width="16.33203125" style="1" customWidth="1"/>
    <col min="5120" max="5350" width="10.33203125" style="1"/>
    <col min="5351" max="5351" width="4.44140625" style="1" customWidth="1"/>
    <col min="5352" max="5352" width="21.6640625" style="1" customWidth="1"/>
    <col min="5353" max="5353" width="15" style="1" customWidth="1"/>
    <col min="5354" max="5354" width="15.44140625" style="1" customWidth="1"/>
    <col min="5355" max="5355" width="11.5546875" style="1" customWidth="1"/>
    <col min="5356" max="5356" width="7.44140625" style="1" customWidth="1"/>
    <col min="5357" max="5357" width="14.109375" style="1" customWidth="1"/>
    <col min="5358" max="5358" width="10.6640625" style="1" customWidth="1"/>
    <col min="5359" max="5359" width="13.44140625" style="1" customWidth="1"/>
    <col min="5360" max="5360" width="11.44140625" style="1" customWidth="1"/>
    <col min="5361" max="5361" width="15" style="1" customWidth="1"/>
    <col min="5362" max="5362" width="14.5546875" style="1" customWidth="1"/>
    <col min="5363" max="5363" width="10.33203125" style="1"/>
    <col min="5364" max="5364" width="7.44140625" style="1" customWidth="1"/>
    <col min="5365" max="5365" width="12.88671875" style="1" customWidth="1"/>
    <col min="5366" max="5366" width="11.109375" style="1" customWidth="1"/>
    <col min="5367" max="5367" width="14" style="1" customWidth="1"/>
    <col min="5368" max="5368" width="33" style="1" customWidth="1"/>
    <col min="5369" max="5369" width="6.6640625" style="1" customWidth="1"/>
    <col min="5370" max="5370" width="19" style="1" customWidth="1"/>
    <col min="5371" max="5371" width="19.109375" style="1" customWidth="1"/>
    <col min="5372" max="5372" width="21.33203125" style="1" customWidth="1"/>
    <col min="5373" max="5373" width="32.5546875" style="1" customWidth="1"/>
    <col min="5374" max="5374" width="16.88671875" style="1" customWidth="1"/>
    <col min="5375" max="5375" width="16.33203125" style="1" customWidth="1"/>
    <col min="5376" max="5606" width="10.33203125" style="1"/>
    <col min="5607" max="5607" width="4.44140625" style="1" customWidth="1"/>
    <col min="5608" max="5608" width="21.6640625" style="1" customWidth="1"/>
    <col min="5609" max="5609" width="15" style="1" customWidth="1"/>
    <col min="5610" max="5610" width="15.44140625" style="1" customWidth="1"/>
    <col min="5611" max="5611" width="11.5546875" style="1" customWidth="1"/>
    <col min="5612" max="5612" width="7.44140625" style="1" customWidth="1"/>
    <col min="5613" max="5613" width="14.109375" style="1" customWidth="1"/>
    <col min="5614" max="5614" width="10.6640625" style="1" customWidth="1"/>
    <col min="5615" max="5615" width="13.44140625" style="1" customWidth="1"/>
    <col min="5616" max="5616" width="11.44140625" style="1" customWidth="1"/>
    <col min="5617" max="5617" width="15" style="1" customWidth="1"/>
    <col min="5618" max="5618" width="14.5546875" style="1" customWidth="1"/>
    <col min="5619" max="5619" width="10.33203125" style="1"/>
    <col min="5620" max="5620" width="7.44140625" style="1" customWidth="1"/>
    <col min="5621" max="5621" width="12.88671875" style="1" customWidth="1"/>
    <col min="5622" max="5622" width="11.109375" style="1" customWidth="1"/>
    <col min="5623" max="5623" width="14" style="1" customWidth="1"/>
    <col min="5624" max="5624" width="33" style="1" customWidth="1"/>
    <col min="5625" max="5625" width="6.6640625" style="1" customWidth="1"/>
    <col min="5626" max="5626" width="19" style="1" customWidth="1"/>
    <col min="5627" max="5627" width="19.109375" style="1" customWidth="1"/>
    <col min="5628" max="5628" width="21.33203125" style="1" customWidth="1"/>
    <col min="5629" max="5629" width="32.5546875" style="1" customWidth="1"/>
    <col min="5630" max="5630" width="16.88671875" style="1" customWidth="1"/>
    <col min="5631" max="5631" width="16.33203125" style="1" customWidth="1"/>
    <col min="5632" max="5862" width="10.33203125" style="1"/>
    <col min="5863" max="5863" width="4.44140625" style="1" customWidth="1"/>
    <col min="5864" max="5864" width="21.6640625" style="1" customWidth="1"/>
    <col min="5865" max="5865" width="15" style="1" customWidth="1"/>
    <col min="5866" max="5866" width="15.44140625" style="1" customWidth="1"/>
    <col min="5867" max="5867" width="11.5546875" style="1" customWidth="1"/>
    <col min="5868" max="5868" width="7.44140625" style="1" customWidth="1"/>
    <col min="5869" max="5869" width="14.109375" style="1" customWidth="1"/>
    <col min="5870" max="5870" width="10.6640625" style="1" customWidth="1"/>
    <col min="5871" max="5871" width="13.44140625" style="1" customWidth="1"/>
    <col min="5872" max="5872" width="11.44140625" style="1" customWidth="1"/>
    <col min="5873" max="5873" width="15" style="1" customWidth="1"/>
    <col min="5874" max="5874" width="14.5546875" style="1" customWidth="1"/>
    <col min="5875" max="5875" width="10.33203125" style="1"/>
    <col min="5876" max="5876" width="7.44140625" style="1" customWidth="1"/>
    <col min="5877" max="5877" width="12.88671875" style="1" customWidth="1"/>
    <col min="5878" max="5878" width="11.109375" style="1" customWidth="1"/>
    <col min="5879" max="5879" width="14" style="1" customWidth="1"/>
    <col min="5880" max="5880" width="33" style="1" customWidth="1"/>
    <col min="5881" max="5881" width="6.6640625" style="1" customWidth="1"/>
    <col min="5882" max="5882" width="19" style="1" customWidth="1"/>
    <col min="5883" max="5883" width="19.109375" style="1" customWidth="1"/>
    <col min="5884" max="5884" width="21.33203125" style="1" customWidth="1"/>
    <col min="5885" max="5885" width="32.5546875" style="1" customWidth="1"/>
    <col min="5886" max="5886" width="16.88671875" style="1" customWidth="1"/>
    <col min="5887" max="5887" width="16.33203125" style="1" customWidth="1"/>
    <col min="5888" max="6118" width="10.33203125" style="1"/>
    <col min="6119" max="6119" width="4.44140625" style="1" customWidth="1"/>
    <col min="6120" max="6120" width="21.6640625" style="1" customWidth="1"/>
    <col min="6121" max="6121" width="15" style="1" customWidth="1"/>
    <col min="6122" max="6122" width="15.44140625" style="1" customWidth="1"/>
    <col min="6123" max="6123" width="11.5546875" style="1" customWidth="1"/>
    <col min="6124" max="6124" width="7.44140625" style="1" customWidth="1"/>
    <col min="6125" max="6125" width="14.109375" style="1" customWidth="1"/>
    <col min="6126" max="6126" width="10.6640625" style="1" customWidth="1"/>
    <col min="6127" max="6127" width="13.44140625" style="1" customWidth="1"/>
    <col min="6128" max="6128" width="11.44140625" style="1" customWidth="1"/>
    <col min="6129" max="6129" width="15" style="1" customWidth="1"/>
    <col min="6130" max="6130" width="14.5546875" style="1" customWidth="1"/>
    <col min="6131" max="6131" width="10.33203125" style="1"/>
    <col min="6132" max="6132" width="7.44140625" style="1" customWidth="1"/>
    <col min="6133" max="6133" width="12.88671875" style="1" customWidth="1"/>
    <col min="6134" max="6134" width="11.109375" style="1" customWidth="1"/>
    <col min="6135" max="6135" width="14" style="1" customWidth="1"/>
    <col min="6136" max="6136" width="33" style="1" customWidth="1"/>
    <col min="6137" max="6137" width="6.6640625" style="1" customWidth="1"/>
    <col min="6138" max="6138" width="19" style="1" customWidth="1"/>
    <col min="6139" max="6139" width="19.109375" style="1" customWidth="1"/>
    <col min="6140" max="6140" width="21.33203125" style="1" customWidth="1"/>
    <col min="6141" max="6141" width="32.5546875" style="1" customWidth="1"/>
    <col min="6142" max="6142" width="16.88671875" style="1" customWidth="1"/>
    <col min="6143" max="6143" width="16.33203125" style="1" customWidth="1"/>
    <col min="6144" max="6374" width="10.33203125" style="1"/>
    <col min="6375" max="6375" width="4.44140625" style="1" customWidth="1"/>
    <col min="6376" max="6376" width="21.6640625" style="1" customWidth="1"/>
    <col min="6377" max="6377" width="15" style="1" customWidth="1"/>
    <col min="6378" max="6378" width="15.44140625" style="1" customWidth="1"/>
    <col min="6379" max="6379" width="11.5546875" style="1" customWidth="1"/>
    <col min="6380" max="6380" width="7.44140625" style="1" customWidth="1"/>
    <col min="6381" max="6381" width="14.109375" style="1" customWidth="1"/>
    <col min="6382" max="6382" width="10.6640625" style="1" customWidth="1"/>
    <col min="6383" max="6383" width="13.44140625" style="1" customWidth="1"/>
    <col min="6384" max="6384" width="11.44140625" style="1" customWidth="1"/>
    <col min="6385" max="6385" width="15" style="1" customWidth="1"/>
    <col min="6386" max="6386" width="14.5546875" style="1" customWidth="1"/>
    <col min="6387" max="6387" width="10.33203125" style="1"/>
    <col min="6388" max="6388" width="7.44140625" style="1" customWidth="1"/>
    <col min="6389" max="6389" width="12.88671875" style="1" customWidth="1"/>
    <col min="6390" max="6390" width="11.109375" style="1" customWidth="1"/>
    <col min="6391" max="6391" width="14" style="1" customWidth="1"/>
    <col min="6392" max="6392" width="33" style="1" customWidth="1"/>
    <col min="6393" max="6393" width="6.6640625" style="1" customWidth="1"/>
    <col min="6394" max="6394" width="19" style="1" customWidth="1"/>
    <col min="6395" max="6395" width="19.109375" style="1" customWidth="1"/>
    <col min="6396" max="6396" width="21.33203125" style="1" customWidth="1"/>
    <col min="6397" max="6397" width="32.5546875" style="1" customWidth="1"/>
    <col min="6398" max="6398" width="16.88671875" style="1" customWidth="1"/>
    <col min="6399" max="6399" width="16.33203125" style="1" customWidth="1"/>
    <col min="6400" max="6630" width="10.33203125" style="1"/>
    <col min="6631" max="6631" width="4.44140625" style="1" customWidth="1"/>
    <col min="6632" max="6632" width="21.6640625" style="1" customWidth="1"/>
    <col min="6633" max="6633" width="15" style="1" customWidth="1"/>
    <col min="6634" max="6634" width="15.44140625" style="1" customWidth="1"/>
    <col min="6635" max="6635" width="11.5546875" style="1" customWidth="1"/>
    <col min="6636" max="6636" width="7.44140625" style="1" customWidth="1"/>
    <col min="6637" max="6637" width="14.109375" style="1" customWidth="1"/>
    <col min="6638" max="6638" width="10.6640625" style="1" customWidth="1"/>
    <col min="6639" max="6639" width="13.44140625" style="1" customWidth="1"/>
    <col min="6640" max="6640" width="11.44140625" style="1" customWidth="1"/>
    <col min="6641" max="6641" width="15" style="1" customWidth="1"/>
    <col min="6642" max="6642" width="14.5546875" style="1" customWidth="1"/>
    <col min="6643" max="6643" width="10.33203125" style="1"/>
    <col min="6644" max="6644" width="7.44140625" style="1" customWidth="1"/>
    <col min="6645" max="6645" width="12.88671875" style="1" customWidth="1"/>
    <col min="6646" max="6646" width="11.109375" style="1" customWidth="1"/>
    <col min="6647" max="6647" width="14" style="1" customWidth="1"/>
    <col min="6648" max="6648" width="33" style="1" customWidth="1"/>
    <col min="6649" max="6649" width="6.6640625" style="1" customWidth="1"/>
    <col min="6650" max="6650" width="19" style="1" customWidth="1"/>
    <col min="6651" max="6651" width="19.109375" style="1" customWidth="1"/>
    <col min="6652" max="6652" width="21.33203125" style="1" customWidth="1"/>
    <col min="6653" max="6653" width="32.5546875" style="1" customWidth="1"/>
    <col min="6654" max="6654" width="16.88671875" style="1" customWidth="1"/>
    <col min="6655" max="6655" width="16.33203125" style="1" customWidth="1"/>
    <col min="6656" max="6886" width="10.33203125" style="1"/>
    <col min="6887" max="6887" width="4.44140625" style="1" customWidth="1"/>
    <col min="6888" max="6888" width="21.6640625" style="1" customWidth="1"/>
    <col min="6889" max="6889" width="15" style="1" customWidth="1"/>
    <col min="6890" max="6890" width="15.44140625" style="1" customWidth="1"/>
    <col min="6891" max="6891" width="11.5546875" style="1" customWidth="1"/>
    <col min="6892" max="6892" width="7.44140625" style="1" customWidth="1"/>
    <col min="6893" max="6893" width="14.109375" style="1" customWidth="1"/>
    <col min="6894" max="6894" width="10.6640625" style="1" customWidth="1"/>
    <col min="6895" max="6895" width="13.44140625" style="1" customWidth="1"/>
    <col min="6896" max="6896" width="11.44140625" style="1" customWidth="1"/>
    <col min="6897" max="6897" width="15" style="1" customWidth="1"/>
    <col min="6898" max="6898" width="14.5546875" style="1" customWidth="1"/>
    <col min="6899" max="6899" width="10.33203125" style="1"/>
    <col min="6900" max="6900" width="7.44140625" style="1" customWidth="1"/>
    <col min="6901" max="6901" width="12.88671875" style="1" customWidth="1"/>
    <col min="6902" max="6902" width="11.109375" style="1" customWidth="1"/>
    <col min="6903" max="6903" width="14" style="1" customWidth="1"/>
    <col min="6904" max="6904" width="33" style="1" customWidth="1"/>
    <col min="6905" max="6905" width="6.6640625" style="1" customWidth="1"/>
    <col min="6906" max="6906" width="19" style="1" customWidth="1"/>
    <col min="6907" max="6907" width="19.109375" style="1" customWidth="1"/>
    <col min="6908" max="6908" width="21.33203125" style="1" customWidth="1"/>
    <col min="6909" max="6909" width="32.5546875" style="1" customWidth="1"/>
    <col min="6910" max="6910" width="16.88671875" style="1" customWidth="1"/>
    <col min="6911" max="6911" width="16.33203125" style="1" customWidth="1"/>
    <col min="6912" max="7142" width="10.33203125" style="1"/>
    <col min="7143" max="7143" width="4.44140625" style="1" customWidth="1"/>
    <col min="7144" max="7144" width="21.6640625" style="1" customWidth="1"/>
    <col min="7145" max="7145" width="15" style="1" customWidth="1"/>
    <col min="7146" max="7146" width="15.44140625" style="1" customWidth="1"/>
    <col min="7147" max="7147" width="11.5546875" style="1" customWidth="1"/>
    <col min="7148" max="7148" width="7.44140625" style="1" customWidth="1"/>
    <col min="7149" max="7149" width="14.109375" style="1" customWidth="1"/>
    <col min="7150" max="7150" width="10.6640625" style="1" customWidth="1"/>
    <col min="7151" max="7151" width="13.44140625" style="1" customWidth="1"/>
    <col min="7152" max="7152" width="11.44140625" style="1" customWidth="1"/>
    <col min="7153" max="7153" width="15" style="1" customWidth="1"/>
    <col min="7154" max="7154" width="14.5546875" style="1" customWidth="1"/>
    <col min="7155" max="7155" width="10.33203125" style="1"/>
    <col min="7156" max="7156" width="7.44140625" style="1" customWidth="1"/>
    <col min="7157" max="7157" width="12.88671875" style="1" customWidth="1"/>
    <col min="7158" max="7158" width="11.109375" style="1" customWidth="1"/>
    <col min="7159" max="7159" width="14" style="1" customWidth="1"/>
    <col min="7160" max="7160" width="33" style="1" customWidth="1"/>
    <col min="7161" max="7161" width="6.6640625" style="1" customWidth="1"/>
    <col min="7162" max="7162" width="19" style="1" customWidth="1"/>
    <col min="7163" max="7163" width="19.109375" style="1" customWidth="1"/>
    <col min="7164" max="7164" width="21.33203125" style="1" customWidth="1"/>
    <col min="7165" max="7165" width="32.5546875" style="1" customWidth="1"/>
    <col min="7166" max="7166" width="16.88671875" style="1" customWidth="1"/>
    <col min="7167" max="7167" width="16.33203125" style="1" customWidth="1"/>
    <col min="7168" max="7398" width="10.33203125" style="1"/>
    <col min="7399" max="7399" width="4.44140625" style="1" customWidth="1"/>
    <col min="7400" max="7400" width="21.6640625" style="1" customWidth="1"/>
    <col min="7401" max="7401" width="15" style="1" customWidth="1"/>
    <col min="7402" max="7402" width="15.44140625" style="1" customWidth="1"/>
    <col min="7403" max="7403" width="11.5546875" style="1" customWidth="1"/>
    <col min="7404" max="7404" width="7.44140625" style="1" customWidth="1"/>
    <col min="7405" max="7405" width="14.109375" style="1" customWidth="1"/>
    <col min="7406" max="7406" width="10.6640625" style="1" customWidth="1"/>
    <col min="7407" max="7407" width="13.44140625" style="1" customWidth="1"/>
    <col min="7408" max="7408" width="11.44140625" style="1" customWidth="1"/>
    <col min="7409" max="7409" width="15" style="1" customWidth="1"/>
    <col min="7410" max="7410" width="14.5546875" style="1" customWidth="1"/>
    <col min="7411" max="7411" width="10.33203125" style="1"/>
    <col min="7412" max="7412" width="7.44140625" style="1" customWidth="1"/>
    <col min="7413" max="7413" width="12.88671875" style="1" customWidth="1"/>
    <col min="7414" max="7414" width="11.109375" style="1" customWidth="1"/>
    <col min="7415" max="7415" width="14" style="1" customWidth="1"/>
    <col min="7416" max="7416" width="33" style="1" customWidth="1"/>
    <col min="7417" max="7417" width="6.6640625" style="1" customWidth="1"/>
    <col min="7418" max="7418" width="19" style="1" customWidth="1"/>
    <col min="7419" max="7419" width="19.109375" style="1" customWidth="1"/>
    <col min="7420" max="7420" width="21.33203125" style="1" customWidth="1"/>
    <col min="7421" max="7421" width="32.5546875" style="1" customWidth="1"/>
    <col min="7422" max="7422" width="16.88671875" style="1" customWidth="1"/>
    <col min="7423" max="7423" width="16.33203125" style="1" customWidth="1"/>
    <col min="7424" max="7654" width="10.33203125" style="1"/>
    <col min="7655" max="7655" width="4.44140625" style="1" customWidth="1"/>
    <col min="7656" max="7656" width="21.6640625" style="1" customWidth="1"/>
    <col min="7657" max="7657" width="15" style="1" customWidth="1"/>
    <col min="7658" max="7658" width="15.44140625" style="1" customWidth="1"/>
    <col min="7659" max="7659" width="11.5546875" style="1" customWidth="1"/>
    <col min="7660" max="7660" width="7.44140625" style="1" customWidth="1"/>
    <col min="7661" max="7661" width="14.109375" style="1" customWidth="1"/>
    <col min="7662" max="7662" width="10.6640625" style="1" customWidth="1"/>
    <col min="7663" max="7663" width="13.44140625" style="1" customWidth="1"/>
    <col min="7664" max="7664" width="11.44140625" style="1" customWidth="1"/>
    <col min="7665" max="7665" width="15" style="1" customWidth="1"/>
    <col min="7666" max="7666" width="14.5546875" style="1" customWidth="1"/>
    <col min="7667" max="7667" width="10.33203125" style="1"/>
    <col min="7668" max="7668" width="7.44140625" style="1" customWidth="1"/>
    <col min="7669" max="7669" width="12.88671875" style="1" customWidth="1"/>
    <col min="7670" max="7670" width="11.109375" style="1" customWidth="1"/>
    <col min="7671" max="7671" width="14" style="1" customWidth="1"/>
    <col min="7672" max="7672" width="33" style="1" customWidth="1"/>
    <col min="7673" max="7673" width="6.6640625" style="1" customWidth="1"/>
    <col min="7674" max="7674" width="19" style="1" customWidth="1"/>
    <col min="7675" max="7675" width="19.109375" style="1" customWidth="1"/>
    <col min="7676" max="7676" width="21.33203125" style="1" customWidth="1"/>
    <col min="7677" max="7677" width="32.5546875" style="1" customWidth="1"/>
    <col min="7678" max="7678" width="16.88671875" style="1" customWidth="1"/>
    <col min="7679" max="7679" width="16.33203125" style="1" customWidth="1"/>
    <col min="7680" max="7910" width="10.33203125" style="1"/>
    <col min="7911" max="7911" width="4.44140625" style="1" customWidth="1"/>
    <col min="7912" max="7912" width="21.6640625" style="1" customWidth="1"/>
    <col min="7913" max="7913" width="15" style="1" customWidth="1"/>
    <col min="7914" max="7914" width="15.44140625" style="1" customWidth="1"/>
    <col min="7915" max="7915" width="11.5546875" style="1" customWidth="1"/>
    <col min="7916" max="7916" width="7.44140625" style="1" customWidth="1"/>
    <col min="7917" max="7917" width="14.109375" style="1" customWidth="1"/>
    <col min="7918" max="7918" width="10.6640625" style="1" customWidth="1"/>
    <col min="7919" max="7919" width="13.44140625" style="1" customWidth="1"/>
    <col min="7920" max="7920" width="11.44140625" style="1" customWidth="1"/>
    <col min="7921" max="7921" width="15" style="1" customWidth="1"/>
    <col min="7922" max="7922" width="14.5546875" style="1" customWidth="1"/>
    <col min="7923" max="7923" width="10.33203125" style="1"/>
    <col min="7924" max="7924" width="7.44140625" style="1" customWidth="1"/>
    <col min="7925" max="7925" width="12.88671875" style="1" customWidth="1"/>
    <col min="7926" max="7926" width="11.109375" style="1" customWidth="1"/>
    <col min="7927" max="7927" width="14" style="1" customWidth="1"/>
    <col min="7928" max="7928" width="33" style="1" customWidth="1"/>
    <col min="7929" max="7929" width="6.6640625" style="1" customWidth="1"/>
    <col min="7930" max="7930" width="19" style="1" customWidth="1"/>
    <col min="7931" max="7931" width="19.109375" style="1" customWidth="1"/>
    <col min="7932" max="7932" width="21.33203125" style="1" customWidth="1"/>
    <col min="7933" max="7933" width="32.5546875" style="1" customWidth="1"/>
    <col min="7934" max="7934" width="16.88671875" style="1" customWidth="1"/>
    <col min="7935" max="7935" width="16.33203125" style="1" customWidth="1"/>
    <col min="7936" max="8166" width="10.33203125" style="1"/>
    <col min="8167" max="8167" width="4.44140625" style="1" customWidth="1"/>
    <col min="8168" max="8168" width="21.6640625" style="1" customWidth="1"/>
    <col min="8169" max="8169" width="15" style="1" customWidth="1"/>
    <col min="8170" max="8170" width="15.44140625" style="1" customWidth="1"/>
    <col min="8171" max="8171" width="11.5546875" style="1" customWidth="1"/>
    <col min="8172" max="8172" width="7.44140625" style="1" customWidth="1"/>
    <col min="8173" max="8173" width="14.109375" style="1" customWidth="1"/>
    <col min="8174" max="8174" width="10.6640625" style="1" customWidth="1"/>
    <col min="8175" max="8175" width="13.44140625" style="1" customWidth="1"/>
    <col min="8176" max="8176" width="11.44140625" style="1" customWidth="1"/>
    <col min="8177" max="8177" width="15" style="1" customWidth="1"/>
    <col min="8178" max="8178" width="14.5546875" style="1" customWidth="1"/>
    <col min="8179" max="8179" width="10.33203125" style="1"/>
    <col min="8180" max="8180" width="7.44140625" style="1" customWidth="1"/>
    <col min="8181" max="8181" width="12.88671875" style="1" customWidth="1"/>
    <col min="8182" max="8182" width="11.109375" style="1" customWidth="1"/>
    <col min="8183" max="8183" width="14" style="1" customWidth="1"/>
    <col min="8184" max="8184" width="33" style="1" customWidth="1"/>
    <col min="8185" max="8185" width="6.6640625" style="1" customWidth="1"/>
    <col min="8186" max="8186" width="19" style="1" customWidth="1"/>
    <col min="8187" max="8187" width="19.109375" style="1" customWidth="1"/>
    <col min="8188" max="8188" width="21.33203125" style="1" customWidth="1"/>
    <col min="8189" max="8189" width="32.5546875" style="1" customWidth="1"/>
    <col min="8190" max="8190" width="16.88671875" style="1" customWidth="1"/>
    <col min="8191" max="8191" width="16.33203125" style="1" customWidth="1"/>
    <col min="8192" max="8422" width="10.33203125" style="1"/>
    <col min="8423" max="8423" width="4.44140625" style="1" customWidth="1"/>
    <col min="8424" max="8424" width="21.6640625" style="1" customWidth="1"/>
    <col min="8425" max="8425" width="15" style="1" customWidth="1"/>
    <col min="8426" max="8426" width="15.44140625" style="1" customWidth="1"/>
    <col min="8427" max="8427" width="11.5546875" style="1" customWidth="1"/>
    <col min="8428" max="8428" width="7.44140625" style="1" customWidth="1"/>
    <col min="8429" max="8429" width="14.109375" style="1" customWidth="1"/>
    <col min="8430" max="8430" width="10.6640625" style="1" customWidth="1"/>
    <col min="8431" max="8431" width="13.44140625" style="1" customWidth="1"/>
    <col min="8432" max="8432" width="11.44140625" style="1" customWidth="1"/>
    <col min="8433" max="8433" width="15" style="1" customWidth="1"/>
    <col min="8434" max="8434" width="14.5546875" style="1" customWidth="1"/>
    <col min="8435" max="8435" width="10.33203125" style="1"/>
    <col min="8436" max="8436" width="7.44140625" style="1" customWidth="1"/>
    <col min="8437" max="8437" width="12.88671875" style="1" customWidth="1"/>
    <col min="8438" max="8438" width="11.109375" style="1" customWidth="1"/>
    <col min="8439" max="8439" width="14" style="1" customWidth="1"/>
    <col min="8440" max="8440" width="33" style="1" customWidth="1"/>
    <col min="8441" max="8441" width="6.6640625" style="1" customWidth="1"/>
    <col min="8442" max="8442" width="19" style="1" customWidth="1"/>
    <col min="8443" max="8443" width="19.109375" style="1" customWidth="1"/>
    <col min="8444" max="8444" width="21.33203125" style="1" customWidth="1"/>
    <col min="8445" max="8445" width="32.5546875" style="1" customWidth="1"/>
    <col min="8446" max="8446" width="16.88671875" style="1" customWidth="1"/>
    <col min="8447" max="8447" width="16.33203125" style="1" customWidth="1"/>
    <col min="8448" max="8678" width="10.33203125" style="1"/>
    <col min="8679" max="8679" width="4.44140625" style="1" customWidth="1"/>
    <col min="8680" max="8680" width="21.6640625" style="1" customWidth="1"/>
    <col min="8681" max="8681" width="15" style="1" customWidth="1"/>
    <col min="8682" max="8682" width="15.44140625" style="1" customWidth="1"/>
    <col min="8683" max="8683" width="11.5546875" style="1" customWidth="1"/>
    <col min="8684" max="8684" width="7.44140625" style="1" customWidth="1"/>
    <col min="8685" max="8685" width="14.109375" style="1" customWidth="1"/>
    <col min="8686" max="8686" width="10.6640625" style="1" customWidth="1"/>
    <col min="8687" max="8687" width="13.44140625" style="1" customWidth="1"/>
    <col min="8688" max="8688" width="11.44140625" style="1" customWidth="1"/>
    <col min="8689" max="8689" width="15" style="1" customWidth="1"/>
    <col min="8690" max="8690" width="14.5546875" style="1" customWidth="1"/>
    <col min="8691" max="8691" width="10.33203125" style="1"/>
    <col min="8692" max="8692" width="7.44140625" style="1" customWidth="1"/>
    <col min="8693" max="8693" width="12.88671875" style="1" customWidth="1"/>
    <col min="8694" max="8694" width="11.109375" style="1" customWidth="1"/>
    <col min="8695" max="8695" width="14" style="1" customWidth="1"/>
    <col min="8696" max="8696" width="33" style="1" customWidth="1"/>
    <col min="8697" max="8697" width="6.6640625" style="1" customWidth="1"/>
    <col min="8698" max="8698" width="19" style="1" customWidth="1"/>
    <col min="8699" max="8699" width="19.109375" style="1" customWidth="1"/>
    <col min="8700" max="8700" width="21.33203125" style="1" customWidth="1"/>
    <col min="8701" max="8701" width="32.5546875" style="1" customWidth="1"/>
    <col min="8702" max="8702" width="16.88671875" style="1" customWidth="1"/>
    <col min="8703" max="8703" width="16.33203125" style="1" customWidth="1"/>
    <col min="8704" max="8934" width="10.33203125" style="1"/>
    <col min="8935" max="8935" width="4.44140625" style="1" customWidth="1"/>
    <col min="8936" max="8936" width="21.6640625" style="1" customWidth="1"/>
    <col min="8937" max="8937" width="15" style="1" customWidth="1"/>
    <col min="8938" max="8938" width="15.44140625" style="1" customWidth="1"/>
    <col min="8939" max="8939" width="11.5546875" style="1" customWidth="1"/>
    <col min="8940" max="8940" width="7.44140625" style="1" customWidth="1"/>
    <col min="8941" max="8941" width="14.109375" style="1" customWidth="1"/>
    <col min="8942" max="8942" width="10.6640625" style="1" customWidth="1"/>
    <col min="8943" max="8943" width="13.44140625" style="1" customWidth="1"/>
    <col min="8944" max="8944" width="11.44140625" style="1" customWidth="1"/>
    <col min="8945" max="8945" width="15" style="1" customWidth="1"/>
    <col min="8946" max="8946" width="14.5546875" style="1" customWidth="1"/>
    <col min="8947" max="8947" width="10.33203125" style="1"/>
    <col min="8948" max="8948" width="7.44140625" style="1" customWidth="1"/>
    <col min="8949" max="8949" width="12.88671875" style="1" customWidth="1"/>
    <col min="8950" max="8950" width="11.109375" style="1" customWidth="1"/>
    <col min="8951" max="8951" width="14" style="1" customWidth="1"/>
    <col min="8952" max="8952" width="33" style="1" customWidth="1"/>
    <col min="8953" max="8953" width="6.6640625" style="1" customWidth="1"/>
    <col min="8954" max="8954" width="19" style="1" customWidth="1"/>
    <col min="8955" max="8955" width="19.109375" style="1" customWidth="1"/>
    <col min="8956" max="8956" width="21.33203125" style="1" customWidth="1"/>
    <col min="8957" max="8957" width="32.5546875" style="1" customWidth="1"/>
    <col min="8958" max="8958" width="16.88671875" style="1" customWidth="1"/>
    <col min="8959" max="8959" width="16.33203125" style="1" customWidth="1"/>
    <col min="8960" max="9190" width="10.33203125" style="1"/>
    <col min="9191" max="9191" width="4.44140625" style="1" customWidth="1"/>
    <col min="9192" max="9192" width="21.6640625" style="1" customWidth="1"/>
    <col min="9193" max="9193" width="15" style="1" customWidth="1"/>
    <col min="9194" max="9194" width="15.44140625" style="1" customWidth="1"/>
    <col min="9195" max="9195" width="11.5546875" style="1" customWidth="1"/>
    <col min="9196" max="9196" width="7.44140625" style="1" customWidth="1"/>
    <col min="9197" max="9197" width="14.109375" style="1" customWidth="1"/>
    <col min="9198" max="9198" width="10.6640625" style="1" customWidth="1"/>
    <col min="9199" max="9199" width="13.44140625" style="1" customWidth="1"/>
    <col min="9200" max="9200" width="11.44140625" style="1" customWidth="1"/>
    <col min="9201" max="9201" width="15" style="1" customWidth="1"/>
    <col min="9202" max="9202" width="14.5546875" style="1" customWidth="1"/>
    <col min="9203" max="9203" width="10.33203125" style="1"/>
    <col min="9204" max="9204" width="7.44140625" style="1" customWidth="1"/>
    <col min="9205" max="9205" width="12.88671875" style="1" customWidth="1"/>
    <col min="9206" max="9206" width="11.109375" style="1" customWidth="1"/>
    <col min="9207" max="9207" width="14" style="1" customWidth="1"/>
    <col min="9208" max="9208" width="33" style="1" customWidth="1"/>
    <col min="9209" max="9209" width="6.6640625" style="1" customWidth="1"/>
    <col min="9210" max="9210" width="19" style="1" customWidth="1"/>
    <col min="9211" max="9211" width="19.109375" style="1" customWidth="1"/>
    <col min="9212" max="9212" width="21.33203125" style="1" customWidth="1"/>
    <col min="9213" max="9213" width="32.5546875" style="1" customWidth="1"/>
    <col min="9214" max="9214" width="16.88671875" style="1" customWidth="1"/>
    <col min="9215" max="9215" width="16.33203125" style="1" customWidth="1"/>
    <col min="9216" max="9446" width="10.33203125" style="1"/>
    <col min="9447" max="9447" width="4.44140625" style="1" customWidth="1"/>
    <col min="9448" max="9448" width="21.6640625" style="1" customWidth="1"/>
    <col min="9449" max="9449" width="15" style="1" customWidth="1"/>
    <col min="9450" max="9450" width="15.44140625" style="1" customWidth="1"/>
    <col min="9451" max="9451" width="11.5546875" style="1" customWidth="1"/>
    <col min="9452" max="9452" width="7.44140625" style="1" customWidth="1"/>
    <col min="9453" max="9453" width="14.109375" style="1" customWidth="1"/>
    <col min="9454" max="9454" width="10.6640625" style="1" customWidth="1"/>
    <col min="9455" max="9455" width="13.44140625" style="1" customWidth="1"/>
    <col min="9456" max="9456" width="11.44140625" style="1" customWidth="1"/>
    <col min="9457" max="9457" width="15" style="1" customWidth="1"/>
    <col min="9458" max="9458" width="14.5546875" style="1" customWidth="1"/>
    <col min="9459" max="9459" width="10.33203125" style="1"/>
    <col min="9460" max="9460" width="7.44140625" style="1" customWidth="1"/>
    <col min="9461" max="9461" width="12.88671875" style="1" customWidth="1"/>
    <col min="9462" max="9462" width="11.109375" style="1" customWidth="1"/>
    <col min="9463" max="9463" width="14" style="1" customWidth="1"/>
    <col min="9464" max="9464" width="33" style="1" customWidth="1"/>
    <col min="9465" max="9465" width="6.6640625" style="1" customWidth="1"/>
    <col min="9466" max="9466" width="19" style="1" customWidth="1"/>
    <col min="9467" max="9467" width="19.109375" style="1" customWidth="1"/>
    <col min="9468" max="9468" width="21.33203125" style="1" customWidth="1"/>
    <col min="9469" max="9469" width="32.5546875" style="1" customWidth="1"/>
    <col min="9470" max="9470" width="16.88671875" style="1" customWidth="1"/>
    <col min="9471" max="9471" width="16.33203125" style="1" customWidth="1"/>
    <col min="9472" max="9702" width="10.33203125" style="1"/>
    <col min="9703" max="9703" width="4.44140625" style="1" customWidth="1"/>
    <col min="9704" max="9704" width="21.6640625" style="1" customWidth="1"/>
    <col min="9705" max="9705" width="15" style="1" customWidth="1"/>
    <col min="9706" max="9706" width="15.44140625" style="1" customWidth="1"/>
    <col min="9707" max="9707" width="11.5546875" style="1" customWidth="1"/>
    <col min="9708" max="9708" width="7.44140625" style="1" customWidth="1"/>
    <col min="9709" max="9709" width="14.109375" style="1" customWidth="1"/>
    <col min="9710" max="9710" width="10.6640625" style="1" customWidth="1"/>
    <col min="9711" max="9711" width="13.44140625" style="1" customWidth="1"/>
    <col min="9712" max="9712" width="11.44140625" style="1" customWidth="1"/>
    <col min="9713" max="9713" width="15" style="1" customWidth="1"/>
    <col min="9714" max="9714" width="14.5546875" style="1" customWidth="1"/>
    <col min="9715" max="9715" width="10.33203125" style="1"/>
    <col min="9716" max="9716" width="7.44140625" style="1" customWidth="1"/>
    <col min="9717" max="9717" width="12.88671875" style="1" customWidth="1"/>
    <col min="9718" max="9718" width="11.109375" style="1" customWidth="1"/>
    <col min="9719" max="9719" width="14" style="1" customWidth="1"/>
    <col min="9720" max="9720" width="33" style="1" customWidth="1"/>
    <col min="9721" max="9721" width="6.6640625" style="1" customWidth="1"/>
    <col min="9722" max="9722" width="19" style="1" customWidth="1"/>
    <col min="9723" max="9723" width="19.109375" style="1" customWidth="1"/>
    <col min="9724" max="9724" width="21.33203125" style="1" customWidth="1"/>
    <col min="9725" max="9725" width="32.5546875" style="1" customWidth="1"/>
    <col min="9726" max="9726" width="16.88671875" style="1" customWidth="1"/>
    <col min="9727" max="9727" width="16.33203125" style="1" customWidth="1"/>
    <col min="9728" max="9958" width="10.33203125" style="1"/>
    <col min="9959" max="9959" width="4.44140625" style="1" customWidth="1"/>
    <col min="9960" max="9960" width="21.6640625" style="1" customWidth="1"/>
    <col min="9961" max="9961" width="15" style="1" customWidth="1"/>
    <col min="9962" max="9962" width="15.44140625" style="1" customWidth="1"/>
    <col min="9963" max="9963" width="11.5546875" style="1" customWidth="1"/>
    <col min="9964" max="9964" width="7.44140625" style="1" customWidth="1"/>
    <col min="9965" max="9965" width="14.109375" style="1" customWidth="1"/>
    <col min="9966" max="9966" width="10.6640625" style="1" customWidth="1"/>
    <col min="9967" max="9967" width="13.44140625" style="1" customWidth="1"/>
    <col min="9968" max="9968" width="11.44140625" style="1" customWidth="1"/>
    <col min="9969" max="9969" width="15" style="1" customWidth="1"/>
    <col min="9970" max="9970" width="14.5546875" style="1" customWidth="1"/>
    <col min="9971" max="9971" width="10.33203125" style="1"/>
    <col min="9972" max="9972" width="7.44140625" style="1" customWidth="1"/>
    <col min="9973" max="9973" width="12.88671875" style="1" customWidth="1"/>
    <col min="9974" max="9974" width="11.109375" style="1" customWidth="1"/>
    <col min="9975" max="9975" width="14" style="1" customWidth="1"/>
    <col min="9976" max="9976" width="33" style="1" customWidth="1"/>
    <col min="9977" max="9977" width="6.6640625" style="1" customWidth="1"/>
    <col min="9978" max="9978" width="19" style="1" customWidth="1"/>
    <col min="9979" max="9979" width="19.109375" style="1" customWidth="1"/>
    <col min="9980" max="9980" width="21.33203125" style="1" customWidth="1"/>
    <col min="9981" max="9981" width="32.5546875" style="1" customWidth="1"/>
    <col min="9982" max="9982" width="16.88671875" style="1" customWidth="1"/>
    <col min="9983" max="9983" width="16.33203125" style="1" customWidth="1"/>
    <col min="9984" max="10214" width="10.33203125" style="1"/>
    <col min="10215" max="10215" width="4.44140625" style="1" customWidth="1"/>
    <col min="10216" max="10216" width="21.6640625" style="1" customWidth="1"/>
    <col min="10217" max="10217" width="15" style="1" customWidth="1"/>
    <col min="10218" max="10218" width="15.44140625" style="1" customWidth="1"/>
    <col min="10219" max="10219" width="11.5546875" style="1" customWidth="1"/>
    <col min="10220" max="10220" width="7.44140625" style="1" customWidth="1"/>
    <col min="10221" max="10221" width="14.109375" style="1" customWidth="1"/>
    <col min="10222" max="10222" width="10.6640625" style="1" customWidth="1"/>
    <col min="10223" max="10223" width="13.44140625" style="1" customWidth="1"/>
    <col min="10224" max="10224" width="11.44140625" style="1" customWidth="1"/>
    <col min="10225" max="10225" width="15" style="1" customWidth="1"/>
    <col min="10226" max="10226" width="14.5546875" style="1" customWidth="1"/>
    <col min="10227" max="10227" width="10.33203125" style="1"/>
    <col min="10228" max="10228" width="7.44140625" style="1" customWidth="1"/>
    <col min="10229" max="10229" width="12.88671875" style="1" customWidth="1"/>
    <col min="10230" max="10230" width="11.109375" style="1" customWidth="1"/>
    <col min="10231" max="10231" width="14" style="1" customWidth="1"/>
    <col min="10232" max="10232" width="33" style="1" customWidth="1"/>
    <col min="10233" max="10233" width="6.6640625" style="1" customWidth="1"/>
    <col min="10234" max="10234" width="19" style="1" customWidth="1"/>
    <col min="10235" max="10235" width="19.109375" style="1" customWidth="1"/>
    <col min="10236" max="10236" width="21.33203125" style="1" customWidth="1"/>
    <col min="10237" max="10237" width="32.5546875" style="1" customWidth="1"/>
    <col min="10238" max="10238" width="16.88671875" style="1" customWidth="1"/>
    <col min="10239" max="10239" width="16.33203125" style="1" customWidth="1"/>
    <col min="10240" max="10470" width="10.33203125" style="1"/>
    <col min="10471" max="10471" width="4.44140625" style="1" customWidth="1"/>
    <col min="10472" max="10472" width="21.6640625" style="1" customWidth="1"/>
    <col min="10473" max="10473" width="15" style="1" customWidth="1"/>
    <col min="10474" max="10474" width="15.44140625" style="1" customWidth="1"/>
    <col min="10475" max="10475" width="11.5546875" style="1" customWidth="1"/>
    <col min="10476" max="10476" width="7.44140625" style="1" customWidth="1"/>
    <col min="10477" max="10477" width="14.109375" style="1" customWidth="1"/>
    <col min="10478" max="10478" width="10.6640625" style="1" customWidth="1"/>
    <col min="10479" max="10479" width="13.44140625" style="1" customWidth="1"/>
    <col min="10480" max="10480" width="11.44140625" style="1" customWidth="1"/>
    <col min="10481" max="10481" width="15" style="1" customWidth="1"/>
    <col min="10482" max="10482" width="14.5546875" style="1" customWidth="1"/>
    <col min="10483" max="10483" width="10.33203125" style="1"/>
    <col min="10484" max="10484" width="7.44140625" style="1" customWidth="1"/>
    <col min="10485" max="10485" width="12.88671875" style="1" customWidth="1"/>
    <col min="10486" max="10486" width="11.109375" style="1" customWidth="1"/>
    <col min="10487" max="10487" width="14" style="1" customWidth="1"/>
    <col min="10488" max="10488" width="33" style="1" customWidth="1"/>
    <col min="10489" max="10489" width="6.6640625" style="1" customWidth="1"/>
    <col min="10490" max="10490" width="19" style="1" customWidth="1"/>
    <col min="10491" max="10491" width="19.109375" style="1" customWidth="1"/>
    <col min="10492" max="10492" width="21.33203125" style="1" customWidth="1"/>
    <col min="10493" max="10493" width="32.5546875" style="1" customWidth="1"/>
    <col min="10494" max="10494" width="16.88671875" style="1" customWidth="1"/>
    <col min="10495" max="10495" width="16.33203125" style="1" customWidth="1"/>
    <col min="10496" max="10726" width="10.33203125" style="1"/>
    <col min="10727" max="10727" width="4.44140625" style="1" customWidth="1"/>
    <col min="10728" max="10728" width="21.6640625" style="1" customWidth="1"/>
    <col min="10729" max="10729" width="15" style="1" customWidth="1"/>
    <col min="10730" max="10730" width="15.44140625" style="1" customWidth="1"/>
    <col min="10731" max="10731" width="11.5546875" style="1" customWidth="1"/>
    <col min="10732" max="10732" width="7.44140625" style="1" customWidth="1"/>
    <col min="10733" max="10733" width="14.109375" style="1" customWidth="1"/>
    <col min="10734" max="10734" width="10.6640625" style="1" customWidth="1"/>
    <col min="10735" max="10735" width="13.44140625" style="1" customWidth="1"/>
    <col min="10736" max="10736" width="11.44140625" style="1" customWidth="1"/>
    <col min="10737" max="10737" width="15" style="1" customWidth="1"/>
    <col min="10738" max="10738" width="14.5546875" style="1" customWidth="1"/>
    <col min="10739" max="10739" width="10.33203125" style="1"/>
    <col min="10740" max="10740" width="7.44140625" style="1" customWidth="1"/>
    <col min="10741" max="10741" width="12.88671875" style="1" customWidth="1"/>
    <col min="10742" max="10742" width="11.109375" style="1" customWidth="1"/>
    <col min="10743" max="10743" width="14" style="1" customWidth="1"/>
    <col min="10744" max="10744" width="33" style="1" customWidth="1"/>
    <col min="10745" max="10745" width="6.6640625" style="1" customWidth="1"/>
    <col min="10746" max="10746" width="19" style="1" customWidth="1"/>
    <col min="10747" max="10747" width="19.109375" style="1" customWidth="1"/>
    <col min="10748" max="10748" width="21.33203125" style="1" customWidth="1"/>
    <col min="10749" max="10749" width="32.5546875" style="1" customWidth="1"/>
    <col min="10750" max="10750" width="16.88671875" style="1" customWidth="1"/>
    <col min="10751" max="10751" width="16.33203125" style="1" customWidth="1"/>
    <col min="10752" max="10982" width="10.33203125" style="1"/>
    <col min="10983" max="10983" width="4.44140625" style="1" customWidth="1"/>
    <col min="10984" max="10984" width="21.6640625" style="1" customWidth="1"/>
    <col min="10985" max="10985" width="15" style="1" customWidth="1"/>
    <col min="10986" max="10986" width="15.44140625" style="1" customWidth="1"/>
    <col min="10987" max="10987" width="11.5546875" style="1" customWidth="1"/>
    <col min="10988" max="10988" width="7.44140625" style="1" customWidth="1"/>
    <col min="10989" max="10989" width="14.109375" style="1" customWidth="1"/>
    <col min="10990" max="10990" width="10.6640625" style="1" customWidth="1"/>
    <col min="10991" max="10991" width="13.44140625" style="1" customWidth="1"/>
    <col min="10992" max="10992" width="11.44140625" style="1" customWidth="1"/>
    <col min="10993" max="10993" width="15" style="1" customWidth="1"/>
    <col min="10994" max="10994" width="14.5546875" style="1" customWidth="1"/>
    <col min="10995" max="10995" width="10.33203125" style="1"/>
    <col min="10996" max="10996" width="7.44140625" style="1" customWidth="1"/>
    <col min="10997" max="10997" width="12.88671875" style="1" customWidth="1"/>
    <col min="10998" max="10998" width="11.109375" style="1" customWidth="1"/>
    <col min="10999" max="10999" width="14" style="1" customWidth="1"/>
    <col min="11000" max="11000" width="33" style="1" customWidth="1"/>
    <col min="11001" max="11001" width="6.6640625" style="1" customWidth="1"/>
    <col min="11002" max="11002" width="19" style="1" customWidth="1"/>
    <col min="11003" max="11003" width="19.109375" style="1" customWidth="1"/>
    <col min="11004" max="11004" width="21.33203125" style="1" customWidth="1"/>
    <col min="11005" max="11005" width="32.5546875" style="1" customWidth="1"/>
    <col min="11006" max="11006" width="16.88671875" style="1" customWidth="1"/>
    <col min="11007" max="11007" width="16.33203125" style="1" customWidth="1"/>
    <col min="11008" max="11238" width="10.33203125" style="1"/>
    <col min="11239" max="11239" width="4.44140625" style="1" customWidth="1"/>
    <col min="11240" max="11240" width="21.6640625" style="1" customWidth="1"/>
    <col min="11241" max="11241" width="15" style="1" customWidth="1"/>
    <col min="11242" max="11242" width="15.44140625" style="1" customWidth="1"/>
    <col min="11243" max="11243" width="11.5546875" style="1" customWidth="1"/>
    <col min="11244" max="11244" width="7.44140625" style="1" customWidth="1"/>
    <col min="11245" max="11245" width="14.109375" style="1" customWidth="1"/>
    <col min="11246" max="11246" width="10.6640625" style="1" customWidth="1"/>
    <col min="11247" max="11247" width="13.44140625" style="1" customWidth="1"/>
    <col min="11248" max="11248" width="11.44140625" style="1" customWidth="1"/>
    <col min="11249" max="11249" width="15" style="1" customWidth="1"/>
    <col min="11250" max="11250" width="14.5546875" style="1" customWidth="1"/>
    <col min="11251" max="11251" width="10.33203125" style="1"/>
    <col min="11252" max="11252" width="7.44140625" style="1" customWidth="1"/>
    <col min="11253" max="11253" width="12.88671875" style="1" customWidth="1"/>
    <col min="11254" max="11254" width="11.109375" style="1" customWidth="1"/>
    <col min="11255" max="11255" width="14" style="1" customWidth="1"/>
    <col min="11256" max="11256" width="33" style="1" customWidth="1"/>
    <col min="11257" max="11257" width="6.6640625" style="1" customWidth="1"/>
    <col min="11258" max="11258" width="19" style="1" customWidth="1"/>
    <col min="11259" max="11259" width="19.109375" style="1" customWidth="1"/>
    <col min="11260" max="11260" width="21.33203125" style="1" customWidth="1"/>
    <col min="11261" max="11261" width="32.5546875" style="1" customWidth="1"/>
    <col min="11262" max="11262" width="16.88671875" style="1" customWidth="1"/>
    <col min="11263" max="11263" width="16.33203125" style="1" customWidth="1"/>
    <col min="11264" max="11494" width="10.33203125" style="1"/>
    <col min="11495" max="11495" width="4.44140625" style="1" customWidth="1"/>
    <col min="11496" max="11496" width="21.6640625" style="1" customWidth="1"/>
    <col min="11497" max="11497" width="15" style="1" customWidth="1"/>
    <col min="11498" max="11498" width="15.44140625" style="1" customWidth="1"/>
    <col min="11499" max="11499" width="11.5546875" style="1" customWidth="1"/>
    <col min="11500" max="11500" width="7.44140625" style="1" customWidth="1"/>
    <col min="11501" max="11501" width="14.109375" style="1" customWidth="1"/>
    <col min="11502" max="11502" width="10.6640625" style="1" customWidth="1"/>
    <col min="11503" max="11503" width="13.44140625" style="1" customWidth="1"/>
    <col min="11504" max="11504" width="11.44140625" style="1" customWidth="1"/>
    <col min="11505" max="11505" width="15" style="1" customWidth="1"/>
    <col min="11506" max="11506" width="14.5546875" style="1" customWidth="1"/>
    <col min="11507" max="11507" width="10.33203125" style="1"/>
    <col min="11508" max="11508" width="7.44140625" style="1" customWidth="1"/>
    <col min="11509" max="11509" width="12.88671875" style="1" customWidth="1"/>
    <col min="11510" max="11510" width="11.109375" style="1" customWidth="1"/>
    <col min="11511" max="11511" width="14" style="1" customWidth="1"/>
    <col min="11512" max="11512" width="33" style="1" customWidth="1"/>
    <col min="11513" max="11513" width="6.6640625" style="1" customWidth="1"/>
    <col min="11514" max="11514" width="19" style="1" customWidth="1"/>
    <col min="11515" max="11515" width="19.109375" style="1" customWidth="1"/>
    <col min="11516" max="11516" width="21.33203125" style="1" customWidth="1"/>
    <col min="11517" max="11517" width="32.5546875" style="1" customWidth="1"/>
    <col min="11518" max="11518" width="16.88671875" style="1" customWidth="1"/>
    <col min="11519" max="11519" width="16.33203125" style="1" customWidth="1"/>
    <col min="11520" max="11750" width="10.33203125" style="1"/>
    <col min="11751" max="11751" width="4.44140625" style="1" customWidth="1"/>
    <col min="11752" max="11752" width="21.6640625" style="1" customWidth="1"/>
    <col min="11753" max="11753" width="15" style="1" customWidth="1"/>
    <col min="11754" max="11754" width="15.44140625" style="1" customWidth="1"/>
    <col min="11755" max="11755" width="11.5546875" style="1" customWidth="1"/>
    <col min="11756" max="11756" width="7.44140625" style="1" customWidth="1"/>
    <col min="11757" max="11757" width="14.109375" style="1" customWidth="1"/>
    <col min="11758" max="11758" width="10.6640625" style="1" customWidth="1"/>
    <col min="11759" max="11759" width="13.44140625" style="1" customWidth="1"/>
    <col min="11760" max="11760" width="11.44140625" style="1" customWidth="1"/>
    <col min="11761" max="11761" width="15" style="1" customWidth="1"/>
    <col min="11762" max="11762" width="14.5546875" style="1" customWidth="1"/>
    <col min="11763" max="11763" width="10.33203125" style="1"/>
    <col min="11764" max="11764" width="7.44140625" style="1" customWidth="1"/>
    <col min="11765" max="11765" width="12.88671875" style="1" customWidth="1"/>
    <col min="11766" max="11766" width="11.109375" style="1" customWidth="1"/>
    <col min="11767" max="11767" width="14" style="1" customWidth="1"/>
    <col min="11768" max="11768" width="33" style="1" customWidth="1"/>
    <col min="11769" max="11769" width="6.6640625" style="1" customWidth="1"/>
    <col min="11770" max="11770" width="19" style="1" customWidth="1"/>
    <col min="11771" max="11771" width="19.109375" style="1" customWidth="1"/>
    <col min="11772" max="11772" width="21.33203125" style="1" customWidth="1"/>
    <col min="11773" max="11773" width="32.5546875" style="1" customWidth="1"/>
    <col min="11774" max="11774" width="16.88671875" style="1" customWidth="1"/>
    <col min="11775" max="11775" width="16.33203125" style="1" customWidth="1"/>
    <col min="11776" max="12006" width="10.33203125" style="1"/>
    <col min="12007" max="12007" width="4.44140625" style="1" customWidth="1"/>
    <col min="12008" max="12008" width="21.6640625" style="1" customWidth="1"/>
    <col min="12009" max="12009" width="15" style="1" customWidth="1"/>
    <col min="12010" max="12010" width="15.44140625" style="1" customWidth="1"/>
    <col min="12011" max="12011" width="11.5546875" style="1" customWidth="1"/>
    <col min="12012" max="12012" width="7.44140625" style="1" customWidth="1"/>
    <col min="12013" max="12013" width="14.109375" style="1" customWidth="1"/>
    <col min="12014" max="12014" width="10.6640625" style="1" customWidth="1"/>
    <col min="12015" max="12015" width="13.44140625" style="1" customWidth="1"/>
    <col min="12016" max="12016" width="11.44140625" style="1" customWidth="1"/>
    <col min="12017" max="12017" width="15" style="1" customWidth="1"/>
    <col min="12018" max="12018" width="14.5546875" style="1" customWidth="1"/>
    <col min="12019" max="12019" width="10.33203125" style="1"/>
    <col min="12020" max="12020" width="7.44140625" style="1" customWidth="1"/>
    <col min="12021" max="12021" width="12.88671875" style="1" customWidth="1"/>
    <col min="12022" max="12022" width="11.109375" style="1" customWidth="1"/>
    <col min="12023" max="12023" width="14" style="1" customWidth="1"/>
    <col min="12024" max="12024" width="33" style="1" customWidth="1"/>
    <col min="12025" max="12025" width="6.6640625" style="1" customWidth="1"/>
    <col min="12026" max="12026" width="19" style="1" customWidth="1"/>
    <col min="12027" max="12027" width="19.109375" style="1" customWidth="1"/>
    <col min="12028" max="12028" width="21.33203125" style="1" customWidth="1"/>
    <col min="12029" max="12029" width="32.5546875" style="1" customWidth="1"/>
    <col min="12030" max="12030" width="16.88671875" style="1" customWidth="1"/>
    <col min="12031" max="12031" width="16.33203125" style="1" customWidth="1"/>
    <col min="12032" max="12262" width="10.33203125" style="1"/>
    <col min="12263" max="12263" width="4.44140625" style="1" customWidth="1"/>
    <col min="12264" max="12264" width="21.6640625" style="1" customWidth="1"/>
    <col min="12265" max="12265" width="15" style="1" customWidth="1"/>
    <col min="12266" max="12266" width="15.44140625" style="1" customWidth="1"/>
    <col min="12267" max="12267" width="11.5546875" style="1" customWidth="1"/>
    <col min="12268" max="12268" width="7.44140625" style="1" customWidth="1"/>
    <col min="12269" max="12269" width="14.109375" style="1" customWidth="1"/>
    <col min="12270" max="12270" width="10.6640625" style="1" customWidth="1"/>
    <col min="12271" max="12271" width="13.44140625" style="1" customWidth="1"/>
    <col min="12272" max="12272" width="11.44140625" style="1" customWidth="1"/>
    <col min="12273" max="12273" width="15" style="1" customWidth="1"/>
    <col min="12274" max="12274" width="14.5546875" style="1" customWidth="1"/>
    <col min="12275" max="12275" width="10.33203125" style="1"/>
    <col min="12276" max="12276" width="7.44140625" style="1" customWidth="1"/>
    <col min="12277" max="12277" width="12.88671875" style="1" customWidth="1"/>
    <col min="12278" max="12278" width="11.109375" style="1" customWidth="1"/>
    <col min="12279" max="12279" width="14" style="1" customWidth="1"/>
    <col min="12280" max="12280" width="33" style="1" customWidth="1"/>
    <col min="12281" max="12281" width="6.6640625" style="1" customWidth="1"/>
    <col min="12282" max="12282" width="19" style="1" customWidth="1"/>
    <col min="12283" max="12283" width="19.109375" style="1" customWidth="1"/>
    <col min="12284" max="12284" width="21.33203125" style="1" customWidth="1"/>
    <col min="12285" max="12285" width="32.5546875" style="1" customWidth="1"/>
    <col min="12286" max="12286" width="16.88671875" style="1" customWidth="1"/>
    <col min="12287" max="12287" width="16.33203125" style="1" customWidth="1"/>
    <col min="12288" max="12518" width="10.33203125" style="1"/>
    <col min="12519" max="12519" width="4.44140625" style="1" customWidth="1"/>
    <col min="12520" max="12520" width="21.6640625" style="1" customWidth="1"/>
    <col min="12521" max="12521" width="15" style="1" customWidth="1"/>
    <col min="12522" max="12522" width="15.44140625" style="1" customWidth="1"/>
    <col min="12523" max="12523" width="11.5546875" style="1" customWidth="1"/>
    <col min="12524" max="12524" width="7.44140625" style="1" customWidth="1"/>
    <col min="12525" max="12525" width="14.109375" style="1" customWidth="1"/>
    <col min="12526" max="12526" width="10.6640625" style="1" customWidth="1"/>
    <col min="12527" max="12527" width="13.44140625" style="1" customWidth="1"/>
    <col min="12528" max="12528" width="11.44140625" style="1" customWidth="1"/>
    <col min="12529" max="12529" width="15" style="1" customWidth="1"/>
    <col min="12530" max="12530" width="14.5546875" style="1" customWidth="1"/>
    <col min="12531" max="12531" width="10.33203125" style="1"/>
    <col min="12532" max="12532" width="7.44140625" style="1" customWidth="1"/>
    <col min="12533" max="12533" width="12.88671875" style="1" customWidth="1"/>
    <col min="12534" max="12534" width="11.109375" style="1" customWidth="1"/>
    <col min="12535" max="12535" width="14" style="1" customWidth="1"/>
    <col min="12536" max="12536" width="33" style="1" customWidth="1"/>
    <col min="12537" max="12537" width="6.6640625" style="1" customWidth="1"/>
    <col min="12538" max="12538" width="19" style="1" customWidth="1"/>
    <col min="12539" max="12539" width="19.109375" style="1" customWidth="1"/>
    <col min="12540" max="12540" width="21.33203125" style="1" customWidth="1"/>
    <col min="12541" max="12541" width="32.5546875" style="1" customWidth="1"/>
    <col min="12542" max="12542" width="16.88671875" style="1" customWidth="1"/>
    <col min="12543" max="12543" width="16.33203125" style="1" customWidth="1"/>
    <col min="12544" max="12774" width="10.33203125" style="1"/>
    <col min="12775" max="12775" width="4.44140625" style="1" customWidth="1"/>
    <col min="12776" max="12776" width="21.6640625" style="1" customWidth="1"/>
    <col min="12777" max="12777" width="15" style="1" customWidth="1"/>
    <col min="12778" max="12778" width="15.44140625" style="1" customWidth="1"/>
    <col min="12779" max="12779" width="11.5546875" style="1" customWidth="1"/>
    <col min="12780" max="12780" width="7.44140625" style="1" customWidth="1"/>
    <col min="12781" max="12781" width="14.109375" style="1" customWidth="1"/>
    <col min="12782" max="12782" width="10.6640625" style="1" customWidth="1"/>
    <col min="12783" max="12783" width="13.44140625" style="1" customWidth="1"/>
    <col min="12784" max="12784" width="11.44140625" style="1" customWidth="1"/>
    <col min="12785" max="12785" width="15" style="1" customWidth="1"/>
    <col min="12786" max="12786" width="14.5546875" style="1" customWidth="1"/>
    <col min="12787" max="12787" width="10.33203125" style="1"/>
    <col min="12788" max="12788" width="7.44140625" style="1" customWidth="1"/>
    <col min="12789" max="12789" width="12.88671875" style="1" customWidth="1"/>
    <col min="12790" max="12790" width="11.109375" style="1" customWidth="1"/>
    <col min="12791" max="12791" width="14" style="1" customWidth="1"/>
    <col min="12792" max="12792" width="33" style="1" customWidth="1"/>
    <col min="12793" max="12793" width="6.6640625" style="1" customWidth="1"/>
    <col min="12794" max="12794" width="19" style="1" customWidth="1"/>
    <col min="12795" max="12795" width="19.109375" style="1" customWidth="1"/>
    <col min="12796" max="12796" width="21.33203125" style="1" customWidth="1"/>
    <col min="12797" max="12797" width="32.5546875" style="1" customWidth="1"/>
    <col min="12798" max="12798" width="16.88671875" style="1" customWidth="1"/>
    <col min="12799" max="12799" width="16.33203125" style="1" customWidth="1"/>
    <col min="12800" max="13030" width="10.33203125" style="1"/>
    <col min="13031" max="13031" width="4.44140625" style="1" customWidth="1"/>
    <col min="13032" max="13032" width="21.6640625" style="1" customWidth="1"/>
    <col min="13033" max="13033" width="15" style="1" customWidth="1"/>
    <col min="13034" max="13034" width="15.44140625" style="1" customWidth="1"/>
    <col min="13035" max="13035" width="11.5546875" style="1" customWidth="1"/>
    <col min="13036" max="13036" width="7.44140625" style="1" customWidth="1"/>
    <col min="13037" max="13037" width="14.109375" style="1" customWidth="1"/>
    <col min="13038" max="13038" width="10.6640625" style="1" customWidth="1"/>
    <col min="13039" max="13039" width="13.44140625" style="1" customWidth="1"/>
    <col min="13040" max="13040" width="11.44140625" style="1" customWidth="1"/>
    <col min="13041" max="13041" width="15" style="1" customWidth="1"/>
    <col min="13042" max="13042" width="14.5546875" style="1" customWidth="1"/>
    <col min="13043" max="13043" width="10.33203125" style="1"/>
    <col min="13044" max="13044" width="7.44140625" style="1" customWidth="1"/>
    <col min="13045" max="13045" width="12.88671875" style="1" customWidth="1"/>
    <col min="13046" max="13046" width="11.109375" style="1" customWidth="1"/>
    <col min="13047" max="13047" width="14" style="1" customWidth="1"/>
    <col min="13048" max="13048" width="33" style="1" customWidth="1"/>
    <col min="13049" max="13049" width="6.6640625" style="1" customWidth="1"/>
    <col min="13050" max="13050" width="19" style="1" customWidth="1"/>
    <col min="13051" max="13051" width="19.109375" style="1" customWidth="1"/>
    <col min="13052" max="13052" width="21.33203125" style="1" customWidth="1"/>
    <col min="13053" max="13053" width="32.5546875" style="1" customWidth="1"/>
    <col min="13054" max="13054" width="16.88671875" style="1" customWidth="1"/>
    <col min="13055" max="13055" width="16.33203125" style="1" customWidth="1"/>
    <col min="13056" max="13286" width="10.33203125" style="1"/>
    <col min="13287" max="13287" width="4.44140625" style="1" customWidth="1"/>
    <col min="13288" max="13288" width="21.6640625" style="1" customWidth="1"/>
    <col min="13289" max="13289" width="15" style="1" customWidth="1"/>
    <col min="13290" max="13290" width="15.44140625" style="1" customWidth="1"/>
    <col min="13291" max="13291" width="11.5546875" style="1" customWidth="1"/>
    <col min="13292" max="13292" width="7.44140625" style="1" customWidth="1"/>
    <col min="13293" max="13293" width="14.109375" style="1" customWidth="1"/>
    <col min="13294" max="13294" width="10.6640625" style="1" customWidth="1"/>
    <col min="13295" max="13295" width="13.44140625" style="1" customWidth="1"/>
    <col min="13296" max="13296" width="11.44140625" style="1" customWidth="1"/>
    <col min="13297" max="13297" width="15" style="1" customWidth="1"/>
    <col min="13298" max="13298" width="14.5546875" style="1" customWidth="1"/>
    <col min="13299" max="13299" width="10.33203125" style="1"/>
    <col min="13300" max="13300" width="7.44140625" style="1" customWidth="1"/>
    <col min="13301" max="13301" width="12.88671875" style="1" customWidth="1"/>
    <col min="13302" max="13302" width="11.109375" style="1" customWidth="1"/>
    <col min="13303" max="13303" width="14" style="1" customWidth="1"/>
    <col min="13304" max="13304" width="33" style="1" customWidth="1"/>
    <col min="13305" max="13305" width="6.6640625" style="1" customWidth="1"/>
    <col min="13306" max="13306" width="19" style="1" customWidth="1"/>
    <col min="13307" max="13307" width="19.109375" style="1" customWidth="1"/>
    <col min="13308" max="13308" width="21.33203125" style="1" customWidth="1"/>
    <col min="13309" max="13309" width="32.5546875" style="1" customWidth="1"/>
    <col min="13310" max="13310" width="16.88671875" style="1" customWidth="1"/>
    <col min="13311" max="13311" width="16.33203125" style="1" customWidth="1"/>
    <col min="13312" max="13542" width="10.33203125" style="1"/>
    <col min="13543" max="13543" width="4.44140625" style="1" customWidth="1"/>
    <col min="13544" max="13544" width="21.6640625" style="1" customWidth="1"/>
    <col min="13545" max="13545" width="15" style="1" customWidth="1"/>
    <col min="13546" max="13546" width="15.44140625" style="1" customWidth="1"/>
    <col min="13547" max="13547" width="11.5546875" style="1" customWidth="1"/>
    <col min="13548" max="13548" width="7.44140625" style="1" customWidth="1"/>
    <col min="13549" max="13549" width="14.109375" style="1" customWidth="1"/>
    <col min="13550" max="13550" width="10.6640625" style="1" customWidth="1"/>
    <col min="13551" max="13551" width="13.44140625" style="1" customWidth="1"/>
    <col min="13552" max="13552" width="11.44140625" style="1" customWidth="1"/>
    <col min="13553" max="13553" width="15" style="1" customWidth="1"/>
    <col min="13554" max="13554" width="14.5546875" style="1" customWidth="1"/>
    <col min="13555" max="13555" width="10.33203125" style="1"/>
    <col min="13556" max="13556" width="7.44140625" style="1" customWidth="1"/>
    <col min="13557" max="13557" width="12.88671875" style="1" customWidth="1"/>
    <col min="13558" max="13558" width="11.109375" style="1" customWidth="1"/>
    <col min="13559" max="13559" width="14" style="1" customWidth="1"/>
    <col min="13560" max="13560" width="33" style="1" customWidth="1"/>
    <col min="13561" max="13561" width="6.6640625" style="1" customWidth="1"/>
    <col min="13562" max="13562" width="19" style="1" customWidth="1"/>
    <col min="13563" max="13563" width="19.109375" style="1" customWidth="1"/>
    <col min="13564" max="13564" width="21.33203125" style="1" customWidth="1"/>
    <col min="13565" max="13565" width="32.5546875" style="1" customWidth="1"/>
    <col min="13566" max="13566" width="16.88671875" style="1" customWidth="1"/>
    <col min="13567" max="13567" width="16.33203125" style="1" customWidth="1"/>
    <col min="13568" max="13798" width="10.33203125" style="1"/>
    <col min="13799" max="13799" width="4.44140625" style="1" customWidth="1"/>
    <col min="13800" max="13800" width="21.6640625" style="1" customWidth="1"/>
    <col min="13801" max="13801" width="15" style="1" customWidth="1"/>
    <col min="13802" max="13802" width="15.44140625" style="1" customWidth="1"/>
    <col min="13803" max="13803" width="11.5546875" style="1" customWidth="1"/>
    <col min="13804" max="13804" width="7.44140625" style="1" customWidth="1"/>
    <col min="13805" max="13805" width="14.109375" style="1" customWidth="1"/>
    <col min="13806" max="13806" width="10.6640625" style="1" customWidth="1"/>
    <col min="13807" max="13807" width="13.44140625" style="1" customWidth="1"/>
    <col min="13808" max="13808" width="11.44140625" style="1" customWidth="1"/>
    <col min="13809" max="13809" width="15" style="1" customWidth="1"/>
    <col min="13810" max="13810" width="14.5546875" style="1" customWidth="1"/>
    <col min="13811" max="13811" width="10.33203125" style="1"/>
    <col min="13812" max="13812" width="7.44140625" style="1" customWidth="1"/>
    <col min="13813" max="13813" width="12.88671875" style="1" customWidth="1"/>
    <col min="13814" max="13814" width="11.109375" style="1" customWidth="1"/>
    <col min="13815" max="13815" width="14" style="1" customWidth="1"/>
    <col min="13816" max="13816" width="33" style="1" customWidth="1"/>
    <col min="13817" max="13817" width="6.6640625" style="1" customWidth="1"/>
    <col min="13818" max="13818" width="19" style="1" customWidth="1"/>
    <col min="13819" max="13819" width="19.109375" style="1" customWidth="1"/>
    <col min="13820" max="13820" width="21.33203125" style="1" customWidth="1"/>
    <col min="13821" max="13821" width="32.5546875" style="1" customWidth="1"/>
    <col min="13822" max="13822" width="16.88671875" style="1" customWidth="1"/>
    <col min="13823" max="13823" width="16.33203125" style="1" customWidth="1"/>
    <col min="13824" max="14054" width="10.33203125" style="1"/>
    <col min="14055" max="14055" width="4.44140625" style="1" customWidth="1"/>
    <col min="14056" max="14056" width="21.6640625" style="1" customWidth="1"/>
    <col min="14057" max="14057" width="15" style="1" customWidth="1"/>
    <col min="14058" max="14058" width="15.44140625" style="1" customWidth="1"/>
    <col min="14059" max="14059" width="11.5546875" style="1" customWidth="1"/>
    <col min="14060" max="14060" width="7.44140625" style="1" customWidth="1"/>
    <col min="14061" max="14061" width="14.109375" style="1" customWidth="1"/>
    <col min="14062" max="14062" width="10.6640625" style="1" customWidth="1"/>
    <col min="14063" max="14063" width="13.44140625" style="1" customWidth="1"/>
    <col min="14064" max="14064" width="11.44140625" style="1" customWidth="1"/>
    <col min="14065" max="14065" width="15" style="1" customWidth="1"/>
    <col min="14066" max="14066" width="14.5546875" style="1" customWidth="1"/>
    <col min="14067" max="14067" width="10.33203125" style="1"/>
    <col min="14068" max="14068" width="7.44140625" style="1" customWidth="1"/>
    <col min="14069" max="14069" width="12.88671875" style="1" customWidth="1"/>
    <col min="14070" max="14070" width="11.109375" style="1" customWidth="1"/>
    <col min="14071" max="14071" width="14" style="1" customWidth="1"/>
    <col min="14072" max="14072" width="33" style="1" customWidth="1"/>
    <col min="14073" max="14073" width="6.6640625" style="1" customWidth="1"/>
    <col min="14074" max="14074" width="19" style="1" customWidth="1"/>
    <col min="14075" max="14075" width="19.109375" style="1" customWidth="1"/>
    <col min="14076" max="14076" width="21.33203125" style="1" customWidth="1"/>
    <col min="14077" max="14077" width="32.5546875" style="1" customWidth="1"/>
    <col min="14078" max="14078" width="16.88671875" style="1" customWidth="1"/>
    <col min="14079" max="14079" width="16.33203125" style="1" customWidth="1"/>
    <col min="14080" max="14310" width="10.33203125" style="1"/>
    <col min="14311" max="14311" width="4.44140625" style="1" customWidth="1"/>
    <col min="14312" max="14312" width="21.6640625" style="1" customWidth="1"/>
    <col min="14313" max="14313" width="15" style="1" customWidth="1"/>
    <col min="14314" max="14314" width="15.44140625" style="1" customWidth="1"/>
    <col min="14315" max="14315" width="11.5546875" style="1" customWidth="1"/>
    <col min="14316" max="14316" width="7.44140625" style="1" customWidth="1"/>
    <col min="14317" max="14317" width="14.109375" style="1" customWidth="1"/>
    <col min="14318" max="14318" width="10.6640625" style="1" customWidth="1"/>
    <col min="14319" max="14319" width="13.44140625" style="1" customWidth="1"/>
    <col min="14320" max="14320" width="11.44140625" style="1" customWidth="1"/>
    <col min="14321" max="14321" width="15" style="1" customWidth="1"/>
    <col min="14322" max="14322" width="14.5546875" style="1" customWidth="1"/>
    <col min="14323" max="14323" width="10.33203125" style="1"/>
    <col min="14324" max="14324" width="7.44140625" style="1" customWidth="1"/>
    <col min="14325" max="14325" width="12.88671875" style="1" customWidth="1"/>
    <col min="14326" max="14326" width="11.109375" style="1" customWidth="1"/>
    <col min="14327" max="14327" width="14" style="1" customWidth="1"/>
    <col min="14328" max="14328" width="33" style="1" customWidth="1"/>
    <col min="14329" max="14329" width="6.6640625" style="1" customWidth="1"/>
    <col min="14330" max="14330" width="19" style="1" customWidth="1"/>
    <col min="14331" max="14331" width="19.109375" style="1" customWidth="1"/>
    <col min="14332" max="14332" width="21.33203125" style="1" customWidth="1"/>
    <col min="14333" max="14333" width="32.5546875" style="1" customWidth="1"/>
    <col min="14334" max="14334" width="16.88671875" style="1" customWidth="1"/>
    <col min="14335" max="14335" width="16.33203125" style="1" customWidth="1"/>
    <col min="14336" max="14566" width="10.33203125" style="1"/>
    <col min="14567" max="14567" width="4.44140625" style="1" customWidth="1"/>
    <col min="14568" max="14568" width="21.6640625" style="1" customWidth="1"/>
    <col min="14569" max="14569" width="15" style="1" customWidth="1"/>
    <col min="14570" max="14570" width="15.44140625" style="1" customWidth="1"/>
    <col min="14571" max="14571" width="11.5546875" style="1" customWidth="1"/>
    <col min="14572" max="14572" width="7.44140625" style="1" customWidth="1"/>
    <col min="14573" max="14573" width="14.109375" style="1" customWidth="1"/>
    <col min="14574" max="14574" width="10.6640625" style="1" customWidth="1"/>
    <col min="14575" max="14575" width="13.44140625" style="1" customWidth="1"/>
    <col min="14576" max="14576" width="11.44140625" style="1" customWidth="1"/>
    <col min="14577" max="14577" width="15" style="1" customWidth="1"/>
    <col min="14578" max="14578" width="14.5546875" style="1" customWidth="1"/>
    <col min="14579" max="14579" width="10.33203125" style="1"/>
    <col min="14580" max="14580" width="7.44140625" style="1" customWidth="1"/>
    <col min="14581" max="14581" width="12.88671875" style="1" customWidth="1"/>
    <col min="14582" max="14582" width="11.109375" style="1" customWidth="1"/>
    <col min="14583" max="14583" width="14" style="1" customWidth="1"/>
    <col min="14584" max="14584" width="33" style="1" customWidth="1"/>
    <col min="14585" max="14585" width="6.6640625" style="1" customWidth="1"/>
    <col min="14586" max="14586" width="19" style="1" customWidth="1"/>
    <col min="14587" max="14587" width="19.109375" style="1" customWidth="1"/>
    <col min="14588" max="14588" width="21.33203125" style="1" customWidth="1"/>
    <col min="14589" max="14589" width="32.5546875" style="1" customWidth="1"/>
    <col min="14590" max="14590" width="16.88671875" style="1" customWidth="1"/>
    <col min="14591" max="14591" width="16.33203125" style="1" customWidth="1"/>
    <col min="14592" max="14822" width="10.33203125" style="1"/>
    <col min="14823" max="14823" width="4.44140625" style="1" customWidth="1"/>
    <col min="14824" max="14824" width="21.6640625" style="1" customWidth="1"/>
    <col min="14825" max="14825" width="15" style="1" customWidth="1"/>
    <col min="14826" max="14826" width="15.44140625" style="1" customWidth="1"/>
    <col min="14827" max="14827" width="11.5546875" style="1" customWidth="1"/>
    <col min="14828" max="14828" width="7.44140625" style="1" customWidth="1"/>
    <col min="14829" max="14829" width="14.109375" style="1" customWidth="1"/>
    <col min="14830" max="14830" width="10.6640625" style="1" customWidth="1"/>
    <col min="14831" max="14831" width="13.44140625" style="1" customWidth="1"/>
    <col min="14832" max="14832" width="11.44140625" style="1" customWidth="1"/>
    <col min="14833" max="14833" width="15" style="1" customWidth="1"/>
    <col min="14834" max="14834" width="14.5546875" style="1" customWidth="1"/>
    <col min="14835" max="14835" width="10.33203125" style="1"/>
    <col min="14836" max="14836" width="7.44140625" style="1" customWidth="1"/>
    <col min="14837" max="14837" width="12.88671875" style="1" customWidth="1"/>
    <col min="14838" max="14838" width="11.109375" style="1" customWidth="1"/>
    <col min="14839" max="14839" width="14" style="1" customWidth="1"/>
    <col min="14840" max="14840" width="33" style="1" customWidth="1"/>
    <col min="14841" max="14841" width="6.6640625" style="1" customWidth="1"/>
    <col min="14842" max="14842" width="19" style="1" customWidth="1"/>
    <col min="14843" max="14843" width="19.109375" style="1" customWidth="1"/>
    <col min="14844" max="14844" width="21.33203125" style="1" customWidth="1"/>
    <col min="14845" max="14845" width="32.5546875" style="1" customWidth="1"/>
    <col min="14846" max="14846" width="16.88671875" style="1" customWidth="1"/>
    <col min="14847" max="14847" width="16.33203125" style="1" customWidth="1"/>
    <col min="14848" max="15078" width="10.33203125" style="1"/>
    <col min="15079" max="15079" width="4.44140625" style="1" customWidth="1"/>
    <col min="15080" max="15080" width="21.6640625" style="1" customWidth="1"/>
    <col min="15081" max="15081" width="15" style="1" customWidth="1"/>
    <col min="15082" max="15082" width="15.44140625" style="1" customWidth="1"/>
    <col min="15083" max="15083" width="11.5546875" style="1" customWidth="1"/>
    <col min="15084" max="15084" width="7.44140625" style="1" customWidth="1"/>
    <col min="15085" max="15085" width="14.109375" style="1" customWidth="1"/>
    <col min="15086" max="15086" width="10.6640625" style="1" customWidth="1"/>
    <col min="15087" max="15087" width="13.44140625" style="1" customWidth="1"/>
    <col min="15088" max="15088" width="11.44140625" style="1" customWidth="1"/>
    <col min="15089" max="15089" width="15" style="1" customWidth="1"/>
    <col min="15090" max="15090" width="14.5546875" style="1" customWidth="1"/>
    <col min="15091" max="15091" width="10.33203125" style="1"/>
    <col min="15092" max="15092" width="7.44140625" style="1" customWidth="1"/>
    <col min="15093" max="15093" width="12.88671875" style="1" customWidth="1"/>
    <col min="15094" max="15094" width="11.109375" style="1" customWidth="1"/>
    <col min="15095" max="15095" width="14" style="1" customWidth="1"/>
    <col min="15096" max="15096" width="33" style="1" customWidth="1"/>
    <col min="15097" max="15097" width="6.6640625" style="1" customWidth="1"/>
    <col min="15098" max="15098" width="19" style="1" customWidth="1"/>
    <col min="15099" max="15099" width="19.109375" style="1" customWidth="1"/>
    <col min="15100" max="15100" width="21.33203125" style="1" customWidth="1"/>
    <col min="15101" max="15101" width="32.5546875" style="1" customWidth="1"/>
    <col min="15102" max="15102" width="16.88671875" style="1" customWidth="1"/>
    <col min="15103" max="15103" width="16.33203125" style="1" customWidth="1"/>
    <col min="15104" max="15334" width="10.33203125" style="1"/>
    <col min="15335" max="15335" width="4.44140625" style="1" customWidth="1"/>
    <col min="15336" max="15336" width="21.6640625" style="1" customWidth="1"/>
    <col min="15337" max="15337" width="15" style="1" customWidth="1"/>
    <col min="15338" max="15338" width="15.44140625" style="1" customWidth="1"/>
    <col min="15339" max="15339" width="11.5546875" style="1" customWidth="1"/>
    <col min="15340" max="15340" width="7.44140625" style="1" customWidth="1"/>
    <col min="15341" max="15341" width="14.109375" style="1" customWidth="1"/>
    <col min="15342" max="15342" width="10.6640625" style="1" customWidth="1"/>
    <col min="15343" max="15343" width="13.44140625" style="1" customWidth="1"/>
    <col min="15344" max="15344" width="11.44140625" style="1" customWidth="1"/>
    <col min="15345" max="15345" width="15" style="1" customWidth="1"/>
    <col min="15346" max="15346" width="14.5546875" style="1" customWidth="1"/>
    <col min="15347" max="15347" width="10.33203125" style="1"/>
    <col min="15348" max="15348" width="7.44140625" style="1" customWidth="1"/>
    <col min="15349" max="15349" width="12.88671875" style="1" customWidth="1"/>
    <col min="15350" max="15350" width="11.109375" style="1" customWidth="1"/>
    <col min="15351" max="15351" width="14" style="1" customWidth="1"/>
    <col min="15352" max="15352" width="33" style="1" customWidth="1"/>
    <col min="15353" max="15353" width="6.6640625" style="1" customWidth="1"/>
    <col min="15354" max="15354" width="19" style="1" customWidth="1"/>
    <col min="15355" max="15355" width="19.109375" style="1" customWidth="1"/>
    <col min="15356" max="15356" width="21.33203125" style="1" customWidth="1"/>
    <col min="15357" max="15357" width="32.5546875" style="1" customWidth="1"/>
    <col min="15358" max="15358" width="16.88671875" style="1" customWidth="1"/>
    <col min="15359" max="15359" width="16.33203125" style="1" customWidth="1"/>
    <col min="15360" max="15590" width="10.33203125" style="1"/>
    <col min="15591" max="15591" width="4.44140625" style="1" customWidth="1"/>
    <col min="15592" max="15592" width="21.6640625" style="1" customWidth="1"/>
    <col min="15593" max="15593" width="15" style="1" customWidth="1"/>
    <col min="15594" max="15594" width="15.44140625" style="1" customWidth="1"/>
    <col min="15595" max="15595" width="11.5546875" style="1" customWidth="1"/>
    <col min="15596" max="15596" width="7.44140625" style="1" customWidth="1"/>
    <col min="15597" max="15597" width="14.109375" style="1" customWidth="1"/>
    <col min="15598" max="15598" width="10.6640625" style="1" customWidth="1"/>
    <col min="15599" max="15599" width="13.44140625" style="1" customWidth="1"/>
    <col min="15600" max="15600" width="11.44140625" style="1" customWidth="1"/>
    <col min="15601" max="15601" width="15" style="1" customWidth="1"/>
    <col min="15602" max="15602" width="14.5546875" style="1" customWidth="1"/>
    <col min="15603" max="15603" width="10.33203125" style="1"/>
    <col min="15604" max="15604" width="7.44140625" style="1" customWidth="1"/>
    <col min="15605" max="15605" width="12.88671875" style="1" customWidth="1"/>
    <col min="15606" max="15606" width="11.109375" style="1" customWidth="1"/>
    <col min="15607" max="15607" width="14" style="1" customWidth="1"/>
    <col min="15608" max="15608" width="33" style="1" customWidth="1"/>
    <col min="15609" max="15609" width="6.6640625" style="1" customWidth="1"/>
    <col min="15610" max="15610" width="19" style="1" customWidth="1"/>
    <col min="15611" max="15611" width="19.109375" style="1" customWidth="1"/>
    <col min="15612" max="15612" width="21.33203125" style="1" customWidth="1"/>
    <col min="15613" max="15613" width="32.5546875" style="1" customWidth="1"/>
    <col min="15614" max="15614" width="16.88671875" style="1" customWidth="1"/>
    <col min="15615" max="15615" width="16.33203125" style="1" customWidth="1"/>
    <col min="15616" max="15846" width="10.33203125" style="1"/>
    <col min="15847" max="15847" width="4.44140625" style="1" customWidth="1"/>
    <col min="15848" max="15848" width="21.6640625" style="1" customWidth="1"/>
    <col min="15849" max="15849" width="15" style="1" customWidth="1"/>
    <col min="15850" max="15850" width="15.44140625" style="1" customWidth="1"/>
    <col min="15851" max="15851" width="11.5546875" style="1" customWidth="1"/>
    <col min="15852" max="15852" width="7.44140625" style="1" customWidth="1"/>
    <col min="15853" max="15853" width="14.109375" style="1" customWidth="1"/>
    <col min="15854" max="15854" width="10.6640625" style="1" customWidth="1"/>
    <col min="15855" max="15855" width="13.44140625" style="1" customWidth="1"/>
    <col min="15856" max="15856" width="11.44140625" style="1" customWidth="1"/>
    <col min="15857" max="15857" width="15" style="1" customWidth="1"/>
    <col min="15858" max="15858" width="14.5546875" style="1" customWidth="1"/>
    <col min="15859" max="15859" width="10.33203125" style="1"/>
    <col min="15860" max="15860" width="7.44140625" style="1" customWidth="1"/>
    <col min="15861" max="15861" width="12.88671875" style="1" customWidth="1"/>
    <col min="15862" max="15862" width="11.109375" style="1" customWidth="1"/>
    <col min="15863" max="15863" width="14" style="1" customWidth="1"/>
    <col min="15864" max="15864" width="33" style="1" customWidth="1"/>
    <col min="15865" max="15865" width="6.6640625" style="1" customWidth="1"/>
    <col min="15866" max="15866" width="19" style="1" customWidth="1"/>
    <col min="15867" max="15867" width="19.109375" style="1" customWidth="1"/>
    <col min="15868" max="15868" width="21.33203125" style="1" customWidth="1"/>
    <col min="15869" max="15869" width="32.5546875" style="1" customWidth="1"/>
    <col min="15870" max="15870" width="16.88671875" style="1" customWidth="1"/>
    <col min="15871" max="15871" width="16.33203125" style="1" customWidth="1"/>
    <col min="15872" max="16102" width="10.33203125" style="1"/>
    <col min="16103" max="16103" width="4.44140625" style="1" customWidth="1"/>
    <col min="16104" max="16104" width="21.6640625" style="1" customWidth="1"/>
    <col min="16105" max="16105" width="15" style="1" customWidth="1"/>
    <col min="16106" max="16106" width="15.44140625" style="1" customWidth="1"/>
    <col min="16107" max="16107" width="11.5546875" style="1" customWidth="1"/>
    <col min="16108" max="16108" width="7.44140625" style="1" customWidth="1"/>
    <col min="16109" max="16109" width="14.109375" style="1" customWidth="1"/>
    <col min="16110" max="16110" width="10.6640625" style="1" customWidth="1"/>
    <col min="16111" max="16111" width="13.44140625" style="1" customWidth="1"/>
    <col min="16112" max="16112" width="11.44140625" style="1" customWidth="1"/>
    <col min="16113" max="16113" width="15" style="1" customWidth="1"/>
    <col min="16114" max="16114" width="14.5546875" style="1" customWidth="1"/>
    <col min="16115" max="16115" width="10.33203125" style="1"/>
    <col min="16116" max="16116" width="7.44140625" style="1" customWidth="1"/>
    <col min="16117" max="16117" width="12.88671875" style="1" customWidth="1"/>
    <col min="16118" max="16118" width="11.109375" style="1" customWidth="1"/>
    <col min="16119" max="16119" width="14" style="1" customWidth="1"/>
    <col min="16120" max="16120" width="33" style="1" customWidth="1"/>
    <col min="16121" max="16121" width="6.6640625" style="1" customWidth="1"/>
    <col min="16122" max="16122" width="19" style="1" customWidth="1"/>
    <col min="16123" max="16123" width="19.109375" style="1" customWidth="1"/>
    <col min="16124" max="16124" width="21.33203125" style="1" customWidth="1"/>
    <col min="16125" max="16125" width="32.5546875" style="1" customWidth="1"/>
    <col min="16126" max="16126" width="16.88671875" style="1" customWidth="1"/>
    <col min="16127" max="16127" width="16.33203125" style="1" customWidth="1"/>
    <col min="16128" max="16384" width="10.33203125" style="1"/>
  </cols>
  <sheetData>
    <row r="1" spans="1:7" ht="24.6">
      <c r="A1" s="96" t="s">
        <v>0</v>
      </c>
      <c r="B1" s="96"/>
      <c r="C1" s="96"/>
      <c r="D1" s="96"/>
      <c r="E1" s="96"/>
      <c r="F1" s="96"/>
      <c r="G1" s="96"/>
    </row>
    <row r="2" spans="1:7" ht="24.6">
      <c r="A2" s="96" t="s">
        <v>1</v>
      </c>
      <c r="B2" s="96"/>
      <c r="C2" s="96"/>
      <c r="D2" s="96"/>
      <c r="E2" s="96"/>
      <c r="F2" s="96"/>
      <c r="G2" s="96"/>
    </row>
    <row r="3" spans="1:7" ht="24.6">
      <c r="A3" s="613" t="s">
        <v>404</v>
      </c>
      <c r="B3" s="613"/>
      <c r="C3" s="613"/>
      <c r="D3" s="613"/>
      <c r="E3" s="613"/>
      <c r="F3" s="613"/>
      <c r="G3" s="613"/>
    </row>
    <row r="4" spans="1:7" ht="24.6">
      <c r="A4" s="3" t="s">
        <v>3</v>
      </c>
      <c r="B4" s="3" t="s">
        <v>4</v>
      </c>
      <c r="C4" s="3" t="s">
        <v>5</v>
      </c>
      <c r="D4" s="4" t="s">
        <v>296</v>
      </c>
      <c r="E4" s="614" t="s">
        <v>9</v>
      </c>
      <c r="F4" s="615"/>
      <c r="G4" s="131"/>
    </row>
    <row r="5" spans="1:7" ht="24.6">
      <c r="A5" s="3"/>
      <c r="B5" s="13"/>
      <c r="C5" s="3"/>
      <c r="D5" s="14"/>
      <c r="E5" s="9" t="s">
        <v>21</v>
      </c>
      <c r="F5" s="9" t="s">
        <v>22</v>
      </c>
      <c r="G5" s="25" t="s">
        <v>26</v>
      </c>
    </row>
    <row r="6" spans="1:7" ht="24.6">
      <c r="A6" s="29"/>
      <c r="B6" s="45" t="s">
        <v>39</v>
      </c>
      <c r="C6" s="29"/>
      <c r="D6" s="46"/>
      <c r="E6" s="46"/>
      <c r="F6" s="46"/>
      <c r="G6" s="46"/>
    </row>
    <row r="7" spans="1:7" s="96" customFormat="1" ht="24.6">
      <c r="A7" s="86">
        <v>3</v>
      </c>
      <c r="B7" s="156" t="s">
        <v>44</v>
      </c>
      <c r="C7" s="619"/>
      <c r="D7" s="620"/>
      <c r="E7" s="621">
        <v>25294</v>
      </c>
      <c r="F7" s="622">
        <v>1</v>
      </c>
      <c r="G7" s="623">
        <v>1070</v>
      </c>
    </row>
    <row r="8" spans="1:7" ht="25.2" thickBot="1">
      <c r="A8" s="29"/>
      <c r="B8" s="25" t="s">
        <v>26</v>
      </c>
      <c r="C8" s="29"/>
      <c r="D8" s="103"/>
      <c r="E8" s="63"/>
      <c r="F8" s="63"/>
      <c r="G8" s="607">
        <f>SUM(G7)</f>
        <v>1070</v>
      </c>
    </row>
    <row r="9" spans="1:7" ht="25.2" thickTop="1">
      <c r="A9" s="29"/>
      <c r="B9" s="45" t="s">
        <v>52</v>
      </c>
      <c r="C9" s="29"/>
      <c r="D9" s="57"/>
      <c r="E9" s="28"/>
      <c r="F9" s="28"/>
      <c r="G9" s="57"/>
    </row>
    <row r="10" spans="1:7" ht="24.6">
      <c r="A10" s="29"/>
      <c r="B10" s="116" t="s">
        <v>53</v>
      </c>
      <c r="C10" s="29"/>
      <c r="D10" s="57"/>
      <c r="E10" s="25"/>
      <c r="F10" s="25"/>
      <c r="G10" s="57"/>
    </row>
    <row r="11" spans="1:7" ht="24.6">
      <c r="A11" s="25">
        <v>10</v>
      </c>
      <c r="B11" s="156" t="s">
        <v>73</v>
      </c>
      <c r="C11" s="624">
        <v>84282</v>
      </c>
      <c r="D11" s="157"/>
      <c r="E11" s="622">
        <v>25294</v>
      </c>
      <c r="F11" s="622">
        <v>1</v>
      </c>
      <c r="G11" s="157">
        <v>2430</v>
      </c>
    </row>
    <row r="12" spans="1:7" ht="24.6">
      <c r="A12" s="25"/>
      <c r="B12" s="116" t="s">
        <v>104</v>
      </c>
      <c r="C12" s="29"/>
      <c r="D12" s="29"/>
      <c r="E12" s="25"/>
      <c r="F12" s="25"/>
      <c r="G12" s="49"/>
    </row>
    <row r="13" spans="1:7" ht="24.6">
      <c r="A13" s="25">
        <v>1</v>
      </c>
      <c r="B13" s="625" t="s">
        <v>105</v>
      </c>
      <c r="C13" s="625"/>
      <c r="D13" s="626"/>
      <c r="E13" s="627">
        <v>25294</v>
      </c>
      <c r="F13" s="628">
        <v>1</v>
      </c>
      <c r="G13" s="626">
        <v>5000</v>
      </c>
    </row>
    <row r="14" spans="1:7" ht="24.6">
      <c r="A14" s="25">
        <v>2</v>
      </c>
      <c r="B14" s="625" t="s">
        <v>105</v>
      </c>
      <c r="C14" s="625"/>
      <c r="D14" s="626"/>
      <c r="E14" s="627">
        <v>25294</v>
      </c>
      <c r="F14" s="628">
        <v>1</v>
      </c>
      <c r="G14" s="626">
        <v>4650</v>
      </c>
    </row>
    <row r="15" spans="1:7" ht="25.2" thickBot="1">
      <c r="A15" s="29"/>
      <c r="B15" s="25" t="s">
        <v>26</v>
      </c>
      <c r="C15" s="74"/>
      <c r="D15" s="78"/>
      <c r="E15" s="78"/>
      <c r="F15" s="78"/>
      <c r="G15" s="608">
        <f>SUM(G11:G14)</f>
        <v>12080</v>
      </c>
    </row>
    <row r="16" spans="1:7" ht="24.75" customHeight="1" thickTop="1" thickBot="1">
      <c r="A16" s="34"/>
      <c r="B16" s="34" t="s">
        <v>374</v>
      </c>
      <c r="C16" s="74"/>
      <c r="D16" s="110"/>
      <c r="E16" s="110"/>
      <c r="F16" s="110"/>
      <c r="G16" s="110">
        <f>G8+G15</f>
        <v>13150</v>
      </c>
    </row>
    <row r="17" spans="1:7" ht="24.75" customHeight="1" thickTop="1">
      <c r="A17" s="14"/>
      <c r="B17" s="173"/>
      <c r="D17" s="174"/>
      <c r="G17" s="175"/>
    </row>
    <row r="18" spans="1:7" ht="24.75" customHeight="1">
      <c r="A18" s="610" t="s">
        <v>211</v>
      </c>
      <c r="B18" s="611"/>
      <c r="C18" s="611"/>
      <c r="D18" s="611"/>
      <c r="E18" s="611"/>
      <c r="F18" s="611"/>
      <c r="G18" s="611"/>
    </row>
    <row r="19" spans="1:7" ht="24.75" customHeight="1">
      <c r="A19" s="46">
        <v>1</v>
      </c>
      <c r="B19" s="180" t="s">
        <v>32</v>
      </c>
      <c r="C19" s="46" t="s">
        <v>104</v>
      </c>
      <c r="D19" s="98"/>
      <c r="E19" s="141" t="s">
        <v>405</v>
      </c>
      <c r="F19" s="254">
        <v>10</v>
      </c>
      <c r="G19" s="141">
        <v>46500</v>
      </c>
    </row>
    <row r="20" spans="1:7" ht="24" customHeight="1">
      <c r="A20" s="25">
        <v>2</v>
      </c>
      <c r="B20" s="29" t="s">
        <v>215</v>
      </c>
      <c r="C20" s="29" t="s">
        <v>104</v>
      </c>
      <c r="D20" s="49"/>
      <c r="E20" s="134" t="s">
        <v>405</v>
      </c>
      <c r="F20" s="255">
        <v>10</v>
      </c>
      <c r="G20" s="134">
        <v>57500</v>
      </c>
    </row>
    <row r="21" spans="1:7" ht="24" customHeight="1">
      <c r="A21" s="4">
        <v>3</v>
      </c>
      <c r="B21" s="53" t="s">
        <v>68</v>
      </c>
      <c r="C21" s="53">
        <v>268</v>
      </c>
      <c r="D21" s="127"/>
      <c r="E21" s="280" t="s">
        <v>406</v>
      </c>
      <c r="F21" s="281">
        <v>25</v>
      </c>
      <c r="G21" s="280">
        <v>30375</v>
      </c>
    </row>
    <row r="22" spans="1:7" ht="24.75" customHeight="1" thickBot="1">
      <c r="A22" s="34"/>
      <c r="B22" s="34" t="s">
        <v>26</v>
      </c>
      <c r="C22" s="74"/>
      <c r="D22" s="110"/>
      <c r="E22" s="74"/>
      <c r="F22" s="74"/>
      <c r="G22" s="608">
        <f>SUM(G19:G21)</f>
        <v>134375</v>
      </c>
    </row>
    <row r="23" spans="1:7" ht="24.75" customHeight="1" thickTop="1">
      <c r="A23" s="14"/>
      <c r="B23" s="173"/>
      <c r="D23" s="174"/>
      <c r="G23" s="175"/>
    </row>
    <row r="24" spans="1:7" ht="24.75" customHeight="1">
      <c r="A24" s="4"/>
      <c r="B24" s="188" t="s">
        <v>217</v>
      </c>
      <c r="C24" s="53"/>
      <c r="D24" s="127"/>
      <c r="E24" s="53"/>
      <c r="F24" s="53"/>
      <c r="G24" s="183"/>
    </row>
    <row r="25" spans="1:7" ht="24.75" customHeight="1">
      <c r="A25" s="199">
        <v>1</v>
      </c>
      <c r="B25" s="200" t="s">
        <v>85</v>
      </c>
      <c r="C25" s="203" t="s">
        <v>86</v>
      </c>
      <c r="D25" s="202"/>
      <c r="E25" s="199" t="s">
        <v>229</v>
      </c>
      <c r="F25" s="204">
        <v>7</v>
      </c>
      <c r="G25" s="202">
        <v>30800</v>
      </c>
    </row>
    <row r="26" spans="1:7" ht="24.75" customHeight="1">
      <c r="A26" s="115"/>
      <c r="B26" s="212"/>
      <c r="C26" s="109"/>
      <c r="D26" s="162"/>
      <c r="E26" s="115"/>
      <c r="F26" s="213"/>
      <c r="G26" s="214"/>
    </row>
    <row r="27" spans="1:7" s="96" customFormat="1" ht="24.75" customHeight="1">
      <c r="A27" s="190"/>
      <c r="B27" s="191" t="s">
        <v>232</v>
      </c>
      <c r="C27" s="192" t="s">
        <v>194</v>
      </c>
      <c r="D27" s="193"/>
      <c r="E27" s="192"/>
      <c r="F27" s="192"/>
      <c r="G27" s="193">
        <v>64400</v>
      </c>
    </row>
    <row r="28" spans="1:7" ht="24.6">
      <c r="A28" s="199">
        <v>2</v>
      </c>
      <c r="B28" s="203" t="s">
        <v>32</v>
      </c>
      <c r="C28" s="222" t="s">
        <v>104</v>
      </c>
      <c r="D28" s="202"/>
      <c r="E28" s="223" t="s">
        <v>234</v>
      </c>
      <c r="F28" s="224">
        <v>4</v>
      </c>
      <c r="G28" s="225">
        <v>18600</v>
      </c>
    </row>
    <row r="29" spans="1:7" ht="24.6">
      <c r="A29" s="199">
        <v>3</v>
      </c>
      <c r="B29" s="203" t="s">
        <v>215</v>
      </c>
      <c r="C29" s="222" t="s">
        <v>104</v>
      </c>
      <c r="D29" s="202"/>
      <c r="E29" s="199" t="s">
        <v>236</v>
      </c>
      <c r="F29" s="199">
        <v>4</v>
      </c>
      <c r="G29" s="202">
        <v>23000</v>
      </c>
    </row>
    <row r="30" spans="1:7" s="96" customFormat="1" ht="24.75" customHeight="1">
      <c r="A30" s="229"/>
      <c r="B30" s="230"/>
      <c r="C30" s="231"/>
      <c r="D30" s="232"/>
      <c r="E30" s="231"/>
      <c r="F30" s="231"/>
      <c r="G30" s="232"/>
    </row>
    <row r="31" spans="1:7" ht="24.75" customHeight="1" thickBot="1">
      <c r="A31" s="34"/>
      <c r="B31" s="239"/>
      <c r="C31" s="74"/>
      <c r="D31" s="110"/>
      <c r="E31" s="110"/>
      <c r="F31" s="110"/>
      <c r="G31" s="616">
        <v>136800</v>
      </c>
    </row>
    <row r="32" spans="1:7" ht="25.2" thickTop="1">
      <c r="A32" s="46"/>
      <c r="B32" s="161" t="s">
        <v>238</v>
      </c>
      <c r="C32" s="46"/>
      <c r="D32" s="46"/>
      <c r="E32" s="46"/>
      <c r="F32" s="46"/>
      <c r="G32" s="46"/>
    </row>
    <row r="33" spans="1:10" ht="24.6">
      <c r="A33" s="25">
        <v>1</v>
      </c>
      <c r="B33" s="53" t="s">
        <v>239</v>
      </c>
      <c r="C33" s="109"/>
      <c r="D33" s="109"/>
      <c r="E33" s="109" t="s">
        <v>240</v>
      </c>
      <c r="F33" s="109"/>
      <c r="G33" s="162">
        <v>0</v>
      </c>
    </row>
    <row r="34" spans="1:10" ht="24.6">
      <c r="A34" s="25"/>
      <c r="B34" s="29" t="s">
        <v>241</v>
      </c>
      <c r="C34" s="29"/>
      <c r="D34" s="29"/>
      <c r="E34" s="25" t="s">
        <v>242</v>
      </c>
      <c r="F34" s="29"/>
      <c r="G34" s="49">
        <v>133707.98000000001</v>
      </c>
    </row>
    <row r="35" spans="1:10" ht="24.6">
      <c r="A35" s="25"/>
      <c r="B35" s="29" t="s">
        <v>244</v>
      </c>
      <c r="C35" s="29"/>
      <c r="D35" s="29"/>
      <c r="E35" s="29"/>
      <c r="F35" s="29"/>
      <c r="G35" s="49">
        <v>73800</v>
      </c>
    </row>
    <row r="36" spans="1:10" ht="24.6">
      <c r="A36" s="25"/>
      <c r="B36" s="29" t="s">
        <v>245</v>
      </c>
      <c r="C36" s="29"/>
      <c r="D36" s="29"/>
      <c r="E36" s="29"/>
      <c r="F36" s="29"/>
      <c r="G36" s="89">
        <v>7596.82</v>
      </c>
    </row>
    <row r="37" spans="1:10" ht="24.6">
      <c r="A37" s="25"/>
      <c r="B37" s="29" t="s">
        <v>246</v>
      </c>
      <c r="C37" s="29"/>
      <c r="D37" s="53"/>
      <c r="E37" s="53"/>
      <c r="F37" s="53"/>
      <c r="G37" s="127"/>
    </row>
    <row r="38" spans="1:10" ht="24.6">
      <c r="A38" s="4"/>
      <c r="B38" s="53"/>
      <c r="C38" s="148" t="s">
        <v>247</v>
      </c>
      <c r="D38" s="612"/>
      <c r="E38" s="612"/>
      <c r="F38" s="612"/>
      <c r="G38" s="127"/>
    </row>
    <row r="39" spans="1:10" s="96" customFormat="1" ht="24.75" customHeight="1">
      <c r="A39" s="86">
        <v>2</v>
      </c>
      <c r="B39" s="274" t="s">
        <v>68</v>
      </c>
      <c r="C39" s="87">
        <v>268</v>
      </c>
      <c r="D39" s="89"/>
      <c r="E39" s="86" t="s">
        <v>378</v>
      </c>
      <c r="F39" s="275">
        <v>80</v>
      </c>
      <c r="G39" s="89">
        <v>133752.76</v>
      </c>
    </row>
    <row r="40" spans="1:10" ht="24.75" customHeight="1">
      <c r="A40" s="25"/>
      <c r="B40" s="119" t="s">
        <v>221</v>
      </c>
      <c r="C40" s="278" t="s">
        <v>222</v>
      </c>
      <c r="D40" s="49"/>
      <c r="E40" s="29"/>
      <c r="F40" s="3" t="s">
        <v>172</v>
      </c>
      <c r="G40" s="49">
        <v>19700</v>
      </c>
    </row>
    <row r="41" spans="1:10" ht="24.75" customHeight="1">
      <c r="A41" s="25"/>
      <c r="B41" s="278"/>
      <c r="C41" s="278" t="s">
        <v>223</v>
      </c>
      <c r="D41" s="49"/>
      <c r="E41" s="29"/>
      <c r="F41" s="3" t="s">
        <v>172</v>
      </c>
      <c r="G41" s="49">
        <v>19700</v>
      </c>
    </row>
    <row r="42" spans="1:10" ht="24.75" customHeight="1">
      <c r="A42" s="25"/>
      <c r="B42" s="278"/>
      <c r="C42" s="278" t="s">
        <v>224</v>
      </c>
      <c r="D42" s="49"/>
      <c r="E42" s="29"/>
      <c r="F42" s="3" t="s">
        <v>172</v>
      </c>
      <c r="G42" s="49">
        <v>19700</v>
      </c>
    </row>
    <row r="43" spans="1:10" ht="24.75" customHeight="1">
      <c r="A43" s="25">
        <v>3</v>
      </c>
      <c r="B43" s="119" t="s">
        <v>225</v>
      </c>
      <c r="C43" s="29"/>
      <c r="D43" s="49"/>
      <c r="E43" s="25" t="s">
        <v>226</v>
      </c>
      <c r="F43" s="3">
        <v>88</v>
      </c>
      <c r="G43" s="49">
        <v>304935.7</v>
      </c>
    </row>
    <row r="44" spans="1:10" ht="25.2" thickBot="1">
      <c r="A44" s="25"/>
      <c r="B44" s="29"/>
      <c r="C44" s="29"/>
      <c r="D44" s="74"/>
      <c r="E44" s="74"/>
      <c r="F44" s="74"/>
      <c r="G44" s="74"/>
    </row>
    <row r="45" spans="1:10" s="249" customFormat="1" ht="25.8" thickTop="1" thickBot="1">
      <c r="A45" s="134"/>
      <c r="B45" s="246" t="s">
        <v>26</v>
      </c>
      <c r="C45" s="103"/>
      <c r="D45" s="103"/>
      <c r="E45" s="103"/>
      <c r="F45" s="103"/>
      <c r="G45" s="607">
        <v>712893.26</v>
      </c>
    </row>
    <row r="46" spans="1:10" ht="25.8" thickTop="1" thickBot="1">
      <c r="A46" s="29"/>
      <c r="B46" s="25" t="s">
        <v>248</v>
      </c>
      <c r="C46" s="64"/>
      <c r="D46" s="63"/>
      <c r="E46" s="63"/>
      <c r="F46" s="63"/>
      <c r="G46" s="63">
        <f>G8+G15+G22+G31+G45</f>
        <v>997218.26</v>
      </c>
      <c r="J46" s="175">
        <f>+G46-G22</f>
        <v>862843.26</v>
      </c>
    </row>
    <row r="47" spans="1:10" ht="25.2" thickTop="1"/>
    <row r="48" spans="1:10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</sheetData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3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B4BB-C915-4B3F-AE92-D2C18865E8FA}">
  <sheetPr>
    <tabColor rgb="FFFFC000"/>
  </sheetPr>
  <dimension ref="A1:F818"/>
  <sheetViews>
    <sheetView zoomScale="83" zoomScaleNormal="83" zoomScaleSheetLayoutView="87" workbookViewId="0">
      <pane ySplit="6" topLeftCell="A34" activePane="bottomLeft" state="frozen"/>
      <selection activeCell="I147" sqref="I147"/>
      <selection pane="bottomLeft" activeCell="F45" sqref="F45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602" customWidth="1"/>
    <col min="5" max="5" width="15" style="603" customWidth="1"/>
    <col min="6" max="6" width="14.5546875" style="603" customWidth="1"/>
    <col min="7" max="226" width="10.33203125" style="1"/>
    <col min="227" max="227" width="4.44140625" style="1" customWidth="1"/>
    <col min="228" max="228" width="21.6640625" style="1" customWidth="1"/>
    <col min="229" max="229" width="15" style="1" customWidth="1"/>
    <col min="230" max="230" width="15.44140625" style="1" customWidth="1"/>
    <col min="231" max="231" width="11.5546875" style="1" customWidth="1"/>
    <col min="232" max="232" width="7.44140625" style="1" customWidth="1"/>
    <col min="233" max="233" width="14.109375" style="1" customWidth="1"/>
    <col min="234" max="234" width="10.6640625" style="1" customWidth="1"/>
    <col min="235" max="235" width="13.44140625" style="1" customWidth="1"/>
    <col min="236" max="236" width="11.44140625" style="1" customWidth="1"/>
    <col min="237" max="237" width="15" style="1" customWidth="1"/>
    <col min="238" max="238" width="14.5546875" style="1" customWidth="1"/>
    <col min="239" max="239" width="10.33203125" style="1"/>
    <col min="240" max="240" width="7.44140625" style="1" customWidth="1"/>
    <col min="241" max="241" width="12.88671875" style="1" customWidth="1"/>
    <col min="242" max="242" width="11.109375" style="1" customWidth="1"/>
    <col min="243" max="243" width="14" style="1" customWidth="1"/>
    <col min="244" max="244" width="33" style="1" customWidth="1"/>
    <col min="245" max="245" width="6.6640625" style="1" customWidth="1"/>
    <col min="246" max="246" width="19" style="1" customWidth="1"/>
    <col min="247" max="247" width="19.109375" style="1" customWidth="1"/>
    <col min="248" max="248" width="21.33203125" style="1" customWidth="1"/>
    <col min="249" max="249" width="32.5546875" style="1" customWidth="1"/>
    <col min="250" max="250" width="16.88671875" style="1" customWidth="1"/>
    <col min="251" max="251" width="16.33203125" style="1" customWidth="1"/>
    <col min="252" max="482" width="10.33203125" style="1"/>
    <col min="483" max="483" width="4.44140625" style="1" customWidth="1"/>
    <col min="484" max="484" width="21.6640625" style="1" customWidth="1"/>
    <col min="485" max="485" width="15" style="1" customWidth="1"/>
    <col min="486" max="486" width="15.44140625" style="1" customWidth="1"/>
    <col min="487" max="487" width="11.5546875" style="1" customWidth="1"/>
    <col min="488" max="488" width="7.44140625" style="1" customWidth="1"/>
    <col min="489" max="489" width="14.109375" style="1" customWidth="1"/>
    <col min="490" max="490" width="10.6640625" style="1" customWidth="1"/>
    <col min="491" max="491" width="13.44140625" style="1" customWidth="1"/>
    <col min="492" max="492" width="11.44140625" style="1" customWidth="1"/>
    <col min="493" max="493" width="15" style="1" customWidth="1"/>
    <col min="494" max="494" width="14.5546875" style="1" customWidth="1"/>
    <col min="495" max="495" width="10.33203125" style="1"/>
    <col min="496" max="496" width="7.44140625" style="1" customWidth="1"/>
    <col min="497" max="497" width="12.88671875" style="1" customWidth="1"/>
    <col min="498" max="498" width="11.109375" style="1" customWidth="1"/>
    <col min="499" max="499" width="14" style="1" customWidth="1"/>
    <col min="500" max="500" width="33" style="1" customWidth="1"/>
    <col min="501" max="501" width="6.6640625" style="1" customWidth="1"/>
    <col min="502" max="502" width="19" style="1" customWidth="1"/>
    <col min="503" max="503" width="19.109375" style="1" customWidth="1"/>
    <col min="504" max="504" width="21.33203125" style="1" customWidth="1"/>
    <col min="505" max="505" width="32.5546875" style="1" customWidth="1"/>
    <col min="506" max="506" width="16.88671875" style="1" customWidth="1"/>
    <col min="507" max="507" width="16.33203125" style="1" customWidth="1"/>
    <col min="508" max="738" width="10.33203125" style="1"/>
    <col min="739" max="739" width="4.44140625" style="1" customWidth="1"/>
    <col min="740" max="740" width="21.6640625" style="1" customWidth="1"/>
    <col min="741" max="741" width="15" style="1" customWidth="1"/>
    <col min="742" max="742" width="15.44140625" style="1" customWidth="1"/>
    <col min="743" max="743" width="11.5546875" style="1" customWidth="1"/>
    <col min="744" max="744" width="7.44140625" style="1" customWidth="1"/>
    <col min="745" max="745" width="14.109375" style="1" customWidth="1"/>
    <col min="746" max="746" width="10.6640625" style="1" customWidth="1"/>
    <col min="747" max="747" width="13.44140625" style="1" customWidth="1"/>
    <col min="748" max="748" width="11.44140625" style="1" customWidth="1"/>
    <col min="749" max="749" width="15" style="1" customWidth="1"/>
    <col min="750" max="750" width="14.5546875" style="1" customWidth="1"/>
    <col min="751" max="751" width="10.33203125" style="1"/>
    <col min="752" max="752" width="7.44140625" style="1" customWidth="1"/>
    <col min="753" max="753" width="12.88671875" style="1" customWidth="1"/>
    <col min="754" max="754" width="11.109375" style="1" customWidth="1"/>
    <col min="755" max="755" width="14" style="1" customWidth="1"/>
    <col min="756" max="756" width="33" style="1" customWidth="1"/>
    <col min="757" max="757" width="6.6640625" style="1" customWidth="1"/>
    <col min="758" max="758" width="19" style="1" customWidth="1"/>
    <col min="759" max="759" width="19.109375" style="1" customWidth="1"/>
    <col min="760" max="760" width="21.33203125" style="1" customWidth="1"/>
    <col min="761" max="761" width="32.5546875" style="1" customWidth="1"/>
    <col min="762" max="762" width="16.88671875" style="1" customWidth="1"/>
    <col min="763" max="763" width="16.33203125" style="1" customWidth="1"/>
    <col min="764" max="994" width="10.33203125" style="1"/>
    <col min="995" max="995" width="4.44140625" style="1" customWidth="1"/>
    <col min="996" max="996" width="21.6640625" style="1" customWidth="1"/>
    <col min="997" max="997" width="15" style="1" customWidth="1"/>
    <col min="998" max="998" width="15.44140625" style="1" customWidth="1"/>
    <col min="999" max="999" width="11.5546875" style="1" customWidth="1"/>
    <col min="1000" max="1000" width="7.44140625" style="1" customWidth="1"/>
    <col min="1001" max="1001" width="14.109375" style="1" customWidth="1"/>
    <col min="1002" max="1002" width="10.6640625" style="1" customWidth="1"/>
    <col min="1003" max="1003" width="13.44140625" style="1" customWidth="1"/>
    <col min="1004" max="1004" width="11.44140625" style="1" customWidth="1"/>
    <col min="1005" max="1005" width="15" style="1" customWidth="1"/>
    <col min="1006" max="1006" width="14.5546875" style="1" customWidth="1"/>
    <col min="1007" max="1007" width="10.33203125" style="1"/>
    <col min="1008" max="1008" width="7.44140625" style="1" customWidth="1"/>
    <col min="1009" max="1009" width="12.88671875" style="1" customWidth="1"/>
    <col min="1010" max="1010" width="11.109375" style="1" customWidth="1"/>
    <col min="1011" max="1011" width="14" style="1" customWidth="1"/>
    <col min="1012" max="1012" width="33" style="1" customWidth="1"/>
    <col min="1013" max="1013" width="6.6640625" style="1" customWidth="1"/>
    <col min="1014" max="1014" width="19" style="1" customWidth="1"/>
    <col min="1015" max="1015" width="19.109375" style="1" customWidth="1"/>
    <col min="1016" max="1016" width="21.33203125" style="1" customWidth="1"/>
    <col min="1017" max="1017" width="32.5546875" style="1" customWidth="1"/>
    <col min="1018" max="1018" width="16.88671875" style="1" customWidth="1"/>
    <col min="1019" max="1019" width="16.33203125" style="1" customWidth="1"/>
    <col min="1020" max="1250" width="10.33203125" style="1"/>
    <col min="1251" max="1251" width="4.44140625" style="1" customWidth="1"/>
    <col min="1252" max="1252" width="21.6640625" style="1" customWidth="1"/>
    <col min="1253" max="1253" width="15" style="1" customWidth="1"/>
    <col min="1254" max="1254" width="15.44140625" style="1" customWidth="1"/>
    <col min="1255" max="1255" width="11.5546875" style="1" customWidth="1"/>
    <col min="1256" max="1256" width="7.44140625" style="1" customWidth="1"/>
    <col min="1257" max="1257" width="14.109375" style="1" customWidth="1"/>
    <col min="1258" max="1258" width="10.6640625" style="1" customWidth="1"/>
    <col min="1259" max="1259" width="13.44140625" style="1" customWidth="1"/>
    <col min="1260" max="1260" width="11.44140625" style="1" customWidth="1"/>
    <col min="1261" max="1261" width="15" style="1" customWidth="1"/>
    <col min="1262" max="1262" width="14.5546875" style="1" customWidth="1"/>
    <col min="1263" max="1263" width="10.33203125" style="1"/>
    <col min="1264" max="1264" width="7.44140625" style="1" customWidth="1"/>
    <col min="1265" max="1265" width="12.88671875" style="1" customWidth="1"/>
    <col min="1266" max="1266" width="11.109375" style="1" customWidth="1"/>
    <col min="1267" max="1267" width="14" style="1" customWidth="1"/>
    <col min="1268" max="1268" width="33" style="1" customWidth="1"/>
    <col min="1269" max="1269" width="6.6640625" style="1" customWidth="1"/>
    <col min="1270" max="1270" width="19" style="1" customWidth="1"/>
    <col min="1271" max="1271" width="19.109375" style="1" customWidth="1"/>
    <col min="1272" max="1272" width="21.33203125" style="1" customWidth="1"/>
    <col min="1273" max="1273" width="32.5546875" style="1" customWidth="1"/>
    <col min="1274" max="1274" width="16.88671875" style="1" customWidth="1"/>
    <col min="1275" max="1275" width="16.33203125" style="1" customWidth="1"/>
    <col min="1276" max="1506" width="10.33203125" style="1"/>
    <col min="1507" max="1507" width="4.44140625" style="1" customWidth="1"/>
    <col min="1508" max="1508" width="21.6640625" style="1" customWidth="1"/>
    <col min="1509" max="1509" width="15" style="1" customWidth="1"/>
    <col min="1510" max="1510" width="15.44140625" style="1" customWidth="1"/>
    <col min="1511" max="1511" width="11.5546875" style="1" customWidth="1"/>
    <col min="1512" max="1512" width="7.44140625" style="1" customWidth="1"/>
    <col min="1513" max="1513" width="14.109375" style="1" customWidth="1"/>
    <col min="1514" max="1514" width="10.6640625" style="1" customWidth="1"/>
    <col min="1515" max="1515" width="13.44140625" style="1" customWidth="1"/>
    <col min="1516" max="1516" width="11.44140625" style="1" customWidth="1"/>
    <col min="1517" max="1517" width="15" style="1" customWidth="1"/>
    <col min="1518" max="1518" width="14.5546875" style="1" customWidth="1"/>
    <col min="1519" max="1519" width="10.33203125" style="1"/>
    <col min="1520" max="1520" width="7.44140625" style="1" customWidth="1"/>
    <col min="1521" max="1521" width="12.88671875" style="1" customWidth="1"/>
    <col min="1522" max="1522" width="11.109375" style="1" customWidth="1"/>
    <col min="1523" max="1523" width="14" style="1" customWidth="1"/>
    <col min="1524" max="1524" width="33" style="1" customWidth="1"/>
    <col min="1525" max="1525" width="6.6640625" style="1" customWidth="1"/>
    <col min="1526" max="1526" width="19" style="1" customWidth="1"/>
    <col min="1527" max="1527" width="19.109375" style="1" customWidth="1"/>
    <col min="1528" max="1528" width="21.33203125" style="1" customWidth="1"/>
    <col min="1529" max="1529" width="32.5546875" style="1" customWidth="1"/>
    <col min="1530" max="1530" width="16.88671875" style="1" customWidth="1"/>
    <col min="1531" max="1531" width="16.33203125" style="1" customWidth="1"/>
    <col min="1532" max="1762" width="10.33203125" style="1"/>
    <col min="1763" max="1763" width="4.44140625" style="1" customWidth="1"/>
    <col min="1764" max="1764" width="21.6640625" style="1" customWidth="1"/>
    <col min="1765" max="1765" width="15" style="1" customWidth="1"/>
    <col min="1766" max="1766" width="15.44140625" style="1" customWidth="1"/>
    <col min="1767" max="1767" width="11.5546875" style="1" customWidth="1"/>
    <col min="1768" max="1768" width="7.44140625" style="1" customWidth="1"/>
    <col min="1769" max="1769" width="14.109375" style="1" customWidth="1"/>
    <col min="1770" max="1770" width="10.6640625" style="1" customWidth="1"/>
    <col min="1771" max="1771" width="13.44140625" style="1" customWidth="1"/>
    <col min="1772" max="1772" width="11.44140625" style="1" customWidth="1"/>
    <col min="1773" max="1773" width="15" style="1" customWidth="1"/>
    <col min="1774" max="1774" width="14.5546875" style="1" customWidth="1"/>
    <col min="1775" max="1775" width="10.33203125" style="1"/>
    <col min="1776" max="1776" width="7.44140625" style="1" customWidth="1"/>
    <col min="1777" max="1777" width="12.88671875" style="1" customWidth="1"/>
    <col min="1778" max="1778" width="11.109375" style="1" customWidth="1"/>
    <col min="1779" max="1779" width="14" style="1" customWidth="1"/>
    <col min="1780" max="1780" width="33" style="1" customWidth="1"/>
    <col min="1781" max="1781" width="6.6640625" style="1" customWidth="1"/>
    <col min="1782" max="1782" width="19" style="1" customWidth="1"/>
    <col min="1783" max="1783" width="19.109375" style="1" customWidth="1"/>
    <col min="1784" max="1784" width="21.33203125" style="1" customWidth="1"/>
    <col min="1785" max="1785" width="32.5546875" style="1" customWidth="1"/>
    <col min="1786" max="1786" width="16.88671875" style="1" customWidth="1"/>
    <col min="1787" max="1787" width="16.33203125" style="1" customWidth="1"/>
    <col min="1788" max="2018" width="10.33203125" style="1"/>
    <col min="2019" max="2019" width="4.44140625" style="1" customWidth="1"/>
    <col min="2020" max="2020" width="21.6640625" style="1" customWidth="1"/>
    <col min="2021" max="2021" width="15" style="1" customWidth="1"/>
    <col min="2022" max="2022" width="15.44140625" style="1" customWidth="1"/>
    <col min="2023" max="2023" width="11.5546875" style="1" customWidth="1"/>
    <col min="2024" max="2024" width="7.44140625" style="1" customWidth="1"/>
    <col min="2025" max="2025" width="14.109375" style="1" customWidth="1"/>
    <col min="2026" max="2026" width="10.6640625" style="1" customWidth="1"/>
    <col min="2027" max="2027" width="13.44140625" style="1" customWidth="1"/>
    <col min="2028" max="2028" width="11.44140625" style="1" customWidth="1"/>
    <col min="2029" max="2029" width="15" style="1" customWidth="1"/>
    <col min="2030" max="2030" width="14.5546875" style="1" customWidth="1"/>
    <col min="2031" max="2031" width="10.33203125" style="1"/>
    <col min="2032" max="2032" width="7.44140625" style="1" customWidth="1"/>
    <col min="2033" max="2033" width="12.88671875" style="1" customWidth="1"/>
    <col min="2034" max="2034" width="11.109375" style="1" customWidth="1"/>
    <col min="2035" max="2035" width="14" style="1" customWidth="1"/>
    <col min="2036" max="2036" width="33" style="1" customWidth="1"/>
    <col min="2037" max="2037" width="6.6640625" style="1" customWidth="1"/>
    <col min="2038" max="2038" width="19" style="1" customWidth="1"/>
    <col min="2039" max="2039" width="19.109375" style="1" customWidth="1"/>
    <col min="2040" max="2040" width="21.33203125" style="1" customWidth="1"/>
    <col min="2041" max="2041" width="32.5546875" style="1" customWidth="1"/>
    <col min="2042" max="2042" width="16.88671875" style="1" customWidth="1"/>
    <col min="2043" max="2043" width="16.33203125" style="1" customWidth="1"/>
    <col min="2044" max="2274" width="10.33203125" style="1"/>
    <col min="2275" max="2275" width="4.44140625" style="1" customWidth="1"/>
    <col min="2276" max="2276" width="21.6640625" style="1" customWidth="1"/>
    <col min="2277" max="2277" width="15" style="1" customWidth="1"/>
    <col min="2278" max="2278" width="15.44140625" style="1" customWidth="1"/>
    <col min="2279" max="2279" width="11.5546875" style="1" customWidth="1"/>
    <col min="2280" max="2280" width="7.44140625" style="1" customWidth="1"/>
    <col min="2281" max="2281" width="14.109375" style="1" customWidth="1"/>
    <col min="2282" max="2282" width="10.6640625" style="1" customWidth="1"/>
    <col min="2283" max="2283" width="13.44140625" style="1" customWidth="1"/>
    <col min="2284" max="2284" width="11.44140625" style="1" customWidth="1"/>
    <col min="2285" max="2285" width="15" style="1" customWidth="1"/>
    <col min="2286" max="2286" width="14.5546875" style="1" customWidth="1"/>
    <col min="2287" max="2287" width="10.33203125" style="1"/>
    <col min="2288" max="2288" width="7.44140625" style="1" customWidth="1"/>
    <col min="2289" max="2289" width="12.88671875" style="1" customWidth="1"/>
    <col min="2290" max="2290" width="11.109375" style="1" customWidth="1"/>
    <col min="2291" max="2291" width="14" style="1" customWidth="1"/>
    <col min="2292" max="2292" width="33" style="1" customWidth="1"/>
    <col min="2293" max="2293" width="6.6640625" style="1" customWidth="1"/>
    <col min="2294" max="2294" width="19" style="1" customWidth="1"/>
    <col min="2295" max="2295" width="19.109375" style="1" customWidth="1"/>
    <col min="2296" max="2296" width="21.33203125" style="1" customWidth="1"/>
    <col min="2297" max="2297" width="32.5546875" style="1" customWidth="1"/>
    <col min="2298" max="2298" width="16.88671875" style="1" customWidth="1"/>
    <col min="2299" max="2299" width="16.33203125" style="1" customWidth="1"/>
    <col min="2300" max="2530" width="10.33203125" style="1"/>
    <col min="2531" max="2531" width="4.44140625" style="1" customWidth="1"/>
    <col min="2532" max="2532" width="21.6640625" style="1" customWidth="1"/>
    <col min="2533" max="2533" width="15" style="1" customWidth="1"/>
    <col min="2534" max="2534" width="15.44140625" style="1" customWidth="1"/>
    <col min="2535" max="2535" width="11.5546875" style="1" customWidth="1"/>
    <col min="2536" max="2536" width="7.44140625" style="1" customWidth="1"/>
    <col min="2537" max="2537" width="14.109375" style="1" customWidth="1"/>
    <col min="2538" max="2538" width="10.6640625" style="1" customWidth="1"/>
    <col min="2539" max="2539" width="13.44140625" style="1" customWidth="1"/>
    <col min="2540" max="2540" width="11.44140625" style="1" customWidth="1"/>
    <col min="2541" max="2541" width="15" style="1" customWidth="1"/>
    <col min="2542" max="2542" width="14.5546875" style="1" customWidth="1"/>
    <col min="2543" max="2543" width="10.33203125" style="1"/>
    <col min="2544" max="2544" width="7.44140625" style="1" customWidth="1"/>
    <col min="2545" max="2545" width="12.88671875" style="1" customWidth="1"/>
    <col min="2546" max="2546" width="11.109375" style="1" customWidth="1"/>
    <col min="2547" max="2547" width="14" style="1" customWidth="1"/>
    <col min="2548" max="2548" width="33" style="1" customWidth="1"/>
    <col min="2549" max="2549" width="6.6640625" style="1" customWidth="1"/>
    <col min="2550" max="2550" width="19" style="1" customWidth="1"/>
    <col min="2551" max="2551" width="19.109375" style="1" customWidth="1"/>
    <col min="2552" max="2552" width="21.33203125" style="1" customWidth="1"/>
    <col min="2553" max="2553" width="32.5546875" style="1" customWidth="1"/>
    <col min="2554" max="2554" width="16.88671875" style="1" customWidth="1"/>
    <col min="2555" max="2555" width="16.33203125" style="1" customWidth="1"/>
    <col min="2556" max="2786" width="10.33203125" style="1"/>
    <col min="2787" max="2787" width="4.44140625" style="1" customWidth="1"/>
    <col min="2788" max="2788" width="21.6640625" style="1" customWidth="1"/>
    <col min="2789" max="2789" width="15" style="1" customWidth="1"/>
    <col min="2790" max="2790" width="15.44140625" style="1" customWidth="1"/>
    <col min="2791" max="2791" width="11.5546875" style="1" customWidth="1"/>
    <col min="2792" max="2792" width="7.44140625" style="1" customWidth="1"/>
    <col min="2793" max="2793" width="14.109375" style="1" customWidth="1"/>
    <col min="2794" max="2794" width="10.6640625" style="1" customWidth="1"/>
    <col min="2795" max="2795" width="13.44140625" style="1" customWidth="1"/>
    <col min="2796" max="2796" width="11.44140625" style="1" customWidth="1"/>
    <col min="2797" max="2797" width="15" style="1" customWidth="1"/>
    <col min="2798" max="2798" width="14.5546875" style="1" customWidth="1"/>
    <col min="2799" max="2799" width="10.33203125" style="1"/>
    <col min="2800" max="2800" width="7.44140625" style="1" customWidth="1"/>
    <col min="2801" max="2801" width="12.88671875" style="1" customWidth="1"/>
    <col min="2802" max="2802" width="11.109375" style="1" customWidth="1"/>
    <col min="2803" max="2803" width="14" style="1" customWidth="1"/>
    <col min="2804" max="2804" width="33" style="1" customWidth="1"/>
    <col min="2805" max="2805" width="6.6640625" style="1" customWidth="1"/>
    <col min="2806" max="2806" width="19" style="1" customWidth="1"/>
    <col min="2807" max="2807" width="19.109375" style="1" customWidth="1"/>
    <col min="2808" max="2808" width="21.33203125" style="1" customWidth="1"/>
    <col min="2809" max="2809" width="32.5546875" style="1" customWidth="1"/>
    <col min="2810" max="2810" width="16.88671875" style="1" customWidth="1"/>
    <col min="2811" max="2811" width="16.33203125" style="1" customWidth="1"/>
    <col min="2812" max="3042" width="10.33203125" style="1"/>
    <col min="3043" max="3043" width="4.44140625" style="1" customWidth="1"/>
    <col min="3044" max="3044" width="21.6640625" style="1" customWidth="1"/>
    <col min="3045" max="3045" width="15" style="1" customWidth="1"/>
    <col min="3046" max="3046" width="15.44140625" style="1" customWidth="1"/>
    <col min="3047" max="3047" width="11.5546875" style="1" customWidth="1"/>
    <col min="3048" max="3048" width="7.44140625" style="1" customWidth="1"/>
    <col min="3049" max="3049" width="14.109375" style="1" customWidth="1"/>
    <col min="3050" max="3050" width="10.6640625" style="1" customWidth="1"/>
    <col min="3051" max="3051" width="13.44140625" style="1" customWidth="1"/>
    <col min="3052" max="3052" width="11.44140625" style="1" customWidth="1"/>
    <col min="3053" max="3053" width="15" style="1" customWidth="1"/>
    <col min="3054" max="3054" width="14.5546875" style="1" customWidth="1"/>
    <col min="3055" max="3055" width="10.33203125" style="1"/>
    <col min="3056" max="3056" width="7.44140625" style="1" customWidth="1"/>
    <col min="3057" max="3057" width="12.88671875" style="1" customWidth="1"/>
    <col min="3058" max="3058" width="11.109375" style="1" customWidth="1"/>
    <col min="3059" max="3059" width="14" style="1" customWidth="1"/>
    <col min="3060" max="3060" width="33" style="1" customWidth="1"/>
    <col min="3061" max="3061" width="6.6640625" style="1" customWidth="1"/>
    <col min="3062" max="3062" width="19" style="1" customWidth="1"/>
    <col min="3063" max="3063" width="19.109375" style="1" customWidth="1"/>
    <col min="3064" max="3064" width="21.33203125" style="1" customWidth="1"/>
    <col min="3065" max="3065" width="32.5546875" style="1" customWidth="1"/>
    <col min="3066" max="3066" width="16.88671875" style="1" customWidth="1"/>
    <col min="3067" max="3067" width="16.33203125" style="1" customWidth="1"/>
    <col min="3068" max="3298" width="10.33203125" style="1"/>
    <col min="3299" max="3299" width="4.44140625" style="1" customWidth="1"/>
    <col min="3300" max="3300" width="21.6640625" style="1" customWidth="1"/>
    <col min="3301" max="3301" width="15" style="1" customWidth="1"/>
    <col min="3302" max="3302" width="15.44140625" style="1" customWidth="1"/>
    <col min="3303" max="3303" width="11.5546875" style="1" customWidth="1"/>
    <col min="3304" max="3304" width="7.44140625" style="1" customWidth="1"/>
    <col min="3305" max="3305" width="14.109375" style="1" customWidth="1"/>
    <col min="3306" max="3306" width="10.6640625" style="1" customWidth="1"/>
    <col min="3307" max="3307" width="13.44140625" style="1" customWidth="1"/>
    <col min="3308" max="3308" width="11.44140625" style="1" customWidth="1"/>
    <col min="3309" max="3309" width="15" style="1" customWidth="1"/>
    <col min="3310" max="3310" width="14.5546875" style="1" customWidth="1"/>
    <col min="3311" max="3311" width="10.33203125" style="1"/>
    <col min="3312" max="3312" width="7.44140625" style="1" customWidth="1"/>
    <col min="3313" max="3313" width="12.88671875" style="1" customWidth="1"/>
    <col min="3314" max="3314" width="11.109375" style="1" customWidth="1"/>
    <col min="3315" max="3315" width="14" style="1" customWidth="1"/>
    <col min="3316" max="3316" width="33" style="1" customWidth="1"/>
    <col min="3317" max="3317" width="6.6640625" style="1" customWidth="1"/>
    <col min="3318" max="3318" width="19" style="1" customWidth="1"/>
    <col min="3319" max="3319" width="19.109375" style="1" customWidth="1"/>
    <col min="3320" max="3320" width="21.33203125" style="1" customWidth="1"/>
    <col min="3321" max="3321" width="32.5546875" style="1" customWidth="1"/>
    <col min="3322" max="3322" width="16.88671875" style="1" customWidth="1"/>
    <col min="3323" max="3323" width="16.33203125" style="1" customWidth="1"/>
    <col min="3324" max="3554" width="10.33203125" style="1"/>
    <col min="3555" max="3555" width="4.44140625" style="1" customWidth="1"/>
    <col min="3556" max="3556" width="21.6640625" style="1" customWidth="1"/>
    <col min="3557" max="3557" width="15" style="1" customWidth="1"/>
    <col min="3558" max="3558" width="15.44140625" style="1" customWidth="1"/>
    <col min="3559" max="3559" width="11.5546875" style="1" customWidth="1"/>
    <col min="3560" max="3560" width="7.44140625" style="1" customWidth="1"/>
    <col min="3561" max="3561" width="14.109375" style="1" customWidth="1"/>
    <col min="3562" max="3562" width="10.6640625" style="1" customWidth="1"/>
    <col min="3563" max="3563" width="13.44140625" style="1" customWidth="1"/>
    <col min="3564" max="3564" width="11.44140625" style="1" customWidth="1"/>
    <col min="3565" max="3565" width="15" style="1" customWidth="1"/>
    <col min="3566" max="3566" width="14.5546875" style="1" customWidth="1"/>
    <col min="3567" max="3567" width="10.33203125" style="1"/>
    <col min="3568" max="3568" width="7.44140625" style="1" customWidth="1"/>
    <col min="3569" max="3569" width="12.88671875" style="1" customWidth="1"/>
    <col min="3570" max="3570" width="11.109375" style="1" customWidth="1"/>
    <col min="3571" max="3571" width="14" style="1" customWidth="1"/>
    <col min="3572" max="3572" width="33" style="1" customWidth="1"/>
    <col min="3573" max="3573" width="6.6640625" style="1" customWidth="1"/>
    <col min="3574" max="3574" width="19" style="1" customWidth="1"/>
    <col min="3575" max="3575" width="19.109375" style="1" customWidth="1"/>
    <col min="3576" max="3576" width="21.33203125" style="1" customWidth="1"/>
    <col min="3577" max="3577" width="32.5546875" style="1" customWidth="1"/>
    <col min="3578" max="3578" width="16.88671875" style="1" customWidth="1"/>
    <col min="3579" max="3579" width="16.33203125" style="1" customWidth="1"/>
    <col min="3580" max="3810" width="10.33203125" style="1"/>
    <col min="3811" max="3811" width="4.44140625" style="1" customWidth="1"/>
    <col min="3812" max="3812" width="21.6640625" style="1" customWidth="1"/>
    <col min="3813" max="3813" width="15" style="1" customWidth="1"/>
    <col min="3814" max="3814" width="15.44140625" style="1" customWidth="1"/>
    <col min="3815" max="3815" width="11.5546875" style="1" customWidth="1"/>
    <col min="3816" max="3816" width="7.44140625" style="1" customWidth="1"/>
    <col min="3817" max="3817" width="14.109375" style="1" customWidth="1"/>
    <col min="3818" max="3818" width="10.6640625" style="1" customWidth="1"/>
    <col min="3819" max="3819" width="13.44140625" style="1" customWidth="1"/>
    <col min="3820" max="3820" width="11.44140625" style="1" customWidth="1"/>
    <col min="3821" max="3821" width="15" style="1" customWidth="1"/>
    <col min="3822" max="3822" width="14.5546875" style="1" customWidth="1"/>
    <col min="3823" max="3823" width="10.33203125" style="1"/>
    <col min="3824" max="3824" width="7.44140625" style="1" customWidth="1"/>
    <col min="3825" max="3825" width="12.88671875" style="1" customWidth="1"/>
    <col min="3826" max="3826" width="11.109375" style="1" customWidth="1"/>
    <col min="3827" max="3827" width="14" style="1" customWidth="1"/>
    <col min="3828" max="3828" width="33" style="1" customWidth="1"/>
    <col min="3829" max="3829" width="6.6640625" style="1" customWidth="1"/>
    <col min="3830" max="3830" width="19" style="1" customWidth="1"/>
    <col min="3831" max="3831" width="19.109375" style="1" customWidth="1"/>
    <col min="3832" max="3832" width="21.33203125" style="1" customWidth="1"/>
    <col min="3833" max="3833" width="32.5546875" style="1" customWidth="1"/>
    <col min="3834" max="3834" width="16.88671875" style="1" customWidth="1"/>
    <col min="3835" max="3835" width="16.33203125" style="1" customWidth="1"/>
    <col min="3836" max="4066" width="10.33203125" style="1"/>
    <col min="4067" max="4067" width="4.44140625" style="1" customWidth="1"/>
    <col min="4068" max="4068" width="21.6640625" style="1" customWidth="1"/>
    <col min="4069" max="4069" width="15" style="1" customWidth="1"/>
    <col min="4070" max="4070" width="15.44140625" style="1" customWidth="1"/>
    <col min="4071" max="4071" width="11.5546875" style="1" customWidth="1"/>
    <col min="4072" max="4072" width="7.44140625" style="1" customWidth="1"/>
    <col min="4073" max="4073" width="14.109375" style="1" customWidth="1"/>
    <col min="4074" max="4074" width="10.6640625" style="1" customWidth="1"/>
    <col min="4075" max="4075" width="13.44140625" style="1" customWidth="1"/>
    <col min="4076" max="4076" width="11.44140625" style="1" customWidth="1"/>
    <col min="4077" max="4077" width="15" style="1" customWidth="1"/>
    <col min="4078" max="4078" width="14.5546875" style="1" customWidth="1"/>
    <col min="4079" max="4079" width="10.33203125" style="1"/>
    <col min="4080" max="4080" width="7.44140625" style="1" customWidth="1"/>
    <col min="4081" max="4081" width="12.88671875" style="1" customWidth="1"/>
    <col min="4082" max="4082" width="11.109375" style="1" customWidth="1"/>
    <col min="4083" max="4083" width="14" style="1" customWidth="1"/>
    <col min="4084" max="4084" width="33" style="1" customWidth="1"/>
    <col min="4085" max="4085" width="6.6640625" style="1" customWidth="1"/>
    <col min="4086" max="4086" width="19" style="1" customWidth="1"/>
    <col min="4087" max="4087" width="19.109375" style="1" customWidth="1"/>
    <col min="4088" max="4088" width="21.33203125" style="1" customWidth="1"/>
    <col min="4089" max="4089" width="32.5546875" style="1" customWidth="1"/>
    <col min="4090" max="4090" width="16.88671875" style="1" customWidth="1"/>
    <col min="4091" max="4091" width="16.33203125" style="1" customWidth="1"/>
    <col min="4092" max="4322" width="10.33203125" style="1"/>
    <col min="4323" max="4323" width="4.44140625" style="1" customWidth="1"/>
    <col min="4324" max="4324" width="21.6640625" style="1" customWidth="1"/>
    <col min="4325" max="4325" width="15" style="1" customWidth="1"/>
    <col min="4326" max="4326" width="15.44140625" style="1" customWidth="1"/>
    <col min="4327" max="4327" width="11.5546875" style="1" customWidth="1"/>
    <col min="4328" max="4328" width="7.44140625" style="1" customWidth="1"/>
    <col min="4329" max="4329" width="14.109375" style="1" customWidth="1"/>
    <col min="4330" max="4330" width="10.6640625" style="1" customWidth="1"/>
    <col min="4331" max="4331" width="13.44140625" style="1" customWidth="1"/>
    <col min="4332" max="4332" width="11.44140625" style="1" customWidth="1"/>
    <col min="4333" max="4333" width="15" style="1" customWidth="1"/>
    <col min="4334" max="4334" width="14.5546875" style="1" customWidth="1"/>
    <col min="4335" max="4335" width="10.33203125" style="1"/>
    <col min="4336" max="4336" width="7.44140625" style="1" customWidth="1"/>
    <col min="4337" max="4337" width="12.88671875" style="1" customWidth="1"/>
    <col min="4338" max="4338" width="11.109375" style="1" customWidth="1"/>
    <col min="4339" max="4339" width="14" style="1" customWidth="1"/>
    <col min="4340" max="4340" width="33" style="1" customWidth="1"/>
    <col min="4341" max="4341" width="6.6640625" style="1" customWidth="1"/>
    <col min="4342" max="4342" width="19" style="1" customWidth="1"/>
    <col min="4343" max="4343" width="19.109375" style="1" customWidth="1"/>
    <col min="4344" max="4344" width="21.33203125" style="1" customWidth="1"/>
    <col min="4345" max="4345" width="32.5546875" style="1" customWidth="1"/>
    <col min="4346" max="4346" width="16.88671875" style="1" customWidth="1"/>
    <col min="4347" max="4347" width="16.33203125" style="1" customWidth="1"/>
    <col min="4348" max="4578" width="10.33203125" style="1"/>
    <col min="4579" max="4579" width="4.44140625" style="1" customWidth="1"/>
    <col min="4580" max="4580" width="21.6640625" style="1" customWidth="1"/>
    <col min="4581" max="4581" width="15" style="1" customWidth="1"/>
    <col min="4582" max="4582" width="15.44140625" style="1" customWidth="1"/>
    <col min="4583" max="4583" width="11.5546875" style="1" customWidth="1"/>
    <col min="4584" max="4584" width="7.44140625" style="1" customWidth="1"/>
    <col min="4585" max="4585" width="14.109375" style="1" customWidth="1"/>
    <col min="4586" max="4586" width="10.6640625" style="1" customWidth="1"/>
    <col min="4587" max="4587" width="13.44140625" style="1" customWidth="1"/>
    <col min="4588" max="4588" width="11.44140625" style="1" customWidth="1"/>
    <col min="4589" max="4589" width="15" style="1" customWidth="1"/>
    <col min="4590" max="4590" width="14.5546875" style="1" customWidth="1"/>
    <col min="4591" max="4591" width="10.33203125" style="1"/>
    <col min="4592" max="4592" width="7.44140625" style="1" customWidth="1"/>
    <col min="4593" max="4593" width="12.88671875" style="1" customWidth="1"/>
    <col min="4594" max="4594" width="11.109375" style="1" customWidth="1"/>
    <col min="4595" max="4595" width="14" style="1" customWidth="1"/>
    <col min="4596" max="4596" width="33" style="1" customWidth="1"/>
    <col min="4597" max="4597" width="6.6640625" style="1" customWidth="1"/>
    <col min="4598" max="4598" width="19" style="1" customWidth="1"/>
    <col min="4599" max="4599" width="19.109375" style="1" customWidth="1"/>
    <col min="4600" max="4600" width="21.33203125" style="1" customWidth="1"/>
    <col min="4601" max="4601" width="32.5546875" style="1" customWidth="1"/>
    <col min="4602" max="4602" width="16.88671875" style="1" customWidth="1"/>
    <col min="4603" max="4603" width="16.33203125" style="1" customWidth="1"/>
    <col min="4604" max="4834" width="10.33203125" style="1"/>
    <col min="4835" max="4835" width="4.44140625" style="1" customWidth="1"/>
    <col min="4836" max="4836" width="21.6640625" style="1" customWidth="1"/>
    <col min="4837" max="4837" width="15" style="1" customWidth="1"/>
    <col min="4838" max="4838" width="15.44140625" style="1" customWidth="1"/>
    <col min="4839" max="4839" width="11.5546875" style="1" customWidth="1"/>
    <col min="4840" max="4840" width="7.44140625" style="1" customWidth="1"/>
    <col min="4841" max="4841" width="14.109375" style="1" customWidth="1"/>
    <col min="4842" max="4842" width="10.6640625" style="1" customWidth="1"/>
    <col min="4843" max="4843" width="13.44140625" style="1" customWidth="1"/>
    <col min="4844" max="4844" width="11.44140625" style="1" customWidth="1"/>
    <col min="4845" max="4845" width="15" style="1" customWidth="1"/>
    <col min="4846" max="4846" width="14.5546875" style="1" customWidth="1"/>
    <col min="4847" max="4847" width="10.33203125" style="1"/>
    <col min="4848" max="4848" width="7.44140625" style="1" customWidth="1"/>
    <col min="4849" max="4849" width="12.88671875" style="1" customWidth="1"/>
    <col min="4850" max="4850" width="11.109375" style="1" customWidth="1"/>
    <col min="4851" max="4851" width="14" style="1" customWidth="1"/>
    <col min="4852" max="4852" width="33" style="1" customWidth="1"/>
    <col min="4853" max="4853" width="6.6640625" style="1" customWidth="1"/>
    <col min="4854" max="4854" width="19" style="1" customWidth="1"/>
    <col min="4855" max="4855" width="19.109375" style="1" customWidth="1"/>
    <col min="4856" max="4856" width="21.33203125" style="1" customWidth="1"/>
    <col min="4857" max="4857" width="32.5546875" style="1" customWidth="1"/>
    <col min="4858" max="4858" width="16.88671875" style="1" customWidth="1"/>
    <col min="4859" max="4859" width="16.33203125" style="1" customWidth="1"/>
    <col min="4860" max="5090" width="10.33203125" style="1"/>
    <col min="5091" max="5091" width="4.44140625" style="1" customWidth="1"/>
    <col min="5092" max="5092" width="21.6640625" style="1" customWidth="1"/>
    <col min="5093" max="5093" width="15" style="1" customWidth="1"/>
    <col min="5094" max="5094" width="15.44140625" style="1" customWidth="1"/>
    <col min="5095" max="5095" width="11.5546875" style="1" customWidth="1"/>
    <col min="5096" max="5096" width="7.44140625" style="1" customWidth="1"/>
    <col min="5097" max="5097" width="14.109375" style="1" customWidth="1"/>
    <col min="5098" max="5098" width="10.6640625" style="1" customWidth="1"/>
    <col min="5099" max="5099" width="13.44140625" style="1" customWidth="1"/>
    <col min="5100" max="5100" width="11.44140625" style="1" customWidth="1"/>
    <col min="5101" max="5101" width="15" style="1" customWidth="1"/>
    <col min="5102" max="5102" width="14.5546875" style="1" customWidth="1"/>
    <col min="5103" max="5103" width="10.33203125" style="1"/>
    <col min="5104" max="5104" width="7.44140625" style="1" customWidth="1"/>
    <col min="5105" max="5105" width="12.88671875" style="1" customWidth="1"/>
    <col min="5106" max="5106" width="11.109375" style="1" customWidth="1"/>
    <col min="5107" max="5107" width="14" style="1" customWidth="1"/>
    <col min="5108" max="5108" width="33" style="1" customWidth="1"/>
    <col min="5109" max="5109" width="6.6640625" style="1" customWidth="1"/>
    <col min="5110" max="5110" width="19" style="1" customWidth="1"/>
    <col min="5111" max="5111" width="19.109375" style="1" customWidth="1"/>
    <col min="5112" max="5112" width="21.33203125" style="1" customWidth="1"/>
    <col min="5113" max="5113" width="32.5546875" style="1" customWidth="1"/>
    <col min="5114" max="5114" width="16.88671875" style="1" customWidth="1"/>
    <col min="5115" max="5115" width="16.33203125" style="1" customWidth="1"/>
    <col min="5116" max="5346" width="10.33203125" style="1"/>
    <col min="5347" max="5347" width="4.44140625" style="1" customWidth="1"/>
    <col min="5348" max="5348" width="21.6640625" style="1" customWidth="1"/>
    <col min="5349" max="5349" width="15" style="1" customWidth="1"/>
    <col min="5350" max="5350" width="15.44140625" style="1" customWidth="1"/>
    <col min="5351" max="5351" width="11.5546875" style="1" customWidth="1"/>
    <col min="5352" max="5352" width="7.44140625" style="1" customWidth="1"/>
    <col min="5353" max="5353" width="14.109375" style="1" customWidth="1"/>
    <col min="5354" max="5354" width="10.6640625" style="1" customWidth="1"/>
    <col min="5355" max="5355" width="13.44140625" style="1" customWidth="1"/>
    <col min="5356" max="5356" width="11.44140625" style="1" customWidth="1"/>
    <col min="5357" max="5357" width="15" style="1" customWidth="1"/>
    <col min="5358" max="5358" width="14.5546875" style="1" customWidth="1"/>
    <col min="5359" max="5359" width="10.33203125" style="1"/>
    <col min="5360" max="5360" width="7.44140625" style="1" customWidth="1"/>
    <col min="5361" max="5361" width="12.88671875" style="1" customWidth="1"/>
    <col min="5362" max="5362" width="11.109375" style="1" customWidth="1"/>
    <col min="5363" max="5363" width="14" style="1" customWidth="1"/>
    <col min="5364" max="5364" width="33" style="1" customWidth="1"/>
    <col min="5365" max="5365" width="6.6640625" style="1" customWidth="1"/>
    <col min="5366" max="5366" width="19" style="1" customWidth="1"/>
    <col min="5367" max="5367" width="19.109375" style="1" customWidth="1"/>
    <col min="5368" max="5368" width="21.33203125" style="1" customWidth="1"/>
    <col min="5369" max="5369" width="32.5546875" style="1" customWidth="1"/>
    <col min="5370" max="5370" width="16.88671875" style="1" customWidth="1"/>
    <col min="5371" max="5371" width="16.33203125" style="1" customWidth="1"/>
    <col min="5372" max="5602" width="10.33203125" style="1"/>
    <col min="5603" max="5603" width="4.44140625" style="1" customWidth="1"/>
    <col min="5604" max="5604" width="21.6640625" style="1" customWidth="1"/>
    <col min="5605" max="5605" width="15" style="1" customWidth="1"/>
    <col min="5606" max="5606" width="15.44140625" style="1" customWidth="1"/>
    <col min="5607" max="5607" width="11.5546875" style="1" customWidth="1"/>
    <col min="5608" max="5608" width="7.44140625" style="1" customWidth="1"/>
    <col min="5609" max="5609" width="14.109375" style="1" customWidth="1"/>
    <col min="5610" max="5610" width="10.6640625" style="1" customWidth="1"/>
    <col min="5611" max="5611" width="13.44140625" style="1" customWidth="1"/>
    <col min="5612" max="5612" width="11.44140625" style="1" customWidth="1"/>
    <col min="5613" max="5613" width="15" style="1" customWidth="1"/>
    <col min="5614" max="5614" width="14.5546875" style="1" customWidth="1"/>
    <col min="5615" max="5615" width="10.33203125" style="1"/>
    <col min="5616" max="5616" width="7.44140625" style="1" customWidth="1"/>
    <col min="5617" max="5617" width="12.88671875" style="1" customWidth="1"/>
    <col min="5618" max="5618" width="11.109375" style="1" customWidth="1"/>
    <col min="5619" max="5619" width="14" style="1" customWidth="1"/>
    <col min="5620" max="5620" width="33" style="1" customWidth="1"/>
    <col min="5621" max="5621" width="6.6640625" style="1" customWidth="1"/>
    <col min="5622" max="5622" width="19" style="1" customWidth="1"/>
    <col min="5623" max="5623" width="19.109375" style="1" customWidth="1"/>
    <col min="5624" max="5624" width="21.33203125" style="1" customWidth="1"/>
    <col min="5625" max="5625" width="32.5546875" style="1" customWidth="1"/>
    <col min="5626" max="5626" width="16.88671875" style="1" customWidth="1"/>
    <col min="5627" max="5627" width="16.33203125" style="1" customWidth="1"/>
    <col min="5628" max="5858" width="10.33203125" style="1"/>
    <col min="5859" max="5859" width="4.44140625" style="1" customWidth="1"/>
    <col min="5860" max="5860" width="21.6640625" style="1" customWidth="1"/>
    <col min="5861" max="5861" width="15" style="1" customWidth="1"/>
    <col min="5862" max="5862" width="15.44140625" style="1" customWidth="1"/>
    <col min="5863" max="5863" width="11.5546875" style="1" customWidth="1"/>
    <col min="5864" max="5864" width="7.44140625" style="1" customWidth="1"/>
    <col min="5865" max="5865" width="14.109375" style="1" customWidth="1"/>
    <col min="5866" max="5866" width="10.6640625" style="1" customWidth="1"/>
    <col min="5867" max="5867" width="13.44140625" style="1" customWidth="1"/>
    <col min="5868" max="5868" width="11.44140625" style="1" customWidth="1"/>
    <col min="5869" max="5869" width="15" style="1" customWidth="1"/>
    <col min="5870" max="5870" width="14.5546875" style="1" customWidth="1"/>
    <col min="5871" max="5871" width="10.33203125" style="1"/>
    <col min="5872" max="5872" width="7.44140625" style="1" customWidth="1"/>
    <col min="5873" max="5873" width="12.88671875" style="1" customWidth="1"/>
    <col min="5874" max="5874" width="11.109375" style="1" customWidth="1"/>
    <col min="5875" max="5875" width="14" style="1" customWidth="1"/>
    <col min="5876" max="5876" width="33" style="1" customWidth="1"/>
    <col min="5877" max="5877" width="6.6640625" style="1" customWidth="1"/>
    <col min="5878" max="5878" width="19" style="1" customWidth="1"/>
    <col min="5879" max="5879" width="19.109375" style="1" customWidth="1"/>
    <col min="5880" max="5880" width="21.33203125" style="1" customWidth="1"/>
    <col min="5881" max="5881" width="32.5546875" style="1" customWidth="1"/>
    <col min="5882" max="5882" width="16.88671875" style="1" customWidth="1"/>
    <col min="5883" max="5883" width="16.33203125" style="1" customWidth="1"/>
    <col min="5884" max="6114" width="10.33203125" style="1"/>
    <col min="6115" max="6115" width="4.44140625" style="1" customWidth="1"/>
    <col min="6116" max="6116" width="21.6640625" style="1" customWidth="1"/>
    <col min="6117" max="6117" width="15" style="1" customWidth="1"/>
    <col min="6118" max="6118" width="15.44140625" style="1" customWidth="1"/>
    <col min="6119" max="6119" width="11.5546875" style="1" customWidth="1"/>
    <col min="6120" max="6120" width="7.44140625" style="1" customWidth="1"/>
    <col min="6121" max="6121" width="14.109375" style="1" customWidth="1"/>
    <col min="6122" max="6122" width="10.6640625" style="1" customWidth="1"/>
    <col min="6123" max="6123" width="13.44140625" style="1" customWidth="1"/>
    <col min="6124" max="6124" width="11.44140625" style="1" customWidth="1"/>
    <col min="6125" max="6125" width="15" style="1" customWidth="1"/>
    <col min="6126" max="6126" width="14.5546875" style="1" customWidth="1"/>
    <col min="6127" max="6127" width="10.33203125" style="1"/>
    <col min="6128" max="6128" width="7.44140625" style="1" customWidth="1"/>
    <col min="6129" max="6129" width="12.88671875" style="1" customWidth="1"/>
    <col min="6130" max="6130" width="11.109375" style="1" customWidth="1"/>
    <col min="6131" max="6131" width="14" style="1" customWidth="1"/>
    <col min="6132" max="6132" width="33" style="1" customWidth="1"/>
    <col min="6133" max="6133" width="6.6640625" style="1" customWidth="1"/>
    <col min="6134" max="6134" width="19" style="1" customWidth="1"/>
    <col min="6135" max="6135" width="19.109375" style="1" customWidth="1"/>
    <col min="6136" max="6136" width="21.33203125" style="1" customWidth="1"/>
    <col min="6137" max="6137" width="32.5546875" style="1" customWidth="1"/>
    <col min="6138" max="6138" width="16.88671875" style="1" customWidth="1"/>
    <col min="6139" max="6139" width="16.33203125" style="1" customWidth="1"/>
    <col min="6140" max="6370" width="10.33203125" style="1"/>
    <col min="6371" max="6371" width="4.44140625" style="1" customWidth="1"/>
    <col min="6372" max="6372" width="21.6640625" style="1" customWidth="1"/>
    <col min="6373" max="6373" width="15" style="1" customWidth="1"/>
    <col min="6374" max="6374" width="15.44140625" style="1" customWidth="1"/>
    <col min="6375" max="6375" width="11.5546875" style="1" customWidth="1"/>
    <col min="6376" max="6376" width="7.44140625" style="1" customWidth="1"/>
    <col min="6377" max="6377" width="14.109375" style="1" customWidth="1"/>
    <col min="6378" max="6378" width="10.6640625" style="1" customWidth="1"/>
    <col min="6379" max="6379" width="13.44140625" style="1" customWidth="1"/>
    <col min="6380" max="6380" width="11.44140625" style="1" customWidth="1"/>
    <col min="6381" max="6381" width="15" style="1" customWidth="1"/>
    <col min="6382" max="6382" width="14.5546875" style="1" customWidth="1"/>
    <col min="6383" max="6383" width="10.33203125" style="1"/>
    <col min="6384" max="6384" width="7.44140625" style="1" customWidth="1"/>
    <col min="6385" max="6385" width="12.88671875" style="1" customWidth="1"/>
    <col min="6386" max="6386" width="11.109375" style="1" customWidth="1"/>
    <col min="6387" max="6387" width="14" style="1" customWidth="1"/>
    <col min="6388" max="6388" width="33" style="1" customWidth="1"/>
    <col min="6389" max="6389" width="6.6640625" style="1" customWidth="1"/>
    <col min="6390" max="6390" width="19" style="1" customWidth="1"/>
    <col min="6391" max="6391" width="19.109375" style="1" customWidth="1"/>
    <col min="6392" max="6392" width="21.33203125" style="1" customWidth="1"/>
    <col min="6393" max="6393" width="32.5546875" style="1" customWidth="1"/>
    <col min="6394" max="6394" width="16.88671875" style="1" customWidth="1"/>
    <col min="6395" max="6395" width="16.33203125" style="1" customWidth="1"/>
    <col min="6396" max="6626" width="10.33203125" style="1"/>
    <col min="6627" max="6627" width="4.44140625" style="1" customWidth="1"/>
    <col min="6628" max="6628" width="21.6640625" style="1" customWidth="1"/>
    <col min="6629" max="6629" width="15" style="1" customWidth="1"/>
    <col min="6630" max="6630" width="15.44140625" style="1" customWidth="1"/>
    <col min="6631" max="6631" width="11.5546875" style="1" customWidth="1"/>
    <col min="6632" max="6632" width="7.44140625" style="1" customWidth="1"/>
    <col min="6633" max="6633" width="14.109375" style="1" customWidth="1"/>
    <col min="6634" max="6634" width="10.6640625" style="1" customWidth="1"/>
    <col min="6635" max="6635" width="13.44140625" style="1" customWidth="1"/>
    <col min="6636" max="6636" width="11.44140625" style="1" customWidth="1"/>
    <col min="6637" max="6637" width="15" style="1" customWidth="1"/>
    <col min="6638" max="6638" width="14.5546875" style="1" customWidth="1"/>
    <col min="6639" max="6639" width="10.33203125" style="1"/>
    <col min="6640" max="6640" width="7.44140625" style="1" customWidth="1"/>
    <col min="6641" max="6641" width="12.88671875" style="1" customWidth="1"/>
    <col min="6642" max="6642" width="11.109375" style="1" customWidth="1"/>
    <col min="6643" max="6643" width="14" style="1" customWidth="1"/>
    <col min="6644" max="6644" width="33" style="1" customWidth="1"/>
    <col min="6645" max="6645" width="6.6640625" style="1" customWidth="1"/>
    <col min="6646" max="6646" width="19" style="1" customWidth="1"/>
    <col min="6647" max="6647" width="19.109375" style="1" customWidth="1"/>
    <col min="6648" max="6648" width="21.33203125" style="1" customWidth="1"/>
    <col min="6649" max="6649" width="32.5546875" style="1" customWidth="1"/>
    <col min="6650" max="6650" width="16.88671875" style="1" customWidth="1"/>
    <col min="6651" max="6651" width="16.33203125" style="1" customWidth="1"/>
    <col min="6652" max="6882" width="10.33203125" style="1"/>
    <col min="6883" max="6883" width="4.44140625" style="1" customWidth="1"/>
    <col min="6884" max="6884" width="21.6640625" style="1" customWidth="1"/>
    <col min="6885" max="6885" width="15" style="1" customWidth="1"/>
    <col min="6886" max="6886" width="15.44140625" style="1" customWidth="1"/>
    <col min="6887" max="6887" width="11.5546875" style="1" customWidth="1"/>
    <col min="6888" max="6888" width="7.44140625" style="1" customWidth="1"/>
    <col min="6889" max="6889" width="14.109375" style="1" customWidth="1"/>
    <col min="6890" max="6890" width="10.6640625" style="1" customWidth="1"/>
    <col min="6891" max="6891" width="13.44140625" style="1" customWidth="1"/>
    <col min="6892" max="6892" width="11.44140625" style="1" customWidth="1"/>
    <col min="6893" max="6893" width="15" style="1" customWidth="1"/>
    <col min="6894" max="6894" width="14.5546875" style="1" customWidth="1"/>
    <col min="6895" max="6895" width="10.33203125" style="1"/>
    <col min="6896" max="6896" width="7.44140625" style="1" customWidth="1"/>
    <col min="6897" max="6897" width="12.88671875" style="1" customWidth="1"/>
    <col min="6898" max="6898" width="11.109375" style="1" customWidth="1"/>
    <col min="6899" max="6899" width="14" style="1" customWidth="1"/>
    <col min="6900" max="6900" width="33" style="1" customWidth="1"/>
    <col min="6901" max="6901" width="6.6640625" style="1" customWidth="1"/>
    <col min="6902" max="6902" width="19" style="1" customWidth="1"/>
    <col min="6903" max="6903" width="19.109375" style="1" customWidth="1"/>
    <col min="6904" max="6904" width="21.33203125" style="1" customWidth="1"/>
    <col min="6905" max="6905" width="32.5546875" style="1" customWidth="1"/>
    <col min="6906" max="6906" width="16.88671875" style="1" customWidth="1"/>
    <col min="6907" max="6907" width="16.33203125" style="1" customWidth="1"/>
    <col min="6908" max="7138" width="10.33203125" style="1"/>
    <col min="7139" max="7139" width="4.44140625" style="1" customWidth="1"/>
    <col min="7140" max="7140" width="21.6640625" style="1" customWidth="1"/>
    <col min="7141" max="7141" width="15" style="1" customWidth="1"/>
    <col min="7142" max="7142" width="15.44140625" style="1" customWidth="1"/>
    <col min="7143" max="7143" width="11.5546875" style="1" customWidth="1"/>
    <col min="7144" max="7144" width="7.44140625" style="1" customWidth="1"/>
    <col min="7145" max="7145" width="14.109375" style="1" customWidth="1"/>
    <col min="7146" max="7146" width="10.6640625" style="1" customWidth="1"/>
    <col min="7147" max="7147" width="13.44140625" style="1" customWidth="1"/>
    <col min="7148" max="7148" width="11.44140625" style="1" customWidth="1"/>
    <col min="7149" max="7149" width="15" style="1" customWidth="1"/>
    <col min="7150" max="7150" width="14.5546875" style="1" customWidth="1"/>
    <col min="7151" max="7151" width="10.33203125" style="1"/>
    <col min="7152" max="7152" width="7.44140625" style="1" customWidth="1"/>
    <col min="7153" max="7153" width="12.88671875" style="1" customWidth="1"/>
    <col min="7154" max="7154" width="11.109375" style="1" customWidth="1"/>
    <col min="7155" max="7155" width="14" style="1" customWidth="1"/>
    <col min="7156" max="7156" width="33" style="1" customWidth="1"/>
    <col min="7157" max="7157" width="6.6640625" style="1" customWidth="1"/>
    <col min="7158" max="7158" width="19" style="1" customWidth="1"/>
    <col min="7159" max="7159" width="19.109375" style="1" customWidth="1"/>
    <col min="7160" max="7160" width="21.33203125" style="1" customWidth="1"/>
    <col min="7161" max="7161" width="32.5546875" style="1" customWidth="1"/>
    <col min="7162" max="7162" width="16.88671875" style="1" customWidth="1"/>
    <col min="7163" max="7163" width="16.33203125" style="1" customWidth="1"/>
    <col min="7164" max="7394" width="10.33203125" style="1"/>
    <col min="7395" max="7395" width="4.44140625" style="1" customWidth="1"/>
    <col min="7396" max="7396" width="21.6640625" style="1" customWidth="1"/>
    <col min="7397" max="7397" width="15" style="1" customWidth="1"/>
    <col min="7398" max="7398" width="15.44140625" style="1" customWidth="1"/>
    <col min="7399" max="7399" width="11.5546875" style="1" customWidth="1"/>
    <col min="7400" max="7400" width="7.44140625" style="1" customWidth="1"/>
    <col min="7401" max="7401" width="14.109375" style="1" customWidth="1"/>
    <col min="7402" max="7402" width="10.6640625" style="1" customWidth="1"/>
    <col min="7403" max="7403" width="13.44140625" style="1" customWidth="1"/>
    <col min="7404" max="7404" width="11.44140625" style="1" customWidth="1"/>
    <col min="7405" max="7405" width="15" style="1" customWidth="1"/>
    <col min="7406" max="7406" width="14.5546875" style="1" customWidth="1"/>
    <col min="7407" max="7407" width="10.33203125" style="1"/>
    <col min="7408" max="7408" width="7.44140625" style="1" customWidth="1"/>
    <col min="7409" max="7409" width="12.88671875" style="1" customWidth="1"/>
    <col min="7410" max="7410" width="11.109375" style="1" customWidth="1"/>
    <col min="7411" max="7411" width="14" style="1" customWidth="1"/>
    <col min="7412" max="7412" width="33" style="1" customWidth="1"/>
    <col min="7413" max="7413" width="6.6640625" style="1" customWidth="1"/>
    <col min="7414" max="7414" width="19" style="1" customWidth="1"/>
    <col min="7415" max="7415" width="19.109375" style="1" customWidth="1"/>
    <col min="7416" max="7416" width="21.33203125" style="1" customWidth="1"/>
    <col min="7417" max="7417" width="32.5546875" style="1" customWidth="1"/>
    <col min="7418" max="7418" width="16.88671875" style="1" customWidth="1"/>
    <col min="7419" max="7419" width="16.33203125" style="1" customWidth="1"/>
    <col min="7420" max="7650" width="10.33203125" style="1"/>
    <col min="7651" max="7651" width="4.44140625" style="1" customWidth="1"/>
    <col min="7652" max="7652" width="21.6640625" style="1" customWidth="1"/>
    <col min="7653" max="7653" width="15" style="1" customWidth="1"/>
    <col min="7654" max="7654" width="15.44140625" style="1" customWidth="1"/>
    <col min="7655" max="7655" width="11.5546875" style="1" customWidth="1"/>
    <col min="7656" max="7656" width="7.44140625" style="1" customWidth="1"/>
    <col min="7657" max="7657" width="14.109375" style="1" customWidth="1"/>
    <col min="7658" max="7658" width="10.6640625" style="1" customWidth="1"/>
    <col min="7659" max="7659" width="13.44140625" style="1" customWidth="1"/>
    <col min="7660" max="7660" width="11.44140625" style="1" customWidth="1"/>
    <col min="7661" max="7661" width="15" style="1" customWidth="1"/>
    <col min="7662" max="7662" width="14.5546875" style="1" customWidth="1"/>
    <col min="7663" max="7663" width="10.33203125" style="1"/>
    <col min="7664" max="7664" width="7.44140625" style="1" customWidth="1"/>
    <col min="7665" max="7665" width="12.88671875" style="1" customWidth="1"/>
    <col min="7666" max="7666" width="11.109375" style="1" customWidth="1"/>
    <col min="7667" max="7667" width="14" style="1" customWidth="1"/>
    <col min="7668" max="7668" width="33" style="1" customWidth="1"/>
    <col min="7669" max="7669" width="6.6640625" style="1" customWidth="1"/>
    <col min="7670" max="7670" width="19" style="1" customWidth="1"/>
    <col min="7671" max="7671" width="19.109375" style="1" customWidth="1"/>
    <col min="7672" max="7672" width="21.33203125" style="1" customWidth="1"/>
    <col min="7673" max="7673" width="32.5546875" style="1" customWidth="1"/>
    <col min="7674" max="7674" width="16.88671875" style="1" customWidth="1"/>
    <col min="7675" max="7675" width="16.33203125" style="1" customWidth="1"/>
    <col min="7676" max="7906" width="10.33203125" style="1"/>
    <col min="7907" max="7907" width="4.44140625" style="1" customWidth="1"/>
    <col min="7908" max="7908" width="21.6640625" style="1" customWidth="1"/>
    <col min="7909" max="7909" width="15" style="1" customWidth="1"/>
    <col min="7910" max="7910" width="15.44140625" style="1" customWidth="1"/>
    <col min="7911" max="7911" width="11.5546875" style="1" customWidth="1"/>
    <col min="7912" max="7912" width="7.44140625" style="1" customWidth="1"/>
    <col min="7913" max="7913" width="14.109375" style="1" customWidth="1"/>
    <col min="7914" max="7914" width="10.6640625" style="1" customWidth="1"/>
    <col min="7915" max="7915" width="13.44140625" style="1" customWidth="1"/>
    <col min="7916" max="7916" width="11.44140625" style="1" customWidth="1"/>
    <col min="7917" max="7917" width="15" style="1" customWidth="1"/>
    <col min="7918" max="7918" width="14.5546875" style="1" customWidth="1"/>
    <col min="7919" max="7919" width="10.33203125" style="1"/>
    <col min="7920" max="7920" width="7.44140625" style="1" customWidth="1"/>
    <col min="7921" max="7921" width="12.88671875" style="1" customWidth="1"/>
    <col min="7922" max="7922" width="11.109375" style="1" customWidth="1"/>
    <col min="7923" max="7923" width="14" style="1" customWidth="1"/>
    <col min="7924" max="7924" width="33" style="1" customWidth="1"/>
    <col min="7925" max="7925" width="6.6640625" style="1" customWidth="1"/>
    <col min="7926" max="7926" width="19" style="1" customWidth="1"/>
    <col min="7927" max="7927" width="19.109375" style="1" customWidth="1"/>
    <col min="7928" max="7928" width="21.33203125" style="1" customWidth="1"/>
    <col min="7929" max="7929" width="32.5546875" style="1" customWidth="1"/>
    <col min="7930" max="7930" width="16.88671875" style="1" customWidth="1"/>
    <col min="7931" max="7931" width="16.33203125" style="1" customWidth="1"/>
    <col min="7932" max="8162" width="10.33203125" style="1"/>
    <col min="8163" max="8163" width="4.44140625" style="1" customWidth="1"/>
    <col min="8164" max="8164" width="21.6640625" style="1" customWidth="1"/>
    <col min="8165" max="8165" width="15" style="1" customWidth="1"/>
    <col min="8166" max="8166" width="15.44140625" style="1" customWidth="1"/>
    <col min="8167" max="8167" width="11.5546875" style="1" customWidth="1"/>
    <col min="8168" max="8168" width="7.44140625" style="1" customWidth="1"/>
    <col min="8169" max="8169" width="14.109375" style="1" customWidth="1"/>
    <col min="8170" max="8170" width="10.6640625" style="1" customWidth="1"/>
    <col min="8171" max="8171" width="13.44140625" style="1" customWidth="1"/>
    <col min="8172" max="8172" width="11.44140625" style="1" customWidth="1"/>
    <col min="8173" max="8173" width="15" style="1" customWidth="1"/>
    <col min="8174" max="8174" width="14.5546875" style="1" customWidth="1"/>
    <col min="8175" max="8175" width="10.33203125" style="1"/>
    <col min="8176" max="8176" width="7.44140625" style="1" customWidth="1"/>
    <col min="8177" max="8177" width="12.88671875" style="1" customWidth="1"/>
    <col min="8178" max="8178" width="11.109375" style="1" customWidth="1"/>
    <col min="8179" max="8179" width="14" style="1" customWidth="1"/>
    <col min="8180" max="8180" width="33" style="1" customWidth="1"/>
    <col min="8181" max="8181" width="6.6640625" style="1" customWidth="1"/>
    <col min="8182" max="8182" width="19" style="1" customWidth="1"/>
    <col min="8183" max="8183" width="19.109375" style="1" customWidth="1"/>
    <col min="8184" max="8184" width="21.33203125" style="1" customWidth="1"/>
    <col min="8185" max="8185" width="32.5546875" style="1" customWidth="1"/>
    <col min="8186" max="8186" width="16.88671875" style="1" customWidth="1"/>
    <col min="8187" max="8187" width="16.33203125" style="1" customWidth="1"/>
    <col min="8188" max="8418" width="10.33203125" style="1"/>
    <col min="8419" max="8419" width="4.44140625" style="1" customWidth="1"/>
    <col min="8420" max="8420" width="21.6640625" style="1" customWidth="1"/>
    <col min="8421" max="8421" width="15" style="1" customWidth="1"/>
    <col min="8422" max="8422" width="15.44140625" style="1" customWidth="1"/>
    <col min="8423" max="8423" width="11.5546875" style="1" customWidth="1"/>
    <col min="8424" max="8424" width="7.44140625" style="1" customWidth="1"/>
    <col min="8425" max="8425" width="14.109375" style="1" customWidth="1"/>
    <col min="8426" max="8426" width="10.6640625" style="1" customWidth="1"/>
    <col min="8427" max="8427" width="13.44140625" style="1" customWidth="1"/>
    <col min="8428" max="8428" width="11.44140625" style="1" customWidth="1"/>
    <col min="8429" max="8429" width="15" style="1" customWidth="1"/>
    <col min="8430" max="8430" width="14.5546875" style="1" customWidth="1"/>
    <col min="8431" max="8431" width="10.33203125" style="1"/>
    <col min="8432" max="8432" width="7.44140625" style="1" customWidth="1"/>
    <col min="8433" max="8433" width="12.88671875" style="1" customWidth="1"/>
    <col min="8434" max="8434" width="11.109375" style="1" customWidth="1"/>
    <col min="8435" max="8435" width="14" style="1" customWidth="1"/>
    <col min="8436" max="8436" width="33" style="1" customWidth="1"/>
    <col min="8437" max="8437" width="6.6640625" style="1" customWidth="1"/>
    <col min="8438" max="8438" width="19" style="1" customWidth="1"/>
    <col min="8439" max="8439" width="19.109375" style="1" customWidth="1"/>
    <col min="8440" max="8440" width="21.33203125" style="1" customWidth="1"/>
    <col min="8441" max="8441" width="32.5546875" style="1" customWidth="1"/>
    <col min="8442" max="8442" width="16.88671875" style="1" customWidth="1"/>
    <col min="8443" max="8443" width="16.33203125" style="1" customWidth="1"/>
    <col min="8444" max="8674" width="10.33203125" style="1"/>
    <col min="8675" max="8675" width="4.44140625" style="1" customWidth="1"/>
    <col min="8676" max="8676" width="21.6640625" style="1" customWidth="1"/>
    <col min="8677" max="8677" width="15" style="1" customWidth="1"/>
    <col min="8678" max="8678" width="15.44140625" style="1" customWidth="1"/>
    <col min="8679" max="8679" width="11.5546875" style="1" customWidth="1"/>
    <col min="8680" max="8680" width="7.44140625" style="1" customWidth="1"/>
    <col min="8681" max="8681" width="14.109375" style="1" customWidth="1"/>
    <col min="8682" max="8682" width="10.6640625" style="1" customWidth="1"/>
    <col min="8683" max="8683" width="13.44140625" style="1" customWidth="1"/>
    <col min="8684" max="8684" width="11.44140625" style="1" customWidth="1"/>
    <col min="8685" max="8685" width="15" style="1" customWidth="1"/>
    <col min="8686" max="8686" width="14.5546875" style="1" customWidth="1"/>
    <col min="8687" max="8687" width="10.33203125" style="1"/>
    <col min="8688" max="8688" width="7.44140625" style="1" customWidth="1"/>
    <col min="8689" max="8689" width="12.88671875" style="1" customWidth="1"/>
    <col min="8690" max="8690" width="11.109375" style="1" customWidth="1"/>
    <col min="8691" max="8691" width="14" style="1" customWidth="1"/>
    <col min="8692" max="8692" width="33" style="1" customWidth="1"/>
    <col min="8693" max="8693" width="6.6640625" style="1" customWidth="1"/>
    <col min="8694" max="8694" width="19" style="1" customWidth="1"/>
    <col min="8695" max="8695" width="19.109375" style="1" customWidth="1"/>
    <col min="8696" max="8696" width="21.33203125" style="1" customWidth="1"/>
    <col min="8697" max="8697" width="32.5546875" style="1" customWidth="1"/>
    <col min="8698" max="8698" width="16.88671875" style="1" customWidth="1"/>
    <col min="8699" max="8699" width="16.33203125" style="1" customWidth="1"/>
    <col min="8700" max="8930" width="10.33203125" style="1"/>
    <col min="8931" max="8931" width="4.44140625" style="1" customWidth="1"/>
    <col min="8932" max="8932" width="21.6640625" style="1" customWidth="1"/>
    <col min="8933" max="8933" width="15" style="1" customWidth="1"/>
    <col min="8934" max="8934" width="15.44140625" style="1" customWidth="1"/>
    <col min="8935" max="8935" width="11.5546875" style="1" customWidth="1"/>
    <col min="8936" max="8936" width="7.44140625" style="1" customWidth="1"/>
    <col min="8937" max="8937" width="14.109375" style="1" customWidth="1"/>
    <col min="8938" max="8938" width="10.6640625" style="1" customWidth="1"/>
    <col min="8939" max="8939" width="13.44140625" style="1" customWidth="1"/>
    <col min="8940" max="8940" width="11.44140625" style="1" customWidth="1"/>
    <col min="8941" max="8941" width="15" style="1" customWidth="1"/>
    <col min="8942" max="8942" width="14.5546875" style="1" customWidth="1"/>
    <col min="8943" max="8943" width="10.33203125" style="1"/>
    <col min="8944" max="8944" width="7.44140625" style="1" customWidth="1"/>
    <col min="8945" max="8945" width="12.88671875" style="1" customWidth="1"/>
    <col min="8946" max="8946" width="11.109375" style="1" customWidth="1"/>
    <col min="8947" max="8947" width="14" style="1" customWidth="1"/>
    <col min="8948" max="8948" width="33" style="1" customWidth="1"/>
    <col min="8949" max="8949" width="6.6640625" style="1" customWidth="1"/>
    <col min="8950" max="8950" width="19" style="1" customWidth="1"/>
    <col min="8951" max="8951" width="19.109375" style="1" customWidth="1"/>
    <col min="8952" max="8952" width="21.33203125" style="1" customWidth="1"/>
    <col min="8953" max="8953" width="32.5546875" style="1" customWidth="1"/>
    <col min="8954" max="8954" width="16.88671875" style="1" customWidth="1"/>
    <col min="8955" max="8955" width="16.33203125" style="1" customWidth="1"/>
    <col min="8956" max="9186" width="10.33203125" style="1"/>
    <col min="9187" max="9187" width="4.44140625" style="1" customWidth="1"/>
    <col min="9188" max="9188" width="21.6640625" style="1" customWidth="1"/>
    <col min="9189" max="9189" width="15" style="1" customWidth="1"/>
    <col min="9190" max="9190" width="15.44140625" style="1" customWidth="1"/>
    <col min="9191" max="9191" width="11.5546875" style="1" customWidth="1"/>
    <col min="9192" max="9192" width="7.44140625" style="1" customWidth="1"/>
    <col min="9193" max="9193" width="14.109375" style="1" customWidth="1"/>
    <col min="9194" max="9194" width="10.6640625" style="1" customWidth="1"/>
    <col min="9195" max="9195" width="13.44140625" style="1" customWidth="1"/>
    <col min="9196" max="9196" width="11.44140625" style="1" customWidth="1"/>
    <col min="9197" max="9197" width="15" style="1" customWidth="1"/>
    <col min="9198" max="9198" width="14.5546875" style="1" customWidth="1"/>
    <col min="9199" max="9199" width="10.33203125" style="1"/>
    <col min="9200" max="9200" width="7.44140625" style="1" customWidth="1"/>
    <col min="9201" max="9201" width="12.88671875" style="1" customWidth="1"/>
    <col min="9202" max="9202" width="11.109375" style="1" customWidth="1"/>
    <col min="9203" max="9203" width="14" style="1" customWidth="1"/>
    <col min="9204" max="9204" width="33" style="1" customWidth="1"/>
    <col min="9205" max="9205" width="6.6640625" style="1" customWidth="1"/>
    <col min="9206" max="9206" width="19" style="1" customWidth="1"/>
    <col min="9207" max="9207" width="19.109375" style="1" customWidth="1"/>
    <col min="9208" max="9208" width="21.33203125" style="1" customWidth="1"/>
    <col min="9209" max="9209" width="32.5546875" style="1" customWidth="1"/>
    <col min="9210" max="9210" width="16.88671875" style="1" customWidth="1"/>
    <col min="9211" max="9211" width="16.33203125" style="1" customWidth="1"/>
    <col min="9212" max="9442" width="10.33203125" style="1"/>
    <col min="9443" max="9443" width="4.44140625" style="1" customWidth="1"/>
    <col min="9444" max="9444" width="21.6640625" style="1" customWidth="1"/>
    <col min="9445" max="9445" width="15" style="1" customWidth="1"/>
    <col min="9446" max="9446" width="15.44140625" style="1" customWidth="1"/>
    <col min="9447" max="9447" width="11.5546875" style="1" customWidth="1"/>
    <col min="9448" max="9448" width="7.44140625" style="1" customWidth="1"/>
    <col min="9449" max="9449" width="14.109375" style="1" customWidth="1"/>
    <col min="9450" max="9450" width="10.6640625" style="1" customWidth="1"/>
    <col min="9451" max="9451" width="13.44140625" style="1" customWidth="1"/>
    <col min="9452" max="9452" width="11.44140625" style="1" customWidth="1"/>
    <col min="9453" max="9453" width="15" style="1" customWidth="1"/>
    <col min="9454" max="9454" width="14.5546875" style="1" customWidth="1"/>
    <col min="9455" max="9455" width="10.33203125" style="1"/>
    <col min="9456" max="9456" width="7.44140625" style="1" customWidth="1"/>
    <col min="9457" max="9457" width="12.88671875" style="1" customWidth="1"/>
    <col min="9458" max="9458" width="11.109375" style="1" customWidth="1"/>
    <col min="9459" max="9459" width="14" style="1" customWidth="1"/>
    <col min="9460" max="9460" width="33" style="1" customWidth="1"/>
    <col min="9461" max="9461" width="6.6640625" style="1" customWidth="1"/>
    <col min="9462" max="9462" width="19" style="1" customWidth="1"/>
    <col min="9463" max="9463" width="19.109375" style="1" customWidth="1"/>
    <col min="9464" max="9464" width="21.33203125" style="1" customWidth="1"/>
    <col min="9465" max="9465" width="32.5546875" style="1" customWidth="1"/>
    <col min="9466" max="9466" width="16.88671875" style="1" customWidth="1"/>
    <col min="9467" max="9467" width="16.33203125" style="1" customWidth="1"/>
    <col min="9468" max="9698" width="10.33203125" style="1"/>
    <col min="9699" max="9699" width="4.44140625" style="1" customWidth="1"/>
    <col min="9700" max="9700" width="21.6640625" style="1" customWidth="1"/>
    <col min="9701" max="9701" width="15" style="1" customWidth="1"/>
    <col min="9702" max="9702" width="15.44140625" style="1" customWidth="1"/>
    <col min="9703" max="9703" width="11.5546875" style="1" customWidth="1"/>
    <col min="9704" max="9704" width="7.44140625" style="1" customWidth="1"/>
    <col min="9705" max="9705" width="14.109375" style="1" customWidth="1"/>
    <col min="9706" max="9706" width="10.6640625" style="1" customWidth="1"/>
    <col min="9707" max="9707" width="13.44140625" style="1" customWidth="1"/>
    <col min="9708" max="9708" width="11.44140625" style="1" customWidth="1"/>
    <col min="9709" max="9709" width="15" style="1" customWidth="1"/>
    <col min="9710" max="9710" width="14.5546875" style="1" customWidth="1"/>
    <col min="9711" max="9711" width="10.33203125" style="1"/>
    <col min="9712" max="9712" width="7.44140625" style="1" customWidth="1"/>
    <col min="9713" max="9713" width="12.88671875" style="1" customWidth="1"/>
    <col min="9714" max="9714" width="11.109375" style="1" customWidth="1"/>
    <col min="9715" max="9715" width="14" style="1" customWidth="1"/>
    <col min="9716" max="9716" width="33" style="1" customWidth="1"/>
    <col min="9717" max="9717" width="6.6640625" style="1" customWidth="1"/>
    <col min="9718" max="9718" width="19" style="1" customWidth="1"/>
    <col min="9719" max="9719" width="19.109375" style="1" customWidth="1"/>
    <col min="9720" max="9720" width="21.33203125" style="1" customWidth="1"/>
    <col min="9721" max="9721" width="32.5546875" style="1" customWidth="1"/>
    <col min="9722" max="9722" width="16.88671875" style="1" customWidth="1"/>
    <col min="9723" max="9723" width="16.33203125" style="1" customWidth="1"/>
    <col min="9724" max="9954" width="10.33203125" style="1"/>
    <col min="9955" max="9955" width="4.44140625" style="1" customWidth="1"/>
    <col min="9956" max="9956" width="21.6640625" style="1" customWidth="1"/>
    <col min="9957" max="9957" width="15" style="1" customWidth="1"/>
    <col min="9958" max="9958" width="15.44140625" style="1" customWidth="1"/>
    <col min="9959" max="9959" width="11.5546875" style="1" customWidth="1"/>
    <col min="9960" max="9960" width="7.44140625" style="1" customWidth="1"/>
    <col min="9961" max="9961" width="14.109375" style="1" customWidth="1"/>
    <col min="9962" max="9962" width="10.6640625" style="1" customWidth="1"/>
    <col min="9963" max="9963" width="13.44140625" style="1" customWidth="1"/>
    <col min="9964" max="9964" width="11.44140625" style="1" customWidth="1"/>
    <col min="9965" max="9965" width="15" style="1" customWidth="1"/>
    <col min="9966" max="9966" width="14.5546875" style="1" customWidth="1"/>
    <col min="9967" max="9967" width="10.33203125" style="1"/>
    <col min="9968" max="9968" width="7.44140625" style="1" customWidth="1"/>
    <col min="9969" max="9969" width="12.88671875" style="1" customWidth="1"/>
    <col min="9970" max="9970" width="11.109375" style="1" customWidth="1"/>
    <col min="9971" max="9971" width="14" style="1" customWidth="1"/>
    <col min="9972" max="9972" width="33" style="1" customWidth="1"/>
    <col min="9973" max="9973" width="6.6640625" style="1" customWidth="1"/>
    <col min="9974" max="9974" width="19" style="1" customWidth="1"/>
    <col min="9975" max="9975" width="19.109375" style="1" customWidth="1"/>
    <col min="9976" max="9976" width="21.33203125" style="1" customWidth="1"/>
    <col min="9977" max="9977" width="32.5546875" style="1" customWidth="1"/>
    <col min="9978" max="9978" width="16.88671875" style="1" customWidth="1"/>
    <col min="9979" max="9979" width="16.33203125" style="1" customWidth="1"/>
    <col min="9980" max="10210" width="10.33203125" style="1"/>
    <col min="10211" max="10211" width="4.44140625" style="1" customWidth="1"/>
    <col min="10212" max="10212" width="21.6640625" style="1" customWidth="1"/>
    <col min="10213" max="10213" width="15" style="1" customWidth="1"/>
    <col min="10214" max="10214" width="15.44140625" style="1" customWidth="1"/>
    <col min="10215" max="10215" width="11.5546875" style="1" customWidth="1"/>
    <col min="10216" max="10216" width="7.44140625" style="1" customWidth="1"/>
    <col min="10217" max="10217" width="14.109375" style="1" customWidth="1"/>
    <col min="10218" max="10218" width="10.6640625" style="1" customWidth="1"/>
    <col min="10219" max="10219" width="13.44140625" style="1" customWidth="1"/>
    <col min="10220" max="10220" width="11.44140625" style="1" customWidth="1"/>
    <col min="10221" max="10221" width="15" style="1" customWidth="1"/>
    <col min="10222" max="10222" width="14.5546875" style="1" customWidth="1"/>
    <col min="10223" max="10223" width="10.33203125" style="1"/>
    <col min="10224" max="10224" width="7.44140625" style="1" customWidth="1"/>
    <col min="10225" max="10225" width="12.88671875" style="1" customWidth="1"/>
    <col min="10226" max="10226" width="11.109375" style="1" customWidth="1"/>
    <col min="10227" max="10227" width="14" style="1" customWidth="1"/>
    <col min="10228" max="10228" width="33" style="1" customWidth="1"/>
    <col min="10229" max="10229" width="6.6640625" style="1" customWidth="1"/>
    <col min="10230" max="10230" width="19" style="1" customWidth="1"/>
    <col min="10231" max="10231" width="19.109375" style="1" customWidth="1"/>
    <col min="10232" max="10232" width="21.33203125" style="1" customWidth="1"/>
    <col min="10233" max="10233" width="32.5546875" style="1" customWidth="1"/>
    <col min="10234" max="10234" width="16.88671875" style="1" customWidth="1"/>
    <col min="10235" max="10235" width="16.33203125" style="1" customWidth="1"/>
    <col min="10236" max="10466" width="10.33203125" style="1"/>
    <col min="10467" max="10467" width="4.44140625" style="1" customWidth="1"/>
    <col min="10468" max="10468" width="21.6640625" style="1" customWidth="1"/>
    <col min="10469" max="10469" width="15" style="1" customWidth="1"/>
    <col min="10470" max="10470" width="15.44140625" style="1" customWidth="1"/>
    <col min="10471" max="10471" width="11.5546875" style="1" customWidth="1"/>
    <col min="10472" max="10472" width="7.44140625" style="1" customWidth="1"/>
    <col min="10473" max="10473" width="14.109375" style="1" customWidth="1"/>
    <col min="10474" max="10474" width="10.6640625" style="1" customWidth="1"/>
    <col min="10475" max="10475" width="13.44140625" style="1" customWidth="1"/>
    <col min="10476" max="10476" width="11.44140625" style="1" customWidth="1"/>
    <col min="10477" max="10477" width="15" style="1" customWidth="1"/>
    <col min="10478" max="10478" width="14.5546875" style="1" customWidth="1"/>
    <col min="10479" max="10479" width="10.33203125" style="1"/>
    <col min="10480" max="10480" width="7.44140625" style="1" customWidth="1"/>
    <col min="10481" max="10481" width="12.88671875" style="1" customWidth="1"/>
    <col min="10482" max="10482" width="11.109375" style="1" customWidth="1"/>
    <col min="10483" max="10483" width="14" style="1" customWidth="1"/>
    <col min="10484" max="10484" width="33" style="1" customWidth="1"/>
    <col min="10485" max="10485" width="6.6640625" style="1" customWidth="1"/>
    <col min="10486" max="10486" width="19" style="1" customWidth="1"/>
    <col min="10487" max="10487" width="19.109375" style="1" customWidth="1"/>
    <col min="10488" max="10488" width="21.33203125" style="1" customWidth="1"/>
    <col min="10489" max="10489" width="32.5546875" style="1" customWidth="1"/>
    <col min="10490" max="10490" width="16.88671875" style="1" customWidth="1"/>
    <col min="10491" max="10491" width="16.33203125" style="1" customWidth="1"/>
    <col min="10492" max="10722" width="10.33203125" style="1"/>
    <col min="10723" max="10723" width="4.44140625" style="1" customWidth="1"/>
    <col min="10724" max="10724" width="21.6640625" style="1" customWidth="1"/>
    <col min="10725" max="10725" width="15" style="1" customWidth="1"/>
    <col min="10726" max="10726" width="15.44140625" style="1" customWidth="1"/>
    <col min="10727" max="10727" width="11.5546875" style="1" customWidth="1"/>
    <col min="10728" max="10728" width="7.44140625" style="1" customWidth="1"/>
    <col min="10729" max="10729" width="14.109375" style="1" customWidth="1"/>
    <col min="10730" max="10730" width="10.6640625" style="1" customWidth="1"/>
    <col min="10731" max="10731" width="13.44140625" style="1" customWidth="1"/>
    <col min="10732" max="10732" width="11.44140625" style="1" customWidth="1"/>
    <col min="10733" max="10733" width="15" style="1" customWidth="1"/>
    <col min="10734" max="10734" width="14.5546875" style="1" customWidth="1"/>
    <col min="10735" max="10735" width="10.33203125" style="1"/>
    <col min="10736" max="10736" width="7.44140625" style="1" customWidth="1"/>
    <col min="10737" max="10737" width="12.88671875" style="1" customWidth="1"/>
    <col min="10738" max="10738" width="11.109375" style="1" customWidth="1"/>
    <col min="10739" max="10739" width="14" style="1" customWidth="1"/>
    <col min="10740" max="10740" width="33" style="1" customWidth="1"/>
    <col min="10741" max="10741" width="6.6640625" style="1" customWidth="1"/>
    <col min="10742" max="10742" width="19" style="1" customWidth="1"/>
    <col min="10743" max="10743" width="19.109375" style="1" customWidth="1"/>
    <col min="10744" max="10744" width="21.33203125" style="1" customWidth="1"/>
    <col min="10745" max="10745" width="32.5546875" style="1" customWidth="1"/>
    <col min="10746" max="10746" width="16.88671875" style="1" customWidth="1"/>
    <col min="10747" max="10747" width="16.33203125" style="1" customWidth="1"/>
    <col min="10748" max="10978" width="10.33203125" style="1"/>
    <col min="10979" max="10979" width="4.44140625" style="1" customWidth="1"/>
    <col min="10980" max="10980" width="21.6640625" style="1" customWidth="1"/>
    <col min="10981" max="10981" width="15" style="1" customWidth="1"/>
    <col min="10982" max="10982" width="15.44140625" style="1" customWidth="1"/>
    <col min="10983" max="10983" width="11.5546875" style="1" customWidth="1"/>
    <col min="10984" max="10984" width="7.44140625" style="1" customWidth="1"/>
    <col min="10985" max="10985" width="14.109375" style="1" customWidth="1"/>
    <col min="10986" max="10986" width="10.6640625" style="1" customWidth="1"/>
    <col min="10987" max="10987" width="13.44140625" style="1" customWidth="1"/>
    <col min="10988" max="10988" width="11.44140625" style="1" customWidth="1"/>
    <col min="10989" max="10989" width="15" style="1" customWidth="1"/>
    <col min="10990" max="10990" width="14.5546875" style="1" customWidth="1"/>
    <col min="10991" max="10991" width="10.33203125" style="1"/>
    <col min="10992" max="10992" width="7.44140625" style="1" customWidth="1"/>
    <col min="10993" max="10993" width="12.88671875" style="1" customWidth="1"/>
    <col min="10994" max="10994" width="11.109375" style="1" customWidth="1"/>
    <col min="10995" max="10995" width="14" style="1" customWidth="1"/>
    <col min="10996" max="10996" width="33" style="1" customWidth="1"/>
    <col min="10997" max="10997" width="6.6640625" style="1" customWidth="1"/>
    <col min="10998" max="10998" width="19" style="1" customWidth="1"/>
    <col min="10999" max="10999" width="19.109375" style="1" customWidth="1"/>
    <col min="11000" max="11000" width="21.33203125" style="1" customWidth="1"/>
    <col min="11001" max="11001" width="32.5546875" style="1" customWidth="1"/>
    <col min="11002" max="11002" width="16.88671875" style="1" customWidth="1"/>
    <col min="11003" max="11003" width="16.33203125" style="1" customWidth="1"/>
    <col min="11004" max="11234" width="10.33203125" style="1"/>
    <col min="11235" max="11235" width="4.44140625" style="1" customWidth="1"/>
    <col min="11236" max="11236" width="21.6640625" style="1" customWidth="1"/>
    <col min="11237" max="11237" width="15" style="1" customWidth="1"/>
    <col min="11238" max="11238" width="15.44140625" style="1" customWidth="1"/>
    <col min="11239" max="11239" width="11.5546875" style="1" customWidth="1"/>
    <col min="11240" max="11240" width="7.44140625" style="1" customWidth="1"/>
    <col min="11241" max="11241" width="14.109375" style="1" customWidth="1"/>
    <col min="11242" max="11242" width="10.6640625" style="1" customWidth="1"/>
    <col min="11243" max="11243" width="13.44140625" style="1" customWidth="1"/>
    <col min="11244" max="11244" width="11.44140625" style="1" customWidth="1"/>
    <col min="11245" max="11245" width="15" style="1" customWidth="1"/>
    <col min="11246" max="11246" width="14.5546875" style="1" customWidth="1"/>
    <col min="11247" max="11247" width="10.33203125" style="1"/>
    <col min="11248" max="11248" width="7.44140625" style="1" customWidth="1"/>
    <col min="11249" max="11249" width="12.88671875" style="1" customWidth="1"/>
    <col min="11250" max="11250" width="11.109375" style="1" customWidth="1"/>
    <col min="11251" max="11251" width="14" style="1" customWidth="1"/>
    <col min="11252" max="11252" width="33" style="1" customWidth="1"/>
    <col min="11253" max="11253" width="6.6640625" style="1" customWidth="1"/>
    <col min="11254" max="11254" width="19" style="1" customWidth="1"/>
    <col min="11255" max="11255" width="19.109375" style="1" customWidth="1"/>
    <col min="11256" max="11256" width="21.33203125" style="1" customWidth="1"/>
    <col min="11257" max="11257" width="32.5546875" style="1" customWidth="1"/>
    <col min="11258" max="11258" width="16.88671875" style="1" customWidth="1"/>
    <col min="11259" max="11259" width="16.33203125" style="1" customWidth="1"/>
    <col min="11260" max="11490" width="10.33203125" style="1"/>
    <col min="11491" max="11491" width="4.44140625" style="1" customWidth="1"/>
    <col min="11492" max="11492" width="21.6640625" style="1" customWidth="1"/>
    <col min="11493" max="11493" width="15" style="1" customWidth="1"/>
    <col min="11494" max="11494" width="15.44140625" style="1" customWidth="1"/>
    <col min="11495" max="11495" width="11.5546875" style="1" customWidth="1"/>
    <col min="11496" max="11496" width="7.44140625" style="1" customWidth="1"/>
    <col min="11497" max="11497" width="14.109375" style="1" customWidth="1"/>
    <col min="11498" max="11498" width="10.6640625" style="1" customWidth="1"/>
    <col min="11499" max="11499" width="13.44140625" style="1" customWidth="1"/>
    <col min="11500" max="11500" width="11.44140625" style="1" customWidth="1"/>
    <col min="11501" max="11501" width="15" style="1" customWidth="1"/>
    <col min="11502" max="11502" width="14.5546875" style="1" customWidth="1"/>
    <col min="11503" max="11503" width="10.33203125" style="1"/>
    <col min="11504" max="11504" width="7.44140625" style="1" customWidth="1"/>
    <col min="11505" max="11505" width="12.88671875" style="1" customWidth="1"/>
    <col min="11506" max="11506" width="11.109375" style="1" customWidth="1"/>
    <col min="11507" max="11507" width="14" style="1" customWidth="1"/>
    <col min="11508" max="11508" width="33" style="1" customWidth="1"/>
    <col min="11509" max="11509" width="6.6640625" style="1" customWidth="1"/>
    <col min="11510" max="11510" width="19" style="1" customWidth="1"/>
    <col min="11511" max="11511" width="19.109375" style="1" customWidth="1"/>
    <col min="11512" max="11512" width="21.33203125" style="1" customWidth="1"/>
    <col min="11513" max="11513" width="32.5546875" style="1" customWidth="1"/>
    <col min="11514" max="11514" width="16.88671875" style="1" customWidth="1"/>
    <col min="11515" max="11515" width="16.33203125" style="1" customWidth="1"/>
    <col min="11516" max="11746" width="10.33203125" style="1"/>
    <col min="11747" max="11747" width="4.44140625" style="1" customWidth="1"/>
    <col min="11748" max="11748" width="21.6640625" style="1" customWidth="1"/>
    <col min="11749" max="11749" width="15" style="1" customWidth="1"/>
    <col min="11750" max="11750" width="15.44140625" style="1" customWidth="1"/>
    <col min="11751" max="11751" width="11.5546875" style="1" customWidth="1"/>
    <col min="11752" max="11752" width="7.44140625" style="1" customWidth="1"/>
    <col min="11753" max="11753" width="14.109375" style="1" customWidth="1"/>
    <col min="11754" max="11754" width="10.6640625" style="1" customWidth="1"/>
    <col min="11755" max="11755" width="13.44140625" style="1" customWidth="1"/>
    <col min="11756" max="11756" width="11.44140625" style="1" customWidth="1"/>
    <col min="11757" max="11757" width="15" style="1" customWidth="1"/>
    <col min="11758" max="11758" width="14.5546875" style="1" customWidth="1"/>
    <col min="11759" max="11759" width="10.33203125" style="1"/>
    <col min="11760" max="11760" width="7.44140625" style="1" customWidth="1"/>
    <col min="11761" max="11761" width="12.88671875" style="1" customWidth="1"/>
    <col min="11762" max="11762" width="11.109375" style="1" customWidth="1"/>
    <col min="11763" max="11763" width="14" style="1" customWidth="1"/>
    <col min="11764" max="11764" width="33" style="1" customWidth="1"/>
    <col min="11765" max="11765" width="6.6640625" style="1" customWidth="1"/>
    <col min="11766" max="11766" width="19" style="1" customWidth="1"/>
    <col min="11767" max="11767" width="19.109375" style="1" customWidth="1"/>
    <col min="11768" max="11768" width="21.33203125" style="1" customWidth="1"/>
    <col min="11769" max="11769" width="32.5546875" style="1" customWidth="1"/>
    <col min="11770" max="11770" width="16.88671875" style="1" customWidth="1"/>
    <col min="11771" max="11771" width="16.33203125" style="1" customWidth="1"/>
    <col min="11772" max="12002" width="10.33203125" style="1"/>
    <col min="12003" max="12003" width="4.44140625" style="1" customWidth="1"/>
    <col min="12004" max="12004" width="21.6640625" style="1" customWidth="1"/>
    <col min="12005" max="12005" width="15" style="1" customWidth="1"/>
    <col min="12006" max="12006" width="15.44140625" style="1" customWidth="1"/>
    <col min="12007" max="12007" width="11.5546875" style="1" customWidth="1"/>
    <col min="12008" max="12008" width="7.44140625" style="1" customWidth="1"/>
    <col min="12009" max="12009" width="14.109375" style="1" customWidth="1"/>
    <col min="12010" max="12010" width="10.6640625" style="1" customWidth="1"/>
    <col min="12011" max="12011" width="13.44140625" style="1" customWidth="1"/>
    <col min="12012" max="12012" width="11.44140625" style="1" customWidth="1"/>
    <col min="12013" max="12013" width="15" style="1" customWidth="1"/>
    <col min="12014" max="12014" width="14.5546875" style="1" customWidth="1"/>
    <col min="12015" max="12015" width="10.33203125" style="1"/>
    <col min="12016" max="12016" width="7.44140625" style="1" customWidth="1"/>
    <col min="12017" max="12017" width="12.88671875" style="1" customWidth="1"/>
    <col min="12018" max="12018" width="11.109375" style="1" customWidth="1"/>
    <col min="12019" max="12019" width="14" style="1" customWidth="1"/>
    <col min="12020" max="12020" width="33" style="1" customWidth="1"/>
    <col min="12021" max="12021" width="6.6640625" style="1" customWidth="1"/>
    <col min="12022" max="12022" width="19" style="1" customWidth="1"/>
    <col min="12023" max="12023" width="19.109375" style="1" customWidth="1"/>
    <col min="12024" max="12024" width="21.33203125" style="1" customWidth="1"/>
    <col min="12025" max="12025" width="32.5546875" style="1" customWidth="1"/>
    <col min="12026" max="12026" width="16.88671875" style="1" customWidth="1"/>
    <col min="12027" max="12027" width="16.33203125" style="1" customWidth="1"/>
    <col min="12028" max="12258" width="10.33203125" style="1"/>
    <col min="12259" max="12259" width="4.44140625" style="1" customWidth="1"/>
    <col min="12260" max="12260" width="21.6640625" style="1" customWidth="1"/>
    <col min="12261" max="12261" width="15" style="1" customWidth="1"/>
    <col min="12262" max="12262" width="15.44140625" style="1" customWidth="1"/>
    <col min="12263" max="12263" width="11.5546875" style="1" customWidth="1"/>
    <col min="12264" max="12264" width="7.44140625" style="1" customWidth="1"/>
    <col min="12265" max="12265" width="14.109375" style="1" customWidth="1"/>
    <col min="12266" max="12266" width="10.6640625" style="1" customWidth="1"/>
    <col min="12267" max="12267" width="13.44140625" style="1" customWidth="1"/>
    <col min="12268" max="12268" width="11.44140625" style="1" customWidth="1"/>
    <col min="12269" max="12269" width="15" style="1" customWidth="1"/>
    <col min="12270" max="12270" width="14.5546875" style="1" customWidth="1"/>
    <col min="12271" max="12271" width="10.33203125" style="1"/>
    <col min="12272" max="12272" width="7.44140625" style="1" customWidth="1"/>
    <col min="12273" max="12273" width="12.88671875" style="1" customWidth="1"/>
    <col min="12274" max="12274" width="11.109375" style="1" customWidth="1"/>
    <col min="12275" max="12275" width="14" style="1" customWidth="1"/>
    <col min="12276" max="12276" width="33" style="1" customWidth="1"/>
    <col min="12277" max="12277" width="6.6640625" style="1" customWidth="1"/>
    <col min="12278" max="12278" width="19" style="1" customWidth="1"/>
    <col min="12279" max="12279" width="19.109375" style="1" customWidth="1"/>
    <col min="12280" max="12280" width="21.33203125" style="1" customWidth="1"/>
    <col min="12281" max="12281" width="32.5546875" style="1" customWidth="1"/>
    <col min="12282" max="12282" width="16.88671875" style="1" customWidth="1"/>
    <col min="12283" max="12283" width="16.33203125" style="1" customWidth="1"/>
    <col min="12284" max="12514" width="10.33203125" style="1"/>
    <col min="12515" max="12515" width="4.44140625" style="1" customWidth="1"/>
    <col min="12516" max="12516" width="21.6640625" style="1" customWidth="1"/>
    <col min="12517" max="12517" width="15" style="1" customWidth="1"/>
    <col min="12518" max="12518" width="15.44140625" style="1" customWidth="1"/>
    <col min="12519" max="12519" width="11.5546875" style="1" customWidth="1"/>
    <col min="12520" max="12520" width="7.44140625" style="1" customWidth="1"/>
    <col min="12521" max="12521" width="14.109375" style="1" customWidth="1"/>
    <col min="12522" max="12522" width="10.6640625" style="1" customWidth="1"/>
    <col min="12523" max="12523" width="13.44140625" style="1" customWidth="1"/>
    <col min="12524" max="12524" width="11.44140625" style="1" customWidth="1"/>
    <col min="12525" max="12525" width="15" style="1" customWidth="1"/>
    <col min="12526" max="12526" width="14.5546875" style="1" customWidth="1"/>
    <col min="12527" max="12527" width="10.33203125" style="1"/>
    <col min="12528" max="12528" width="7.44140625" style="1" customWidth="1"/>
    <col min="12529" max="12529" width="12.88671875" style="1" customWidth="1"/>
    <col min="12530" max="12530" width="11.109375" style="1" customWidth="1"/>
    <col min="12531" max="12531" width="14" style="1" customWidth="1"/>
    <col min="12532" max="12532" width="33" style="1" customWidth="1"/>
    <col min="12533" max="12533" width="6.6640625" style="1" customWidth="1"/>
    <col min="12534" max="12534" width="19" style="1" customWidth="1"/>
    <col min="12535" max="12535" width="19.109375" style="1" customWidth="1"/>
    <col min="12536" max="12536" width="21.33203125" style="1" customWidth="1"/>
    <col min="12537" max="12537" width="32.5546875" style="1" customWidth="1"/>
    <col min="12538" max="12538" width="16.88671875" style="1" customWidth="1"/>
    <col min="12539" max="12539" width="16.33203125" style="1" customWidth="1"/>
    <col min="12540" max="12770" width="10.33203125" style="1"/>
    <col min="12771" max="12771" width="4.44140625" style="1" customWidth="1"/>
    <col min="12772" max="12772" width="21.6640625" style="1" customWidth="1"/>
    <col min="12773" max="12773" width="15" style="1" customWidth="1"/>
    <col min="12774" max="12774" width="15.44140625" style="1" customWidth="1"/>
    <col min="12775" max="12775" width="11.5546875" style="1" customWidth="1"/>
    <col min="12776" max="12776" width="7.44140625" style="1" customWidth="1"/>
    <col min="12777" max="12777" width="14.109375" style="1" customWidth="1"/>
    <col min="12778" max="12778" width="10.6640625" style="1" customWidth="1"/>
    <col min="12779" max="12779" width="13.44140625" style="1" customWidth="1"/>
    <col min="12780" max="12780" width="11.44140625" style="1" customWidth="1"/>
    <col min="12781" max="12781" width="15" style="1" customWidth="1"/>
    <col min="12782" max="12782" width="14.5546875" style="1" customWidth="1"/>
    <col min="12783" max="12783" width="10.33203125" style="1"/>
    <col min="12784" max="12784" width="7.44140625" style="1" customWidth="1"/>
    <col min="12785" max="12785" width="12.88671875" style="1" customWidth="1"/>
    <col min="12786" max="12786" width="11.109375" style="1" customWidth="1"/>
    <col min="12787" max="12787" width="14" style="1" customWidth="1"/>
    <col min="12788" max="12788" width="33" style="1" customWidth="1"/>
    <col min="12789" max="12789" width="6.6640625" style="1" customWidth="1"/>
    <col min="12790" max="12790" width="19" style="1" customWidth="1"/>
    <col min="12791" max="12791" width="19.109375" style="1" customWidth="1"/>
    <col min="12792" max="12792" width="21.33203125" style="1" customWidth="1"/>
    <col min="12793" max="12793" width="32.5546875" style="1" customWidth="1"/>
    <col min="12794" max="12794" width="16.88671875" style="1" customWidth="1"/>
    <col min="12795" max="12795" width="16.33203125" style="1" customWidth="1"/>
    <col min="12796" max="13026" width="10.33203125" style="1"/>
    <col min="13027" max="13027" width="4.44140625" style="1" customWidth="1"/>
    <col min="13028" max="13028" width="21.6640625" style="1" customWidth="1"/>
    <col min="13029" max="13029" width="15" style="1" customWidth="1"/>
    <col min="13030" max="13030" width="15.44140625" style="1" customWidth="1"/>
    <col min="13031" max="13031" width="11.5546875" style="1" customWidth="1"/>
    <col min="13032" max="13032" width="7.44140625" style="1" customWidth="1"/>
    <col min="13033" max="13033" width="14.109375" style="1" customWidth="1"/>
    <col min="13034" max="13034" width="10.6640625" style="1" customWidth="1"/>
    <col min="13035" max="13035" width="13.44140625" style="1" customWidth="1"/>
    <col min="13036" max="13036" width="11.44140625" style="1" customWidth="1"/>
    <col min="13037" max="13037" width="15" style="1" customWidth="1"/>
    <col min="13038" max="13038" width="14.5546875" style="1" customWidth="1"/>
    <col min="13039" max="13039" width="10.33203125" style="1"/>
    <col min="13040" max="13040" width="7.44140625" style="1" customWidth="1"/>
    <col min="13041" max="13041" width="12.88671875" style="1" customWidth="1"/>
    <col min="13042" max="13042" width="11.109375" style="1" customWidth="1"/>
    <col min="13043" max="13043" width="14" style="1" customWidth="1"/>
    <col min="13044" max="13044" width="33" style="1" customWidth="1"/>
    <col min="13045" max="13045" width="6.6640625" style="1" customWidth="1"/>
    <col min="13046" max="13046" width="19" style="1" customWidth="1"/>
    <col min="13047" max="13047" width="19.109375" style="1" customWidth="1"/>
    <col min="13048" max="13048" width="21.33203125" style="1" customWidth="1"/>
    <col min="13049" max="13049" width="32.5546875" style="1" customWidth="1"/>
    <col min="13050" max="13050" width="16.88671875" style="1" customWidth="1"/>
    <col min="13051" max="13051" width="16.33203125" style="1" customWidth="1"/>
    <col min="13052" max="13282" width="10.33203125" style="1"/>
    <col min="13283" max="13283" width="4.44140625" style="1" customWidth="1"/>
    <col min="13284" max="13284" width="21.6640625" style="1" customWidth="1"/>
    <col min="13285" max="13285" width="15" style="1" customWidth="1"/>
    <col min="13286" max="13286" width="15.44140625" style="1" customWidth="1"/>
    <col min="13287" max="13287" width="11.5546875" style="1" customWidth="1"/>
    <col min="13288" max="13288" width="7.44140625" style="1" customWidth="1"/>
    <col min="13289" max="13289" width="14.109375" style="1" customWidth="1"/>
    <col min="13290" max="13290" width="10.6640625" style="1" customWidth="1"/>
    <col min="13291" max="13291" width="13.44140625" style="1" customWidth="1"/>
    <col min="13292" max="13292" width="11.44140625" style="1" customWidth="1"/>
    <col min="13293" max="13293" width="15" style="1" customWidth="1"/>
    <col min="13294" max="13294" width="14.5546875" style="1" customWidth="1"/>
    <col min="13295" max="13295" width="10.33203125" style="1"/>
    <col min="13296" max="13296" width="7.44140625" style="1" customWidth="1"/>
    <col min="13297" max="13297" width="12.88671875" style="1" customWidth="1"/>
    <col min="13298" max="13298" width="11.109375" style="1" customWidth="1"/>
    <col min="13299" max="13299" width="14" style="1" customWidth="1"/>
    <col min="13300" max="13300" width="33" style="1" customWidth="1"/>
    <col min="13301" max="13301" width="6.6640625" style="1" customWidth="1"/>
    <col min="13302" max="13302" width="19" style="1" customWidth="1"/>
    <col min="13303" max="13303" width="19.109375" style="1" customWidth="1"/>
    <col min="13304" max="13304" width="21.33203125" style="1" customWidth="1"/>
    <col min="13305" max="13305" width="32.5546875" style="1" customWidth="1"/>
    <col min="13306" max="13306" width="16.88671875" style="1" customWidth="1"/>
    <col min="13307" max="13307" width="16.33203125" style="1" customWidth="1"/>
    <col min="13308" max="13538" width="10.33203125" style="1"/>
    <col min="13539" max="13539" width="4.44140625" style="1" customWidth="1"/>
    <col min="13540" max="13540" width="21.6640625" style="1" customWidth="1"/>
    <col min="13541" max="13541" width="15" style="1" customWidth="1"/>
    <col min="13542" max="13542" width="15.44140625" style="1" customWidth="1"/>
    <col min="13543" max="13543" width="11.5546875" style="1" customWidth="1"/>
    <col min="13544" max="13544" width="7.44140625" style="1" customWidth="1"/>
    <col min="13545" max="13545" width="14.109375" style="1" customWidth="1"/>
    <col min="13546" max="13546" width="10.6640625" style="1" customWidth="1"/>
    <col min="13547" max="13547" width="13.44140625" style="1" customWidth="1"/>
    <col min="13548" max="13548" width="11.44140625" style="1" customWidth="1"/>
    <col min="13549" max="13549" width="15" style="1" customWidth="1"/>
    <col min="13550" max="13550" width="14.5546875" style="1" customWidth="1"/>
    <col min="13551" max="13551" width="10.33203125" style="1"/>
    <col min="13552" max="13552" width="7.44140625" style="1" customWidth="1"/>
    <col min="13553" max="13553" width="12.88671875" style="1" customWidth="1"/>
    <col min="13554" max="13554" width="11.109375" style="1" customWidth="1"/>
    <col min="13555" max="13555" width="14" style="1" customWidth="1"/>
    <col min="13556" max="13556" width="33" style="1" customWidth="1"/>
    <col min="13557" max="13557" width="6.6640625" style="1" customWidth="1"/>
    <col min="13558" max="13558" width="19" style="1" customWidth="1"/>
    <col min="13559" max="13559" width="19.109375" style="1" customWidth="1"/>
    <col min="13560" max="13560" width="21.33203125" style="1" customWidth="1"/>
    <col min="13561" max="13561" width="32.5546875" style="1" customWidth="1"/>
    <col min="13562" max="13562" width="16.88671875" style="1" customWidth="1"/>
    <col min="13563" max="13563" width="16.33203125" style="1" customWidth="1"/>
    <col min="13564" max="13794" width="10.33203125" style="1"/>
    <col min="13795" max="13795" width="4.44140625" style="1" customWidth="1"/>
    <col min="13796" max="13796" width="21.6640625" style="1" customWidth="1"/>
    <col min="13797" max="13797" width="15" style="1" customWidth="1"/>
    <col min="13798" max="13798" width="15.44140625" style="1" customWidth="1"/>
    <col min="13799" max="13799" width="11.5546875" style="1" customWidth="1"/>
    <col min="13800" max="13800" width="7.44140625" style="1" customWidth="1"/>
    <col min="13801" max="13801" width="14.109375" style="1" customWidth="1"/>
    <col min="13802" max="13802" width="10.6640625" style="1" customWidth="1"/>
    <col min="13803" max="13803" width="13.44140625" style="1" customWidth="1"/>
    <col min="13804" max="13804" width="11.44140625" style="1" customWidth="1"/>
    <col min="13805" max="13805" width="15" style="1" customWidth="1"/>
    <col min="13806" max="13806" width="14.5546875" style="1" customWidth="1"/>
    <col min="13807" max="13807" width="10.33203125" style="1"/>
    <col min="13808" max="13808" width="7.44140625" style="1" customWidth="1"/>
    <col min="13809" max="13809" width="12.88671875" style="1" customWidth="1"/>
    <col min="13810" max="13810" width="11.109375" style="1" customWidth="1"/>
    <col min="13811" max="13811" width="14" style="1" customWidth="1"/>
    <col min="13812" max="13812" width="33" style="1" customWidth="1"/>
    <col min="13813" max="13813" width="6.6640625" style="1" customWidth="1"/>
    <col min="13814" max="13814" width="19" style="1" customWidth="1"/>
    <col min="13815" max="13815" width="19.109375" style="1" customWidth="1"/>
    <col min="13816" max="13816" width="21.33203125" style="1" customWidth="1"/>
    <col min="13817" max="13817" width="32.5546875" style="1" customWidth="1"/>
    <col min="13818" max="13818" width="16.88671875" style="1" customWidth="1"/>
    <col min="13819" max="13819" width="16.33203125" style="1" customWidth="1"/>
    <col min="13820" max="14050" width="10.33203125" style="1"/>
    <col min="14051" max="14051" width="4.44140625" style="1" customWidth="1"/>
    <col min="14052" max="14052" width="21.6640625" style="1" customWidth="1"/>
    <col min="14053" max="14053" width="15" style="1" customWidth="1"/>
    <col min="14054" max="14054" width="15.44140625" style="1" customWidth="1"/>
    <col min="14055" max="14055" width="11.5546875" style="1" customWidth="1"/>
    <col min="14056" max="14056" width="7.44140625" style="1" customWidth="1"/>
    <col min="14057" max="14057" width="14.109375" style="1" customWidth="1"/>
    <col min="14058" max="14058" width="10.6640625" style="1" customWidth="1"/>
    <col min="14059" max="14059" width="13.44140625" style="1" customWidth="1"/>
    <col min="14060" max="14060" width="11.44140625" style="1" customWidth="1"/>
    <col min="14061" max="14061" width="15" style="1" customWidth="1"/>
    <col min="14062" max="14062" width="14.5546875" style="1" customWidth="1"/>
    <col min="14063" max="14063" width="10.33203125" style="1"/>
    <col min="14064" max="14064" width="7.44140625" style="1" customWidth="1"/>
    <col min="14065" max="14065" width="12.88671875" style="1" customWidth="1"/>
    <col min="14066" max="14066" width="11.109375" style="1" customWidth="1"/>
    <col min="14067" max="14067" width="14" style="1" customWidth="1"/>
    <col min="14068" max="14068" width="33" style="1" customWidth="1"/>
    <col min="14069" max="14069" width="6.6640625" style="1" customWidth="1"/>
    <col min="14070" max="14070" width="19" style="1" customWidth="1"/>
    <col min="14071" max="14071" width="19.109375" style="1" customWidth="1"/>
    <col min="14072" max="14072" width="21.33203125" style="1" customWidth="1"/>
    <col min="14073" max="14073" width="32.5546875" style="1" customWidth="1"/>
    <col min="14074" max="14074" width="16.88671875" style="1" customWidth="1"/>
    <col min="14075" max="14075" width="16.33203125" style="1" customWidth="1"/>
    <col min="14076" max="14306" width="10.33203125" style="1"/>
    <col min="14307" max="14307" width="4.44140625" style="1" customWidth="1"/>
    <col min="14308" max="14308" width="21.6640625" style="1" customWidth="1"/>
    <col min="14309" max="14309" width="15" style="1" customWidth="1"/>
    <col min="14310" max="14310" width="15.44140625" style="1" customWidth="1"/>
    <col min="14311" max="14311" width="11.5546875" style="1" customWidth="1"/>
    <col min="14312" max="14312" width="7.44140625" style="1" customWidth="1"/>
    <col min="14313" max="14313" width="14.109375" style="1" customWidth="1"/>
    <col min="14314" max="14314" width="10.6640625" style="1" customWidth="1"/>
    <col min="14315" max="14315" width="13.44140625" style="1" customWidth="1"/>
    <col min="14316" max="14316" width="11.44140625" style="1" customWidth="1"/>
    <col min="14317" max="14317" width="15" style="1" customWidth="1"/>
    <col min="14318" max="14318" width="14.5546875" style="1" customWidth="1"/>
    <col min="14319" max="14319" width="10.33203125" style="1"/>
    <col min="14320" max="14320" width="7.44140625" style="1" customWidth="1"/>
    <col min="14321" max="14321" width="12.88671875" style="1" customWidth="1"/>
    <col min="14322" max="14322" width="11.109375" style="1" customWidth="1"/>
    <col min="14323" max="14323" width="14" style="1" customWidth="1"/>
    <col min="14324" max="14324" width="33" style="1" customWidth="1"/>
    <col min="14325" max="14325" width="6.6640625" style="1" customWidth="1"/>
    <col min="14326" max="14326" width="19" style="1" customWidth="1"/>
    <col min="14327" max="14327" width="19.109375" style="1" customWidth="1"/>
    <col min="14328" max="14328" width="21.33203125" style="1" customWidth="1"/>
    <col min="14329" max="14329" width="32.5546875" style="1" customWidth="1"/>
    <col min="14330" max="14330" width="16.88671875" style="1" customWidth="1"/>
    <col min="14331" max="14331" width="16.33203125" style="1" customWidth="1"/>
    <col min="14332" max="14562" width="10.33203125" style="1"/>
    <col min="14563" max="14563" width="4.44140625" style="1" customWidth="1"/>
    <col min="14564" max="14564" width="21.6640625" style="1" customWidth="1"/>
    <col min="14565" max="14565" width="15" style="1" customWidth="1"/>
    <col min="14566" max="14566" width="15.44140625" style="1" customWidth="1"/>
    <col min="14567" max="14567" width="11.5546875" style="1" customWidth="1"/>
    <col min="14568" max="14568" width="7.44140625" style="1" customWidth="1"/>
    <col min="14569" max="14569" width="14.109375" style="1" customWidth="1"/>
    <col min="14570" max="14570" width="10.6640625" style="1" customWidth="1"/>
    <col min="14571" max="14571" width="13.44140625" style="1" customWidth="1"/>
    <col min="14572" max="14572" width="11.44140625" style="1" customWidth="1"/>
    <col min="14573" max="14573" width="15" style="1" customWidth="1"/>
    <col min="14574" max="14574" width="14.5546875" style="1" customWidth="1"/>
    <col min="14575" max="14575" width="10.33203125" style="1"/>
    <col min="14576" max="14576" width="7.44140625" style="1" customWidth="1"/>
    <col min="14577" max="14577" width="12.88671875" style="1" customWidth="1"/>
    <col min="14578" max="14578" width="11.109375" style="1" customWidth="1"/>
    <col min="14579" max="14579" width="14" style="1" customWidth="1"/>
    <col min="14580" max="14580" width="33" style="1" customWidth="1"/>
    <col min="14581" max="14581" width="6.6640625" style="1" customWidth="1"/>
    <col min="14582" max="14582" width="19" style="1" customWidth="1"/>
    <col min="14583" max="14583" width="19.109375" style="1" customWidth="1"/>
    <col min="14584" max="14584" width="21.33203125" style="1" customWidth="1"/>
    <col min="14585" max="14585" width="32.5546875" style="1" customWidth="1"/>
    <col min="14586" max="14586" width="16.88671875" style="1" customWidth="1"/>
    <col min="14587" max="14587" width="16.33203125" style="1" customWidth="1"/>
    <col min="14588" max="14818" width="10.33203125" style="1"/>
    <col min="14819" max="14819" width="4.44140625" style="1" customWidth="1"/>
    <col min="14820" max="14820" width="21.6640625" style="1" customWidth="1"/>
    <col min="14821" max="14821" width="15" style="1" customWidth="1"/>
    <col min="14822" max="14822" width="15.44140625" style="1" customWidth="1"/>
    <col min="14823" max="14823" width="11.5546875" style="1" customWidth="1"/>
    <col min="14824" max="14824" width="7.44140625" style="1" customWidth="1"/>
    <col min="14825" max="14825" width="14.109375" style="1" customWidth="1"/>
    <col min="14826" max="14826" width="10.6640625" style="1" customWidth="1"/>
    <col min="14827" max="14827" width="13.44140625" style="1" customWidth="1"/>
    <col min="14828" max="14828" width="11.44140625" style="1" customWidth="1"/>
    <col min="14829" max="14829" width="15" style="1" customWidth="1"/>
    <col min="14830" max="14830" width="14.5546875" style="1" customWidth="1"/>
    <col min="14831" max="14831" width="10.33203125" style="1"/>
    <col min="14832" max="14832" width="7.44140625" style="1" customWidth="1"/>
    <col min="14833" max="14833" width="12.88671875" style="1" customWidth="1"/>
    <col min="14834" max="14834" width="11.109375" style="1" customWidth="1"/>
    <col min="14835" max="14835" width="14" style="1" customWidth="1"/>
    <col min="14836" max="14836" width="33" style="1" customWidth="1"/>
    <col min="14837" max="14837" width="6.6640625" style="1" customWidth="1"/>
    <col min="14838" max="14838" width="19" style="1" customWidth="1"/>
    <col min="14839" max="14839" width="19.109375" style="1" customWidth="1"/>
    <col min="14840" max="14840" width="21.33203125" style="1" customWidth="1"/>
    <col min="14841" max="14841" width="32.5546875" style="1" customWidth="1"/>
    <col min="14842" max="14842" width="16.88671875" style="1" customWidth="1"/>
    <col min="14843" max="14843" width="16.33203125" style="1" customWidth="1"/>
    <col min="14844" max="15074" width="10.33203125" style="1"/>
    <col min="15075" max="15075" width="4.44140625" style="1" customWidth="1"/>
    <col min="15076" max="15076" width="21.6640625" style="1" customWidth="1"/>
    <col min="15077" max="15077" width="15" style="1" customWidth="1"/>
    <col min="15078" max="15078" width="15.44140625" style="1" customWidth="1"/>
    <col min="15079" max="15079" width="11.5546875" style="1" customWidth="1"/>
    <col min="15080" max="15080" width="7.44140625" style="1" customWidth="1"/>
    <col min="15081" max="15081" width="14.109375" style="1" customWidth="1"/>
    <col min="15082" max="15082" width="10.6640625" style="1" customWidth="1"/>
    <col min="15083" max="15083" width="13.44140625" style="1" customWidth="1"/>
    <col min="15084" max="15084" width="11.44140625" style="1" customWidth="1"/>
    <col min="15085" max="15085" width="15" style="1" customWidth="1"/>
    <col min="15086" max="15086" width="14.5546875" style="1" customWidth="1"/>
    <col min="15087" max="15087" width="10.33203125" style="1"/>
    <col min="15088" max="15088" width="7.44140625" style="1" customWidth="1"/>
    <col min="15089" max="15089" width="12.88671875" style="1" customWidth="1"/>
    <col min="15090" max="15090" width="11.109375" style="1" customWidth="1"/>
    <col min="15091" max="15091" width="14" style="1" customWidth="1"/>
    <col min="15092" max="15092" width="33" style="1" customWidth="1"/>
    <col min="15093" max="15093" width="6.6640625" style="1" customWidth="1"/>
    <col min="15094" max="15094" width="19" style="1" customWidth="1"/>
    <col min="15095" max="15095" width="19.109375" style="1" customWidth="1"/>
    <col min="15096" max="15096" width="21.33203125" style="1" customWidth="1"/>
    <col min="15097" max="15097" width="32.5546875" style="1" customWidth="1"/>
    <col min="15098" max="15098" width="16.88671875" style="1" customWidth="1"/>
    <col min="15099" max="15099" width="16.33203125" style="1" customWidth="1"/>
    <col min="15100" max="15330" width="10.33203125" style="1"/>
    <col min="15331" max="15331" width="4.44140625" style="1" customWidth="1"/>
    <col min="15332" max="15332" width="21.6640625" style="1" customWidth="1"/>
    <col min="15333" max="15333" width="15" style="1" customWidth="1"/>
    <col min="15334" max="15334" width="15.44140625" style="1" customWidth="1"/>
    <col min="15335" max="15335" width="11.5546875" style="1" customWidth="1"/>
    <col min="15336" max="15336" width="7.44140625" style="1" customWidth="1"/>
    <col min="15337" max="15337" width="14.109375" style="1" customWidth="1"/>
    <col min="15338" max="15338" width="10.6640625" style="1" customWidth="1"/>
    <col min="15339" max="15339" width="13.44140625" style="1" customWidth="1"/>
    <col min="15340" max="15340" width="11.44140625" style="1" customWidth="1"/>
    <col min="15341" max="15341" width="15" style="1" customWidth="1"/>
    <col min="15342" max="15342" width="14.5546875" style="1" customWidth="1"/>
    <col min="15343" max="15343" width="10.33203125" style="1"/>
    <col min="15344" max="15344" width="7.44140625" style="1" customWidth="1"/>
    <col min="15345" max="15345" width="12.88671875" style="1" customWidth="1"/>
    <col min="15346" max="15346" width="11.109375" style="1" customWidth="1"/>
    <col min="15347" max="15347" width="14" style="1" customWidth="1"/>
    <col min="15348" max="15348" width="33" style="1" customWidth="1"/>
    <col min="15349" max="15349" width="6.6640625" style="1" customWidth="1"/>
    <col min="15350" max="15350" width="19" style="1" customWidth="1"/>
    <col min="15351" max="15351" width="19.109375" style="1" customWidth="1"/>
    <col min="15352" max="15352" width="21.33203125" style="1" customWidth="1"/>
    <col min="15353" max="15353" width="32.5546875" style="1" customWidth="1"/>
    <col min="15354" max="15354" width="16.88671875" style="1" customWidth="1"/>
    <col min="15355" max="15355" width="16.33203125" style="1" customWidth="1"/>
    <col min="15356" max="15586" width="10.33203125" style="1"/>
    <col min="15587" max="15587" width="4.44140625" style="1" customWidth="1"/>
    <col min="15588" max="15588" width="21.6640625" style="1" customWidth="1"/>
    <col min="15589" max="15589" width="15" style="1" customWidth="1"/>
    <col min="15590" max="15590" width="15.44140625" style="1" customWidth="1"/>
    <col min="15591" max="15591" width="11.5546875" style="1" customWidth="1"/>
    <col min="15592" max="15592" width="7.44140625" style="1" customWidth="1"/>
    <col min="15593" max="15593" width="14.109375" style="1" customWidth="1"/>
    <col min="15594" max="15594" width="10.6640625" style="1" customWidth="1"/>
    <col min="15595" max="15595" width="13.44140625" style="1" customWidth="1"/>
    <col min="15596" max="15596" width="11.44140625" style="1" customWidth="1"/>
    <col min="15597" max="15597" width="15" style="1" customWidth="1"/>
    <col min="15598" max="15598" width="14.5546875" style="1" customWidth="1"/>
    <col min="15599" max="15599" width="10.33203125" style="1"/>
    <col min="15600" max="15600" width="7.44140625" style="1" customWidth="1"/>
    <col min="15601" max="15601" width="12.88671875" style="1" customWidth="1"/>
    <col min="15602" max="15602" width="11.109375" style="1" customWidth="1"/>
    <col min="15603" max="15603" width="14" style="1" customWidth="1"/>
    <col min="15604" max="15604" width="33" style="1" customWidth="1"/>
    <col min="15605" max="15605" width="6.6640625" style="1" customWidth="1"/>
    <col min="15606" max="15606" width="19" style="1" customWidth="1"/>
    <col min="15607" max="15607" width="19.109375" style="1" customWidth="1"/>
    <col min="15608" max="15608" width="21.33203125" style="1" customWidth="1"/>
    <col min="15609" max="15609" width="32.5546875" style="1" customWidth="1"/>
    <col min="15610" max="15610" width="16.88671875" style="1" customWidth="1"/>
    <col min="15611" max="15611" width="16.33203125" style="1" customWidth="1"/>
    <col min="15612" max="15842" width="10.33203125" style="1"/>
    <col min="15843" max="15843" width="4.44140625" style="1" customWidth="1"/>
    <col min="15844" max="15844" width="21.6640625" style="1" customWidth="1"/>
    <col min="15845" max="15845" width="15" style="1" customWidth="1"/>
    <col min="15846" max="15846" width="15.44140625" style="1" customWidth="1"/>
    <col min="15847" max="15847" width="11.5546875" style="1" customWidth="1"/>
    <col min="15848" max="15848" width="7.44140625" style="1" customWidth="1"/>
    <col min="15849" max="15849" width="14.109375" style="1" customWidth="1"/>
    <col min="15850" max="15850" width="10.6640625" style="1" customWidth="1"/>
    <col min="15851" max="15851" width="13.44140625" style="1" customWidth="1"/>
    <col min="15852" max="15852" width="11.44140625" style="1" customWidth="1"/>
    <col min="15853" max="15853" width="15" style="1" customWidth="1"/>
    <col min="15854" max="15854" width="14.5546875" style="1" customWidth="1"/>
    <col min="15855" max="15855" width="10.33203125" style="1"/>
    <col min="15856" max="15856" width="7.44140625" style="1" customWidth="1"/>
    <col min="15857" max="15857" width="12.88671875" style="1" customWidth="1"/>
    <col min="15858" max="15858" width="11.109375" style="1" customWidth="1"/>
    <col min="15859" max="15859" width="14" style="1" customWidth="1"/>
    <col min="15860" max="15860" width="33" style="1" customWidth="1"/>
    <col min="15861" max="15861" width="6.6640625" style="1" customWidth="1"/>
    <col min="15862" max="15862" width="19" style="1" customWidth="1"/>
    <col min="15863" max="15863" width="19.109375" style="1" customWidth="1"/>
    <col min="15864" max="15864" width="21.33203125" style="1" customWidth="1"/>
    <col min="15865" max="15865" width="32.5546875" style="1" customWidth="1"/>
    <col min="15866" max="15866" width="16.88671875" style="1" customWidth="1"/>
    <col min="15867" max="15867" width="16.33203125" style="1" customWidth="1"/>
    <col min="15868" max="16098" width="10.33203125" style="1"/>
    <col min="16099" max="16099" width="4.44140625" style="1" customWidth="1"/>
    <col min="16100" max="16100" width="21.6640625" style="1" customWidth="1"/>
    <col min="16101" max="16101" width="15" style="1" customWidth="1"/>
    <col min="16102" max="16102" width="15.44140625" style="1" customWidth="1"/>
    <col min="16103" max="16103" width="11.5546875" style="1" customWidth="1"/>
    <col min="16104" max="16104" width="7.44140625" style="1" customWidth="1"/>
    <col min="16105" max="16105" width="14.109375" style="1" customWidth="1"/>
    <col min="16106" max="16106" width="10.6640625" style="1" customWidth="1"/>
    <col min="16107" max="16107" width="13.44140625" style="1" customWidth="1"/>
    <col min="16108" max="16108" width="11.44140625" style="1" customWidth="1"/>
    <col min="16109" max="16109" width="15" style="1" customWidth="1"/>
    <col min="16110" max="16110" width="14.5546875" style="1" customWidth="1"/>
    <col min="16111" max="16111" width="10.33203125" style="1"/>
    <col min="16112" max="16112" width="7.44140625" style="1" customWidth="1"/>
    <col min="16113" max="16113" width="12.88671875" style="1" customWidth="1"/>
    <col min="16114" max="16114" width="11.109375" style="1" customWidth="1"/>
    <col min="16115" max="16115" width="14" style="1" customWidth="1"/>
    <col min="16116" max="16116" width="33" style="1" customWidth="1"/>
    <col min="16117" max="16117" width="6.6640625" style="1" customWidth="1"/>
    <col min="16118" max="16118" width="19" style="1" customWidth="1"/>
    <col min="16119" max="16119" width="19.109375" style="1" customWidth="1"/>
    <col min="16120" max="16120" width="21.33203125" style="1" customWidth="1"/>
    <col min="16121" max="16121" width="32.5546875" style="1" customWidth="1"/>
    <col min="16122" max="16122" width="16.88671875" style="1" customWidth="1"/>
    <col min="16123" max="16123" width="16.33203125" style="1" customWidth="1"/>
    <col min="16124" max="16384" width="10.33203125" style="1"/>
  </cols>
  <sheetData>
    <row r="1" spans="1:6" ht="24.6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404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60" t="s">
        <v>8</v>
      </c>
      <c r="E4" s="761"/>
      <c r="F4" s="762"/>
    </row>
    <row r="5" spans="1:6" ht="24.6">
      <c r="A5" s="3"/>
      <c r="B5" s="13"/>
      <c r="C5" s="3"/>
      <c r="D5" s="565"/>
      <c r="E5" s="566"/>
      <c r="F5" s="564"/>
    </row>
    <row r="6" spans="1:6" ht="24.6">
      <c r="A6" s="3"/>
      <c r="B6" s="3"/>
      <c r="C6" s="3"/>
      <c r="D6" s="567" t="s">
        <v>27</v>
      </c>
      <c r="E6" s="566" t="s">
        <v>28</v>
      </c>
      <c r="F6" s="564" t="s">
        <v>29</v>
      </c>
    </row>
    <row r="7" spans="1:6" ht="24.6">
      <c r="A7" s="29"/>
      <c r="B7" s="45" t="s">
        <v>39</v>
      </c>
      <c r="C7" s="29"/>
      <c r="D7" s="568"/>
      <c r="E7" s="569"/>
      <c r="F7" s="569"/>
    </row>
    <row r="8" spans="1:6" ht="24.6">
      <c r="A8" s="25">
        <v>1</v>
      </c>
      <c r="B8" s="29" t="s">
        <v>277</v>
      </c>
      <c r="C8" s="29"/>
      <c r="D8" s="570">
        <v>25296</v>
      </c>
      <c r="E8" s="398" t="s">
        <v>407</v>
      </c>
      <c r="F8" s="571">
        <v>535</v>
      </c>
    </row>
    <row r="9" spans="1:6" ht="24.6">
      <c r="A9" s="25">
        <v>2</v>
      </c>
      <c r="B9" s="29" t="s">
        <v>46</v>
      </c>
      <c r="C9" s="29"/>
      <c r="D9" s="572">
        <v>25323</v>
      </c>
      <c r="E9" s="573" t="s">
        <v>408</v>
      </c>
      <c r="F9" s="574">
        <v>535</v>
      </c>
    </row>
    <row r="10" spans="1:6" ht="25.2" thickBot="1">
      <c r="A10" s="29"/>
      <c r="B10" s="25" t="s">
        <v>26</v>
      </c>
      <c r="C10" s="29"/>
      <c r="D10" s="575"/>
      <c r="E10" s="575"/>
      <c r="F10" s="607">
        <f>SUM(F8:F9)</f>
        <v>1070</v>
      </c>
    </row>
    <row r="11" spans="1:6" ht="25.2" hidden="1" thickTop="1">
      <c r="A11" s="29"/>
      <c r="B11" s="45" t="s">
        <v>49</v>
      </c>
      <c r="C11" s="29"/>
      <c r="D11" s="568"/>
      <c r="E11" s="569"/>
      <c r="F11" s="577"/>
    </row>
    <row r="12" spans="1:6" ht="16.5" hidden="1" customHeight="1" thickTop="1">
      <c r="A12" s="25">
        <v>1</v>
      </c>
      <c r="B12" s="25"/>
      <c r="C12" s="29"/>
      <c r="D12" s="578"/>
      <c r="E12" s="579"/>
      <c r="F12" s="580"/>
    </row>
    <row r="13" spans="1:6" ht="25.8" hidden="1" thickTop="1" thickBot="1">
      <c r="A13" s="25"/>
      <c r="B13" s="25" t="s">
        <v>26</v>
      </c>
      <c r="C13" s="29"/>
      <c r="D13" s="581"/>
      <c r="E13" s="582"/>
      <c r="F13" s="583"/>
    </row>
    <row r="14" spans="1:6" ht="25.2" hidden="1" thickTop="1">
      <c r="A14" s="25"/>
      <c r="B14" s="45" t="s">
        <v>50</v>
      </c>
      <c r="C14" s="29"/>
      <c r="D14" s="568"/>
      <c r="E14" s="569"/>
      <c r="F14" s="577"/>
    </row>
    <row r="15" spans="1:6" ht="25.8" hidden="1" thickTop="1" thickBot="1">
      <c r="A15" s="25"/>
      <c r="B15" s="25"/>
      <c r="C15" s="29"/>
      <c r="D15" s="578"/>
      <c r="E15" s="579"/>
      <c r="F15" s="580"/>
    </row>
    <row r="16" spans="1:6" ht="25.2" hidden="1" thickTop="1">
      <c r="A16" s="25"/>
      <c r="B16" s="25" t="s">
        <v>26</v>
      </c>
      <c r="C16" s="29"/>
      <c r="D16" s="584"/>
      <c r="E16" s="585"/>
      <c r="F16" s="586"/>
    </row>
    <row r="17" spans="1:6" ht="25.2" hidden="1" thickTop="1">
      <c r="A17" s="25"/>
      <c r="B17" s="45" t="s">
        <v>51</v>
      </c>
      <c r="C17" s="29"/>
      <c r="D17" s="587"/>
      <c r="E17" s="588"/>
      <c r="F17" s="589"/>
    </row>
    <row r="18" spans="1:6" ht="25.8" hidden="1" thickTop="1" thickBot="1">
      <c r="A18" s="25">
        <v>1</v>
      </c>
      <c r="B18" s="25"/>
      <c r="C18" s="29"/>
      <c r="D18" s="578"/>
      <c r="E18" s="579"/>
      <c r="F18" s="580"/>
    </row>
    <row r="19" spans="1:6" ht="25.8" hidden="1" thickTop="1" thickBot="1">
      <c r="A19" s="25"/>
      <c r="B19" s="25" t="s">
        <v>26</v>
      </c>
      <c r="C19" s="29"/>
      <c r="D19" s="590"/>
      <c r="E19" s="591"/>
      <c r="F19" s="575"/>
    </row>
    <row r="20" spans="1:6" ht="25.2" thickTop="1">
      <c r="A20" s="29"/>
      <c r="B20" s="45" t="s">
        <v>52</v>
      </c>
      <c r="C20" s="29"/>
      <c r="D20" s="568"/>
      <c r="E20" s="569"/>
      <c r="F20" s="577"/>
    </row>
    <row r="21" spans="1:6" ht="24.6">
      <c r="A21" s="29"/>
      <c r="B21" s="116" t="s">
        <v>53</v>
      </c>
      <c r="C21" s="29"/>
      <c r="D21" s="568"/>
      <c r="E21" s="569"/>
      <c r="F21" s="577"/>
    </row>
    <row r="22" spans="1:6" ht="24.6">
      <c r="A22" s="25">
        <v>1</v>
      </c>
      <c r="B22" s="29" t="s">
        <v>65</v>
      </c>
      <c r="C22" s="25">
        <v>267</v>
      </c>
      <c r="D22" s="592">
        <v>25300</v>
      </c>
      <c r="E22" s="421" t="s">
        <v>409</v>
      </c>
      <c r="F22" s="593">
        <v>1215</v>
      </c>
    </row>
    <row r="23" spans="1:6" ht="24.6">
      <c r="A23" s="25">
        <v>2</v>
      </c>
      <c r="B23" s="29" t="s">
        <v>70</v>
      </c>
      <c r="C23" s="25" t="s">
        <v>71</v>
      </c>
      <c r="D23" s="592">
        <v>25301</v>
      </c>
      <c r="E23" s="421" t="s">
        <v>410</v>
      </c>
      <c r="F23" s="593">
        <v>2430</v>
      </c>
    </row>
    <row r="24" spans="1:6" ht="24.6">
      <c r="A24" s="25">
        <v>3</v>
      </c>
      <c r="B24" s="29" t="s">
        <v>73</v>
      </c>
      <c r="C24" s="120">
        <v>84282</v>
      </c>
      <c r="D24" s="592">
        <v>25313</v>
      </c>
      <c r="E24" s="421" t="s">
        <v>412</v>
      </c>
      <c r="F24" s="593">
        <v>4860</v>
      </c>
    </row>
    <row r="25" spans="1:6" ht="24.6">
      <c r="A25" s="25">
        <v>4</v>
      </c>
      <c r="B25" s="29" t="s">
        <v>78</v>
      </c>
      <c r="C25" s="25" t="s">
        <v>79</v>
      </c>
      <c r="D25" s="592">
        <v>25300</v>
      </c>
      <c r="E25" s="421" t="s">
        <v>413</v>
      </c>
      <c r="F25" s="593">
        <v>2430</v>
      </c>
    </row>
    <row r="26" spans="1:6" ht="24.6">
      <c r="A26" s="25">
        <v>5</v>
      </c>
      <c r="B26" s="29" t="s">
        <v>83</v>
      </c>
      <c r="C26" s="25">
        <v>277</v>
      </c>
      <c r="D26" s="592">
        <v>25321</v>
      </c>
      <c r="E26" s="421" t="s">
        <v>414</v>
      </c>
      <c r="F26" s="593">
        <v>1215</v>
      </c>
    </row>
    <row r="27" spans="1:6" ht="24.6">
      <c r="A27" s="25"/>
      <c r="B27" s="116" t="s">
        <v>104</v>
      </c>
      <c r="C27" s="29"/>
      <c r="D27" s="588"/>
      <c r="E27" s="588"/>
      <c r="F27" s="588"/>
    </row>
    <row r="28" spans="1:6" ht="24.6">
      <c r="A28" s="25">
        <v>1</v>
      </c>
      <c r="B28" s="29" t="s">
        <v>105</v>
      </c>
      <c r="C28" s="29"/>
      <c r="D28" s="592">
        <v>25322</v>
      </c>
      <c r="E28" s="421" t="s">
        <v>415</v>
      </c>
      <c r="F28" s="593">
        <v>5000</v>
      </c>
    </row>
    <row r="29" spans="1:6" ht="24.6">
      <c r="A29" s="25">
        <v>2</v>
      </c>
      <c r="B29" s="29" t="s">
        <v>105</v>
      </c>
      <c r="C29" s="29"/>
      <c r="D29" s="592">
        <v>25322</v>
      </c>
      <c r="E29" s="421" t="s">
        <v>416</v>
      </c>
      <c r="F29" s="593">
        <v>4650</v>
      </c>
    </row>
    <row r="30" spans="1:6" ht="24.6">
      <c r="A30" s="25">
        <v>3</v>
      </c>
      <c r="B30" s="29" t="s">
        <v>109</v>
      </c>
      <c r="C30" s="53"/>
      <c r="D30" s="592">
        <v>25300</v>
      </c>
      <c r="E30" s="421" t="s">
        <v>417</v>
      </c>
      <c r="F30" s="593">
        <v>3450</v>
      </c>
    </row>
    <row r="31" spans="1:6" ht="24.6">
      <c r="A31" s="25">
        <v>4</v>
      </c>
      <c r="B31" s="29" t="s">
        <v>112</v>
      </c>
      <c r="C31" s="29"/>
      <c r="D31" s="592">
        <v>25300</v>
      </c>
      <c r="E31" s="421" t="s">
        <v>418</v>
      </c>
      <c r="F31" s="593">
        <v>3795</v>
      </c>
    </row>
    <row r="32" spans="1:6" ht="25.5" customHeight="1">
      <c r="A32" s="25">
        <v>5</v>
      </c>
      <c r="B32" s="132" t="s">
        <v>115</v>
      </c>
      <c r="C32" s="132"/>
      <c r="D32" s="592">
        <v>25300</v>
      </c>
      <c r="E32" s="421" t="s">
        <v>419</v>
      </c>
      <c r="F32" s="593">
        <v>8000</v>
      </c>
    </row>
    <row r="33" spans="1:6" ht="25.2" thickBot="1">
      <c r="A33" s="29"/>
      <c r="B33" s="25" t="s">
        <v>26</v>
      </c>
      <c r="C33" s="74"/>
      <c r="D33" s="580"/>
      <c r="E33" s="580"/>
      <c r="F33" s="608">
        <f>SUM(F22:F32)</f>
        <v>37045</v>
      </c>
    </row>
    <row r="34" spans="1:6" ht="25.2" thickTop="1">
      <c r="A34" s="29"/>
      <c r="B34" s="116" t="s">
        <v>117</v>
      </c>
      <c r="C34" s="46"/>
      <c r="D34" s="594"/>
      <c r="E34" s="595"/>
      <c r="F34" s="596"/>
    </row>
    <row r="35" spans="1:6" ht="25.8" thickTop="1" thickBot="1">
      <c r="A35" s="29"/>
      <c r="B35" s="116" t="s">
        <v>118</v>
      </c>
      <c r="C35" s="46"/>
      <c r="D35" s="594"/>
      <c r="E35" s="595"/>
      <c r="F35" s="596"/>
    </row>
    <row r="36" spans="1:6" ht="24.6">
      <c r="A36" s="25">
        <v>1</v>
      </c>
      <c r="B36" s="119" t="s">
        <v>121</v>
      </c>
      <c r="C36" s="46"/>
      <c r="D36" s="592">
        <v>25300</v>
      </c>
      <c r="E36" s="421" t="s">
        <v>420</v>
      </c>
      <c r="F36" s="593">
        <v>6000</v>
      </c>
    </row>
    <row r="37" spans="1:6" ht="24.6">
      <c r="A37" s="29"/>
      <c r="B37" s="45" t="s">
        <v>123</v>
      </c>
      <c r="C37" s="46"/>
      <c r="D37" s="597"/>
      <c r="E37" s="598"/>
      <c r="F37" s="599"/>
    </row>
    <row r="38" spans="1:6" ht="24.6">
      <c r="A38" s="25">
        <v>1</v>
      </c>
      <c r="B38" s="29" t="s">
        <v>124</v>
      </c>
      <c r="C38" s="29"/>
      <c r="D38" s="592">
        <v>25313</v>
      </c>
      <c r="E38" s="421" t="s">
        <v>421</v>
      </c>
      <c r="F38" s="593">
        <v>600</v>
      </c>
    </row>
    <row r="39" spans="1:6" ht="24.6">
      <c r="A39" s="25"/>
      <c r="B39" s="124" t="s">
        <v>127</v>
      </c>
      <c r="C39" s="29"/>
      <c r="D39" s="567"/>
      <c r="E39" s="566"/>
      <c r="F39" s="600"/>
    </row>
    <row r="40" spans="1:6" ht="24.6">
      <c r="A40" s="25">
        <v>1</v>
      </c>
      <c r="B40" s="29" t="s">
        <v>130</v>
      </c>
      <c r="C40" s="29"/>
      <c r="D40" s="592">
        <v>25320</v>
      </c>
      <c r="E40" s="421" t="s">
        <v>422</v>
      </c>
      <c r="F40" s="593">
        <v>550</v>
      </c>
    </row>
    <row r="41" spans="1:6" ht="24.6">
      <c r="A41" s="25">
        <v>2</v>
      </c>
      <c r="B41" s="29" t="s">
        <v>132</v>
      </c>
      <c r="C41" s="29"/>
      <c r="D41" s="592" t="s">
        <v>423</v>
      </c>
      <c r="E41" s="421" t="s">
        <v>424</v>
      </c>
      <c r="F41" s="593">
        <v>2200</v>
      </c>
    </row>
    <row r="42" spans="1:6" ht="24.6">
      <c r="A42" s="25">
        <v>3</v>
      </c>
      <c r="B42" s="29" t="s">
        <v>134</v>
      </c>
      <c r="C42" s="29"/>
      <c r="D42" s="592">
        <v>25320</v>
      </c>
      <c r="E42" s="601" t="s">
        <v>426</v>
      </c>
      <c r="F42" s="593">
        <v>1650</v>
      </c>
    </row>
    <row r="43" spans="1:6" ht="24.6">
      <c r="A43" s="25"/>
      <c r="B43" s="116" t="s">
        <v>136</v>
      </c>
      <c r="C43" s="29"/>
      <c r="D43" s="592"/>
      <c r="E43" s="421"/>
      <c r="F43" s="593"/>
    </row>
    <row r="44" spans="1:6" ht="24.6">
      <c r="A44" s="25">
        <v>1</v>
      </c>
      <c r="B44" s="29" t="s">
        <v>137</v>
      </c>
      <c r="C44" s="29"/>
      <c r="D44" s="592">
        <v>25296</v>
      </c>
      <c r="E44" s="421" t="s">
        <v>427</v>
      </c>
      <c r="F44" s="593">
        <v>10000</v>
      </c>
    </row>
    <row r="45" spans="1:6" ht="25.2" thickBot="1">
      <c r="A45" s="29"/>
      <c r="B45" s="25" t="s">
        <v>26</v>
      </c>
      <c r="C45" s="64"/>
      <c r="D45" s="575"/>
      <c r="E45" s="575"/>
      <c r="F45" s="609">
        <f>SUM(F36:F44)</f>
        <v>21000</v>
      </c>
    </row>
    <row r="46" spans="1:6" ht="25.8" thickTop="1" thickBot="1">
      <c r="A46" s="29"/>
      <c r="B46" s="25" t="s">
        <v>248</v>
      </c>
      <c r="C46" s="64"/>
      <c r="D46" s="575"/>
      <c r="E46" s="575"/>
      <c r="F46" s="575">
        <f>F10+F33+F45</f>
        <v>59115</v>
      </c>
    </row>
    <row r="47" spans="1:6" ht="25.2" thickTop="1"/>
    <row r="48" spans="1:6" ht="24.6">
      <c r="E48" s="604"/>
    </row>
    <row r="49" spans="5:6" ht="24.6">
      <c r="E49" s="605"/>
    </row>
    <row r="50" spans="5:6" ht="24.6">
      <c r="E50" s="604"/>
    </row>
    <row r="51" spans="5:6" ht="24.6">
      <c r="E51" s="604"/>
      <c r="F51" s="606"/>
    </row>
    <row r="52" spans="5:6" ht="24.6">
      <c r="E52" s="604"/>
    </row>
    <row r="53" spans="5:6" ht="24.6"/>
    <row r="54" spans="5:6" ht="24.6"/>
    <row r="55" spans="5:6" ht="24.6"/>
    <row r="56" spans="5:6" ht="24.6"/>
    <row r="57" spans="5:6" ht="24.6"/>
    <row r="58" spans="5:6" ht="24.6"/>
    <row r="59" spans="5:6" ht="24.6"/>
    <row r="60" spans="5:6" ht="24.6"/>
    <row r="61" spans="5:6" ht="24.6"/>
    <row r="62" spans="5:6" ht="24.6"/>
    <row r="63" spans="5:6" ht="24.6"/>
    <row r="64" spans="5:6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F45F-F2E9-44C3-B4D4-2E19644049E5}">
  <sheetPr>
    <tabColor rgb="FFFFC000"/>
  </sheetPr>
  <dimension ref="A1:AD979"/>
  <sheetViews>
    <sheetView zoomScale="83" zoomScaleNormal="83" zoomScaleSheetLayoutView="87" workbookViewId="0">
      <pane ySplit="6" topLeftCell="A80" activePane="bottomLeft" state="frozen"/>
      <selection activeCell="I147" sqref="I147"/>
      <selection pane="bottomLeft" activeCell="A28" sqref="A28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404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.8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399999999999999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customHeight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customHeight="1" thickBot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customHeight="1" thickTop="1" thickBot="1">
      <c r="A12" s="29"/>
      <c r="B12" s="25" t="s">
        <v>26</v>
      </c>
      <c r="C12" s="29"/>
      <c r="D12" s="54">
        <v>0</v>
      </c>
      <c r="E12" s="54"/>
      <c r="F12" s="54"/>
      <c r="G12" s="54">
        <v>0</v>
      </c>
      <c r="H12" s="54">
        <v>0</v>
      </c>
      <c r="I12" s="54">
        <v>0</v>
      </c>
      <c r="J12" s="55"/>
      <c r="K12" s="55"/>
      <c r="L12" s="55"/>
      <c r="M12" s="54"/>
      <c r="N12" s="56"/>
      <c r="O12" s="54">
        <v>0</v>
      </c>
      <c r="P12" s="54">
        <v>0</v>
      </c>
      <c r="Q12" s="54">
        <v>0</v>
      </c>
      <c r="R12" s="29"/>
    </row>
    <row r="13" spans="1:30" ht="22.8" customHeight="1" thickTop="1">
      <c r="A13" s="29"/>
      <c r="B13" s="45" t="s">
        <v>33</v>
      </c>
      <c r="C13" s="29"/>
      <c r="D13" s="57"/>
      <c r="E13" s="46"/>
      <c r="F13" s="46"/>
      <c r="G13" s="57"/>
      <c r="H13" s="57"/>
      <c r="I13" s="57"/>
      <c r="J13" s="47"/>
      <c r="K13" s="48"/>
      <c r="L13" s="58"/>
      <c r="M13" s="46"/>
      <c r="N13" s="28"/>
      <c r="O13" s="57"/>
      <c r="P13" s="57"/>
      <c r="Q13" s="57"/>
      <c r="R13" s="46"/>
    </row>
    <row r="14" spans="1:30" ht="23.4" customHeight="1">
      <c r="A14" s="25"/>
      <c r="B14" s="25"/>
      <c r="C14" s="29"/>
      <c r="D14" s="59"/>
      <c r="E14" s="29"/>
      <c r="F14" s="29"/>
      <c r="G14" s="59" t="s">
        <v>34</v>
      </c>
      <c r="H14" s="59" t="s">
        <v>34</v>
      </c>
      <c r="I14" s="59" t="s">
        <v>34</v>
      </c>
      <c r="J14" s="60"/>
      <c r="K14" s="61"/>
      <c r="L14" s="62"/>
      <c r="M14" s="29"/>
      <c r="N14" s="25"/>
      <c r="O14" s="59" t="s">
        <v>34</v>
      </c>
      <c r="P14" s="59" t="s">
        <v>34</v>
      </c>
      <c r="Q14" s="59" t="s">
        <v>34</v>
      </c>
      <c r="R14" s="29"/>
    </row>
    <row r="15" spans="1:30" ht="17.399999999999999" customHeight="1" thickBot="1">
      <c r="A15" s="29"/>
      <c r="B15" s="25" t="s">
        <v>26</v>
      </c>
      <c r="C15" s="29"/>
      <c r="D15" s="63">
        <v>0</v>
      </c>
      <c r="E15" s="64"/>
      <c r="F15" s="64"/>
      <c r="G15" s="63">
        <v>0</v>
      </c>
      <c r="H15" s="63">
        <v>0</v>
      </c>
      <c r="I15" s="63">
        <v>0</v>
      </c>
      <c r="J15" s="65"/>
      <c r="K15" s="66"/>
      <c r="L15" s="67"/>
      <c r="M15" s="64"/>
      <c r="N15" s="41"/>
      <c r="O15" s="63">
        <v>0</v>
      </c>
      <c r="P15" s="63">
        <v>0</v>
      </c>
      <c r="Q15" s="63">
        <v>0</v>
      </c>
      <c r="R15" s="29"/>
      <c r="V15" s="49"/>
    </row>
    <row r="16" spans="1:30" ht="25.2" thickTop="1">
      <c r="A16" s="29"/>
      <c r="B16" s="45" t="s">
        <v>35</v>
      </c>
      <c r="C16" s="29"/>
      <c r="D16" s="46"/>
      <c r="E16" s="46"/>
      <c r="F16" s="46"/>
      <c r="G16" s="46"/>
      <c r="H16" s="46"/>
      <c r="I16" s="46"/>
      <c r="J16" s="47"/>
      <c r="K16" s="48"/>
      <c r="L16" s="48"/>
      <c r="M16" s="46"/>
      <c r="N16" s="28"/>
      <c r="O16" s="46"/>
      <c r="P16" s="46"/>
      <c r="Q16" s="46"/>
      <c r="R16" s="46"/>
    </row>
    <row r="17" spans="1:20" ht="25.2" thickBot="1">
      <c r="A17" s="25">
        <v>1</v>
      </c>
      <c r="B17" s="29" t="s">
        <v>36</v>
      </c>
      <c r="C17" s="29"/>
      <c r="D17" s="49">
        <v>0</v>
      </c>
      <c r="E17" s="68"/>
      <c r="F17" s="25"/>
      <c r="G17" s="59">
        <v>0</v>
      </c>
      <c r="H17" s="59">
        <v>0</v>
      </c>
      <c r="I17" s="59">
        <v>0</v>
      </c>
      <c r="J17" s="69"/>
      <c r="K17" s="70"/>
      <c r="L17" s="71"/>
      <c r="M17" s="68"/>
      <c r="N17" s="25"/>
      <c r="O17" s="72">
        <v>0</v>
      </c>
      <c r="P17" s="73">
        <v>0</v>
      </c>
      <c r="Q17" s="73">
        <v>0</v>
      </c>
      <c r="R17" s="29"/>
    </row>
    <row r="18" spans="1:20" ht="25.8" thickTop="1" thickBot="1">
      <c r="A18" s="29"/>
      <c r="B18" s="25" t="s">
        <v>26</v>
      </c>
      <c r="C18" s="29"/>
      <c r="D18" s="54">
        <v>0</v>
      </c>
      <c r="E18" s="54"/>
      <c r="F18" s="54"/>
      <c r="G18" s="54">
        <v>0</v>
      </c>
      <c r="H18" s="54">
        <v>0</v>
      </c>
      <c r="I18" s="54">
        <v>0</v>
      </c>
      <c r="J18" s="55"/>
      <c r="K18" s="55"/>
      <c r="L18" s="55"/>
      <c r="M18" s="54"/>
      <c r="N18" s="56"/>
      <c r="O18" s="54">
        <v>0</v>
      </c>
      <c r="P18" s="54">
        <v>0</v>
      </c>
      <c r="Q18" s="54">
        <v>0</v>
      </c>
      <c r="R18" s="53"/>
    </row>
    <row r="19" spans="1:20" ht="25.2" hidden="1" thickTop="1">
      <c r="A19" s="29"/>
      <c r="B19" s="45" t="s">
        <v>37</v>
      </c>
      <c r="C19" s="29"/>
      <c r="D19" s="57"/>
      <c r="E19" s="46"/>
      <c r="F19" s="46"/>
      <c r="G19" s="57"/>
      <c r="H19" s="57"/>
      <c r="I19" s="57"/>
      <c r="J19" s="47"/>
      <c r="K19" s="48"/>
      <c r="L19" s="58"/>
      <c r="M19" s="46"/>
      <c r="N19" s="28"/>
      <c r="O19" s="57"/>
      <c r="P19" s="57"/>
      <c r="Q19" s="57"/>
      <c r="R19" s="29"/>
    </row>
    <row r="20" spans="1:20" ht="25.8" hidden="1" thickTop="1" thickBot="1">
      <c r="A20" s="25">
        <v>1</v>
      </c>
      <c r="B20" s="25"/>
      <c r="C20" s="29"/>
      <c r="D20" s="78"/>
      <c r="E20" s="74"/>
      <c r="F20" s="74"/>
      <c r="G20" s="78"/>
      <c r="H20" s="78"/>
      <c r="I20" s="78"/>
      <c r="J20" s="75"/>
      <c r="K20" s="76"/>
      <c r="L20" s="77"/>
      <c r="M20" s="74"/>
      <c r="N20" s="34"/>
      <c r="O20" s="78"/>
      <c r="P20" s="78"/>
      <c r="Q20" s="78"/>
      <c r="R20" s="29"/>
    </row>
    <row r="21" spans="1:20" ht="25.8" hidden="1" thickTop="1" thickBot="1">
      <c r="A21" s="25"/>
      <c r="B21" s="25" t="s">
        <v>26</v>
      </c>
      <c r="C21" s="29"/>
      <c r="D21" s="54"/>
      <c r="E21" s="79"/>
      <c r="F21" s="79"/>
      <c r="G21" s="54"/>
      <c r="H21" s="54"/>
      <c r="I21" s="54"/>
      <c r="J21" s="80"/>
      <c r="K21" s="81"/>
      <c r="L21" s="55"/>
      <c r="M21" s="79"/>
      <c r="N21" s="82"/>
      <c r="O21" s="54"/>
      <c r="P21" s="54"/>
      <c r="Q21" s="54"/>
      <c r="R21" s="46"/>
    </row>
    <row r="22" spans="1:20" ht="25.2" hidden="1" thickTop="1">
      <c r="A22" s="25"/>
      <c r="B22" s="45" t="s">
        <v>38</v>
      </c>
      <c r="C22" s="29"/>
      <c r="D22" s="57"/>
      <c r="E22" s="46"/>
      <c r="F22" s="46"/>
      <c r="G22" s="57"/>
      <c r="H22" s="57"/>
      <c r="I22" s="57"/>
      <c r="J22" s="47"/>
      <c r="K22" s="48"/>
      <c r="L22" s="58"/>
      <c r="M22" s="46"/>
      <c r="N22" s="28"/>
      <c r="O22" s="57"/>
      <c r="P22" s="57"/>
      <c r="Q22" s="57"/>
      <c r="R22" s="46"/>
    </row>
    <row r="23" spans="1:20" ht="25.8" hidden="1" thickTop="1" thickBot="1">
      <c r="A23" s="25">
        <v>1</v>
      </c>
      <c r="B23" s="25"/>
      <c r="C23" s="29"/>
      <c r="D23" s="78"/>
      <c r="E23" s="74"/>
      <c r="F23" s="74"/>
      <c r="G23" s="78"/>
      <c r="H23" s="78"/>
      <c r="I23" s="78"/>
      <c r="J23" s="75"/>
      <c r="K23" s="76"/>
      <c r="L23" s="77"/>
      <c r="M23" s="74"/>
      <c r="N23" s="34"/>
      <c r="O23" s="78"/>
      <c r="P23" s="78"/>
      <c r="Q23" s="78"/>
      <c r="R23" s="46"/>
    </row>
    <row r="24" spans="1:20" ht="25.8" hidden="1" thickTop="1" thickBot="1">
      <c r="A24" s="25"/>
      <c r="B24" s="25" t="s">
        <v>26</v>
      </c>
      <c r="C24" s="29"/>
      <c r="D24" s="63"/>
      <c r="E24" s="64"/>
      <c r="F24" s="64"/>
      <c r="G24" s="63"/>
      <c r="H24" s="63"/>
      <c r="I24" s="63"/>
      <c r="J24" s="65"/>
      <c r="K24" s="66"/>
      <c r="L24" s="67"/>
      <c r="M24" s="64"/>
      <c r="N24" s="41"/>
      <c r="O24" s="63"/>
      <c r="P24" s="63"/>
      <c r="Q24" s="63"/>
      <c r="R24" s="46"/>
    </row>
    <row r="25" spans="1:20" ht="25.2" thickTop="1">
      <c r="A25" s="29"/>
      <c r="B25" s="45" t="s">
        <v>39</v>
      </c>
      <c r="C25" s="29"/>
      <c r="D25" s="46"/>
      <c r="E25" s="46"/>
      <c r="F25" s="46"/>
      <c r="G25" s="46"/>
      <c r="H25" s="46"/>
      <c r="I25" s="46"/>
      <c r="J25" s="47"/>
      <c r="K25" s="48"/>
      <c r="L25" s="48"/>
      <c r="M25" s="46"/>
      <c r="N25" s="28"/>
      <c r="O25" s="46"/>
      <c r="P25" s="46"/>
      <c r="Q25" s="46"/>
      <c r="R25" s="46"/>
    </row>
    <row r="26" spans="1:20" ht="24.6">
      <c r="A26" s="25">
        <v>1</v>
      </c>
      <c r="B26" s="29" t="s">
        <v>40</v>
      </c>
      <c r="C26" s="29"/>
      <c r="D26" s="257">
        <v>0</v>
      </c>
      <c r="E26" s="68"/>
      <c r="F26" s="25"/>
      <c r="G26" s="52">
        <v>0</v>
      </c>
      <c r="H26" s="59">
        <v>0</v>
      </c>
      <c r="I26" s="52">
        <v>0</v>
      </c>
      <c r="J26" s="69"/>
      <c r="K26" s="70"/>
      <c r="L26" s="83"/>
      <c r="M26" s="68"/>
      <c r="N26" s="25"/>
      <c r="O26" s="72">
        <v>0</v>
      </c>
      <c r="P26" s="73">
        <v>0</v>
      </c>
      <c r="Q26" s="73">
        <v>0</v>
      </c>
      <c r="R26" s="29" t="s">
        <v>41</v>
      </c>
    </row>
    <row r="27" spans="1:20" ht="24.6">
      <c r="A27" s="25">
        <v>2</v>
      </c>
      <c r="B27" s="29" t="s">
        <v>277</v>
      </c>
      <c r="C27" s="29"/>
      <c r="D27" s="257">
        <v>535</v>
      </c>
      <c r="E27" s="25"/>
      <c r="F27" s="25"/>
      <c r="G27" s="52">
        <v>0</v>
      </c>
      <c r="H27" s="59">
        <v>0</v>
      </c>
      <c r="I27" s="52">
        <v>0</v>
      </c>
      <c r="J27" s="383">
        <v>25296</v>
      </c>
      <c r="K27" s="384" t="s">
        <v>407</v>
      </c>
      <c r="L27" s="351">
        <v>535</v>
      </c>
      <c r="M27" s="25"/>
      <c r="N27" s="25"/>
      <c r="O27" s="72">
        <v>0</v>
      </c>
      <c r="P27" s="73">
        <v>0</v>
      </c>
      <c r="Q27" s="73">
        <v>0</v>
      </c>
      <c r="R27" s="29"/>
    </row>
    <row r="28" spans="1:20" s="96" customFormat="1" ht="24.6">
      <c r="A28" s="86">
        <v>3</v>
      </c>
      <c r="B28" s="87" t="s">
        <v>44</v>
      </c>
      <c r="C28" s="88"/>
      <c r="D28" s="258">
        <v>1070</v>
      </c>
      <c r="E28" s="90"/>
      <c r="F28" s="86"/>
      <c r="G28" s="91">
        <v>0</v>
      </c>
      <c r="H28" s="92">
        <v>0</v>
      </c>
      <c r="I28" s="91">
        <v>0</v>
      </c>
      <c r="J28" s="383"/>
      <c r="K28" s="384"/>
      <c r="L28" s="351"/>
      <c r="M28" s="392">
        <v>25294</v>
      </c>
      <c r="N28" s="393">
        <v>1</v>
      </c>
      <c r="O28" s="72">
        <f>D28+G28-L28</f>
        <v>1070</v>
      </c>
      <c r="P28" s="73">
        <v>0</v>
      </c>
      <c r="Q28" s="72">
        <f>D28+I28-L28</f>
        <v>1070</v>
      </c>
      <c r="R28" s="87"/>
      <c r="T28" s="97"/>
    </row>
    <row r="29" spans="1:20" ht="24.6">
      <c r="A29" s="25">
        <v>4</v>
      </c>
      <c r="B29" s="29" t="s">
        <v>46</v>
      </c>
      <c r="C29" s="29"/>
      <c r="D29" s="259">
        <v>535</v>
      </c>
      <c r="E29" s="28"/>
      <c r="F29" s="28"/>
      <c r="G29" s="99"/>
      <c r="H29" s="59"/>
      <c r="I29" s="52"/>
      <c r="J29" s="320">
        <v>25323</v>
      </c>
      <c r="K29" s="400" t="s">
        <v>408</v>
      </c>
      <c r="L29" s="401">
        <v>535</v>
      </c>
      <c r="M29" s="28"/>
      <c r="N29" s="28"/>
      <c r="O29" s="72">
        <v>0</v>
      </c>
      <c r="P29" s="101">
        <v>0</v>
      </c>
      <c r="Q29" s="101">
        <v>0</v>
      </c>
      <c r="R29" s="102" t="s">
        <v>48</v>
      </c>
    </row>
    <row r="30" spans="1:20" ht="25.2" thickBot="1">
      <c r="A30" s="29"/>
      <c r="B30" s="25" t="s">
        <v>26</v>
      </c>
      <c r="C30" s="29"/>
      <c r="D30" s="103">
        <f>SUM(D26:D29)</f>
        <v>2140</v>
      </c>
      <c r="E30" s="63"/>
      <c r="F30" s="63"/>
      <c r="G30" s="103">
        <v>0</v>
      </c>
      <c r="H30" s="103">
        <v>0</v>
      </c>
      <c r="I30" s="103">
        <v>0</v>
      </c>
      <c r="J30" s="67"/>
      <c r="K30" s="67"/>
      <c r="L30" s="104">
        <f>SUM(L27:L29)</f>
        <v>1070</v>
      </c>
      <c r="M30" s="63"/>
      <c r="N30" s="105"/>
      <c r="O30" s="576">
        <f>SUM(O27:O29)</f>
        <v>1070</v>
      </c>
      <c r="P30" s="617">
        <v>0</v>
      </c>
      <c r="Q30" s="576">
        <f>SUM(Q27:Q29)</f>
        <v>1070</v>
      </c>
      <c r="R30" s="53"/>
    </row>
    <row r="31" spans="1:20" ht="25.2" hidden="1" thickTop="1">
      <c r="A31" s="29"/>
      <c r="B31" s="45" t="s">
        <v>49</v>
      </c>
      <c r="C31" s="29"/>
      <c r="D31" s="57"/>
      <c r="E31" s="108"/>
      <c r="F31" s="108"/>
      <c r="G31" s="57"/>
      <c r="H31" s="57"/>
      <c r="I31" s="57"/>
      <c r="J31" s="47"/>
      <c r="K31" s="48"/>
      <c r="L31" s="58"/>
      <c r="M31" s="46"/>
      <c r="N31" s="28"/>
      <c r="O31" s="57"/>
      <c r="P31" s="57"/>
      <c r="Q31" s="57"/>
      <c r="R31" s="29"/>
    </row>
    <row r="32" spans="1:20" ht="16.5" hidden="1" customHeight="1" thickBot="1">
      <c r="A32" s="25">
        <v>1</v>
      </c>
      <c r="B32" s="25"/>
      <c r="C32" s="29"/>
      <c r="D32" s="78"/>
      <c r="E32" s="74"/>
      <c r="F32" s="74"/>
      <c r="G32" s="78"/>
      <c r="H32" s="78"/>
      <c r="I32" s="78"/>
      <c r="J32" s="75"/>
      <c r="K32" s="76"/>
      <c r="L32" s="77"/>
      <c r="M32" s="74"/>
      <c r="N32" s="34"/>
      <c r="O32" s="78"/>
      <c r="P32" s="78"/>
      <c r="Q32" s="78"/>
      <c r="R32" s="29"/>
    </row>
    <row r="33" spans="1:18" ht="25.8" hidden="1" thickTop="1" thickBot="1">
      <c r="A33" s="25"/>
      <c r="B33" s="25" t="s">
        <v>26</v>
      </c>
      <c r="C33" s="29"/>
      <c r="D33" s="54"/>
      <c r="E33" s="64"/>
      <c r="F33" s="64"/>
      <c r="G33" s="54"/>
      <c r="H33" s="54"/>
      <c r="I33" s="54"/>
      <c r="J33" s="80"/>
      <c r="K33" s="81"/>
      <c r="L33" s="55"/>
      <c r="M33" s="79"/>
      <c r="N33" s="82"/>
      <c r="O33" s="54"/>
      <c r="P33" s="54"/>
      <c r="Q33" s="54"/>
      <c r="R33" s="29"/>
    </row>
    <row r="34" spans="1:18" ht="25.2" hidden="1" thickTop="1">
      <c r="A34" s="25"/>
      <c r="B34" s="45" t="s">
        <v>50</v>
      </c>
      <c r="C34" s="29"/>
      <c r="D34" s="57"/>
      <c r="E34" s="109"/>
      <c r="F34" s="109"/>
      <c r="G34" s="57"/>
      <c r="H34" s="57"/>
      <c r="I34" s="57"/>
      <c r="J34" s="47"/>
      <c r="K34" s="48"/>
      <c r="L34" s="58"/>
      <c r="M34" s="46"/>
      <c r="N34" s="28"/>
      <c r="O34" s="57"/>
      <c r="P34" s="57"/>
      <c r="Q34" s="57"/>
      <c r="R34" s="29"/>
    </row>
    <row r="35" spans="1:18" ht="25.8" hidden="1" thickTop="1" thickBot="1">
      <c r="A35" s="25"/>
      <c r="B35" s="25"/>
      <c r="C35" s="29"/>
      <c r="D35" s="78"/>
      <c r="E35" s="74"/>
      <c r="F35" s="74"/>
      <c r="G35" s="78">
        <v>0</v>
      </c>
      <c r="H35" s="78">
        <v>0</v>
      </c>
      <c r="I35" s="78">
        <v>0</v>
      </c>
      <c r="J35" s="75"/>
      <c r="K35" s="76"/>
      <c r="L35" s="77"/>
      <c r="M35" s="74"/>
      <c r="N35" s="34"/>
      <c r="O35" s="110">
        <v>0</v>
      </c>
      <c r="P35" s="110">
        <v>0</v>
      </c>
      <c r="Q35" s="110">
        <v>0</v>
      </c>
      <c r="R35" s="29"/>
    </row>
    <row r="36" spans="1:18" ht="25.2" hidden="1" thickTop="1">
      <c r="A36" s="25"/>
      <c r="B36" s="25" t="s">
        <v>26</v>
      </c>
      <c r="C36" s="29"/>
      <c r="D36" s="111">
        <v>0</v>
      </c>
      <c r="E36" s="46"/>
      <c r="F36" s="46"/>
      <c r="G36" s="111">
        <v>0</v>
      </c>
      <c r="H36" s="111"/>
      <c r="I36" s="111">
        <v>0</v>
      </c>
      <c r="J36" s="112"/>
      <c r="K36" s="113"/>
      <c r="L36" s="114"/>
      <c r="M36" s="109"/>
      <c r="N36" s="115"/>
      <c r="O36" s="111">
        <v>0</v>
      </c>
      <c r="P36" s="111"/>
      <c r="Q36" s="111">
        <v>0</v>
      </c>
      <c r="R36" s="53"/>
    </row>
    <row r="37" spans="1:18" ht="25.2" hidden="1" thickTop="1">
      <c r="A37" s="25"/>
      <c r="B37" s="45" t="s">
        <v>51</v>
      </c>
      <c r="C37" s="29"/>
      <c r="D37" s="59"/>
      <c r="E37" s="109"/>
      <c r="F37" s="109"/>
      <c r="G37" s="59"/>
      <c r="H37" s="59"/>
      <c r="I37" s="59"/>
      <c r="J37" s="60"/>
      <c r="K37" s="61"/>
      <c r="L37" s="62"/>
      <c r="M37" s="29"/>
      <c r="N37" s="25"/>
      <c r="O37" s="59"/>
      <c r="P37" s="59"/>
      <c r="Q37" s="59"/>
      <c r="R37" s="29"/>
    </row>
    <row r="38" spans="1:18" ht="25.8" hidden="1" thickTop="1" thickBot="1">
      <c r="A38" s="25">
        <v>1</v>
      </c>
      <c r="B38" s="25"/>
      <c r="C38" s="29"/>
      <c r="D38" s="78"/>
      <c r="E38" s="74"/>
      <c r="F38" s="74"/>
      <c r="G38" s="78"/>
      <c r="H38" s="78"/>
      <c r="I38" s="78"/>
      <c r="J38" s="75"/>
      <c r="K38" s="76"/>
      <c r="L38" s="77"/>
      <c r="M38" s="74"/>
      <c r="N38" s="34"/>
      <c r="O38" s="78"/>
      <c r="P38" s="78"/>
      <c r="Q38" s="78"/>
      <c r="R38" s="29"/>
    </row>
    <row r="39" spans="1:18" ht="25.8" hidden="1" thickTop="1" thickBot="1">
      <c r="A39" s="25"/>
      <c r="B39" s="25" t="s">
        <v>26</v>
      </c>
      <c r="C39" s="29"/>
      <c r="D39" s="63"/>
      <c r="E39" s="79"/>
      <c r="F39" s="79"/>
      <c r="G39" s="63"/>
      <c r="H39" s="63"/>
      <c r="I39" s="63"/>
      <c r="J39" s="65"/>
      <c r="K39" s="66"/>
      <c r="L39" s="67"/>
      <c r="M39" s="64"/>
      <c r="N39" s="41"/>
      <c r="O39" s="63"/>
      <c r="P39" s="63"/>
      <c r="Q39" s="63"/>
      <c r="R39" s="29"/>
    </row>
    <row r="40" spans="1:18" ht="25.2" thickTop="1">
      <c r="A40" s="29"/>
      <c r="B40" s="45" t="s">
        <v>52</v>
      </c>
      <c r="C40" s="29"/>
      <c r="D40" s="57"/>
      <c r="E40" s="28"/>
      <c r="F40" s="28"/>
      <c r="G40" s="57"/>
      <c r="H40" s="57"/>
      <c r="I40" s="57"/>
      <c r="J40" s="47"/>
      <c r="K40" s="48"/>
      <c r="L40" s="58"/>
      <c r="M40" s="46"/>
      <c r="N40" s="28"/>
      <c r="O40" s="57"/>
      <c r="P40" s="57"/>
      <c r="Q40" s="57"/>
      <c r="R40" s="29"/>
    </row>
    <row r="41" spans="1:18" ht="24.6">
      <c r="A41" s="29"/>
      <c r="B41" s="116" t="s">
        <v>53</v>
      </c>
      <c r="C41" s="29"/>
      <c r="D41" s="57"/>
      <c r="E41" s="25"/>
      <c r="F41" s="25"/>
      <c r="G41" s="57"/>
      <c r="H41" s="57"/>
      <c r="I41" s="57"/>
      <c r="J41" s="47"/>
      <c r="K41" s="48"/>
      <c r="L41" s="58"/>
      <c r="M41" s="46"/>
      <c r="N41" s="28"/>
      <c r="O41" s="57"/>
      <c r="P41" s="57"/>
      <c r="Q41" s="57"/>
      <c r="R41" s="29"/>
    </row>
    <row r="42" spans="1:18" ht="24.6">
      <c r="A42" s="25">
        <v>1</v>
      </c>
      <c r="B42" s="29" t="s">
        <v>54</v>
      </c>
      <c r="C42" s="25" t="s">
        <v>55</v>
      </c>
      <c r="D42" s="49">
        <v>0</v>
      </c>
      <c r="E42" s="25"/>
      <c r="F42" s="25"/>
      <c r="G42" s="49">
        <v>0</v>
      </c>
      <c r="H42" s="49">
        <v>0</v>
      </c>
      <c r="I42" s="49">
        <v>0</v>
      </c>
      <c r="J42" s="26"/>
      <c r="K42" s="117"/>
      <c r="L42" s="118"/>
      <c r="M42" s="25"/>
      <c r="N42" s="25"/>
      <c r="O42" s="72">
        <f t="shared" ref="O42:O47" si="0">D42</f>
        <v>0</v>
      </c>
      <c r="P42" s="73">
        <v>0</v>
      </c>
      <c r="Q42" s="73">
        <f t="shared" ref="Q42:Q45" si="1">D42</f>
        <v>0</v>
      </c>
      <c r="R42" s="29" t="s">
        <v>56</v>
      </c>
    </row>
    <row r="43" spans="1:18" ht="24.6">
      <c r="A43" s="25">
        <v>2</v>
      </c>
      <c r="B43" s="119" t="s">
        <v>57</v>
      </c>
      <c r="C43" s="25">
        <v>259</v>
      </c>
      <c r="D43" s="49">
        <v>0</v>
      </c>
      <c r="E43" s="25"/>
      <c r="F43" s="25"/>
      <c r="G43" s="49">
        <v>0</v>
      </c>
      <c r="H43" s="49">
        <v>0</v>
      </c>
      <c r="I43" s="49">
        <v>0</v>
      </c>
      <c r="J43" s="26"/>
      <c r="K43" s="16"/>
      <c r="L43" s="118"/>
      <c r="M43" s="25"/>
      <c r="N43" s="25"/>
      <c r="O43" s="72">
        <f t="shared" si="0"/>
        <v>0</v>
      </c>
      <c r="P43" s="73">
        <v>0</v>
      </c>
      <c r="Q43" s="73">
        <f t="shared" si="1"/>
        <v>0</v>
      </c>
      <c r="R43" s="29" t="s">
        <v>58</v>
      </c>
    </row>
    <row r="44" spans="1:18" ht="24.6">
      <c r="A44" s="25">
        <v>3</v>
      </c>
      <c r="B44" s="119" t="s">
        <v>57</v>
      </c>
      <c r="C44" s="25">
        <v>260</v>
      </c>
      <c r="D44" s="49"/>
      <c r="E44" s="25"/>
      <c r="F44" s="25"/>
      <c r="G44" s="49">
        <v>0</v>
      </c>
      <c r="H44" s="49">
        <v>0</v>
      </c>
      <c r="I44" s="49">
        <v>0</v>
      </c>
      <c r="J44" s="26"/>
      <c r="K44" s="16"/>
      <c r="L44" s="118"/>
      <c r="M44" s="25"/>
      <c r="N44" s="25"/>
      <c r="O44" s="72">
        <f t="shared" si="0"/>
        <v>0</v>
      </c>
      <c r="P44" s="73">
        <v>0</v>
      </c>
      <c r="Q44" s="73">
        <f t="shared" si="1"/>
        <v>0</v>
      </c>
      <c r="R44" s="29"/>
    </row>
    <row r="45" spans="1:18" ht="24.6">
      <c r="A45" s="25">
        <v>4</v>
      </c>
      <c r="B45" s="119" t="s">
        <v>57</v>
      </c>
      <c r="C45" s="25" t="s">
        <v>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60</v>
      </c>
    </row>
    <row r="46" spans="1:18" ht="24.6">
      <c r="A46" s="25">
        <v>5</v>
      </c>
      <c r="B46" s="119" t="s">
        <v>57</v>
      </c>
      <c r="C46" s="25" t="s">
        <v>61</v>
      </c>
      <c r="D46" s="49">
        <v>0</v>
      </c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2">
        <f t="shared" ref="Q46:Q50" si="2">D46+I46-L46</f>
        <v>0</v>
      </c>
      <c r="R46" s="29"/>
    </row>
    <row r="47" spans="1:18" ht="24.6">
      <c r="A47" s="25">
        <v>6</v>
      </c>
      <c r="B47" s="29" t="s">
        <v>62</v>
      </c>
      <c r="C47" s="25" t="s">
        <v>63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69"/>
      <c r="K47" s="70"/>
      <c r="L47" s="83"/>
      <c r="M47" s="25"/>
      <c r="N47" s="25"/>
      <c r="O47" s="72">
        <f t="shared" si="0"/>
        <v>0</v>
      </c>
      <c r="P47" s="73">
        <v>0</v>
      </c>
      <c r="Q47" s="72">
        <f t="shared" si="2"/>
        <v>0</v>
      </c>
      <c r="R47" s="29" t="s">
        <v>64</v>
      </c>
    </row>
    <row r="48" spans="1:18" ht="24.6">
      <c r="A48" s="25">
        <v>7</v>
      </c>
      <c r="B48" s="29" t="s">
        <v>65</v>
      </c>
      <c r="C48" s="25">
        <v>267</v>
      </c>
      <c r="D48" s="49">
        <v>1215</v>
      </c>
      <c r="E48" s="25"/>
      <c r="F48" s="25"/>
      <c r="G48" s="49">
        <v>0</v>
      </c>
      <c r="H48" s="49">
        <v>0</v>
      </c>
      <c r="I48" s="49">
        <v>0</v>
      </c>
      <c r="J48" s="362">
        <v>25300</v>
      </c>
      <c r="K48" s="363" t="s">
        <v>409</v>
      </c>
      <c r="L48" s="378">
        <v>1215</v>
      </c>
      <c r="M48" s="25"/>
      <c r="N48" s="25"/>
      <c r="O48" s="72">
        <f>D48+G48-L48</f>
        <v>0</v>
      </c>
      <c r="P48" s="72">
        <f t="shared" ref="P48" si="3">E48+H48-M48</f>
        <v>0</v>
      </c>
      <c r="Q48" s="72">
        <f t="shared" si="2"/>
        <v>0</v>
      </c>
      <c r="R48" s="29" t="s">
        <v>67</v>
      </c>
    </row>
    <row r="49" spans="1:18" ht="24.6">
      <c r="A49" s="25">
        <v>8</v>
      </c>
      <c r="B49" s="29" t="s">
        <v>68</v>
      </c>
      <c r="C49" s="120">
        <v>268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362"/>
      <c r="K49" s="363"/>
      <c r="L49" s="378"/>
      <c r="M49" s="25"/>
      <c r="N49" s="25"/>
      <c r="O49" s="72">
        <f t="shared" ref="O49:O60" si="4">D49+G49-L49</f>
        <v>0</v>
      </c>
      <c r="P49" s="73">
        <v>0</v>
      </c>
      <c r="Q49" s="72">
        <f t="shared" si="2"/>
        <v>0</v>
      </c>
      <c r="R49" s="29" t="s">
        <v>69</v>
      </c>
    </row>
    <row r="50" spans="1:18" ht="24.6">
      <c r="A50" s="25">
        <v>9</v>
      </c>
      <c r="B50" s="29" t="s">
        <v>70</v>
      </c>
      <c r="C50" s="25" t="s">
        <v>71</v>
      </c>
      <c r="D50" s="49">
        <v>2430</v>
      </c>
      <c r="E50" s="25"/>
      <c r="F50" s="25"/>
      <c r="G50" s="49">
        <v>0</v>
      </c>
      <c r="H50" s="49">
        <v>0</v>
      </c>
      <c r="I50" s="49">
        <v>0</v>
      </c>
      <c r="J50" s="362">
        <v>25301</v>
      </c>
      <c r="K50" s="363" t="s">
        <v>410</v>
      </c>
      <c r="L50" s="378">
        <v>2430</v>
      </c>
      <c r="M50" s="25"/>
      <c r="N50" s="25"/>
      <c r="O50" s="72">
        <f t="shared" si="4"/>
        <v>0</v>
      </c>
      <c r="P50" s="73">
        <v>0</v>
      </c>
      <c r="Q50" s="72">
        <f t="shared" si="2"/>
        <v>0</v>
      </c>
      <c r="R50" s="29"/>
    </row>
    <row r="51" spans="1:18" ht="24.6">
      <c r="A51" s="25">
        <v>10</v>
      </c>
      <c r="B51" s="29" t="s">
        <v>73</v>
      </c>
      <c r="C51" s="120">
        <v>84282</v>
      </c>
      <c r="D51" s="49">
        <v>2430</v>
      </c>
      <c r="E51" s="25" t="s">
        <v>388</v>
      </c>
      <c r="F51" s="25">
        <v>1</v>
      </c>
      <c r="G51" s="49">
        <v>4860</v>
      </c>
      <c r="H51" s="49">
        <v>0</v>
      </c>
      <c r="I51" s="49">
        <v>4860</v>
      </c>
      <c r="J51" s="362">
        <v>25313</v>
      </c>
      <c r="K51" s="363" t="s">
        <v>412</v>
      </c>
      <c r="L51" s="378">
        <v>4860</v>
      </c>
      <c r="M51" s="392">
        <v>25294</v>
      </c>
      <c r="N51" s="393">
        <v>1</v>
      </c>
      <c r="O51" s="72">
        <f>D51+G51-L51</f>
        <v>2430</v>
      </c>
      <c r="P51" s="73">
        <v>0</v>
      </c>
      <c r="Q51" s="72">
        <f>D51+I51-L51</f>
        <v>2430</v>
      </c>
      <c r="R51" s="29"/>
    </row>
    <row r="52" spans="1:18" ht="24.6">
      <c r="A52" s="25">
        <v>11</v>
      </c>
      <c r="B52" s="29" t="s">
        <v>76</v>
      </c>
      <c r="C52" s="25">
        <v>281</v>
      </c>
      <c r="D52" s="49">
        <v>0</v>
      </c>
      <c r="E52" s="25"/>
      <c r="F52" s="25"/>
      <c r="G52" s="49">
        <v>0</v>
      </c>
      <c r="H52" s="49">
        <v>0</v>
      </c>
      <c r="I52" s="49">
        <v>0</v>
      </c>
      <c r="J52" s="362"/>
      <c r="K52" s="363"/>
      <c r="L52" s="378"/>
      <c r="M52" s="25"/>
      <c r="N52" s="25"/>
      <c r="O52" s="72">
        <f t="shared" si="4"/>
        <v>0</v>
      </c>
      <c r="P52" s="73">
        <v>0</v>
      </c>
      <c r="Q52" s="72">
        <f t="shared" ref="Q52:Q60" si="5">D52+I52-L52</f>
        <v>0</v>
      </c>
      <c r="R52" s="29" t="s">
        <v>77</v>
      </c>
    </row>
    <row r="53" spans="1:18" ht="24.6">
      <c r="A53" s="25">
        <v>12</v>
      </c>
      <c r="B53" s="29" t="s">
        <v>57</v>
      </c>
      <c r="C53" s="25">
        <v>280</v>
      </c>
      <c r="D53" s="49">
        <v>0</v>
      </c>
      <c r="E53" s="25"/>
      <c r="F53" s="25"/>
      <c r="G53" s="49">
        <v>0</v>
      </c>
      <c r="H53" s="49">
        <v>0</v>
      </c>
      <c r="I53" s="49">
        <v>0</v>
      </c>
      <c r="J53" s="362"/>
      <c r="K53" s="363"/>
      <c r="L53" s="378"/>
      <c r="M53" s="25"/>
      <c r="N53" s="25"/>
      <c r="O53" s="72">
        <f t="shared" si="4"/>
        <v>0</v>
      </c>
      <c r="P53" s="73">
        <v>0</v>
      </c>
      <c r="Q53" s="72">
        <f t="shared" si="5"/>
        <v>0</v>
      </c>
      <c r="R53" s="29"/>
    </row>
    <row r="54" spans="1:18" ht="24.6">
      <c r="A54" s="25">
        <v>13</v>
      </c>
      <c r="B54" s="29" t="s">
        <v>78</v>
      </c>
      <c r="C54" s="25" t="s">
        <v>79</v>
      </c>
      <c r="D54" s="49">
        <v>2430</v>
      </c>
      <c r="E54" s="25"/>
      <c r="F54" s="25"/>
      <c r="G54" s="49">
        <v>0</v>
      </c>
      <c r="H54" s="49">
        <v>0</v>
      </c>
      <c r="I54" s="49">
        <v>0</v>
      </c>
      <c r="J54" s="362">
        <v>25300</v>
      </c>
      <c r="K54" s="363" t="s">
        <v>413</v>
      </c>
      <c r="L54" s="378">
        <v>2430</v>
      </c>
      <c r="M54" s="25"/>
      <c r="N54" s="25"/>
      <c r="O54" s="72">
        <f t="shared" si="4"/>
        <v>0</v>
      </c>
      <c r="P54" s="73">
        <v>0</v>
      </c>
      <c r="Q54" s="72">
        <f t="shared" si="5"/>
        <v>0</v>
      </c>
      <c r="R54" s="29"/>
    </row>
    <row r="55" spans="1:18" ht="24.6">
      <c r="A55" s="25">
        <v>14</v>
      </c>
      <c r="B55" s="29" t="s">
        <v>81</v>
      </c>
      <c r="C55" s="25" t="s">
        <v>82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362"/>
      <c r="K55" s="363"/>
      <c r="L55" s="378"/>
      <c r="M55" s="25"/>
      <c r="N55" s="25"/>
      <c r="O55" s="72">
        <f t="shared" si="4"/>
        <v>0</v>
      </c>
      <c r="P55" s="73">
        <v>0</v>
      </c>
      <c r="Q55" s="72">
        <f t="shared" si="5"/>
        <v>0</v>
      </c>
      <c r="R55" s="29"/>
    </row>
    <row r="56" spans="1:18" ht="24.6">
      <c r="A56" s="25">
        <v>15</v>
      </c>
      <c r="B56" s="29" t="s">
        <v>83</v>
      </c>
      <c r="C56" s="25">
        <v>277</v>
      </c>
      <c r="D56" s="49">
        <v>1215</v>
      </c>
      <c r="E56" s="25"/>
      <c r="F56" s="25"/>
      <c r="G56" s="49">
        <v>0</v>
      </c>
      <c r="H56" s="49">
        <v>0</v>
      </c>
      <c r="I56" s="49">
        <v>0</v>
      </c>
      <c r="J56" s="362">
        <v>25321</v>
      </c>
      <c r="K56" s="363" t="s">
        <v>414</v>
      </c>
      <c r="L56" s="378">
        <v>1215</v>
      </c>
      <c r="M56" s="25"/>
      <c r="N56" s="25"/>
      <c r="O56" s="72">
        <f t="shared" si="4"/>
        <v>0</v>
      </c>
      <c r="P56" s="73">
        <v>0</v>
      </c>
      <c r="Q56" s="72">
        <f t="shared" si="5"/>
        <v>0</v>
      </c>
      <c r="R56" s="29"/>
    </row>
    <row r="57" spans="1:18" ht="24.6">
      <c r="A57" s="25">
        <v>16</v>
      </c>
      <c r="B57" s="29" t="s">
        <v>85</v>
      </c>
      <c r="C57" s="25" t="s">
        <v>86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26"/>
      <c r="K57" s="16"/>
      <c r="L57" s="118"/>
      <c r="M57" s="25"/>
      <c r="N57" s="25"/>
      <c r="O57" s="72">
        <f t="shared" si="4"/>
        <v>0</v>
      </c>
      <c r="P57" s="73">
        <v>0</v>
      </c>
      <c r="Q57" s="72">
        <f t="shared" si="5"/>
        <v>0</v>
      </c>
      <c r="R57" s="29" t="s">
        <v>87</v>
      </c>
    </row>
    <row r="58" spans="1:18" ht="24.6">
      <c r="A58" s="25">
        <v>17</v>
      </c>
      <c r="B58" s="29" t="s">
        <v>57</v>
      </c>
      <c r="C58" s="25" t="s">
        <v>88</v>
      </c>
      <c r="D58" s="49">
        <v>0</v>
      </c>
      <c r="E58" s="25"/>
      <c r="F58" s="25"/>
      <c r="G58" s="49">
        <v>0</v>
      </c>
      <c r="H58" s="49">
        <v>0</v>
      </c>
      <c r="I58" s="49">
        <v>0</v>
      </c>
      <c r="J58" s="26"/>
      <c r="K58" s="16"/>
      <c r="L58" s="118"/>
      <c r="M58" s="25"/>
      <c r="N58" s="25"/>
      <c r="O58" s="72">
        <f t="shared" si="4"/>
        <v>0</v>
      </c>
      <c r="P58" s="73">
        <v>0</v>
      </c>
      <c r="Q58" s="72">
        <f t="shared" si="5"/>
        <v>0</v>
      </c>
      <c r="R58" s="29"/>
    </row>
    <row r="59" spans="1:18" ht="24.6">
      <c r="A59" s="25"/>
      <c r="B59" s="116" t="s">
        <v>89</v>
      </c>
      <c r="C59" s="29"/>
      <c r="D59" s="29"/>
      <c r="E59" s="25"/>
      <c r="F59" s="25"/>
      <c r="G59" s="29">
        <v>0</v>
      </c>
      <c r="H59" s="49"/>
      <c r="I59" s="49">
        <v>0</v>
      </c>
      <c r="J59" s="26"/>
      <c r="K59" s="16"/>
      <c r="L59" s="118"/>
      <c r="M59" s="25"/>
      <c r="N59" s="25"/>
      <c r="O59" s="72">
        <f t="shared" si="4"/>
        <v>0</v>
      </c>
      <c r="P59" s="49"/>
      <c r="Q59" s="72">
        <f t="shared" si="5"/>
        <v>0</v>
      </c>
      <c r="R59" s="29"/>
    </row>
    <row r="60" spans="1:18" ht="24.6">
      <c r="A60" s="25">
        <v>1</v>
      </c>
      <c r="B60" s="29" t="s">
        <v>57</v>
      </c>
      <c r="C60" s="25" t="s">
        <v>90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4"/>
        <v>0</v>
      </c>
      <c r="P60" s="73">
        <v>0</v>
      </c>
      <c r="Q60" s="72">
        <f t="shared" si="5"/>
        <v>0</v>
      </c>
      <c r="R60" s="29" t="s">
        <v>91</v>
      </c>
    </row>
    <row r="61" spans="1:18" ht="24.6">
      <c r="A61" s="25">
        <v>2</v>
      </c>
      <c r="B61" s="119" t="s">
        <v>57</v>
      </c>
      <c r="C61" s="25" t="s">
        <v>92</v>
      </c>
      <c r="D61" s="49"/>
      <c r="E61" s="25"/>
      <c r="F61" s="25"/>
      <c r="G61" s="4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ref="O61:O69" si="6">D61+G61</f>
        <v>0</v>
      </c>
      <c r="P61" s="49"/>
      <c r="Q61" s="73">
        <f t="shared" ref="Q61:Q69" si="7">D61+I61</f>
        <v>0</v>
      </c>
      <c r="R61" s="29"/>
    </row>
    <row r="62" spans="1:18" ht="24.6">
      <c r="A62" s="25">
        <v>3</v>
      </c>
      <c r="B62" s="29" t="s">
        <v>93</v>
      </c>
      <c r="C62" s="25" t="s">
        <v>94</v>
      </c>
      <c r="D62" s="49">
        <v>0</v>
      </c>
      <c r="E62" s="25"/>
      <c r="F62" s="25"/>
      <c r="G62" s="89">
        <v>0</v>
      </c>
      <c r="H62" s="89">
        <v>0</v>
      </c>
      <c r="I62" s="89">
        <v>0</v>
      </c>
      <c r="J62" s="69"/>
      <c r="K62" s="84"/>
      <c r="L62" s="83"/>
      <c r="M62" s="25"/>
      <c r="N62" s="25"/>
      <c r="O62" s="72">
        <f t="shared" si="6"/>
        <v>0</v>
      </c>
      <c r="P62" s="73">
        <v>0</v>
      </c>
      <c r="Q62" s="73">
        <f t="shared" si="7"/>
        <v>0</v>
      </c>
      <c r="R62" s="29"/>
    </row>
    <row r="63" spans="1:18" ht="24.6">
      <c r="A63" s="25">
        <v>4</v>
      </c>
      <c r="B63" s="119" t="s">
        <v>57</v>
      </c>
      <c r="C63" s="25" t="s">
        <v>95</v>
      </c>
      <c r="D63" s="52">
        <v>0</v>
      </c>
      <c r="E63" s="25"/>
      <c r="F63" s="25"/>
      <c r="G63" s="49">
        <v>0</v>
      </c>
      <c r="H63" s="49"/>
      <c r="I63" s="49">
        <v>0</v>
      </c>
      <c r="J63" s="69"/>
      <c r="K63" s="84"/>
      <c r="L63" s="83"/>
      <c r="M63" s="25"/>
      <c r="N63" s="25"/>
      <c r="O63" s="72">
        <f t="shared" si="6"/>
        <v>0</v>
      </c>
      <c r="P63" s="49"/>
      <c r="Q63" s="73">
        <f t="shared" si="7"/>
        <v>0</v>
      </c>
      <c r="R63" s="29"/>
    </row>
    <row r="64" spans="1:18" ht="24.6">
      <c r="A64" s="25">
        <v>5</v>
      </c>
      <c r="B64" s="29" t="s">
        <v>40</v>
      </c>
      <c r="C64" s="25" t="s">
        <v>96</v>
      </c>
      <c r="D64" s="49">
        <v>0</v>
      </c>
      <c r="E64" s="25"/>
      <c r="F64" s="25"/>
      <c r="G64" s="49">
        <v>0</v>
      </c>
      <c r="H64" s="49">
        <v>0</v>
      </c>
      <c r="I64" s="49">
        <v>0</v>
      </c>
      <c r="J64" s="69"/>
      <c r="K64" s="70"/>
      <c r="L64" s="83"/>
      <c r="M64" s="25"/>
      <c r="N64" s="25"/>
      <c r="O64" s="72">
        <f t="shared" si="6"/>
        <v>0</v>
      </c>
      <c r="P64" s="73">
        <v>0</v>
      </c>
      <c r="Q64" s="73">
        <f t="shared" si="7"/>
        <v>0</v>
      </c>
      <c r="R64" s="29" t="s">
        <v>41</v>
      </c>
    </row>
    <row r="65" spans="1:20" ht="24.6">
      <c r="A65" s="25"/>
      <c r="B65" s="124" t="s">
        <v>97</v>
      </c>
      <c r="C65" s="29"/>
      <c r="D65" s="29"/>
      <c r="E65" s="25"/>
      <c r="F65" s="25"/>
      <c r="G65" s="29">
        <v>0</v>
      </c>
      <c r="H65" s="49"/>
      <c r="I65" s="49">
        <v>0</v>
      </c>
      <c r="J65" s="26"/>
      <c r="K65" s="16"/>
      <c r="L65" s="118"/>
      <c r="M65" s="25"/>
      <c r="N65" s="25"/>
      <c r="O65" s="72">
        <f t="shared" si="6"/>
        <v>0</v>
      </c>
      <c r="P65" s="49"/>
      <c r="Q65" s="73">
        <f t="shared" si="7"/>
        <v>0</v>
      </c>
      <c r="R65" s="29"/>
    </row>
    <row r="66" spans="1:20" ht="24.6">
      <c r="A66" s="25">
        <v>1</v>
      </c>
      <c r="B66" s="125" t="s">
        <v>98</v>
      </c>
      <c r="C66" s="25" t="s">
        <v>99</v>
      </c>
      <c r="D66" s="49">
        <v>0</v>
      </c>
      <c r="E66" s="68" t="s">
        <v>172</v>
      </c>
      <c r="F66" s="25" t="s">
        <v>172</v>
      </c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6"/>
        <v>0</v>
      </c>
      <c r="P66" s="73">
        <v>0</v>
      </c>
      <c r="Q66" s="73">
        <f t="shared" si="7"/>
        <v>0</v>
      </c>
      <c r="R66" s="29" t="s">
        <v>100</v>
      </c>
      <c r="T66" s="2" t="s">
        <v>101</v>
      </c>
    </row>
    <row r="67" spans="1:20" ht="24.6">
      <c r="A67" s="25"/>
      <c r="B67" s="116" t="s">
        <v>102</v>
      </c>
      <c r="C67" s="29"/>
      <c r="D67" s="29"/>
      <c r="E67" s="25"/>
      <c r="F67" s="25"/>
      <c r="G67" s="2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6"/>
        <v>0</v>
      </c>
      <c r="P67" s="49"/>
      <c r="Q67" s="73">
        <f t="shared" si="7"/>
        <v>0</v>
      </c>
      <c r="R67" s="29"/>
    </row>
    <row r="68" spans="1:20" ht="20.25" customHeight="1">
      <c r="A68" s="25">
        <v>1</v>
      </c>
      <c r="B68" s="29" t="s">
        <v>36</v>
      </c>
      <c r="C68" s="29"/>
      <c r="D68" s="49">
        <v>0</v>
      </c>
      <c r="E68" s="25"/>
      <c r="F68" s="25"/>
      <c r="G68" s="49">
        <v>0</v>
      </c>
      <c r="H68" s="49">
        <v>0</v>
      </c>
      <c r="I68" s="49">
        <v>0</v>
      </c>
      <c r="J68" s="69"/>
      <c r="K68" s="84"/>
      <c r="L68" s="83"/>
      <c r="M68" s="25"/>
      <c r="N68" s="25"/>
      <c r="O68" s="72">
        <f t="shared" si="6"/>
        <v>0</v>
      </c>
      <c r="P68" s="73">
        <v>0</v>
      </c>
      <c r="Q68" s="73">
        <f t="shared" si="7"/>
        <v>0</v>
      </c>
      <c r="R68" s="29" t="s">
        <v>103</v>
      </c>
    </row>
    <row r="69" spans="1:20" ht="24.6">
      <c r="A69" s="25"/>
      <c r="B69" s="116" t="s">
        <v>104</v>
      </c>
      <c r="C69" s="29"/>
      <c r="D69" s="29"/>
      <c r="E69" s="25"/>
      <c r="F69" s="25"/>
      <c r="G69" s="49">
        <v>0</v>
      </c>
      <c r="H69" s="49"/>
      <c r="I69" s="49">
        <v>0</v>
      </c>
      <c r="J69" s="61"/>
      <c r="K69" s="61"/>
      <c r="L69" s="61"/>
      <c r="N69" s="29"/>
      <c r="O69" s="72">
        <f t="shared" si="6"/>
        <v>0</v>
      </c>
      <c r="P69" s="49"/>
      <c r="Q69" s="73">
        <f t="shared" si="7"/>
        <v>0</v>
      </c>
      <c r="R69" s="29"/>
    </row>
    <row r="70" spans="1:20" ht="24.6">
      <c r="A70" s="25">
        <v>1</v>
      </c>
      <c r="B70" s="29" t="s">
        <v>105</v>
      </c>
      <c r="C70" s="29"/>
      <c r="D70" s="49">
        <v>5000</v>
      </c>
      <c r="E70" s="126" t="s">
        <v>388</v>
      </c>
      <c r="F70" s="25">
        <v>1</v>
      </c>
      <c r="G70" s="49">
        <v>5000</v>
      </c>
      <c r="H70" s="49">
        <v>0</v>
      </c>
      <c r="I70" s="49">
        <v>5000</v>
      </c>
      <c r="J70" s="362">
        <v>25322</v>
      </c>
      <c r="K70" s="363" t="s">
        <v>415</v>
      </c>
      <c r="L70" s="378">
        <v>5000</v>
      </c>
      <c r="M70" s="392">
        <v>25294</v>
      </c>
      <c r="N70" s="393">
        <v>1</v>
      </c>
      <c r="O70" s="72">
        <f>D70+G70-L70</f>
        <v>5000</v>
      </c>
      <c r="P70" s="73">
        <v>0</v>
      </c>
      <c r="Q70" s="73">
        <f>D70+I70-L70</f>
        <v>5000</v>
      </c>
      <c r="R70" s="29"/>
    </row>
    <row r="71" spans="1:20" ht="24.6">
      <c r="A71" s="25">
        <v>2</v>
      </c>
      <c r="B71" s="29" t="s">
        <v>105</v>
      </c>
      <c r="C71" s="29"/>
      <c r="D71" s="49">
        <v>4650</v>
      </c>
      <c r="E71" s="126" t="s">
        <v>388</v>
      </c>
      <c r="F71" s="25">
        <v>1</v>
      </c>
      <c r="G71" s="49">
        <v>4650</v>
      </c>
      <c r="H71" s="49">
        <v>0</v>
      </c>
      <c r="I71" s="49">
        <v>4650</v>
      </c>
      <c r="J71" s="362">
        <v>25322</v>
      </c>
      <c r="K71" s="363" t="s">
        <v>416</v>
      </c>
      <c r="L71" s="378">
        <v>4650</v>
      </c>
      <c r="M71" s="392">
        <v>25294</v>
      </c>
      <c r="N71" s="393">
        <v>1</v>
      </c>
      <c r="O71" s="72">
        <f>D71+G71-L71</f>
        <v>4650</v>
      </c>
      <c r="P71" s="73">
        <v>0</v>
      </c>
      <c r="Q71" s="73">
        <f>D71+I71-L71</f>
        <v>4650</v>
      </c>
      <c r="R71" s="29" t="s">
        <v>108</v>
      </c>
    </row>
    <row r="72" spans="1:20" ht="24.6">
      <c r="A72" s="25">
        <v>3</v>
      </c>
      <c r="B72" s="29" t="s">
        <v>109</v>
      </c>
      <c r="C72" s="53"/>
      <c r="D72" s="127">
        <v>3450</v>
      </c>
      <c r="E72" s="25"/>
      <c r="F72" s="25"/>
      <c r="G72" s="127">
        <v>0</v>
      </c>
      <c r="H72" s="127">
        <v>0</v>
      </c>
      <c r="I72" s="49">
        <v>0</v>
      </c>
      <c r="J72" s="362">
        <v>25300</v>
      </c>
      <c r="K72" s="363" t="s">
        <v>417</v>
      </c>
      <c r="L72" s="378">
        <v>3450</v>
      </c>
      <c r="M72" s="126"/>
      <c r="N72" s="25"/>
      <c r="O72" s="72">
        <f>D72+G72-L72</f>
        <v>0</v>
      </c>
      <c r="P72" s="73">
        <v>0</v>
      </c>
      <c r="Q72" s="73">
        <f>D72+I72-L72</f>
        <v>0</v>
      </c>
      <c r="R72" s="29" t="s">
        <v>111</v>
      </c>
    </row>
    <row r="73" spans="1:20" ht="24.6">
      <c r="A73" s="25">
        <v>4</v>
      </c>
      <c r="B73" s="29" t="s">
        <v>112</v>
      </c>
      <c r="C73" s="29"/>
      <c r="D73" s="49">
        <v>3795</v>
      </c>
      <c r="E73" s="25"/>
      <c r="F73" s="25"/>
      <c r="G73" s="49">
        <v>0</v>
      </c>
      <c r="H73" s="49">
        <v>0</v>
      </c>
      <c r="I73" s="49">
        <v>0</v>
      </c>
      <c r="J73" s="362">
        <v>25300</v>
      </c>
      <c r="K73" s="363" t="s">
        <v>418</v>
      </c>
      <c r="L73" s="378">
        <v>3795</v>
      </c>
      <c r="M73" s="25"/>
      <c r="N73" s="25"/>
      <c r="O73" s="72">
        <f>D73+G73-L73</f>
        <v>0</v>
      </c>
      <c r="P73" s="73">
        <v>0</v>
      </c>
      <c r="Q73" s="73">
        <f>D73+I73-L73</f>
        <v>0</v>
      </c>
      <c r="R73" s="131" t="s">
        <v>114</v>
      </c>
    </row>
    <row r="74" spans="1:20" ht="25.5" customHeight="1">
      <c r="A74" s="25">
        <v>5</v>
      </c>
      <c r="B74" s="132" t="s">
        <v>115</v>
      </c>
      <c r="C74" s="132"/>
      <c r="D74" s="133">
        <v>8000</v>
      </c>
      <c r="E74" s="29"/>
      <c r="F74" s="29"/>
      <c r="G74" s="134">
        <v>0</v>
      </c>
      <c r="H74" s="134">
        <v>0</v>
      </c>
      <c r="I74" s="134">
        <v>0</v>
      </c>
      <c r="J74" s="362">
        <v>25300</v>
      </c>
      <c r="K74" s="363" t="s">
        <v>419</v>
      </c>
      <c r="L74" s="378">
        <v>8000</v>
      </c>
      <c r="M74" s="25"/>
      <c r="N74" s="25"/>
      <c r="O74" s="72">
        <f>D74+G74-L74</f>
        <v>0</v>
      </c>
      <c r="P74" s="73">
        <v>0</v>
      </c>
      <c r="Q74" s="73">
        <f>D74+I74-L74</f>
        <v>0</v>
      </c>
    </row>
    <row r="75" spans="1:20" ht="25.2" thickBot="1">
      <c r="A75" s="29"/>
      <c r="B75" s="25" t="s">
        <v>26</v>
      </c>
      <c r="C75" s="74"/>
      <c r="D75" s="78">
        <f>SUM(D42:D74)</f>
        <v>34615</v>
      </c>
      <c r="E75" s="78"/>
      <c r="F75" s="78"/>
      <c r="G75" s="78">
        <f>SUM(G42:G74)</f>
        <v>14510</v>
      </c>
      <c r="H75" s="78">
        <f>SUM(H42:H74)</f>
        <v>0</v>
      </c>
      <c r="I75" s="78">
        <f>SUM(I42:I74)</f>
        <v>14510</v>
      </c>
      <c r="J75" s="77"/>
      <c r="K75" s="77"/>
      <c r="L75" s="77">
        <f>SUM(L42:L74)</f>
        <v>37045</v>
      </c>
      <c r="M75" s="78"/>
      <c r="N75" s="135"/>
      <c r="O75" s="106">
        <f>SUM(O42:O74)</f>
        <v>12080</v>
      </c>
      <c r="P75" s="78">
        <v>0</v>
      </c>
      <c r="Q75" s="136">
        <f>SUM(Q42:Q74)</f>
        <v>12080</v>
      </c>
      <c r="R75" s="29"/>
    </row>
    <row r="76" spans="1:20" ht="25.2" thickTop="1">
      <c r="A76" s="29"/>
      <c r="B76" s="116" t="s">
        <v>117</v>
      </c>
      <c r="C76" s="46"/>
      <c r="D76" s="46"/>
      <c r="E76" s="28"/>
      <c r="F76" s="28"/>
      <c r="G76" s="46"/>
      <c r="H76" s="46"/>
      <c r="I76" s="46"/>
      <c r="J76" s="137"/>
      <c r="K76" s="138"/>
      <c r="L76" s="139"/>
      <c r="M76" s="28"/>
      <c r="N76" s="28"/>
      <c r="O76" s="72">
        <v>0</v>
      </c>
      <c r="P76" s="46"/>
      <c r="Q76" s="140">
        <v>0</v>
      </c>
      <c r="R76" s="46"/>
    </row>
    <row r="77" spans="1:20" ht="24.6">
      <c r="A77" s="29"/>
      <c r="B77" s="116" t="s">
        <v>118</v>
      </c>
      <c r="C77" s="46"/>
      <c r="D77" s="46"/>
      <c r="E77" s="25"/>
      <c r="F77" s="28"/>
      <c r="G77" s="46"/>
      <c r="H77" s="46"/>
      <c r="I77" s="46"/>
      <c r="J77" s="137"/>
      <c r="K77" s="138"/>
      <c r="L77" s="139"/>
      <c r="M77" s="28"/>
      <c r="N77" s="28"/>
      <c r="O77" s="72">
        <v>0</v>
      </c>
      <c r="P77" s="46"/>
      <c r="Q77" s="73">
        <v>0</v>
      </c>
      <c r="R77" s="29"/>
    </row>
    <row r="78" spans="1:20" ht="24.6">
      <c r="A78" s="25">
        <v>1</v>
      </c>
      <c r="B78" s="119" t="s">
        <v>119</v>
      </c>
      <c r="C78" s="46"/>
      <c r="D78" s="98">
        <v>0</v>
      </c>
      <c r="E78" s="25"/>
      <c r="F78" s="28"/>
      <c r="G78" s="49">
        <v>0</v>
      </c>
      <c r="H78" s="49">
        <v>0</v>
      </c>
      <c r="I78" s="49">
        <v>0</v>
      </c>
      <c r="J78" s="26"/>
      <c r="K78" s="16"/>
      <c r="L78" s="118"/>
      <c r="M78" s="119"/>
      <c r="N78" s="28"/>
      <c r="O78" s="72">
        <v>0</v>
      </c>
      <c r="P78" s="141">
        <v>0</v>
      </c>
      <c r="Q78" s="73">
        <v>0</v>
      </c>
      <c r="R78" s="29" t="s">
        <v>120</v>
      </c>
    </row>
    <row r="79" spans="1:20" ht="24.6">
      <c r="A79" s="25"/>
      <c r="B79" s="29" t="s">
        <v>120</v>
      </c>
      <c r="C79" s="46"/>
      <c r="D79" s="98"/>
      <c r="E79" s="25"/>
      <c r="F79" s="28"/>
      <c r="G79" s="49">
        <v>0</v>
      </c>
      <c r="H79" s="49"/>
      <c r="I79" s="49">
        <v>0</v>
      </c>
      <c r="J79" s="26"/>
      <c r="K79" s="16"/>
      <c r="L79" s="118"/>
      <c r="M79" s="25"/>
      <c r="N79" s="28"/>
      <c r="O79" s="72">
        <v>0</v>
      </c>
      <c r="P79" s="46"/>
      <c r="Q79" s="73">
        <v>0</v>
      </c>
      <c r="R79" s="29"/>
    </row>
    <row r="80" spans="1:20" ht="24.6">
      <c r="A80" s="25">
        <v>2</v>
      </c>
      <c r="B80" s="119" t="s">
        <v>121</v>
      </c>
      <c r="C80" s="46"/>
      <c r="D80" s="98">
        <v>6000</v>
      </c>
      <c r="E80" s="25"/>
      <c r="F80" s="25"/>
      <c r="G80" s="49">
        <v>0</v>
      </c>
      <c r="H80" s="49">
        <v>0</v>
      </c>
      <c r="I80" s="49">
        <v>0</v>
      </c>
      <c r="J80" s="362">
        <v>25300</v>
      </c>
      <c r="K80" s="363" t="s">
        <v>420</v>
      </c>
      <c r="L80" s="378">
        <v>6000</v>
      </c>
      <c r="M80" s="25"/>
      <c r="N80" s="25"/>
      <c r="O80" s="72">
        <v>0</v>
      </c>
      <c r="P80" s="73">
        <v>0</v>
      </c>
      <c r="Q80" s="73">
        <v>0</v>
      </c>
      <c r="R80" s="29"/>
    </row>
    <row r="81" spans="1:18" ht="24.6">
      <c r="A81" s="29"/>
      <c r="B81" s="45" t="s">
        <v>123</v>
      </c>
      <c r="C81" s="46"/>
      <c r="D81" s="46"/>
      <c r="E81" s="28"/>
      <c r="F81" s="28"/>
      <c r="G81" s="46">
        <v>0</v>
      </c>
      <c r="H81" s="46"/>
      <c r="I81" s="49">
        <v>0</v>
      </c>
      <c r="J81" s="440"/>
      <c r="K81" s="441"/>
      <c r="L81" s="442"/>
      <c r="M81" s="28"/>
      <c r="N81" s="28"/>
      <c r="O81" s="72">
        <v>0</v>
      </c>
      <c r="P81" s="46"/>
      <c r="Q81" s="73">
        <v>0</v>
      </c>
      <c r="R81" s="29"/>
    </row>
    <row r="82" spans="1:18" ht="24.6">
      <c r="A82" s="25">
        <v>1</v>
      </c>
      <c r="B82" s="29" t="s">
        <v>124</v>
      </c>
      <c r="C82" s="29"/>
      <c r="D82" s="49">
        <v>600</v>
      </c>
      <c r="E82" s="25"/>
      <c r="F82" s="25"/>
      <c r="G82" s="49">
        <v>0</v>
      </c>
      <c r="H82" s="49">
        <v>0</v>
      </c>
      <c r="I82" s="49">
        <v>0</v>
      </c>
      <c r="J82" s="362">
        <v>25313</v>
      </c>
      <c r="K82" s="363" t="s">
        <v>421</v>
      </c>
      <c r="L82" s="378">
        <v>600</v>
      </c>
      <c r="M82" s="25"/>
      <c r="N82" s="25"/>
      <c r="O82" s="72">
        <v>0</v>
      </c>
      <c r="P82" s="73">
        <v>0</v>
      </c>
      <c r="Q82" s="73">
        <v>0</v>
      </c>
      <c r="R82" s="29"/>
    </row>
    <row r="83" spans="1:18" ht="24.6">
      <c r="A83" s="25">
        <v>2</v>
      </c>
      <c r="B83" s="29" t="s">
        <v>40</v>
      </c>
      <c r="C83" s="29"/>
      <c r="D83" s="49">
        <v>0</v>
      </c>
      <c r="E83" s="25"/>
      <c r="F83" s="25"/>
      <c r="G83" s="49">
        <v>0</v>
      </c>
      <c r="H83" s="49">
        <v>0</v>
      </c>
      <c r="I83" s="49">
        <v>0</v>
      </c>
      <c r="J83" s="69"/>
      <c r="K83" s="70"/>
      <c r="L83" s="83"/>
      <c r="M83" s="25"/>
      <c r="N83" s="25"/>
      <c r="O83" s="72">
        <v>0</v>
      </c>
      <c r="P83" s="73">
        <v>0</v>
      </c>
      <c r="Q83" s="73">
        <v>0</v>
      </c>
      <c r="R83" s="29" t="s">
        <v>126</v>
      </c>
    </row>
    <row r="84" spans="1:18" ht="24.6">
      <c r="A84" s="25"/>
      <c r="B84" s="124" t="s">
        <v>127</v>
      </c>
      <c r="C84" s="29"/>
      <c r="D84" s="49"/>
      <c r="E84" s="25"/>
      <c r="F84" s="25"/>
      <c r="G84" s="49">
        <v>0</v>
      </c>
      <c r="H84" s="29"/>
      <c r="I84" s="49">
        <v>0</v>
      </c>
      <c r="J84" s="26"/>
      <c r="K84" s="16"/>
      <c r="L84" s="118"/>
      <c r="M84" s="25"/>
      <c r="N84" s="25"/>
      <c r="O84" s="72">
        <v>0</v>
      </c>
      <c r="P84" s="49"/>
      <c r="Q84" s="73">
        <v>0</v>
      </c>
      <c r="R84" s="29"/>
    </row>
    <row r="85" spans="1:18" ht="24.6">
      <c r="A85" s="25">
        <v>1</v>
      </c>
      <c r="B85" s="119" t="s">
        <v>128</v>
      </c>
      <c r="C85" s="29"/>
      <c r="D85" s="49"/>
      <c r="E85" s="25"/>
      <c r="F85" s="25"/>
      <c r="G85" s="49">
        <v>0</v>
      </c>
      <c r="H85" s="49">
        <v>0</v>
      </c>
      <c r="I85" s="49">
        <v>0</v>
      </c>
      <c r="J85" s="26"/>
      <c r="K85" s="16"/>
      <c r="L85" s="118"/>
      <c r="M85" s="25"/>
      <c r="N85" s="25"/>
      <c r="O85" s="72">
        <v>0</v>
      </c>
      <c r="P85" s="73">
        <v>0</v>
      </c>
      <c r="Q85" s="73">
        <v>0</v>
      </c>
      <c r="R85" s="29" t="s">
        <v>129</v>
      </c>
    </row>
    <row r="86" spans="1:18" ht="24.6">
      <c r="A86" s="25">
        <v>2</v>
      </c>
      <c r="B86" s="29" t="s">
        <v>130</v>
      </c>
      <c r="C86" s="29"/>
      <c r="D86" s="49">
        <v>550</v>
      </c>
      <c r="E86" s="25"/>
      <c r="F86" s="25"/>
      <c r="G86" s="49">
        <v>0</v>
      </c>
      <c r="H86" s="49">
        <v>0</v>
      </c>
      <c r="I86" s="49">
        <v>0</v>
      </c>
      <c r="J86" s="362">
        <v>25320</v>
      </c>
      <c r="K86" s="363" t="s">
        <v>422</v>
      </c>
      <c r="L86" s="378">
        <v>550</v>
      </c>
      <c r="M86" s="25"/>
      <c r="N86" s="25"/>
      <c r="O86" s="72">
        <v>0</v>
      </c>
      <c r="P86" s="73">
        <v>0</v>
      </c>
      <c r="Q86" s="73">
        <v>0</v>
      </c>
      <c r="R86" s="29"/>
    </row>
    <row r="87" spans="1:18" ht="24.6">
      <c r="A87" s="25" t="s">
        <v>370</v>
      </c>
      <c r="B87" s="29" t="s">
        <v>225</v>
      </c>
      <c r="C87" s="29"/>
      <c r="D87" s="49"/>
      <c r="E87" s="25"/>
      <c r="F87" s="25"/>
      <c r="G87" s="49"/>
      <c r="H87" s="49"/>
      <c r="I87" s="49"/>
      <c r="J87" s="362"/>
      <c r="K87" s="363"/>
      <c r="L87" s="378"/>
      <c r="M87" s="25"/>
      <c r="N87" s="25"/>
      <c r="O87" s="72"/>
      <c r="P87" s="140"/>
      <c r="Q87" s="140"/>
      <c r="R87" s="29"/>
    </row>
    <row r="88" spans="1:18" ht="24.6">
      <c r="A88" s="25">
        <v>4</v>
      </c>
      <c r="B88" s="29" t="s">
        <v>132</v>
      </c>
      <c r="C88" s="29"/>
      <c r="D88" s="49">
        <v>1100</v>
      </c>
      <c r="E88" s="25" t="s">
        <v>388</v>
      </c>
      <c r="F88" s="25">
        <v>1</v>
      </c>
      <c r="G88" s="89">
        <v>1100</v>
      </c>
      <c r="H88" s="49"/>
      <c r="I88" s="49">
        <v>1100</v>
      </c>
      <c r="J88" s="362" t="s">
        <v>423</v>
      </c>
      <c r="K88" s="363" t="s">
        <v>424</v>
      </c>
      <c r="L88" s="378">
        <v>2200</v>
      </c>
      <c r="M88" s="25"/>
      <c r="N88" s="25"/>
      <c r="O88" s="72">
        <f>SUM(D88+I88-L88)</f>
        <v>0</v>
      </c>
      <c r="P88" s="72"/>
      <c r="Q88" s="72">
        <f>SUM(D88+I88-L88)</f>
        <v>0</v>
      </c>
      <c r="R88" s="29"/>
    </row>
    <row r="89" spans="1:18" ht="24.6">
      <c r="A89" s="25">
        <v>5</v>
      </c>
      <c r="B89" s="29" t="s">
        <v>134</v>
      </c>
      <c r="C89" s="29"/>
      <c r="D89" s="49">
        <v>1650</v>
      </c>
      <c r="E89" s="25"/>
      <c r="F89" s="25"/>
      <c r="G89" s="89">
        <v>0</v>
      </c>
      <c r="H89" s="49">
        <v>0</v>
      </c>
      <c r="I89" s="49">
        <v>0</v>
      </c>
      <c r="J89" s="362">
        <v>25320</v>
      </c>
      <c r="K89" s="423" t="s">
        <v>426</v>
      </c>
      <c r="L89" s="378">
        <v>1650</v>
      </c>
      <c r="M89" s="25"/>
      <c r="N89" s="25"/>
      <c r="O89" s="72">
        <f t="shared" ref="O89:O93" si="8">SUM(D89+I89-L89)</f>
        <v>0</v>
      </c>
      <c r="P89" s="73">
        <v>0</v>
      </c>
      <c r="Q89" s="72">
        <f t="shared" ref="Q89:Q92" si="9">SUM(D89+I89-L89)</f>
        <v>0</v>
      </c>
      <c r="R89" s="29"/>
    </row>
    <row r="90" spans="1:18" ht="24.6">
      <c r="A90" s="25"/>
      <c r="B90" s="116" t="s">
        <v>136</v>
      </c>
      <c r="C90" s="29"/>
      <c r="D90" s="49"/>
      <c r="E90" s="25"/>
      <c r="F90" s="25"/>
      <c r="G90" s="89">
        <v>0</v>
      </c>
      <c r="H90" s="29"/>
      <c r="I90" s="49">
        <v>0</v>
      </c>
      <c r="J90" s="362"/>
      <c r="K90" s="363"/>
      <c r="L90" s="378"/>
      <c r="M90" s="25"/>
      <c r="N90" s="25"/>
      <c r="O90" s="72">
        <f t="shared" si="8"/>
        <v>0</v>
      </c>
      <c r="P90" s="49"/>
      <c r="Q90" s="72">
        <f t="shared" si="9"/>
        <v>0</v>
      </c>
      <c r="R90" s="29"/>
    </row>
    <row r="91" spans="1:18" ht="24.6">
      <c r="A91" s="25">
        <v>1</v>
      </c>
      <c r="B91" s="29" t="s">
        <v>137</v>
      </c>
      <c r="C91" s="29"/>
      <c r="D91" s="49">
        <v>5000</v>
      </c>
      <c r="E91" s="25" t="s">
        <v>388</v>
      </c>
      <c r="F91" s="25">
        <v>1</v>
      </c>
      <c r="G91" s="89">
        <v>5000</v>
      </c>
      <c r="H91" s="49">
        <v>0</v>
      </c>
      <c r="I91" s="49">
        <v>5000</v>
      </c>
      <c r="J91" s="362">
        <v>25296</v>
      </c>
      <c r="K91" s="363" t="s">
        <v>427</v>
      </c>
      <c r="L91" s="378">
        <v>10000</v>
      </c>
      <c r="M91" s="68"/>
      <c r="N91" s="25"/>
      <c r="O91" s="72">
        <f t="shared" si="8"/>
        <v>0</v>
      </c>
      <c r="P91" s="73">
        <v>0</v>
      </c>
      <c r="Q91" s="72">
        <f t="shared" si="9"/>
        <v>0</v>
      </c>
      <c r="R91" s="29"/>
    </row>
    <row r="92" spans="1:18" ht="24.6">
      <c r="A92" s="25"/>
      <c r="B92" s="116" t="s">
        <v>140</v>
      </c>
      <c r="C92" s="29"/>
      <c r="D92" s="49"/>
      <c r="E92" s="25"/>
      <c r="F92" s="25"/>
      <c r="G92" s="49">
        <v>0</v>
      </c>
      <c r="H92" s="49"/>
      <c r="I92" s="49">
        <v>0</v>
      </c>
      <c r="J92" s="69"/>
      <c r="K92" s="84"/>
      <c r="L92" s="83"/>
      <c r="M92" s="25"/>
      <c r="N92" s="25"/>
      <c r="O92" s="72">
        <f t="shared" si="8"/>
        <v>0</v>
      </c>
      <c r="P92" s="49"/>
      <c r="Q92" s="72">
        <f t="shared" si="9"/>
        <v>0</v>
      </c>
      <c r="R92" s="29"/>
    </row>
    <row r="93" spans="1:18" ht="24.6">
      <c r="A93" s="25">
        <v>1</v>
      </c>
      <c r="B93" s="29" t="s">
        <v>141</v>
      </c>
      <c r="C93" s="29"/>
      <c r="D93" s="49">
        <v>0</v>
      </c>
      <c r="E93" s="25"/>
      <c r="F93" s="25"/>
      <c r="G93" s="49">
        <v>0</v>
      </c>
      <c r="H93" s="49">
        <v>0</v>
      </c>
      <c r="I93" s="49">
        <v>0</v>
      </c>
      <c r="J93" s="69"/>
      <c r="K93" s="70"/>
      <c r="L93" s="83"/>
      <c r="M93" s="25"/>
      <c r="N93" s="25"/>
      <c r="O93" s="72">
        <f t="shared" si="8"/>
        <v>0</v>
      </c>
      <c r="P93" s="73">
        <v>0</v>
      </c>
      <c r="Q93" s="73">
        <v>0</v>
      </c>
      <c r="R93" s="29"/>
    </row>
    <row r="94" spans="1:18" ht="24.6">
      <c r="A94" s="25"/>
      <c r="B94" s="116" t="s">
        <v>142</v>
      </c>
      <c r="C94" s="29"/>
      <c r="D94" s="49"/>
      <c r="E94" s="25"/>
      <c r="F94" s="25"/>
      <c r="G94" s="49">
        <v>0</v>
      </c>
      <c r="H94" s="29"/>
      <c r="I94" s="49">
        <v>0</v>
      </c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>
        <v>1</v>
      </c>
      <c r="B95" s="29" t="s">
        <v>143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69"/>
      <c r="K95" s="70"/>
      <c r="L95" s="83"/>
      <c r="M95" s="25"/>
      <c r="N95" s="25"/>
      <c r="O95" s="72">
        <v>0</v>
      </c>
      <c r="P95" s="73">
        <v>0</v>
      </c>
      <c r="Q95" s="73">
        <v>0</v>
      </c>
      <c r="R95" s="29" t="s">
        <v>64</v>
      </c>
    </row>
    <row r="96" spans="1:18" ht="24.6">
      <c r="A96" s="25">
        <v>2</v>
      </c>
      <c r="B96" s="29" t="s">
        <v>144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145"/>
      <c r="K96" s="146"/>
      <c r="L96" s="147"/>
      <c r="M96" s="25"/>
      <c r="N96" s="25"/>
      <c r="O96" s="72">
        <v>0</v>
      </c>
      <c r="P96" s="73">
        <v>0</v>
      </c>
      <c r="Q96" s="73">
        <v>0</v>
      </c>
      <c r="R96" s="29" t="s">
        <v>145</v>
      </c>
    </row>
    <row r="97" spans="1:18" ht="24.6">
      <c r="A97" s="25">
        <v>3</v>
      </c>
      <c r="B97" s="29" t="s">
        <v>146</v>
      </c>
      <c r="C97" s="29"/>
      <c r="D97" s="49">
        <v>0</v>
      </c>
      <c r="E97" s="25"/>
      <c r="F97" s="25"/>
      <c r="G97" s="52">
        <v>0</v>
      </c>
      <c r="H97" s="49">
        <v>0</v>
      </c>
      <c r="I97" s="49">
        <v>0</v>
      </c>
      <c r="J97" s="69"/>
      <c r="K97" s="70"/>
      <c r="L97" s="83"/>
      <c r="M97" s="25"/>
      <c r="N97" s="25"/>
      <c r="O97" s="72">
        <v>0</v>
      </c>
      <c r="P97" s="73">
        <v>0</v>
      </c>
      <c r="Q97" s="73">
        <v>0</v>
      </c>
      <c r="R97" s="29"/>
    </row>
    <row r="98" spans="1:18" ht="24.6">
      <c r="A98" s="25">
        <v>4</v>
      </c>
      <c r="B98" s="29" t="s">
        <v>147</v>
      </c>
      <c r="C98" s="29"/>
      <c r="D98" s="49">
        <v>0</v>
      </c>
      <c r="E98" s="25"/>
      <c r="F98" s="25"/>
      <c r="G98" s="72">
        <v>0</v>
      </c>
      <c r="H98" s="73">
        <v>0</v>
      </c>
      <c r="I98" s="73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148</v>
      </c>
    </row>
    <row r="99" spans="1:18" ht="24.6">
      <c r="A99" s="25">
        <v>5</v>
      </c>
      <c r="B99" s="29" t="s">
        <v>149</v>
      </c>
      <c r="C99" s="29"/>
      <c r="D99" s="49">
        <v>0</v>
      </c>
      <c r="E99" s="25"/>
      <c r="F99" s="25"/>
      <c r="G99" s="72">
        <v>0</v>
      </c>
      <c r="H99" s="73">
        <v>0</v>
      </c>
      <c r="I99" s="73">
        <v>0</v>
      </c>
      <c r="J99" s="69"/>
      <c r="K99" s="70"/>
      <c r="L99" s="83"/>
      <c r="M99" s="25"/>
      <c r="N99" s="25"/>
      <c r="O99" s="72">
        <v>0</v>
      </c>
      <c r="P99" s="73">
        <v>0</v>
      </c>
      <c r="Q99" s="73">
        <v>0</v>
      </c>
      <c r="R99" s="29" t="s">
        <v>150</v>
      </c>
    </row>
    <row r="100" spans="1:18" ht="24.6">
      <c r="A100" s="25">
        <v>6</v>
      </c>
      <c r="B100" s="29" t="s">
        <v>151</v>
      </c>
      <c r="C100" s="29"/>
      <c r="D100" s="49"/>
      <c r="E100" s="25"/>
      <c r="F100" s="25"/>
      <c r="G100" s="72">
        <v>0</v>
      </c>
      <c r="H100" s="73"/>
      <c r="I100" s="73">
        <v>0</v>
      </c>
      <c r="J100" s="69"/>
      <c r="K100" s="70"/>
      <c r="L100" s="83"/>
      <c r="M100" s="25"/>
      <c r="N100" s="25"/>
      <c r="O100" s="72">
        <v>0</v>
      </c>
      <c r="P100" s="73"/>
      <c r="Q100" s="73">
        <v>0</v>
      </c>
      <c r="R100" s="29" t="s">
        <v>152</v>
      </c>
    </row>
    <row r="101" spans="1:18" ht="24.6">
      <c r="A101" s="25">
        <v>7</v>
      </c>
      <c r="B101" s="29" t="s">
        <v>153</v>
      </c>
      <c r="C101" s="29"/>
      <c r="D101" s="49"/>
      <c r="E101" s="25"/>
      <c r="F101" s="25"/>
      <c r="G101" s="72">
        <v>0</v>
      </c>
      <c r="H101" s="73"/>
      <c r="I101" s="73">
        <v>0</v>
      </c>
      <c r="J101" s="69"/>
      <c r="K101" s="70"/>
      <c r="L101" s="83"/>
      <c r="M101" s="25"/>
      <c r="N101" s="25"/>
      <c r="O101" s="72">
        <v>0</v>
      </c>
      <c r="P101" s="73"/>
      <c r="Q101" s="73">
        <v>0</v>
      </c>
      <c r="R101" s="29" t="s">
        <v>64</v>
      </c>
    </row>
    <row r="102" spans="1:18" ht="24.6">
      <c r="A102" s="25">
        <v>8</v>
      </c>
      <c r="B102" s="29" t="s">
        <v>154</v>
      </c>
      <c r="C102" s="29"/>
      <c r="D102" s="49"/>
      <c r="E102" s="25"/>
      <c r="F102" s="25"/>
      <c r="G102" s="72">
        <v>0</v>
      </c>
      <c r="H102" s="73"/>
      <c r="I102" s="73">
        <v>0</v>
      </c>
      <c r="J102" s="69"/>
      <c r="K102" s="70"/>
      <c r="L102" s="83"/>
      <c r="M102" s="25"/>
      <c r="N102" s="25"/>
      <c r="O102" s="72">
        <v>0</v>
      </c>
      <c r="P102" s="73"/>
      <c r="Q102" s="73">
        <v>0</v>
      </c>
      <c r="R102" s="29" t="s">
        <v>155</v>
      </c>
    </row>
    <row r="103" spans="1:18" ht="24.6">
      <c r="A103" s="25">
        <v>9</v>
      </c>
      <c r="B103" s="29" t="s">
        <v>156</v>
      </c>
      <c r="C103" s="29"/>
      <c r="D103" s="49"/>
      <c r="E103" s="25"/>
      <c r="F103" s="25"/>
      <c r="G103" s="72">
        <v>0</v>
      </c>
      <c r="H103" s="73"/>
      <c r="I103" s="73">
        <v>0</v>
      </c>
      <c r="J103" s="69"/>
      <c r="K103" s="70"/>
      <c r="L103" s="83"/>
      <c r="M103" s="25"/>
      <c r="N103" s="25"/>
      <c r="O103" s="72">
        <v>0</v>
      </c>
      <c r="P103" s="73"/>
      <c r="Q103" s="73">
        <v>0</v>
      </c>
      <c r="R103" s="29" t="s">
        <v>64</v>
      </c>
    </row>
    <row r="104" spans="1:18" ht="24.6">
      <c r="A104" s="25">
        <v>10</v>
      </c>
      <c r="B104" s="29" t="s">
        <v>157</v>
      </c>
      <c r="C104" s="29"/>
      <c r="D104" s="49"/>
      <c r="E104" s="25"/>
      <c r="F104" s="25"/>
      <c r="G104" s="72">
        <v>0</v>
      </c>
      <c r="H104" s="73"/>
      <c r="I104" s="73">
        <v>0</v>
      </c>
      <c r="J104" s="69"/>
      <c r="K104" s="70"/>
      <c r="L104" s="83"/>
      <c r="M104" s="25"/>
      <c r="N104" s="25"/>
      <c r="O104" s="72">
        <v>0</v>
      </c>
      <c r="P104" s="73"/>
      <c r="Q104" s="73">
        <v>0</v>
      </c>
      <c r="R104" s="29" t="s">
        <v>158</v>
      </c>
    </row>
    <row r="105" spans="1:18" ht="24.6">
      <c r="A105" s="25">
        <v>11</v>
      </c>
      <c r="B105" s="148" t="s">
        <v>159</v>
      </c>
      <c r="C105" s="29"/>
      <c r="D105" s="49">
        <v>0</v>
      </c>
      <c r="E105" s="25"/>
      <c r="F105" s="25"/>
      <c r="G105" s="72">
        <v>0</v>
      </c>
      <c r="H105" s="73">
        <v>0</v>
      </c>
      <c r="I105" s="73">
        <v>0</v>
      </c>
      <c r="J105" s="69"/>
      <c r="K105" s="83"/>
      <c r="L105" s="83"/>
      <c r="M105" s="25"/>
      <c r="N105" s="25"/>
      <c r="O105" s="72">
        <v>0</v>
      </c>
      <c r="P105" s="73">
        <v>0</v>
      </c>
      <c r="Q105" s="73">
        <v>0</v>
      </c>
      <c r="R105" s="29"/>
    </row>
    <row r="106" spans="1:18" ht="24.6">
      <c r="A106" s="25">
        <v>12</v>
      </c>
      <c r="B106" s="29" t="s">
        <v>160</v>
      </c>
      <c r="C106" s="29"/>
      <c r="D106" s="49">
        <v>0</v>
      </c>
      <c r="E106" s="25"/>
      <c r="F106" s="25"/>
      <c r="G106" s="72">
        <v>0</v>
      </c>
      <c r="H106" s="73">
        <v>0</v>
      </c>
      <c r="I106" s="73">
        <v>0</v>
      </c>
      <c r="J106" s="69"/>
      <c r="K106" s="70"/>
      <c r="L106" s="83"/>
      <c r="M106" s="25"/>
      <c r="N106" s="25"/>
      <c r="O106" s="72">
        <v>0</v>
      </c>
      <c r="P106" s="73">
        <v>0</v>
      </c>
      <c r="Q106" s="73">
        <v>0</v>
      </c>
      <c r="R106" s="149" t="s">
        <v>161</v>
      </c>
    </row>
    <row r="107" spans="1:18" ht="24.6">
      <c r="A107" s="25">
        <v>13</v>
      </c>
      <c r="B107" s="148" t="s">
        <v>162</v>
      </c>
      <c r="C107" s="29"/>
      <c r="D107" s="49">
        <v>0</v>
      </c>
      <c r="E107" s="25"/>
      <c r="F107" s="25"/>
      <c r="G107" s="72">
        <v>0</v>
      </c>
      <c r="H107" s="73">
        <v>0</v>
      </c>
      <c r="I107" s="73">
        <v>0</v>
      </c>
      <c r="J107" s="69"/>
      <c r="K107" s="70"/>
      <c r="L107" s="150"/>
      <c r="M107" s="25"/>
      <c r="N107" s="25"/>
      <c r="O107" s="72">
        <v>0</v>
      </c>
      <c r="P107" s="73">
        <v>0</v>
      </c>
      <c r="Q107" s="73">
        <v>0</v>
      </c>
      <c r="R107" s="29" t="s">
        <v>163</v>
      </c>
    </row>
    <row r="108" spans="1:18" ht="24.6">
      <c r="A108" s="25">
        <v>14</v>
      </c>
      <c r="B108" s="148" t="s">
        <v>164</v>
      </c>
      <c r="C108" s="29"/>
      <c r="D108" s="49">
        <v>0</v>
      </c>
      <c r="E108" s="25"/>
      <c r="F108" s="25"/>
      <c r="G108" s="72">
        <v>0</v>
      </c>
      <c r="H108" s="73">
        <v>0</v>
      </c>
      <c r="I108" s="73">
        <v>0</v>
      </c>
      <c r="J108" s="69"/>
      <c r="K108" s="70"/>
      <c r="L108" s="150"/>
      <c r="M108" s="25"/>
      <c r="N108" s="25"/>
      <c r="O108" s="72">
        <v>0</v>
      </c>
      <c r="P108" s="73">
        <v>0</v>
      </c>
      <c r="Q108" s="73">
        <v>0</v>
      </c>
      <c r="R108" s="29" t="s">
        <v>165</v>
      </c>
    </row>
    <row r="109" spans="1:18" ht="24.6">
      <c r="A109" s="25">
        <v>15</v>
      </c>
      <c r="B109" s="148" t="s">
        <v>166</v>
      </c>
      <c r="C109" s="29"/>
      <c r="D109" s="49">
        <v>0</v>
      </c>
      <c r="E109" s="25"/>
      <c r="F109" s="25"/>
      <c r="G109" s="72">
        <v>0</v>
      </c>
      <c r="H109" s="73">
        <v>0</v>
      </c>
      <c r="I109" s="73">
        <v>0</v>
      </c>
      <c r="J109" s="69"/>
      <c r="K109" s="70"/>
      <c r="L109" s="150"/>
      <c r="M109" s="25"/>
      <c r="N109" s="25"/>
      <c r="O109" s="72">
        <v>0</v>
      </c>
      <c r="P109" s="73">
        <v>0</v>
      </c>
      <c r="Q109" s="73">
        <v>0</v>
      </c>
      <c r="R109" s="29" t="s">
        <v>64</v>
      </c>
    </row>
    <row r="110" spans="1:18" ht="18.75" customHeight="1">
      <c r="A110" s="3">
        <v>16</v>
      </c>
      <c r="B110" s="151" t="s">
        <v>167</v>
      </c>
      <c r="C110" s="29"/>
      <c r="D110" s="49">
        <v>0</v>
      </c>
      <c r="E110" s="25"/>
      <c r="F110" s="25"/>
      <c r="G110" s="72">
        <v>0</v>
      </c>
      <c r="H110" s="73">
        <v>0</v>
      </c>
      <c r="I110" s="73">
        <v>0</v>
      </c>
      <c r="J110" s="69"/>
      <c r="K110" s="70"/>
      <c r="L110" s="150"/>
      <c r="M110" s="25"/>
      <c r="N110" s="25"/>
      <c r="O110" s="72">
        <v>0</v>
      </c>
      <c r="P110" s="73">
        <v>0</v>
      </c>
      <c r="Q110" s="73">
        <v>0</v>
      </c>
      <c r="R110" s="29" t="s">
        <v>145</v>
      </c>
    </row>
    <row r="111" spans="1:18" ht="25.2" thickBot="1">
      <c r="A111" s="29"/>
      <c r="B111" s="25" t="s">
        <v>26</v>
      </c>
      <c r="C111" s="64"/>
      <c r="D111" s="63">
        <f>SUM(D78:D110)</f>
        <v>14900</v>
      </c>
      <c r="E111" s="63"/>
      <c r="F111" s="63"/>
      <c r="G111" s="63">
        <f>SUM(G78:G110)</f>
        <v>6100</v>
      </c>
      <c r="H111" s="63">
        <f>SUM(H78:H110)</f>
        <v>0</v>
      </c>
      <c r="I111" s="63">
        <f>SUM(I78:I110)</f>
        <v>6100</v>
      </c>
      <c r="J111" s="67"/>
      <c r="K111" s="67"/>
      <c r="L111" s="67">
        <f>SUM(L78:L110)</f>
        <v>21000</v>
      </c>
      <c r="M111" s="63"/>
      <c r="N111" s="105"/>
      <c r="O111" s="106">
        <f>SUM(O78:O110)</f>
        <v>0</v>
      </c>
      <c r="P111" s="106">
        <f>SUM(P78:P110)</f>
        <v>0</v>
      </c>
      <c r="Q111" s="106">
        <f>SUM(Q78:Q110)</f>
        <v>0</v>
      </c>
      <c r="R111" s="29"/>
    </row>
    <row r="112" spans="1:18" ht="25.2" thickTop="1">
      <c r="A112" s="29"/>
      <c r="B112" s="25"/>
      <c r="C112" s="46"/>
      <c r="D112" s="57"/>
      <c r="E112" s="46"/>
      <c r="F112" s="46"/>
      <c r="G112" s="57"/>
      <c r="H112" s="57"/>
      <c r="I112" s="57"/>
      <c r="J112" s="137"/>
      <c r="K112" s="48"/>
      <c r="L112" s="58"/>
      <c r="M112" s="46"/>
      <c r="N112" s="28"/>
      <c r="O112" s="57"/>
      <c r="P112" s="57"/>
      <c r="Q112" s="57"/>
      <c r="R112" s="46"/>
    </row>
    <row r="113" spans="1:20" ht="24.6">
      <c r="A113" s="29"/>
      <c r="B113" s="45" t="s">
        <v>168</v>
      </c>
      <c r="C113" s="29"/>
      <c r="D113" s="59"/>
      <c r="E113" s="29"/>
      <c r="F113" s="29"/>
      <c r="G113" s="59"/>
      <c r="H113" s="59"/>
      <c r="I113" s="59"/>
      <c r="J113" s="26"/>
      <c r="K113" s="61"/>
      <c r="L113" s="62"/>
      <c r="M113" s="29"/>
      <c r="N113" s="25"/>
      <c r="O113" s="59"/>
      <c r="P113" s="59"/>
      <c r="Q113" s="59"/>
      <c r="R113" s="46"/>
    </row>
    <row r="114" spans="1:20" ht="25.2" thickBot="1">
      <c r="A114" s="25">
        <v>1</v>
      </c>
      <c r="B114" s="25"/>
      <c r="C114" s="74"/>
      <c r="D114" s="78"/>
      <c r="E114" s="74"/>
      <c r="F114" s="74"/>
      <c r="G114" s="78"/>
      <c r="H114" s="78"/>
      <c r="I114" s="78"/>
      <c r="J114" s="35"/>
      <c r="K114" s="76"/>
      <c r="L114" s="77"/>
      <c r="M114" s="74"/>
      <c r="N114" s="34"/>
      <c r="O114" s="78"/>
      <c r="P114" s="78"/>
      <c r="Q114" s="78"/>
      <c r="R114" s="46"/>
    </row>
    <row r="115" spans="1:20" ht="25.8" thickTop="1" thickBot="1">
      <c r="A115" s="29"/>
      <c r="B115" s="25" t="s">
        <v>26</v>
      </c>
      <c r="C115" s="64"/>
      <c r="D115" s="63"/>
      <c r="E115" s="64"/>
      <c r="F115" s="64"/>
      <c r="G115" s="63"/>
      <c r="H115" s="63"/>
      <c r="I115" s="63"/>
      <c r="J115" s="42"/>
      <c r="K115" s="66"/>
      <c r="L115" s="67"/>
      <c r="M115" s="64"/>
      <c r="N115" s="41"/>
      <c r="O115" s="63"/>
      <c r="P115" s="63"/>
      <c r="Q115" s="63"/>
      <c r="R115" s="46"/>
    </row>
    <row r="116" spans="1:20" ht="25.2" thickTop="1">
      <c r="A116" s="29"/>
      <c r="B116" s="45" t="s">
        <v>169</v>
      </c>
      <c r="C116" s="46"/>
      <c r="D116" s="57"/>
      <c r="E116" s="46"/>
      <c r="F116" s="46"/>
      <c r="G116" s="57"/>
      <c r="H116" s="57"/>
      <c r="I116" s="57"/>
      <c r="J116" s="137"/>
      <c r="K116" s="48"/>
      <c r="L116" s="58"/>
      <c r="M116" s="46"/>
      <c r="N116" s="28"/>
      <c r="O116" s="57"/>
      <c r="P116" s="57"/>
      <c r="Q116" s="57"/>
      <c r="R116" s="46"/>
    </row>
    <row r="117" spans="1:20" ht="25.2" thickBot="1">
      <c r="A117" s="25">
        <v>1</v>
      </c>
      <c r="B117" s="25"/>
      <c r="C117" s="74"/>
      <c r="D117" s="78"/>
      <c r="E117" s="74"/>
      <c r="F117" s="74"/>
      <c r="G117" s="78"/>
      <c r="H117" s="78"/>
      <c r="I117" s="78"/>
      <c r="J117" s="35"/>
      <c r="K117" s="76"/>
      <c r="L117" s="77"/>
      <c r="M117" s="74"/>
      <c r="N117" s="34"/>
      <c r="O117" s="78"/>
      <c r="P117" s="78"/>
      <c r="Q117" s="78"/>
      <c r="R117" s="46"/>
    </row>
    <row r="118" spans="1:20" ht="25.8" thickTop="1" thickBot="1">
      <c r="A118" s="29"/>
      <c r="B118" s="25" t="s">
        <v>26</v>
      </c>
      <c r="C118" s="79"/>
      <c r="D118" s="54"/>
      <c r="E118" s="79"/>
      <c r="F118" s="79"/>
      <c r="G118" s="54"/>
      <c r="H118" s="54"/>
      <c r="I118" s="54"/>
      <c r="J118" s="152"/>
      <c r="K118" s="81"/>
      <c r="L118" s="55"/>
      <c r="M118" s="79"/>
      <c r="N118" s="82"/>
      <c r="O118" s="54"/>
      <c r="P118" s="54"/>
      <c r="Q118" s="54"/>
      <c r="R118" s="46"/>
    </row>
    <row r="119" spans="1:20" ht="25.2" thickTop="1">
      <c r="A119" s="29"/>
      <c r="B119" s="45" t="s">
        <v>170</v>
      </c>
      <c r="C119" s="46"/>
      <c r="D119" s="57"/>
      <c r="E119" s="46"/>
      <c r="F119" s="46"/>
      <c r="G119" s="57"/>
      <c r="H119" s="57"/>
      <c r="I119" s="57"/>
      <c r="J119" s="137"/>
      <c r="K119" s="48"/>
      <c r="L119" s="58"/>
      <c r="M119" s="46"/>
      <c r="N119" s="28"/>
      <c r="O119" s="57"/>
      <c r="P119" s="57"/>
      <c r="Q119" s="57"/>
      <c r="R119" s="46"/>
    </row>
    <row r="120" spans="1:20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20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20" ht="25.2" thickTop="1">
      <c r="A122" s="29"/>
      <c r="B122" s="116" t="s">
        <v>171</v>
      </c>
      <c r="C122" s="46"/>
      <c r="D122" s="46"/>
      <c r="E122" s="46"/>
      <c r="F122" s="46"/>
      <c r="G122" s="46"/>
      <c r="H122" s="46"/>
      <c r="I122" s="46"/>
      <c r="J122" s="137"/>
      <c r="K122" s="48"/>
      <c r="L122" s="48"/>
      <c r="M122" s="46"/>
      <c r="N122" s="28"/>
      <c r="O122" s="46"/>
      <c r="P122" s="46"/>
      <c r="Q122" s="46"/>
      <c r="R122" s="46"/>
    </row>
    <row r="123" spans="1:20" ht="24.6">
      <c r="A123" s="29"/>
      <c r="B123" s="116" t="s">
        <v>53</v>
      </c>
      <c r="C123" s="46"/>
      <c r="D123" s="46"/>
      <c r="E123" s="46"/>
      <c r="F123" s="46"/>
      <c r="G123" s="46"/>
      <c r="H123" s="46"/>
      <c r="I123" s="46"/>
      <c r="J123" s="137"/>
      <c r="K123" s="48"/>
      <c r="L123" s="48"/>
      <c r="M123" s="46"/>
      <c r="N123" s="28"/>
      <c r="O123" s="46"/>
      <c r="P123" s="46"/>
      <c r="Q123" s="46"/>
      <c r="R123" s="46"/>
    </row>
    <row r="124" spans="1:20" s="96" customFormat="1" ht="24.6">
      <c r="A124" s="86">
        <v>1</v>
      </c>
      <c r="B124" s="87" t="s">
        <v>54</v>
      </c>
      <c r="C124" s="87"/>
      <c r="D124" s="89">
        <v>0</v>
      </c>
      <c r="E124" s="87"/>
      <c r="F124" s="87" t="s">
        <v>172</v>
      </c>
      <c r="G124" s="89">
        <v>0</v>
      </c>
      <c r="H124" s="89">
        <v>0</v>
      </c>
      <c r="I124" s="89">
        <v>0</v>
      </c>
      <c r="J124" s="153"/>
      <c r="K124" s="154"/>
      <c r="L124" s="155"/>
      <c r="M124" s="87"/>
      <c r="N124" s="86" t="s">
        <v>172</v>
      </c>
      <c r="O124" s="72">
        <v>0</v>
      </c>
      <c r="P124" s="73">
        <v>0</v>
      </c>
      <c r="Q124" s="73">
        <v>0</v>
      </c>
      <c r="R124" s="87" t="s">
        <v>173</v>
      </c>
      <c r="T124" s="97"/>
    </row>
    <row r="125" spans="1:20" ht="24.6">
      <c r="A125" s="25">
        <v>2</v>
      </c>
      <c r="B125" s="29" t="s">
        <v>174</v>
      </c>
      <c r="C125" s="29"/>
      <c r="D125" s="49">
        <v>0</v>
      </c>
      <c r="E125" s="29"/>
      <c r="F125" s="156"/>
      <c r="G125" s="157">
        <v>0</v>
      </c>
      <c r="H125" s="157">
        <v>0</v>
      </c>
      <c r="I125" s="157">
        <v>0</v>
      </c>
      <c r="J125" s="26"/>
      <c r="K125" s="16"/>
      <c r="L125" s="51"/>
      <c r="M125" s="29"/>
      <c r="N125" s="25"/>
      <c r="O125" s="72">
        <v>0</v>
      </c>
      <c r="P125" s="73">
        <v>0</v>
      </c>
      <c r="Q125" s="73">
        <v>0</v>
      </c>
      <c r="R125" s="29" t="s">
        <v>173</v>
      </c>
    </row>
    <row r="126" spans="1:20" ht="24.6">
      <c r="A126" s="25">
        <v>3</v>
      </c>
      <c r="B126" s="29" t="s">
        <v>175</v>
      </c>
      <c r="C126" s="29"/>
      <c r="D126" s="49">
        <v>0</v>
      </c>
      <c r="E126" s="29"/>
      <c r="F126" s="29"/>
      <c r="G126" s="49">
        <v>0</v>
      </c>
      <c r="H126" s="49">
        <v>0</v>
      </c>
      <c r="I126" s="49">
        <v>0</v>
      </c>
      <c r="J126" s="26"/>
      <c r="K126" s="61"/>
      <c r="L126" s="51"/>
      <c r="M126" s="29"/>
      <c r="N126" s="25"/>
      <c r="O126" s="72">
        <v>0</v>
      </c>
      <c r="P126" s="73">
        <v>0</v>
      </c>
      <c r="Q126" s="73">
        <v>0</v>
      </c>
      <c r="R126" s="29" t="s">
        <v>176</v>
      </c>
    </row>
    <row r="127" spans="1:20" ht="24.6">
      <c r="A127" s="25"/>
      <c r="B127" s="29" t="s">
        <v>177</v>
      </c>
      <c r="C127" s="29"/>
      <c r="D127" s="49"/>
      <c r="E127" s="29"/>
      <c r="F127" s="29"/>
      <c r="G127" s="49">
        <v>0</v>
      </c>
      <c r="H127" s="49">
        <v>0</v>
      </c>
      <c r="I127" s="49">
        <v>0</v>
      </c>
      <c r="J127" s="26"/>
      <c r="K127" s="61"/>
      <c r="L127" s="51"/>
      <c r="M127" s="29"/>
      <c r="N127" s="25"/>
      <c r="O127" s="72">
        <v>0</v>
      </c>
      <c r="P127" s="73">
        <v>0</v>
      </c>
      <c r="Q127" s="73">
        <v>0</v>
      </c>
      <c r="R127" s="29" t="s">
        <v>178</v>
      </c>
    </row>
    <row r="128" spans="1:20" ht="24.6">
      <c r="A128" s="25"/>
      <c r="B128" s="29"/>
      <c r="C128" s="29"/>
      <c r="D128" s="49"/>
      <c r="E128" s="29"/>
      <c r="F128" s="29"/>
      <c r="G128" s="49"/>
      <c r="H128" s="49"/>
      <c r="I128" s="49"/>
      <c r="J128" s="26"/>
      <c r="K128" s="61"/>
      <c r="L128" s="51"/>
      <c r="M128" s="29"/>
      <c r="N128" s="25"/>
      <c r="O128" s="72"/>
      <c r="P128" s="73"/>
      <c r="Q128" s="73"/>
      <c r="R128" s="29" t="s">
        <v>179</v>
      </c>
    </row>
    <row r="129" spans="1:20" ht="24.6">
      <c r="A129" s="25">
        <v>4</v>
      </c>
      <c r="B129" s="29" t="s">
        <v>62</v>
      </c>
      <c r="C129" s="29"/>
      <c r="D129" s="49">
        <v>0</v>
      </c>
      <c r="E129" s="29"/>
      <c r="F129" s="29"/>
      <c r="G129" s="49">
        <v>0</v>
      </c>
      <c r="H129" s="49">
        <v>0</v>
      </c>
      <c r="I129" s="49">
        <v>0</v>
      </c>
      <c r="J129" s="26"/>
      <c r="K129" s="16"/>
      <c r="L129" s="51"/>
      <c r="M129" s="29"/>
      <c r="N129" s="25"/>
      <c r="O129" s="72">
        <v>0</v>
      </c>
      <c r="P129" s="73">
        <v>0</v>
      </c>
      <c r="Q129" s="73">
        <v>0</v>
      </c>
      <c r="R129" s="29"/>
    </row>
    <row r="130" spans="1:20" ht="24.6">
      <c r="A130" s="25">
        <v>5</v>
      </c>
      <c r="B130" s="29" t="s">
        <v>180</v>
      </c>
      <c r="C130" s="29"/>
      <c r="D130" s="49">
        <v>0</v>
      </c>
      <c r="E130" s="29"/>
      <c r="F130" s="29" t="s">
        <v>172</v>
      </c>
      <c r="G130" s="49">
        <v>0</v>
      </c>
      <c r="H130" s="49">
        <v>0</v>
      </c>
      <c r="I130" s="49">
        <v>0</v>
      </c>
      <c r="J130" s="26"/>
      <c r="K130" s="61"/>
      <c r="L130" s="51"/>
      <c r="M130" s="29"/>
      <c r="N130" s="25" t="s">
        <v>172</v>
      </c>
      <c r="O130" s="72">
        <v>0</v>
      </c>
      <c r="P130" s="73">
        <v>0</v>
      </c>
      <c r="Q130" s="73">
        <v>0</v>
      </c>
      <c r="R130" s="29" t="s">
        <v>176</v>
      </c>
    </row>
    <row r="131" spans="1:20" ht="24.6">
      <c r="A131" s="25"/>
      <c r="B131" s="29" t="s">
        <v>181</v>
      </c>
      <c r="C131" s="29"/>
      <c r="D131" s="49"/>
      <c r="E131" s="29"/>
      <c r="F131" s="29"/>
      <c r="G131" s="49"/>
      <c r="H131" s="49"/>
      <c r="I131" s="49"/>
      <c r="J131" s="26"/>
      <c r="K131" s="61"/>
      <c r="L131" s="51"/>
      <c r="M131" s="29"/>
      <c r="N131" s="25"/>
      <c r="O131" s="59"/>
      <c r="P131" s="49"/>
      <c r="Q131" s="59"/>
      <c r="R131" s="29" t="s">
        <v>178</v>
      </c>
    </row>
    <row r="132" spans="1:20" ht="24.6">
      <c r="A132" s="25"/>
      <c r="B132" s="29"/>
      <c r="C132" s="29"/>
      <c r="D132" s="49"/>
      <c r="E132" s="29"/>
      <c r="F132" s="29"/>
      <c r="G132" s="49"/>
      <c r="H132" s="49"/>
      <c r="I132" s="49"/>
      <c r="J132" s="26"/>
      <c r="K132" s="61"/>
      <c r="L132" s="51"/>
      <c r="M132" s="29"/>
      <c r="N132" s="25"/>
      <c r="O132" s="59"/>
      <c r="P132" s="49"/>
      <c r="Q132" s="59"/>
      <c r="R132" s="29" t="s">
        <v>179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59"/>
      <c r="P133" s="49"/>
      <c r="Q133" s="59"/>
      <c r="R133" s="29" t="s">
        <v>182</v>
      </c>
    </row>
    <row r="134" spans="1:20" ht="24.6">
      <c r="A134" s="25">
        <v>6</v>
      </c>
      <c r="B134" s="29" t="s">
        <v>183</v>
      </c>
      <c r="C134" s="29"/>
      <c r="D134" s="158" t="s">
        <v>172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61"/>
      <c r="L134" s="51"/>
      <c r="M134" s="29"/>
      <c r="N134" s="25"/>
      <c r="O134" s="159">
        <v>0</v>
      </c>
      <c r="P134" s="73">
        <v>0</v>
      </c>
      <c r="Q134" s="73">
        <v>0</v>
      </c>
      <c r="R134" s="29" t="s">
        <v>184</v>
      </c>
    </row>
    <row r="135" spans="1:20" ht="24.6">
      <c r="A135" s="25"/>
      <c r="B135" s="29"/>
      <c r="C135" s="29"/>
      <c r="D135" s="49"/>
      <c r="E135" s="29"/>
      <c r="F135" s="29"/>
      <c r="G135" s="49"/>
      <c r="H135" s="49"/>
      <c r="I135" s="49"/>
      <c r="J135" s="26"/>
      <c r="K135" s="61"/>
      <c r="L135" s="51"/>
      <c r="M135" s="29"/>
      <c r="N135" s="25"/>
      <c r="O135" s="59"/>
      <c r="P135" s="49"/>
      <c r="Q135" s="59"/>
      <c r="R135" s="29" t="s">
        <v>185</v>
      </c>
    </row>
    <row r="136" spans="1:20" ht="24.6">
      <c r="A136" s="25"/>
      <c r="B136" s="29"/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186</v>
      </c>
    </row>
    <row r="137" spans="1:20" ht="24.6">
      <c r="A137" s="25">
        <v>7</v>
      </c>
      <c r="B137" s="29" t="s">
        <v>70</v>
      </c>
      <c r="C137" s="29"/>
      <c r="D137" s="49">
        <v>0</v>
      </c>
      <c r="E137" s="29"/>
      <c r="F137" s="29"/>
      <c r="G137" s="49">
        <v>0</v>
      </c>
      <c r="H137" s="49">
        <v>0</v>
      </c>
      <c r="I137" s="49">
        <v>0</v>
      </c>
      <c r="J137" s="26"/>
      <c r="K137" s="16"/>
      <c r="L137" s="51"/>
      <c r="M137" s="29"/>
      <c r="N137" s="25"/>
      <c r="O137" s="72">
        <v>0</v>
      </c>
      <c r="P137" s="73">
        <v>0</v>
      </c>
      <c r="Q137" s="73">
        <v>0</v>
      </c>
      <c r="R137" s="29" t="s">
        <v>187</v>
      </c>
    </row>
    <row r="138" spans="1:20" ht="24.6">
      <c r="A138" s="25">
        <v>8</v>
      </c>
      <c r="B138" s="29" t="s">
        <v>188</v>
      </c>
      <c r="C138" s="29"/>
      <c r="D138" s="49">
        <v>0</v>
      </c>
      <c r="E138" s="29"/>
      <c r="F138" s="29"/>
      <c r="G138" s="49">
        <v>0</v>
      </c>
      <c r="H138" s="49">
        <v>0</v>
      </c>
      <c r="I138" s="49">
        <v>0</v>
      </c>
      <c r="J138" s="26"/>
      <c r="K138" s="16"/>
      <c r="L138" s="51"/>
      <c r="M138" s="29"/>
      <c r="N138" s="25"/>
      <c r="O138" s="72">
        <v>0</v>
      </c>
      <c r="P138" s="73">
        <v>0</v>
      </c>
      <c r="Q138" s="73">
        <v>0</v>
      </c>
      <c r="R138" s="29" t="s">
        <v>187</v>
      </c>
    </row>
    <row r="139" spans="1:20" ht="24.6">
      <c r="A139" s="25">
        <v>9</v>
      </c>
      <c r="B139" s="29" t="s">
        <v>189</v>
      </c>
      <c r="C139" s="29"/>
      <c r="D139" s="49">
        <v>0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72">
        <v>0</v>
      </c>
      <c r="P139" s="73">
        <v>0</v>
      </c>
      <c r="Q139" s="73">
        <v>0</v>
      </c>
      <c r="R139" s="29" t="s">
        <v>190</v>
      </c>
      <c r="T139" s="2" t="s">
        <v>191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192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187</v>
      </c>
    </row>
    <row r="142" spans="1:20" ht="24.6">
      <c r="A142" s="25">
        <v>10</v>
      </c>
      <c r="B142" s="29" t="s">
        <v>193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61"/>
      <c r="L142" s="51"/>
      <c r="M142" s="29"/>
      <c r="N142" s="25"/>
      <c r="O142" s="72">
        <v>0</v>
      </c>
      <c r="P142" s="73">
        <v>0</v>
      </c>
      <c r="Q142" s="73">
        <v>0</v>
      </c>
      <c r="R142" s="29" t="s">
        <v>194</v>
      </c>
    </row>
    <row r="143" spans="1:20" ht="24.6">
      <c r="A143" s="25">
        <v>11</v>
      </c>
      <c r="B143" s="29" t="s">
        <v>78</v>
      </c>
      <c r="C143" s="29"/>
      <c r="D143" s="49"/>
      <c r="E143" s="29"/>
      <c r="F143" s="29"/>
      <c r="G143" s="49">
        <v>0</v>
      </c>
      <c r="H143" s="49">
        <v>0</v>
      </c>
      <c r="I143" s="49">
        <v>0</v>
      </c>
      <c r="J143" s="160"/>
      <c r="K143" s="50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195</v>
      </c>
    </row>
    <row r="144" spans="1:20" ht="24.6">
      <c r="A144" s="25">
        <v>12</v>
      </c>
      <c r="B144" s="29" t="s">
        <v>196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/>
    </row>
    <row r="145" spans="1:18" ht="24.6">
      <c r="A145" s="25">
        <v>13</v>
      </c>
      <c r="B145" s="29" t="s">
        <v>83</v>
      </c>
      <c r="C145" s="29"/>
      <c r="D145" s="49"/>
      <c r="E145" s="29"/>
      <c r="F145" s="29"/>
      <c r="G145" s="49">
        <v>0</v>
      </c>
      <c r="H145" s="49">
        <v>0</v>
      </c>
      <c r="I145" s="49">
        <v>0</v>
      </c>
      <c r="J145" s="26"/>
      <c r="K145" s="50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195</v>
      </c>
    </row>
    <row r="146" spans="1:18" ht="24.6">
      <c r="A146" s="25">
        <v>14</v>
      </c>
      <c r="B146" s="29" t="s">
        <v>85</v>
      </c>
      <c r="C146" s="29"/>
      <c r="D146" s="49">
        <v>0</v>
      </c>
      <c r="E146" s="29"/>
      <c r="F146" s="29" t="s">
        <v>172</v>
      </c>
      <c r="G146" s="49">
        <v>0</v>
      </c>
      <c r="H146" s="49">
        <v>0</v>
      </c>
      <c r="I146" s="49">
        <v>0</v>
      </c>
      <c r="J146" s="26"/>
      <c r="K146" s="61"/>
      <c r="L146" s="51"/>
      <c r="M146" s="29"/>
      <c r="N146" s="25" t="s">
        <v>172</v>
      </c>
      <c r="O146" s="72">
        <v>0</v>
      </c>
      <c r="P146" s="73">
        <v>0</v>
      </c>
      <c r="Q146" s="73">
        <v>0</v>
      </c>
      <c r="R146" s="29"/>
    </row>
    <row r="147" spans="1:18" ht="24.6">
      <c r="A147" s="25">
        <v>15</v>
      </c>
      <c r="B147" s="29" t="s">
        <v>197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72">
        <v>0</v>
      </c>
      <c r="P147" s="73">
        <v>0</v>
      </c>
      <c r="Q147" s="73">
        <v>0</v>
      </c>
      <c r="R147" s="29" t="s">
        <v>198</v>
      </c>
    </row>
    <row r="148" spans="1:18" ht="24.6">
      <c r="A148" s="25">
        <v>16</v>
      </c>
      <c r="B148" s="29" t="s">
        <v>199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200</v>
      </c>
    </row>
    <row r="149" spans="1:18" ht="24.6">
      <c r="A149" s="25"/>
      <c r="B149" s="116" t="s">
        <v>89</v>
      </c>
      <c r="C149" s="29"/>
      <c r="D149" s="49"/>
      <c r="E149" s="29"/>
      <c r="F149" s="29"/>
      <c r="G149" s="49"/>
      <c r="H149" s="49"/>
      <c r="I149" s="49"/>
      <c r="J149" s="26"/>
      <c r="K149" s="61"/>
      <c r="L149" s="51"/>
      <c r="M149" s="29"/>
      <c r="N149" s="25"/>
      <c r="O149" s="59"/>
      <c r="P149" s="49"/>
      <c r="Q149" s="59"/>
      <c r="R149" s="29"/>
    </row>
    <row r="150" spans="1:18" ht="24" customHeight="1">
      <c r="A150" s="25">
        <v>16</v>
      </c>
      <c r="B150" s="29" t="s">
        <v>62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18" ht="22.5" customHeight="1">
      <c r="A151" s="25">
        <v>17</v>
      </c>
      <c r="B151" s="25" t="s">
        <v>57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16"/>
      <c r="L151" s="51"/>
      <c r="M151" s="29"/>
      <c r="N151" s="25"/>
      <c r="O151" s="72">
        <v>0</v>
      </c>
      <c r="P151" s="73">
        <v>0</v>
      </c>
      <c r="Q151" s="73">
        <v>0</v>
      </c>
      <c r="R151" s="29"/>
    </row>
    <row r="152" spans="1:18" ht="22.5" customHeight="1">
      <c r="A152" s="25">
        <v>18</v>
      </c>
      <c r="B152" s="29" t="s">
        <v>93</v>
      </c>
      <c r="C152" s="29"/>
      <c r="D152" s="49"/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59">
        <v>0</v>
      </c>
      <c r="P152" s="49">
        <v>0</v>
      </c>
      <c r="Q152" s="59">
        <v>0</v>
      </c>
      <c r="R152" s="29" t="s">
        <v>201</v>
      </c>
    </row>
    <row r="153" spans="1:18" ht="24.6">
      <c r="A153" s="25">
        <v>19</v>
      </c>
      <c r="B153" s="25" t="s">
        <v>57</v>
      </c>
      <c r="C153" s="29"/>
      <c r="D153" s="49"/>
      <c r="E153" s="29"/>
      <c r="F153" s="29"/>
      <c r="G153" s="49"/>
      <c r="H153" s="49"/>
      <c r="I153" s="49"/>
      <c r="J153" s="26"/>
      <c r="K153" s="61"/>
      <c r="L153" s="51"/>
      <c r="M153" s="29"/>
      <c r="N153" s="25"/>
      <c r="O153" s="59"/>
      <c r="P153" s="49"/>
      <c r="Q153" s="59"/>
      <c r="R153" s="29"/>
    </row>
    <row r="154" spans="1:18" ht="24.6">
      <c r="A154" s="25">
        <v>20</v>
      </c>
      <c r="B154" s="29" t="s">
        <v>40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203</v>
      </c>
    </row>
    <row r="155" spans="1:18" ht="24.6">
      <c r="A155" s="28"/>
      <c r="B155" s="124" t="s">
        <v>97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18" ht="24.6">
      <c r="A156" s="28">
        <v>21</v>
      </c>
      <c r="B156" s="119" t="s">
        <v>98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18" ht="24.6">
      <c r="A157" s="28"/>
      <c r="B157" s="161" t="s">
        <v>204</v>
      </c>
      <c r="C157" s="29"/>
      <c r="D157" s="49"/>
      <c r="E157" s="29"/>
      <c r="F157" s="29"/>
      <c r="G157" s="49"/>
      <c r="H157" s="49"/>
      <c r="I157" s="49"/>
      <c r="J157" s="26"/>
      <c r="K157" s="61"/>
      <c r="L157" s="51"/>
      <c r="M157" s="29"/>
      <c r="N157" s="25"/>
      <c r="O157" s="59"/>
      <c r="P157" s="49"/>
      <c r="Q157" s="59"/>
      <c r="R157" s="29"/>
    </row>
    <row r="158" spans="1:18" ht="24.6">
      <c r="A158" s="28">
        <v>1</v>
      </c>
      <c r="B158" s="46" t="s">
        <v>166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72">
        <v>0</v>
      </c>
      <c r="P158" s="73">
        <v>0</v>
      </c>
      <c r="Q158" s="73">
        <v>0</v>
      </c>
      <c r="R158" s="29"/>
    </row>
    <row r="159" spans="1:18" ht="24.6">
      <c r="A159" s="28">
        <v>2</v>
      </c>
      <c r="B159" s="46" t="s">
        <v>167</v>
      </c>
      <c r="C159" s="29"/>
      <c r="D159" s="49"/>
      <c r="E159" s="29"/>
      <c r="F159" s="29"/>
      <c r="G159" s="49">
        <v>0</v>
      </c>
      <c r="H159" s="49">
        <v>0</v>
      </c>
      <c r="I159" s="49">
        <v>0</v>
      </c>
      <c r="J159" s="26"/>
      <c r="K159" s="61"/>
      <c r="L159" s="51"/>
      <c r="M159" s="29"/>
      <c r="N159" s="25"/>
      <c r="O159" s="72">
        <v>0</v>
      </c>
      <c r="P159" s="73">
        <v>0</v>
      </c>
      <c r="Q159" s="73">
        <v>0</v>
      </c>
      <c r="R159" s="29"/>
    </row>
    <row r="160" spans="1:18" ht="24.6">
      <c r="A160" s="28"/>
      <c r="B160" s="161" t="s">
        <v>205</v>
      </c>
      <c r="C160" s="109"/>
      <c r="D160" s="162"/>
      <c r="E160" s="109"/>
      <c r="F160" s="109"/>
      <c r="G160" s="162"/>
      <c r="H160" s="162"/>
      <c r="I160" s="162"/>
      <c r="J160" s="163"/>
      <c r="K160" s="113"/>
      <c r="L160" s="164"/>
      <c r="M160" s="109"/>
      <c r="N160" s="115"/>
      <c r="O160" s="59"/>
      <c r="P160" s="162"/>
      <c r="Q160" s="111"/>
      <c r="R160" s="29"/>
    </row>
    <row r="161" spans="1:18" ht="24.6">
      <c r="A161" s="28">
        <v>1</v>
      </c>
      <c r="B161" s="46" t="s">
        <v>32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206</v>
      </c>
    </row>
    <row r="162" spans="1:18" ht="25.2" thickBot="1">
      <c r="A162" s="28">
        <v>2</v>
      </c>
      <c r="B162" s="46" t="s">
        <v>207</v>
      </c>
      <c r="C162" s="109"/>
      <c r="D162" s="162"/>
      <c r="E162" s="109"/>
      <c r="F162" s="109"/>
      <c r="G162" s="49">
        <v>0</v>
      </c>
      <c r="H162" s="49">
        <v>0</v>
      </c>
      <c r="I162" s="49">
        <v>0</v>
      </c>
      <c r="J162" s="163"/>
      <c r="K162" s="113"/>
      <c r="L162" s="164"/>
      <c r="M162" s="109"/>
      <c r="N162" s="115"/>
      <c r="O162" s="72">
        <v>0</v>
      </c>
      <c r="P162" s="73">
        <v>0</v>
      </c>
      <c r="Q162" s="73">
        <v>0</v>
      </c>
      <c r="R162" s="29"/>
    </row>
    <row r="163" spans="1:18" ht="25.8" thickTop="1" thickBot="1">
      <c r="A163" s="46"/>
      <c r="B163" s="28" t="s">
        <v>26</v>
      </c>
      <c r="C163" s="79"/>
      <c r="D163" s="165"/>
      <c r="E163" s="165"/>
      <c r="F163" s="165"/>
      <c r="G163" s="165">
        <v>0</v>
      </c>
      <c r="H163" s="165">
        <v>0</v>
      </c>
      <c r="I163" s="165">
        <v>0</v>
      </c>
      <c r="J163" s="166"/>
      <c r="K163" s="166"/>
      <c r="L163" s="166"/>
      <c r="M163" s="165"/>
      <c r="N163" s="167"/>
      <c r="O163" s="165">
        <v>0</v>
      </c>
      <c r="P163" s="165">
        <v>0</v>
      </c>
      <c r="Q163" s="165">
        <v>0</v>
      </c>
      <c r="R163" s="29"/>
    </row>
    <row r="164" spans="1:18" ht="25.2" thickTop="1">
      <c r="A164" s="46"/>
      <c r="B164" s="168" t="s">
        <v>208</v>
      </c>
      <c r="C164" s="46"/>
      <c r="D164" s="98"/>
      <c r="E164" s="46"/>
      <c r="F164" s="46"/>
      <c r="G164" s="57"/>
      <c r="H164" s="57"/>
      <c r="I164" s="57"/>
      <c r="J164" s="137"/>
      <c r="K164" s="48"/>
      <c r="L164" s="169"/>
      <c r="M164" s="46"/>
      <c r="N164" s="28"/>
      <c r="O164" s="57"/>
      <c r="P164" s="57"/>
      <c r="Q164" s="57"/>
      <c r="R164" s="46"/>
    </row>
    <row r="165" spans="1:18" ht="25.2" thickBot="1">
      <c r="A165" s="28">
        <v>1</v>
      </c>
      <c r="B165" s="28"/>
      <c r="C165" s="74"/>
      <c r="D165" s="110"/>
      <c r="E165" s="74"/>
      <c r="F165" s="74"/>
      <c r="G165" s="78"/>
      <c r="H165" s="78"/>
      <c r="I165" s="78"/>
      <c r="J165" s="35"/>
      <c r="K165" s="76"/>
      <c r="L165" s="170"/>
      <c r="M165" s="74"/>
      <c r="N165" s="34"/>
      <c r="O165" s="78"/>
      <c r="P165" s="78"/>
      <c r="Q165" s="78"/>
      <c r="R165" s="46"/>
    </row>
    <row r="166" spans="1:18" ht="25.2" thickTop="1">
      <c r="A166" s="46"/>
      <c r="B166" s="28" t="s">
        <v>26</v>
      </c>
      <c r="C166" s="109"/>
      <c r="D166" s="162"/>
      <c r="E166" s="109"/>
      <c r="F166" s="109"/>
      <c r="G166" s="111"/>
      <c r="H166" s="111"/>
      <c r="I166" s="111"/>
      <c r="J166" s="163"/>
      <c r="K166" s="113"/>
      <c r="L166" s="164"/>
      <c r="M166" s="109"/>
      <c r="N166" s="115"/>
      <c r="O166" s="111"/>
      <c r="P166" s="111"/>
      <c r="Q166" s="111"/>
      <c r="R166" s="46"/>
    </row>
    <row r="167" spans="1:18" ht="24.6">
      <c r="A167" s="46"/>
      <c r="B167" s="168" t="s">
        <v>209</v>
      </c>
      <c r="C167" s="29"/>
      <c r="D167" s="49"/>
      <c r="E167" s="29"/>
      <c r="F167" s="29"/>
      <c r="G167" s="59"/>
      <c r="H167" s="59"/>
      <c r="I167" s="59"/>
      <c r="J167" s="26"/>
      <c r="K167" s="61"/>
      <c r="L167" s="51"/>
      <c r="M167" s="29"/>
      <c r="N167" s="25"/>
      <c r="O167" s="59"/>
      <c r="P167" s="59"/>
      <c r="Q167" s="59"/>
      <c r="R167" s="46"/>
    </row>
    <row r="168" spans="1:18" ht="29.25" customHeight="1" thickBot="1">
      <c r="A168" s="115">
        <v>1</v>
      </c>
      <c r="B168" s="115"/>
      <c r="C168" s="74"/>
      <c r="D168" s="110"/>
      <c r="E168" s="74"/>
      <c r="F168" s="74"/>
      <c r="G168" s="78"/>
      <c r="H168" s="78"/>
      <c r="I168" s="78"/>
      <c r="J168" s="35"/>
      <c r="K168" s="76"/>
      <c r="L168" s="170"/>
      <c r="M168" s="74"/>
      <c r="N168" s="34"/>
      <c r="O168" s="78"/>
      <c r="P168" s="78"/>
      <c r="Q168" s="78"/>
      <c r="R168" s="109"/>
    </row>
    <row r="169" spans="1:18" ht="26.25" customHeight="1" thickTop="1" thickBot="1">
      <c r="A169" s="29"/>
      <c r="B169" s="25" t="s">
        <v>26</v>
      </c>
      <c r="C169" s="64"/>
      <c r="D169" s="171"/>
      <c r="E169" s="64"/>
      <c r="F169" s="64"/>
      <c r="G169" s="63"/>
      <c r="H169" s="63"/>
      <c r="I169" s="63"/>
      <c r="J169" s="42"/>
      <c r="K169" s="66"/>
      <c r="L169" s="172"/>
      <c r="M169" s="64"/>
      <c r="N169" s="41"/>
      <c r="O169" s="63"/>
      <c r="P169" s="63"/>
      <c r="Q169" s="63"/>
      <c r="R169" s="29"/>
    </row>
    <row r="170" spans="1:18" ht="24.75" customHeight="1" thickTop="1">
      <c r="A170" s="46"/>
      <c r="B170" s="168" t="s">
        <v>210</v>
      </c>
      <c r="C170" s="46"/>
      <c r="D170" s="98"/>
      <c r="E170" s="46"/>
      <c r="F170" s="46"/>
      <c r="G170" s="46"/>
      <c r="H170" s="46"/>
      <c r="I170" s="46"/>
      <c r="J170" s="137"/>
      <c r="K170" s="48"/>
      <c r="L170" s="48"/>
      <c r="M170" s="46"/>
      <c r="N170" s="28"/>
      <c r="O170" s="46"/>
      <c r="P170" s="46"/>
      <c r="Q170" s="46"/>
      <c r="R170" s="46"/>
    </row>
    <row r="171" spans="1:18" ht="24.75" customHeight="1">
      <c r="A171" s="46"/>
      <c r="B171" s="168"/>
      <c r="C171" s="46"/>
      <c r="D171" s="98"/>
      <c r="E171" s="46"/>
      <c r="F171" s="46"/>
      <c r="G171" s="46"/>
      <c r="H171" s="46"/>
      <c r="I171" s="46"/>
      <c r="J171" s="137"/>
      <c r="K171" s="48"/>
      <c r="L171" s="48"/>
      <c r="M171" s="46"/>
      <c r="N171" s="28"/>
      <c r="O171" s="46"/>
      <c r="P171" s="46"/>
      <c r="Q171" s="46"/>
      <c r="R171" s="46"/>
    </row>
    <row r="172" spans="1:18" ht="24" customHeight="1">
      <c r="A172" s="25"/>
      <c r="B172" s="29" t="s">
        <v>26</v>
      </c>
      <c r="C172" s="29"/>
      <c r="D172" s="49"/>
      <c r="E172" s="29"/>
      <c r="F172" s="29"/>
      <c r="G172" s="49">
        <v>0</v>
      </c>
      <c r="H172" s="49">
        <v>0</v>
      </c>
      <c r="I172" s="59">
        <v>0</v>
      </c>
      <c r="J172" s="26"/>
      <c r="K172" s="61"/>
      <c r="L172" s="51"/>
      <c r="M172" s="29"/>
      <c r="N172" s="25"/>
      <c r="O172" s="72">
        <v>0</v>
      </c>
      <c r="P172" s="73">
        <v>0</v>
      </c>
      <c r="Q172" s="73">
        <v>0</v>
      </c>
      <c r="R172" s="29"/>
    </row>
    <row r="173" spans="1:18" ht="24.75" customHeight="1" thickBot="1">
      <c r="A173" s="34"/>
      <c r="B173" s="34" t="s">
        <v>374</v>
      </c>
      <c r="C173" s="74"/>
      <c r="D173" s="110">
        <f>SUM(D12+D15+D18+D30+D75+D111+D115+D118+D121+D163+D166+D169+D172)</f>
        <v>51655</v>
      </c>
      <c r="E173" s="110"/>
      <c r="F173" s="110"/>
      <c r="G173" s="110">
        <f t="shared" ref="G173:Q173" si="10">SUM(G12+G15+G18+G30+G75+G111+G115+G118+G121+G163+G166+G169+G172)</f>
        <v>20610</v>
      </c>
      <c r="H173" s="110">
        <f t="shared" si="10"/>
        <v>0</v>
      </c>
      <c r="I173" s="110">
        <f t="shared" si="10"/>
        <v>20610</v>
      </c>
      <c r="J173" s="110"/>
      <c r="K173" s="110"/>
      <c r="L173" s="110">
        <f t="shared" si="10"/>
        <v>59115</v>
      </c>
      <c r="M173" s="110"/>
      <c r="N173" s="110"/>
      <c r="O173" s="110">
        <f t="shared" si="10"/>
        <v>13150</v>
      </c>
      <c r="P173" s="110">
        <f t="shared" si="10"/>
        <v>0</v>
      </c>
      <c r="Q173" s="110">
        <f t="shared" si="10"/>
        <v>13150</v>
      </c>
      <c r="R173" s="74"/>
    </row>
    <row r="174" spans="1:18" ht="24.75" customHeight="1" thickTop="1">
      <c r="A174" s="14"/>
      <c r="B174" s="173"/>
      <c r="D174" s="174"/>
      <c r="G174" s="175"/>
      <c r="H174" s="175"/>
      <c r="I174" s="175"/>
      <c r="L174" s="178"/>
      <c r="O174" s="174"/>
      <c r="P174" s="174"/>
      <c r="Q174" s="174"/>
      <c r="R174" s="179"/>
    </row>
    <row r="175" spans="1:18" ht="24.75" customHeight="1">
      <c r="A175" s="731" t="s">
        <v>211</v>
      </c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3"/>
    </row>
    <row r="176" spans="1:18" ht="24.75" customHeight="1">
      <c r="A176" s="46">
        <v>1</v>
      </c>
      <c r="B176" s="180" t="s">
        <v>32</v>
      </c>
      <c r="C176" s="46" t="s">
        <v>104</v>
      </c>
      <c r="D176" s="98">
        <v>4650</v>
      </c>
      <c r="E176" s="141" t="s">
        <v>381</v>
      </c>
      <c r="F176" s="254">
        <v>9</v>
      </c>
      <c r="G176" s="141">
        <v>41850</v>
      </c>
      <c r="H176" s="141" t="s">
        <v>172</v>
      </c>
      <c r="I176" s="141">
        <v>41850</v>
      </c>
      <c r="J176" s="137"/>
      <c r="K176" s="48"/>
      <c r="L176" s="48"/>
      <c r="M176" s="46" t="s">
        <v>405</v>
      </c>
      <c r="N176" s="28">
        <v>10</v>
      </c>
      <c r="O176" s="57">
        <f>SUM(D176+I176-L176)</f>
        <v>46500</v>
      </c>
      <c r="P176" s="28" t="s">
        <v>172</v>
      </c>
      <c r="Q176" s="57">
        <f>O176</f>
        <v>46500</v>
      </c>
      <c r="R176" s="46" t="s">
        <v>214</v>
      </c>
    </row>
    <row r="177" spans="1:20" ht="24" customHeight="1">
      <c r="A177" s="25">
        <v>2</v>
      </c>
      <c r="B177" s="29" t="s">
        <v>215</v>
      </c>
      <c r="C177" s="29" t="s">
        <v>104</v>
      </c>
      <c r="D177" s="49">
        <v>5750</v>
      </c>
      <c r="E177" s="134" t="s">
        <v>381</v>
      </c>
      <c r="F177" s="255">
        <v>9</v>
      </c>
      <c r="G177" s="134">
        <v>51750</v>
      </c>
      <c r="H177" s="134">
        <v>0</v>
      </c>
      <c r="I177" s="134">
        <v>51750</v>
      </c>
      <c r="J177" s="26"/>
      <c r="K177" s="61"/>
      <c r="L177" s="51"/>
      <c r="M177" s="46" t="s">
        <v>405</v>
      </c>
      <c r="N177" s="25">
        <v>10</v>
      </c>
      <c r="O177" s="57">
        <f>SUM(D177+I177-L177)</f>
        <v>57500</v>
      </c>
      <c r="P177" s="73">
        <v>0</v>
      </c>
      <c r="Q177" s="57">
        <f>O177</f>
        <v>57500</v>
      </c>
      <c r="R177" s="29" t="s">
        <v>214</v>
      </c>
    </row>
    <row r="178" spans="1:20" ht="24" customHeight="1">
      <c r="A178" s="4">
        <v>3</v>
      </c>
      <c r="B178" s="53" t="s">
        <v>68</v>
      </c>
      <c r="C178" s="53">
        <v>268</v>
      </c>
      <c r="D178" s="127">
        <v>1215</v>
      </c>
      <c r="E178" s="280" t="s">
        <v>382</v>
      </c>
      <c r="F178" s="281">
        <v>24</v>
      </c>
      <c r="G178" s="280">
        <v>29160</v>
      </c>
      <c r="H178" s="280"/>
      <c r="I178" s="280">
        <v>29160</v>
      </c>
      <c r="J178" s="282"/>
      <c r="K178" s="244"/>
      <c r="L178" s="283"/>
      <c r="M178" s="109" t="s">
        <v>406</v>
      </c>
      <c r="N178" s="4">
        <v>25</v>
      </c>
      <c r="O178" s="57">
        <f>SUM(D178+I178-L178)</f>
        <v>30375</v>
      </c>
      <c r="P178" s="284"/>
      <c r="Q178" s="57">
        <f>O178</f>
        <v>30375</v>
      </c>
      <c r="R178" s="29" t="s">
        <v>214</v>
      </c>
    </row>
    <row r="179" spans="1:20" ht="24.75" customHeight="1" thickBot="1">
      <c r="A179" s="34"/>
      <c r="B179" s="34" t="s">
        <v>26</v>
      </c>
      <c r="C179" s="74"/>
      <c r="D179" s="110">
        <f>SUM(D176:D178)</f>
        <v>11615</v>
      </c>
      <c r="E179" s="74"/>
      <c r="F179" s="74"/>
      <c r="G179" s="78">
        <f>SUM(G176:G178)</f>
        <v>122760</v>
      </c>
      <c r="H179" s="78">
        <f t="shared" ref="H179:I179" si="11">SUM(H176:H178)</f>
        <v>0</v>
      </c>
      <c r="I179" s="78">
        <f t="shared" si="11"/>
        <v>122760</v>
      </c>
      <c r="J179" s="75"/>
      <c r="K179" s="76"/>
      <c r="L179" s="170"/>
      <c r="M179" s="74"/>
      <c r="N179" s="34"/>
      <c r="O179" s="110">
        <f>SUM(O176:O178)</f>
        <v>134375</v>
      </c>
      <c r="P179" s="110">
        <v>0</v>
      </c>
      <c r="Q179" s="110">
        <f>SUM(Q176:Q178)</f>
        <v>134375</v>
      </c>
      <c r="R179" s="74"/>
    </row>
    <row r="180" spans="1:20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0" ht="24.6">
      <c r="A181" s="734" t="s">
        <v>216</v>
      </c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735"/>
      <c r="R181" s="736"/>
    </row>
    <row r="182" spans="1:20" ht="29.25" customHeight="1">
      <c r="A182" s="115"/>
      <c r="B182" s="115"/>
      <c r="C182" s="181"/>
      <c r="D182" s="182"/>
      <c r="E182" s="181"/>
      <c r="F182" s="181"/>
      <c r="G182" s="183"/>
      <c r="H182" s="183"/>
      <c r="I182" s="183"/>
      <c r="J182" s="184"/>
      <c r="K182" s="185"/>
      <c r="L182" s="186"/>
      <c r="M182" s="181"/>
      <c r="N182" s="187"/>
      <c r="O182" s="183"/>
      <c r="P182" s="183"/>
      <c r="Q182" s="183"/>
      <c r="R182" s="109"/>
    </row>
    <row r="183" spans="1:20" ht="29.25" customHeight="1" thickBot="1">
      <c r="A183" s="115"/>
      <c r="B183" s="115"/>
      <c r="C183" s="64"/>
      <c r="D183" s="171"/>
      <c r="E183" s="64"/>
      <c r="F183" s="64"/>
      <c r="G183" s="63"/>
      <c r="H183" s="63"/>
      <c r="I183" s="63"/>
      <c r="J183" s="42"/>
      <c r="K183" s="66"/>
      <c r="L183" s="172"/>
      <c r="M183" s="64"/>
      <c r="N183" s="41"/>
      <c r="O183" s="63"/>
      <c r="P183" s="63"/>
      <c r="Q183" s="63"/>
      <c r="R183" s="109"/>
    </row>
    <row r="184" spans="1:20" ht="26.25" customHeight="1" thickTop="1" thickBot="1">
      <c r="A184" s="29"/>
      <c r="B184" s="25" t="s">
        <v>26</v>
      </c>
      <c r="C184" s="64"/>
      <c r="D184" s="171"/>
      <c r="E184" s="64"/>
      <c r="F184" s="64"/>
      <c r="G184" s="63">
        <f>SUM(G182:G182)</f>
        <v>0</v>
      </c>
      <c r="H184" s="63">
        <f>SUM(H182:H182)</f>
        <v>0</v>
      </c>
      <c r="I184" s="63">
        <f>SUM(I182:I182)</f>
        <v>0</v>
      </c>
      <c r="J184" s="42"/>
      <c r="K184" s="66"/>
      <c r="L184" s="172"/>
      <c r="M184" s="64"/>
      <c r="N184" s="41"/>
      <c r="O184" s="63">
        <f>SUM(O182:O182)</f>
        <v>0</v>
      </c>
      <c r="P184" s="63">
        <f>SUM(P182:P182)</f>
        <v>0</v>
      </c>
      <c r="Q184" s="63">
        <f>SUM(Q182:Q182)</f>
        <v>0</v>
      </c>
      <c r="R184" s="29"/>
    </row>
    <row r="185" spans="1:20" ht="24.75" customHeight="1" thickTop="1">
      <c r="A185" s="4"/>
      <c r="B185" s="188" t="s">
        <v>217</v>
      </c>
      <c r="C185" s="53"/>
      <c r="D185" s="127"/>
      <c r="E185" s="53"/>
      <c r="F185" s="53"/>
      <c r="G185" s="183"/>
      <c r="H185" s="183"/>
      <c r="I185" s="183"/>
      <c r="J185" s="189"/>
      <c r="K185" s="185"/>
      <c r="L185" s="186"/>
      <c r="M185" s="53"/>
      <c r="N185" s="4"/>
      <c r="O185" s="127"/>
      <c r="P185" s="127"/>
      <c r="Q185" s="127"/>
      <c r="R185" s="181"/>
    </row>
    <row r="186" spans="1:20" ht="24.75" customHeight="1">
      <c r="A186" s="199">
        <v>1</v>
      </c>
      <c r="B186" s="200" t="s">
        <v>85</v>
      </c>
      <c r="C186" s="203" t="s">
        <v>86</v>
      </c>
      <c r="D186" s="202">
        <v>0</v>
      </c>
      <c r="E186" s="199" t="s">
        <v>229</v>
      </c>
      <c r="F186" s="204">
        <v>7</v>
      </c>
      <c r="G186" s="202">
        <v>30800</v>
      </c>
      <c r="H186" s="202">
        <v>0</v>
      </c>
      <c r="I186" s="202">
        <v>30800</v>
      </c>
      <c r="J186" s="205"/>
      <c r="K186" s="206"/>
      <c r="L186" s="207"/>
      <c r="M186" s="203" t="s">
        <v>229</v>
      </c>
      <c r="N186" s="199">
        <v>7</v>
      </c>
      <c r="O186" s="198">
        <v>30800</v>
      </c>
      <c r="P186" s="210">
        <v>0</v>
      </c>
      <c r="Q186" s="210">
        <v>30800</v>
      </c>
      <c r="R186" s="203" t="s">
        <v>230</v>
      </c>
    </row>
    <row r="187" spans="1:20" ht="24.75" customHeight="1">
      <c r="A187" s="115"/>
      <c r="B187" s="212"/>
      <c r="C187" s="109"/>
      <c r="D187" s="162"/>
      <c r="E187" s="115"/>
      <c r="F187" s="213"/>
      <c r="G187" s="162"/>
      <c r="H187" s="214"/>
      <c r="I187" s="214"/>
      <c r="J187" s="215"/>
      <c r="K187" s="216"/>
      <c r="L187" s="217"/>
      <c r="M187" s="218"/>
      <c r="N187" s="219"/>
      <c r="O187" s="220"/>
      <c r="P187" s="221"/>
      <c r="Q187" s="221"/>
      <c r="R187" s="218" t="s">
        <v>231</v>
      </c>
    </row>
    <row r="188" spans="1:20" s="96" customFormat="1" ht="24.75" customHeight="1">
      <c r="A188" s="190"/>
      <c r="B188" s="191" t="s">
        <v>232</v>
      </c>
      <c r="C188" s="192" t="s">
        <v>194</v>
      </c>
      <c r="D188" s="193">
        <v>0</v>
      </c>
      <c r="E188" s="192"/>
      <c r="F188" s="192"/>
      <c r="G188" s="193">
        <v>64400</v>
      </c>
      <c r="H188" s="193">
        <v>0</v>
      </c>
      <c r="I188" s="193">
        <v>64400</v>
      </c>
      <c r="J188" s="195"/>
      <c r="K188" s="196"/>
      <c r="L188" s="197">
        <v>0</v>
      </c>
      <c r="M188" s="192"/>
      <c r="N188" s="190"/>
      <c r="O188" s="198">
        <v>64400</v>
      </c>
      <c r="P188" s="210">
        <v>0</v>
      </c>
      <c r="Q188" s="210">
        <v>64400</v>
      </c>
      <c r="R188" s="192" t="s">
        <v>233</v>
      </c>
      <c r="T188" s="97"/>
    </row>
    <row r="189" spans="1:20" ht="24.6">
      <c r="A189" s="199">
        <v>2</v>
      </c>
      <c r="B189" s="203" t="s">
        <v>32</v>
      </c>
      <c r="C189" s="222" t="s">
        <v>104</v>
      </c>
      <c r="D189" s="202"/>
      <c r="E189" s="223" t="s">
        <v>234</v>
      </c>
      <c r="F189" s="224">
        <v>4</v>
      </c>
      <c r="G189" s="225">
        <v>18600</v>
      </c>
      <c r="H189" s="225">
        <v>0</v>
      </c>
      <c r="I189" s="225">
        <v>18600</v>
      </c>
      <c r="J189" s="226"/>
      <c r="K189" s="227"/>
      <c r="L189" s="228"/>
      <c r="M189" s="199" t="s">
        <v>234</v>
      </c>
      <c r="N189" s="199">
        <v>4</v>
      </c>
      <c r="O189" s="198">
        <f>D189+G189</f>
        <v>18600</v>
      </c>
      <c r="P189" s="210">
        <v>0</v>
      </c>
      <c r="Q189" s="210">
        <f>D189+I189</f>
        <v>18600</v>
      </c>
      <c r="R189" s="203" t="s">
        <v>235</v>
      </c>
    </row>
    <row r="190" spans="1:20" ht="24.6">
      <c r="A190" s="199">
        <v>3</v>
      </c>
      <c r="B190" s="203" t="s">
        <v>215</v>
      </c>
      <c r="C190" s="222" t="s">
        <v>104</v>
      </c>
      <c r="D190" s="202"/>
      <c r="E190" s="199" t="s">
        <v>236</v>
      </c>
      <c r="F190" s="199">
        <v>4</v>
      </c>
      <c r="G190" s="202">
        <v>23000</v>
      </c>
      <c r="H190" s="202">
        <v>0</v>
      </c>
      <c r="I190" s="202">
        <v>23000</v>
      </c>
      <c r="J190" s="226"/>
      <c r="K190" s="227"/>
      <c r="L190" s="228"/>
      <c r="M190" s="199" t="s">
        <v>236</v>
      </c>
      <c r="N190" s="199">
        <v>4</v>
      </c>
      <c r="O190" s="198">
        <f>D190+G190</f>
        <v>23000</v>
      </c>
      <c r="P190" s="210">
        <v>0</v>
      </c>
      <c r="Q190" s="210">
        <f>D190+I190</f>
        <v>23000</v>
      </c>
      <c r="R190" s="203" t="s">
        <v>237</v>
      </c>
    </row>
    <row r="191" spans="1:20" s="96" customFormat="1" ht="24.75" customHeight="1">
      <c r="A191" s="229"/>
      <c r="B191" s="230"/>
      <c r="C191" s="231"/>
      <c r="D191" s="232"/>
      <c r="E191" s="231"/>
      <c r="F191" s="231"/>
      <c r="G191" s="232"/>
      <c r="H191" s="232"/>
      <c r="I191" s="232"/>
      <c r="J191" s="233"/>
      <c r="K191" s="234"/>
      <c r="L191" s="235"/>
      <c r="M191" s="231"/>
      <c r="N191" s="229"/>
      <c r="O191" s="236"/>
      <c r="P191" s="237"/>
      <c r="Q191" s="237"/>
      <c r="R191" s="238"/>
      <c r="T191" s="97"/>
    </row>
    <row r="192" spans="1:20" ht="24.75" customHeight="1" thickBot="1">
      <c r="A192" s="34"/>
      <c r="B192" s="239"/>
      <c r="C192" s="74"/>
      <c r="D192" s="110">
        <v>0</v>
      </c>
      <c r="E192" s="110"/>
      <c r="F192" s="110"/>
      <c r="G192" s="110">
        <f>SUM(G186:G190)</f>
        <v>136800</v>
      </c>
      <c r="H192" s="110">
        <v>0</v>
      </c>
      <c r="I192" s="110">
        <f>SUM(I186:I190)</f>
        <v>136800</v>
      </c>
      <c r="J192" s="170"/>
      <c r="K192" s="170"/>
      <c r="L192" s="170">
        <v>0</v>
      </c>
      <c r="M192" s="110"/>
      <c r="N192" s="240"/>
      <c r="O192" s="171">
        <f>SUM(O186:O190)</f>
        <v>136800</v>
      </c>
      <c r="P192" s="171">
        <v>0</v>
      </c>
      <c r="Q192" s="171">
        <f>SUM(Q186:Q190)</f>
        <v>136800</v>
      </c>
      <c r="R192" s="208"/>
    </row>
    <row r="193" spans="1:23" ht="25.2" thickTop="1">
      <c r="A193" s="46"/>
      <c r="B193" s="161" t="s">
        <v>238</v>
      </c>
      <c r="C193" s="46"/>
      <c r="D193" s="46"/>
      <c r="E193" s="46"/>
      <c r="F193" s="46"/>
      <c r="G193" s="46"/>
      <c r="H193" s="46"/>
      <c r="I193" s="46"/>
      <c r="J193" s="47"/>
      <c r="K193" s="48"/>
      <c r="L193" s="48"/>
      <c r="M193" s="46"/>
      <c r="N193" s="28"/>
      <c r="O193" s="46"/>
      <c r="P193" s="46"/>
      <c r="Q193" s="46"/>
      <c r="R193" s="46"/>
    </row>
    <row r="194" spans="1:23" ht="24.6">
      <c r="A194" s="25">
        <v>1</v>
      </c>
      <c r="B194" s="53" t="s">
        <v>239</v>
      </c>
      <c r="C194" s="109"/>
      <c r="D194" s="109"/>
      <c r="E194" s="109" t="s">
        <v>240</v>
      </c>
      <c r="F194" s="109"/>
      <c r="G194" s="162"/>
      <c r="H194" s="109"/>
      <c r="I194" s="162">
        <v>0</v>
      </c>
      <c r="J194" s="112"/>
      <c r="K194" s="113"/>
      <c r="L194" s="241"/>
      <c r="M194" s="109" t="s">
        <v>240</v>
      </c>
      <c r="N194" s="115"/>
      <c r="O194" s="49"/>
      <c r="P194" s="127"/>
      <c r="Q194" s="162">
        <v>0</v>
      </c>
      <c r="R194" s="29"/>
    </row>
    <row r="195" spans="1:23" ht="24.6">
      <c r="A195" s="25"/>
      <c r="B195" s="29" t="s">
        <v>241</v>
      </c>
      <c r="C195" s="29"/>
      <c r="D195" s="29"/>
      <c r="E195" s="25" t="s">
        <v>242</v>
      </c>
      <c r="F195" s="29"/>
      <c r="G195" s="49">
        <v>133707.98000000001</v>
      </c>
      <c r="H195" s="134">
        <v>0</v>
      </c>
      <c r="I195" s="49">
        <v>133707.98000000001</v>
      </c>
      <c r="J195" s="60"/>
      <c r="K195" s="61"/>
      <c r="L195" s="242"/>
      <c r="M195" s="29" t="s">
        <v>242</v>
      </c>
      <c r="N195" s="25"/>
      <c r="O195" s="72">
        <v>133707.98000000001</v>
      </c>
      <c r="P195" s="73">
        <v>0</v>
      </c>
      <c r="Q195" s="73">
        <v>133707.98000000001</v>
      </c>
      <c r="R195" s="29" t="s">
        <v>243</v>
      </c>
    </row>
    <row r="196" spans="1:23" ht="24.6">
      <c r="A196" s="25"/>
      <c r="B196" s="29" t="s">
        <v>244</v>
      </c>
      <c r="C196" s="29"/>
      <c r="D196" s="29"/>
      <c r="E196" s="29"/>
      <c r="F196" s="29"/>
      <c r="G196" s="49">
        <v>73800</v>
      </c>
      <c r="H196" s="134">
        <v>0</v>
      </c>
      <c r="I196" s="49">
        <v>73800</v>
      </c>
      <c r="J196" s="60"/>
      <c r="K196" s="61"/>
      <c r="L196" s="242"/>
      <c r="M196" s="29"/>
      <c r="N196" s="25"/>
      <c r="O196" s="72">
        <v>73800</v>
      </c>
      <c r="P196" s="73">
        <v>0</v>
      </c>
      <c r="Q196" s="73">
        <v>73800</v>
      </c>
      <c r="R196" s="29"/>
    </row>
    <row r="197" spans="1:23" ht="24.6">
      <c r="A197" s="25"/>
      <c r="B197" s="29" t="s">
        <v>245</v>
      </c>
      <c r="C197" s="29"/>
      <c r="D197" s="29"/>
      <c r="E197" s="29"/>
      <c r="F197" s="29"/>
      <c r="G197" s="49">
        <v>7596.82</v>
      </c>
      <c r="H197" s="134">
        <v>0</v>
      </c>
      <c r="I197" s="89">
        <v>7596.82</v>
      </c>
      <c r="J197" s="60"/>
      <c r="K197" s="61"/>
      <c r="L197" s="242"/>
      <c r="M197" s="29"/>
      <c r="N197" s="25"/>
      <c r="O197" s="72">
        <v>7596.82</v>
      </c>
      <c r="P197" s="73">
        <v>0</v>
      </c>
      <c r="Q197" s="73">
        <v>7596.82</v>
      </c>
      <c r="R197" s="29" t="s">
        <v>243</v>
      </c>
    </row>
    <row r="198" spans="1:23" ht="24.6">
      <c r="A198" s="25"/>
      <c r="B198" s="29" t="s">
        <v>246</v>
      </c>
      <c r="C198" s="29"/>
      <c r="D198" s="53"/>
      <c r="E198" s="53"/>
      <c r="F198" s="53"/>
      <c r="G198" s="127"/>
      <c r="H198" s="53"/>
      <c r="I198" s="127"/>
      <c r="J198" s="243"/>
      <c r="K198" s="244"/>
      <c r="L198" s="245"/>
      <c r="M198" s="53"/>
      <c r="N198" s="4"/>
      <c r="O198" s="127"/>
      <c r="P198" s="127"/>
      <c r="Q198" s="49"/>
      <c r="R198" s="29"/>
      <c r="U198" s="1">
        <v>763210.28</v>
      </c>
    </row>
    <row r="199" spans="1:23" ht="24.6">
      <c r="A199" s="4"/>
      <c r="B199" s="53"/>
      <c r="C199" s="737" t="s">
        <v>247</v>
      </c>
      <c r="D199" s="738"/>
      <c r="E199" s="738"/>
      <c r="F199" s="738"/>
      <c r="G199" s="738"/>
      <c r="H199" s="739"/>
      <c r="I199" s="127"/>
      <c r="J199" s="243"/>
      <c r="K199" s="244"/>
      <c r="L199" s="245"/>
      <c r="M199" s="53"/>
      <c r="N199" s="4"/>
      <c r="O199" s="127"/>
      <c r="P199" s="127"/>
      <c r="Q199" s="162"/>
      <c r="R199" s="53"/>
    </row>
    <row r="200" spans="1:23" s="96" customFormat="1" ht="24.75" customHeight="1">
      <c r="A200" s="86">
        <v>2</v>
      </c>
      <c r="B200" s="274" t="s">
        <v>68</v>
      </c>
      <c r="C200" s="87">
        <v>268</v>
      </c>
      <c r="D200" s="89"/>
      <c r="E200" s="86" t="s">
        <v>378</v>
      </c>
      <c r="F200" s="275">
        <v>80</v>
      </c>
      <c r="G200" s="89">
        <v>133752.76</v>
      </c>
      <c r="H200" s="89" t="s">
        <v>172</v>
      </c>
      <c r="I200" s="89">
        <v>133752.76</v>
      </c>
      <c r="J200" s="276"/>
      <c r="K200" s="154"/>
      <c r="L200" s="155"/>
      <c r="M200" s="86" t="s">
        <v>378</v>
      </c>
      <c r="N200" s="86">
        <v>80</v>
      </c>
      <c r="O200" s="277">
        <f>SUM(D200+G200)</f>
        <v>133752.76</v>
      </c>
      <c r="P200" s="277" t="s">
        <v>172</v>
      </c>
      <c r="Q200" s="277">
        <f>SUM(D200+I200)</f>
        <v>133752.76</v>
      </c>
      <c r="R200" s="87" t="s">
        <v>379</v>
      </c>
      <c r="T200" s="97" t="s">
        <v>375</v>
      </c>
    </row>
    <row r="201" spans="1:23" ht="24.75" customHeight="1">
      <c r="A201" s="25"/>
      <c r="B201" s="119" t="s">
        <v>221</v>
      </c>
      <c r="C201" s="278" t="s">
        <v>222</v>
      </c>
      <c r="D201" s="49">
        <v>0</v>
      </c>
      <c r="E201" s="29"/>
      <c r="F201" s="3" t="s">
        <v>172</v>
      </c>
      <c r="G201" s="49">
        <v>19700</v>
      </c>
      <c r="H201" s="49">
        <v>0</v>
      </c>
      <c r="I201" s="49">
        <v>19700</v>
      </c>
      <c r="J201" s="60"/>
      <c r="K201" s="61"/>
      <c r="L201" s="51">
        <v>0</v>
      </c>
      <c r="M201" s="29"/>
      <c r="N201" s="25" t="s">
        <v>172</v>
      </c>
      <c r="O201" s="277">
        <v>19700</v>
      </c>
      <c r="P201" s="73">
        <v>0</v>
      </c>
      <c r="Q201" s="73">
        <v>19700</v>
      </c>
      <c r="R201" s="29" t="s">
        <v>184</v>
      </c>
      <c r="V201" s="211"/>
      <c r="W201" s="211"/>
    </row>
    <row r="202" spans="1:23" ht="24.75" customHeight="1">
      <c r="A202" s="25"/>
      <c r="B202" s="278"/>
      <c r="C202" s="278" t="s">
        <v>223</v>
      </c>
      <c r="D202" s="49"/>
      <c r="E202" s="29"/>
      <c r="F202" s="3" t="s">
        <v>172</v>
      </c>
      <c r="G202" s="49">
        <v>19700</v>
      </c>
      <c r="H202" s="49">
        <v>0</v>
      </c>
      <c r="I202" s="49">
        <v>19700</v>
      </c>
      <c r="J202" s="60"/>
      <c r="K202" s="61"/>
      <c r="L202" s="51">
        <v>0</v>
      </c>
      <c r="M202" s="29"/>
      <c r="N202" s="25" t="s">
        <v>172</v>
      </c>
      <c r="O202" s="277">
        <v>19700</v>
      </c>
      <c r="P202" s="73">
        <v>0</v>
      </c>
      <c r="Q202" s="73">
        <v>19700</v>
      </c>
      <c r="R202" s="29" t="s">
        <v>185</v>
      </c>
      <c r="V202" s="211"/>
    </row>
    <row r="203" spans="1:23" ht="24.75" customHeight="1">
      <c r="A203" s="25"/>
      <c r="B203" s="278"/>
      <c r="C203" s="278" t="s">
        <v>224</v>
      </c>
      <c r="D203" s="49"/>
      <c r="E203" s="29"/>
      <c r="F203" s="3" t="s">
        <v>172</v>
      </c>
      <c r="G203" s="49">
        <v>19700</v>
      </c>
      <c r="H203" s="49">
        <v>0</v>
      </c>
      <c r="I203" s="49">
        <v>19700</v>
      </c>
      <c r="J203" s="60"/>
      <c r="K203" s="61"/>
      <c r="L203" s="51">
        <v>0</v>
      </c>
      <c r="M203" s="29"/>
      <c r="N203" s="25" t="s">
        <v>172</v>
      </c>
      <c r="O203" s="277">
        <v>19700</v>
      </c>
      <c r="P203" s="73">
        <v>0</v>
      </c>
      <c r="Q203" s="73">
        <v>19700</v>
      </c>
      <c r="R203" s="29" t="s">
        <v>186</v>
      </c>
    </row>
    <row r="204" spans="1:23" ht="24.75" customHeight="1">
      <c r="A204" s="25">
        <v>3</v>
      </c>
      <c r="B204" s="119" t="s">
        <v>225</v>
      </c>
      <c r="C204" s="29"/>
      <c r="D204" s="49"/>
      <c r="E204" s="25" t="s">
        <v>226</v>
      </c>
      <c r="F204" s="3">
        <v>88</v>
      </c>
      <c r="G204" s="49">
        <v>304935.7</v>
      </c>
      <c r="H204" s="49">
        <v>0</v>
      </c>
      <c r="I204" s="49">
        <v>304935.7</v>
      </c>
      <c r="J204" s="60"/>
      <c r="K204" s="61"/>
      <c r="L204" s="51"/>
      <c r="M204" s="25" t="s">
        <v>226</v>
      </c>
      <c r="N204" s="25">
        <v>88</v>
      </c>
      <c r="O204" s="277">
        <v>304935.7</v>
      </c>
      <c r="P204" s="73">
        <v>0</v>
      </c>
      <c r="Q204" s="73">
        <v>304935.7</v>
      </c>
      <c r="R204" s="29" t="s">
        <v>227</v>
      </c>
    </row>
    <row r="205" spans="1:23" ht="25.2" thickBot="1">
      <c r="A205" s="25"/>
      <c r="B205" s="29"/>
      <c r="C205" s="29"/>
      <c r="D205" s="74"/>
      <c r="E205" s="74"/>
      <c r="F205" s="74"/>
      <c r="G205" s="74"/>
      <c r="H205" s="74"/>
      <c r="I205" s="74"/>
      <c r="J205" s="75"/>
      <c r="K205" s="76"/>
      <c r="L205" s="76"/>
      <c r="M205" s="74"/>
      <c r="N205" s="34"/>
      <c r="O205" s="110"/>
      <c r="P205" s="74"/>
      <c r="Q205" s="171"/>
      <c r="R205" s="29"/>
    </row>
    <row r="206" spans="1:23" s="249" customFormat="1" ht="25.8" thickTop="1" thickBot="1">
      <c r="A206" s="134"/>
      <c r="B206" s="246" t="s">
        <v>26</v>
      </c>
      <c r="C206" s="103"/>
      <c r="D206" s="103">
        <v>0</v>
      </c>
      <c r="E206" s="103"/>
      <c r="F206" s="103"/>
      <c r="G206" s="103">
        <f>SUM(G195:G205)</f>
        <v>712893.26</v>
      </c>
      <c r="H206" s="103">
        <f t="shared" ref="H206:I206" si="12">SUM(H195:H205)</f>
        <v>0</v>
      </c>
      <c r="I206" s="103">
        <f t="shared" si="12"/>
        <v>712893.26</v>
      </c>
      <c r="J206" s="104"/>
      <c r="K206" s="104"/>
      <c r="L206" s="104">
        <v>0</v>
      </c>
      <c r="M206" s="103"/>
      <c r="N206" s="247"/>
      <c r="O206" s="103">
        <f>SUM(O195:O205)</f>
        <v>712893.26</v>
      </c>
      <c r="P206" s="103">
        <v>0</v>
      </c>
      <c r="Q206" s="103">
        <f>SUM(Q194:Q205)</f>
        <v>712893.26</v>
      </c>
      <c r="R206" s="248"/>
    </row>
    <row r="207" spans="1:23" ht="25.8" thickTop="1" thickBot="1">
      <c r="A207" s="29"/>
      <c r="B207" s="25" t="s">
        <v>248</v>
      </c>
      <c r="C207" s="64"/>
      <c r="D207" s="63">
        <f>SUM(D30+D75+D111+D179+D184+D192+D206)</f>
        <v>63270</v>
      </c>
      <c r="E207" s="63"/>
      <c r="F207" s="63"/>
      <c r="G207" s="63">
        <f>SUM(G30+G75+G111+G163+G179+G184+G192+G206)</f>
        <v>993063.26</v>
      </c>
      <c r="H207" s="63">
        <v>0</v>
      </c>
      <c r="I207" s="63">
        <f>SUM(I9+I12+I15+I18+I21+I24+I30+I33+I35+I39+I75+I111+I115+I118+I121+I163+I169+I173+I179+I184+I192+I206)</f>
        <v>1013673.26</v>
      </c>
      <c r="J207" s="67"/>
      <c r="K207" s="67"/>
      <c r="L207" s="67">
        <f>SUM(L30+L75+L111)</f>
        <v>59115</v>
      </c>
      <c r="M207" s="63"/>
      <c r="N207" s="105"/>
      <c r="O207" s="63">
        <f>SUM(O30+O75+O111+O179+O184+O192+O206)</f>
        <v>997218.26</v>
      </c>
      <c r="P207" s="63">
        <f>SUM(P30+P75+P111+P179+P184+P192+P206)</f>
        <v>0</v>
      </c>
      <c r="Q207" s="63">
        <f>SUM(Q30+Q75+Q111+Q179+Q184+Q192+Q206)</f>
        <v>997218.26</v>
      </c>
      <c r="R207" s="59"/>
      <c r="T207" s="63"/>
    </row>
    <row r="208" spans="1:23" ht="25.2" thickTop="1"/>
    <row r="209" spans="6:17" ht="24.6">
      <c r="K209" s="250"/>
      <c r="Q209" s="249"/>
    </row>
    <row r="210" spans="6:17" ht="24.6">
      <c r="K210" s="251"/>
      <c r="Q210" s="249"/>
    </row>
    <row r="211" spans="6:17" ht="24.6">
      <c r="F211" s="1">
        <v>1010.6000000000058</v>
      </c>
      <c r="K211" s="250"/>
      <c r="Q211" s="249"/>
    </row>
    <row r="212" spans="6:17" ht="24.6">
      <c r="K212" s="250"/>
      <c r="L212" s="252"/>
    </row>
    <row r="213" spans="6:17" ht="24.6">
      <c r="H213" s="253"/>
      <c r="K213" s="25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92F3-B7F2-47F6-AD3E-B4B9FF37A177}">
  <dimension ref="A1:AD213"/>
  <sheetViews>
    <sheetView topLeftCell="A183" zoomScale="74" zoomScaleNormal="74" workbookViewId="0">
      <selection activeCell="P182" sqref="P182"/>
    </sheetView>
  </sheetViews>
  <sheetFormatPr defaultColWidth="10.33203125" defaultRowHeight="24.6"/>
  <cols>
    <col min="1" max="1" width="4.44140625" style="295" customWidth="1"/>
    <col min="2" max="2" width="21.6640625" style="295" customWidth="1"/>
    <col min="3" max="3" width="15" style="295" customWidth="1"/>
    <col min="4" max="4" width="15.44140625" style="295" customWidth="1"/>
    <col min="5" max="5" width="11.5546875" style="295" customWidth="1"/>
    <col min="6" max="6" width="7.44140625" style="295" customWidth="1"/>
    <col min="7" max="7" width="14.109375" style="295" customWidth="1"/>
    <col min="8" max="8" width="10.6640625" style="295" customWidth="1"/>
    <col min="9" max="9" width="13.44140625" style="295" customWidth="1"/>
    <col min="10" max="10" width="11.44140625" style="474" customWidth="1"/>
    <col min="11" max="11" width="15" style="475" customWidth="1"/>
    <col min="12" max="12" width="14.5546875" style="475" customWidth="1"/>
    <col min="13" max="13" width="10.33203125" style="295"/>
    <col min="14" max="14" width="7.44140625" style="471" customWidth="1"/>
    <col min="15" max="15" width="12.88671875" style="295" customWidth="1"/>
    <col min="16" max="16" width="11.109375" style="295" customWidth="1"/>
    <col min="17" max="17" width="14" style="295" customWidth="1"/>
    <col min="18" max="18" width="33" style="295" customWidth="1"/>
    <col min="19" max="19" width="6.6640625" style="295" customWidth="1"/>
    <col min="20" max="20" width="19" style="296" customWidth="1"/>
    <col min="21" max="21" width="19.109375" style="295" customWidth="1"/>
    <col min="22" max="22" width="21.33203125" style="295" customWidth="1"/>
    <col min="23" max="23" width="32.5546875" style="295" customWidth="1"/>
    <col min="24" max="24" width="16.88671875" style="295" customWidth="1"/>
    <col min="25" max="25" width="16.33203125" style="295" customWidth="1"/>
    <col min="26" max="256" width="10.33203125" style="295"/>
    <col min="257" max="257" width="4.44140625" style="295" customWidth="1"/>
    <col min="258" max="258" width="21.6640625" style="295" customWidth="1"/>
    <col min="259" max="259" width="15" style="295" customWidth="1"/>
    <col min="260" max="260" width="15.44140625" style="295" customWidth="1"/>
    <col min="261" max="261" width="11.5546875" style="295" customWidth="1"/>
    <col min="262" max="262" width="7.44140625" style="295" customWidth="1"/>
    <col min="263" max="263" width="14.109375" style="295" customWidth="1"/>
    <col min="264" max="264" width="10.6640625" style="295" customWidth="1"/>
    <col min="265" max="265" width="13.44140625" style="295" customWidth="1"/>
    <col min="266" max="266" width="11.44140625" style="295" customWidth="1"/>
    <col min="267" max="267" width="15" style="295" customWidth="1"/>
    <col min="268" max="268" width="14.5546875" style="295" customWidth="1"/>
    <col min="269" max="269" width="10.33203125" style="295"/>
    <col min="270" max="270" width="7.44140625" style="295" customWidth="1"/>
    <col min="271" max="271" width="12.88671875" style="295" customWidth="1"/>
    <col min="272" max="272" width="11.109375" style="295" customWidth="1"/>
    <col min="273" max="273" width="14" style="295" customWidth="1"/>
    <col min="274" max="274" width="33" style="295" customWidth="1"/>
    <col min="275" max="275" width="6.6640625" style="295" customWidth="1"/>
    <col min="276" max="276" width="19" style="295" customWidth="1"/>
    <col min="277" max="277" width="19.109375" style="295" customWidth="1"/>
    <col min="278" max="278" width="21.33203125" style="295" customWidth="1"/>
    <col min="279" max="279" width="32.5546875" style="295" customWidth="1"/>
    <col min="280" max="280" width="16.88671875" style="295" customWidth="1"/>
    <col min="281" max="281" width="16.33203125" style="295" customWidth="1"/>
    <col min="282" max="512" width="10.33203125" style="295"/>
    <col min="513" max="513" width="4.44140625" style="295" customWidth="1"/>
    <col min="514" max="514" width="21.6640625" style="295" customWidth="1"/>
    <col min="515" max="515" width="15" style="295" customWidth="1"/>
    <col min="516" max="516" width="15.44140625" style="295" customWidth="1"/>
    <col min="517" max="517" width="11.5546875" style="295" customWidth="1"/>
    <col min="518" max="518" width="7.44140625" style="295" customWidth="1"/>
    <col min="519" max="519" width="14.109375" style="295" customWidth="1"/>
    <col min="520" max="520" width="10.6640625" style="295" customWidth="1"/>
    <col min="521" max="521" width="13.44140625" style="295" customWidth="1"/>
    <col min="522" max="522" width="11.44140625" style="295" customWidth="1"/>
    <col min="523" max="523" width="15" style="295" customWidth="1"/>
    <col min="524" max="524" width="14.5546875" style="295" customWidth="1"/>
    <col min="525" max="525" width="10.33203125" style="295"/>
    <col min="526" max="526" width="7.44140625" style="295" customWidth="1"/>
    <col min="527" max="527" width="12.88671875" style="295" customWidth="1"/>
    <col min="528" max="528" width="11.109375" style="295" customWidth="1"/>
    <col min="529" max="529" width="14" style="295" customWidth="1"/>
    <col min="530" max="530" width="33" style="295" customWidth="1"/>
    <col min="531" max="531" width="6.6640625" style="295" customWidth="1"/>
    <col min="532" max="532" width="19" style="295" customWidth="1"/>
    <col min="533" max="533" width="19.109375" style="295" customWidth="1"/>
    <col min="534" max="534" width="21.33203125" style="295" customWidth="1"/>
    <col min="535" max="535" width="32.5546875" style="295" customWidth="1"/>
    <col min="536" max="536" width="16.88671875" style="295" customWidth="1"/>
    <col min="537" max="537" width="16.33203125" style="295" customWidth="1"/>
    <col min="538" max="768" width="10.33203125" style="295"/>
    <col min="769" max="769" width="4.44140625" style="295" customWidth="1"/>
    <col min="770" max="770" width="21.6640625" style="295" customWidth="1"/>
    <col min="771" max="771" width="15" style="295" customWidth="1"/>
    <col min="772" max="772" width="15.44140625" style="295" customWidth="1"/>
    <col min="773" max="773" width="11.5546875" style="295" customWidth="1"/>
    <col min="774" max="774" width="7.44140625" style="295" customWidth="1"/>
    <col min="775" max="775" width="14.109375" style="295" customWidth="1"/>
    <col min="776" max="776" width="10.6640625" style="295" customWidth="1"/>
    <col min="777" max="777" width="13.44140625" style="295" customWidth="1"/>
    <col min="778" max="778" width="11.44140625" style="295" customWidth="1"/>
    <col min="779" max="779" width="15" style="295" customWidth="1"/>
    <col min="780" max="780" width="14.5546875" style="295" customWidth="1"/>
    <col min="781" max="781" width="10.33203125" style="295"/>
    <col min="782" max="782" width="7.44140625" style="295" customWidth="1"/>
    <col min="783" max="783" width="12.88671875" style="295" customWidth="1"/>
    <col min="784" max="784" width="11.109375" style="295" customWidth="1"/>
    <col min="785" max="785" width="14" style="295" customWidth="1"/>
    <col min="786" max="786" width="33" style="295" customWidth="1"/>
    <col min="787" max="787" width="6.6640625" style="295" customWidth="1"/>
    <col min="788" max="788" width="19" style="295" customWidth="1"/>
    <col min="789" max="789" width="19.109375" style="295" customWidth="1"/>
    <col min="790" max="790" width="21.33203125" style="295" customWidth="1"/>
    <col min="791" max="791" width="32.5546875" style="295" customWidth="1"/>
    <col min="792" max="792" width="16.88671875" style="295" customWidth="1"/>
    <col min="793" max="793" width="16.33203125" style="295" customWidth="1"/>
    <col min="794" max="1024" width="10.33203125" style="295"/>
    <col min="1025" max="1025" width="4.44140625" style="295" customWidth="1"/>
    <col min="1026" max="1026" width="21.6640625" style="295" customWidth="1"/>
    <col min="1027" max="1027" width="15" style="295" customWidth="1"/>
    <col min="1028" max="1028" width="15.44140625" style="295" customWidth="1"/>
    <col min="1029" max="1029" width="11.5546875" style="295" customWidth="1"/>
    <col min="1030" max="1030" width="7.44140625" style="295" customWidth="1"/>
    <col min="1031" max="1031" width="14.109375" style="295" customWidth="1"/>
    <col min="1032" max="1032" width="10.6640625" style="295" customWidth="1"/>
    <col min="1033" max="1033" width="13.44140625" style="295" customWidth="1"/>
    <col min="1034" max="1034" width="11.44140625" style="295" customWidth="1"/>
    <col min="1035" max="1035" width="15" style="295" customWidth="1"/>
    <col min="1036" max="1036" width="14.5546875" style="295" customWidth="1"/>
    <col min="1037" max="1037" width="10.33203125" style="295"/>
    <col min="1038" max="1038" width="7.44140625" style="295" customWidth="1"/>
    <col min="1039" max="1039" width="12.88671875" style="295" customWidth="1"/>
    <col min="1040" max="1040" width="11.109375" style="295" customWidth="1"/>
    <col min="1041" max="1041" width="14" style="295" customWidth="1"/>
    <col min="1042" max="1042" width="33" style="295" customWidth="1"/>
    <col min="1043" max="1043" width="6.6640625" style="295" customWidth="1"/>
    <col min="1044" max="1044" width="19" style="295" customWidth="1"/>
    <col min="1045" max="1045" width="19.109375" style="295" customWidth="1"/>
    <col min="1046" max="1046" width="21.33203125" style="295" customWidth="1"/>
    <col min="1047" max="1047" width="32.5546875" style="295" customWidth="1"/>
    <col min="1048" max="1048" width="16.88671875" style="295" customWidth="1"/>
    <col min="1049" max="1049" width="16.33203125" style="295" customWidth="1"/>
    <col min="1050" max="1280" width="10.33203125" style="295"/>
    <col min="1281" max="1281" width="4.44140625" style="295" customWidth="1"/>
    <col min="1282" max="1282" width="21.6640625" style="295" customWidth="1"/>
    <col min="1283" max="1283" width="15" style="295" customWidth="1"/>
    <col min="1284" max="1284" width="15.44140625" style="295" customWidth="1"/>
    <col min="1285" max="1285" width="11.5546875" style="295" customWidth="1"/>
    <col min="1286" max="1286" width="7.44140625" style="295" customWidth="1"/>
    <col min="1287" max="1287" width="14.109375" style="295" customWidth="1"/>
    <col min="1288" max="1288" width="10.6640625" style="295" customWidth="1"/>
    <col min="1289" max="1289" width="13.44140625" style="295" customWidth="1"/>
    <col min="1290" max="1290" width="11.44140625" style="295" customWidth="1"/>
    <col min="1291" max="1291" width="15" style="295" customWidth="1"/>
    <col min="1292" max="1292" width="14.5546875" style="295" customWidth="1"/>
    <col min="1293" max="1293" width="10.33203125" style="295"/>
    <col min="1294" max="1294" width="7.44140625" style="295" customWidth="1"/>
    <col min="1295" max="1295" width="12.88671875" style="295" customWidth="1"/>
    <col min="1296" max="1296" width="11.109375" style="295" customWidth="1"/>
    <col min="1297" max="1297" width="14" style="295" customWidth="1"/>
    <col min="1298" max="1298" width="33" style="295" customWidth="1"/>
    <col min="1299" max="1299" width="6.6640625" style="295" customWidth="1"/>
    <col min="1300" max="1300" width="19" style="295" customWidth="1"/>
    <col min="1301" max="1301" width="19.109375" style="295" customWidth="1"/>
    <col min="1302" max="1302" width="21.33203125" style="295" customWidth="1"/>
    <col min="1303" max="1303" width="32.5546875" style="295" customWidth="1"/>
    <col min="1304" max="1304" width="16.88671875" style="295" customWidth="1"/>
    <col min="1305" max="1305" width="16.33203125" style="295" customWidth="1"/>
    <col min="1306" max="1536" width="10.33203125" style="295"/>
    <col min="1537" max="1537" width="4.44140625" style="295" customWidth="1"/>
    <col min="1538" max="1538" width="21.6640625" style="295" customWidth="1"/>
    <col min="1539" max="1539" width="15" style="295" customWidth="1"/>
    <col min="1540" max="1540" width="15.44140625" style="295" customWidth="1"/>
    <col min="1541" max="1541" width="11.5546875" style="295" customWidth="1"/>
    <col min="1542" max="1542" width="7.44140625" style="295" customWidth="1"/>
    <col min="1543" max="1543" width="14.109375" style="295" customWidth="1"/>
    <col min="1544" max="1544" width="10.6640625" style="295" customWidth="1"/>
    <col min="1545" max="1545" width="13.44140625" style="295" customWidth="1"/>
    <col min="1546" max="1546" width="11.44140625" style="295" customWidth="1"/>
    <col min="1547" max="1547" width="15" style="295" customWidth="1"/>
    <col min="1548" max="1548" width="14.5546875" style="295" customWidth="1"/>
    <col min="1549" max="1549" width="10.33203125" style="295"/>
    <col min="1550" max="1550" width="7.44140625" style="295" customWidth="1"/>
    <col min="1551" max="1551" width="12.88671875" style="295" customWidth="1"/>
    <col min="1552" max="1552" width="11.109375" style="295" customWidth="1"/>
    <col min="1553" max="1553" width="14" style="295" customWidth="1"/>
    <col min="1554" max="1554" width="33" style="295" customWidth="1"/>
    <col min="1555" max="1555" width="6.6640625" style="295" customWidth="1"/>
    <col min="1556" max="1556" width="19" style="295" customWidth="1"/>
    <col min="1557" max="1557" width="19.109375" style="295" customWidth="1"/>
    <col min="1558" max="1558" width="21.33203125" style="295" customWidth="1"/>
    <col min="1559" max="1559" width="32.5546875" style="295" customWidth="1"/>
    <col min="1560" max="1560" width="16.88671875" style="295" customWidth="1"/>
    <col min="1561" max="1561" width="16.33203125" style="295" customWidth="1"/>
    <col min="1562" max="1792" width="10.33203125" style="295"/>
    <col min="1793" max="1793" width="4.44140625" style="295" customWidth="1"/>
    <col min="1794" max="1794" width="21.6640625" style="295" customWidth="1"/>
    <col min="1795" max="1795" width="15" style="295" customWidth="1"/>
    <col min="1796" max="1796" width="15.44140625" style="295" customWidth="1"/>
    <col min="1797" max="1797" width="11.5546875" style="295" customWidth="1"/>
    <col min="1798" max="1798" width="7.44140625" style="295" customWidth="1"/>
    <col min="1799" max="1799" width="14.109375" style="295" customWidth="1"/>
    <col min="1800" max="1800" width="10.6640625" style="295" customWidth="1"/>
    <col min="1801" max="1801" width="13.44140625" style="295" customWidth="1"/>
    <col min="1802" max="1802" width="11.44140625" style="295" customWidth="1"/>
    <col min="1803" max="1803" width="15" style="295" customWidth="1"/>
    <col min="1804" max="1804" width="14.5546875" style="295" customWidth="1"/>
    <col min="1805" max="1805" width="10.33203125" style="295"/>
    <col min="1806" max="1806" width="7.44140625" style="295" customWidth="1"/>
    <col min="1807" max="1807" width="12.88671875" style="295" customWidth="1"/>
    <col min="1808" max="1808" width="11.109375" style="295" customWidth="1"/>
    <col min="1809" max="1809" width="14" style="295" customWidth="1"/>
    <col min="1810" max="1810" width="33" style="295" customWidth="1"/>
    <col min="1811" max="1811" width="6.6640625" style="295" customWidth="1"/>
    <col min="1812" max="1812" width="19" style="295" customWidth="1"/>
    <col min="1813" max="1813" width="19.109375" style="295" customWidth="1"/>
    <col min="1814" max="1814" width="21.33203125" style="295" customWidth="1"/>
    <col min="1815" max="1815" width="32.5546875" style="295" customWidth="1"/>
    <col min="1816" max="1816" width="16.88671875" style="295" customWidth="1"/>
    <col min="1817" max="1817" width="16.33203125" style="295" customWidth="1"/>
    <col min="1818" max="2048" width="10.33203125" style="295"/>
    <col min="2049" max="2049" width="4.44140625" style="295" customWidth="1"/>
    <col min="2050" max="2050" width="21.6640625" style="295" customWidth="1"/>
    <col min="2051" max="2051" width="15" style="295" customWidth="1"/>
    <col min="2052" max="2052" width="15.44140625" style="295" customWidth="1"/>
    <col min="2053" max="2053" width="11.5546875" style="295" customWidth="1"/>
    <col min="2054" max="2054" width="7.44140625" style="295" customWidth="1"/>
    <col min="2055" max="2055" width="14.109375" style="295" customWidth="1"/>
    <col min="2056" max="2056" width="10.6640625" style="295" customWidth="1"/>
    <col min="2057" max="2057" width="13.44140625" style="295" customWidth="1"/>
    <col min="2058" max="2058" width="11.44140625" style="295" customWidth="1"/>
    <col min="2059" max="2059" width="15" style="295" customWidth="1"/>
    <col min="2060" max="2060" width="14.5546875" style="295" customWidth="1"/>
    <col min="2061" max="2061" width="10.33203125" style="295"/>
    <col min="2062" max="2062" width="7.44140625" style="295" customWidth="1"/>
    <col min="2063" max="2063" width="12.88671875" style="295" customWidth="1"/>
    <col min="2064" max="2064" width="11.109375" style="295" customWidth="1"/>
    <col min="2065" max="2065" width="14" style="295" customWidth="1"/>
    <col min="2066" max="2066" width="33" style="295" customWidth="1"/>
    <col min="2067" max="2067" width="6.6640625" style="295" customWidth="1"/>
    <col min="2068" max="2068" width="19" style="295" customWidth="1"/>
    <col min="2069" max="2069" width="19.109375" style="295" customWidth="1"/>
    <col min="2070" max="2070" width="21.33203125" style="295" customWidth="1"/>
    <col min="2071" max="2071" width="32.5546875" style="295" customWidth="1"/>
    <col min="2072" max="2072" width="16.88671875" style="295" customWidth="1"/>
    <col min="2073" max="2073" width="16.33203125" style="295" customWidth="1"/>
    <col min="2074" max="2304" width="10.33203125" style="295"/>
    <col min="2305" max="2305" width="4.44140625" style="295" customWidth="1"/>
    <col min="2306" max="2306" width="21.6640625" style="295" customWidth="1"/>
    <col min="2307" max="2307" width="15" style="295" customWidth="1"/>
    <col min="2308" max="2308" width="15.44140625" style="295" customWidth="1"/>
    <col min="2309" max="2309" width="11.5546875" style="295" customWidth="1"/>
    <col min="2310" max="2310" width="7.44140625" style="295" customWidth="1"/>
    <col min="2311" max="2311" width="14.109375" style="295" customWidth="1"/>
    <col min="2312" max="2312" width="10.6640625" style="295" customWidth="1"/>
    <col min="2313" max="2313" width="13.44140625" style="295" customWidth="1"/>
    <col min="2314" max="2314" width="11.44140625" style="295" customWidth="1"/>
    <col min="2315" max="2315" width="15" style="295" customWidth="1"/>
    <col min="2316" max="2316" width="14.5546875" style="295" customWidth="1"/>
    <col min="2317" max="2317" width="10.33203125" style="295"/>
    <col min="2318" max="2318" width="7.44140625" style="295" customWidth="1"/>
    <col min="2319" max="2319" width="12.88671875" style="295" customWidth="1"/>
    <col min="2320" max="2320" width="11.109375" style="295" customWidth="1"/>
    <col min="2321" max="2321" width="14" style="295" customWidth="1"/>
    <col min="2322" max="2322" width="33" style="295" customWidth="1"/>
    <col min="2323" max="2323" width="6.6640625" style="295" customWidth="1"/>
    <col min="2324" max="2324" width="19" style="295" customWidth="1"/>
    <col min="2325" max="2325" width="19.109375" style="295" customWidth="1"/>
    <col min="2326" max="2326" width="21.33203125" style="295" customWidth="1"/>
    <col min="2327" max="2327" width="32.5546875" style="295" customWidth="1"/>
    <col min="2328" max="2328" width="16.88671875" style="295" customWidth="1"/>
    <col min="2329" max="2329" width="16.33203125" style="295" customWidth="1"/>
    <col min="2330" max="2560" width="10.33203125" style="295"/>
    <col min="2561" max="2561" width="4.44140625" style="295" customWidth="1"/>
    <col min="2562" max="2562" width="21.6640625" style="295" customWidth="1"/>
    <col min="2563" max="2563" width="15" style="295" customWidth="1"/>
    <col min="2564" max="2564" width="15.44140625" style="295" customWidth="1"/>
    <col min="2565" max="2565" width="11.5546875" style="295" customWidth="1"/>
    <col min="2566" max="2566" width="7.44140625" style="295" customWidth="1"/>
    <col min="2567" max="2567" width="14.109375" style="295" customWidth="1"/>
    <col min="2568" max="2568" width="10.6640625" style="295" customWidth="1"/>
    <col min="2569" max="2569" width="13.44140625" style="295" customWidth="1"/>
    <col min="2570" max="2570" width="11.44140625" style="295" customWidth="1"/>
    <col min="2571" max="2571" width="15" style="295" customWidth="1"/>
    <col min="2572" max="2572" width="14.5546875" style="295" customWidth="1"/>
    <col min="2573" max="2573" width="10.33203125" style="295"/>
    <col min="2574" max="2574" width="7.44140625" style="295" customWidth="1"/>
    <col min="2575" max="2575" width="12.88671875" style="295" customWidth="1"/>
    <col min="2576" max="2576" width="11.109375" style="295" customWidth="1"/>
    <col min="2577" max="2577" width="14" style="295" customWidth="1"/>
    <col min="2578" max="2578" width="33" style="295" customWidth="1"/>
    <col min="2579" max="2579" width="6.6640625" style="295" customWidth="1"/>
    <col min="2580" max="2580" width="19" style="295" customWidth="1"/>
    <col min="2581" max="2581" width="19.109375" style="295" customWidth="1"/>
    <col min="2582" max="2582" width="21.33203125" style="295" customWidth="1"/>
    <col min="2583" max="2583" width="32.5546875" style="295" customWidth="1"/>
    <col min="2584" max="2584" width="16.88671875" style="295" customWidth="1"/>
    <col min="2585" max="2585" width="16.33203125" style="295" customWidth="1"/>
    <col min="2586" max="2816" width="10.33203125" style="295"/>
    <col min="2817" max="2817" width="4.44140625" style="295" customWidth="1"/>
    <col min="2818" max="2818" width="21.6640625" style="295" customWidth="1"/>
    <col min="2819" max="2819" width="15" style="295" customWidth="1"/>
    <col min="2820" max="2820" width="15.44140625" style="295" customWidth="1"/>
    <col min="2821" max="2821" width="11.5546875" style="295" customWidth="1"/>
    <col min="2822" max="2822" width="7.44140625" style="295" customWidth="1"/>
    <col min="2823" max="2823" width="14.109375" style="295" customWidth="1"/>
    <col min="2824" max="2824" width="10.6640625" style="295" customWidth="1"/>
    <col min="2825" max="2825" width="13.44140625" style="295" customWidth="1"/>
    <col min="2826" max="2826" width="11.44140625" style="295" customWidth="1"/>
    <col min="2827" max="2827" width="15" style="295" customWidth="1"/>
    <col min="2828" max="2828" width="14.5546875" style="295" customWidth="1"/>
    <col min="2829" max="2829" width="10.33203125" style="295"/>
    <col min="2830" max="2830" width="7.44140625" style="295" customWidth="1"/>
    <col min="2831" max="2831" width="12.88671875" style="295" customWidth="1"/>
    <col min="2832" max="2832" width="11.109375" style="295" customWidth="1"/>
    <col min="2833" max="2833" width="14" style="295" customWidth="1"/>
    <col min="2834" max="2834" width="33" style="295" customWidth="1"/>
    <col min="2835" max="2835" width="6.6640625" style="295" customWidth="1"/>
    <col min="2836" max="2836" width="19" style="295" customWidth="1"/>
    <col min="2837" max="2837" width="19.109375" style="295" customWidth="1"/>
    <col min="2838" max="2838" width="21.33203125" style="295" customWidth="1"/>
    <col min="2839" max="2839" width="32.5546875" style="295" customWidth="1"/>
    <col min="2840" max="2840" width="16.88671875" style="295" customWidth="1"/>
    <col min="2841" max="2841" width="16.33203125" style="295" customWidth="1"/>
    <col min="2842" max="3072" width="10.33203125" style="295"/>
    <col min="3073" max="3073" width="4.44140625" style="295" customWidth="1"/>
    <col min="3074" max="3074" width="21.6640625" style="295" customWidth="1"/>
    <col min="3075" max="3075" width="15" style="295" customWidth="1"/>
    <col min="3076" max="3076" width="15.44140625" style="295" customWidth="1"/>
    <col min="3077" max="3077" width="11.5546875" style="295" customWidth="1"/>
    <col min="3078" max="3078" width="7.44140625" style="295" customWidth="1"/>
    <col min="3079" max="3079" width="14.109375" style="295" customWidth="1"/>
    <col min="3080" max="3080" width="10.6640625" style="295" customWidth="1"/>
    <col min="3081" max="3081" width="13.44140625" style="295" customWidth="1"/>
    <col min="3082" max="3082" width="11.44140625" style="295" customWidth="1"/>
    <col min="3083" max="3083" width="15" style="295" customWidth="1"/>
    <col min="3084" max="3084" width="14.5546875" style="295" customWidth="1"/>
    <col min="3085" max="3085" width="10.33203125" style="295"/>
    <col min="3086" max="3086" width="7.44140625" style="295" customWidth="1"/>
    <col min="3087" max="3087" width="12.88671875" style="295" customWidth="1"/>
    <col min="3088" max="3088" width="11.109375" style="295" customWidth="1"/>
    <col min="3089" max="3089" width="14" style="295" customWidth="1"/>
    <col min="3090" max="3090" width="33" style="295" customWidth="1"/>
    <col min="3091" max="3091" width="6.6640625" style="295" customWidth="1"/>
    <col min="3092" max="3092" width="19" style="295" customWidth="1"/>
    <col min="3093" max="3093" width="19.109375" style="295" customWidth="1"/>
    <col min="3094" max="3094" width="21.33203125" style="295" customWidth="1"/>
    <col min="3095" max="3095" width="32.5546875" style="295" customWidth="1"/>
    <col min="3096" max="3096" width="16.88671875" style="295" customWidth="1"/>
    <col min="3097" max="3097" width="16.33203125" style="295" customWidth="1"/>
    <col min="3098" max="3328" width="10.33203125" style="295"/>
    <col min="3329" max="3329" width="4.44140625" style="295" customWidth="1"/>
    <col min="3330" max="3330" width="21.6640625" style="295" customWidth="1"/>
    <col min="3331" max="3331" width="15" style="295" customWidth="1"/>
    <col min="3332" max="3332" width="15.44140625" style="295" customWidth="1"/>
    <col min="3333" max="3333" width="11.5546875" style="295" customWidth="1"/>
    <col min="3334" max="3334" width="7.44140625" style="295" customWidth="1"/>
    <col min="3335" max="3335" width="14.109375" style="295" customWidth="1"/>
    <col min="3336" max="3336" width="10.6640625" style="295" customWidth="1"/>
    <col min="3337" max="3337" width="13.44140625" style="295" customWidth="1"/>
    <col min="3338" max="3338" width="11.44140625" style="295" customWidth="1"/>
    <col min="3339" max="3339" width="15" style="295" customWidth="1"/>
    <col min="3340" max="3340" width="14.5546875" style="295" customWidth="1"/>
    <col min="3341" max="3341" width="10.33203125" style="295"/>
    <col min="3342" max="3342" width="7.44140625" style="295" customWidth="1"/>
    <col min="3343" max="3343" width="12.88671875" style="295" customWidth="1"/>
    <col min="3344" max="3344" width="11.109375" style="295" customWidth="1"/>
    <col min="3345" max="3345" width="14" style="295" customWidth="1"/>
    <col min="3346" max="3346" width="33" style="295" customWidth="1"/>
    <col min="3347" max="3347" width="6.6640625" style="295" customWidth="1"/>
    <col min="3348" max="3348" width="19" style="295" customWidth="1"/>
    <col min="3349" max="3349" width="19.109375" style="295" customWidth="1"/>
    <col min="3350" max="3350" width="21.33203125" style="295" customWidth="1"/>
    <col min="3351" max="3351" width="32.5546875" style="295" customWidth="1"/>
    <col min="3352" max="3352" width="16.88671875" style="295" customWidth="1"/>
    <col min="3353" max="3353" width="16.33203125" style="295" customWidth="1"/>
    <col min="3354" max="3584" width="10.33203125" style="295"/>
    <col min="3585" max="3585" width="4.44140625" style="295" customWidth="1"/>
    <col min="3586" max="3586" width="21.6640625" style="295" customWidth="1"/>
    <col min="3587" max="3587" width="15" style="295" customWidth="1"/>
    <col min="3588" max="3588" width="15.44140625" style="295" customWidth="1"/>
    <col min="3589" max="3589" width="11.5546875" style="295" customWidth="1"/>
    <col min="3590" max="3590" width="7.44140625" style="295" customWidth="1"/>
    <col min="3591" max="3591" width="14.109375" style="295" customWidth="1"/>
    <col min="3592" max="3592" width="10.6640625" style="295" customWidth="1"/>
    <col min="3593" max="3593" width="13.44140625" style="295" customWidth="1"/>
    <col min="3594" max="3594" width="11.44140625" style="295" customWidth="1"/>
    <col min="3595" max="3595" width="15" style="295" customWidth="1"/>
    <col min="3596" max="3596" width="14.5546875" style="295" customWidth="1"/>
    <col min="3597" max="3597" width="10.33203125" style="295"/>
    <col min="3598" max="3598" width="7.44140625" style="295" customWidth="1"/>
    <col min="3599" max="3599" width="12.88671875" style="295" customWidth="1"/>
    <col min="3600" max="3600" width="11.109375" style="295" customWidth="1"/>
    <col min="3601" max="3601" width="14" style="295" customWidth="1"/>
    <col min="3602" max="3602" width="33" style="295" customWidth="1"/>
    <col min="3603" max="3603" width="6.6640625" style="295" customWidth="1"/>
    <col min="3604" max="3604" width="19" style="295" customWidth="1"/>
    <col min="3605" max="3605" width="19.109375" style="295" customWidth="1"/>
    <col min="3606" max="3606" width="21.33203125" style="295" customWidth="1"/>
    <col min="3607" max="3607" width="32.5546875" style="295" customWidth="1"/>
    <col min="3608" max="3608" width="16.88671875" style="295" customWidth="1"/>
    <col min="3609" max="3609" width="16.33203125" style="295" customWidth="1"/>
    <col min="3610" max="3840" width="10.33203125" style="295"/>
    <col min="3841" max="3841" width="4.44140625" style="295" customWidth="1"/>
    <col min="3842" max="3842" width="21.6640625" style="295" customWidth="1"/>
    <col min="3843" max="3843" width="15" style="295" customWidth="1"/>
    <col min="3844" max="3844" width="15.44140625" style="295" customWidth="1"/>
    <col min="3845" max="3845" width="11.5546875" style="295" customWidth="1"/>
    <col min="3846" max="3846" width="7.44140625" style="295" customWidth="1"/>
    <col min="3847" max="3847" width="14.109375" style="295" customWidth="1"/>
    <col min="3848" max="3848" width="10.6640625" style="295" customWidth="1"/>
    <col min="3849" max="3849" width="13.44140625" style="295" customWidth="1"/>
    <col min="3850" max="3850" width="11.44140625" style="295" customWidth="1"/>
    <col min="3851" max="3851" width="15" style="295" customWidth="1"/>
    <col min="3852" max="3852" width="14.5546875" style="295" customWidth="1"/>
    <col min="3853" max="3853" width="10.33203125" style="295"/>
    <col min="3854" max="3854" width="7.44140625" style="295" customWidth="1"/>
    <col min="3855" max="3855" width="12.88671875" style="295" customWidth="1"/>
    <col min="3856" max="3856" width="11.109375" style="295" customWidth="1"/>
    <col min="3857" max="3857" width="14" style="295" customWidth="1"/>
    <col min="3858" max="3858" width="33" style="295" customWidth="1"/>
    <col min="3859" max="3859" width="6.6640625" style="295" customWidth="1"/>
    <col min="3860" max="3860" width="19" style="295" customWidth="1"/>
    <col min="3861" max="3861" width="19.109375" style="295" customWidth="1"/>
    <col min="3862" max="3862" width="21.33203125" style="295" customWidth="1"/>
    <col min="3863" max="3863" width="32.5546875" style="295" customWidth="1"/>
    <col min="3864" max="3864" width="16.88671875" style="295" customWidth="1"/>
    <col min="3865" max="3865" width="16.33203125" style="295" customWidth="1"/>
    <col min="3866" max="4096" width="10.33203125" style="295"/>
    <col min="4097" max="4097" width="4.44140625" style="295" customWidth="1"/>
    <col min="4098" max="4098" width="21.6640625" style="295" customWidth="1"/>
    <col min="4099" max="4099" width="15" style="295" customWidth="1"/>
    <col min="4100" max="4100" width="15.44140625" style="295" customWidth="1"/>
    <col min="4101" max="4101" width="11.5546875" style="295" customWidth="1"/>
    <col min="4102" max="4102" width="7.44140625" style="295" customWidth="1"/>
    <col min="4103" max="4103" width="14.109375" style="295" customWidth="1"/>
    <col min="4104" max="4104" width="10.6640625" style="295" customWidth="1"/>
    <col min="4105" max="4105" width="13.44140625" style="295" customWidth="1"/>
    <col min="4106" max="4106" width="11.44140625" style="295" customWidth="1"/>
    <col min="4107" max="4107" width="15" style="295" customWidth="1"/>
    <col min="4108" max="4108" width="14.5546875" style="295" customWidth="1"/>
    <col min="4109" max="4109" width="10.33203125" style="295"/>
    <col min="4110" max="4110" width="7.44140625" style="295" customWidth="1"/>
    <col min="4111" max="4111" width="12.88671875" style="295" customWidth="1"/>
    <col min="4112" max="4112" width="11.109375" style="295" customWidth="1"/>
    <col min="4113" max="4113" width="14" style="295" customWidth="1"/>
    <col min="4114" max="4114" width="33" style="295" customWidth="1"/>
    <col min="4115" max="4115" width="6.6640625" style="295" customWidth="1"/>
    <col min="4116" max="4116" width="19" style="295" customWidth="1"/>
    <col min="4117" max="4117" width="19.109375" style="295" customWidth="1"/>
    <col min="4118" max="4118" width="21.33203125" style="295" customWidth="1"/>
    <col min="4119" max="4119" width="32.5546875" style="295" customWidth="1"/>
    <col min="4120" max="4120" width="16.88671875" style="295" customWidth="1"/>
    <col min="4121" max="4121" width="16.33203125" style="295" customWidth="1"/>
    <col min="4122" max="4352" width="10.33203125" style="295"/>
    <col min="4353" max="4353" width="4.44140625" style="295" customWidth="1"/>
    <col min="4354" max="4354" width="21.6640625" style="295" customWidth="1"/>
    <col min="4355" max="4355" width="15" style="295" customWidth="1"/>
    <col min="4356" max="4356" width="15.44140625" style="295" customWidth="1"/>
    <col min="4357" max="4357" width="11.5546875" style="295" customWidth="1"/>
    <col min="4358" max="4358" width="7.44140625" style="295" customWidth="1"/>
    <col min="4359" max="4359" width="14.109375" style="295" customWidth="1"/>
    <col min="4360" max="4360" width="10.6640625" style="295" customWidth="1"/>
    <col min="4361" max="4361" width="13.44140625" style="295" customWidth="1"/>
    <col min="4362" max="4362" width="11.44140625" style="295" customWidth="1"/>
    <col min="4363" max="4363" width="15" style="295" customWidth="1"/>
    <col min="4364" max="4364" width="14.5546875" style="295" customWidth="1"/>
    <col min="4365" max="4365" width="10.33203125" style="295"/>
    <col min="4366" max="4366" width="7.44140625" style="295" customWidth="1"/>
    <col min="4367" max="4367" width="12.88671875" style="295" customWidth="1"/>
    <col min="4368" max="4368" width="11.109375" style="295" customWidth="1"/>
    <col min="4369" max="4369" width="14" style="295" customWidth="1"/>
    <col min="4370" max="4370" width="33" style="295" customWidth="1"/>
    <col min="4371" max="4371" width="6.6640625" style="295" customWidth="1"/>
    <col min="4372" max="4372" width="19" style="295" customWidth="1"/>
    <col min="4373" max="4373" width="19.109375" style="295" customWidth="1"/>
    <col min="4374" max="4374" width="21.33203125" style="295" customWidth="1"/>
    <col min="4375" max="4375" width="32.5546875" style="295" customWidth="1"/>
    <col min="4376" max="4376" width="16.88671875" style="295" customWidth="1"/>
    <col min="4377" max="4377" width="16.33203125" style="295" customWidth="1"/>
    <col min="4378" max="4608" width="10.33203125" style="295"/>
    <col min="4609" max="4609" width="4.44140625" style="295" customWidth="1"/>
    <col min="4610" max="4610" width="21.6640625" style="295" customWidth="1"/>
    <col min="4611" max="4611" width="15" style="295" customWidth="1"/>
    <col min="4612" max="4612" width="15.44140625" style="295" customWidth="1"/>
    <col min="4613" max="4613" width="11.5546875" style="295" customWidth="1"/>
    <col min="4614" max="4614" width="7.44140625" style="295" customWidth="1"/>
    <col min="4615" max="4615" width="14.109375" style="295" customWidth="1"/>
    <col min="4616" max="4616" width="10.6640625" style="295" customWidth="1"/>
    <col min="4617" max="4617" width="13.44140625" style="295" customWidth="1"/>
    <col min="4618" max="4618" width="11.44140625" style="295" customWidth="1"/>
    <col min="4619" max="4619" width="15" style="295" customWidth="1"/>
    <col min="4620" max="4620" width="14.5546875" style="295" customWidth="1"/>
    <col min="4621" max="4621" width="10.33203125" style="295"/>
    <col min="4622" max="4622" width="7.44140625" style="295" customWidth="1"/>
    <col min="4623" max="4623" width="12.88671875" style="295" customWidth="1"/>
    <col min="4624" max="4624" width="11.109375" style="295" customWidth="1"/>
    <col min="4625" max="4625" width="14" style="295" customWidth="1"/>
    <col min="4626" max="4626" width="33" style="295" customWidth="1"/>
    <col min="4627" max="4627" width="6.6640625" style="295" customWidth="1"/>
    <col min="4628" max="4628" width="19" style="295" customWidth="1"/>
    <col min="4629" max="4629" width="19.109375" style="295" customWidth="1"/>
    <col min="4630" max="4630" width="21.33203125" style="295" customWidth="1"/>
    <col min="4631" max="4631" width="32.5546875" style="295" customWidth="1"/>
    <col min="4632" max="4632" width="16.88671875" style="295" customWidth="1"/>
    <col min="4633" max="4633" width="16.33203125" style="295" customWidth="1"/>
    <col min="4634" max="4864" width="10.33203125" style="295"/>
    <col min="4865" max="4865" width="4.44140625" style="295" customWidth="1"/>
    <col min="4866" max="4866" width="21.6640625" style="295" customWidth="1"/>
    <col min="4867" max="4867" width="15" style="295" customWidth="1"/>
    <col min="4868" max="4868" width="15.44140625" style="295" customWidth="1"/>
    <col min="4869" max="4869" width="11.5546875" style="295" customWidth="1"/>
    <col min="4870" max="4870" width="7.44140625" style="295" customWidth="1"/>
    <col min="4871" max="4871" width="14.109375" style="295" customWidth="1"/>
    <col min="4872" max="4872" width="10.6640625" style="295" customWidth="1"/>
    <col min="4873" max="4873" width="13.44140625" style="295" customWidth="1"/>
    <col min="4874" max="4874" width="11.44140625" style="295" customWidth="1"/>
    <col min="4875" max="4875" width="15" style="295" customWidth="1"/>
    <col min="4876" max="4876" width="14.5546875" style="295" customWidth="1"/>
    <col min="4877" max="4877" width="10.33203125" style="295"/>
    <col min="4878" max="4878" width="7.44140625" style="295" customWidth="1"/>
    <col min="4879" max="4879" width="12.88671875" style="295" customWidth="1"/>
    <col min="4880" max="4880" width="11.109375" style="295" customWidth="1"/>
    <col min="4881" max="4881" width="14" style="295" customWidth="1"/>
    <col min="4882" max="4882" width="33" style="295" customWidth="1"/>
    <col min="4883" max="4883" width="6.6640625" style="295" customWidth="1"/>
    <col min="4884" max="4884" width="19" style="295" customWidth="1"/>
    <col min="4885" max="4885" width="19.109375" style="295" customWidth="1"/>
    <col min="4886" max="4886" width="21.33203125" style="295" customWidth="1"/>
    <col min="4887" max="4887" width="32.5546875" style="295" customWidth="1"/>
    <col min="4888" max="4888" width="16.88671875" style="295" customWidth="1"/>
    <col min="4889" max="4889" width="16.33203125" style="295" customWidth="1"/>
    <col min="4890" max="5120" width="10.33203125" style="295"/>
    <col min="5121" max="5121" width="4.44140625" style="295" customWidth="1"/>
    <col min="5122" max="5122" width="21.6640625" style="295" customWidth="1"/>
    <col min="5123" max="5123" width="15" style="295" customWidth="1"/>
    <col min="5124" max="5124" width="15.44140625" style="295" customWidth="1"/>
    <col min="5125" max="5125" width="11.5546875" style="295" customWidth="1"/>
    <col min="5126" max="5126" width="7.44140625" style="295" customWidth="1"/>
    <col min="5127" max="5127" width="14.109375" style="295" customWidth="1"/>
    <col min="5128" max="5128" width="10.6640625" style="295" customWidth="1"/>
    <col min="5129" max="5129" width="13.44140625" style="295" customWidth="1"/>
    <col min="5130" max="5130" width="11.44140625" style="295" customWidth="1"/>
    <col min="5131" max="5131" width="15" style="295" customWidth="1"/>
    <col min="5132" max="5132" width="14.5546875" style="295" customWidth="1"/>
    <col min="5133" max="5133" width="10.33203125" style="295"/>
    <col min="5134" max="5134" width="7.44140625" style="295" customWidth="1"/>
    <col min="5135" max="5135" width="12.88671875" style="295" customWidth="1"/>
    <col min="5136" max="5136" width="11.109375" style="295" customWidth="1"/>
    <col min="5137" max="5137" width="14" style="295" customWidth="1"/>
    <col min="5138" max="5138" width="33" style="295" customWidth="1"/>
    <col min="5139" max="5139" width="6.6640625" style="295" customWidth="1"/>
    <col min="5140" max="5140" width="19" style="295" customWidth="1"/>
    <col min="5141" max="5141" width="19.109375" style="295" customWidth="1"/>
    <col min="5142" max="5142" width="21.33203125" style="295" customWidth="1"/>
    <col min="5143" max="5143" width="32.5546875" style="295" customWidth="1"/>
    <col min="5144" max="5144" width="16.88671875" style="295" customWidth="1"/>
    <col min="5145" max="5145" width="16.33203125" style="295" customWidth="1"/>
    <col min="5146" max="5376" width="10.33203125" style="295"/>
    <col min="5377" max="5377" width="4.44140625" style="295" customWidth="1"/>
    <col min="5378" max="5378" width="21.6640625" style="295" customWidth="1"/>
    <col min="5379" max="5379" width="15" style="295" customWidth="1"/>
    <col min="5380" max="5380" width="15.44140625" style="295" customWidth="1"/>
    <col min="5381" max="5381" width="11.5546875" style="295" customWidth="1"/>
    <col min="5382" max="5382" width="7.44140625" style="295" customWidth="1"/>
    <col min="5383" max="5383" width="14.109375" style="295" customWidth="1"/>
    <col min="5384" max="5384" width="10.6640625" style="295" customWidth="1"/>
    <col min="5385" max="5385" width="13.44140625" style="295" customWidth="1"/>
    <col min="5386" max="5386" width="11.44140625" style="295" customWidth="1"/>
    <col min="5387" max="5387" width="15" style="295" customWidth="1"/>
    <col min="5388" max="5388" width="14.5546875" style="295" customWidth="1"/>
    <col min="5389" max="5389" width="10.33203125" style="295"/>
    <col min="5390" max="5390" width="7.44140625" style="295" customWidth="1"/>
    <col min="5391" max="5391" width="12.88671875" style="295" customWidth="1"/>
    <col min="5392" max="5392" width="11.109375" style="295" customWidth="1"/>
    <col min="5393" max="5393" width="14" style="295" customWidth="1"/>
    <col min="5394" max="5394" width="33" style="295" customWidth="1"/>
    <col min="5395" max="5395" width="6.6640625" style="295" customWidth="1"/>
    <col min="5396" max="5396" width="19" style="295" customWidth="1"/>
    <col min="5397" max="5397" width="19.109375" style="295" customWidth="1"/>
    <col min="5398" max="5398" width="21.33203125" style="295" customWidth="1"/>
    <col min="5399" max="5399" width="32.5546875" style="295" customWidth="1"/>
    <col min="5400" max="5400" width="16.88671875" style="295" customWidth="1"/>
    <col min="5401" max="5401" width="16.33203125" style="295" customWidth="1"/>
    <col min="5402" max="5632" width="10.33203125" style="295"/>
    <col min="5633" max="5633" width="4.44140625" style="295" customWidth="1"/>
    <col min="5634" max="5634" width="21.6640625" style="295" customWidth="1"/>
    <col min="5635" max="5635" width="15" style="295" customWidth="1"/>
    <col min="5636" max="5636" width="15.44140625" style="295" customWidth="1"/>
    <col min="5637" max="5637" width="11.5546875" style="295" customWidth="1"/>
    <col min="5638" max="5638" width="7.44140625" style="295" customWidth="1"/>
    <col min="5639" max="5639" width="14.109375" style="295" customWidth="1"/>
    <col min="5640" max="5640" width="10.6640625" style="295" customWidth="1"/>
    <col min="5641" max="5641" width="13.44140625" style="295" customWidth="1"/>
    <col min="5642" max="5642" width="11.44140625" style="295" customWidth="1"/>
    <col min="5643" max="5643" width="15" style="295" customWidth="1"/>
    <col min="5644" max="5644" width="14.5546875" style="295" customWidth="1"/>
    <col min="5645" max="5645" width="10.33203125" style="295"/>
    <col min="5646" max="5646" width="7.44140625" style="295" customWidth="1"/>
    <col min="5647" max="5647" width="12.88671875" style="295" customWidth="1"/>
    <col min="5648" max="5648" width="11.109375" style="295" customWidth="1"/>
    <col min="5649" max="5649" width="14" style="295" customWidth="1"/>
    <col min="5650" max="5650" width="33" style="295" customWidth="1"/>
    <col min="5651" max="5651" width="6.6640625" style="295" customWidth="1"/>
    <col min="5652" max="5652" width="19" style="295" customWidth="1"/>
    <col min="5653" max="5653" width="19.109375" style="295" customWidth="1"/>
    <col min="5654" max="5654" width="21.33203125" style="295" customWidth="1"/>
    <col min="5655" max="5655" width="32.5546875" style="295" customWidth="1"/>
    <col min="5656" max="5656" width="16.88671875" style="295" customWidth="1"/>
    <col min="5657" max="5657" width="16.33203125" style="295" customWidth="1"/>
    <col min="5658" max="5888" width="10.33203125" style="295"/>
    <col min="5889" max="5889" width="4.44140625" style="295" customWidth="1"/>
    <col min="5890" max="5890" width="21.6640625" style="295" customWidth="1"/>
    <col min="5891" max="5891" width="15" style="295" customWidth="1"/>
    <col min="5892" max="5892" width="15.44140625" style="295" customWidth="1"/>
    <col min="5893" max="5893" width="11.5546875" style="295" customWidth="1"/>
    <col min="5894" max="5894" width="7.44140625" style="295" customWidth="1"/>
    <col min="5895" max="5895" width="14.109375" style="295" customWidth="1"/>
    <col min="5896" max="5896" width="10.6640625" style="295" customWidth="1"/>
    <col min="5897" max="5897" width="13.44140625" style="295" customWidth="1"/>
    <col min="5898" max="5898" width="11.44140625" style="295" customWidth="1"/>
    <col min="5899" max="5899" width="15" style="295" customWidth="1"/>
    <col min="5900" max="5900" width="14.5546875" style="295" customWidth="1"/>
    <col min="5901" max="5901" width="10.33203125" style="295"/>
    <col min="5902" max="5902" width="7.44140625" style="295" customWidth="1"/>
    <col min="5903" max="5903" width="12.88671875" style="295" customWidth="1"/>
    <col min="5904" max="5904" width="11.109375" style="295" customWidth="1"/>
    <col min="5905" max="5905" width="14" style="295" customWidth="1"/>
    <col min="5906" max="5906" width="33" style="295" customWidth="1"/>
    <col min="5907" max="5907" width="6.6640625" style="295" customWidth="1"/>
    <col min="5908" max="5908" width="19" style="295" customWidth="1"/>
    <col min="5909" max="5909" width="19.109375" style="295" customWidth="1"/>
    <col min="5910" max="5910" width="21.33203125" style="295" customWidth="1"/>
    <col min="5911" max="5911" width="32.5546875" style="295" customWidth="1"/>
    <col min="5912" max="5912" width="16.88671875" style="295" customWidth="1"/>
    <col min="5913" max="5913" width="16.33203125" style="295" customWidth="1"/>
    <col min="5914" max="6144" width="10.33203125" style="295"/>
    <col min="6145" max="6145" width="4.44140625" style="295" customWidth="1"/>
    <col min="6146" max="6146" width="21.6640625" style="295" customWidth="1"/>
    <col min="6147" max="6147" width="15" style="295" customWidth="1"/>
    <col min="6148" max="6148" width="15.44140625" style="295" customWidth="1"/>
    <col min="6149" max="6149" width="11.5546875" style="295" customWidth="1"/>
    <col min="6150" max="6150" width="7.44140625" style="295" customWidth="1"/>
    <col min="6151" max="6151" width="14.109375" style="295" customWidth="1"/>
    <col min="6152" max="6152" width="10.6640625" style="295" customWidth="1"/>
    <col min="6153" max="6153" width="13.44140625" style="295" customWidth="1"/>
    <col min="6154" max="6154" width="11.44140625" style="295" customWidth="1"/>
    <col min="6155" max="6155" width="15" style="295" customWidth="1"/>
    <col min="6156" max="6156" width="14.5546875" style="295" customWidth="1"/>
    <col min="6157" max="6157" width="10.33203125" style="295"/>
    <col min="6158" max="6158" width="7.44140625" style="295" customWidth="1"/>
    <col min="6159" max="6159" width="12.88671875" style="295" customWidth="1"/>
    <col min="6160" max="6160" width="11.109375" style="295" customWidth="1"/>
    <col min="6161" max="6161" width="14" style="295" customWidth="1"/>
    <col min="6162" max="6162" width="33" style="295" customWidth="1"/>
    <col min="6163" max="6163" width="6.6640625" style="295" customWidth="1"/>
    <col min="6164" max="6164" width="19" style="295" customWidth="1"/>
    <col min="6165" max="6165" width="19.109375" style="295" customWidth="1"/>
    <col min="6166" max="6166" width="21.33203125" style="295" customWidth="1"/>
    <col min="6167" max="6167" width="32.5546875" style="295" customWidth="1"/>
    <col min="6168" max="6168" width="16.88671875" style="295" customWidth="1"/>
    <col min="6169" max="6169" width="16.33203125" style="295" customWidth="1"/>
    <col min="6170" max="6400" width="10.33203125" style="295"/>
    <col min="6401" max="6401" width="4.44140625" style="295" customWidth="1"/>
    <col min="6402" max="6402" width="21.6640625" style="295" customWidth="1"/>
    <col min="6403" max="6403" width="15" style="295" customWidth="1"/>
    <col min="6404" max="6404" width="15.44140625" style="295" customWidth="1"/>
    <col min="6405" max="6405" width="11.5546875" style="295" customWidth="1"/>
    <col min="6406" max="6406" width="7.44140625" style="295" customWidth="1"/>
    <col min="6407" max="6407" width="14.109375" style="295" customWidth="1"/>
    <col min="6408" max="6408" width="10.6640625" style="295" customWidth="1"/>
    <col min="6409" max="6409" width="13.44140625" style="295" customWidth="1"/>
    <col min="6410" max="6410" width="11.44140625" style="295" customWidth="1"/>
    <col min="6411" max="6411" width="15" style="295" customWidth="1"/>
    <col min="6412" max="6412" width="14.5546875" style="295" customWidth="1"/>
    <col min="6413" max="6413" width="10.33203125" style="295"/>
    <col min="6414" max="6414" width="7.44140625" style="295" customWidth="1"/>
    <col min="6415" max="6415" width="12.88671875" style="295" customWidth="1"/>
    <col min="6416" max="6416" width="11.109375" style="295" customWidth="1"/>
    <col min="6417" max="6417" width="14" style="295" customWidth="1"/>
    <col min="6418" max="6418" width="33" style="295" customWidth="1"/>
    <col min="6419" max="6419" width="6.6640625" style="295" customWidth="1"/>
    <col min="6420" max="6420" width="19" style="295" customWidth="1"/>
    <col min="6421" max="6421" width="19.109375" style="295" customWidth="1"/>
    <col min="6422" max="6422" width="21.33203125" style="295" customWidth="1"/>
    <col min="6423" max="6423" width="32.5546875" style="295" customWidth="1"/>
    <col min="6424" max="6424" width="16.88671875" style="295" customWidth="1"/>
    <col min="6425" max="6425" width="16.33203125" style="295" customWidth="1"/>
    <col min="6426" max="6656" width="10.33203125" style="295"/>
    <col min="6657" max="6657" width="4.44140625" style="295" customWidth="1"/>
    <col min="6658" max="6658" width="21.6640625" style="295" customWidth="1"/>
    <col min="6659" max="6659" width="15" style="295" customWidth="1"/>
    <col min="6660" max="6660" width="15.44140625" style="295" customWidth="1"/>
    <col min="6661" max="6661" width="11.5546875" style="295" customWidth="1"/>
    <col min="6662" max="6662" width="7.44140625" style="295" customWidth="1"/>
    <col min="6663" max="6663" width="14.109375" style="295" customWidth="1"/>
    <col min="6664" max="6664" width="10.6640625" style="295" customWidth="1"/>
    <col min="6665" max="6665" width="13.44140625" style="295" customWidth="1"/>
    <col min="6666" max="6666" width="11.44140625" style="295" customWidth="1"/>
    <col min="6667" max="6667" width="15" style="295" customWidth="1"/>
    <col min="6668" max="6668" width="14.5546875" style="295" customWidth="1"/>
    <col min="6669" max="6669" width="10.33203125" style="295"/>
    <col min="6670" max="6670" width="7.44140625" style="295" customWidth="1"/>
    <col min="6671" max="6671" width="12.88671875" style="295" customWidth="1"/>
    <col min="6672" max="6672" width="11.109375" style="295" customWidth="1"/>
    <col min="6673" max="6673" width="14" style="295" customWidth="1"/>
    <col min="6674" max="6674" width="33" style="295" customWidth="1"/>
    <col min="6675" max="6675" width="6.6640625" style="295" customWidth="1"/>
    <col min="6676" max="6676" width="19" style="295" customWidth="1"/>
    <col min="6677" max="6677" width="19.109375" style="295" customWidth="1"/>
    <col min="6678" max="6678" width="21.33203125" style="295" customWidth="1"/>
    <col min="6679" max="6679" width="32.5546875" style="295" customWidth="1"/>
    <col min="6680" max="6680" width="16.88671875" style="295" customWidth="1"/>
    <col min="6681" max="6681" width="16.33203125" style="295" customWidth="1"/>
    <col min="6682" max="6912" width="10.33203125" style="295"/>
    <col min="6913" max="6913" width="4.44140625" style="295" customWidth="1"/>
    <col min="6914" max="6914" width="21.6640625" style="295" customWidth="1"/>
    <col min="6915" max="6915" width="15" style="295" customWidth="1"/>
    <col min="6916" max="6916" width="15.44140625" style="295" customWidth="1"/>
    <col min="6917" max="6917" width="11.5546875" style="295" customWidth="1"/>
    <col min="6918" max="6918" width="7.44140625" style="295" customWidth="1"/>
    <col min="6919" max="6919" width="14.109375" style="295" customWidth="1"/>
    <col min="6920" max="6920" width="10.6640625" style="295" customWidth="1"/>
    <col min="6921" max="6921" width="13.44140625" style="295" customWidth="1"/>
    <col min="6922" max="6922" width="11.44140625" style="295" customWidth="1"/>
    <col min="6923" max="6923" width="15" style="295" customWidth="1"/>
    <col min="6924" max="6924" width="14.5546875" style="295" customWidth="1"/>
    <col min="6925" max="6925" width="10.33203125" style="295"/>
    <col min="6926" max="6926" width="7.44140625" style="295" customWidth="1"/>
    <col min="6927" max="6927" width="12.88671875" style="295" customWidth="1"/>
    <col min="6928" max="6928" width="11.109375" style="295" customWidth="1"/>
    <col min="6929" max="6929" width="14" style="295" customWidth="1"/>
    <col min="6930" max="6930" width="33" style="295" customWidth="1"/>
    <col min="6931" max="6931" width="6.6640625" style="295" customWidth="1"/>
    <col min="6932" max="6932" width="19" style="295" customWidth="1"/>
    <col min="6933" max="6933" width="19.109375" style="295" customWidth="1"/>
    <col min="6934" max="6934" width="21.33203125" style="295" customWidth="1"/>
    <col min="6935" max="6935" width="32.5546875" style="295" customWidth="1"/>
    <col min="6936" max="6936" width="16.88671875" style="295" customWidth="1"/>
    <col min="6937" max="6937" width="16.33203125" style="295" customWidth="1"/>
    <col min="6938" max="7168" width="10.33203125" style="295"/>
    <col min="7169" max="7169" width="4.44140625" style="295" customWidth="1"/>
    <col min="7170" max="7170" width="21.6640625" style="295" customWidth="1"/>
    <col min="7171" max="7171" width="15" style="295" customWidth="1"/>
    <col min="7172" max="7172" width="15.44140625" style="295" customWidth="1"/>
    <col min="7173" max="7173" width="11.5546875" style="295" customWidth="1"/>
    <col min="7174" max="7174" width="7.44140625" style="295" customWidth="1"/>
    <col min="7175" max="7175" width="14.109375" style="295" customWidth="1"/>
    <col min="7176" max="7176" width="10.6640625" style="295" customWidth="1"/>
    <col min="7177" max="7177" width="13.44140625" style="295" customWidth="1"/>
    <col min="7178" max="7178" width="11.44140625" style="295" customWidth="1"/>
    <col min="7179" max="7179" width="15" style="295" customWidth="1"/>
    <col min="7180" max="7180" width="14.5546875" style="295" customWidth="1"/>
    <col min="7181" max="7181" width="10.33203125" style="295"/>
    <col min="7182" max="7182" width="7.44140625" style="295" customWidth="1"/>
    <col min="7183" max="7183" width="12.88671875" style="295" customWidth="1"/>
    <col min="7184" max="7184" width="11.109375" style="295" customWidth="1"/>
    <col min="7185" max="7185" width="14" style="295" customWidth="1"/>
    <col min="7186" max="7186" width="33" style="295" customWidth="1"/>
    <col min="7187" max="7187" width="6.6640625" style="295" customWidth="1"/>
    <col min="7188" max="7188" width="19" style="295" customWidth="1"/>
    <col min="7189" max="7189" width="19.109375" style="295" customWidth="1"/>
    <col min="7190" max="7190" width="21.33203125" style="295" customWidth="1"/>
    <col min="7191" max="7191" width="32.5546875" style="295" customWidth="1"/>
    <col min="7192" max="7192" width="16.88671875" style="295" customWidth="1"/>
    <col min="7193" max="7193" width="16.33203125" style="295" customWidth="1"/>
    <col min="7194" max="7424" width="10.33203125" style="295"/>
    <col min="7425" max="7425" width="4.44140625" style="295" customWidth="1"/>
    <col min="7426" max="7426" width="21.6640625" style="295" customWidth="1"/>
    <col min="7427" max="7427" width="15" style="295" customWidth="1"/>
    <col min="7428" max="7428" width="15.44140625" style="295" customWidth="1"/>
    <col min="7429" max="7429" width="11.5546875" style="295" customWidth="1"/>
    <col min="7430" max="7430" width="7.44140625" style="295" customWidth="1"/>
    <col min="7431" max="7431" width="14.109375" style="295" customWidth="1"/>
    <col min="7432" max="7432" width="10.6640625" style="295" customWidth="1"/>
    <col min="7433" max="7433" width="13.44140625" style="295" customWidth="1"/>
    <col min="7434" max="7434" width="11.44140625" style="295" customWidth="1"/>
    <col min="7435" max="7435" width="15" style="295" customWidth="1"/>
    <col min="7436" max="7436" width="14.5546875" style="295" customWidth="1"/>
    <col min="7437" max="7437" width="10.33203125" style="295"/>
    <col min="7438" max="7438" width="7.44140625" style="295" customWidth="1"/>
    <col min="7439" max="7439" width="12.88671875" style="295" customWidth="1"/>
    <col min="7440" max="7440" width="11.109375" style="295" customWidth="1"/>
    <col min="7441" max="7441" width="14" style="295" customWidth="1"/>
    <col min="7442" max="7442" width="33" style="295" customWidth="1"/>
    <col min="7443" max="7443" width="6.6640625" style="295" customWidth="1"/>
    <col min="7444" max="7444" width="19" style="295" customWidth="1"/>
    <col min="7445" max="7445" width="19.109375" style="295" customWidth="1"/>
    <col min="7446" max="7446" width="21.33203125" style="295" customWidth="1"/>
    <col min="7447" max="7447" width="32.5546875" style="295" customWidth="1"/>
    <col min="7448" max="7448" width="16.88671875" style="295" customWidth="1"/>
    <col min="7449" max="7449" width="16.33203125" style="295" customWidth="1"/>
    <col min="7450" max="7680" width="10.33203125" style="295"/>
    <col min="7681" max="7681" width="4.44140625" style="295" customWidth="1"/>
    <col min="7682" max="7682" width="21.6640625" style="295" customWidth="1"/>
    <col min="7683" max="7683" width="15" style="295" customWidth="1"/>
    <col min="7684" max="7684" width="15.44140625" style="295" customWidth="1"/>
    <col min="7685" max="7685" width="11.5546875" style="295" customWidth="1"/>
    <col min="7686" max="7686" width="7.44140625" style="295" customWidth="1"/>
    <col min="7687" max="7687" width="14.109375" style="295" customWidth="1"/>
    <col min="7688" max="7688" width="10.6640625" style="295" customWidth="1"/>
    <col min="7689" max="7689" width="13.44140625" style="295" customWidth="1"/>
    <col min="7690" max="7690" width="11.44140625" style="295" customWidth="1"/>
    <col min="7691" max="7691" width="15" style="295" customWidth="1"/>
    <col min="7692" max="7692" width="14.5546875" style="295" customWidth="1"/>
    <col min="7693" max="7693" width="10.33203125" style="295"/>
    <col min="7694" max="7694" width="7.44140625" style="295" customWidth="1"/>
    <col min="7695" max="7695" width="12.88671875" style="295" customWidth="1"/>
    <col min="7696" max="7696" width="11.109375" style="295" customWidth="1"/>
    <col min="7697" max="7697" width="14" style="295" customWidth="1"/>
    <col min="7698" max="7698" width="33" style="295" customWidth="1"/>
    <col min="7699" max="7699" width="6.6640625" style="295" customWidth="1"/>
    <col min="7700" max="7700" width="19" style="295" customWidth="1"/>
    <col min="7701" max="7701" width="19.109375" style="295" customWidth="1"/>
    <col min="7702" max="7702" width="21.33203125" style="295" customWidth="1"/>
    <col min="7703" max="7703" width="32.5546875" style="295" customWidth="1"/>
    <col min="7704" max="7704" width="16.88671875" style="295" customWidth="1"/>
    <col min="7705" max="7705" width="16.33203125" style="295" customWidth="1"/>
    <col min="7706" max="7936" width="10.33203125" style="295"/>
    <col min="7937" max="7937" width="4.44140625" style="295" customWidth="1"/>
    <col min="7938" max="7938" width="21.6640625" style="295" customWidth="1"/>
    <col min="7939" max="7939" width="15" style="295" customWidth="1"/>
    <col min="7940" max="7940" width="15.44140625" style="295" customWidth="1"/>
    <col min="7941" max="7941" width="11.5546875" style="295" customWidth="1"/>
    <col min="7942" max="7942" width="7.44140625" style="295" customWidth="1"/>
    <col min="7943" max="7943" width="14.109375" style="295" customWidth="1"/>
    <col min="7944" max="7944" width="10.6640625" style="295" customWidth="1"/>
    <col min="7945" max="7945" width="13.44140625" style="295" customWidth="1"/>
    <col min="7946" max="7946" width="11.44140625" style="295" customWidth="1"/>
    <col min="7947" max="7947" width="15" style="295" customWidth="1"/>
    <col min="7948" max="7948" width="14.5546875" style="295" customWidth="1"/>
    <col min="7949" max="7949" width="10.33203125" style="295"/>
    <col min="7950" max="7950" width="7.44140625" style="295" customWidth="1"/>
    <col min="7951" max="7951" width="12.88671875" style="295" customWidth="1"/>
    <col min="7952" max="7952" width="11.109375" style="295" customWidth="1"/>
    <col min="7953" max="7953" width="14" style="295" customWidth="1"/>
    <col min="7954" max="7954" width="33" style="295" customWidth="1"/>
    <col min="7955" max="7955" width="6.6640625" style="295" customWidth="1"/>
    <col min="7956" max="7956" width="19" style="295" customWidth="1"/>
    <col min="7957" max="7957" width="19.109375" style="295" customWidth="1"/>
    <col min="7958" max="7958" width="21.33203125" style="295" customWidth="1"/>
    <col min="7959" max="7959" width="32.5546875" style="295" customWidth="1"/>
    <col min="7960" max="7960" width="16.88671875" style="295" customWidth="1"/>
    <col min="7961" max="7961" width="16.33203125" style="295" customWidth="1"/>
    <col min="7962" max="8192" width="10.33203125" style="295"/>
    <col min="8193" max="8193" width="4.44140625" style="295" customWidth="1"/>
    <col min="8194" max="8194" width="21.6640625" style="295" customWidth="1"/>
    <col min="8195" max="8195" width="15" style="295" customWidth="1"/>
    <col min="8196" max="8196" width="15.44140625" style="295" customWidth="1"/>
    <col min="8197" max="8197" width="11.5546875" style="295" customWidth="1"/>
    <col min="8198" max="8198" width="7.44140625" style="295" customWidth="1"/>
    <col min="8199" max="8199" width="14.109375" style="295" customWidth="1"/>
    <col min="8200" max="8200" width="10.6640625" style="295" customWidth="1"/>
    <col min="8201" max="8201" width="13.44140625" style="295" customWidth="1"/>
    <col min="8202" max="8202" width="11.44140625" style="295" customWidth="1"/>
    <col min="8203" max="8203" width="15" style="295" customWidth="1"/>
    <col min="8204" max="8204" width="14.5546875" style="295" customWidth="1"/>
    <col min="8205" max="8205" width="10.33203125" style="295"/>
    <col min="8206" max="8206" width="7.44140625" style="295" customWidth="1"/>
    <col min="8207" max="8207" width="12.88671875" style="295" customWidth="1"/>
    <col min="8208" max="8208" width="11.109375" style="295" customWidth="1"/>
    <col min="8209" max="8209" width="14" style="295" customWidth="1"/>
    <col min="8210" max="8210" width="33" style="295" customWidth="1"/>
    <col min="8211" max="8211" width="6.6640625" style="295" customWidth="1"/>
    <col min="8212" max="8212" width="19" style="295" customWidth="1"/>
    <col min="8213" max="8213" width="19.109375" style="295" customWidth="1"/>
    <col min="8214" max="8214" width="21.33203125" style="295" customWidth="1"/>
    <col min="8215" max="8215" width="32.5546875" style="295" customWidth="1"/>
    <col min="8216" max="8216" width="16.88671875" style="295" customWidth="1"/>
    <col min="8217" max="8217" width="16.33203125" style="295" customWidth="1"/>
    <col min="8218" max="8448" width="10.33203125" style="295"/>
    <col min="8449" max="8449" width="4.44140625" style="295" customWidth="1"/>
    <col min="8450" max="8450" width="21.6640625" style="295" customWidth="1"/>
    <col min="8451" max="8451" width="15" style="295" customWidth="1"/>
    <col min="8452" max="8452" width="15.44140625" style="295" customWidth="1"/>
    <col min="8453" max="8453" width="11.5546875" style="295" customWidth="1"/>
    <col min="8454" max="8454" width="7.44140625" style="295" customWidth="1"/>
    <col min="8455" max="8455" width="14.109375" style="295" customWidth="1"/>
    <col min="8456" max="8456" width="10.6640625" style="295" customWidth="1"/>
    <col min="8457" max="8457" width="13.44140625" style="295" customWidth="1"/>
    <col min="8458" max="8458" width="11.44140625" style="295" customWidth="1"/>
    <col min="8459" max="8459" width="15" style="295" customWidth="1"/>
    <col min="8460" max="8460" width="14.5546875" style="295" customWidth="1"/>
    <col min="8461" max="8461" width="10.33203125" style="295"/>
    <col min="8462" max="8462" width="7.44140625" style="295" customWidth="1"/>
    <col min="8463" max="8463" width="12.88671875" style="295" customWidth="1"/>
    <col min="8464" max="8464" width="11.109375" style="295" customWidth="1"/>
    <col min="8465" max="8465" width="14" style="295" customWidth="1"/>
    <col min="8466" max="8466" width="33" style="295" customWidth="1"/>
    <col min="8467" max="8467" width="6.6640625" style="295" customWidth="1"/>
    <col min="8468" max="8468" width="19" style="295" customWidth="1"/>
    <col min="8469" max="8469" width="19.109375" style="295" customWidth="1"/>
    <col min="8470" max="8470" width="21.33203125" style="295" customWidth="1"/>
    <col min="8471" max="8471" width="32.5546875" style="295" customWidth="1"/>
    <col min="8472" max="8472" width="16.88671875" style="295" customWidth="1"/>
    <col min="8473" max="8473" width="16.33203125" style="295" customWidth="1"/>
    <col min="8474" max="8704" width="10.33203125" style="295"/>
    <col min="8705" max="8705" width="4.44140625" style="295" customWidth="1"/>
    <col min="8706" max="8706" width="21.6640625" style="295" customWidth="1"/>
    <col min="8707" max="8707" width="15" style="295" customWidth="1"/>
    <col min="8708" max="8708" width="15.44140625" style="295" customWidth="1"/>
    <col min="8709" max="8709" width="11.5546875" style="295" customWidth="1"/>
    <col min="8710" max="8710" width="7.44140625" style="295" customWidth="1"/>
    <col min="8711" max="8711" width="14.109375" style="295" customWidth="1"/>
    <col min="8712" max="8712" width="10.6640625" style="295" customWidth="1"/>
    <col min="8713" max="8713" width="13.44140625" style="295" customWidth="1"/>
    <col min="8714" max="8714" width="11.44140625" style="295" customWidth="1"/>
    <col min="8715" max="8715" width="15" style="295" customWidth="1"/>
    <col min="8716" max="8716" width="14.5546875" style="295" customWidth="1"/>
    <col min="8717" max="8717" width="10.33203125" style="295"/>
    <col min="8718" max="8718" width="7.44140625" style="295" customWidth="1"/>
    <col min="8719" max="8719" width="12.88671875" style="295" customWidth="1"/>
    <col min="8720" max="8720" width="11.109375" style="295" customWidth="1"/>
    <col min="8721" max="8721" width="14" style="295" customWidth="1"/>
    <col min="8722" max="8722" width="33" style="295" customWidth="1"/>
    <col min="8723" max="8723" width="6.6640625" style="295" customWidth="1"/>
    <col min="8724" max="8724" width="19" style="295" customWidth="1"/>
    <col min="8725" max="8725" width="19.109375" style="295" customWidth="1"/>
    <col min="8726" max="8726" width="21.33203125" style="295" customWidth="1"/>
    <col min="8727" max="8727" width="32.5546875" style="295" customWidth="1"/>
    <col min="8728" max="8728" width="16.88671875" style="295" customWidth="1"/>
    <col min="8729" max="8729" width="16.33203125" style="295" customWidth="1"/>
    <col min="8730" max="8960" width="10.33203125" style="295"/>
    <col min="8961" max="8961" width="4.44140625" style="295" customWidth="1"/>
    <col min="8962" max="8962" width="21.6640625" style="295" customWidth="1"/>
    <col min="8963" max="8963" width="15" style="295" customWidth="1"/>
    <col min="8964" max="8964" width="15.44140625" style="295" customWidth="1"/>
    <col min="8965" max="8965" width="11.5546875" style="295" customWidth="1"/>
    <col min="8966" max="8966" width="7.44140625" style="295" customWidth="1"/>
    <col min="8967" max="8967" width="14.109375" style="295" customWidth="1"/>
    <col min="8968" max="8968" width="10.6640625" style="295" customWidth="1"/>
    <col min="8969" max="8969" width="13.44140625" style="295" customWidth="1"/>
    <col min="8970" max="8970" width="11.44140625" style="295" customWidth="1"/>
    <col min="8971" max="8971" width="15" style="295" customWidth="1"/>
    <col min="8972" max="8972" width="14.5546875" style="295" customWidth="1"/>
    <col min="8973" max="8973" width="10.33203125" style="295"/>
    <col min="8974" max="8974" width="7.44140625" style="295" customWidth="1"/>
    <col min="8975" max="8975" width="12.88671875" style="295" customWidth="1"/>
    <col min="8976" max="8976" width="11.109375" style="295" customWidth="1"/>
    <col min="8977" max="8977" width="14" style="295" customWidth="1"/>
    <col min="8978" max="8978" width="33" style="295" customWidth="1"/>
    <col min="8979" max="8979" width="6.6640625" style="295" customWidth="1"/>
    <col min="8980" max="8980" width="19" style="295" customWidth="1"/>
    <col min="8981" max="8981" width="19.109375" style="295" customWidth="1"/>
    <col min="8982" max="8982" width="21.33203125" style="295" customWidth="1"/>
    <col min="8983" max="8983" width="32.5546875" style="295" customWidth="1"/>
    <col min="8984" max="8984" width="16.88671875" style="295" customWidth="1"/>
    <col min="8985" max="8985" width="16.33203125" style="295" customWidth="1"/>
    <col min="8986" max="9216" width="10.33203125" style="295"/>
    <col min="9217" max="9217" width="4.44140625" style="295" customWidth="1"/>
    <col min="9218" max="9218" width="21.6640625" style="295" customWidth="1"/>
    <col min="9219" max="9219" width="15" style="295" customWidth="1"/>
    <col min="9220" max="9220" width="15.44140625" style="295" customWidth="1"/>
    <col min="9221" max="9221" width="11.5546875" style="295" customWidth="1"/>
    <col min="9222" max="9222" width="7.44140625" style="295" customWidth="1"/>
    <col min="9223" max="9223" width="14.109375" style="295" customWidth="1"/>
    <col min="9224" max="9224" width="10.6640625" style="295" customWidth="1"/>
    <col min="9225" max="9225" width="13.44140625" style="295" customWidth="1"/>
    <col min="9226" max="9226" width="11.44140625" style="295" customWidth="1"/>
    <col min="9227" max="9227" width="15" style="295" customWidth="1"/>
    <col min="9228" max="9228" width="14.5546875" style="295" customWidth="1"/>
    <col min="9229" max="9229" width="10.33203125" style="295"/>
    <col min="9230" max="9230" width="7.44140625" style="295" customWidth="1"/>
    <col min="9231" max="9231" width="12.88671875" style="295" customWidth="1"/>
    <col min="9232" max="9232" width="11.109375" style="295" customWidth="1"/>
    <col min="9233" max="9233" width="14" style="295" customWidth="1"/>
    <col min="9234" max="9234" width="33" style="295" customWidth="1"/>
    <col min="9235" max="9235" width="6.6640625" style="295" customWidth="1"/>
    <col min="9236" max="9236" width="19" style="295" customWidth="1"/>
    <col min="9237" max="9237" width="19.109375" style="295" customWidth="1"/>
    <col min="9238" max="9238" width="21.33203125" style="295" customWidth="1"/>
    <col min="9239" max="9239" width="32.5546875" style="295" customWidth="1"/>
    <col min="9240" max="9240" width="16.88671875" style="295" customWidth="1"/>
    <col min="9241" max="9241" width="16.33203125" style="295" customWidth="1"/>
    <col min="9242" max="9472" width="10.33203125" style="295"/>
    <col min="9473" max="9473" width="4.44140625" style="295" customWidth="1"/>
    <col min="9474" max="9474" width="21.6640625" style="295" customWidth="1"/>
    <col min="9475" max="9475" width="15" style="295" customWidth="1"/>
    <col min="9476" max="9476" width="15.44140625" style="295" customWidth="1"/>
    <col min="9477" max="9477" width="11.5546875" style="295" customWidth="1"/>
    <col min="9478" max="9478" width="7.44140625" style="295" customWidth="1"/>
    <col min="9479" max="9479" width="14.109375" style="295" customWidth="1"/>
    <col min="9480" max="9480" width="10.6640625" style="295" customWidth="1"/>
    <col min="9481" max="9481" width="13.44140625" style="295" customWidth="1"/>
    <col min="9482" max="9482" width="11.44140625" style="295" customWidth="1"/>
    <col min="9483" max="9483" width="15" style="295" customWidth="1"/>
    <col min="9484" max="9484" width="14.5546875" style="295" customWidth="1"/>
    <col min="9485" max="9485" width="10.33203125" style="295"/>
    <col min="9486" max="9486" width="7.44140625" style="295" customWidth="1"/>
    <col min="9487" max="9487" width="12.88671875" style="295" customWidth="1"/>
    <col min="9488" max="9488" width="11.109375" style="295" customWidth="1"/>
    <col min="9489" max="9489" width="14" style="295" customWidth="1"/>
    <col min="9490" max="9490" width="33" style="295" customWidth="1"/>
    <col min="9491" max="9491" width="6.6640625" style="295" customWidth="1"/>
    <col min="9492" max="9492" width="19" style="295" customWidth="1"/>
    <col min="9493" max="9493" width="19.109375" style="295" customWidth="1"/>
    <col min="9494" max="9494" width="21.33203125" style="295" customWidth="1"/>
    <col min="9495" max="9495" width="32.5546875" style="295" customWidth="1"/>
    <col min="9496" max="9496" width="16.88671875" style="295" customWidth="1"/>
    <col min="9497" max="9497" width="16.33203125" style="295" customWidth="1"/>
    <col min="9498" max="9728" width="10.33203125" style="295"/>
    <col min="9729" max="9729" width="4.44140625" style="295" customWidth="1"/>
    <col min="9730" max="9730" width="21.6640625" style="295" customWidth="1"/>
    <col min="9731" max="9731" width="15" style="295" customWidth="1"/>
    <col min="9732" max="9732" width="15.44140625" style="295" customWidth="1"/>
    <col min="9733" max="9733" width="11.5546875" style="295" customWidth="1"/>
    <col min="9734" max="9734" width="7.44140625" style="295" customWidth="1"/>
    <col min="9735" max="9735" width="14.109375" style="295" customWidth="1"/>
    <col min="9736" max="9736" width="10.6640625" style="295" customWidth="1"/>
    <col min="9737" max="9737" width="13.44140625" style="295" customWidth="1"/>
    <col min="9738" max="9738" width="11.44140625" style="295" customWidth="1"/>
    <col min="9739" max="9739" width="15" style="295" customWidth="1"/>
    <col min="9740" max="9740" width="14.5546875" style="295" customWidth="1"/>
    <col min="9741" max="9741" width="10.33203125" style="295"/>
    <col min="9742" max="9742" width="7.44140625" style="295" customWidth="1"/>
    <col min="9743" max="9743" width="12.88671875" style="295" customWidth="1"/>
    <col min="9744" max="9744" width="11.109375" style="295" customWidth="1"/>
    <col min="9745" max="9745" width="14" style="295" customWidth="1"/>
    <col min="9746" max="9746" width="33" style="295" customWidth="1"/>
    <col min="9747" max="9747" width="6.6640625" style="295" customWidth="1"/>
    <col min="9748" max="9748" width="19" style="295" customWidth="1"/>
    <col min="9749" max="9749" width="19.109375" style="295" customWidth="1"/>
    <col min="9750" max="9750" width="21.33203125" style="295" customWidth="1"/>
    <col min="9751" max="9751" width="32.5546875" style="295" customWidth="1"/>
    <col min="9752" max="9752" width="16.88671875" style="295" customWidth="1"/>
    <col min="9753" max="9753" width="16.33203125" style="295" customWidth="1"/>
    <col min="9754" max="9984" width="10.33203125" style="295"/>
    <col min="9985" max="9985" width="4.44140625" style="295" customWidth="1"/>
    <col min="9986" max="9986" width="21.6640625" style="295" customWidth="1"/>
    <col min="9987" max="9987" width="15" style="295" customWidth="1"/>
    <col min="9988" max="9988" width="15.44140625" style="295" customWidth="1"/>
    <col min="9989" max="9989" width="11.5546875" style="295" customWidth="1"/>
    <col min="9990" max="9990" width="7.44140625" style="295" customWidth="1"/>
    <col min="9991" max="9991" width="14.109375" style="295" customWidth="1"/>
    <col min="9992" max="9992" width="10.6640625" style="295" customWidth="1"/>
    <col min="9993" max="9993" width="13.44140625" style="295" customWidth="1"/>
    <col min="9994" max="9994" width="11.44140625" style="295" customWidth="1"/>
    <col min="9995" max="9995" width="15" style="295" customWidth="1"/>
    <col min="9996" max="9996" width="14.5546875" style="295" customWidth="1"/>
    <col min="9997" max="9997" width="10.33203125" style="295"/>
    <col min="9998" max="9998" width="7.44140625" style="295" customWidth="1"/>
    <col min="9999" max="9999" width="12.88671875" style="295" customWidth="1"/>
    <col min="10000" max="10000" width="11.109375" style="295" customWidth="1"/>
    <col min="10001" max="10001" width="14" style="295" customWidth="1"/>
    <col min="10002" max="10002" width="33" style="295" customWidth="1"/>
    <col min="10003" max="10003" width="6.6640625" style="295" customWidth="1"/>
    <col min="10004" max="10004" width="19" style="295" customWidth="1"/>
    <col min="10005" max="10005" width="19.109375" style="295" customWidth="1"/>
    <col min="10006" max="10006" width="21.33203125" style="295" customWidth="1"/>
    <col min="10007" max="10007" width="32.5546875" style="295" customWidth="1"/>
    <col min="10008" max="10008" width="16.88671875" style="295" customWidth="1"/>
    <col min="10009" max="10009" width="16.33203125" style="295" customWidth="1"/>
    <col min="10010" max="10240" width="10.33203125" style="295"/>
    <col min="10241" max="10241" width="4.44140625" style="295" customWidth="1"/>
    <col min="10242" max="10242" width="21.6640625" style="295" customWidth="1"/>
    <col min="10243" max="10243" width="15" style="295" customWidth="1"/>
    <col min="10244" max="10244" width="15.44140625" style="295" customWidth="1"/>
    <col min="10245" max="10245" width="11.5546875" style="295" customWidth="1"/>
    <col min="10246" max="10246" width="7.44140625" style="295" customWidth="1"/>
    <col min="10247" max="10247" width="14.109375" style="295" customWidth="1"/>
    <col min="10248" max="10248" width="10.6640625" style="295" customWidth="1"/>
    <col min="10249" max="10249" width="13.44140625" style="295" customWidth="1"/>
    <col min="10250" max="10250" width="11.44140625" style="295" customWidth="1"/>
    <col min="10251" max="10251" width="15" style="295" customWidth="1"/>
    <col min="10252" max="10252" width="14.5546875" style="295" customWidth="1"/>
    <col min="10253" max="10253" width="10.33203125" style="295"/>
    <col min="10254" max="10254" width="7.44140625" style="295" customWidth="1"/>
    <col min="10255" max="10255" width="12.88671875" style="295" customWidth="1"/>
    <col min="10256" max="10256" width="11.109375" style="295" customWidth="1"/>
    <col min="10257" max="10257" width="14" style="295" customWidth="1"/>
    <col min="10258" max="10258" width="33" style="295" customWidth="1"/>
    <col min="10259" max="10259" width="6.6640625" style="295" customWidth="1"/>
    <col min="10260" max="10260" width="19" style="295" customWidth="1"/>
    <col min="10261" max="10261" width="19.109375" style="295" customWidth="1"/>
    <col min="10262" max="10262" width="21.33203125" style="295" customWidth="1"/>
    <col min="10263" max="10263" width="32.5546875" style="295" customWidth="1"/>
    <col min="10264" max="10264" width="16.88671875" style="295" customWidth="1"/>
    <col min="10265" max="10265" width="16.33203125" style="295" customWidth="1"/>
    <col min="10266" max="10496" width="10.33203125" style="295"/>
    <col min="10497" max="10497" width="4.44140625" style="295" customWidth="1"/>
    <col min="10498" max="10498" width="21.6640625" style="295" customWidth="1"/>
    <col min="10499" max="10499" width="15" style="295" customWidth="1"/>
    <col min="10500" max="10500" width="15.44140625" style="295" customWidth="1"/>
    <col min="10501" max="10501" width="11.5546875" style="295" customWidth="1"/>
    <col min="10502" max="10502" width="7.44140625" style="295" customWidth="1"/>
    <col min="10503" max="10503" width="14.109375" style="295" customWidth="1"/>
    <col min="10504" max="10504" width="10.6640625" style="295" customWidth="1"/>
    <col min="10505" max="10505" width="13.44140625" style="295" customWidth="1"/>
    <col min="10506" max="10506" width="11.44140625" style="295" customWidth="1"/>
    <col min="10507" max="10507" width="15" style="295" customWidth="1"/>
    <col min="10508" max="10508" width="14.5546875" style="295" customWidth="1"/>
    <col min="10509" max="10509" width="10.33203125" style="295"/>
    <col min="10510" max="10510" width="7.44140625" style="295" customWidth="1"/>
    <col min="10511" max="10511" width="12.88671875" style="295" customWidth="1"/>
    <col min="10512" max="10512" width="11.109375" style="295" customWidth="1"/>
    <col min="10513" max="10513" width="14" style="295" customWidth="1"/>
    <col min="10514" max="10514" width="33" style="295" customWidth="1"/>
    <col min="10515" max="10515" width="6.6640625" style="295" customWidth="1"/>
    <col min="10516" max="10516" width="19" style="295" customWidth="1"/>
    <col min="10517" max="10517" width="19.109375" style="295" customWidth="1"/>
    <col min="10518" max="10518" width="21.33203125" style="295" customWidth="1"/>
    <col min="10519" max="10519" width="32.5546875" style="295" customWidth="1"/>
    <col min="10520" max="10520" width="16.88671875" style="295" customWidth="1"/>
    <col min="10521" max="10521" width="16.33203125" style="295" customWidth="1"/>
    <col min="10522" max="10752" width="10.33203125" style="295"/>
    <col min="10753" max="10753" width="4.44140625" style="295" customWidth="1"/>
    <col min="10754" max="10754" width="21.6640625" style="295" customWidth="1"/>
    <col min="10755" max="10755" width="15" style="295" customWidth="1"/>
    <col min="10756" max="10756" width="15.44140625" style="295" customWidth="1"/>
    <col min="10757" max="10757" width="11.5546875" style="295" customWidth="1"/>
    <col min="10758" max="10758" width="7.44140625" style="295" customWidth="1"/>
    <col min="10759" max="10759" width="14.109375" style="295" customWidth="1"/>
    <col min="10760" max="10760" width="10.6640625" style="295" customWidth="1"/>
    <col min="10761" max="10761" width="13.44140625" style="295" customWidth="1"/>
    <col min="10762" max="10762" width="11.44140625" style="295" customWidth="1"/>
    <col min="10763" max="10763" width="15" style="295" customWidth="1"/>
    <col min="10764" max="10764" width="14.5546875" style="295" customWidth="1"/>
    <col min="10765" max="10765" width="10.33203125" style="295"/>
    <col min="10766" max="10766" width="7.44140625" style="295" customWidth="1"/>
    <col min="10767" max="10767" width="12.88671875" style="295" customWidth="1"/>
    <col min="10768" max="10768" width="11.109375" style="295" customWidth="1"/>
    <col min="10769" max="10769" width="14" style="295" customWidth="1"/>
    <col min="10770" max="10770" width="33" style="295" customWidth="1"/>
    <col min="10771" max="10771" width="6.6640625" style="295" customWidth="1"/>
    <col min="10772" max="10772" width="19" style="295" customWidth="1"/>
    <col min="10773" max="10773" width="19.109375" style="295" customWidth="1"/>
    <col min="10774" max="10774" width="21.33203125" style="295" customWidth="1"/>
    <col min="10775" max="10775" width="32.5546875" style="295" customWidth="1"/>
    <col min="10776" max="10776" width="16.88671875" style="295" customWidth="1"/>
    <col min="10777" max="10777" width="16.33203125" style="295" customWidth="1"/>
    <col min="10778" max="11008" width="10.33203125" style="295"/>
    <col min="11009" max="11009" width="4.44140625" style="295" customWidth="1"/>
    <col min="11010" max="11010" width="21.6640625" style="295" customWidth="1"/>
    <col min="11011" max="11011" width="15" style="295" customWidth="1"/>
    <col min="11012" max="11012" width="15.44140625" style="295" customWidth="1"/>
    <col min="11013" max="11013" width="11.5546875" style="295" customWidth="1"/>
    <col min="11014" max="11014" width="7.44140625" style="295" customWidth="1"/>
    <col min="11015" max="11015" width="14.109375" style="295" customWidth="1"/>
    <col min="11016" max="11016" width="10.6640625" style="295" customWidth="1"/>
    <col min="11017" max="11017" width="13.44140625" style="295" customWidth="1"/>
    <col min="11018" max="11018" width="11.44140625" style="295" customWidth="1"/>
    <col min="11019" max="11019" width="15" style="295" customWidth="1"/>
    <col min="11020" max="11020" width="14.5546875" style="295" customWidth="1"/>
    <col min="11021" max="11021" width="10.33203125" style="295"/>
    <col min="11022" max="11022" width="7.44140625" style="295" customWidth="1"/>
    <col min="11023" max="11023" width="12.88671875" style="295" customWidth="1"/>
    <col min="11024" max="11024" width="11.109375" style="295" customWidth="1"/>
    <col min="11025" max="11025" width="14" style="295" customWidth="1"/>
    <col min="11026" max="11026" width="33" style="295" customWidth="1"/>
    <col min="11027" max="11027" width="6.6640625" style="295" customWidth="1"/>
    <col min="11028" max="11028" width="19" style="295" customWidth="1"/>
    <col min="11029" max="11029" width="19.109375" style="295" customWidth="1"/>
    <col min="11030" max="11030" width="21.33203125" style="295" customWidth="1"/>
    <col min="11031" max="11031" width="32.5546875" style="295" customWidth="1"/>
    <col min="11032" max="11032" width="16.88671875" style="295" customWidth="1"/>
    <col min="11033" max="11033" width="16.33203125" style="295" customWidth="1"/>
    <col min="11034" max="11264" width="10.33203125" style="295"/>
    <col min="11265" max="11265" width="4.44140625" style="295" customWidth="1"/>
    <col min="11266" max="11266" width="21.6640625" style="295" customWidth="1"/>
    <col min="11267" max="11267" width="15" style="295" customWidth="1"/>
    <col min="11268" max="11268" width="15.44140625" style="295" customWidth="1"/>
    <col min="11269" max="11269" width="11.5546875" style="295" customWidth="1"/>
    <col min="11270" max="11270" width="7.44140625" style="295" customWidth="1"/>
    <col min="11271" max="11271" width="14.109375" style="295" customWidth="1"/>
    <col min="11272" max="11272" width="10.6640625" style="295" customWidth="1"/>
    <col min="11273" max="11273" width="13.44140625" style="295" customWidth="1"/>
    <col min="11274" max="11274" width="11.44140625" style="295" customWidth="1"/>
    <col min="11275" max="11275" width="15" style="295" customWidth="1"/>
    <col min="11276" max="11276" width="14.5546875" style="295" customWidth="1"/>
    <col min="11277" max="11277" width="10.33203125" style="295"/>
    <col min="11278" max="11278" width="7.44140625" style="295" customWidth="1"/>
    <col min="11279" max="11279" width="12.88671875" style="295" customWidth="1"/>
    <col min="11280" max="11280" width="11.109375" style="295" customWidth="1"/>
    <col min="11281" max="11281" width="14" style="295" customWidth="1"/>
    <col min="11282" max="11282" width="33" style="295" customWidth="1"/>
    <col min="11283" max="11283" width="6.6640625" style="295" customWidth="1"/>
    <col min="11284" max="11284" width="19" style="295" customWidth="1"/>
    <col min="11285" max="11285" width="19.109375" style="295" customWidth="1"/>
    <col min="11286" max="11286" width="21.33203125" style="295" customWidth="1"/>
    <col min="11287" max="11287" width="32.5546875" style="295" customWidth="1"/>
    <col min="11288" max="11288" width="16.88671875" style="295" customWidth="1"/>
    <col min="11289" max="11289" width="16.33203125" style="295" customWidth="1"/>
    <col min="11290" max="11520" width="10.33203125" style="295"/>
    <col min="11521" max="11521" width="4.44140625" style="295" customWidth="1"/>
    <col min="11522" max="11522" width="21.6640625" style="295" customWidth="1"/>
    <col min="11523" max="11523" width="15" style="295" customWidth="1"/>
    <col min="11524" max="11524" width="15.44140625" style="295" customWidth="1"/>
    <col min="11525" max="11525" width="11.5546875" style="295" customWidth="1"/>
    <col min="11526" max="11526" width="7.44140625" style="295" customWidth="1"/>
    <col min="11527" max="11527" width="14.109375" style="295" customWidth="1"/>
    <col min="11528" max="11528" width="10.6640625" style="295" customWidth="1"/>
    <col min="11529" max="11529" width="13.44140625" style="295" customWidth="1"/>
    <col min="11530" max="11530" width="11.44140625" style="295" customWidth="1"/>
    <col min="11531" max="11531" width="15" style="295" customWidth="1"/>
    <col min="11532" max="11532" width="14.5546875" style="295" customWidth="1"/>
    <col min="11533" max="11533" width="10.33203125" style="295"/>
    <col min="11534" max="11534" width="7.44140625" style="295" customWidth="1"/>
    <col min="11535" max="11535" width="12.88671875" style="295" customWidth="1"/>
    <col min="11536" max="11536" width="11.109375" style="295" customWidth="1"/>
    <col min="11537" max="11537" width="14" style="295" customWidth="1"/>
    <col min="11538" max="11538" width="33" style="295" customWidth="1"/>
    <col min="11539" max="11539" width="6.6640625" style="295" customWidth="1"/>
    <col min="11540" max="11540" width="19" style="295" customWidth="1"/>
    <col min="11541" max="11541" width="19.109375" style="295" customWidth="1"/>
    <col min="11542" max="11542" width="21.33203125" style="295" customWidth="1"/>
    <col min="11543" max="11543" width="32.5546875" style="295" customWidth="1"/>
    <col min="11544" max="11544" width="16.88671875" style="295" customWidth="1"/>
    <col min="11545" max="11545" width="16.33203125" style="295" customWidth="1"/>
    <col min="11546" max="11776" width="10.33203125" style="295"/>
    <col min="11777" max="11777" width="4.44140625" style="295" customWidth="1"/>
    <col min="11778" max="11778" width="21.6640625" style="295" customWidth="1"/>
    <col min="11779" max="11779" width="15" style="295" customWidth="1"/>
    <col min="11780" max="11780" width="15.44140625" style="295" customWidth="1"/>
    <col min="11781" max="11781" width="11.5546875" style="295" customWidth="1"/>
    <col min="11782" max="11782" width="7.44140625" style="295" customWidth="1"/>
    <col min="11783" max="11783" width="14.109375" style="295" customWidth="1"/>
    <col min="11784" max="11784" width="10.6640625" style="295" customWidth="1"/>
    <col min="11785" max="11785" width="13.44140625" style="295" customWidth="1"/>
    <col min="11786" max="11786" width="11.44140625" style="295" customWidth="1"/>
    <col min="11787" max="11787" width="15" style="295" customWidth="1"/>
    <col min="11788" max="11788" width="14.5546875" style="295" customWidth="1"/>
    <col min="11789" max="11789" width="10.33203125" style="295"/>
    <col min="11790" max="11790" width="7.44140625" style="295" customWidth="1"/>
    <col min="11791" max="11791" width="12.88671875" style="295" customWidth="1"/>
    <col min="11792" max="11792" width="11.109375" style="295" customWidth="1"/>
    <col min="11793" max="11793" width="14" style="295" customWidth="1"/>
    <col min="11794" max="11794" width="33" style="295" customWidth="1"/>
    <col min="11795" max="11795" width="6.6640625" style="295" customWidth="1"/>
    <col min="11796" max="11796" width="19" style="295" customWidth="1"/>
    <col min="11797" max="11797" width="19.109375" style="295" customWidth="1"/>
    <col min="11798" max="11798" width="21.33203125" style="295" customWidth="1"/>
    <col min="11799" max="11799" width="32.5546875" style="295" customWidth="1"/>
    <col min="11800" max="11800" width="16.88671875" style="295" customWidth="1"/>
    <col min="11801" max="11801" width="16.33203125" style="295" customWidth="1"/>
    <col min="11802" max="12032" width="10.33203125" style="295"/>
    <col min="12033" max="12033" width="4.44140625" style="295" customWidth="1"/>
    <col min="12034" max="12034" width="21.6640625" style="295" customWidth="1"/>
    <col min="12035" max="12035" width="15" style="295" customWidth="1"/>
    <col min="12036" max="12036" width="15.44140625" style="295" customWidth="1"/>
    <col min="12037" max="12037" width="11.5546875" style="295" customWidth="1"/>
    <col min="12038" max="12038" width="7.44140625" style="295" customWidth="1"/>
    <col min="12039" max="12039" width="14.109375" style="295" customWidth="1"/>
    <col min="12040" max="12040" width="10.6640625" style="295" customWidth="1"/>
    <col min="12041" max="12041" width="13.44140625" style="295" customWidth="1"/>
    <col min="12042" max="12042" width="11.44140625" style="295" customWidth="1"/>
    <col min="12043" max="12043" width="15" style="295" customWidth="1"/>
    <col min="12044" max="12044" width="14.5546875" style="295" customWidth="1"/>
    <col min="12045" max="12045" width="10.33203125" style="295"/>
    <col min="12046" max="12046" width="7.44140625" style="295" customWidth="1"/>
    <col min="12047" max="12047" width="12.88671875" style="295" customWidth="1"/>
    <col min="12048" max="12048" width="11.109375" style="295" customWidth="1"/>
    <col min="12049" max="12049" width="14" style="295" customWidth="1"/>
    <col min="12050" max="12050" width="33" style="295" customWidth="1"/>
    <col min="12051" max="12051" width="6.6640625" style="295" customWidth="1"/>
    <col min="12052" max="12052" width="19" style="295" customWidth="1"/>
    <col min="12053" max="12053" width="19.109375" style="295" customWidth="1"/>
    <col min="12054" max="12054" width="21.33203125" style="295" customWidth="1"/>
    <col min="12055" max="12055" width="32.5546875" style="295" customWidth="1"/>
    <col min="12056" max="12056" width="16.88671875" style="295" customWidth="1"/>
    <col min="12057" max="12057" width="16.33203125" style="295" customWidth="1"/>
    <col min="12058" max="12288" width="10.33203125" style="295"/>
    <col min="12289" max="12289" width="4.44140625" style="295" customWidth="1"/>
    <col min="12290" max="12290" width="21.6640625" style="295" customWidth="1"/>
    <col min="12291" max="12291" width="15" style="295" customWidth="1"/>
    <col min="12292" max="12292" width="15.44140625" style="295" customWidth="1"/>
    <col min="12293" max="12293" width="11.5546875" style="295" customWidth="1"/>
    <col min="12294" max="12294" width="7.44140625" style="295" customWidth="1"/>
    <col min="12295" max="12295" width="14.109375" style="295" customWidth="1"/>
    <col min="12296" max="12296" width="10.6640625" style="295" customWidth="1"/>
    <col min="12297" max="12297" width="13.44140625" style="295" customWidth="1"/>
    <col min="12298" max="12298" width="11.44140625" style="295" customWidth="1"/>
    <col min="12299" max="12299" width="15" style="295" customWidth="1"/>
    <col min="12300" max="12300" width="14.5546875" style="295" customWidth="1"/>
    <col min="12301" max="12301" width="10.33203125" style="295"/>
    <col min="12302" max="12302" width="7.44140625" style="295" customWidth="1"/>
    <col min="12303" max="12303" width="12.88671875" style="295" customWidth="1"/>
    <col min="12304" max="12304" width="11.109375" style="295" customWidth="1"/>
    <col min="12305" max="12305" width="14" style="295" customWidth="1"/>
    <col min="12306" max="12306" width="33" style="295" customWidth="1"/>
    <col min="12307" max="12307" width="6.6640625" style="295" customWidth="1"/>
    <col min="12308" max="12308" width="19" style="295" customWidth="1"/>
    <col min="12309" max="12309" width="19.109375" style="295" customWidth="1"/>
    <col min="12310" max="12310" width="21.33203125" style="295" customWidth="1"/>
    <col min="12311" max="12311" width="32.5546875" style="295" customWidth="1"/>
    <col min="12312" max="12312" width="16.88671875" style="295" customWidth="1"/>
    <col min="12313" max="12313" width="16.33203125" style="295" customWidth="1"/>
    <col min="12314" max="12544" width="10.33203125" style="295"/>
    <col min="12545" max="12545" width="4.44140625" style="295" customWidth="1"/>
    <col min="12546" max="12546" width="21.6640625" style="295" customWidth="1"/>
    <col min="12547" max="12547" width="15" style="295" customWidth="1"/>
    <col min="12548" max="12548" width="15.44140625" style="295" customWidth="1"/>
    <col min="12549" max="12549" width="11.5546875" style="295" customWidth="1"/>
    <col min="12550" max="12550" width="7.44140625" style="295" customWidth="1"/>
    <col min="12551" max="12551" width="14.109375" style="295" customWidth="1"/>
    <col min="12552" max="12552" width="10.6640625" style="295" customWidth="1"/>
    <col min="12553" max="12553" width="13.44140625" style="295" customWidth="1"/>
    <col min="12554" max="12554" width="11.44140625" style="295" customWidth="1"/>
    <col min="12555" max="12555" width="15" style="295" customWidth="1"/>
    <col min="12556" max="12556" width="14.5546875" style="295" customWidth="1"/>
    <col min="12557" max="12557" width="10.33203125" style="295"/>
    <col min="12558" max="12558" width="7.44140625" style="295" customWidth="1"/>
    <col min="12559" max="12559" width="12.88671875" style="295" customWidth="1"/>
    <col min="12560" max="12560" width="11.109375" style="295" customWidth="1"/>
    <col min="12561" max="12561" width="14" style="295" customWidth="1"/>
    <col min="12562" max="12562" width="33" style="295" customWidth="1"/>
    <col min="12563" max="12563" width="6.6640625" style="295" customWidth="1"/>
    <col min="12564" max="12564" width="19" style="295" customWidth="1"/>
    <col min="12565" max="12565" width="19.109375" style="295" customWidth="1"/>
    <col min="12566" max="12566" width="21.33203125" style="295" customWidth="1"/>
    <col min="12567" max="12567" width="32.5546875" style="295" customWidth="1"/>
    <col min="12568" max="12568" width="16.88671875" style="295" customWidth="1"/>
    <col min="12569" max="12569" width="16.33203125" style="295" customWidth="1"/>
    <col min="12570" max="12800" width="10.33203125" style="295"/>
    <col min="12801" max="12801" width="4.44140625" style="295" customWidth="1"/>
    <col min="12802" max="12802" width="21.6640625" style="295" customWidth="1"/>
    <col min="12803" max="12803" width="15" style="295" customWidth="1"/>
    <col min="12804" max="12804" width="15.44140625" style="295" customWidth="1"/>
    <col min="12805" max="12805" width="11.5546875" style="295" customWidth="1"/>
    <col min="12806" max="12806" width="7.44140625" style="295" customWidth="1"/>
    <col min="12807" max="12807" width="14.109375" style="295" customWidth="1"/>
    <col min="12808" max="12808" width="10.6640625" style="295" customWidth="1"/>
    <col min="12809" max="12809" width="13.44140625" style="295" customWidth="1"/>
    <col min="12810" max="12810" width="11.44140625" style="295" customWidth="1"/>
    <col min="12811" max="12811" width="15" style="295" customWidth="1"/>
    <col min="12812" max="12812" width="14.5546875" style="295" customWidth="1"/>
    <col min="12813" max="12813" width="10.33203125" style="295"/>
    <col min="12814" max="12814" width="7.44140625" style="295" customWidth="1"/>
    <col min="12815" max="12815" width="12.88671875" style="295" customWidth="1"/>
    <col min="12816" max="12816" width="11.109375" style="295" customWidth="1"/>
    <col min="12817" max="12817" width="14" style="295" customWidth="1"/>
    <col min="12818" max="12818" width="33" style="295" customWidth="1"/>
    <col min="12819" max="12819" width="6.6640625" style="295" customWidth="1"/>
    <col min="12820" max="12820" width="19" style="295" customWidth="1"/>
    <col min="12821" max="12821" width="19.109375" style="295" customWidth="1"/>
    <col min="12822" max="12822" width="21.33203125" style="295" customWidth="1"/>
    <col min="12823" max="12823" width="32.5546875" style="295" customWidth="1"/>
    <col min="12824" max="12824" width="16.88671875" style="295" customWidth="1"/>
    <col min="12825" max="12825" width="16.33203125" style="295" customWidth="1"/>
    <col min="12826" max="13056" width="10.33203125" style="295"/>
    <col min="13057" max="13057" width="4.44140625" style="295" customWidth="1"/>
    <col min="13058" max="13058" width="21.6640625" style="295" customWidth="1"/>
    <col min="13059" max="13059" width="15" style="295" customWidth="1"/>
    <col min="13060" max="13060" width="15.44140625" style="295" customWidth="1"/>
    <col min="13061" max="13061" width="11.5546875" style="295" customWidth="1"/>
    <col min="13062" max="13062" width="7.44140625" style="295" customWidth="1"/>
    <col min="13063" max="13063" width="14.109375" style="295" customWidth="1"/>
    <col min="13064" max="13064" width="10.6640625" style="295" customWidth="1"/>
    <col min="13065" max="13065" width="13.44140625" style="295" customWidth="1"/>
    <col min="13066" max="13066" width="11.44140625" style="295" customWidth="1"/>
    <col min="13067" max="13067" width="15" style="295" customWidth="1"/>
    <col min="13068" max="13068" width="14.5546875" style="295" customWidth="1"/>
    <col min="13069" max="13069" width="10.33203125" style="295"/>
    <col min="13070" max="13070" width="7.44140625" style="295" customWidth="1"/>
    <col min="13071" max="13071" width="12.88671875" style="295" customWidth="1"/>
    <col min="13072" max="13072" width="11.109375" style="295" customWidth="1"/>
    <col min="13073" max="13073" width="14" style="295" customWidth="1"/>
    <col min="13074" max="13074" width="33" style="295" customWidth="1"/>
    <col min="13075" max="13075" width="6.6640625" style="295" customWidth="1"/>
    <col min="13076" max="13076" width="19" style="295" customWidth="1"/>
    <col min="13077" max="13077" width="19.109375" style="295" customWidth="1"/>
    <col min="13078" max="13078" width="21.33203125" style="295" customWidth="1"/>
    <col min="13079" max="13079" width="32.5546875" style="295" customWidth="1"/>
    <col min="13080" max="13080" width="16.88671875" style="295" customWidth="1"/>
    <col min="13081" max="13081" width="16.33203125" style="295" customWidth="1"/>
    <col min="13082" max="13312" width="10.33203125" style="295"/>
    <col min="13313" max="13313" width="4.44140625" style="295" customWidth="1"/>
    <col min="13314" max="13314" width="21.6640625" style="295" customWidth="1"/>
    <col min="13315" max="13315" width="15" style="295" customWidth="1"/>
    <col min="13316" max="13316" width="15.44140625" style="295" customWidth="1"/>
    <col min="13317" max="13317" width="11.5546875" style="295" customWidth="1"/>
    <col min="13318" max="13318" width="7.44140625" style="295" customWidth="1"/>
    <col min="13319" max="13319" width="14.109375" style="295" customWidth="1"/>
    <col min="13320" max="13320" width="10.6640625" style="295" customWidth="1"/>
    <col min="13321" max="13321" width="13.44140625" style="295" customWidth="1"/>
    <col min="13322" max="13322" width="11.44140625" style="295" customWidth="1"/>
    <col min="13323" max="13323" width="15" style="295" customWidth="1"/>
    <col min="13324" max="13324" width="14.5546875" style="295" customWidth="1"/>
    <col min="13325" max="13325" width="10.33203125" style="295"/>
    <col min="13326" max="13326" width="7.44140625" style="295" customWidth="1"/>
    <col min="13327" max="13327" width="12.88671875" style="295" customWidth="1"/>
    <col min="13328" max="13328" width="11.109375" style="295" customWidth="1"/>
    <col min="13329" max="13329" width="14" style="295" customWidth="1"/>
    <col min="13330" max="13330" width="33" style="295" customWidth="1"/>
    <col min="13331" max="13331" width="6.6640625" style="295" customWidth="1"/>
    <col min="13332" max="13332" width="19" style="295" customWidth="1"/>
    <col min="13333" max="13333" width="19.109375" style="295" customWidth="1"/>
    <col min="13334" max="13334" width="21.33203125" style="295" customWidth="1"/>
    <col min="13335" max="13335" width="32.5546875" style="295" customWidth="1"/>
    <col min="13336" max="13336" width="16.88671875" style="295" customWidth="1"/>
    <col min="13337" max="13337" width="16.33203125" style="295" customWidth="1"/>
    <col min="13338" max="13568" width="10.33203125" style="295"/>
    <col min="13569" max="13569" width="4.44140625" style="295" customWidth="1"/>
    <col min="13570" max="13570" width="21.6640625" style="295" customWidth="1"/>
    <col min="13571" max="13571" width="15" style="295" customWidth="1"/>
    <col min="13572" max="13572" width="15.44140625" style="295" customWidth="1"/>
    <col min="13573" max="13573" width="11.5546875" style="295" customWidth="1"/>
    <col min="13574" max="13574" width="7.44140625" style="295" customWidth="1"/>
    <col min="13575" max="13575" width="14.109375" style="295" customWidth="1"/>
    <col min="13576" max="13576" width="10.6640625" style="295" customWidth="1"/>
    <col min="13577" max="13577" width="13.44140625" style="295" customWidth="1"/>
    <col min="13578" max="13578" width="11.44140625" style="295" customWidth="1"/>
    <col min="13579" max="13579" width="15" style="295" customWidth="1"/>
    <col min="13580" max="13580" width="14.5546875" style="295" customWidth="1"/>
    <col min="13581" max="13581" width="10.33203125" style="295"/>
    <col min="13582" max="13582" width="7.44140625" style="295" customWidth="1"/>
    <col min="13583" max="13583" width="12.88671875" style="295" customWidth="1"/>
    <col min="13584" max="13584" width="11.109375" style="295" customWidth="1"/>
    <col min="13585" max="13585" width="14" style="295" customWidth="1"/>
    <col min="13586" max="13586" width="33" style="295" customWidth="1"/>
    <col min="13587" max="13587" width="6.6640625" style="295" customWidth="1"/>
    <col min="13588" max="13588" width="19" style="295" customWidth="1"/>
    <col min="13589" max="13589" width="19.109375" style="295" customWidth="1"/>
    <col min="13590" max="13590" width="21.33203125" style="295" customWidth="1"/>
    <col min="13591" max="13591" width="32.5546875" style="295" customWidth="1"/>
    <col min="13592" max="13592" width="16.88671875" style="295" customWidth="1"/>
    <col min="13593" max="13593" width="16.33203125" style="295" customWidth="1"/>
    <col min="13594" max="13824" width="10.33203125" style="295"/>
    <col min="13825" max="13825" width="4.44140625" style="295" customWidth="1"/>
    <col min="13826" max="13826" width="21.6640625" style="295" customWidth="1"/>
    <col min="13827" max="13827" width="15" style="295" customWidth="1"/>
    <col min="13828" max="13828" width="15.44140625" style="295" customWidth="1"/>
    <col min="13829" max="13829" width="11.5546875" style="295" customWidth="1"/>
    <col min="13830" max="13830" width="7.44140625" style="295" customWidth="1"/>
    <col min="13831" max="13831" width="14.109375" style="295" customWidth="1"/>
    <col min="13832" max="13832" width="10.6640625" style="295" customWidth="1"/>
    <col min="13833" max="13833" width="13.44140625" style="295" customWidth="1"/>
    <col min="13834" max="13834" width="11.44140625" style="295" customWidth="1"/>
    <col min="13835" max="13835" width="15" style="295" customWidth="1"/>
    <col min="13836" max="13836" width="14.5546875" style="295" customWidth="1"/>
    <col min="13837" max="13837" width="10.33203125" style="295"/>
    <col min="13838" max="13838" width="7.44140625" style="295" customWidth="1"/>
    <col min="13839" max="13839" width="12.88671875" style="295" customWidth="1"/>
    <col min="13840" max="13840" width="11.109375" style="295" customWidth="1"/>
    <col min="13841" max="13841" width="14" style="295" customWidth="1"/>
    <col min="13842" max="13842" width="33" style="295" customWidth="1"/>
    <col min="13843" max="13843" width="6.6640625" style="295" customWidth="1"/>
    <col min="13844" max="13844" width="19" style="295" customWidth="1"/>
    <col min="13845" max="13845" width="19.109375" style="295" customWidth="1"/>
    <col min="13846" max="13846" width="21.33203125" style="295" customWidth="1"/>
    <col min="13847" max="13847" width="32.5546875" style="295" customWidth="1"/>
    <col min="13848" max="13848" width="16.88671875" style="295" customWidth="1"/>
    <col min="13849" max="13849" width="16.33203125" style="295" customWidth="1"/>
    <col min="13850" max="14080" width="10.33203125" style="295"/>
    <col min="14081" max="14081" width="4.44140625" style="295" customWidth="1"/>
    <col min="14082" max="14082" width="21.6640625" style="295" customWidth="1"/>
    <col min="14083" max="14083" width="15" style="295" customWidth="1"/>
    <col min="14084" max="14084" width="15.44140625" style="295" customWidth="1"/>
    <col min="14085" max="14085" width="11.5546875" style="295" customWidth="1"/>
    <col min="14086" max="14086" width="7.44140625" style="295" customWidth="1"/>
    <col min="14087" max="14087" width="14.109375" style="295" customWidth="1"/>
    <col min="14088" max="14088" width="10.6640625" style="295" customWidth="1"/>
    <col min="14089" max="14089" width="13.44140625" style="295" customWidth="1"/>
    <col min="14090" max="14090" width="11.44140625" style="295" customWidth="1"/>
    <col min="14091" max="14091" width="15" style="295" customWidth="1"/>
    <col min="14092" max="14092" width="14.5546875" style="295" customWidth="1"/>
    <col min="14093" max="14093" width="10.33203125" style="295"/>
    <col min="14094" max="14094" width="7.44140625" style="295" customWidth="1"/>
    <col min="14095" max="14095" width="12.88671875" style="295" customWidth="1"/>
    <col min="14096" max="14096" width="11.109375" style="295" customWidth="1"/>
    <col min="14097" max="14097" width="14" style="295" customWidth="1"/>
    <col min="14098" max="14098" width="33" style="295" customWidth="1"/>
    <col min="14099" max="14099" width="6.6640625" style="295" customWidth="1"/>
    <col min="14100" max="14100" width="19" style="295" customWidth="1"/>
    <col min="14101" max="14101" width="19.109375" style="295" customWidth="1"/>
    <col min="14102" max="14102" width="21.33203125" style="295" customWidth="1"/>
    <col min="14103" max="14103" width="32.5546875" style="295" customWidth="1"/>
    <col min="14104" max="14104" width="16.88671875" style="295" customWidth="1"/>
    <col min="14105" max="14105" width="16.33203125" style="295" customWidth="1"/>
    <col min="14106" max="14336" width="10.33203125" style="295"/>
    <col min="14337" max="14337" width="4.44140625" style="295" customWidth="1"/>
    <col min="14338" max="14338" width="21.6640625" style="295" customWidth="1"/>
    <col min="14339" max="14339" width="15" style="295" customWidth="1"/>
    <col min="14340" max="14340" width="15.44140625" style="295" customWidth="1"/>
    <col min="14341" max="14341" width="11.5546875" style="295" customWidth="1"/>
    <col min="14342" max="14342" width="7.44140625" style="295" customWidth="1"/>
    <col min="14343" max="14343" width="14.109375" style="295" customWidth="1"/>
    <col min="14344" max="14344" width="10.6640625" style="295" customWidth="1"/>
    <col min="14345" max="14345" width="13.44140625" style="295" customWidth="1"/>
    <col min="14346" max="14346" width="11.44140625" style="295" customWidth="1"/>
    <col min="14347" max="14347" width="15" style="295" customWidth="1"/>
    <col min="14348" max="14348" width="14.5546875" style="295" customWidth="1"/>
    <col min="14349" max="14349" width="10.33203125" style="295"/>
    <col min="14350" max="14350" width="7.44140625" style="295" customWidth="1"/>
    <col min="14351" max="14351" width="12.88671875" style="295" customWidth="1"/>
    <col min="14352" max="14352" width="11.109375" style="295" customWidth="1"/>
    <col min="14353" max="14353" width="14" style="295" customWidth="1"/>
    <col min="14354" max="14354" width="33" style="295" customWidth="1"/>
    <col min="14355" max="14355" width="6.6640625" style="295" customWidth="1"/>
    <col min="14356" max="14356" width="19" style="295" customWidth="1"/>
    <col min="14357" max="14357" width="19.109375" style="295" customWidth="1"/>
    <col min="14358" max="14358" width="21.33203125" style="295" customWidth="1"/>
    <col min="14359" max="14359" width="32.5546875" style="295" customWidth="1"/>
    <col min="14360" max="14360" width="16.88671875" style="295" customWidth="1"/>
    <col min="14361" max="14361" width="16.33203125" style="295" customWidth="1"/>
    <col min="14362" max="14592" width="10.33203125" style="295"/>
    <col min="14593" max="14593" width="4.44140625" style="295" customWidth="1"/>
    <col min="14594" max="14594" width="21.6640625" style="295" customWidth="1"/>
    <col min="14595" max="14595" width="15" style="295" customWidth="1"/>
    <col min="14596" max="14596" width="15.44140625" style="295" customWidth="1"/>
    <col min="14597" max="14597" width="11.5546875" style="295" customWidth="1"/>
    <col min="14598" max="14598" width="7.44140625" style="295" customWidth="1"/>
    <col min="14599" max="14599" width="14.109375" style="295" customWidth="1"/>
    <col min="14600" max="14600" width="10.6640625" style="295" customWidth="1"/>
    <col min="14601" max="14601" width="13.44140625" style="295" customWidth="1"/>
    <col min="14602" max="14602" width="11.44140625" style="295" customWidth="1"/>
    <col min="14603" max="14603" width="15" style="295" customWidth="1"/>
    <col min="14604" max="14604" width="14.5546875" style="295" customWidth="1"/>
    <col min="14605" max="14605" width="10.33203125" style="295"/>
    <col min="14606" max="14606" width="7.44140625" style="295" customWidth="1"/>
    <col min="14607" max="14607" width="12.88671875" style="295" customWidth="1"/>
    <col min="14608" max="14608" width="11.109375" style="295" customWidth="1"/>
    <col min="14609" max="14609" width="14" style="295" customWidth="1"/>
    <col min="14610" max="14610" width="33" style="295" customWidth="1"/>
    <col min="14611" max="14611" width="6.6640625" style="295" customWidth="1"/>
    <col min="14612" max="14612" width="19" style="295" customWidth="1"/>
    <col min="14613" max="14613" width="19.109375" style="295" customWidth="1"/>
    <col min="14614" max="14614" width="21.33203125" style="295" customWidth="1"/>
    <col min="14615" max="14615" width="32.5546875" style="295" customWidth="1"/>
    <col min="14616" max="14616" width="16.88671875" style="295" customWidth="1"/>
    <col min="14617" max="14617" width="16.33203125" style="295" customWidth="1"/>
    <col min="14618" max="14848" width="10.33203125" style="295"/>
    <col min="14849" max="14849" width="4.44140625" style="295" customWidth="1"/>
    <col min="14850" max="14850" width="21.6640625" style="295" customWidth="1"/>
    <col min="14851" max="14851" width="15" style="295" customWidth="1"/>
    <col min="14852" max="14852" width="15.44140625" style="295" customWidth="1"/>
    <col min="14853" max="14853" width="11.5546875" style="295" customWidth="1"/>
    <col min="14854" max="14854" width="7.44140625" style="295" customWidth="1"/>
    <col min="14855" max="14855" width="14.109375" style="295" customWidth="1"/>
    <col min="14856" max="14856" width="10.6640625" style="295" customWidth="1"/>
    <col min="14857" max="14857" width="13.44140625" style="295" customWidth="1"/>
    <col min="14858" max="14858" width="11.44140625" style="295" customWidth="1"/>
    <col min="14859" max="14859" width="15" style="295" customWidth="1"/>
    <col min="14860" max="14860" width="14.5546875" style="295" customWidth="1"/>
    <col min="14861" max="14861" width="10.33203125" style="295"/>
    <col min="14862" max="14862" width="7.44140625" style="295" customWidth="1"/>
    <col min="14863" max="14863" width="12.88671875" style="295" customWidth="1"/>
    <col min="14864" max="14864" width="11.109375" style="295" customWidth="1"/>
    <col min="14865" max="14865" width="14" style="295" customWidth="1"/>
    <col min="14866" max="14866" width="33" style="295" customWidth="1"/>
    <col min="14867" max="14867" width="6.6640625" style="295" customWidth="1"/>
    <col min="14868" max="14868" width="19" style="295" customWidth="1"/>
    <col min="14869" max="14869" width="19.109375" style="295" customWidth="1"/>
    <col min="14870" max="14870" width="21.33203125" style="295" customWidth="1"/>
    <col min="14871" max="14871" width="32.5546875" style="295" customWidth="1"/>
    <col min="14872" max="14872" width="16.88671875" style="295" customWidth="1"/>
    <col min="14873" max="14873" width="16.33203125" style="295" customWidth="1"/>
    <col min="14874" max="15104" width="10.33203125" style="295"/>
    <col min="15105" max="15105" width="4.44140625" style="295" customWidth="1"/>
    <col min="15106" max="15106" width="21.6640625" style="295" customWidth="1"/>
    <col min="15107" max="15107" width="15" style="295" customWidth="1"/>
    <col min="15108" max="15108" width="15.44140625" style="295" customWidth="1"/>
    <col min="15109" max="15109" width="11.5546875" style="295" customWidth="1"/>
    <col min="15110" max="15110" width="7.44140625" style="295" customWidth="1"/>
    <col min="15111" max="15111" width="14.109375" style="295" customWidth="1"/>
    <col min="15112" max="15112" width="10.6640625" style="295" customWidth="1"/>
    <col min="15113" max="15113" width="13.44140625" style="295" customWidth="1"/>
    <col min="15114" max="15114" width="11.44140625" style="295" customWidth="1"/>
    <col min="15115" max="15115" width="15" style="295" customWidth="1"/>
    <col min="15116" max="15116" width="14.5546875" style="295" customWidth="1"/>
    <col min="15117" max="15117" width="10.33203125" style="295"/>
    <col min="15118" max="15118" width="7.44140625" style="295" customWidth="1"/>
    <col min="15119" max="15119" width="12.88671875" style="295" customWidth="1"/>
    <col min="15120" max="15120" width="11.109375" style="295" customWidth="1"/>
    <col min="15121" max="15121" width="14" style="295" customWidth="1"/>
    <col min="15122" max="15122" width="33" style="295" customWidth="1"/>
    <col min="15123" max="15123" width="6.6640625" style="295" customWidth="1"/>
    <col min="15124" max="15124" width="19" style="295" customWidth="1"/>
    <col min="15125" max="15125" width="19.109375" style="295" customWidth="1"/>
    <col min="15126" max="15126" width="21.33203125" style="295" customWidth="1"/>
    <col min="15127" max="15127" width="32.5546875" style="295" customWidth="1"/>
    <col min="15128" max="15128" width="16.88671875" style="295" customWidth="1"/>
    <col min="15129" max="15129" width="16.33203125" style="295" customWidth="1"/>
    <col min="15130" max="15360" width="10.33203125" style="295"/>
    <col min="15361" max="15361" width="4.44140625" style="295" customWidth="1"/>
    <col min="15362" max="15362" width="21.6640625" style="295" customWidth="1"/>
    <col min="15363" max="15363" width="15" style="295" customWidth="1"/>
    <col min="15364" max="15364" width="15.44140625" style="295" customWidth="1"/>
    <col min="15365" max="15365" width="11.5546875" style="295" customWidth="1"/>
    <col min="15366" max="15366" width="7.44140625" style="295" customWidth="1"/>
    <col min="15367" max="15367" width="14.109375" style="295" customWidth="1"/>
    <col min="15368" max="15368" width="10.6640625" style="295" customWidth="1"/>
    <col min="15369" max="15369" width="13.44140625" style="295" customWidth="1"/>
    <col min="15370" max="15370" width="11.44140625" style="295" customWidth="1"/>
    <col min="15371" max="15371" width="15" style="295" customWidth="1"/>
    <col min="15372" max="15372" width="14.5546875" style="295" customWidth="1"/>
    <col min="15373" max="15373" width="10.33203125" style="295"/>
    <col min="15374" max="15374" width="7.44140625" style="295" customWidth="1"/>
    <col min="15375" max="15375" width="12.88671875" style="295" customWidth="1"/>
    <col min="15376" max="15376" width="11.109375" style="295" customWidth="1"/>
    <col min="15377" max="15377" width="14" style="295" customWidth="1"/>
    <col min="15378" max="15378" width="33" style="295" customWidth="1"/>
    <col min="15379" max="15379" width="6.6640625" style="295" customWidth="1"/>
    <col min="15380" max="15380" width="19" style="295" customWidth="1"/>
    <col min="15381" max="15381" width="19.109375" style="295" customWidth="1"/>
    <col min="15382" max="15382" width="21.33203125" style="295" customWidth="1"/>
    <col min="15383" max="15383" width="32.5546875" style="295" customWidth="1"/>
    <col min="15384" max="15384" width="16.88671875" style="295" customWidth="1"/>
    <col min="15385" max="15385" width="16.33203125" style="295" customWidth="1"/>
    <col min="15386" max="15616" width="10.33203125" style="295"/>
    <col min="15617" max="15617" width="4.44140625" style="295" customWidth="1"/>
    <col min="15618" max="15618" width="21.6640625" style="295" customWidth="1"/>
    <col min="15619" max="15619" width="15" style="295" customWidth="1"/>
    <col min="15620" max="15620" width="15.44140625" style="295" customWidth="1"/>
    <col min="15621" max="15621" width="11.5546875" style="295" customWidth="1"/>
    <col min="15622" max="15622" width="7.44140625" style="295" customWidth="1"/>
    <col min="15623" max="15623" width="14.109375" style="295" customWidth="1"/>
    <col min="15624" max="15624" width="10.6640625" style="295" customWidth="1"/>
    <col min="15625" max="15625" width="13.44140625" style="295" customWidth="1"/>
    <col min="15626" max="15626" width="11.44140625" style="295" customWidth="1"/>
    <col min="15627" max="15627" width="15" style="295" customWidth="1"/>
    <col min="15628" max="15628" width="14.5546875" style="295" customWidth="1"/>
    <col min="15629" max="15629" width="10.33203125" style="295"/>
    <col min="15630" max="15630" width="7.44140625" style="295" customWidth="1"/>
    <col min="15631" max="15631" width="12.88671875" style="295" customWidth="1"/>
    <col min="15632" max="15632" width="11.109375" style="295" customWidth="1"/>
    <col min="15633" max="15633" width="14" style="295" customWidth="1"/>
    <col min="15634" max="15634" width="33" style="295" customWidth="1"/>
    <col min="15635" max="15635" width="6.6640625" style="295" customWidth="1"/>
    <col min="15636" max="15636" width="19" style="295" customWidth="1"/>
    <col min="15637" max="15637" width="19.109375" style="295" customWidth="1"/>
    <col min="15638" max="15638" width="21.33203125" style="295" customWidth="1"/>
    <col min="15639" max="15639" width="32.5546875" style="295" customWidth="1"/>
    <col min="15640" max="15640" width="16.88671875" style="295" customWidth="1"/>
    <col min="15641" max="15641" width="16.33203125" style="295" customWidth="1"/>
    <col min="15642" max="15872" width="10.33203125" style="295"/>
    <col min="15873" max="15873" width="4.44140625" style="295" customWidth="1"/>
    <col min="15874" max="15874" width="21.6640625" style="295" customWidth="1"/>
    <col min="15875" max="15875" width="15" style="295" customWidth="1"/>
    <col min="15876" max="15876" width="15.44140625" style="295" customWidth="1"/>
    <col min="15877" max="15877" width="11.5546875" style="295" customWidth="1"/>
    <col min="15878" max="15878" width="7.44140625" style="295" customWidth="1"/>
    <col min="15879" max="15879" width="14.109375" style="295" customWidth="1"/>
    <col min="15880" max="15880" width="10.6640625" style="295" customWidth="1"/>
    <col min="15881" max="15881" width="13.44140625" style="295" customWidth="1"/>
    <col min="15882" max="15882" width="11.44140625" style="295" customWidth="1"/>
    <col min="15883" max="15883" width="15" style="295" customWidth="1"/>
    <col min="15884" max="15884" width="14.5546875" style="295" customWidth="1"/>
    <col min="15885" max="15885" width="10.33203125" style="295"/>
    <col min="15886" max="15886" width="7.44140625" style="295" customWidth="1"/>
    <col min="15887" max="15887" width="12.88671875" style="295" customWidth="1"/>
    <col min="15888" max="15888" width="11.109375" style="295" customWidth="1"/>
    <col min="15889" max="15889" width="14" style="295" customWidth="1"/>
    <col min="15890" max="15890" width="33" style="295" customWidth="1"/>
    <col min="15891" max="15891" width="6.6640625" style="295" customWidth="1"/>
    <col min="15892" max="15892" width="19" style="295" customWidth="1"/>
    <col min="15893" max="15893" width="19.109375" style="295" customWidth="1"/>
    <col min="15894" max="15894" width="21.33203125" style="295" customWidth="1"/>
    <col min="15895" max="15895" width="32.5546875" style="295" customWidth="1"/>
    <col min="15896" max="15896" width="16.88671875" style="295" customWidth="1"/>
    <col min="15897" max="15897" width="16.33203125" style="295" customWidth="1"/>
    <col min="15898" max="16128" width="10.33203125" style="295"/>
    <col min="16129" max="16129" width="4.44140625" style="295" customWidth="1"/>
    <col min="16130" max="16130" width="21.6640625" style="295" customWidth="1"/>
    <col min="16131" max="16131" width="15" style="295" customWidth="1"/>
    <col min="16132" max="16132" width="15.44140625" style="295" customWidth="1"/>
    <col min="16133" max="16133" width="11.5546875" style="295" customWidth="1"/>
    <col min="16134" max="16134" width="7.44140625" style="295" customWidth="1"/>
    <col min="16135" max="16135" width="14.109375" style="295" customWidth="1"/>
    <col min="16136" max="16136" width="10.6640625" style="295" customWidth="1"/>
    <col min="16137" max="16137" width="13.44140625" style="295" customWidth="1"/>
    <col min="16138" max="16138" width="11.44140625" style="295" customWidth="1"/>
    <col min="16139" max="16139" width="15" style="295" customWidth="1"/>
    <col min="16140" max="16140" width="14.5546875" style="295" customWidth="1"/>
    <col min="16141" max="16141" width="10.33203125" style="295"/>
    <col min="16142" max="16142" width="7.44140625" style="295" customWidth="1"/>
    <col min="16143" max="16143" width="12.88671875" style="295" customWidth="1"/>
    <col min="16144" max="16144" width="11.109375" style="295" customWidth="1"/>
    <col min="16145" max="16145" width="14" style="295" customWidth="1"/>
    <col min="16146" max="16146" width="33" style="295" customWidth="1"/>
    <col min="16147" max="16147" width="6.6640625" style="295" customWidth="1"/>
    <col min="16148" max="16148" width="19" style="295" customWidth="1"/>
    <col min="16149" max="16149" width="19.109375" style="295" customWidth="1"/>
    <col min="16150" max="16150" width="21.33203125" style="295" customWidth="1"/>
    <col min="16151" max="16151" width="32.5546875" style="295" customWidth="1"/>
    <col min="16152" max="16152" width="16.88671875" style="295" customWidth="1"/>
    <col min="16153" max="16153" width="16.33203125" style="295" customWidth="1"/>
    <col min="16154" max="16384" width="10.33203125" style="295"/>
  </cols>
  <sheetData>
    <row r="1" spans="1:30">
      <c r="A1" s="752" t="s">
        <v>0</v>
      </c>
      <c r="B1" s="752"/>
      <c r="C1" s="752"/>
      <c r="D1" s="752"/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</row>
    <row r="2" spans="1:30">
      <c r="A2" s="752" t="s">
        <v>1</v>
      </c>
      <c r="B2" s="752"/>
      <c r="C2" s="752"/>
      <c r="D2" s="752"/>
      <c r="E2" s="752"/>
      <c r="F2" s="752"/>
      <c r="G2" s="752"/>
      <c r="H2" s="752"/>
      <c r="I2" s="752"/>
      <c r="J2" s="752"/>
      <c r="K2" s="752"/>
      <c r="L2" s="752"/>
      <c r="M2" s="752"/>
      <c r="N2" s="752"/>
      <c r="O2" s="752"/>
      <c r="P2" s="752"/>
      <c r="Q2" s="752"/>
      <c r="R2" s="752"/>
    </row>
    <row r="3" spans="1:30">
      <c r="A3" s="753" t="s">
        <v>404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3"/>
      <c r="N3" s="753"/>
      <c r="O3" s="753"/>
      <c r="P3" s="753"/>
      <c r="Q3" s="753"/>
      <c r="R3" s="753"/>
    </row>
    <row r="4" spans="1:30">
      <c r="A4" s="297" t="s">
        <v>3</v>
      </c>
      <c r="B4" s="297" t="s">
        <v>4</v>
      </c>
      <c r="C4" s="297" t="s">
        <v>5</v>
      </c>
      <c r="D4" s="298" t="s">
        <v>6</v>
      </c>
      <c r="E4" s="754" t="s">
        <v>7</v>
      </c>
      <c r="F4" s="755"/>
      <c r="G4" s="755"/>
      <c r="H4" s="755"/>
      <c r="I4" s="756"/>
      <c r="J4" s="757" t="s">
        <v>8</v>
      </c>
      <c r="K4" s="758"/>
      <c r="L4" s="759"/>
      <c r="M4" s="754" t="s">
        <v>9</v>
      </c>
      <c r="N4" s="755"/>
      <c r="O4" s="755"/>
      <c r="P4" s="755"/>
      <c r="Q4" s="756"/>
      <c r="R4" s="303" t="s">
        <v>10</v>
      </c>
      <c r="T4" s="295" t="s">
        <v>11</v>
      </c>
      <c r="U4" s="304"/>
      <c r="V4" s="305" t="s">
        <v>12</v>
      </c>
      <c r="W4" s="305" t="s">
        <v>13</v>
      </c>
      <c r="X4" s="306" t="s">
        <v>14</v>
      </c>
      <c r="Y4" s="295" t="s">
        <v>15</v>
      </c>
      <c r="Z4" s="295" t="s">
        <v>16</v>
      </c>
      <c r="AA4" s="295" t="s">
        <v>17</v>
      </c>
      <c r="AB4" s="295" t="s">
        <v>18</v>
      </c>
      <c r="AC4" s="295" t="s">
        <v>19</v>
      </c>
      <c r="AD4" s="295" t="s">
        <v>10</v>
      </c>
    </row>
    <row r="5" spans="1:30">
      <c r="A5" s="297"/>
      <c r="B5" s="307"/>
      <c r="C5" s="297"/>
      <c r="D5" s="308" t="s">
        <v>20</v>
      </c>
      <c r="E5" s="303" t="s">
        <v>21</v>
      </c>
      <c r="F5" s="303" t="s">
        <v>22</v>
      </c>
      <c r="G5" s="299"/>
      <c r="H5" s="300" t="s">
        <v>23</v>
      </c>
      <c r="I5" s="301"/>
      <c r="J5" s="309"/>
      <c r="K5" s="310"/>
      <c r="L5" s="302"/>
      <c r="M5" s="303" t="s">
        <v>21</v>
      </c>
      <c r="N5" s="303" t="s">
        <v>22</v>
      </c>
      <c r="O5" s="311"/>
      <c r="P5" s="311" t="s">
        <v>23</v>
      </c>
      <c r="Q5" s="301"/>
      <c r="R5" s="312"/>
      <c r="T5" s="313"/>
      <c r="U5" s="314"/>
      <c r="V5" s="315"/>
      <c r="W5" s="315"/>
      <c r="X5" s="316"/>
      <c r="Y5" s="313"/>
      <c r="Z5" s="317"/>
      <c r="AA5" s="313"/>
      <c r="AB5" s="313"/>
      <c r="AC5" s="313"/>
      <c r="AD5" s="313"/>
    </row>
    <row r="6" spans="1:30">
      <c r="A6" s="297"/>
      <c r="B6" s="297"/>
      <c r="C6" s="297"/>
      <c r="D6" s="318"/>
      <c r="E6" s="312"/>
      <c r="F6" s="312"/>
      <c r="G6" s="301" t="s">
        <v>24</v>
      </c>
      <c r="H6" s="319" t="s">
        <v>25</v>
      </c>
      <c r="I6" s="319" t="s">
        <v>26</v>
      </c>
      <c r="J6" s="320" t="s">
        <v>27</v>
      </c>
      <c r="K6" s="310" t="s">
        <v>28</v>
      </c>
      <c r="L6" s="302" t="s">
        <v>29</v>
      </c>
      <c r="M6" s="312"/>
      <c r="N6" s="312"/>
      <c r="O6" s="321" t="s">
        <v>24</v>
      </c>
      <c r="P6" s="322" t="s">
        <v>25</v>
      </c>
      <c r="Q6" s="322" t="s">
        <v>26</v>
      </c>
      <c r="R6" s="323"/>
    </row>
    <row r="7" spans="1:30" hidden="1">
      <c r="A7" s="297"/>
      <c r="B7" s="324" t="s">
        <v>30</v>
      </c>
      <c r="C7" s="297"/>
      <c r="D7" s="318"/>
      <c r="E7" s="312"/>
      <c r="F7" s="312"/>
      <c r="G7" s="301"/>
      <c r="H7" s="319"/>
      <c r="I7" s="319"/>
      <c r="J7" s="320"/>
      <c r="K7" s="310"/>
      <c r="L7" s="302"/>
      <c r="M7" s="312"/>
      <c r="N7" s="312"/>
      <c r="O7" s="321"/>
      <c r="P7" s="322"/>
      <c r="Q7" s="322"/>
      <c r="R7" s="323"/>
    </row>
    <row r="8" spans="1:30" ht="1.8" customHeight="1" thickBot="1">
      <c r="A8" s="297">
        <v>1</v>
      </c>
      <c r="B8" s="324"/>
      <c r="C8" s="297"/>
      <c r="D8" s="325"/>
      <c r="E8" s="326"/>
      <c r="F8" s="326"/>
      <c r="G8" s="327"/>
      <c r="H8" s="328"/>
      <c r="I8" s="328"/>
      <c r="J8" s="329"/>
      <c r="K8" s="330"/>
      <c r="L8" s="331"/>
      <c r="M8" s="326"/>
      <c r="N8" s="326"/>
      <c r="O8" s="327"/>
      <c r="P8" s="328"/>
      <c r="Q8" s="328"/>
      <c r="R8" s="323"/>
    </row>
    <row r="9" spans="1:30" ht="20.399999999999999" hidden="1" customHeight="1">
      <c r="A9" s="297"/>
      <c r="B9" s="297" t="s">
        <v>26</v>
      </c>
      <c r="C9" s="297"/>
      <c r="D9" s="332"/>
      <c r="E9" s="333"/>
      <c r="F9" s="333"/>
      <c r="G9" s="334"/>
      <c r="H9" s="335"/>
      <c r="I9" s="335"/>
      <c r="J9" s="336"/>
      <c r="K9" s="337"/>
      <c r="L9" s="338"/>
      <c r="M9" s="333"/>
      <c r="N9" s="333"/>
      <c r="O9" s="334"/>
      <c r="P9" s="335"/>
      <c r="Q9" s="335"/>
      <c r="R9" s="323"/>
    </row>
    <row r="10" spans="1:30" ht="24.6" customHeight="1" thickTop="1">
      <c r="A10" s="323"/>
      <c r="B10" s="339" t="s">
        <v>31</v>
      </c>
      <c r="C10" s="323"/>
      <c r="D10" s="340"/>
      <c r="E10" s="340"/>
      <c r="F10" s="340"/>
      <c r="G10" s="340"/>
      <c r="H10" s="340"/>
      <c r="I10" s="340"/>
      <c r="J10" s="341"/>
      <c r="K10" s="342"/>
      <c r="L10" s="342"/>
      <c r="M10" s="340"/>
      <c r="N10" s="322"/>
      <c r="O10" s="340"/>
      <c r="P10" s="340"/>
      <c r="Q10" s="340"/>
      <c r="R10" s="323"/>
    </row>
    <row r="11" spans="1:30" ht="24.6" customHeight="1" thickBot="1">
      <c r="A11" s="319">
        <v>1</v>
      </c>
      <c r="B11" s="323" t="s">
        <v>32</v>
      </c>
      <c r="C11" s="323"/>
      <c r="D11" s="343"/>
      <c r="E11" s="319"/>
      <c r="F11" s="319"/>
      <c r="G11" s="343"/>
      <c r="H11" s="343"/>
      <c r="I11" s="343"/>
      <c r="J11" s="320"/>
      <c r="K11" s="344"/>
      <c r="L11" s="345"/>
      <c r="M11" s="319"/>
      <c r="N11" s="319"/>
      <c r="O11" s="343"/>
      <c r="P11" s="346"/>
      <c r="Q11" s="346"/>
      <c r="R11" s="323"/>
    </row>
    <row r="12" spans="1:30" ht="24.6" customHeight="1" thickTop="1" thickBot="1">
      <c r="A12" s="323"/>
      <c r="B12" s="319" t="s">
        <v>26</v>
      </c>
      <c r="C12" s="323"/>
      <c r="D12" s="347">
        <v>0</v>
      </c>
      <c r="E12" s="347"/>
      <c r="F12" s="347"/>
      <c r="G12" s="347">
        <v>0</v>
      </c>
      <c r="H12" s="347">
        <v>0</v>
      </c>
      <c r="I12" s="347">
        <v>0</v>
      </c>
      <c r="J12" s="348"/>
      <c r="K12" s="348"/>
      <c r="L12" s="348"/>
      <c r="M12" s="347"/>
      <c r="N12" s="349"/>
      <c r="O12" s="347">
        <v>0</v>
      </c>
      <c r="P12" s="347">
        <v>0</v>
      </c>
      <c r="Q12" s="347">
        <v>0</v>
      </c>
      <c r="R12" s="323"/>
    </row>
    <row r="13" spans="1:30" ht="22.8" customHeight="1" thickTop="1">
      <c r="A13" s="323"/>
      <c r="B13" s="339" t="s">
        <v>33</v>
      </c>
      <c r="C13" s="323"/>
      <c r="D13" s="350"/>
      <c r="E13" s="340"/>
      <c r="F13" s="340"/>
      <c r="G13" s="350"/>
      <c r="H13" s="350"/>
      <c r="I13" s="350"/>
      <c r="J13" s="341"/>
      <c r="K13" s="342"/>
      <c r="L13" s="351"/>
      <c r="M13" s="340"/>
      <c r="N13" s="322"/>
      <c r="O13" s="350"/>
      <c r="P13" s="350"/>
      <c r="Q13" s="350"/>
      <c r="R13" s="340"/>
    </row>
    <row r="14" spans="1:30" ht="23.4" customHeight="1">
      <c r="A14" s="319"/>
      <c r="B14" s="319"/>
      <c r="C14" s="323"/>
      <c r="D14" s="352"/>
      <c r="E14" s="323"/>
      <c r="F14" s="323"/>
      <c r="G14" s="352" t="s">
        <v>34</v>
      </c>
      <c r="H14" s="352" t="s">
        <v>34</v>
      </c>
      <c r="I14" s="352" t="s">
        <v>34</v>
      </c>
      <c r="J14" s="353"/>
      <c r="K14" s="354"/>
      <c r="L14" s="355"/>
      <c r="M14" s="323"/>
      <c r="N14" s="319"/>
      <c r="O14" s="352" t="s">
        <v>34</v>
      </c>
      <c r="P14" s="352" t="s">
        <v>34</v>
      </c>
      <c r="Q14" s="352" t="s">
        <v>34</v>
      </c>
      <c r="R14" s="323"/>
    </row>
    <row r="15" spans="1:30" ht="17.399999999999999" customHeight="1" thickBot="1">
      <c r="A15" s="323"/>
      <c r="B15" s="319" t="s">
        <v>26</v>
      </c>
      <c r="C15" s="323"/>
      <c r="D15" s="356">
        <v>0</v>
      </c>
      <c r="E15" s="357"/>
      <c r="F15" s="357"/>
      <c r="G15" s="356">
        <v>0</v>
      </c>
      <c r="H15" s="356">
        <v>0</v>
      </c>
      <c r="I15" s="356">
        <v>0</v>
      </c>
      <c r="J15" s="358"/>
      <c r="K15" s="359"/>
      <c r="L15" s="360"/>
      <c r="M15" s="357"/>
      <c r="N15" s="335"/>
      <c r="O15" s="356">
        <v>0</v>
      </c>
      <c r="P15" s="356">
        <v>0</v>
      </c>
      <c r="Q15" s="356">
        <v>0</v>
      </c>
      <c r="R15" s="323"/>
      <c r="V15" s="343"/>
    </row>
    <row r="16" spans="1:30" ht="25.2" thickTop="1">
      <c r="A16" s="323"/>
      <c r="B16" s="339" t="s">
        <v>35</v>
      </c>
      <c r="C16" s="323"/>
      <c r="D16" s="340"/>
      <c r="E16" s="340"/>
      <c r="F16" s="340"/>
      <c r="G16" s="340"/>
      <c r="H16" s="340"/>
      <c r="I16" s="340"/>
      <c r="J16" s="341"/>
      <c r="K16" s="342"/>
      <c r="L16" s="342"/>
      <c r="M16" s="340"/>
      <c r="N16" s="322"/>
      <c r="O16" s="340"/>
      <c r="P16" s="340"/>
      <c r="Q16" s="340"/>
      <c r="R16" s="340"/>
    </row>
    <row r="17" spans="1:20" ht="25.2" thickBot="1">
      <c r="A17" s="319">
        <v>1</v>
      </c>
      <c r="B17" s="323" t="s">
        <v>36</v>
      </c>
      <c r="C17" s="323"/>
      <c r="D17" s="343">
        <v>0</v>
      </c>
      <c r="E17" s="361"/>
      <c r="F17" s="319"/>
      <c r="G17" s="352">
        <v>0</v>
      </c>
      <c r="H17" s="352">
        <v>0</v>
      </c>
      <c r="I17" s="352">
        <v>0</v>
      </c>
      <c r="J17" s="362"/>
      <c r="K17" s="363"/>
      <c r="L17" s="364"/>
      <c r="M17" s="361"/>
      <c r="N17" s="319"/>
      <c r="O17" s="365">
        <v>0</v>
      </c>
      <c r="P17" s="366">
        <v>0</v>
      </c>
      <c r="Q17" s="366">
        <v>0</v>
      </c>
      <c r="R17" s="323"/>
    </row>
    <row r="18" spans="1:20" ht="25.8" thickTop="1" thickBot="1">
      <c r="A18" s="323"/>
      <c r="B18" s="319" t="s">
        <v>26</v>
      </c>
      <c r="C18" s="323"/>
      <c r="D18" s="347">
        <v>0</v>
      </c>
      <c r="E18" s="347"/>
      <c r="F18" s="347"/>
      <c r="G18" s="347">
        <v>0</v>
      </c>
      <c r="H18" s="347">
        <v>0</v>
      </c>
      <c r="I18" s="347">
        <v>0</v>
      </c>
      <c r="J18" s="348"/>
      <c r="K18" s="348"/>
      <c r="L18" s="348"/>
      <c r="M18" s="347"/>
      <c r="N18" s="349"/>
      <c r="O18" s="347">
        <v>0</v>
      </c>
      <c r="P18" s="347">
        <v>0</v>
      </c>
      <c r="Q18" s="347">
        <v>0</v>
      </c>
      <c r="R18" s="367"/>
    </row>
    <row r="19" spans="1:20" ht="25.2" hidden="1" thickTop="1">
      <c r="A19" s="323"/>
      <c r="B19" s="339" t="s">
        <v>37</v>
      </c>
      <c r="C19" s="323"/>
      <c r="D19" s="350"/>
      <c r="E19" s="340"/>
      <c r="F19" s="340"/>
      <c r="G19" s="350"/>
      <c r="H19" s="350"/>
      <c r="I19" s="350"/>
      <c r="J19" s="341"/>
      <c r="K19" s="342"/>
      <c r="L19" s="351"/>
      <c r="M19" s="340"/>
      <c r="N19" s="322"/>
      <c r="O19" s="350"/>
      <c r="P19" s="350"/>
      <c r="Q19" s="350"/>
      <c r="R19" s="323"/>
    </row>
    <row r="20" spans="1:20" ht="25.8" hidden="1" thickTop="1" thickBot="1">
      <c r="A20" s="319">
        <v>1</v>
      </c>
      <c r="B20" s="319"/>
      <c r="C20" s="323"/>
      <c r="D20" s="368"/>
      <c r="E20" s="369"/>
      <c r="F20" s="369"/>
      <c r="G20" s="368"/>
      <c r="H20" s="368"/>
      <c r="I20" s="368"/>
      <c r="J20" s="370"/>
      <c r="K20" s="371"/>
      <c r="L20" s="372"/>
      <c r="M20" s="369"/>
      <c r="N20" s="328"/>
      <c r="O20" s="368"/>
      <c r="P20" s="368"/>
      <c r="Q20" s="368"/>
      <c r="R20" s="323"/>
    </row>
    <row r="21" spans="1:20" ht="25.8" hidden="1" thickTop="1" thickBot="1">
      <c r="A21" s="319"/>
      <c r="B21" s="319" t="s">
        <v>26</v>
      </c>
      <c r="C21" s="323"/>
      <c r="D21" s="347"/>
      <c r="E21" s="373"/>
      <c r="F21" s="373"/>
      <c r="G21" s="347"/>
      <c r="H21" s="347"/>
      <c r="I21" s="347"/>
      <c r="J21" s="374"/>
      <c r="K21" s="375"/>
      <c r="L21" s="348"/>
      <c r="M21" s="373"/>
      <c r="N21" s="376"/>
      <c r="O21" s="347"/>
      <c r="P21" s="347"/>
      <c r="Q21" s="347"/>
      <c r="R21" s="340"/>
    </row>
    <row r="22" spans="1:20" ht="25.2" hidden="1" thickTop="1">
      <c r="A22" s="319"/>
      <c r="B22" s="339" t="s">
        <v>38</v>
      </c>
      <c r="C22" s="323"/>
      <c r="D22" s="350"/>
      <c r="E22" s="340"/>
      <c r="F22" s="340"/>
      <c r="G22" s="350"/>
      <c r="H22" s="350"/>
      <c r="I22" s="350"/>
      <c r="J22" s="341"/>
      <c r="K22" s="342"/>
      <c r="L22" s="351"/>
      <c r="M22" s="340"/>
      <c r="N22" s="322"/>
      <c r="O22" s="350"/>
      <c r="P22" s="350"/>
      <c r="Q22" s="350"/>
      <c r="R22" s="340"/>
    </row>
    <row r="23" spans="1:20" ht="25.8" hidden="1" thickTop="1" thickBot="1">
      <c r="A23" s="319">
        <v>1</v>
      </c>
      <c r="B23" s="319"/>
      <c r="C23" s="323"/>
      <c r="D23" s="368"/>
      <c r="E23" s="369"/>
      <c r="F23" s="369"/>
      <c r="G23" s="368"/>
      <c r="H23" s="368"/>
      <c r="I23" s="368"/>
      <c r="J23" s="370"/>
      <c r="K23" s="371"/>
      <c r="L23" s="372"/>
      <c r="M23" s="369"/>
      <c r="N23" s="328"/>
      <c r="O23" s="368"/>
      <c r="P23" s="368"/>
      <c r="Q23" s="368"/>
      <c r="R23" s="340"/>
    </row>
    <row r="24" spans="1:20" ht="25.8" hidden="1" thickTop="1" thickBot="1">
      <c r="A24" s="319"/>
      <c r="B24" s="319" t="s">
        <v>26</v>
      </c>
      <c r="C24" s="323"/>
      <c r="D24" s="356"/>
      <c r="E24" s="357"/>
      <c r="F24" s="357"/>
      <c r="G24" s="356"/>
      <c r="H24" s="356"/>
      <c r="I24" s="356"/>
      <c r="J24" s="358"/>
      <c r="K24" s="359"/>
      <c r="L24" s="360"/>
      <c r="M24" s="357"/>
      <c r="N24" s="335"/>
      <c r="O24" s="356"/>
      <c r="P24" s="356"/>
      <c r="Q24" s="356"/>
      <c r="R24" s="340"/>
    </row>
    <row r="25" spans="1:20" ht="25.2" thickTop="1">
      <c r="A25" s="323"/>
      <c r="B25" s="339" t="s">
        <v>39</v>
      </c>
      <c r="C25" s="323"/>
      <c r="D25" s="340"/>
      <c r="E25" s="340"/>
      <c r="F25" s="340"/>
      <c r="G25" s="340"/>
      <c r="H25" s="340"/>
      <c r="I25" s="340"/>
      <c r="J25" s="341"/>
      <c r="K25" s="342"/>
      <c r="L25" s="342"/>
      <c r="M25" s="340"/>
      <c r="N25" s="322"/>
      <c r="O25" s="340"/>
      <c r="P25" s="340"/>
      <c r="Q25" s="340"/>
      <c r="R25" s="340"/>
    </row>
    <row r="26" spans="1:20">
      <c r="A26" s="319">
        <v>1</v>
      </c>
      <c r="B26" s="323" t="s">
        <v>40</v>
      </c>
      <c r="C26" s="323"/>
      <c r="D26" s="377">
        <v>0</v>
      </c>
      <c r="E26" s="361"/>
      <c r="F26" s="319"/>
      <c r="G26" s="346">
        <v>0</v>
      </c>
      <c r="H26" s="352">
        <v>0</v>
      </c>
      <c r="I26" s="346">
        <v>0</v>
      </c>
      <c r="J26" s="362"/>
      <c r="K26" s="363"/>
      <c r="L26" s="378"/>
      <c r="M26" s="361"/>
      <c r="N26" s="319"/>
      <c r="O26" s="365">
        <v>0</v>
      </c>
      <c r="P26" s="366">
        <v>0</v>
      </c>
      <c r="Q26" s="366">
        <v>0</v>
      </c>
      <c r="R26" s="323" t="s">
        <v>41</v>
      </c>
    </row>
    <row r="27" spans="1:20">
      <c r="A27" s="379">
        <v>2</v>
      </c>
      <c r="B27" s="380" t="s">
        <v>277</v>
      </c>
      <c r="C27" s="380"/>
      <c r="D27" s="377">
        <v>535</v>
      </c>
      <c r="E27" s="379"/>
      <c r="F27" s="379"/>
      <c r="G27" s="381">
        <v>0</v>
      </c>
      <c r="H27" s="382">
        <v>0</v>
      </c>
      <c r="I27" s="381">
        <v>0</v>
      </c>
      <c r="J27" s="383">
        <v>25296</v>
      </c>
      <c r="K27" s="384" t="s">
        <v>407</v>
      </c>
      <c r="L27" s="351">
        <v>535</v>
      </c>
      <c r="M27" s="319"/>
      <c r="N27" s="319"/>
      <c r="O27" s="365">
        <v>0</v>
      </c>
      <c r="P27" s="366">
        <v>0</v>
      </c>
      <c r="Q27" s="366">
        <v>0</v>
      </c>
      <c r="R27" s="323"/>
    </row>
    <row r="28" spans="1:20" s="395" customFormat="1">
      <c r="A28" s="385">
        <v>3</v>
      </c>
      <c r="B28" s="386" t="s">
        <v>44</v>
      </c>
      <c r="C28" s="387"/>
      <c r="D28" s="388">
        <v>1070</v>
      </c>
      <c r="E28" s="389"/>
      <c r="F28" s="385"/>
      <c r="G28" s="390">
        <v>0</v>
      </c>
      <c r="H28" s="391">
        <v>0</v>
      </c>
      <c r="I28" s="390">
        <v>0</v>
      </c>
      <c r="J28" s="383"/>
      <c r="K28" s="384"/>
      <c r="L28" s="351"/>
      <c r="M28" s="392">
        <v>25294</v>
      </c>
      <c r="N28" s="393">
        <v>1</v>
      </c>
      <c r="O28" s="365">
        <v>1000</v>
      </c>
      <c r="P28" s="366">
        <v>70</v>
      </c>
      <c r="Q28" s="366">
        <v>1070</v>
      </c>
      <c r="R28" s="394"/>
      <c r="T28" s="396"/>
    </row>
    <row r="29" spans="1:20">
      <c r="A29" s="379">
        <v>4</v>
      </c>
      <c r="B29" s="380" t="s">
        <v>46</v>
      </c>
      <c r="C29" s="380"/>
      <c r="D29" s="397">
        <v>535</v>
      </c>
      <c r="E29" s="398"/>
      <c r="F29" s="398"/>
      <c r="G29" s="399"/>
      <c r="H29" s="382"/>
      <c r="I29" s="381"/>
      <c r="J29" s="320">
        <v>25323</v>
      </c>
      <c r="K29" s="400" t="s">
        <v>408</v>
      </c>
      <c r="L29" s="401">
        <v>535</v>
      </c>
      <c r="M29" s="322"/>
      <c r="N29" s="322"/>
      <c r="O29" s="365">
        <v>0</v>
      </c>
      <c r="P29" s="402">
        <v>0</v>
      </c>
      <c r="Q29" s="402">
        <v>0</v>
      </c>
      <c r="R29" s="403" t="s">
        <v>48</v>
      </c>
    </row>
    <row r="30" spans="1:20" ht="25.2" thickBot="1">
      <c r="A30" s="323"/>
      <c r="B30" s="319" t="s">
        <v>26</v>
      </c>
      <c r="C30" s="323"/>
      <c r="D30" s="404">
        <f>SUM(D26:D29)</f>
        <v>2140</v>
      </c>
      <c r="E30" s="356"/>
      <c r="F30" s="356"/>
      <c r="G30" s="404">
        <v>0</v>
      </c>
      <c r="H30" s="404">
        <v>0</v>
      </c>
      <c r="I30" s="404">
        <v>0</v>
      </c>
      <c r="J30" s="360"/>
      <c r="K30" s="360"/>
      <c r="L30" s="405">
        <f>SUM(L27:L29)</f>
        <v>1070</v>
      </c>
      <c r="M30" s="356"/>
      <c r="N30" s="406"/>
      <c r="O30" s="407">
        <v>0</v>
      </c>
      <c r="P30" s="408">
        <v>0</v>
      </c>
      <c r="Q30" s="408">
        <v>0</v>
      </c>
      <c r="R30" s="367"/>
    </row>
    <row r="31" spans="1:20" ht="25.2" hidden="1" thickTop="1">
      <c r="A31" s="323"/>
      <c r="B31" s="339" t="s">
        <v>49</v>
      </c>
      <c r="C31" s="323"/>
      <c r="D31" s="350"/>
      <c r="E31" s="409"/>
      <c r="F31" s="409"/>
      <c r="G31" s="350"/>
      <c r="H31" s="350"/>
      <c r="I31" s="350"/>
      <c r="J31" s="341"/>
      <c r="K31" s="342"/>
      <c r="L31" s="351"/>
      <c r="M31" s="340"/>
      <c r="N31" s="322"/>
      <c r="O31" s="350"/>
      <c r="P31" s="350"/>
      <c r="Q31" s="350"/>
      <c r="R31" s="323"/>
    </row>
    <row r="32" spans="1:20" ht="16.5" hidden="1" customHeight="1">
      <c r="A32" s="319">
        <v>1</v>
      </c>
      <c r="B32" s="319"/>
      <c r="C32" s="323"/>
      <c r="D32" s="368"/>
      <c r="E32" s="369"/>
      <c r="F32" s="369"/>
      <c r="G32" s="368"/>
      <c r="H32" s="368"/>
      <c r="I32" s="368"/>
      <c r="J32" s="370"/>
      <c r="K32" s="371"/>
      <c r="L32" s="372"/>
      <c r="M32" s="369"/>
      <c r="N32" s="328"/>
      <c r="O32" s="368"/>
      <c r="P32" s="368"/>
      <c r="Q32" s="368"/>
      <c r="R32" s="323"/>
    </row>
    <row r="33" spans="1:18" ht="25.8" hidden="1" thickTop="1" thickBot="1">
      <c r="A33" s="319"/>
      <c r="B33" s="319" t="s">
        <v>26</v>
      </c>
      <c r="C33" s="323"/>
      <c r="D33" s="347"/>
      <c r="E33" s="357"/>
      <c r="F33" s="357"/>
      <c r="G33" s="347"/>
      <c r="H33" s="347"/>
      <c r="I33" s="347"/>
      <c r="J33" s="374"/>
      <c r="K33" s="375"/>
      <c r="L33" s="348"/>
      <c r="M33" s="373"/>
      <c r="N33" s="376"/>
      <c r="O33" s="347"/>
      <c r="P33" s="347"/>
      <c r="Q33" s="347"/>
      <c r="R33" s="323"/>
    </row>
    <row r="34" spans="1:18" ht="25.2" hidden="1" thickTop="1">
      <c r="A34" s="319"/>
      <c r="B34" s="339" t="s">
        <v>50</v>
      </c>
      <c r="C34" s="323"/>
      <c r="D34" s="350"/>
      <c r="E34" s="410"/>
      <c r="F34" s="410"/>
      <c r="G34" s="350"/>
      <c r="H34" s="350"/>
      <c r="I34" s="350"/>
      <c r="J34" s="341"/>
      <c r="K34" s="342"/>
      <c r="L34" s="351"/>
      <c r="M34" s="340"/>
      <c r="N34" s="322"/>
      <c r="O34" s="350"/>
      <c r="P34" s="350"/>
      <c r="Q34" s="350"/>
      <c r="R34" s="323"/>
    </row>
    <row r="35" spans="1:18" ht="25.8" hidden="1" thickTop="1" thickBot="1">
      <c r="A35" s="319"/>
      <c r="B35" s="319"/>
      <c r="C35" s="323"/>
      <c r="D35" s="368"/>
      <c r="E35" s="369"/>
      <c r="F35" s="369"/>
      <c r="G35" s="368">
        <v>0</v>
      </c>
      <c r="H35" s="368">
        <v>0</v>
      </c>
      <c r="I35" s="368">
        <v>0</v>
      </c>
      <c r="J35" s="370"/>
      <c r="K35" s="371"/>
      <c r="L35" s="372"/>
      <c r="M35" s="369"/>
      <c r="N35" s="328"/>
      <c r="O35" s="411">
        <v>0</v>
      </c>
      <c r="P35" s="411">
        <v>0</v>
      </c>
      <c r="Q35" s="411">
        <v>0</v>
      </c>
      <c r="R35" s="323"/>
    </row>
    <row r="36" spans="1:18" ht="25.2" hidden="1" thickTop="1">
      <c r="A36" s="319"/>
      <c r="B36" s="319" t="s">
        <v>26</v>
      </c>
      <c r="C36" s="323"/>
      <c r="D36" s="412">
        <v>0</v>
      </c>
      <c r="E36" s="340"/>
      <c r="F36" s="340"/>
      <c r="G36" s="412">
        <v>0</v>
      </c>
      <c r="H36" s="412"/>
      <c r="I36" s="412">
        <v>0</v>
      </c>
      <c r="J36" s="413"/>
      <c r="K36" s="414"/>
      <c r="L36" s="415"/>
      <c r="M36" s="410"/>
      <c r="N36" s="416"/>
      <c r="O36" s="412">
        <v>0</v>
      </c>
      <c r="P36" s="412"/>
      <c r="Q36" s="412">
        <v>0</v>
      </c>
      <c r="R36" s="367"/>
    </row>
    <row r="37" spans="1:18" ht="25.2" hidden="1" thickTop="1">
      <c r="A37" s="319"/>
      <c r="B37" s="339" t="s">
        <v>51</v>
      </c>
      <c r="C37" s="323"/>
      <c r="D37" s="352"/>
      <c r="E37" s="410"/>
      <c r="F37" s="410"/>
      <c r="G37" s="352"/>
      <c r="H37" s="352"/>
      <c r="I37" s="352"/>
      <c r="J37" s="353"/>
      <c r="K37" s="354"/>
      <c r="L37" s="355"/>
      <c r="M37" s="323"/>
      <c r="N37" s="319"/>
      <c r="O37" s="352"/>
      <c r="P37" s="352"/>
      <c r="Q37" s="352"/>
      <c r="R37" s="323"/>
    </row>
    <row r="38" spans="1:18" ht="25.8" hidden="1" thickTop="1" thickBot="1">
      <c r="A38" s="319">
        <v>1</v>
      </c>
      <c r="B38" s="319"/>
      <c r="C38" s="323"/>
      <c r="D38" s="368"/>
      <c r="E38" s="369"/>
      <c r="F38" s="369"/>
      <c r="G38" s="368"/>
      <c r="H38" s="368"/>
      <c r="I38" s="368"/>
      <c r="J38" s="370"/>
      <c r="K38" s="371"/>
      <c r="L38" s="372"/>
      <c r="M38" s="369"/>
      <c r="N38" s="328"/>
      <c r="O38" s="368"/>
      <c r="P38" s="368"/>
      <c r="Q38" s="368"/>
      <c r="R38" s="323"/>
    </row>
    <row r="39" spans="1:18" ht="25.8" hidden="1" thickTop="1" thickBot="1">
      <c r="A39" s="319"/>
      <c r="B39" s="319" t="s">
        <v>26</v>
      </c>
      <c r="C39" s="323"/>
      <c r="D39" s="356"/>
      <c r="E39" s="373"/>
      <c r="F39" s="373"/>
      <c r="G39" s="356"/>
      <c r="H39" s="356"/>
      <c r="I39" s="356"/>
      <c r="J39" s="358"/>
      <c r="K39" s="359"/>
      <c r="L39" s="360"/>
      <c r="M39" s="357"/>
      <c r="N39" s="335"/>
      <c r="O39" s="356"/>
      <c r="P39" s="356"/>
      <c r="Q39" s="356"/>
      <c r="R39" s="323"/>
    </row>
    <row r="40" spans="1:18" ht="25.2" thickTop="1">
      <c r="A40" s="323"/>
      <c r="B40" s="339" t="s">
        <v>52</v>
      </c>
      <c r="C40" s="323"/>
      <c r="D40" s="350"/>
      <c r="E40" s="322"/>
      <c r="F40" s="322"/>
      <c r="G40" s="350"/>
      <c r="H40" s="350"/>
      <c r="I40" s="350"/>
      <c r="J40" s="341"/>
      <c r="K40" s="342"/>
      <c r="L40" s="351"/>
      <c r="M40" s="340"/>
      <c r="N40" s="322"/>
      <c r="O40" s="350"/>
      <c r="P40" s="350"/>
      <c r="Q40" s="350"/>
      <c r="R40" s="323"/>
    </row>
    <row r="41" spans="1:18">
      <c r="A41" s="323"/>
      <c r="B41" s="417" t="s">
        <v>53</v>
      </c>
      <c r="C41" s="323"/>
      <c r="D41" s="350"/>
      <c r="E41" s="319"/>
      <c r="F41" s="319"/>
      <c r="G41" s="350"/>
      <c r="H41" s="350"/>
      <c r="I41" s="350"/>
      <c r="J41" s="341"/>
      <c r="K41" s="342"/>
      <c r="L41" s="351"/>
      <c r="M41" s="340"/>
      <c r="N41" s="322"/>
      <c r="O41" s="350"/>
      <c r="P41" s="350"/>
      <c r="Q41" s="350"/>
      <c r="R41" s="323"/>
    </row>
    <row r="42" spans="1:18">
      <c r="A42" s="319">
        <v>1</v>
      </c>
      <c r="B42" s="323" t="s">
        <v>54</v>
      </c>
      <c r="C42" s="319" t="s">
        <v>55</v>
      </c>
      <c r="D42" s="343">
        <v>0</v>
      </c>
      <c r="E42" s="319"/>
      <c r="F42" s="319"/>
      <c r="G42" s="343">
        <v>0</v>
      </c>
      <c r="H42" s="343">
        <v>0</v>
      </c>
      <c r="I42" s="343">
        <v>0</v>
      </c>
      <c r="J42" s="320"/>
      <c r="K42" s="400"/>
      <c r="L42" s="401"/>
      <c r="M42" s="319"/>
      <c r="N42" s="319"/>
      <c r="O42" s="365">
        <f t="shared" ref="O42:O47" si="0">D42</f>
        <v>0</v>
      </c>
      <c r="P42" s="366">
        <v>0</v>
      </c>
      <c r="Q42" s="366">
        <f t="shared" ref="Q42:Q45" si="1">D42</f>
        <v>0</v>
      </c>
      <c r="R42" s="323" t="s">
        <v>56</v>
      </c>
    </row>
    <row r="43" spans="1:18">
      <c r="A43" s="319">
        <v>2</v>
      </c>
      <c r="B43" s="418" t="s">
        <v>57</v>
      </c>
      <c r="C43" s="319">
        <v>259</v>
      </c>
      <c r="D43" s="343">
        <v>0</v>
      </c>
      <c r="E43" s="319"/>
      <c r="F43" s="319"/>
      <c r="G43" s="343">
        <v>0</v>
      </c>
      <c r="H43" s="343">
        <v>0</v>
      </c>
      <c r="I43" s="343">
        <v>0</v>
      </c>
      <c r="J43" s="320"/>
      <c r="K43" s="310"/>
      <c r="L43" s="401"/>
      <c r="M43" s="319"/>
      <c r="N43" s="319"/>
      <c r="O43" s="365">
        <f t="shared" si="0"/>
        <v>0</v>
      </c>
      <c r="P43" s="366">
        <v>0</v>
      </c>
      <c r="Q43" s="366">
        <f t="shared" si="1"/>
        <v>0</v>
      </c>
      <c r="R43" s="323" t="s">
        <v>58</v>
      </c>
    </row>
    <row r="44" spans="1:18">
      <c r="A44" s="319">
        <v>3</v>
      </c>
      <c r="B44" s="418" t="s">
        <v>57</v>
      </c>
      <c r="C44" s="319">
        <v>260</v>
      </c>
      <c r="D44" s="343"/>
      <c r="E44" s="319"/>
      <c r="F44" s="319"/>
      <c r="G44" s="343">
        <v>0</v>
      </c>
      <c r="H44" s="343">
        <v>0</v>
      </c>
      <c r="I44" s="343">
        <v>0</v>
      </c>
      <c r="J44" s="320"/>
      <c r="K44" s="310"/>
      <c r="L44" s="401"/>
      <c r="M44" s="319"/>
      <c r="N44" s="319"/>
      <c r="O44" s="365">
        <f t="shared" si="0"/>
        <v>0</v>
      </c>
      <c r="P44" s="366">
        <v>0</v>
      </c>
      <c r="Q44" s="366">
        <f t="shared" si="1"/>
        <v>0</v>
      </c>
      <c r="R44" s="323"/>
    </row>
    <row r="45" spans="1:18">
      <c r="A45" s="319">
        <v>4</v>
      </c>
      <c r="B45" s="418" t="s">
        <v>57</v>
      </c>
      <c r="C45" s="319" t="s">
        <v>59</v>
      </c>
      <c r="D45" s="343">
        <v>0</v>
      </c>
      <c r="E45" s="319"/>
      <c r="F45" s="319"/>
      <c r="G45" s="343">
        <v>0</v>
      </c>
      <c r="H45" s="343">
        <v>0</v>
      </c>
      <c r="I45" s="343">
        <v>0</v>
      </c>
      <c r="J45" s="320"/>
      <c r="K45" s="310"/>
      <c r="L45" s="401"/>
      <c r="M45" s="319"/>
      <c r="N45" s="319"/>
      <c r="O45" s="365">
        <f t="shared" si="0"/>
        <v>0</v>
      </c>
      <c r="P45" s="366">
        <v>0</v>
      </c>
      <c r="Q45" s="366">
        <f t="shared" si="1"/>
        <v>0</v>
      </c>
      <c r="R45" s="323" t="s">
        <v>60</v>
      </c>
    </row>
    <row r="46" spans="1:18">
      <c r="A46" s="319">
        <v>5</v>
      </c>
      <c r="B46" s="418" t="s">
        <v>57</v>
      </c>
      <c r="C46" s="319" t="s">
        <v>61</v>
      </c>
      <c r="D46" s="343">
        <v>0</v>
      </c>
      <c r="E46" s="319"/>
      <c r="F46" s="319"/>
      <c r="G46" s="343">
        <v>0</v>
      </c>
      <c r="H46" s="343">
        <v>0</v>
      </c>
      <c r="I46" s="343">
        <v>0</v>
      </c>
      <c r="J46" s="320"/>
      <c r="K46" s="310"/>
      <c r="L46" s="401"/>
      <c r="M46" s="319"/>
      <c r="N46" s="319"/>
      <c r="O46" s="365">
        <f t="shared" si="0"/>
        <v>0</v>
      </c>
      <c r="P46" s="366">
        <v>0</v>
      </c>
      <c r="Q46" s="365">
        <f t="shared" ref="Q46:Q50" si="2">D46+I46-L46</f>
        <v>0</v>
      </c>
      <c r="R46" s="323"/>
    </row>
    <row r="47" spans="1:18">
      <c r="A47" s="319">
        <v>6</v>
      </c>
      <c r="B47" s="323" t="s">
        <v>62</v>
      </c>
      <c r="C47" s="319" t="s">
        <v>63</v>
      </c>
      <c r="D47" s="343">
        <v>0</v>
      </c>
      <c r="E47" s="319"/>
      <c r="F47" s="319"/>
      <c r="G47" s="343">
        <v>0</v>
      </c>
      <c r="H47" s="343">
        <v>0</v>
      </c>
      <c r="I47" s="343">
        <v>0</v>
      </c>
      <c r="J47" s="362"/>
      <c r="K47" s="363"/>
      <c r="L47" s="378"/>
      <c r="M47" s="319"/>
      <c r="N47" s="319"/>
      <c r="O47" s="365">
        <f t="shared" si="0"/>
        <v>0</v>
      </c>
      <c r="P47" s="366">
        <v>0</v>
      </c>
      <c r="Q47" s="365">
        <f t="shared" si="2"/>
        <v>0</v>
      </c>
      <c r="R47" s="323" t="s">
        <v>64</v>
      </c>
    </row>
    <row r="48" spans="1:18">
      <c r="A48" s="379">
        <v>7</v>
      </c>
      <c r="B48" s="380" t="s">
        <v>65</v>
      </c>
      <c r="C48" s="379">
        <v>267</v>
      </c>
      <c r="D48" s="377">
        <v>1215</v>
      </c>
      <c r="E48" s="379"/>
      <c r="F48" s="379"/>
      <c r="G48" s="377">
        <v>0</v>
      </c>
      <c r="H48" s="377">
        <v>0</v>
      </c>
      <c r="I48" s="377">
        <v>0</v>
      </c>
      <c r="J48" s="362">
        <v>25300</v>
      </c>
      <c r="K48" s="363" t="s">
        <v>409</v>
      </c>
      <c r="L48" s="378">
        <v>1215</v>
      </c>
      <c r="M48" s="319"/>
      <c r="N48" s="319"/>
      <c r="O48" s="365">
        <f>D48+G48-L48</f>
        <v>0</v>
      </c>
      <c r="P48" s="365">
        <f t="shared" ref="P48" si="3">E48+H48-M48</f>
        <v>0</v>
      </c>
      <c r="Q48" s="365">
        <f t="shared" si="2"/>
        <v>0</v>
      </c>
      <c r="R48" s="323" t="s">
        <v>67</v>
      </c>
    </row>
    <row r="49" spans="1:18">
      <c r="A49" s="379">
        <v>8</v>
      </c>
      <c r="B49" s="380" t="s">
        <v>68</v>
      </c>
      <c r="C49" s="419">
        <v>268</v>
      </c>
      <c r="D49" s="377">
        <v>0</v>
      </c>
      <c r="E49" s="379"/>
      <c r="F49" s="379"/>
      <c r="G49" s="377">
        <v>0</v>
      </c>
      <c r="H49" s="377">
        <v>0</v>
      </c>
      <c r="I49" s="377">
        <v>0</v>
      </c>
      <c r="J49" s="362"/>
      <c r="K49" s="363"/>
      <c r="L49" s="378"/>
      <c r="M49" s="319"/>
      <c r="N49" s="319"/>
      <c r="O49" s="365">
        <f t="shared" ref="O49:O60" si="4">D49+G49-L49</f>
        <v>0</v>
      </c>
      <c r="P49" s="366">
        <v>0</v>
      </c>
      <c r="Q49" s="365">
        <f t="shared" si="2"/>
        <v>0</v>
      </c>
      <c r="R49" s="323" t="s">
        <v>69</v>
      </c>
    </row>
    <row r="50" spans="1:18">
      <c r="A50" s="379">
        <v>9</v>
      </c>
      <c r="B50" s="380" t="s">
        <v>70</v>
      </c>
      <c r="C50" s="379" t="s">
        <v>71</v>
      </c>
      <c r="D50" s="377">
        <v>2430</v>
      </c>
      <c r="E50" s="379"/>
      <c r="F50" s="379"/>
      <c r="G50" s="377">
        <v>0</v>
      </c>
      <c r="H50" s="377">
        <v>0</v>
      </c>
      <c r="I50" s="377">
        <v>0</v>
      </c>
      <c r="J50" s="362">
        <v>25301</v>
      </c>
      <c r="K50" s="363" t="s">
        <v>410</v>
      </c>
      <c r="L50" s="378">
        <v>2430</v>
      </c>
      <c r="M50" s="319"/>
      <c r="N50" s="319"/>
      <c r="O50" s="365">
        <f t="shared" si="4"/>
        <v>0</v>
      </c>
      <c r="P50" s="366">
        <v>0</v>
      </c>
      <c r="Q50" s="365">
        <f t="shared" si="2"/>
        <v>0</v>
      </c>
      <c r="R50" s="323"/>
    </row>
    <row r="51" spans="1:18">
      <c r="A51" s="379">
        <v>10</v>
      </c>
      <c r="B51" s="380" t="s">
        <v>73</v>
      </c>
      <c r="C51" s="419">
        <v>84282</v>
      </c>
      <c r="D51" s="377">
        <v>2430</v>
      </c>
      <c r="E51" s="379" t="s">
        <v>411</v>
      </c>
      <c r="F51" s="379">
        <v>1</v>
      </c>
      <c r="G51" s="377">
        <v>4860</v>
      </c>
      <c r="H51" s="377">
        <v>0</v>
      </c>
      <c r="I51" s="377">
        <v>4860</v>
      </c>
      <c r="J51" s="362">
        <v>25313</v>
      </c>
      <c r="K51" s="363" t="s">
        <v>412</v>
      </c>
      <c r="L51" s="378">
        <v>4860</v>
      </c>
      <c r="M51" s="420">
        <v>25294</v>
      </c>
      <c r="N51" s="421">
        <v>1</v>
      </c>
      <c r="O51" s="365">
        <f>D51+G51-L51</f>
        <v>2430</v>
      </c>
      <c r="P51" s="366">
        <v>0</v>
      </c>
      <c r="Q51" s="365">
        <f>D51+I51-L51</f>
        <v>2430</v>
      </c>
      <c r="R51" s="323"/>
    </row>
    <row r="52" spans="1:18">
      <c r="A52" s="379">
        <v>11</v>
      </c>
      <c r="B52" s="380" t="s">
        <v>76</v>
      </c>
      <c r="C52" s="379">
        <v>281</v>
      </c>
      <c r="D52" s="377">
        <v>0</v>
      </c>
      <c r="E52" s="379"/>
      <c r="F52" s="379"/>
      <c r="G52" s="377">
        <v>0</v>
      </c>
      <c r="H52" s="377">
        <v>0</v>
      </c>
      <c r="I52" s="377">
        <v>0</v>
      </c>
      <c r="J52" s="362"/>
      <c r="K52" s="363"/>
      <c r="L52" s="378"/>
      <c r="M52" s="319"/>
      <c r="N52" s="319"/>
      <c r="O52" s="365">
        <f t="shared" si="4"/>
        <v>0</v>
      </c>
      <c r="P52" s="366">
        <v>0</v>
      </c>
      <c r="Q52" s="365">
        <f t="shared" ref="Q52:Q60" si="5">D52+I52-L52</f>
        <v>0</v>
      </c>
      <c r="R52" s="323" t="s">
        <v>77</v>
      </c>
    </row>
    <row r="53" spans="1:18">
      <c r="A53" s="379">
        <v>12</v>
      </c>
      <c r="B53" s="380" t="s">
        <v>57</v>
      </c>
      <c r="C53" s="379">
        <v>280</v>
      </c>
      <c r="D53" s="377">
        <v>0</v>
      </c>
      <c r="E53" s="379"/>
      <c r="F53" s="379"/>
      <c r="G53" s="377">
        <v>0</v>
      </c>
      <c r="H53" s="377">
        <v>0</v>
      </c>
      <c r="I53" s="377">
        <v>0</v>
      </c>
      <c r="J53" s="362"/>
      <c r="K53" s="363"/>
      <c r="L53" s="378"/>
      <c r="M53" s="319"/>
      <c r="N53" s="319"/>
      <c r="O53" s="365">
        <f t="shared" si="4"/>
        <v>0</v>
      </c>
      <c r="P53" s="366">
        <v>0</v>
      </c>
      <c r="Q53" s="365">
        <f t="shared" si="5"/>
        <v>0</v>
      </c>
      <c r="R53" s="323"/>
    </row>
    <row r="54" spans="1:18">
      <c r="A54" s="379">
        <v>13</v>
      </c>
      <c r="B54" s="380" t="s">
        <v>78</v>
      </c>
      <c r="C54" s="379" t="s">
        <v>79</v>
      </c>
      <c r="D54" s="377">
        <v>2430</v>
      </c>
      <c r="E54" s="379"/>
      <c r="F54" s="379"/>
      <c r="G54" s="377">
        <v>0</v>
      </c>
      <c r="H54" s="377">
        <v>0</v>
      </c>
      <c r="I54" s="377">
        <v>0</v>
      </c>
      <c r="J54" s="362">
        <v>25300</v>
      </c>
      <c r="K54" s="363" t="s">
        <v>413</v>
      </c>
      <c r="L54" s="378">
        <v>2430</v>
      </c>
      <c r="M54" s="319"/>
      <c r="N54" s="319"/>
      <c r="O54" s="365">
        <f t="shared" si="4"/>
        <v>0</v>
      </c>
      <c r="P54" s="366">
        <v>0</v>
      </c>
      <c r="Q54" s="365">
        <f t="shared" si="5"/>
        <v>0</v>
      </c>
      <c r="R54" s="323"/>
    </row>
    <row r="55" spans="1:18">
      <c r="A55" s="379">
        <v>14</v>
      </c>
      <c r="B55" s="380" t="s">
        <v>81</v>
      </c>
      <c r="C55" s="379" t="s">
        <v>82</v>
      </c>
      <c r="D55" s="377">
        <v>0</v>
      </c>
      <c r="E55" s="379"/>
      <c r="F55" s="379"/>
      <c r="G55" s="377">
        <v>0</v>
      </c>
      <c r="H55" s="377">
        <v>0</v>
      </c>
      <c r="I55" s="377">
        <v>0</v>
      </c>
      <c r="J55" s="362"/>
      <c r="K55" s="363"/>
      <c r="L55" s="378"/>
      <c r="M55" s="319"/>
      <c r="N55" s="319"/>
      <c r="O55" s="365">
        <f t="shared" si="4"/>
        <v>0</v>
      </c>
      <c r="P55" s="366">
        <v>0</v>
      </c>
      <c r="Q55" s="365">
        <f t="shared" si="5"/>
        <v>0</v>
      </c>
      <c r="R55" s="323"/>
    </row>
    <row r="56" spans="1:18">
      <c r="A56" s="379">
        <v>15</v>
      </c>
      <c r="B56" s="380" t="s">
        <v>83</v>
      </c>
      <c r="C56" s="379">
        <v>277</v>
      </c>
      <c r="D56" s="377">
        <v>1215</v>
      </c>
      <c r="E56" s="379"/>
      <c r="F56" s="379"/>
      <c r="G56" s="377">
        <v>0</v>
      </c>
      <c r="H56" s="377">
        <v>0</v>
      </c>
      <c r="I56" s="377">
        <v>0</v>
      </c>
      <c r="J56" s="362">
        <v>25321</v>
      </c>
      <c r="K56" s="363" t="s">
        <v>414</v>
      </c>
      <c r="L56" s="378">
        <v>1215</v>
      </c>
      <c r="M56" s="319"/>
      <c r="N56" s="319"/>
      <c r="O56" s="365">
        <f t="shared" si="4"/>
        <v>0</v>
      </c>
      <c r="P56" s="366">
        <v>0</v>
      </c>
      <c r="Q56" s="365">
        <f t="shared" si="5"/>
        <v>0</v>
      </c>
      <c r="R56" s="323"/>
    </row>
    <row r="57" spans="1:18">
      <c r="A57" s="379">
        <v>16</v>
      </c>
      <c r="B57" s="380" t="s">
        <v>85</v>
      </c>
      <c r="C57" s="379" t="s">
        <v>86</v>
      </c>
      <c r="D57" s="377">
        <v>0</v>
      </c>
      <c r="E57" s="379"/>
      <c r="F57" s="379"/>
      <c r="G57" s="377">
        <v>0</v>
      </c>
      <c r="H57" s="377">
        <v>0</v>
      </c>
      <c r="I57" s="377">
        <v>0</v>
      </c>
      <c r="J57" s="362"/>
      <c r="K57" s="363"/>
      <c r="L57" s="378"/>
      <c r="M57" s="319"/>
      <c r="N57" s="319"/>
      <c r="O57" s="365">
        <f t="shared" si="4"/>
        <v>0</v>
      </c>
      <c r="P57" s="366">
        <v>0</v>
      </c>
      <c r="Q57" s="365">
        <f t="shared" si="5"/>
        <v>0</v>
      </c>
      <c r="R57" s="323" t="s">
        <v>87</v>
      </c>
    </row>
    <row r="58" spans="1:18">
      <c r="A58" s="319">
        <v>17</v>
      </c>
      <c r="B58" s="323" t="s">
        <v>57</v>
      </c>
      <c r="C58" s="319" t="s">
        <v>88</v>
      </c>
      <c r="D58" s="343">
        <v>0</v>
      </c>
      <c r="E58" s="319"/>
      <c r="F58" s="319"/>
      <c r="G58" s="343">
        <v>0</v>
      </c>
      <c r="H58" s="343">
        <v>0</v>
      </c>
      <c r="I58" s="343">
        <v>0</v>
      </c>
      <c r="J58" s="320"/>
      <c r="K58" s="310"/>
      <c r="L58" s="401"/>
      <c r="M58" s="319"/>
      <c r="N58" s="319"/>
      <c r="O58" s="365">
        <f t="shared" si="4"/>
        <v>0</v>
      </c>
      <c r="P58" s="366">
        <v>0</v>
      </c>
      <c r="Q58" s="365">
        <f t="shared" si="5"/>
        <v>0</v>
      </c>
      <c r="R58" s="323"/>
    </row>
    <row r="59" spans="1:18">
      <c r="A59" s="319"/>
      <c r="B59" s="417" t="s">
        <v>89</v>
      </c>
      <c r="C59" s="323"/>
      <c r="D59" s="323"/>
      <c r="E59" s="319"/>
      <c r="F59" s="319"/>
      <c r="G59" s="323">
        <v>0</v>
      </c>
      <c r="H59" s="343"/>
      <c r="I59" s="343">
        <v>0</v>
      </c>
      <c r="J59" s="320"/>
      <c r="K59" s="310"/>
      <c r="L59" s="401"/>
      <c r="M59" s="319"/>
      <c r="N59" s="319"/>
      <c r="O59" s="365">
        <f t="shared" si="4"/>
        <v>0</v>
      </c>
      <c r="P59" s="343"/>
      <c r="Q59" s="365">
        <f t="shared" si="5"/>
        <v>0</v>
      </c>
      <c r="R59" s="323"/>
    </row>
    <row r="60" spans="1:18">
      <c r="A60" s="319">
        <v>1</v>
      </c>
      <c r="B60" s="323" t="s">
        <v>57</v>
      </c>
      <c r="C60" s="319" t="s">
        <v>90</v>
      </c>
      <c r="D60" s="343">
        <v>0</v>
      </c>
      <c r="E60" s="319"/>
      <c r="F60" s="319"/>
      <c r="G60" s="343">
        <v>0</v>
      </c>
      <c r="H60" s="343">
        <v>0</v>
      </c>
      <c r="I60" s="343">
        <v>0</v>
      </c>
      <c r="J60" s="320"/>
      <c r="K60" s="310"/>
      <c r="L60" s="401"/>
      <c r="M60" s="319"/>
      <c r="N60" s="319"/>
      <c r="O60" s="365">
        <f t="shared" si="4"/>
        <v>0</v>
      </c>
      <c r="P60" s="366">
        <v>0</v>
      </c>
      <c r="Q60" s="365">
        <f t="shared" si="5"/>
        <v>0</v>
      </c>
      <c r="R60" s="323" t="s">
        <v>91</v>
      </c>
    </row>
    <row r="61" spans="1:18">
      <c r="A61" s="319">
        <v>2</v>
      </c>
      <c r="B61" s="418" t="s">
        <v>57</v>
      </c>
      <c r="C61" s="319" t="s">
        <v>92</v>
      </c>
      <c r="D61" s="343"/>
      <c r="E61" s="319"/>
      <c r="F61" s="319"/>
      <c r="G61" s="343">
        <v>0</v>
      </c>
      <c r="H61" s="343"/>
      <c r="I61" s="343">
        <v>0</v>
      </c>
      <c r="J61" s="320"/>
      <c r="K61" s="310"/>
      <c r="L61" s="401"/>
      <c r="M61" s="319"/>
      <c r="N61" s="319"/>
      <c r="O61" s="365">
        <f t="shared" ref="O61:O69" si="6">D61+G61</f>
        <v>0</v>
      </c>
      <c r="P61" s="343"/>
      <c r="Q61" s="366">
        <f t="shared" ref="Q61:Q69" si="7">D61+I61</f>
        <v>0</v>
      </c>
      <c r="R61" s="323"/>
    </row>
    <row r="62" spans="1:18">
      <c r="A62" s="319">
        <v>3</v>
      </c>
      <c r="B62" s="323" t="s">
        <v>93</v>
      </c>
      <c r="C62" s="319" t="s">
        <v>94</v>
      </c>
      <c r="D62" s="343">
        <v>0</v>
      </c>
      <c r="E62" s="319"/>
      <c r="F62" s="319"/>
      <c r="G62" s="422">
        <v>0</v>
      </c>
      <c r="H62" s="422">
        <v>0</v>
      </c>
      <c r="I62" s="422">
        <v>0</v>
      </c>
      <c r="J62" s="362"/>
      <c r="K62" s="423"/>
      <c r="L62" s="378"/>
      <c r="M62" s="319"/>
      <c r="N62" s="319"/>
      <c r="O62" s="365">
        <f t="shared" si="6"/>
        <v>0</v>
      </c>
      <c r="P62" s="366">
        <v>0</v>
      </c>
      <c r="Q62" s="366">
        <f t="shared" si="7"/>
        <v>0</v>
      </c>
      <c r="R62" s="323"/>
    </row>
    <row r="63" spans="1:18">
      <c r="A63" s="319">
        <v>4</v>
      </c>
      <c r="B63" s="418" t="s">
        <v>57</v>
      </c>
      <c r="C63" s="319" t="s">
        <v>95</v>
      </c>
      <c r="D63" s="346">
        <v>0</v>
      </c>
      <c r="E63" s="319"/>
      <c r="F63" s="319"/>
      <c r="G63" s="343">
        <v>0</v>
      </c>
      <c r="H63" s="343"/>
      <c r="I63" s="343">
        <v>0</v>
      </c>
      <c r="J63" s="362"/>
      <c r="K63" s="423"/>
      <c r="L63" s="378"/>
      <c r="M63" s="319"/>
      <c r="N63" s="319"/>
      <c r="O63" s="365">
        <f t="shared" si="6"/>
        <v>0</v>
      </c>
      <c r="P63" s="343"/>
      <c r="Q63" s="366">
        <f t="shared" si="7"/>
        <v>0</v>
      </c>
      <c r="R63" s="323"/>
    </row>
    <row r="64" spans="1:18">
      <c r="A64" s="319">
        <v>5</v>
      </c>
      <c r="B64" s="323" t="s">
        <v>40</v>
      </c>
      <c r="C64" s="319" t="s">
        <v>96</v>
      </c>
      <c r="D64" s="343">
        <v>0</v>
      </c>
      <c r="E64" s="319"/>
      <c r="F64" s="319"/>
      <c r="G64" s="343">
        <v>0</v>
      </c>
      <c r="H64" s="343">
        <v>0</v>
      </c>
      <c r="I64" s="343">
        <v>0</v>
      </c>
      <c r="J64" s="362"/>
      <c r="K64" s="363"/>
      <c r="L64" s="378"/>
      <c r="M64" s="319"/>
      <c r="N64" s="319"/>
      <c r="O64" s="365">
        <f t="shared" si="6"/>
        <v>0</v>
      </c>
      <c r="P64" s="366">
        <v>0</v>
      </c>
      <c r="Q64" s="366">
        <f t="shared" si="7"/>
        <v>0</v>
      </c>
      <c r="R64" s="323" t="s">
        <v>41</v>
      </c>
    </row>
    <row r="65" spans="1:20">
      <c r="A65" s="319"/>
      <c r="B65" s="424" t="s">
        <v>97</v>
      </c>
      <c r="C65" s="323"/>
      <c r="D65" s="323"/>
      <c r="E65" s="319" t="s">
        <v>172</v>
      </c>
      <c r="F65" s="319" t="s">
        <v>172</v>
      </c>
      <c r="G65" s="323">
        <v>0</v>
      </c>
      <c r="H65" s="343"/>
      <c r="I65" s="343">
        <v>0</v>
      </c>
      <c r="J65" s="320"/>
      <c r="K65" s="310"/>
      <c r="L65" s="401"/>
      <c r="M65" s="319"/>
      <c r="N65" s="319"/>
      <c r="O65" s="365">
        <f t="shared" si="6"/>
        <v>0</v>
      </c>
      <c r="P65" s="343"/>
      <c r="Q65" s="366">
        <f t="shared" si="7"/>
        <v>0</v>
      </c>
      <c r="R65" s="323"/>
    </row>
    <row r="66" spans="1:20">
      <c r="A66" s="319">
        <v>1</v>
      </c>
      <c r="B66" s="425" t="s">
        <v>98</v>
      </c>
      <c r="C66" s="319" t="s">
        <v>99</v>
      </c>
      <c r="D66" s="343">
        <v>0</v>
      </c>
      <c r="E66" s="361"/>
      <c r="F66" s="319"/>
      <c r="G66" s="343">
        <v>0</v>
      </c>
      <c r="H66" s="343">
        <v>0</v>
      </c>
      <c r="I66" s="343">
        <v>0</v>
      </c>
      <c r="J66" s="362" t="s">
        <v>172</v>
      </c>
      <c r="K66" s="363" t="s">
        <v>172</v>
      </c>
      <c r="L66" s="378">
        <v>0</v>
      </c>
      <c r="M66" s="319" t="s">
        <v>172</v>
      </c>
      <c r="N66" s="319" t="s">
        <v>172</v>
      </c>
      <c r="O66" s="365">
        <f t="shared" si="6"/>
        <v>0</v>
      </c>
      <c r="P66" s="366">
        <v>0</v>
      </c>
      <c r="Q66" s="366">
        <f t="shared" si="7"/>
        <v>0</v>
      </c>
      <c r="R66" s="323" t="s">
        <v>100</v>
      </c>
      <c r="T66" s="296" t="s">
        <v>101</v>
      </c>
    </row>
    <row r="67" spans="1:20">
      <c r="A67" s="319"/>
      <c r="B67" s="417" t="s">
        <v>102</v>
      </c>
      <c r="C67" s="323"/>
      <c r="D67" s="323"/>
      <c r="E67" s="319"/>
      <c r="F67" s="319"/>
      <c r="G67" s="323">
        <v>0</v>
      </c>
      <c r="H67" s="343"/>
      <c r="I67" s="343">
        <v>0</v>
      </c>
      <c r="J67" s="362"/>
      <c r="K67" s="363"/>
      <c r="L67" s="378"/>
      <c r="M67" s="319"/>
      <c r="N67" s="319"/>
      <c r="O67" s="365">
        <f t="shared" si="6"/>
        <v>0</v>
      </c>
      <c r="P67" s="343"/>
      <c r="Q67" s="366">
        <f t="shared" si="7"/>
        <v>0</v>
      </c>
      <c r="R67" s="323"/>
    </row>
    <row r="68" spans="1:20" ht="20.25" customHeight="1">
      <c r="A68" s="319">
        <v>1</v>
      </c>
      <c r="B68" s="323" t="s">
        <v>36</v>
      </c>
      <c r="C68" s="323"/>
      <c r="D68" s="343">
        <v>0</v>
      </c>
      <c r="E68" s="319"/>
      <c r="F68" s="319"/>
      <c r="G68" s="343">
        <v>0</v>
      </c>
      <c r="H68" s="343">
        <v>0</v>
      </c>
      <c r="I68" s="343">
        <v>0</v>
      </c>
      <c r="J68" s="362"/>
      <c r="K68" s="423"/>
      <c r="L68" s="378"/>
      <c r="M68" s="319"/>
      <c r="N68" s="319"/>
      <c r="O68" s="365">
        <f t="shared" si="6"/>
        <v>0</v>
      </c>
      <c r="P68" s="366">
        <v>0</v>
      </c>
      <c r="Q68" s="366">
        <f t="shared" si="7"/>
        <v>0</v>
      </c>
      <c r="R68" s="323" t="s">
        <v>103</v>
      </c>
    </row>
    <row r="69" spans="1:20">
      <c r="A69" s="319"/>
      <c r="B69" s="417" t="s">
        <v>104</v>
      </c>
      <c r="C69" s="323"/>
      <c r="D69" s="323"/>
      <c r="E69" s="319"/>
      <c r="F69" s="319"/>
      <c r="G69" s="343">
        <v>0</v>
      </c>
      <c r="H69" s="343"/>
      <c r="I69" s="343">
        <v>0</v>
      </c>
      <c r="J69" s="354"/>
      <c r="K69" s="354"/>
      <c r="L69" s="354"/>
      <c r="N69" s="295"/>
      <c r="O69" s="365">
        <f t="shared" si="6"/>
        <v>0</v>
      </c>
      <c r="P69" s="343"/>
      <c r="Q69" s="366">
        <f t="shared" si="7"/>
        <v>0</v>
      </c>
      <c r="R69" s="323"/>
    </row>
    <row r="70" spans="1:20">
      <c r="A70" s="379">
        <v>1</v>
      </c>
      <c r="B70" s="380" t="s">
        <v>105</v>
      </c>
      <c r="C70" s="380"/>
      <c r="D70" s="377">
        <v>5000</v>
      </c>
      <c r="E70" s="426" t="s">
        <v>388</v>
      </c>
      <c r="F70" s="379">
        <v>1</v>
      </c>
      <c r="G70" s="377">
        <v>5000</v>
      </c>
      <c r="H70" s="377">
        <v>0</v>
      </c>
      <c r="I70" s="377">
        <v>5000</v>
      </c>
      <c r="J70" s="362">
        <v>25322</v>
      </c>
      <c r="K70" s="363" t="s">
        <v>415</v>
      </c>
      <c r="L70" s="378">
        <v>5000</v>
      </c>
      <c r="M70" s="427">
        <v>25294</v>
      </c>
      <c r="N70" s="319">
        <v>1</v>
      </c>
      <c r="O70" s="365">
        <f>D70+G70-L70</f>
        <v>5000</v>
      </c>
      <c r="P70" s="366">
        <v>0</v>
      </c>
      <c r="Q70" s="366">
        <f>D70+I70-L70</f>
        <v>5000</v>
      </c>
      <c r="R70" s="323"/>
    </row>
    <row r="71" spans="1:20">
      <c r="A71" s="379">
        <v>2</v>
      </c>
      <c r="B71" s="380" t="s">
        <v>105</v>
      </c>
      <c r="C71" s="380"/>
      <c r="D71" s="377">
        <v>4650</v>
      </c>
      <c r="E71" s="426" t="s">
        <v>388</v>
      </c>
      <c r="F71" s="379">
        <v>1</v>
      </c>
      <c r="G71" s="377">
        <v>4650</v>
      </c>
      <c r="H71" s="377">
        <v>0</v>
      </c>
      <c r="I71" s="377">
        <v>4650</v>
      </c>
      <c r="J71" s="362">
        <v>25322</v>
      </c>
      <c r="K71" s="363" t="s">
        <v>416</v>
      </c>
      <c r="L71" s="378">
        <v>4650</v>
      </c>
      <c r="M71" s="427">
        <v>25294</v>
      </c>
      <c r="N71" s="319">
        <v>1</v>
      </c>
      <c r="O71" s="365">
        <f>D71+G71-L71</f>
        <v>4650</v>
      </c>
      <c r="P71" s="366">
        <v>0</v>
      </c>
      <c r="Q71" s="366">
        <f>D71+I71-L71</f>
        <v>4650</v>
      </c>
      <c r="R71" s="323" t="s">
        <v>108</v>
      </c>
    </row>
    <row r="72" spans="1:20">
      <c r="A72" s="379">
        <v>3</v>
      </c>
      <c r="B72" s="380" t="s">
        <v>109</v>
      </c>
      <c r="C72" s="428"/>
      <c r="D72" s="429">
        <v>3450</v>
      </c>
      <c r="E72" s="379"/>
      <c r="F72" s="379"/>
      <c r="G72" s="429">
        <v>0</v>
      </c>
      <c r="H72" s="429">
        <v>0</v>
      </c>
      <c r="I72" s="377">
        <v>0</v>
      </c>
      <c r="J72" s="362">
        <v>25300</v>
      </c>
      <c r="K72" s="363" t="s">
        <v>417</v>
      </c>
      <c r="L72" s="378">
        <v>3450</v>
      </c>
      <c r="M72" s="426"/>
      <c r="N72" s="319"/>
      <c r="O72" s="365">
        <f>D72+G72-L72</f>
        <v>0</v>
      </c>
      <c r="P72" s="366">
        <v>0</v>
      </c>
      <c r="Q72" s="366">
        <f>D72+I72-L72</f>
        <v>0</v>
      </c>
      <c r="R72" s="323" t="s">
        <v>111</v>
      </c>
    </row>
    <row r="73" spans="1:20">
      <c r="A73" s="379">
        <v>4</v>
      </c>
      <c r="B73" s="380" t="s">
        <v>112</v>
      </c>
      <c r="C73" s="380"/>
      <c r="D73" s="377">
        <v>3795</v>
      </c>
      <c r="E73" s="379"/>
      <c r="F73" s="379"/>
      <c r="G73" s="377">
        <v>0</v>
      </c>
      <c r="H73" s="377">
        <v>0</v>
      </c>
      <c r="I73" s="377">
        <v>0</v>
      </c>
      <c r="J73" s="362">
        <v>25300</v>
      </c>
      <c r="K73" s="363" t="s">
        <v>418</v>
      </c>
      <c r="L73" s="378">
        <v>3795</v>
      </c>
      <c r="M73" s="319"/>
      <c r="N73" s="319"/>
      <c r="O73" s="365">
        <f>D73+G73-L73</f>
        <v>0</v>
      </c>
      <c r="P73" s="366">
        <v>0</v>
      </c>
      <c r="Q73" s="366">
        <f>D73+I73-L73</f>
        <v>0</v>
      </c>
      <c r="R73" s="430" t="s">
        <v>114</v>
      </c>
    </row>
    <row r="74" spans="1:20" ht="25.5" customHeight="1">
      <c r="A74" s="379">
        <v>5</v>
      </c>
      <c r="B74" s="431" t="s">
        <v>115</v>
      </c>
      <c r="C74" s="431"/>
      <c r="D74" s="432">
        <v>8000</v>
      </c>
      <c r="E74" s="380"/>
      <c r="F74" s="380"/>
      <c r="G74" s="433">
        <v>0</v>
      </c>
      <c r="H74" s="433">
        <v>0</v>
      </c>
      <c r="I74" s="433">
        <v>0</v>
      </c>
      <c r="J74" s="362">
        <v>25300</v>
      </c>
      <c r="K74" s="363" t="s">
        <v>419</v>
      </c>
      <c r="L74" s="378">
        <v>8000</v>
      </c>
      <c r="M74" s="319"/>
      <c r="N74" s="319"/>
      <c r="O74" s="365">
        <f>D74+G74-L74</f>
        <v>0</v>
      </c>
      <c r="P74" s="366">
        <v>0</v>
      </c>
      <c r="Q74" s="366">
        <f>D74+I74-L74</f>
        <v>0</v>
      </c>
    </row>
    <row r="75" spans="1:20" ht="25.2" thickBot="1">
      <c r="A75" s="323"/>
      <c r="B75" s="319" t="s">
        <v>26</v>
      </c>
      <c r="C75" s="369"/>
      <c r="D75" s="368">
        <f>SUM(D42:D74)</f>
        <v>34615</v>
      </c>
      <c r="E75" s="368"/>
      <c r="F75" s="368"/>
      <c r="G75" s="368">
        <f>SUM(G42:G74)</f>
        <v>14510</v>
      </c>
      <c r="H75" s="368">
        <f>SUM(H42:H74)</f>
        <v>0</v>
      </c>
      <c r="I75" s="368">
        <f>SUM(I42:I74)</f>
        <v>14510</v>
      </c>
      <c r="J75" s="372"/>
      <c r="K75" s="372"/>
      <c r="L75" s="372">
        <f>SUM(L42:L74)</f>
        <v>37045</v>
      </c>
      <c r="M75" s="368"/>
      <c r="N75" s="434"/>
      <c r="O75" s="407">
        <f>SUM(O42:O74)</f>
        <v>12080</v>
      </c>
      <c r="P75" s="368">
        <v>0</v>
      </c>
      <c r="Q75" s="435">
        <f>SUM(Q42:Q74)</f>
        <v>12080</v>
      </c>
      <c r="R75" s="323"/>
    </row>
    <row r="76" spans="1:20" ht="25.2" thickTop="1">
      <c r="A76" s="323"/>
      <c r="B76" s="417" t="s">
        <v>117</v>
      </c>
      <c r="C76" s="340"/>
      <c r="D76" s="340"/>
      <c r="E76" s="322"/>
      <c r="F76" s="322"/>
      <c r="G76" s="340"/>
      <c r="H76" s="340"/>
      <c r="I76" s="340"/>
      <c r="J76" s="383"/>
      <c r="K76" s="384"/>
      <c r="L76" s="436"/>
      <c r="M76" s="322"/>
      <c r="N76" s="322"/>
      <c r="O76" s="365">
        <v>0</v>
      </c>
      <c r="P76" s="340"/>
      <c r="Q76" s="437">
        <v>0</v>
      </c>
      <c r="R76" s="340"/>
    </row>
    <row r="77" spans="1:20">
      <c r="A77" s="323"/>
      <c r="B77" s="417" t="s">
        <v>118</v>
      </c>
      <c r="C77" s="340"/>
      <c r="D77" s="340"/>
      <c r="E77" s="319"/>
      <c r="F77" s="322"/>
      <c r="G77" s="340"/>
      <c r="H77" s="340"/>
      <c r="I77" s="340"/>
      <c r="J77" s="383"/>
      <c r="K77" s="384"/>
      <c r="L77" s="436"/>
      <c r="M77" s="322"/>
      <c r="N77" s="322"/>
      <c r="O77" s="365">
        <v>0</v>
      </c>
      <c r="P77" s="340"/>
      <c r="Q77" s="366">
        <v>0</v>
      </c>
      <c r="R77" s="323"/>
    </row>
    <row r="78" spans="1:20">
      <c r="A78" s="319">
        <v>1</v>
      </c>
      <c r="B78" s="418" t="s">
        <v>119</v>
      </c>
      <c r="C78" s="340"/>
      <c r="D78" s="438">
        <v>0</v>
      </c>
      <c r="E78" s="319"/>
      <c r="F78" s="322"/>
      <c r="G78" s="343">
        <v>0</v>
      </c>
      <c r="H78" s="343">
        <v>0</v>
      </c>
      <c r="I78" s="343">
        <v>0</v>
      </c>
      <c r="J78" s="320"/>
      <c r="K78" s="310"/>
      <c r="L78" s="401"/>
      <c r="M78" s="418"/>
      <c r="N78" s="322"/>
      <c r="O78" s="365">
        <v>0</v>
      </c>
      <c r="P78" s="439">
        <v>0</v>
      </c>
      <c r="Q78" s="366">
        <v>0</v>
      </c>
      <c r="R78" s="323" t="s">
        <v>120</v>
      </c>
    </row>
    <row r="79" spans="1:20">
      <c r="A79" s="319"/>
      <c r="B79" s="323" t="s">
        <v>120</v>
      </c>
      <c r="C79" s="340"/>
      <c r="D79" s="438"/>
      <c r="E79" s="319"/>
      <c r="F79" s="322"/>
      <c r="G79" s="343">
        <v>0</v>
      </c>
      <c r="H79" s="343"/>
      <c r="I79" s="343">
        <v>0</v>
      </c>
      <c r="J79" s="320"/>
      <c r="K79" s="310"/>
      <c r="L79" s="401"/>
      <c r="M79" s="319"/>
      <c r="N79" s="322"/>
      <c r="O79" s="365">
        <v>0</v>
      </c>
      <c r="P79" s="340"/>
      <c r="Q79" s="366">
        <v>0</v>
      </c>
      <c r="R79" s="323"/>
    </row>
    <row r="80" spans="1:20">
      <c r="A80" s="319">
        <v>2</v>
      </c>
      <c r="B80" s="418" t="s">
        <v>121</v>
      </c>
      <c r="C80" s="340"/>
      <c r="D80" s="438">
        <v>6000</v>
      </c>
      <c r="E80" s="319"/>
      <c r="F80" s="319"/>
      <c r="G80" s="343">
        <v>0</v>
      </c>
      <c r="H80" s="343">
        <v>0</v>
      </c>
      <c r="I80" s="343">
        <v>0</v>
      </c>
      <c r="J80" s="362">
        <v>25300</v>
      </c>
      <c r="K80" s="363" t="s">
        <v>420</v>
      </c>
      <c r="L80" s="378">
        <v>6000</v>
      </c>
      <c r="M80" s="319"/>
      <c r="N80" s="319"/>
      <c r="O80" s="365">
        <v>0</v>
      </c>
      <c r="P80" s="366">
        <v>0</v>
      </c>
      <c r="Q80" s="366">
        <v>0</v>
      </c>
      <c r="R80" s="323"/>
    </row>
    <row r="81" spans="1:18">
      <c r="A81" s="323"/>
      <c r="B81" s="339" t="s">
        <v>123</v>
      </c>
      <c r="C81" s="340"/>
      <c r="D81" s="340"/>
      <c r="E81" s="322"/>
      <c r="F81" s="322"/>
      <c r="G81" s="340">
        <v>0</v>
      </c>
      <c r="H81" s="340"/>
      <c r="I81" s="343">
        <v>0</v>
      </c>
      <c r="J81" s="440"/>
      <c r="K81" s="441"/>
      <c r="L81" s="442"/>
      <c r="M81" s="322"/>
      <c r="N81" s="322"/>
      <c r="O81" s="365">
        <v>0</v>
      </c>
      <c r="P81" s="340"/>
      <c r="Q81" s="366">
        <v>0</v>
      </c>
      <c r="R81" s="323"/>
    </row>
    <row r="82" spans="1:18">
      <c r="A82" s="319">
        <v>1</v>
      </c>
      <c r="B82" s="323" t="s">
        <v>124</v>
      </c>
      <c r="C82" s="323"/>
      <c r="D82" s="343">
        <v>600</v>
      </c>
      <c r="E82" s="319"/>
      <c r="F82" s="319"/>
      <c r="G82" s="343">
        <v>0</v>
      </c>
      <c r="H82" s="343">
        <v>0</v>
      </c>
      <c r="I82" s="343">
        <v>0</v>
      </c>
      <c r="J82" s="362">
        <v>25313</v>
      </c>
      <c r="K82" s="363" t="s">
        <v>421</v>
      </c>
      <c r="L82" s="378">
        <v>600</v>
      </c>
      <c r="M82" s="319"/>
      <c r="N82" s="319"/>
      <c r="O82" s="365">
        <v>0</v>
      </c>
      <c r="P82" s="366">
        <v>0</v>
      </c>
      <c r="Q82" s="366">
        <v>0</v>
      </c>
      <c r="R82" s="323"/>
    </row>
    <row r="83" spans="1:18">
      <c r="A83" s="319">
        <v>2</v>
      </c>
      <c r="B83" s="323" t="s">
        <v>40</v>
      </c>
      <c r="C83" s="323"/>
      <c r="D83" s="343">
        <v>0</v>
      </c>
      <c r="E83" s="319"/>
      <c r="F83" s="319"/>
      <c r="G83" s="343">
        <v>0</v>
      </c>
      <c r="H83" s="343">
        <v>0</v>
      </c>
      <c r="I83" s="343">
        <v>0</v>
      </c>
      <c r="J83" s="362"/>
      <c r="K83" s="363"/>
      <c r="L83" s="378"/>
      <c r="M83" s="319"/>
      <c r="N83" s="319"/>
      <c r="O83" s="365">
        <v>0</v>
      </c>
      <c r="P83" s="366">
        <v>0</v>
      </c>
      <c r="Q83" s="366">
        <v>0</v>
      </c>
      <c r="R83" s="323" t="s">
        <v>126</v>
      </c>
    </row>
    <row r="84" spans="1:18">
      <c r="A84" s="319"/>
      <c r="B84" s="424" t="s">
        <v>127</v>
      </c>
      <c r="C84" s="323"/>
      <c r="D84" s="343"/>
      <c r="E84" s="319"/>
      <c r="F84" s="319"/>
      <c r="G84" s="343">
        <v>0</v>
      </c>
      <c r="H84" s="323"/>
      <c r="I84" s="343">
        <v>0</v>
      </c>
      <c r="J84" s="320"/>
      <c r="K84" s="310"/>
      <c r="L84" s="401"/>
      <c r="M84" s="319"/>
      <c r="N84" s="319"/>
      <c r="O84" s="365">
        <v>0</v>
      </c>
      <c r="P84" s="343"/>
      <c r="Q84" s="366">
        <v>0</v>
      </c>
      <c r="R84" s="323"/>
    </row>
    <row r="85" spans="1:18">
      <c r="A85" s="319">
        <v>1</v>
      </c>
      <c r="B85" s="418" t="s">
        <v>128</v>
      </c>
      <c r="C85" s="323"/>
      <c r="D85" s="343"/>
      <c r="E85" s="319"/>
      <c r="F85" s="319"/>
      <c r="G85" s="343">
        <v>0</v>
      </c>
      <c r="H85" s="343">
        <v>0</v>
      </c>
      <c r="I85" s="343">
        <v>0</v>
      </c>
      <c r="J85" s="320"/>
      <c r="K85" s="310"/>
      <c r="L85" s="401"/>
      <c r="M85" s="319"/>
      <c r="N85" s="319"/>
      <c r="O85" s="365">
        <v>0</v>
      </c>
      <c r="P85" s="366">
        <v>0</v>
      </c>
      <c r="Q85" s="366">
        <v>0</v>
      </c>
      <c r="R85" s="323" t="s">
        <v>129</v>
      </c>
    </row>
    <row r="86" spans="1:18">
      <c r="A86" s="319">
        <v>2</v>
      </c>
      <c r="B86" s="323" t="s">
        <v>130</v>
      </c>
      <c r="C86" s="323"/>
      <c r="D86" s="343">
        <v>550</v>
      </c>
      <c r="E86" s="319"/>
      <c r="F86" s="319"/>
      <c r="G86" s="343">
        <v>0</v>
      </c>
      <c r="H86" s="343">
        <v>0</v>
      </c>
      <c r="I86" s="343">
        <v>0</v>
      </c>
      <c r="J86" s="362">
        <v>25320</v>
      </c>
      <c r="K86" s="363" t="s">
        <v>422</v>
      </c>
      <c r="L86" s="378">
        <v>550</v>
      </c>
      <c r="M86" s="319"/>
      <c r="N86" s="319"/>
      <c r="O86" s="365">
        <v>0</v>
      </c>
      <c r="P86" s="366">
        <v>0</v>
      </c>
      <c r="Q86" s="366">
        <v>0</v>
      </c>
      <c r="R86" s="323"/>
    </row>
    <row r="87" spans="1:18">
      <c r="A87" s="319" t="s">
        <v>370</v>
      </c>
      <c r="B87" s="323" t="s">
        <v>225</v>
      </c>
      <c r="C87" s="323"/>
      <c r="D87" s="343"/>
      <c r="E87" s="319"/>
      <c r="F87" s="319"/>
      <c r="G87" s="343"/>
      <c r="H87" s="343"/>
      <c r="I87" s="343"/>
      <c r="J87" s="362"/>
      <c r="K87" s="363"/>
      <c r="L87" s="378"/>
      <c r="M87" s="319"/>
      <c r="N87" s="319"/>
      <c r="O87" s="365"/>
      <c r="P87" s="437"/>
      <c r="Q87" s="437"/>
      <c r="R87" s="323"/>
    </row>
    <row r="88" spans="1:18">
      <c r="A88" s="319">
        <v>4</v>
      </c>
      <c r="B88" s="323" t="s">
        <v>132</v>
      </c>
      <c r="C88" s="323"/>
      <c r="D88" s="343">
        <v>1100</v>
      </c>
      <c r="E88" s="319" t="s">
        <v>388</v>
      </c>
      <c r="F88" s="319">
        <v>1</v>
      </c>
      <c r="G88" s="422">
        <v>1100</v>
      </c>
      <c r="H88" s="343"/>
      <c r="I88" s="343">
        <v>1100</v>
      </c>
      <c r="J88" s="362" t="s">
        <v>423</v>
      </c>
      <c r="K88" s="363" t="s">
        <v>424</v>
      </c>
      <c r="L88" s="378">
        <v>2200</v>
      </c>
      <c r="M88" s="319" t="s">
        <v>172</v>
      </c>
      <c r="N88" s="319" t="s">
        <v>172</v>
      </c>
      <c r="O88" s="365">
        <f>SUM(D88+I88-L88)</f>
        <v>0</v>
      </c>
      <c r="P88" s="365"/>
      <c r="Q88" s="365">
        <f>SUM(D88+I88-L88)</f>
        <v>0</v>
      </c>
      <c r="R88" s="323"/>
    </row>
    <row r="89" spans="1:18">
      <c r="A89" s="319">
        <v>5</v>
      </c>
      <c r="B89" s="323" t="s">
        <v>134</v>
      </c>
      <c r="C89" s="323"/>
      <c r="D89" s="343">
        <v>1650</v>
      </c>
      <c r="E89" s="319"/>
      <c r="F89" s="319"/>
      <c r="G89" s="422" t="s">
        <v>425</v>
      </c>
      <c r="H89" s="343">
        <v>0</v>
      </c>
      <c r="I89" s="343">
        <v>0</v>
      </c>
      <c r="J89" s="362">
        <v>25320</v>
      </c>
      <c r="K89" s="423" t="s">
        <v>426</v>
      </c>
      <c r="L89" s="378">
        <v>1650</v>
      </c>
      <c r="M89" s="319"/>
      <c r="N89" s="319"/>
      <c r="O89" s="365">
        <f t="shared" ref="O89:O93" si="8">SUM(D89+I89-L89)</f>
        <v>0</v>
      </c>
      <c r="P89" s="366">
        <v>0</v>
      </c>
      <c r="Q89" s="365">
        <f t="shared" ref="Q89:Q92" si="9">SUM(D89+I89-L89)</f>
        <v>0</v>
      </c>
      <c r="R89" s="323"/>
    </row>
    <row r="90" spans="1:18">
      <c r="A90" s="319"/>
      <c r="B90" s="417" t="s">
        <v>136</v>
      </c>
      <c r="C90" s="323"/>
      <c r="D90" s="343"/>
      <c r="E90" s="319"/>
      <c r="F90" s="319"/>
      <c r="G90" s="422">
        <v>0</v>
      </c>
      <c r="H90" s="323"/>
      <c r="I90" s="343">
        <v>0</v>
      </c>
      <c r="J90" s="362"/>
      <c r="K90" s="363"/>
      <c r="L90" s="378"/>
      <c r="M90" s="319"/>
      <c r="N90" s="319"/>
      <c r="O90" s="365">
        <f t="shared" si="8"/>
        <v>0</v>
      </c>
      <c r="P90" s="343"/>
      <c r="Q90" s="365">
        <f t="shared" si="9"/>
        <v>0</v>
      </c>
      <c r="R90" s="323"/>
    </row>
    <row r="91" spans="1:18">
      <c r="A91" s="319">
        <v>1</v>
      </c>
      <c r="B91" s="323" t="s">
        <v>137</v>
      </c>
      <c r="C91" s="323"/>
      <c r="D91" s="343">
        <v>5000</v>
      </c>
      <c r="E91" s="319" t="s">
        <v>388</v>
      </c>
      <c r="F91" s="319">
        <v>1</v>
      </c>
      <c r="G91" s="422">
        <v>5000</v>
      </c>
      <c r="H91" s="343">
        <v>0</v>
      </c>
      <c r="I91" s="343">
        <v>5000</v>
      </c>
      <c r="J91" s="362">
        <v>25296</v>
      </c>
      <c r="K91" s="363" t="s">
        <v>427</v>
      </c>
      <c r="L91" s="378">
        <v>10000</v>
      </c>
      <c r="M91" s="361" t="s">
        <v>172</v>
      </c>
      <c r="N91" s="319" t="s">
        <v>172</v>
      </c>
      <c r="O91" s="365">
        <f t="shared" si="8"/>
        <v>0</v>
      </c>
      <c r="P91" s="366">
        <v>0</v>
      </c>
      <c r="Q91" s="365">
        <f t="shared" si="9"/>
        <v>0</v>
      </c>
      <c r="R91" s="323"/>
    </row>
    <row r="92" spans="1:18">
      <c r="A92" s="319"/>
      <c r="B92" s="417" t="s">
        <v>140</v>
      </c>
      <c r="C92" s="323"/>
      <c r="D92" s="343"/>
      <c r="E92" s="319"/>
      <c r="F92" s="319"/>
      <c r="G92" s="343">
        <v>0</v>
      </c>
      <c r="H92" s="343"/>
      <c r="I92" s="343">
        <v>0</v>
      </c>
      <c r="J92" s="362"/>
      <c r="K92" s="423"/>
      <c r="L92" s="378"/>
      <c r="M92" s="319"/>
      <c r="N92" s="319"/>
      <c r="O92" s="365">
        <f t="shared" si="8"/>
        <v>0</v>
      </c>
      <c r="P92" s="343"/>
      <c r="Q92" s="365">
        <f t="shared" si="9"/>
        <v>0</v>
      </c>
      <c r="R92" s="323"/>
    </row>
    <row r="93" spans="1:18">
      <c r="A93" s="319">
        <v>1</v>
      </c>
      <c r="B93" s="323" t="s">
        <v>141</v>
      </c>
      <c r="C93" s="323"/>
      <c r="D93" s="343">
        <v>0</v>
      </c>
      <c r="E93" s="319"/>
      <c r="F93" s="319"/>
      <c r="G93" s="343">
        <v>0</v>
      </c>
      <c r="H93" s="343">
        <v>0</v>
      </c>
      <c r="I93" s="343">
        <v>0</v>
      </c>
      <c r="J93" s="362"/>
      <c r="K93" s="363"/>
      <c r="L93" s="378"/>
      <c r="M93" s="319"/>
      <c r="N93" s="319"/>
      <c r="O93" s="365">
        <f t="shared" si="8"/>
        <v>0</v>
      </c>
      <c r="P93" s="366">
        <v>0</v>
      </c>
      <c r="Q93" s="366">
        <v>0</v>
      </c>
      <c r="R93" s="323"/>
    </row>
    <row r="94" spans="1:18">
      <c r="A94" s="319"/>
      <c r="B94" s="417" t="s">
        <v>142</v>
      </c>
      <c r="C94" s="323"/>
      <c r="D94" s="343"/>
      <c r="E94" s="319"/>
      <c r="F94" s="319"/>
      <c r="G94" s="343">
        <v>0</v>
      </c>
      <c r="H94" s="323"/>
      <c r="I94" s="343">
        <v>0</v>
      </c>
      <c r="J94" s="362"/>
      <c r="K94" s="363"/>
      <c r="L94" s="378"/>
      <c r="M94" s="319"/>
      <c r="N94" s="319"/>
      <c r="O94" s="365">
        <v>0</v>
      </c>
      <c r="P94" s="343"/>
      <c r="Q94" s="366">
        <v>0</v>
      </c>
      <c r="R94" s="323"/>
    </row>
    <row r="95" spans="1:18">
      <c r="A95" s="319">
        <v>1</v>
      </c>
      <c r="B95" s="323" t="s">
        <v>143</v>
      </c>
      <c r="C95" s="323"/>
      <c r="D95" s="343">
        <v>0</v>
      </c>
      <c r="E95" s="319"/>
      <c r="F95" s="319"/>
      <c r="G95" s="343">
        <v>0</v>
      </c>
      <c r="H95" s="343">
        <v>0</v>
      </c>
      <c r="I95" s="343">
        <v>0</v>
      </c>
      <c r="J95" s="362"/>
      <c r="K95" s="363"/>
      <c r="L95" s="378"/>
      <c r="M95" s="319"/>
      <c r="N95" s="319"/>
      <c r="O95" s="365">
        <v>0</v>
      </c>
      <c r="P95" s="366">
        <v>0</v>
      </c>
      <c r="Q95" s="366">
        <v>0</v>
      </c>
      <c r="R95" s="323" t="s">
        <v>64</v>
      </c>
    </row>
    <row r="96" spans="1:18">
      <c r="A96" s="319">
        <v>2</v>
      </c>
      <c r="B96" s="323" t="s">
        <v>144</v>
      </c>
      <c r="C96" s="323"/>
      <c r="D96" s="343">
        <v>0</v>
      </c>
      <c r="E96" s="319"/>
      <c r="F96" s="319"/>
      <c r="G96" s="343">
        <v>0</v>
      </c>
      <c r="H96" s="343">
        <v>0</v>
      </c>
      <c r="I96" s="343">
        <v>0</v>
      </c>
      <c r="J96" s="443"/>
      <c r="K96" s="444"/>
      <c r="L96" s="445"/>
      <c r="M96" s="319"/>
      <c r="N96" s="319"/>
      <c r="O96" s="365">
        <v>0</v>
      </c>
      <c r="P96" s="366">
        <v>0</v>
      </c>
      <c r="Q96" s="366">
        <v>0</v>
      </c>
      <c r="R96" s="323" t="s">
        <v>145</v>
      </c>
    </row>
    <row r="97" spans="1:18">
      <c r="A97" s="319">
        <v>3</v>
      </c>
      <c r="B97" s="323" t="s">
        <v>146</v>
      </c>
      <c r="C97" s="323"/>
      <c r="D97" s="343">
        <v>0</v>
      </c>
      <c r="E97" s="319"/>
      <c r="F97" s="319"/>
      <c r="G97" s="346">
        <v>0</v>
      </c>
      <c r="H97" s="343">
        <v>0</v>
      </c>
      <c r="I97" s="343">
        <v>0</v>
      </c>
      <c r="J97" s="362"/>
      <c r="K97" s="363"/>
      <c r="L97" s="378"/>
      <c r="M97" s="319"/>
      <c r="N97" s="319"/>
      <c r="O97" s="365">
        <v>0</v>
      </c>
      <c r="P97" s="366">
        <v>0</v>
      </c>
      <c r="Q97" s="366">
        <v>0</v>
      </c>
      <c r="R97" s="323"/>
    </row>
    <row r="98" spans="1:18">
      <c r="A98" s="319">
        <v>4</v>
      </c>
      <c r="B98" s="323" t="s">
        <v>147</v>
      </c>
      <c r="C98" s="323"/>
      <c r="D98" s="343">
        <v>0</v>
      </c>
      <c r="E98" s="319"/>
      <c r="F98" s="319"/>
      <c r="G98" s="365">
        <v>0</v>
      </c>
      <c r="H98" s="366">
        <v>0</v>
      </c>
      <c r="I98" s="366">
        <v>0</v>
      </c>
      <c r="J98" s="362"/>
      <c r="K98" s="363"/>
      <c r="L98" s="378"/>
      <c r="M98" s="319"/>
      <c r="N98" s="319"/>
      <c r="O98" s="365">
        <v>0</v>
      </c>
      <c r="P98" s="366">
        <v>0</v>
      </c>
      <c r="Q98" s="366">
        <v>0</v>
      </c>
      <c r="R98" s="323" t="s">
        <v>148</v>
      </c>
    </row>
    <row r="99" spans="1:18">
      <c r="A99" s="319">
        <v>5</v>
      </c>
      <c r="B99" s="323" t="s">
        <v>149</v>
      </c>
      <c r="C99" s="323"/>
      <c r="D99" s="343">
        <v>0</v>
      </c>
      <c r="E99" s="319"/>
      <c r="F99" s="319"/>
      <c r="G99" s="365">
        <v>0</v>
      </c>
      <c r="H99" s="366">
        <v>0</v>
      </c>
      <c r="I99" s="366">
        <v>0</v>
      </c>
      <c r="J99" s="362"/>
      <c r="K99" s="363"/>
      <c r="L99" s="378"/>
      <c r="M99" s="319"/>
      <c r="N99" s="319"/>
      <c r="O99" s="365">
        <v>0</v>
      </c>
      <c r="P99" s="366">
        <v>0</v>
      </c>
      <c r="Q99" s="366">
        <v>0</v>
      </c>
      <c r="R99" s="323" t="s">
        <v>150</v>
      </c>
    </row>
    <row r="100" spans="1:18">
      <c r="A100" s="319">
        <v>6</v>
      </c>
      <c r="B100" s="323" t="s">
        <v>151</v>
      </c>
      <c r="C100" s="323"/>
      <c r="D100" s="343"/>
      <c r="E100" s="319"/>
      <c r="F100" s="319"/>
      <c r="G100" s="365">
        <v>0</v>
      </c>
      <c r="H100" s="366"/>
      <c r="I100" s="366">
        <v>0</v>
      </c>
      <c r="J100" s="362"/>
      <c r="K100" s="363"/>
      <c r="L100" s="378"/>
      <c r="M100" s="319"/>
      <c r="N100" s="319"/>
      <c r="O100" s="365">
        <v>0</v>
      </c>
      <c r="P100" s="366"/>
      <c r="Q100" s="366">
        <v>0</v>
      </c>
      <c r="R100" s="323" t="s">
        <v>152</v>
      </c>
    </row>
    <row r="101" spans="1:18">
      <c r="A101" s="319">
        <v>7</v>
      </c>
      <c r="B101" s="323" t="s">
        <v>153</v>
      </c>
      <c r="C101" s="323"/>
      <c r="D101" s="343"/>
      <c r="E101" s="319"/>
      <c r="F101" s="319"/>
      <c r="G101" s="365">
        <v>0</v>
      </c>
      <c r="H101" s="366"/>
      <c r="I101" s="366">
        <v>0</v>
      </c>
      <c r="J101" s="362"/>
      <c r="K101" s="363"/>
      <c r="L101" s="378"/>
      <c r="M101" s="319"/>
      <c r="N101" s="319"/>
      <c r="O101" s="365">
        <v>0</v>
      </c>
      <c r="P101" s="366"/>
      <c r="Q101" s="366">
        <v>0</v>
      </c>
      <c r="R101" s="323" t="s">
        <v>64</v>
      </c>
    </row>
    <row r="102" spans="1:18">
      <c r="A102" s="319">
        <v>8</v>
      </c>
      <c r="B102" s="323" t="s">
        <v>154</v>
      </c>
      <c r="C102" s="323"/>
      <c r="D102" s="343"/>
      <c r="E102" s="319"/>
      <c r="F102" s="319"/>
      <c r="G102" s="365">
        <v>0</v>
      </c>
      <c r="H102" s="366"/>
      <c r="I102" s="366">
        <v>0</v>
      </c>
      <c r="J102" s="362"/>
      <c r="K102" s="363"/>
      <c r="L102" s="378"/>
      <c r="M102" s="319"/>
      <c r="N102" s="319"/>
      <c r="O102" s="365">
        <v>0</v>
      </c>
      <c r="P102" s="366"/>
      <c r="Q102" s="366">
        <v>0</v>
      </c>
      <c r="R102" s="323" t="s">
        <v>155</v>
      </c>
    </row>
    <row r="103" spans="1:18">
      <c r="A103" s="319">
        <v>9</v>
      </c>
      <c r="B103" s="323" t="s">
        <v>156</v>
      </c>
      <c r="C103" s="323"/>
      <c r="D103" s="343"/>
      <c r="E103" s="319"/>
      <c r="F103" s="319"/>
      <c r="G103" s="365">
        <v>0</v>
      </c>
      <c r="H103" s="366"/>
      <c r="I103" s="366">
        <v>0</v>
      </c>
      <c r="J103" s="362"/>
      <c r="K103" s="363"/>
      <c r="L103" s="378"/>
      <c r="M103" s="319"/>
      <c r="N103" s="319"/>
      <c r="O103" s="365">
        <v>0</v>
      </c>
      <c r="P103" s="366"/>
      <c r="Q103" s="366">
        <v>0</v>
      </c>
      <c r="R103" s="323" t="s">
        <v>64</v>
      </c>
    </row>
    <row r="104" spans="1:18">
      <c r="A104" s="319">
        <v>10</v>
      </c>
      <c r="B104" s="323" t="s">
        <v>157</v>
      </c>
      <c r="C104" s="323"/>
      <c r="D104" s="343"/>
      <c r="E104" s="319"/>
      <c r="F104" s="319"/>
      <c r="G104" s="365">
        <v>0</v>
      </c>
      <c r="H104" s="366"/>
      <c r="I104" s="366">
        <v>0</v>
      </c>
      <c r="J104" s="362"/>
      <c r="K104" s="363"/>
      <c r="L104" s="378"/>
      <c r="M104" s="319"/>
      <c r="N104" s="319"/>
      <c r="O104" s="365">
        <v>0</v>
      </c>
      <c r="P104" s="366"/>
      <c r="Q104" s="366">
        <v>0</v>
      </c>
      <c r="R104" s="323" t="s">
        <v>158</v>
      </c>
    </row>
    <row r="105" spans="1:18">
      <c r="A105" s="319">
        <v>11</v>
      </c>
      <c r="B105" s="446" t="s">
        <v>159</v>
      </c>
      <c r="C105" s="323"/>
      <c r="D105" s="343">
        <v>0</v>
      </c>
      <c r="E105" s="319"/>
      <c r="F105" s="319"/>
      <c r="G105" s="365">
        <v>0</v>
      </c>
      <c r="H105" s="366">
        <v>0</v>
      </c>
      <c r="I105" s="366">
        <v>0</v>
      </c>
      <c r="J105" s="362"/>
      <c r="K105" s="378"/>
      <c r="L105" s="378"/>
      <c r="M105" s="319"/>
      <c r="N105" s="319"/>
      <c r="O105" s="365">
        <v>0</v>
      </c>
      <c r="P105" s="366">
        <v>0</v>
      </c>
      <c r="Q105" s="366">
        <v>0</v>
      </c>
      <c r="R105" s="323"/>
    </row>
    <row r="106" spans="1:18">
      <c r="A106" s="319">
        <v>12</v>
      </c>
      <c r="B106" s="323" t="s">
        <v>160</v>
      </c>
      <c r="C106" s="323"/>
      <c r="D106" s="343">
        <v>0</v>
      </c>
      <c r="E106" s="319"/>
      <c r="F106" s="319"/>
      <c r="G106" s="365">
        <v>0</v>
      </c>
      <c r="H106" s="366">
        <v>0</v>
      </c>
      <c r="I106" s="366">
        <v>0</v>
      </c>
      <c r="J106" s="362"/>
      <c r="K106" s="363"/>
      <c r="L106" s="378"/>
      <c r="M106" s="319"/>
      <c r="N106" s="319"/>
      <c r="O106" s="365">
        <v>0</v>
      </c>
      <c r="P106" s="366">
        <v>0</v>
      </c>
      <c r="Q106" s="366">
        <v>0</v>
      </c>
      <c r="R106" s="447" t="s">
        <v>161</v>
      </c>
    </row>
    <row r="107" spans="1:18">
      <c r="A107" s="319">
        <v>13</v>
      </c>
      <c r="B107" s="446" t="s">
        <v>162</v>
      </c>
      <c r="C107" s="323"/>
      <c r="D107" s="343">
        <v>0</v>
      </c>
      <c r="E107" s="319"/>
      <c r="F107" s="319"/>
      <c r="G107" s="365">
        <v>0</v>
      </c>
      <c r="H107" s="366">
        <v>0</v>
      </c>
      <c r="I107" s="366">
        <v>0</v>
      </c>
      <c r="J107" s="362"/>
      <c r="K107" s="363"/>
      <c r="L107" s="448"/>
      <c r="M107" s="319"/>
      <c r="N107" s="319"/>
      <c r="O107" s="365">
        <v>0</v>
      </c>
      <c r="P107" s="366">
        <v>0</v>
      </c>
      <c r="Q107" s="366">
        <v>0</v>
      </c>
      <c r="R107" s="323" t="s">
        <v>163</v>
      </c>
    </row>
    <row r="108" spans="1:18">
      <c r="A108" s="319">
        <v>14</v>
      </c>
      <c r="B108" s="446" t="s">
        <v>164</v>
      </c>
      <c r="C108" s="323"/>
      <c r="D108" s="343">
        <v>0</v>
      </c>
      <c r="E108" s="319"/>
      <c r="F108" s="319"/>
      <c r="G108" s="365">
        <v>0</v>
      </c>
      <c r="H108" s="366">
        <v>0</v>
      </c>
      <c r="I108" s="366">
        <v>0</v>
      </c>
      <c r="J108" s="362"/>
      <c r="K108" s="363"/>
      <c r="L108" s="448"/>
      <c r="M108" s="319"/>
      <c r="N108" s="319"/>
      <c r="O108" s="365">
        <v>0</v>
      </c>
      <c r="P108" s="366">
        <v>0</v>
      </c>
      <c r="Q108" s="366">
        <v>0</v>
      </c>
      <c r="R108" s="323" t="s">
        <v>165</v>
      </c>
    </row>
    <row r="109" spans="1:18">
      <c r="A109" s="319">
        <v>15</v>
      </c>
      <c r="B109" s="446" t="s">
        <v>166</v>
      </c>
      <c r="C109" s="323"/>
      <c r="D109" s="343">
        <v>0</v>
      </c>
      <c r="E109" s="319"/>
      <c r="F109" s="319"/>
      <c r="G109" s="365">
        <v>0</v>
      </c>
      <c r="H109" s="366">
        <v>0</v>
      </c>
      <c r="I109" s="366">
        <v>0</v>
      </c>
      <c r="J109" s="362"/>
      <c r="K109" s="363"/>
      <c r="L109" s="448"/>
      <c r="M109" s="319"/>
      <c r="N109" s="319"/>
      <c r="O109" s="365">
        <v>0</v>
      </c>
      <c r="P109" s="366">
        <v>0</v>
      </c>
      <c r="Q109" s="366">
        <v>0</v>
      </c>
      <c r="R109" s="323" t="s">
        <v>64</v>
      </c>
    </row>
    <row r="110" spans="1:18" ht="18.75" customHeight="1">
      <c r="A110" s="297">
        <v>16</v>
      </c>
      <c r="B110" s="449" t="s">
        <v>167</v>
      </c>
      <c r="C110" s="323"/>
      <c r="D110" s="343">
        <v>0</v>
      </c>
      <c r="E110" s="319"/>
      <c r="F110" s="319"/>
      <c r="G110" s="365">
        <v>0</v>
      </c>
      <c r="H110" s="366">
        <v>0</v>
      </c>
      <c r="I110" s="366">
        <v>0</v>
      </c>
      <c r="J110" s="362"/>
      <c r="K110" s="363"/>
      <c r="L110" s="448"/>
      <c r="M110" s="319"/>
      <c r="N110" s="319"/>
      <c r="O110" s="365">
        <v>0</v>
      </c>
      <c r="P110" s="366">
        <v>0</v>
      </c>
      <c r="Q110" s="366">
        <v>0</v>
      </c>
      <c r="R110" s="323" t="s">
        <v>145</v>
      </c>
    </row>
    <row r="111" spans="1:18" ht="25.2" thickBot="1">
      <c r="A111" s="323"/>
      <c r="B111" s="319" t="s">
        <v>26</v>
      </c>
      <c r="C111" s="357"/>
      <c r="D111" s="356">
        <f>SUM(D78:D110)</f>
        <v>14900</v>
      </c>
      <c r="E111" s="356"/>
      <c r="F111" s="356"/>
      <c r="G111" s="356">
        <f>SUM(G78:G110)</f>
        <v>6100</v>
      </c>
      <c r="H111" s="356">
        <f>SUM(H78:H110)</f>
        <v>0</v>
      </c>
      <c r="I111" s="356">
        <f>SUM(I78:I110)</f>
        <v>6100</v>
      </c>
      <c r="J111" s="360"/>
      <c r="K111" s="360"/>
      <c r="L111" s="360">
        <f>SUM(L78:L110)</f>
        <v>21000</v>
      </c>
      <c r="M111" s="356"/>
      <c r="N111" s="406"/>
      <c r="O111" s="407">
        <f>SUM(O78:O110)</f>
        <v>0</v>
      </c>
      <c r="P111" s="407">
        <f>SUM(P78:P110)</f>
        <v>0</v>
      </c>
      <c r="Q111" s="407">
        <f>SUM(Q78:Q110)</f>
        <v>0</v>
      </c>
      <c r="R111" s="323"/>
    </row>
    <row r="112" spans="1:18" ht="25.2" thickTop="1">
      <c r="A112" s="323"/>
      <c r="B112" s="319"/>
      <c r="C112" s="340"/>
      <c r="D112" s="350"/>
      <c r="E112" s="340"/>
      <c r="F112" s="340"/>
      <c r="G112" s="350"/>
      <c r="H112" s="350"/>
      <c r="I112" s="350"/>
      <c r="J112" s="383"/>
      <c r="K112" s="342"/>
      <c r="L112" s="351"/>
      <c r="M112" s="340"/>
      <c r="N112" s="322"/>
      <c r="O112" s="350"/>
      <c r="P112" s="350"/>
      <c r="Q112" s="350"/>
      <c r="R112" s="340"/>
    </row>
    <row r="113" spans="1:20">
      <c r="A113" s="323"/>
      <c r="B113" s="339" t="s">
        <v>168</v>
      </c>
      <c r="C113" s="323"/>
      <c r="D113" s="352"/>
      <c r="E113" s="323"/>
      <c r="F113" s="323"/>
      <c r="G113" s="352"/>
      <c r="H113" s="352"/>
      <c r="I113" s="352"/>
      <c r="J113" s="320"/>
      <c r="K113" s="354"/>
      <c r="L113" s="355"/>
      <c r="M113" s="323"/>
      <c r="N113" s="319"/>
      <c r="O113" s="352"/>
      <c r="P113" s="352"/>
      <c r="Q113" s="352"/>
      <c r="R113" s="340"/>
    </row>
    <row r="114" spans="1:20" ht="25.2" thickBot="1">
      <c r="A114" s="319">
        <v>1</v>
      </c>
      <c r="B114" s="319"/>
      <c r="C114" s="369"/>
      <c r="D114" s="368"/>
      <c r="E114" s="369"/>
      <c r="F114" s="369"/>
      <c r="G114" s="368"/>
      <c r="H114" s="368"/>
      <c r="I114" s="368"/>
      <c r="J114" s="329"/>
      <c r="K114" s="371"/>
      <c r="L114" s="372"/>
      <c r="M114" s="369"/>
      <c r="N114" s="328"/>
      <c r="O114" s="368"/>
      <c r="P114" s="368"/>
      <c r="Q114" s="368"/>
      <c r="R114" s="340"/>
    </row>
    <row r="115" spans="1:20" ht="25.8" thickTop="1" thickBot="1">
      <c r="A115" s="323"/>
      <c r="B115" s="319" t="s">
        <v>26</v>
      </c>
      <c r="C115" s="357"/>
      <c r="D115" s="356"/>
      <c r="E115" s="357"/>
      <c r="F115" s="357"/>
      <c r="G115" s="356"/>
      <c r="H115" s="356"/>
      <c r="I115" s="356"/>
      <c r="J115" s="336"/>
      <c r="K115" s="359"/>
      <c r="L115" s="360"/>
      <c r="M115" s="357"/>
      <c r="N115" s="335"/>
      <c r="O115" s="356"/>
      <c r="P115" s="356"/>
      <c r="Q115" s="356"/>
      <c r="R115" s="340"/>
    </row>
    <row r="116" spans="1:20" ht="25.2" thickTop="1">
      <c r="A116" s="323"/>
      <c r="B116" s="339" t="s">
        <v>169</v>
      </c>
      <c r="C116" s="340"/>
      <c r="D116" s="350"/>
      <c r="E116" s="340"/>
      <c r="F116" s="340"/>
      <c r="G116" s="350"/>
      <c r="H116" s="350"/>
      <c r="I116" s="350"/>
      <c r="J116" s="383"/>
      <c r="K116" s="342"/>
      <c r="L116" s="351"/>
      <c r="M116" s="340"/>
      <c r="N116" s="322"/>
      <c r="O116" s="350"/>
      <c r="P116" s="350"/>
      <c r="Q116" s="350"/>
      <c r="R116" s="340"/>
    </row>
    <row r="117" spans="1:20" ht="25.2" thickBot="1">
      <c r="A117" s="319">
        <v>1</v>
      </c>
      <c r="B117" s="319"/>
      <c r="C117" s="369"/>
      <c r="D117" s="368"/>
      <c r="E117" s="369"/>
      <c r="F117" s="369"/>
      <c r="G117" s="368"/>
      <c r="H117" s="368"/>
      <c r="I117" s="368"/>
      <c r="J117" s="329"/>
      <c r="K117" s="371"/>
      <c r="L117" s="372"/>
      <c r="M117" s="369"/>
      <c r="N117" s="328"/>
      <c r="O117" s="368"/>
      <c r="P117" s="368"/>
      <c r="Q117" s="368"/>
      <c r="R117" s="340"/>
    </row>
    <row r="118" spans="1:20" ht="25.8" thickTop="1" thickBot="1">
      <c r="A118" s="323"/>
      <c r="B118" s="319" t="s">
        <v>26</v>
      </c>
      <c r="C118" s="373"/>
      <c r="D118" s="347"/>
      <c r="E118" s="373"/>
      <c r="F118" s="373"/>
      <c r="G118" s="347"/>
      <c r="H118" s="347"/>
      <c r="I118" s="347"/>
      <c r="J118" s="450"/>
      <c r="K118" s="375"/>
      <c r="L118" s="348"/>
      <c r="M118" s="373"/>
      <c r="N118" s="376"/>
      <c r="O118" s="347"/>
      <c r="P118" s="347"/>
      <c r="Q118" s="347"/>
      <c r="R118" s="340"/>
    </row>
    <row r="119" spans="1:20" ht="25.2" thickTop="1">
      <c r="A119" s="323"/>
      <c r="B119" s="339" t="s">
        <v>170</v>
      </c>
      <c r="C119" s="340"/>
      <c r="D119" s="350"/>
      <c r="E119" s="340"/>
      <c r="F119" s="340"/>
      <c r="G119" s="350"/>
      <c r="H119" s="350"/>
      <c r="I119" s="350"/>
      <c r="J119" s="383"/>
      <c r="K119" s="342"/>
      <c r="L119" s="351"/>
      <c r="M119" s="340"/>
      <c r="N119" s="322"/>
      <c r="O119" s="350"/>
      <c r="P119" s="350"/>
      <c r="Q119" s="350"/>
      <c r="R119" s="340"/>
    </row>
    <row r="120" spans="1:20" ht="25.2" thickBot="1">
      <c r="A120" s="319">
        <v>1</v>
      </c>
      <c r="B120" s="319"/>
      <c r="C120" s="369"/>
      <c r="D120" s="368"/>
      <c r="E120" s="369"/>
      <c r="F120" s="369"/>
      <c r="G120" s="368"/>
      <c r="H120" s="368"/>
      <c r="I120" s="368"/>
      <c r="J120" s="329"/>
      <c r="K120" s="371"/>
      <c r="L120" s="372"/>
      <c r="M120" s="369"/>
      <c r="N120" s="328"/>
      <c r="O120" s="368"/>
      <c r="P120" s="368"/>
      <c r="Q120" s="368"/>
      <c r="R120" s="340"/>
    </row>
    <row r="121" spans="1:20" ht="25.8" thickTop="1" thickBot="1">
      <c r="A121" s="323"/>
      <c r="B121" s="319" t="s">
        <v>26</v>
      </c>
      <c r="C121" s="357"/>
      <c r="D121" s="356"/>
      <c r="E121" s="357"/>
      <c r="F121" s="357"/>
      <c r="G121" s="356"/>
      <c r="H121" s="356"/>
      <c r="I121" s="356"/>
      <c r="J121" s="336"/>
      <c r="K121" s="359"/>
      <c r="L121" s="360"/>
      <c r="M121" s="357"/>
      <c r="N121" s="335"/>
      <c r="O121" s="356"/>
      <c r="P121" s="356"/>
      <c r="Q121" s="356"/>
      <c r="R121" s="340"/>
    </row>
    <row r="122" spans="1:20" ht="25.2" thickTop="1">
      <c r="A122" s="323"/>
      <c r="B122" s="417" t="s">
        <v>171</v>
      </c>
      <c r="C122" s="340"/>
      <c r="D122" s="340"/>
      <c r="E122" s="340"/>
      <c r="F122" s="340"/>
      <c r="G122" s="340"/>
      <c r="H122" s="340"/>
      <c r="I122" s="340"/>
      <c r="J122" s="383"/>
      <c r="K122" s="342"/>
      <c r="L122" s="342"/>
      <c r="M122" s="340"/>
      <c r="N122" s="322"/>
      <c r="O122" s="340"/>
      <c r="P122" s="340"/>
      <c r="Q122" s="340"/>
      <c r="R122" s="340"/>
    </row>
    <row r="123" spans="1:20">
      <c r="A123" s="323"/>
      <c r="B123" s="417" t="s">
        <v>53</v>
      </c>
      <c r="C123" s="340"/>
      <c r="D123" s="340"/>
      <c r="E123" s="340"/>
      <c r="F123" s="340"/>
      <c r="G123" s="340"/>
      <c r="H123" s="340"/>
      <c r="I123" s="340"/>
      <c r="J123" s="383"/>
      <c r="K123" s="342"/>
      <c r="L123" s="342"/>
      <c r="M123" s="340"/>
      <c r="N123" s="322"/>
      <c r="O123" s="340"/>
      <c r="P123" s="340"/>
      <c r="Q123" s="340"/>
      <c r="R123" s="340"/>
    </row>
    <row r="124" spans="1:20" s="395" customFormat="1">
      <c r="A124" s="393">
        <v>1</v>
      </c>
      <c r="B124" s="394" t="s">
        <v>54</v>
      </c>
      <c r="C124" s="394"/>
      <c r="D124" s="422">
        <v>0</v>
      </c>
      <c r="E124" s="394"/>
      <c r="F124" s="394" t="s">
        <v>172</v>
      </c>
      <c r="G124" s="422">
        <v>0</v>
      </c>
      <c r="H124" s="422">
        <v>0</v>
      </c>
      <c r="I124" s="422">
        <v>0</v>
      </c>
      <c r="J124" s="451"/>
      <c r="K124" s="452"/>
      <c r="L124" s="453"/>
      <c r="M124" s="394"/>
      <c r="N124" s="393" t="s">
        <v>172</v>
      </c>
      <c r="O124" s="365">
        <v>0</v>
      </c>
      <c r="P124" s="366">
        <v>0</v>
      </c>
      <c r="Q124" s="366">
        <v>0</v>
      </c>
      <c r="R124" s="394" t="s">
        <v>173</v>
      </c>
      <c r="T124" s="396"/>
    </row>
    <row r="125" spans="1:20">
      <c r="A125" s="319">
        <v>2</v>
      </c>
      <c r="B125" s="323" t="s">
        <v>174</v>
      </c>
      <c r="C125" s="323"/>
      <c r="D125" s="343">
        <v>0</v>
      </c>
      <c r="E125" s="323"/>
      <c r="F125" s="454"/>
      <c r="G125" s="455">
        <v>0</v>
      </c>
      <c r="H125" s="455">
        <v>0</v>
      </c>
      <c r="I125" s="455">
        <v>0</v>
      </c>
      <c r="J125" s="320"/>
      <c r="K125" s="310"/>
      <c r="L125" s="345"/>
      <c r="M125" s="323"/>
      <c r="N125" s="319"/>
      <c r="O125" s="365">
        <v>0</v>
      </c>
      <c r="P125" s="366">
        <v>0</v>
      </c>
      <c r="Q125" s="366">
        <v>0</v>
      </c>
      <c r="R125" s="323" t="s">
        <v>173</v>
      </c>
    </row>
    <row r="126" spans="1:20">
      <c r="A126" s="319">
        <v>3</v>
      </c>
      <c r="B126" s="323" t="s">
        <v>175</v>
      </c>
      <c r="C126" s="323"/>
      <c r="D126" s="343">
        <v>0</v>
      </c>
      <c r="E126" s="323"/>
      <c r="F126" s="323"/>
      <c r="G126" s="343">
        <v>0</v>
      </c>
      <c r="H126" s="343">
        <v>0</v>
      </c>
      <c r="I126" s="343">
        <v>0</v>
      </c>
      <c r="J126" s="320"/>
      <c r="K126" s="354"/>
      <c r="L126" s="345"/>
      <c r="M126" s="323"/>
      <c r="N126" s="319"/>
      <c r="O126" s="365">
        <v>0</v>
      </c>
      <c r="P126" s="366">
        <v>0</v>
      </c>
      <c r="Q126" s="366">
        <v>0</v>
      </c>
      <c r="R126" s="323" t="s">
        <v>176</v>
      </c>
    </row>
    <row r="127" spans="1:20">
      <c r="A127" s="319"/>
      <c r="B127" s="323" t="s">
        <v>177</v>
      </c>
      <c r="C127" s="323"/>
      <c r="D127" s="343"/>
      <c r="E127" s="323"/>
      <c r="F127" s="323"/>
      <c r="G127" s="343">
        <v>0</v>
      </c>
      <c r="H127" s="343">
        <v>0</v>
      </c>
      <c r="I127" s="343">
        <v>0</v>
      </c>
      <c r="J127" s="320"/>
      <c r="K127" s="354"/>
      <c r="L127" s="345"/>
      <c r="M127" s="323"/>
      <c r="N127" s="319"/>
      <c r="O127" s="365">
        <v>0</v>
      </c>
      <c r="P127" s="366">
        <v>0</v>
      </c>
      <c r="Q127" s="366">
        <v>0</v>
      </c>
      <c r="R127" s="323" t="s">
        <v>178</v>
      </c>
    </row>
    <row r="128" spans="1:20">
      <c r="A128" s="319"/>
      <c r="B128" s="323"/>
      <c r="C128" s="323"/>
      <c r="D128" s="343"/>
      <c r="E128" s="323"/>
      <c r="F128" s="323"/>
      <c r="G128" s="343"/>
      <c r="H128" s="343"/>
      <c r="I128" s="343"/>
      <c r="J128" s="320"/>
      <c r="K128" s="354"/>
      <c r="L128" s="345"/>
      <c r="M128" s="323"/>
      <c r="N128" s="319"/>
      <c r="O128" s="365"/>
      <c r="P128" s="366"/>
      <c r="Q128" s="366"/>
      <c r="R128" s="323" t="s">
        <v>179</v>
      </c>
    </row>
    <row r="129" spans="1:20">
      <c r="A129" s="319">
        <v>4</v>
      </c>
      <c r="B129" s="323" t="s">
        <v>62</v>
      </c>
      <c r="C129" s="323"/>
      <c r="D129" s="343">
        <v>0</v>
      </c>
      <c r="E129" s="323"/>
      <c r="F129" s="323"/>
      <c r="G129" s="343">
        <v>0</v>
      </c>
      <c r="H129" s="343">
        <v>0</v>
      </c>
      <c r="I129" s="343">
        <v>0</v>
      </c>
      <c r="J129" s="320"/>
      <c r="K129" s="310"/>
      <c r="L129" s="345"/>
      <c r="M129" s="323"/>
      <c r="N129" s="319"/>
      <c r="O129" s="365">
        <v>0</v>
      </c>
      <c r="P129" s="366">
        <v>0</v>
      </c>
      <c r="Q129" s="366">
        <v>0</v>
      </c>
      <c r="R129" s="323"/>
    </row>
    <row r="130" spans="1:20">
      <c r="A130" s="319">
        <v>5</v>
      </c>
      <c r="B130" s="323" t="s">
        <v>180</v>
      </c>
      <c r="C130" s="323"/>
      <c r="D130" s="343">
        <v>0</v>
      </c>
      <c r="E130" s="323"/>
      <c r="F130" s="323" t="s">
        <v>172</v>
      </c>
      <c r="G130" s="343">
        <v>0</v>
      </c>
      <c r="H130" s="343">
        <v>0</v>
      </c>
      <c r="I130" s="343">
        <v>0</v>
      </c>
      <c r="J130" s="320"/>
      <c r="K130" s="354"/>
      <c r="L130" s="345"/>
      <c r="M130" s="323"/>
      <c r="N130" s="319" t="s">
        <v>172</v>
      </c>
      <c r="O130" s="365">
        <v>0</v>
      </c>
      <c r="P130" s="366">
        <v>0</v>
      </c>
      <c r="Q130" s="366">
        <v>0</v>
      </c>
      <c r="R130" s="323" t="s">
        <v>176</v>
      </c>
    </row>
    <row r="131" spans="1:20">
      <c r="A131" s="319"/>
      <c r="B131" s="323" t="s">
        <v>181</v>
      </c>
      <c r="C131" s="323"/>
      <c r="D131" s="343"/>
      <c r="E131" s="323"/>
      <c r="F131" s="323"/>
      <c r="G131" s="343"/>
      <c r="H131" s="343"/>
      <c r="I131" s="343"/>
      <c r="J131" s="320"/>
      <c r="K131" s="354"/>
      <c r="L131" s="345"/>
      <c r="M131" s="323"/>
      <c r="N131" s="319"/>
      <c r="O131" s="352"/>
      <c r="P131" s="343"/>
      <c r="Q131" s="352"/>
      <c r="R131" s="323" t="s">
        <v>178</v>
      </c>
    </row>
    <row r="132" spans="1:20">
      <c r="A132" s="319"/>
      <c r="B132" s="323"/>
      <c r="C132" s="323"/>
      <c r="D132" s="343"/>
      <c r="E132" s="323"/>
      <c r="F132" s="323"/>
      <c r="G132" s="343"/>
      <c r="H132" s="343"/>
      <c r="I132" s="343"/>
      <c r="J132" s="320"/>
      <c r="K132" s="354"/>
      <c r="L132" s="345"/>
      <c r="M132" s="323"/>
      <c r="N132" s="319"/>
      <c r="O132" s="352"/>
      <c r="P132" s="343"/>
      <c r="Q132" s="352"/>
      <c r="R132" s="323" t="s">
        <v>179</v>
      </c>
    </row>
    <row r="133" spans="1:20">
      <c r="A133" s="319"/>
      <c r="B133" s="323"/>
      <c r="C133" s="323"/>
      <c r="D133" s="343"/>
      <c r="E133" s="323"/>
      <c r="F133" s="323"/>
      <c r="G133" s="343"/>
      <c r="H133" s="343"/>
      <c r="I133" s="343"/>
      <c r="J133" s="320"/>
      <c r="K133" s="354"/>
      <c r="L133" s="345"/>
      <c r="M133" s="323"/>
      <c r="N133" s="319"/>
      <c r="O133" s="352"/>
      <c r="P133" s="343"/>
      <c r="Q133" s="352"/>
      <c r="R133" s="323" t="s">
        <v>182</v>
      </c>
    </row>
    <row r="134" spans="1:20">
      <c r="A134" s="319">
        <v>6</v>
      </c>
      <c r="B134" s="323" t="s">
        <v>428</v>
      </c>
      <c r="C134" s="323"/>
      <c r="D134" s="456" t="s">
        <v>172</v>
      </c>
      <c r="E134" s="323"/>
      <c r="F134" s="323"/>
      <c r="G134" s="343">
        <v>0</v>
      </c>
      <c r="H134" s="343">
        <v>0</v>
      </c>
      <c r="I134" s="343">
        <v>0</v>
      </c>
      <c r="J134" s="320"/>
      <c r="K134" s="354"/>
      <c r="L134" s="345"/>
      <c r="M134" s="323"/>
      <c r="N134" s="319"/>
      <c r="O134" s="457">
        <v>0</v>
      </c>
      <c r="P134" s="366">
        <v>0</v>
      </c>
      <c r="Q134" s="366">
        <v>0</v>
      </c>
      <c r="R134" s="323" t="s">
        <v>184</v>
      </c>
    </row>
    <row r="135" spans="1:20">
      <c r="A135" s="319"/>
      <c r="B135" s="323"/>
      <c r="C135" s="323"/>
      <c r="D135" s="343"/>
      <c r="E135" s="323"/>
      <c r="F135" s="323"/>
      <c r="G135" s="343"/>
      <c r="H135" s="343"/>
      <c r="I135" s="343"/>
      <c r="J135" s="320"/>
      <c r="K135" s="354"/>
      <c r="L135" s="345"/>
      <c r="M135" s="323"/>
      <c r="N135" s="319"/>
      <c r="O135" s="352"/>
      <c r="P135" s="343"/>
      <c r="Q135" s="352"/>
      <c r="R135" s="323" t="s">
        <v>185</v>
      </c>
    </row>
    <row r="136" spans="1:20">
      <c r="A136" s="319"/>
      <c r="B136" s="323"/>
      <c r="C136" s="323"/>
      <c r="D136" s="343"/>
      <c r="E136" s="323"/>
      <c r="F136" s="323"/>
      <c r="G136" s="343"/>
      <c r="H136" s="343"/>
      <c r="I136" s="343"/>
      <c r="J136" s="320"/>
      <c r="K136" s="354"/>
      <c r="L136" s="345"/>
      <c r="M136" s="323"/>
      <c r="N136" s="319"/>
      <c r="O136" s="352"/>
      <c r="P136" s="343"/>
      <c r="Q136" s="352"/>
      <c r="R136" s="323" t="s">
        <v>186</v>
      </c>
    </row>
    <row r="137" spans="1:20">
      <c r="A137" s="319">
        <v>7</v>
      </c>
      <c r="B137" s="323" t="s">
        <v>70</v>
      </c>
      <c r="C137" s="323"/>
      <c r="D137" s="343">
        <v>0</v>
      </c>
      <c r="E137" s="323"/>
      <c r="F137" s="323"/>
      <c r="G137" s="343">
        <v>0</v>
      </c>
      <c r="H137" s="343">
        <v>0</v>
      </c>
      <c r="I137" s="343">
        <v>0</v>
      </c>
      <c r="J137" s="320"/>
      <c r="K137" s="310"/>
      <c r="L137" s="345"/>
      <c r="M137" s="323"/>
      <c r="N137" s="319"/>
      <c r="O137" s="365">
        <v>0</v>
      </c>
      <c r="P137" s="366">
        <v>0</v>
      </c>
      <c r="Q137" s="366">
        <v>0</v>
      </c>
      <c r="R137" s="323" t="s">
        <v>187</v>
      </c>
    </row>
    <row r="138" spans="1:20">
      <c r="A138" s="319">
        <v>8</v>
      </c>
      <c r="B138" s="323" t="s">
        <v>188</v>
      </c>
      <c r="C138" s="323"/>
      <c r="D138" s="343">
        <v>0</v>
      </c>
      <c r="E138" s="323"/>
      <c r="F138" s="323"/>
      <c r="G138" s="343">
        <v>0</v>
      </c>
      <c r="H138" s="343">
        <v>0</v>
      </c>
      <c r="I138" s="343">
        <v>0</v>
      </c>
      <c r="J138" s="320"/>
      <c r="K138" s="310"/>
      <c r="L138" s="345"/>
      <c r="M138" s="323"/>
      <c r="N138" s="319"/>
      <c r="O138" s="365">
        <v>0</v>
      </c>
      <c r="P138" s="366">
        <v>0</v>
      </c>
      <c r="Q138" s="366">
        <v>0</v>
      </c>
      <c r="R138" s="323" t="s">
        <v>187</v>
      </c>
    </row>
    <row r="139" spans="1:20">
      <c r="A139" s="319">
        <v>9</v>
      </c>
      <c r="B139" s="323" t="s">
        <v>189</v>
      </c>
      <c r="C139" s="323"/>
      <c r="D139" s="343">
        <v>0</v>
      </c>
      <c r="E139" s="323"/>
      <c r="F139" s="323"/>
      <c r="G139" s="343">
        <v>0</v>
      </c>
      <c r="H139" s="343">
        <v>0</v>
      </c>
      <c r="I139" s="343">
        <v>0</v>
      </c>
      <c r="J139" s="320"/>
      <c r="K139" s="354"/>
      <c r="L139" s="345"/>
      <c r="M139" s="323"/>
      <c r="N139" s="319"/>
      <c r="O139" s="365">
        <v>0</v>
      </c>
      <c r="P139" s="366">
        <v>0</v>
      </c>
      <c r="Q139" s="366">
        <v>0</v>
      </c>
      <c r="R139" s="323" t="s">
        <v>190</v>
      </c>
      <c r="T139" s="296" t="s">
        <v>191</v>
      </c>
    </row>
    <row r="140" spans="1:20">
      <c r="A140" s="319"/>
      <c r="B140" s="323"/>
      <c r="C140" s="323"/>
      <c r="D140" s="343"/>
      <c r="E140" s="323"/>
      <c r="F140" s="323"/>
      <c r="G140" s="343"/>
      <c r="H140" s="343"/>
      <c r="I140" s="343"/>
      <c r="J140" s="320"/>
      <c r="K140" s="354"/>
      <c r="L140" s="345"/>
      <c r="M140" s="323"/>
      <c r="N140" s="319"/>
      <c r="O140" s="352"/>
      <c r="P140" s="343"/>
      <c r="Q140" s="352"/>
      <c r="R140" s="323" t="s">
        <v>192</v>
      </c>
    </row>
    <row r="141" spans="1:20">
      <c r="A141" s="319"/>
      <c r="B141" s="323"/>
      <c r="C141" s="323"/>
      <c r="D141" s="343"/>
      <c r="E141" s="323"/>
      <c r="F141" s="323"/>
      <c r="G141" s="343"/>
      <c r="H141" s="343"/>
      <c r="I141" s="343"/>
      <c r="J141" s="320"/>
      <c r="K141" s="354"/>
      <c r="L141" s="345"/>
      <c r="M141" s="323"/>
      <c r="N141" s="319"/>
      <c r="O141" s="352"/>
      <c r="P141" s="343"/>
      <c r="Q141" s="352"/>
      <c r="R141" s="323" t="s">
        <v>187</v>
      </c>
    </row>
    <row r="142" spans="1:20">
      <c r="A142" s="319">
        <v>10</v>
      </c>
      <c r="B142" s="323" t="s">
        <v>193</v>
      </c>
      <c r="C142" s="323"/>
      <c r="D142" s="343">
        <v>0</v>
      </c>
      <c r="E142" s="323"/>
      <c r="F142" s="323"/>
      <c r="G142" s="343">
        <v>0</v>
      </c>
      <c r="H142" s="343">
        <v>0</v>
      </c>
      <c r="I142" s="343">
        <v>0</v>
      </c>
      <c r="J142" s="320"/>
      <c r="K142" s="354"/>
      <c r="L142" s="345"/>
      <c r="M142" s="323"/>
      <c r="N142" s="319"/>
      <c r="O142" s="365">
        <v>0</v>
      </c>
      <c r="P142" s="366">
        <v>0</v>
      </c>
      <c r="Q142" s="366">
        <v>0</v>
      </c>
      <c r="R142" s="323" t="s">
        <v>194</v>
      </c>
    </row>
    <row r="143" spans="1:20">
      <c r="A143" s="319">
        <v>11</v>
      </c>
      <c r="B143" s="323" t="s">
        <v>78</v>
      </c>
      <c r="C143" s="323"/>
      <c r="D143" s="343"/>
      <c r="E143" s="323"/>
      <c r="F143" s="323"/>
      <c r="G143" s="343">
        <v>0</v>
      </c>
      <c r="H143" s="343">
        <v>0</v>
      </c>
      <c r="I143" s="343">
        <v>0</v>
      </c>
      <c r="J143" s="458"/>
      <c r="K143" s="344"/>
      <c r="L143" s="345"/>
      <c r="M143" s="323"/>
      <c r="N143" s="319"/>
      <c r="O143" s="365">
        <v>0</v>
      </c>
      <c r="P143" s="366">
        <v>0</v>
      </c>
      <c r="Q143" s="366">
        <v>0</v>
      </c>
      <c r="R143" s="323" t="s">
        <v>195</v>
      </c>
    </row>
    <row r="144" spans="1:20">
      <c r="A144" s="319">
        <v>12</v>
      </c>
      <c r="B144" s="323" t="s">
        <v>196</v>
      </c>
      <c r="C144" s="323"/>
      <c r="D144" s="343">
        <v>0</v>
      </c>
      <c r="E144" s="323"/>
      <c r="F144" s="323"/>
      <c r="G144" s="343">
        <v>0</v>
      </c>
      <c r="H144" s="343">
        <v>0</v>
      </c>
      <c r="I144" s="343">
        <v>0</v>
      </c>
      <c r="J144" s="320"/>
      <c r="K144" s="310"/>
      <c r="L144" s="345"/>
      <c r="M144" s="323"/>
      <c r="N144" s="319"/>
      <c r="O144" s="365">
        <v>0</v>
      </c>
      <c r="P144" s="366">
        <v>0</v>
      </c>
      <c r="Q144" s="366">
        <v>0</v>
      </c>
      <c r="R144" s="323"/>
    </row>
    <row r="145" spans="1:18">
      <c r="A145" s="319">
        <v>13</v>
      </c>
      <c r="B145" s="323" t="s">
        <v>83</v>
      </c>
      <c r="C145" s="323"/>
      <c r="D145" s="343"/>
      <c r="E145" s="323"/>
      <c r="F145" s="323"/>
      <c r="G145" s="343">
        <v>0</v>
      </c>
      <c r="H145" s="343">
        <v>0</v>
      </c>
      <c r="I145" s="343">
        <v>0</v>
      </c>
      <c r="J145" s="320"/>
      <c r="K145" s="344"/>
      <c r="L145" s="345"/>
      <c r="M145" s="323"/>
      <c r="N145" s="319"/>
      <c r="O145" s="365">
        <v>0</v>
      </c>
      <c r="P145" s="366">
        <v>0</v>
      </c>
      <c r="Q145" s="366">
        <v>0</v>
      </c>
      <c r="R145" s="323" t="s">
        <v>195</v>
      </c>
    </row>
    <row r="146" spans="1:18">
      <c r="A146" s="319">
        <v>14</v>
      </c>
      <c r="B146" s="323" t="s">
        <v>85</v>
      </c>
      <c r="C146" s="323"/>
      <c r="D146" s="343">
        <v>0</v>
      </c>
      <c r="E146" s="323"/>
      <c r="F146" s="323" t="s">
        <v>172</v>
      </c>
      <c r="G146" s="343">
        <v>0</v>
      </c>
      <c r="H146" s="343">
        <v>0</v>
      </c>
      <c r="I146" s="343">
        <v>0</v>
      </c>
      <c r="J146" s="320"/>
      <c r="K146" s="354"/>
      <c r="L146" s="345"/>
      <c r="M146" s="323"/>
      <c r="N146" s="319" t="s">
        <v>172</v>
      </c>
      <c r="O146" s="365">
        <v>0</v>
      </c>
      <c r="P146" s="366">
        <v>0</v>
      </c>
      <c r="Q146" s="366">
        <v>0</v>
      </c>
      <c r="R146" s="323"/>
    </row>
    <row r="147" spans="1:18">
      <c r="A147" s="319">
        <v>15</v>
      </c>
      <c r="B147" s="323" t="s">
        <v>197</v>
      </c>
      <c r="C147" s="323"/>
      <c r="D147" s="343">
        <v>0</v>
      </c>
      <c r="E147" s="323"/>
      <c r="F147" s="323"/>
      <c r="G147" s="343">
        <v>0</v>
      </c>
      <c r="H147" s="343">
        <v>0</v>
      </c>
      <c r="I147" s="343">
        <v>0</v>
      </c>
      <c r="J147" s="320"/>
      <c r="K147" s="354"/>
      <c r="L147" s="345"/>
      <c r="M147" s="323"/>
      <c r="N147" s="319"/>
      <c r="O147" s="365">
        <v>0</v>
      </c>
      <c r="P147" s="366">
        <v>0</v>
      </c>
      <c r="Q147" s="366">
        <v>0</v>
      </c>
      <c r="R147" s="323" t="s">
        <v>198</v>
      </c>
    </row>
    <row r="148" spans="1:18">
      <c r="A148" s="319">
        <v>16</v>
      </c>
      <c r="B148" s="323" t="s">
        <v>199</v>
      </c>
      <c r="C148" s="323"/>
      <c r="D148" s="343"/>
      <c r="E148" s="323"/>
      <c r="F148" s="323"/>
      <c r="G148" s="343">
        <v>0</v>
      </c>
      <c r="H148" s="343">
        <v>0</v>
      </c>
      <c r="I148" s="343">
        <v>0</v>
      </c>
      <c r="J148" s="320"/>
      <c r="K148" s="354"/>
      <c r="L148" s="345"/>
      <c r="M148" s="323"/>
      <c r="N148" s="319"/>
      <c r="O148" s="365">
        <v>0</v>
      </c>
      <c r="P148" s="366">
        <v>0</v>
      </c>
      <c r="Q148" s="366">
        <v>0</v>
      </c>
      <c r="R148" s="323" t="s">
        <v>200</v>
      </c>
    </row>
    <row r="149" spans="1:18">
      <c r="A149" s="319"/>
      <c r="B149" s="417" t="s">
        <v>89</v>
      </c>
      <c r="C149" s="323"/>
      <c r="D149" s="343"/>
      <c r="E149" s="323"/>
      <c r="F149" s="323"/>
      <c r="G149" s="343"/>
      <c r="H149" s="343"/>
      <c r="I149" s="343"/>
      <c r="J149" s="320"/>
      <c r="K149" s="354"/>
      <c r="L149" s="345"/>
      <c r="M149" s="323"/>
      <c r="N149" s="319"/>
      <c r="O149" s="352"/>
      <c r="P149" s="343"/>
      <c r="Q149" s="352"/>
      <c r="R149" s="323"/>
    </row>
    <row r="150" spans="1:18" ht="24" customHeight="1">
      <c r="A150" s="319">
        <v>16</v>
      </c>
      <c r="B150" s="323" t="s">
        <v>62</v>
      </c>
      <c r="C150" s="323"/>
      <c r="D150" s="343"/>
      <c r="E150" s="323"/>
      <c r="F150" s="323"/>
      <c r="G150" s="343">
        <v>0</v>
      </c>
      <c r="H150" s="343">
        <v>0</v>
      </c>
      <c r="I150" s="343">
        <v>0</v>
      </c>
      <c r="J150" s="320"/>
      <c r="K150" s="310"/>
      <c r="L150" s="345"/>
      <c r="M150" s="323"/>
      <c r="N150" s="319"/>
      <c r="O150" s="365">
        <v>0</v>
      </c>
      <c r="P150" s="366">
        <v>0</v>
      </c>
      <c r="Q150" s="366">
        <v>0</v>
      </c>
      <c r="R150" s="323"/>
    </row>
    <row r="151" spans="1:18" ht="22.5" customHeight="1">
      <c r="A151" s="319">
        <v>17</v>
      </c>
      <c r="B151" s="319" t="s">
        <v>57</v>
      </c>
      <c r="C151" s="323"/>
      <c r="D151" s="343"/>
      <c r="E151" s="323"/>
      <c r="F151" s="323"/>
      <c r="G151" s="343">
        <v>0</v>
      </c>
      <c r="H151" s="343">
        <v>0</v>
      </c>
      <c r="I151" s="343">
        <v>0</v>
      </c>
      <c r="J151" s="320"/>
      <c r="K151" s="310"/>
      <c r="L151" s="345"/>
      <c r="M151" s="323"/>
      <c r="N151" s="319"/>
      <c r="O151" s="365">
        <v>0</v>
      </c>
      <c r="P151" s="366">
        <v>0</v>
      </c>
      <c r="Q151" s="366">
        <v>0</v>
      </c>
      <c r="R151" s="323"/>
    </row>
    <row r="152" spans="1:18" ht="22.5" customHeight="1">
      <c r="A152" s="319">
        <v>18</v>
      </c>
      <c r="B152" s="323" t="s">
        <v>93</v>
      </c>
      <c r="C152" s="323"/>
      <c r="D152" s="343"/>
      <c r="E152" s="323"/>
      <c r="F152" s="323"/>
      <c r="G152" s="343">
        <v>0</v>
      </c>
      <c r="H152" s="343">
        <v>0</v>
      </c>
      <c r="I152" s="343">
        <v>0</v>
      </c>
      <c r="J152" s="320"/>
      <c r="K152" s="354"/>
      <c r="L152" s="345"/>
      <c r="M152" s="323"/>
      <c r="N152" s="319"/>
      <c r="O152" s="352">
        <v>0</v>
      </c>
      <c r="P152" s="343">
        <v>0</v>
      </c>
      <c r="Q152" s="352">
        <v>0</v>
      </c>
      <c r="R152" s="323" t="s">
        <v>201</v>
      </c>
    </row>
    <row r="153" spans="1:18">
      <c r="A153" s="319">
        <v>19</v>
      </c>
      <c r="B153" s="319" t="s">
        <v>57</v>
      </c>
      <c r="C153" s="323"/>
      <c r="D153" s="343"/>
      <c r="E153" s="323"/>
      <c r="F153" s="323"/>
      <c r="G153" s="343"/>
      <c r="H153" s="343"/>
      <c r="I153" s="343"/>
      <c r="J153" s="320"/>
      <c r="K153" s="354"/>
      <c r="L153" s="345"/>
      <c r="M153" s="323"/>
      <c r="N153" s="319"/>
      <c r="O153" s="352"/>
      <c r="P153" s="343"/>
      <c r="Q153" s="352"/>
      <c r="R153" s="323"/>
    </row>
    <row r="154" spans="1:18">
      <c r="A154" s="319">
        <v>20</v>
      </c>
      <c r="B154" s="323" t="s">
        <v>40</v>
      </c>
      <c r="C154" s="323"/>
      <c r="D154" s="343"/>
      <c r="E154" s="323"/>
      <c r="F154" s="323"/>
      <c r="G154" s="343">
        <v>0</v>
      </c>
      <c r="H154" s="343">
        <v>0</v>
      </c>
      <c r="I154" s="343">
        <v>0</v>
      </c>
      <c r="J154" s="320"/>
      <c r="K154" s="354"/>
      <c r="L154" s="345"/>
      <c r="M154" s="323"/>
      <c r="N154" s="319"/>
      <c r="O154" s="365">
        <v>0</v>
      </c>
      <c r="P154" s="366">
        <v>0</v>
      </c>
      <c r="Q154" s="366">
        <v>0</v>
      </c>
      <c r="R154" s="323" t="s">
        <v>203</v>
      </c>
    </row>
    <row r="155" spans="1:18">
      <c r="A155" s="322"/>
      <c r="B155" s="424" t="s">
        <v>97</v>
      </c>
      <c r="C155" s="323"/>
      <c r="D155" s="343"/>
      <c r="E155" s="323"/>
      <c r="F155" s="323"/>
      <c r="G155" s="343"/>
      <c r="H155" s="343"/>
      <c r="I155" s="343"/>
      <c r="J155" s="320"/>
      <c r="K155" s="354"/>
      <c r="L155" s="345"/>
      <c r="M155" s="323"/>
      <c r="N155" s="319"/>
      <c r="O155" s="352"/>
      <c r="P155" s="343"/>
      <c r="Q155" s="352"/>
      <c r="R155" s="323"/>
    </row>
    <row r="156" spans="1:18">
      <c r="A156" s="322">
        <v>21</v>
      </c>
      <c r="B156" s="418" t="s">
        <v>98</v>
      </c>
      <c r="C156" s="323"/>
      <c r="D156" s="343"/>
      <c r="E156" s="323"/>
      <c r="F156" s="323"/>
      <c r="G156" s="343">
        <v>0</v>
      </c>
      <c r="H156" s="343">
        <v>0</v>
      </c>
      <c r="I156" s="343">
        <v>0</v>
      </c>
      <c r="J156" s="320"/>
      <c r="K156" s="310"/>
      <c r="L156" s="345"/>
      <c r="M156" s="323"/>
      <c r="N156" s="319"/>
      <c r="O156" s="365">
        <v>0</v>
      </c>
      <c r="P156" s="366">
        <v>0</v>
      </c>
      <c r="Q156" s="366">
        <v>0</v>
      </c>
      <c r="R156" s="323"/>
    </row>
    <row r="157" spans="1:18">
      <c r="A157" s="322"/>
      <c r="B157" s="459" t="s">
        <v>204</v>
      </c>
      <c r="C157" s="323"/>
      <c r="D157" s="343"/>
      <c r="E157" s="323"/>
      <c r="F157" s="323"/>
      <c r="G157" s="343"/>
      <c r="H157" s="343"/>
      <c r="I157" s="343"/>
      <c r="J157" s="320"/>
      <c r="K157" s="354"/>
      <c r="L157" s="345"/>
      <c r="M157" s="323"/>
      <c r="N157" s="319"/>
      <c r="O157" s="352"/>
      <c r="P157" s="343"/>
      <c r="Q157" s="352"/>
      <c r="R157" s="323"/>
    </row>
    <row r="158" spans="1:18">
      <c r="A158" s="322">
        <v>1</v>
      </c>
      <c r="B158" s="340" t="s">
        <v>166</v>
      </c>
      <c r="C158" s="323"/>
      <c r="D158" s="343"/>
      <c r="E158" s="323"/>
      <c r="F158" s="323"/>
      <c r="G158" s="343">
        <v>0</v>
      </c>
      <c r="H158" s="343">
        <v>0</v>
      </c>
      <c r="I158" s="343">
        <v>0</v>
      </c>
      <c r="J158" s="320"/>
      <c r="K158" s="354"/>
      <c r="L158" s="345"/>
      <c r="M158" s="323"/>
      <c r="N158" s="319"/>
      <c r="O158" s="365">
        <v>0</v>
      </c>
      <c r="P158" s="366">
        <v>0</v>
      </c>
      <c r="Q158" s="366">
        <v>0</v>
      </c>
      <c r="R158" s="323"/>
    </row>
    <row r="159" spans="1:18">
      <c r="A159" s="322">
        <v>2</v>
      </c>
      <c r="B159" s="340" t="s">
        <v>167</v>
      </c>
      <c r="C159" s="323"/>
      <c r="D159" s="343"/>
      <c r="E159" s="323"/>
      <c r="F159" s="323"/>
      <c r="G159" s="343">
        <v>0</v>
      </c>
      <c r="H159" s="343">
        <v>0</v>
      </c>
      <c r="I159" s="343">
        <v>0</v>
      </c>
      <c r="J159" s="320"/>
      <c r="K159" s="354"/>
      <c r="L159" s="345"/>
      <c r="M159" s="323"/>
      <c r="N159" s="319"/>
      <c r="O159" s="365">
        <v>0</v>
      </c>
      <c r="P159" s="366">
        <v>0</v>
      </c>
      <c r="Q159" s="366">
        <v>0</v>
      </c>
      <c r="R159" s="323"/>
    </row>
    <row r="160" spans="1:18">
      <c r="A160" s="322"/>
      <c r="B160" s="459" t="s">
        <v>205</v>
      </c>
      <c r="C160" s="410"/>
      <c r="D160" s="460"/>
      <c r="E160" s="410"/>
      <c r="F160" s="410"/>
      <c r="G160" s="460"/>
      <c r="H160" s="460"/>
      <c r="I160" s="460"/>
      <c r="J160" s="461"/>
      <c r="K160" s="414"/>
      <c r="L160" s="462"/>
      <c r="M160" s="410"/>
      <c r="N160" s="416"/>
      <c r="O160" s="352"/>
      <c r="P160" s="460"/>
      <c r="Q160" s="412"/>
      <c r="R160" s="323"/>
    </row>
    <row r="161" spans="1:18">
      <c r="A161" s="322">
        <v>1</v>
      </c>
      <c r="B161" s="340" t="s">
        <v>32</v>
      </c>
      <c r="C161" s="323"/>
      <c r="D161" s="343"/>
      <c r="E161" s="323"/>
      <c r="F161" s="323"/>
      <c r="G161" s="343">
        <v>0</v>
      </c>
      <c r="H161" s="343">
        <v>0</v>
      </c>
      <c r="I161" s="343">
        <v>0</v>
      </c>
      <c r="J161" s="320"/>
      <c r="K161" s="354"/>
      <c r="L161" s="345"/>
      <c r="M161" s="323"/>
      <c r="N161" s="319"/>
      <c r="O161" s="365">
        <v>0</v>
      </c>
      <c r="P161" s="366">
        <v>0</v>
      </c>
      <c r="Q161" s="366">
        <v>0</v>
      </c>
      <c r="R161" s="323" t="s">
        <v>206</v>
      </c>
    </row>
    <row r="162" spans="1:18" ht="25.2" thickBot="1">
      <c r="A162" s="322">
        <v>2</v>
      </c>
      <c r="B162" s="340" t="s">
        <v>207</v>
      </c>
      <c r="C162" s="410"/>
      <c r="D162" s="460"/>
      <c r="E162" s="410"/>
      <c r="F162" s="410"/>
      <c r="G162" s="343">
        <v>0</v>
      </c>
      <c r="H162" s="343">
        <v>0</v>
      </c>
      <c r="I162" s="343">
        <v>0</v>
      </c>
      <c r="J162" s="461"/>
      <c r="K162" s="414"/>
      <c r="L162" s="462"/>
      <c r="M162" s="410"/>
      <c r="N162" s="416"/>
      <c r="O162" s="365">
        <v>0</v>
      </c>
      <c r="P162" s="366">
        <v>0</v>
      </c>
      <c r="Q162" s="366">
        <v>0</v>
      </c>
      <c r="R162" s="323"/>
    </row>
    <row r="163" spans="1:18" ht="25.8" thickTop="1" thickBot="1">
      <c r="A163" s="340"/>
      <c r="B163" s="322" t="s">
        <v>26</v>
      </c>
      <c r="C163" s="373"/>
      <c r="D163" s="463"/>
      <c r="E163" s="463"/>
      <c r="F163" s="463"/>
      <c r="G163" s="463">
        <v>0</v>
      </c>
      <c r="H163" s="463">
        <v>0</v>
      </c>
      <c r="I163" s="463">
        <v>0</v>
      </c>
      <c r="J163" s="464"/>
      <c r="K163" s="464"/>
      <c r="L163" s="464"/>
      <c r="M163" s="463"/>
      <c r="N163" s="465"/>
      <c r="O163" s="463">
        <v>0</v>
      </c>
      <c r="P163" s="463">
        <v>0</v>
      </c>
      <c r="Q163" s="463">
        <v>0</v>
      </c>
      <c r="R163" s="323"/>
    </row>
    <row r="164" spans="1:18" ht="25.2" thickTop="1">
      <c r="A164" s="340"/>
      <c r="B164" s="466" t="s">
        <v>208</v>
      </c>
      <c r="C164" s="340"/>
      <c r="D164" s="438"/>
      <c r="E164" s="340"/>
      <c r="F164" s="340"/>
      <c r="G164" s="350"/>
      <c r="H164" s="350"/>
      <c r="I164" s="350"/>
      <c r="J164" s="383"/>
      <c r="K164" s="342"/>
      <c r="L164" s="467"/>
      <c r="M164" s="340"/>
      <c r="N164" s="322"/>
      <c r="O164" s="350"/>
      <c r="P164" s="350"/>
      <c r="Q164" s="350"/>
      <c r="R164" s="340"/>
    </row>
    <row r="165" spans="1:18" ht="25.2" thickBot="1">
      <c r="A165" s="322">
        <v>1</v>
      </c>
      <c r="B165" s="322"/>
      <c r="C165" s="369"/>
      <c r="D165" s="411"/>
      <c r="E165" s="369"/>
      <c r="F165" s="369"/>
      <c r="G165" s="368"/>
      <c r="H165" s="368"/>
      <c r="I165" s="368"/>
      <c r="J165" s="329"/>
      <c r="K165" s="371"/>
      <c r="L165" s="468"/>
      <c r="M165" s="369"/>
      <c r="N165" s="328"/>
      <c r="O165" s="368"/>
      <c r="P165" s="368"/>
      <c r="Q165" s="368"/>
      <c r="R165" s="340"/>
    </row>
    <row r="166" spans="1:18" ht="25.2" thickTop="1">
      <c r="A166" s="340"/>
      <c r="B166" s="322" t="s">
        <v>26</v>
      </c>
      <c r="C166" s="410"/>
      <c r="D166" s="460"/>
      <c r="E166" s="410"/>
      <c r="F166" s="410"/>
      <c r="G166" s="412"/>
      <c r="H166" s="412"/>
      <c r="I166" s="412"/>
      <c r="J166" s="461"/>
      <c r="K166" s="414"/>
      <c r="L166" s="462"/>
      <c r="M166" s="410"/>
      <c r="N166" s="416"/>
      <c r="O166" s="412"/>
      <c r="P166" s="412"/>
      <c r="Q166" s="412"/>
      <c r="R166" s="340"/>
    </row>
    <row r="167" spans="1:18">
      <c r="A167" s="340"/>
      <c r="B167" s="466" t="s">
        <v>209</v>
      </c>
      <c r="C167" s="323"/>
      <c r="D167" s="343"/>
      <c r="E167" s="323"/>
      <c r="F167" s="323"/>
      <c r="G167" s="352"/>
      <c r="H167" s="352"/>
      <c r="I167" s="352"/>
      <c r="J167" s="320"/>
      <c r="K167" s="354"/>
      <c r="L167" s="345"/>
      <c r="M167" s="323"/>
      <c r="N167" s="319"/>
      <c r="O167" s="352"/>
      <c r="P167" s="352"/>
      <c r="Q167" s="352"/>
      <c r="R167" s="340"/>
    </row>
    <row r="168" spans="1:18" ht="29.25" customHeight="1" thickBot="1">
      <c r="A168" s="416">
        <v>1</v>
      </c>
      <c r="B168" s="416"/>
      <c r="C168" s="369"/>
      <c r="D168" s="411"/>
      <c r="E168" s="369"/>
      <c r="F168" s="369"/>
      <c r="G168" s="368"/>
      <c r="H168" s="368"/>
      <c r="I168" s="368"/>
      <c r="J168" s="329"/>
      <c r="K168" s="371"/>
      <c r="L168" s="468"/>
      <c r="M168" s="369"/>
      <c r="N168" s="328"/>
      <c r="O168" s="368"/>
      <c r="P168" s="368"/>
      <c r="Q168" s="368"/>
      <c r="R168" s="410"/>
    </row>
    <row r="169" spans="1:18" ht="26.25" customHeight="1" thickTop="1" thickBot="1">
      <c r="A169" s="323"/>
      <c r="B169" s="319" t="s">
        <v>26</v>
      </c>
      <c r="C169" s="357"/>
      <c r="D169" s="469"/>
      <c r="E169" s="357"/>
      <c r="F169" s="357"/>
      <c r="G169" s="356"/>
      <c r="H169" s="356"/>
      <c r="I169" s="356"/>
      <c r="J169" s="336"/>
      <c r="K169" s="359"/>
      <c r="L169" s="470"/>
      <c r="M169" s="357"/>
      <c r="N169" s="335"/>
      <c r="O169" s="356"/>
      <c r="P169" s="356"/>
      <c r="Q169" s="356"/>
      <c r="R169" s="323"/>
    </row>
    <row r="170" spans="1:18" ht="24.75" customHeight="1" thickTop="1">
      <c r="A170" s="340"/>
      <c r="B170" s="466" t="s">
        <v>210</v>
      </c>
      <c r="C170" s="340"/>
      <c r="D170" s="438"/>
      <c r="E170" s="340"/>
      <c r="F170" s="340"/>
      <c r="G170" s="340"/>
      <c r="H170" s="340"/>
      <c r="I170" s="340"/>
      <c r="J170" s="383"/>
      <c r="K170" s="342"/>
      <c r="L170" s="342"/>
      <c r="M170" s="340"/>
      <c r="N170" s="322"/>
      <c r="O170" s="340"/>
      <c r="P170" s="340"/>
      <c r="Q170" s="340"/>
      <c r="R170" s="340"/>
    </row>
    <row r="171" spans="1:18" ht="24.75" customHeight="1">
      <c r="A171" s="340"/>
      <c r="B171" s="466"/>
      <c r="C171" s="340"/>
      <c r="D171" s="438"/>
      <c r="E171" s="340"/>
      <c r="F171" s="340"/>
      <c r="G171" s="340"/>
      <c r="H171" s="340"/>
      <c r="I171" s="340"/>
      <c r="J171" s="383"/>
      <c r="K171" s="342"/>
      <c r="L171" s="342"/>
      <c r="M171" s="340"/>
      <c r="N171" s="322"/>
      <c r="O171" s="340"/>
      <c r="P171" s="340"/>
      <c r="Q171" s="340"/>
      <c r="R171" s="340"/>
    </row>
    <row r="172" spans="1:18" ht="24" customHeight="1">
      <c r="A172" s="319"/>
      <c r="B172" s="323" t="s">
        <v>26</v>
      </c>
      <c r="C172" s="323"/>
      <c r="D172" s="343"/>
      <c r="E172" s="323"/>
      <c r="F172" s="323"/>
      <c r="G172" s="343">
        <v>0</v>
      </c>
      <c r="H172" s="343">
        <v>0</v>
      </c>
      <c r="I172" s="352">
        <v>0</v>
      </c>
      <c r="J172" s="320"/>
      <c r="K172" s="354"/>
      <c r="L172" s="345"/>
      <c r="M172" s="323"/>
      <c r="N172" s="319"/>
      <c r="O172" s="365">
        <v>0</v>
      </c>
      <c r="P172" s="366">
        <v>0</v>
      </c>
      <c r="Q172" s="366">
        <v>0</v>
      </c>
      <c r="R172" s="323"/>
    </row>
    <row r="173" spans="1:18" ht="24.75" customHeight="1" thickBot="1">
      <c r="A173" s="328"/>
      <c r="B173" s="328" t="s">
        <v>374</v>
      </c>
      <c r="C173" s="369"/>
      <c r="D173" s="411">
        <f>SUM(D12+D15+D18+D30+D75+D111+D115+D118+D121+D163+D166+D169+D172)</f>
        <v>51655</v>
      </c>
      <c r="E173" s="411"/>
      <c r="F173" s="411"/>
      <c r="G173" s="411">
        <f t="shared" ref="G173:Q173" si="10">SUM(G12+G15+G18+G30+G75+G111+G115+G118+G121+G163+G166+G169+G172)</f>
        <v>20610</v>
      </c>
      <c r="H173" s="411">
        <f t="shared" si="10"/>
        <v>0</v>
      </c>
      <c r="I173" s="411">
        <f t="shared" si="10"/>
        <v>20610</v>
      </c>
      <c r="J173" s="411"/>
      <c r="K173" s="411"/>
      <c r="L173" s="411">
        <f t="shared" si="10"/>
        <v>59115</v>
      </c>
      <c r="M173" s="411"/>
      <c r="N173" s="411"/>
      <c r="O173" s="411">
        <f t="shared" si="10"/>
        <v>12080</v>
      </c>
      <c r="P173" s="411">
        <f t="shared" si="10"/>
        <v>0</v>
      </c>
      <c r="Q173" s="411">
        <f t="shared" si="10"/>
        <v>12080</v>
      </c>
      <c r="R173" s="369"/>
    </row>
    <row r="174" spans="1:18" ht="24.75" customHeight="1" thickTop="1">
      <c r="A174" s="308"/>
      <c r="B174" s="471"/>
      <c r="D174" s="472"/>
      <c r="G174" s="473"/>
      <c r="H174" s="473"/>
      <c r="I174" s="473"/>
      <c r="L174" s="476"/>
      <c r="O174" s="472"/>
      <c r="P174" s="472"/>
      <c r="Q174" s="472"/>
      <c r="R174" s="477"/>
    </row>
    <row r="175" spans="1:18" ht="24.75" customHeight="1">
      <c r="A175" s="743" t="s">
        <v>211</v>
      </c>
      <c r="B175" s="744"/>
      <c r="C175" s="744"/>
      <c r="D175" s="744"/>
      <c r="E175" s="744"/>
      <c r="F175" s="744"/>
      <c r="G175" s="744"/>
      <c r="H175" s="744"/>
      <c r="I175" s="744"/>
      <c r="J175" s="744"/>
      <c r="K175" s="744"/>
      <c r="L175" s="744"/>
      <c r="M175" s="744"/>
      <c r="N175" s="744"/>
      <c r="O175" s="744"/>
      <c r="P175" s="744"/>
      <c r="Q175" s="744"/>
      <c r="R175" s="745"/>
    </row>
    <row r="176" spans="1:18" ht="24.75" customHeight="1">
      <c r="A176" s="340">
        <v>1</v>
      </c>
      <c r="B176" s="478" t="s">
        <v>32</v>
      </c>
      <c r="C176" s="340" t="s">
        <v>104</v>
      </c>
      <c r="D176" s="438">
        <v>4650</v>
      </c>
      <c r="E176" s="439" t="s">
        <v>381</v>
      </c>
      <c r="F176" s="479">
        <v>9</v>
      </c>
      <c r="G176" s="439">
        <v>41850</v>
      </c>
      <c r="H176" s="439" t="s">
        <v>172</v>
      </c>
      <c r="I176" s="439">
        <v>41850</v>
      </c>
      <c r="J176" s="383"/>
      <c r="K176" s="342"/>
      <c r="L176" s="342"/>
      <c r="M176" s="480" t="s">
        <v>429</v>
      </c>
      <c r="N176" s="322">
        <v>10</v>
      </c>
      <c r="O176" s="350">
        <f>SUM(D176+I176-L176)</f>
        <v>46500</v>
      </c>
      <c r="P176" s="322" t="s">
        <v>172</v>
      </c>
      <c r="Q176" s="350">
        <f>O176</f>
        <v>46500</v>
      </c>
      <c r="R176" s="340" t="s">
        <v>214</v>
      </c>
    </row>
    <row r="177" spans="1:20" ht="24" customHeight="1">
      <c r="A177" s="319">
        <v>2</v>
      </c>
      <c r="B177" s="323" t="s">
        <v>215</v>
      </c>
      <c r="C177" s="323" t="s">
        <v>104</v>
      </c>
      <c r="D177" s="343">
        <v>5750</v>
      </c>
      <c r="E177" s="481" t="s">
        <v>381</v>
      </c>
      <c r="F177" s="482">
        <v>9</v>
      </c>
      <c r="G177" s="481">
        <v>46000</v>
      </c>
      <c r="H177" s="481">
        <v>0</v>
      </c>
      <c r="I177" s="481">
        <v>46000</v>
      </c>
      <c r="J177" s="320"/>
      <c r="K177" s="354"/>
      <c r="L177" s="345"/>
      <c r="M177" s="480" t="s">
        <v>429</v>
      </c>
      <c r="N177" s="319">
        <v>10</v>
      </c>
      <c r="O177" s="350">
        <f>SUM(D177+I177-L177)</f>
        <v>51750</v>
      </c>
      <c r="P177" s="366">
        <v>0</v>
      </c>
      <c r="Q177" s="350">
        <f>O177</f>
        <v>51750</v>
      </c>
      <c r="R177" s="323" t="s">
        <v>214</v>
      </c>
    </row>
    <row r="178" spans="1:20" ht="24" customHeight="1">
      <c r="A178" s="298">
        <v>3</v>
      </c>
      <c r="B178" s="367" t="s">
        <v>68</v>
      </c>
      <c r="C178" s="367">
        <v>268</v>
      </c>
      <c r="D178" s="483">
        <v>1215</v>
      </c>
      <c r="E178" s="484" t="s">
        <v>382</v>
      </c>
      <c r="F178" s="485">
        <v>24</v>
      </c>
      <c r="G178" s="484">
        <v>29160</v>
      </c>
      <c r="H178" s="484"/>
      <c r="I178" s="484">
        <v>29160</v>
      </c>
      <c r="J178" s="486"/>
      <c r="K178" s="487"/>
      <c r="L178" s="488"/>
      <c r="M178" s="480" t="s">
        <v>430</v>
      </c>
      <c r="N178" s="298">
        <v>25</v>
      </c>
      <c r="O178" s="350">
        <v>30375</v>
      </c>
      <c r="P178" s="489"/>
      <c r="Q178" s="350">
        <f>O178</f>
        <v>30375</v>
      </c>
      <c r="R178" s="323" t="s">
        <v>214</v>
      </c>
    </row>
    <row r="179" spans="1:20" ht="24.75" customHeight="1" thickBot="1">
      <c r="A179" s="328"/>
      <c r="B179" s="328" t="s">
        <v>26</v>
      </c>
      <c r="C179" s="369"/>
      <c r="D179" s="411">
        <f>SUM(D176:D178)</f>
        <v>11615</v>
      </c>
      <c r="E179" s="369"/>
      <c r="F179" s="369"/>
      <c r="G179" s="368">
        <f>SUM(G176:G178)</f>
        <v>117010</v>
      </c>
      <c r="H179" s="368">
        <f t="shared" ref="H179:I179" si="11">SUM(H176:H178)</f>
        <v>0</v>
      </c>
      <c r="I179" s="368">
        <f t="shared" si="11"/>
        <v>117010</v>
      </c>
      <c r="J179" s="370"/>
      <c r="K179" s="371"/>
      <c r="L179" s="468"/>
      <c r="M179" s="369"/>
      <c r="N179" s="328"/>
      <c r="O179" s="411">
        <f>SUM(O176:O178)</f>
        <v>128625</v>
      </c>
      <c r="P179" s="411">
        <v>0</v>
      </c>
      <c r="Q179" s="411">
        <f>SUM(Q176:Q178)</f>
        <v>128625</v>
      </c>
      <c r="R179" s="369"/>
    </row>
    <row r="180" spans="1:20" ht="24.75" customHeight="1" thickTop="1">
      <c r="A180" s="308"/>
      <c r="B180" s="471"/>
      <c r="D180" s="472"/>
      <c r="G180" s="473"/>
      <c r="H180" s="473"/>
      <c r="I180" s="473"/>
      <c r="L180" s="476"/>
      <c r="O180" s="472"/>
      <c r="P180" s="472"/>
      <c r="Q180" s="472"/>
      <c r="R180" s="477"/>
    </row>
    <row r="181" spans="1:20">
      <c r="A181" s="746" t="s">
        <v>216</v>
      </c>
      <c r="B181" s="747"/>
      <c r="C181" s="747"/>
      <c r="D181" s="747"/>
      <c r="E181" s="747"/>
      <c r="F181" s="747"/>
      <c r="G181" s="747"/>
      <c r="H181" s="747"/>
      <c r="I181" s="747"/>
      <c r="J181" s="747"/>
      <c r="K181" s="747"/>
      <c r="L181" s="747"/>
      <c r="M181" s="747"/>
      <c r="N181" s="747"/>
      <c r="O181" s="747"/>
      <c r="P181" s="747"/>
      <c r="Q181" s="747"/>
      <c r="R181" s="748"/>
    </row>
    <row r="182" spans="1:20" ht="29.25" customHeight="1">
      <c r="A182" s="416"/>
      <c r="B182" s="416"/>
      <c r="C182" s="490"/>
      <c r="D182" s="491"/>
      <c r="E182" s="490"/>
      <c r="F182" s="490"/>
      <c r="G182" s="492"/>
      <c r="H182" s="492"/>
      <c r="I182" s="492"/>
      <c r="J182" s="493"/>
      <c r="K182" s="494"/>
      <c r="L182" s="495"/>
      <c r="M182" s="490"/>
      <c r="N182" s="496"/>
      <c r="O182" s="492"/>
      <c r="P182" s="492"/>
      <c r="Q182" s="492"/>
      <c r="R182" s="410"/>
    </row>
    <row r="183" spans="1:20" ht="29.25" customHeight="1" thickBot="1">
      <c r="A183" s="416"/>
      <c r="B183" s="416"/>
      <c r="C183" s="357"/>
      <c r="D183" s="469"/>
      <c r="E183" s="357"/>
      <c r="F183" s="357"/>
      <c r="G183" s="356"/>
      <c r="H183" s="356"/>
      <c r="I183" s="356"/>
      <c r="J183" s="336"/>
      <c r="K183" s="359"/>
      <c r="L183" s="470"/>
      <c r="M183" s="357"/>
      <c r="N183" s="335"/>
      <c r="O183" s="356"/>
      <c r="P183" s="356"/>
      <c r="Q183" s="356"/>
      <c r="R183" s="410"/>
    </row>
    <row r="184" spans="1:20" ht="26.25" customHeight="1" thickTop="1" thickBot="1">
      <c r="A184" s="323"/>
      <c r="B184" s="319" t="s">
        <v>26</v>
      </c>
      <c r="C184" s="357"/>
      <c r="D184" s="469"/>
      <c r="E184" s="357"/>
      <c r="F184" s="357"/>
      <c r="G184" s="356">
        <f>SUM(G182:G182)</f>
        <v>0</v>
      </c>
      <c r="H184" s="356">
        <f>SUM(H182:H182)</f>
        <v>0</v>
      </c>
      <c r="I184" s="356">
        <f>SUM(I182:I182)</f>
        <v>0</v>
      </c>
      <c r="J184" s="336"/>
      <c r="K184" s="359"/>
      <c r="L184" s="470"/>
      <c r="M184" s="357"/>
      <c r="N184" s="335"/>
      <c r="O184" s="356">
        <f>SUM(O182:O182)</f>
        <v>0</v>
      </c>
      <c r="P184" s="356">
        <f>SUM(P182:P182)</f>
        <v>0</v>
      </c>
      <c r="Q184" s="356">
        <f>SUM(Q182:Q182)</f>
        <v>0</v>
      </c>
      <c r="R184" s="323"/>
    </row>
    <row r="185" spans="1:20" ht="24.75" customHeight="1" thickTop="1">
      <c r="A185" s="298"/>
      <c r="B185" s="497" t="s">
        <v>217</v>
      </c>
      <c r="C185" s="367"/>
      <c r="D185" s="483"/>
      <c r="E185" s="367"/>
      <c r="F185" s="367"/>
      <c r="G185" s="492"/>
      <c r="H185" s="492"/>
      <c r="I185" s="492"/>
      <c r="J185" s="498"/>
      <c r="K185" s="494"/>
      <c r="L185" s="495"/>
      <c r="M185" s="367"/>
      <c r="N185" s="298"/>
      <c r="O185" s="483"/>
      <c r="P185" s="483"/>
      <c r="Q185" s="483"/>
      <c r="R185" s="490"/>
    </row>
    <row r="186" spans="1:20" ht="24.75" customHeight="1">
      <c r="A186" s="499">
        <v>1</v>
      </c>
      <c r="B186" s="500" t="s">
        <v>85</v>
      </c>
      <c r="C186" s="501" t="s">
        <v>86</v>
      </c>
      <c r="D186" s="502">
        <v>0</v>
      </c>
      <c r="E186" s="499" t="s">
        <v>229</v>
      </c>
      <c r="F186" s="503">
        <v>7</v>
      </c>
      <c r="G186" s="502">
        <v>30800</v>
      </c>
      <c r="H186" s="502">
        <v>0</v>
      </c>
      <c r="I186" s="502">
        <v>30800</v>
      </c>
      <c r="J186" s="504"/>
      <c r="K186" s="505"/>
      <c r="L186" s="506"/>
      <c r="M186" s="501" t="s">
        <v>229</v>
      </c>
      <c r="N186" s="499">
        <v>7</v>
      </c>
      <c r="O186" s="507">
        <v>30800</v>
      </c>
      <c r="P186" s="508">
        <v>0</v>
      </c>
      <c r="Q186" s="508">
        <v>30800</v>
      </c>
      <c r="R186" s="501" t="s">
        <v>230</v>
      </c>
    </row>
    <row r="187" spans="1:20" ht="24.75" customHeight="1">
      <c r="A187" s="416"/>
      <c r="B187" s="509"/>
      <c r="C187" s="410"/>
      <c r="D187" s="460"/>
      <c r="E187" s="416"/>
      <c r="F187" s="510"/>
      <c r="G187" s="460"/>
      <c r="H187" s="511"/>
      <c r="I187" s="511"/>
      <c r="J187" s="512"/>
      <c r="K187" s="513"/>
      <c r="L187" s="514"/>
      <c r="M187" s="515"/>
      <c r="N187" s="516"/>
      <c r="O187" s="517"/>
      <c r="P187" s="518"/>
      <c r="Q187" s="518"/>
      <c r="R187" s="515" t="s">
        <v>231</v>
      </c>
    </row>
    <row r="188" spans="1:20" s="395" customFormat="1" ht="24.75" customHeight="1">
      <c r="A188" s="519"/>
      <c r="B188" s="520" t="s">
        <v>232</v>
      </c>
      <c r="C188" s="521" t="s">
        <v>194</v>
      </c>
      <c r="D188" s="522">
        <v>0</v>
      </c>
      <c r="E188" s="521"/>
      <c r="F188" s="521"/>
      <c r="G188" s="522">
        <v>64400</v>
      </c>
      <c r="H188" s="522">
        <v>0</v>
      </c>
      <c r="I188" s="522">
        <v>64400</v>
      </c>
      <c r="J188" s="523"/>
      <c r="K188" s="524"/>
      <c r="L188" s="525">
        <v>0</v>
      </c>
      <c r="M188" s="521"/>
      <c r="N188" s="519"/>
      <c r="O188" s="507">
        <v>64400</v>
      </c>
      <c r="P188" s="508">
        <v>0</v>
      </c>
      <c r="Q188" s="508">
        <v>64400</v>
      </c>
      <c r="R188" s="521" t="s">
        <v>233</v>
      </c>
      <c r="T188" s="396"/>
    </row>
    <row r="189" spans="1:20">
      <c r="A189" s="499">
        <v>2</v>
      </c>
      <c r="B189" s="501" t="s">
        <v>32</v>
      </c>
      <c r="C189" s="526" t="s">
        <v>104</v>
      </c>
      <c r="D189" s="502"/>
      <c r="E189" s="527" t="s">
        <v>234</v>
      </c>
      <c r="F189" s="528">
        <v>4</v>
      </c>
      <c r="G189" s="529">
        <v>18600</v>
      </c>
      <c r="H189" s="529">
        <v>0</v>
      </c>
      <c r="I189" s="529">
        <v>18600</v>
      </c>
      <c r="J189" s="530"/>
      <c r="K189" s="531"/>
      <c r="L189" s="532"/>
      <c r="M189" s="499" t="s">
        <v>234</v>
      </c>
      <c r="N189" s="499">
        <v>4</v>
      </c>
      <c r="O189" s="507">
        <f>D189+G189</f>
        <v>18600</v>
      </c>
      <c r="P189" s="508">
        <v>0</v>
      </c>
      <c r="Q189" s="508">
        <f>D189+I189</f>
        <v>18600</v>
      </c>
      <c r="R189" s="501" t="s">
        <v>235</v>
      </c>
    </row>
    <row r="190" spans="1:20">
      <c r="A190" s="499">
        <v>3</v>
      </c>
      <c r="B190" s="501" t="s">
        <v>215</v>
      </c>
      <c r="C190" s="526" t="s">
        <v>104</v>
      </c>
      <c r="D190" s="502"/>
      <c r="E190" s="499" t="s">
        <v>236</v>
      </c>
      <c r="F190" s="499">
        <v>4</v>
      </c>
      <c r="G190" s="502">
        <v>23000</v>
      </c>
      <c r="H190" s="502">
        <v>0</v>
      </c>
      <c r="I190" s="502">
        <v>23000</v>
      </c>
      <c r="J190" s="530"/>
      <c r="K190" s="531"/>
      <c r="L190" s="532"/>
      <c r="M190" s="499" t="s">
        <v>236</v>
      </c>
      <c r="N190" s="499">
        <v>4</v>
      </c>
      <c r="O190" s="507">
        <f>D190+G190</f>
        <v>23000</v>
      </c>
      <c r="P190" s="508">
        <v>0</v>
      </c>
      <c r="Q190" s="508">
        <f>D190+I190</f>
        <v>23000</v>
      </c>
      <c r="R190" s="501" t="s">
        <v>237</v>
      </c>
    </row>
    <row r="191" spans="1:20" s="395" customFormat="1" ht="24.75" customHeight="1">
      <c r="A191" s="533"/>
      <c r="B191" s="534"/>
      <c r="C191" s="535"/>
      <c r="D191" s="536"/>
      <c r="E191" s="535"/>
      <c r="F191" s="535"/>
      <c r="G191" s="536"/>
      <c r="H191" s="536"/>
      <c r="I191" s="536"/>
      <c r="J191" s="537"/>
      <c r="K191" s="538"/>
      <c r="L191" s="539"/>
      <c r="M191" s="535"/>
      <c r="N191" s="533"/>
      <c r="O191" s="540"/>
      <c r="P191" s="541"/>
      <c r="Q191" s="541"/>
      <c r="R191" s="542"/>
      <c r="T191" s="396"/>
    </row>
    <row r="192" spans="1:20" ht="24.75" customHeight="1" thickBot="1">
      <c r="A192" s="328"/>
      <c r="B192" s="543"/>
      <c r="C192" s="369"/>
      <c r="D192" s="411">
        <v>0</v>
      </c>
      <c r="E192" s="411"/>
      <c r="F192" s="411"/>
      <c r="G192" s="411">
        <f>SUM(G186:G190)</f>
        <v>136800</v>
      </c>
      <c r="H192" s="411">
        <v>0</v>
      </c>
      <c r="I192" s="411">
        <f>SUM(I186:I190)</f>
        <v>136800</v>
      </c>
      <c r="J192" s="468"/>
      <c r="K192" s="468"/>
      <c r="L192" s="468">
        <v>0</v>
      </c>
      <c r="M192" s="411"/>
      <c r="N192" s="544"/>
      <c r="O192" s="469">
        <f>SUM(O186:O190)</f>
        <v>136800</v>
      </c>
      <c r="P192" s="469">
        <v>0</v>
      </c>
      <c r="Q192" s="469">
        <f>SUM(Q186:Q190)</f>
        <v>136800</v>
      </c>
      <c r="R192" s="545"/>
    </row>
    <row r="193" spans="1:23" ht="25.2" thickTop="1">
      <c r="A193" s="340"/>
      <c r="B193" s="459" t="s">
        <v>238</v>
      </c>
      <c r="C193" s="340"/>
      <c r="D193" s="340"/>
      <c r="E193" s="340"/>
      <c r="F193" s="340"/>
      <c r="G193" s="340"/>
      <c r="H193" s="340"/>
      <c r="I193" s="340"/>
      <c r="J193" s="341"/>
      <c r="K193" s="342"/>
      <c r="L193" s="342"/>
      <c r="M193" s="340"/>
      <c r="N193" s="322"/>
      <c r="O193" s="340"/>
      <c r="P193" s="340"/>
      <c r="Q193" s="340"/>
      <c r="R193" s="340"/>
    </row>
    <row r="194" spans="1:23">
      <c r="A194" s="319">
        <v>1</v>
      </c>
      <c r="B194" s="367" t="s">
        <v>431</v>
      </c>
      <c r="C194" s="410"/>
      <c r="D194" s="410"/>
      <c r="E194" s="410" t="s">
        <v>240</v>
      </c>
      <c r="F194" s="410"/>
      <c r="G194" s="460"/>
      <c r="H194" s="410"/>
      <c r="I194" s="460">
        <v>0</v>
      </c>
      <c r="J194" s="413"/>
      <c r="K194" s="414"/>
      <c r="L194" s="546"/>
      <c r="M194" s="410" t="s">
        <v>240</v>
      </c>
      <c r="N194" s="416"/>
      <c r="O194" s="343"/>
      <c r="P194" s="483"/>
      <c r="Q194" s="460">
        <v>0</v>
      </c>
      <c r="R194" s="323"/>
    </row>
    <row r="195" spans="1:23">
      <c r="A195" s="319"/>
      <c r="B195" s="323" t="s">
        <v>241</v>
      </c>
      <c r="C195" s="323"/>
      <c r="D195" s="323"/>
      <c r="E195" s="319" t="s">
        <v>242</v>
      </c>
      <c r="F195" s="323"/>
      <c r="G195" s="343">
        <v>133707.98000000001</v>
      </c>
      <c r="H195" s="481">
        <v>0</v>
      </c>
      <c r="I195" s="343">
        <v>133707.98000000001</v>
      </c>
      <c r="J195" s="353"/>
      <c r="K195" s="354"/>
      <c r="L195" s="547"/>
      <c r="M195" s="323" t="s">
        <v>242</v>
      </c>
      <c r="N195" s="319"/>
      <c r="O195" s="365">
        <v>133707.98000000001</v>
      </c>
      <c r="P195" s="366">
        <v>0</v>
      </c>
      <c r="Q195" s="366">
        <v>133707.98000000001</v>
      </c>
      <c r="R195" s="323" t="s">
        <v>243</v>
      </c>
    </row>
    <row r="196" spans="1:23">
      <c r="A196" s="319"/>
      <c r="B196" s="323" t="s">
        <v>244</v>
      </c>
      <c r="C196" s="323"/>
      <c r="D196" s="323"/>
      <c r="E196" s="323"/>
      <c r="F196" s="323"/>
      <c r="G196" s="343">
        <v>73800</v>
      </c>
      <c r="H196" s="481">
        <v>0</v>
      </c>
      <c r="I196" s="343">
        <v>73800</v>
      </c>
      <c r="J196" s="353"/>
      <c r="K196" s="354"/>
      <c r="L196" s="547"/>
      <c r="M196" s="323"/>
      <c r="N196" s="319"/>
      <c r="O196" s="365">
        <v>73800</v>
      </c>
      <c r="P196" s="366">
        <v>0</v>
      </c>
      <c r="Q196" s="366">
        <v>73800</v>
      </c>
      <c r="R196" s="323"/>
    </row>
    <row r="197" spans="1:23">
      <c r="A197" s="319"/>
      <c r="B197" s="323" t="s">
        <v>245</v>
      </c>
      <c r="C197" s="323"/>
      <c r="D197" s="323"/>
      <c r="E197" s="323"/>
      <c r="F197" s="323"/>
      <c r="G197" s="343">
        <v>7596.82</v>
      </c>
      <c r="H197" s="481">
        <v>0</v>
      </c>
      <c r="I197" s="422">
        <v>7596.82</v>
      </c>
      <c r="J197" s="353"/>
      <c r="K197" s="354"/>
      <c r="L197" s="547"/>
      <c r="M197" s="323"/>
      <c r="N197" s="319"/>
      <c r="O197" s="365">
        <v>7596.82</v>
      </c>
      <c r="P197" s="366">
        <v>0</v>
      </c>
      <c r="Q197" s="366">
        <v>7596.82</v>
      </c>
      <c r="R197" s="323" t="s">
        <v>243</v>
      </c>
    </row>
    <row r="198" spans="1:23">
      <c r="A198" s="319"/>
      <c r="B198" s="323" t="s">
        <v>246</v>
      </c>
      <c r="C198" s="323"/>
      <c r="D198" s="367"/>
      <c r="E198" s="367"/>
      <c r="F198" s="367"/>
      <c r="G198" s="483"/>
      <c r="H198" s="367"/>
      <c r="I198" s="483"/>
      <c r="J198" s="548"/>
      <c r="K198" s="487"/>
      <c r="L198" s="549"/>
      <c r="M198" s="367"/>
      <c r="N198" s="298"/>
      <c r="O198" s="483"/>
      <c r="P198" s="483"/>
      <c r="Q198" s="343"/>
      <c r="R198" s="323"/>
      <c r="U198" s="295">
        <v>763210.28</v>
      </c>
    </row>
    <row r="199" spans="1:23">
      <c r="A199" s="298"/>
      <c r="B199" s="367"/>
      <c r="C199" s="749" t="s">
        <v>247</v>
      </c>
      <c r="D199" s="750"/>
      <c r="E199" s="750"/>
      <c r="F199" s="750"/>
      <c r="G199" s="750"/>
      <c r="H199" s="751"/>
      <c r="I199" s="483"/>
      <c r="J199" s="548"/>
      <c r="K199" s="487"/>
      <c r="L199" s="549"/>
      <c r="M199" s="367"/>
      <c r="N199" s="298"/>
      <c r="O199" s="483"/>
      <c r="P199" s="483"/>
      <c r="Q199" s="460"/>
      <c r="R199" s="367"/>
    </row>
    <row r="200" spans="1:23" s="395" customFormat="1" ht="24.75" customHeight="1">
      <c r="A200" s="393">
        <v>2</v>
      </c>
      <c r="B200" s="550" t="s">
        <v>68</v>
      </c>
      <c r="C200" s="394">
        <v>268</v>
      </c>
      <c r="D200" s="422"/>
      <c r="E200" s="393" t="s">
        <v>378</v>
      </c>
      <c r="F200" s="551">
        <v>80</v>
      </c>
      <c r="G200" s="422">
        <v>133752.76</v>
      </c>
      <c r="H200" s="422" t="s">
        <v>172</v>
      </c>
      <c r="I200" s="422">
        <v>133752.76</v>
      </c>
      <c r="J200" s="552"/>
      <c r="K200" s="452"/>
      <c r="L200" s="453"/>
      <c r="M200" s="393" t="s">
        <v>378</v>
      </c>
      <c r="N200" s="393">
        <v>80</v>
      </c>
      <c r="O200" s="553">
        <f>SUM(D200+G200)</f>
        <v>133752.76</v>
      </c>
      <c r="P200" s="553" t="s">
        <v>172</v>
      </c>
      <c r="Q200" s="553">
        <f>SUM(D200+I200)</f>
        <v>133752.76</v>
      </c>
      <c r="R200" s="394" t="s">
        <v>379</v>
      </c>
      <c r="T200" s="396" t="s">
        <v>375</v>
      </c>
    </row>
    <row r="201" spans="1:23" ht="24.75" customHeight="1">
      <c r="A201" s="319"/>
      <c r="B201" s="418" t="s">
        <v>221</v>
      </c>
      <c r="C201" s="554" t="s">
        <v>222</v>
      </c>
      <c r="D201" s="343">
        <v>0</v>
      </c>
      <c r="E201" s="323"/>
      <c r="F201" s="297" t="s">
        <v>172</v>
      </c>
      <c r="G201" s="343">
        <v>19700</v>
      </c>
      <c r="H201" s="343">
        <v>0</v>
      </c>
      <c r="I201" s="343">
        <v>19700</v>
      </c>
      <c r="J201" s="353"/>
      <c r="K201" s="354"/>
      <c r="L201" s="345">
        <v>0</v>
      </c>
      <c r="M201" s="323"/>
      <c r="N201" s="319" t="s">
        <v>172</v>
      </c>
      <c r="O201" s="553">
        <v>19700</v>
      </c>
      <c r="P201" s="366">
        <v>0</v>
      </c>
      <c r="Q201" s="366">
        <v>19700</v>
      </c>
      <c r="R201" s="323" t="s">
        <v>184</v>
      </c>
      <c r="V201" s="555"/>
      <c r="W201" s="555"/>
    </row>
    <row r="202" spans="1:23" ht="24.75" customHeight="1">
      <c r="A202" s="319"/>
      <c r="B202" s="554"/>
      <c r="C202" s="554" t="s">
        <v>223</v>
      </c>
      <c r="D202" s="343"/>
      <c r="E202" s="323"/>
      <c r="F202" s="297" t="s">
        <v>172</v>
      </c>
      <c r="G202" s="343">
        <v>19700</v>
      </c>
      <c r="H202" s="343">
        <v>0</v>
      </c>
      <c r="I202" s="343">
        <v>19700</v>
      </c>
      <c r="J202" s="353"/>
      <c r="K202" s="354"/>
      <c r="L202" s="345">
        <v>0</v>
      </c>
      <c r="M202" s="323"/>
      <c r="N202" s="319" t="s">
        <v>172</v>
      </c>
      <c r="O202" s="553">
        <v>19700</v>
      </c>
      <c r="P202" s="366">
        <v>0</v>
      </c>
      <c r="Q202" s="366">
        <v>19700</v>
      </c>
      <c r="R202" s="323" t="s">
        <v>185</v>
      </c>
      <c r="V202" s="555"/>
    </row>
    <row r="203" spans="1:23" ht="24.75" customHeight="1">
      <c r="A203" s="319"/>
      <c r="B203" s="554"/>
      <c r="C203" s="554" t="s">
        <v>224</v>
      </c>
      <c r="D203" s="343"/>
      <c r="E203" s="323"/>
      <c r="F203" s="297" t="s">
        <v>172</v>
      </c>
      <c r="G203" s="343">
        <v>19700</v>
      </c>
      <c r="H203" s="343">
        <v>0</v>
      </c>
      <c r="I203" s="343">
        <v>19700</v>
      </c>
      <c r="J203" s="353"/>
      <c r="K203" s="354"/>
      <c r="L203" s="345">
        <v>0</v>
      </c>
      <c r="M203" s="323"/>
      <c r="N203" s="319" t="s">
        <v>172</v>
      </c>
      <c r="O203" s="553">
        <v>19700</v>
      </c>
      <c r="P203" s="366">
        <v>0</v>
      </c>
      <c r="Q203" s="366">
        <v>19700</v>
      </c>
      <c r="R203" s="323" t="s">
        <v>186</v>
      </c>
    </row>
    <row r="204" spans="1:23" ht="24.75" customHeight="1">
      <c r="A204" s="319">
        <v>3</v>
      </c>
      <c r="B204" s="418" t="s">
        <v>225</v>
      </c>
      <c r="C204" s="323"/>
      <c r="D204" s="343"/>
      <c r="E204" s="319" t="s">
        <v>226</v>
      </c>
      <c r="F204" s="297">
        <v>88</v>
      </c>
      <c r="G204" s="343">
        <v>304935.7</v>
      </c>
      <c r="H204" s="343">
        <v>0</v>
      </c>
      <c r="I204" s="343">
        <v>304935.7</v>
      </c>
      <c r="J204" s="353"/>
      <c r="K204" s="354"/>
      <c r="L204" s="345"/>
      <c r="M204" s="319" t="s">
        <v>226</v>
      </c>
      <c r="N204" s="319">
        <v>88</v>
      </c>
      <c r="O204" s="553">
        <v>304935.7</v>
      </c>
      <c r="P204" s="366">
        <v>0</v>
      </c>
      <c r="Q204" s="366">
        <v>304935.7</v>
      </c>
      <c r="R204" s="323" t="s">
        <v>227</v>
      </c>
    </row>
    <row r="205" spans="1:23" ht="25.2" thickBot="1">
      <c r="A205" s="319"/>
      <c r="B205" s="323"/>
      <c r="C205" s="323"/>
      <c r="D205" s="369"/>
      <c r="E205" s="369"/>
      <c r="F205" s="369"/>
      <c r="G205" s="369"/>
      <c r="H205" s="369"/>
      <c r="I205" s="369"/>
      <c r="J205" s="370"/>
      <c r="K205" s="371"/>
      <c r="L205" s="371"/>
      <c r="M205" s="369"/>
      <c r="N205" s="328"/>
      <c r="O205" s="411"/>
      <c r="P205" s="369"/>
      <c r="Q205" s="469"/>
      <c r="R205" s="323"/>
    </row>
    <row r="206" spans="1:23" s="559" customFormat="1" ht="25.8" thickTop="1" thickBot="1">
      <c r="A206" s="481"/>
      <c r="B206" s="556" t="s">
        <v>26</v>
      </c>
      <c r="C206" s="404"/>
      <c r="D206" s="404">
        <v>0</v>
      </c>
      <c r="E206" s="404"/>
      <c r="F206" s="404"/>
      <c r="G206" s="404">
        <f>SUM(G195:G205)</f>
        <v>712893.26</v>
      </c>
      <c r="H206" s="404">
        <f t="shared" ref="H206:I206" si="12">SUM(H195:H205)</f>
        <v>0</v>
      </c>
      <c r="I206" s="404">
        <f t="shared" si="12"/>
        <v>712893.26</v>
      </c>
      <c r="J206" s="405"/>
      <c r="K206" s="405"/>
      <c r="L206" s="405">
        <v>0</v>
      </c>
      <c r="M206" s="404"/>
      <c r="N206" s="557"/>
      <c r="O206" s="404">
        <f>SUM(O195:O205)</f>
        <v>712893.26</v>
      </c>
      <c r="P206" s="404">
        <v>0</v>
      </c>
      <c r="Q206" s="404">
        <f>SUM(Q194:Q205)</f>
        <v>712893.26</v>
      </c>
      <c r="R206" s="558"/>
    </row>
    <row r="207" spans="1:23" ht="25.8" thickTop="1" thickBot="1">
      <c r="A207" s="323"/>
      <c r="B207" s="319" t="s">
        <v>248</v>
      </c>
      <c r="C207" s="357"/>
      <c r="D207" s="356">
        <f>SUM(D30+D75+D111+D179+D184+D192+D206)</f>
        <v>63270</v>
      </c>
      <c r="E207" s="356"/>
      <c r="F207" s="356"/>
      <c r="G207" s="356">
        <f>SUM(G30+G75+G111+G163+G179+G184+G192+G206)</f>
        <v>987313.26</v>
      </c>
      <c r="H207" s="356">
        <v>0</v>
      </c>
      <c r="I207" s="356">
        <f>SUM(I9+I12+I15+I18+I21+I24+I30+I33+I35+I39+I75+I111+I115+I118+I121+I163+I169+I173+I179+I184+I192+I206)</f>
        <v>1007923.26</v>
      </c>
      <c r="J207" s="360"/>
      <c r="K207" s="360"/>
      <c r="L207" s="360">
        <f>SUM(L30+L75+L111)</f>
        <v>59115</v>
      </c>
      <c r="M207" s="356"/>
      <c r="N207" s="406"/>
      <c r="O207" s="356">
        <f>SUM(O30+O75+O111+O179+O184+O192+O206)</f>
        <v>990398.26</v>
      </c>
      <c r="P207" s="356">
        <f>SUM(P30+P75+P111+P179+P184+P192+P206)</f>
        <v>0</v>
      </c>
      <c r="Q207" s="356">
        <f>SUM(Q30+Q75+Q111+Q179+Q184+Q192+Q206)</f>
        <v>990398.26</v>
      </c>
      <c r="R207" s="352"/>
      <c r="T207" s="356"/>
    </row>
    <row r="208" spans="1:23" ht="25.2" thickTop="1"/>
    <row r="209" spans="6:17">
      <c r="K209" s="560"/>
      <c r="Q209" s="559"/>
    </row>
    <row r="210" spans="6:17">
      <c r="K210" s="561"/>
      <c r="Q210" s="559"/>
    </row>
    <row r="211" spans="6:17">
      <c r="F211" s="295">
        <v>1010.6000000000058</v>
      </c>
      <c r="K211" s="560"/>
      <c r="Q211" s="559"/>
    </row>
    <row r="212" spans="6:17">
      <c r="K212" s="560"/>
      <c r="L212" s="562"/>
    </row>
    <row r="213" spans="6:17">
      <c r="H213" s="563"/>
      <c r="K213" s="560"/>
    </row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194-C443-4765-96DF-CB82BF6F1B35}">
  <sheetPr>
    <tabColor rgb="FFFFFF00"/>
  </sheetPr>
  <dimension ref="A1:AD979"/>
  <sheetViews>
    <sheetView topLeftCell="D1" zoomScale="90" zoomScaleNormal="90" zoomScaleSheetLayoutView="87" workbookViewId="0">
      <pane ySplit="6" topLeftCell="A172" activePane="bottomLeft" state="frozen"/>
      <selection activeCell="I147" sqref="I147"/>
      <selection pane="bottomLeft" activeCell="Q177" sqref="Q177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380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.8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399999999999999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customHeight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customHeight="1" thickBot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customHeight="1" thickTop="1" thickBot="1">
      <c r="A12" s="29"/>
      <c r="B12" s="25" t="s">
        <v>26</v>
      </c>
      <c r="C12" s="29"/>
      <c r="D12" s="54">
        <v>0</v>
      </c>
      <c r="E12" s="54"/>
      <c r="F12" s="54"/>
      <c r="G12" s="54">
        <v>0</v>
      </c>
      <c r="H12" s="54">
        <v>0</v>
      </c>
      <c r="I12" s="54">
        <v>0</v>
      </c>
      <c r="J12" s="55"/>
      <c r="K12" s="55"/>
      <c r="L12" s="55"/>
      <c r="M12" s="54"/>
      <c r="N12" s="56"/>
      <c r="O12" s="54">
        <v>0</v>
      </c>
      <c r="P12" s="54">
        <v>0</v>
      </c>
      <c r="Q12" s="54">
        <v>0</v>
      </c>
      <c r="R12" s="29"/>
    </row>
    <row r="13" spans="1:30" ht="22.8" customHeight="1" thickTop="1">
      <c r="A13" s="29"/>
      <c r="B13" s="45" t="s">
        <v>33</v>
      </c>
      <c r="C13" s="29"/>
      <c r="D13" s="57"/>
      <c r="E13" s="46"/>
      <c r="F13" s="46"/>
      <c r="G13" s="57"/>
      <c r="H13" s="57"/>
      <c r="I13" s="57"/>
      <c r="J13" s="47"/>
      <c r="K13" s="48"/>
      <c r="L13" s="58"/>
      <c r="M13" s="46"/>
      <c r="N13" s="28"/>
      <c r="O13" s="57"/>
      <c r="P13" s="57"/>
      <c r="Q13" s="57"/>
      <c r="R13" s="46"/>
    </row>
    <row r="14" spans="1:30" ht="23.4" customHeight="1">
      <c r="A14" s="25"/>
      <c r="B14" s="25"/>
      <c r="C14" s="29"/>
      <c r="D14" s="59"/>
      <c r="E14" s="29"/>
      <c r="F14" s="29"/>
      <c r="G14" s="59" t="s">
        <v>34</v>
      </c>
      <c r="H14" s="59" t="s">
        <v>34</v>
      </c>
      <c r="I14" s="59" t="s">
        <v>34</v>
      </c>
      <c r="J14" s="60"/>
      <c r="K14" s="61"/>
      <c r="L14" s="62"/>
      <c r="M14" s="29"/>
      <c r="N14" s="25"/>
      <c r="O14" s="59" t="s">
        <v>34</v>
      </c>
      <c r="P14" s="59" t="s">
        <v>34</v>
      </c>
      <c r="Q14" s="59" t="s">
        <v>34</v>
      </c>
      <c r="R14" s="29"/>
    </row>
    <row r="15" spans="1:30" ht="17.399999999999999" customHeight="1" thickBot="1">
      <c r="A15" s="29"/>
      <c r="B15" s="25" t="s">
        <v>26</v>
      </c>
      <c r="C15" s="29"/>
      <c r="D15" s="63">
        <v>0</v>
      </c>
      <c r="E15" s="64"/>
      <c r="F15" s="64"/>
      <c r="G15" s="63">
        <v>0</v>
      </c>
      <c r="H15" s="63">
        <v>0</v>
      </c>
      <c r="I15" s="63">
        <v>0</v>
      </c>
      <c r="J15" s="65"/>
      <c r="K15" s="66"/>
      <c r="L15" s="67"/>
      <c r="M15" s="64"/>
      <c r="N15" s="41"/>
      <c r="O15" s="63">
        <v>0</v>
      </c>
      <c r="P15" s="63">
        <v>0</v>
      </c>
      <c r="Q15" s="63">
        <v>0</v>
      </c>
      <c r="R15" s="29"/>
      <c r="V15" s="49"/>
    </row>
    <row r="16" spans="1:30" ht="25.2" thickTop="1">
      <c r="A16" s="29"/>
      <c r="B16" s="45" t="s">
        <v>35</v>
      </c>
      <c r="C16" s="29"/>
      <c r="D16" s="46"/>
      <c r="E16" s="46"/>
      <c r="F16" s="46"/>
      <c r="G16" s="46"/>
      <c r="H16" s="46"/>
      <c r="I16" s="46"/>
      <c r="J16" s="47"/>
      <c r="K16" s="48"/>
      <c r="L16" s="48"/>
      <c r="M16" s="46"/>
      <c r="N16" s="28"/>
      <c r="O16" s="46"/>
      <c r="P16" s="46"/>
      <c r="Q16" s="46"/>
      <c r="R16" s="46"/>
    </row>
    <row r="17" spans="1:20" ht="25.2" thickBot="1">
      <c r="A17" s="25">
        <v>1</v>
      </c>
      <c r="B17" s="29" t="s">
        <v>36</v>
      </c>
      <c r="C17" s="29"/>
      <c r="D17" s="49">
        <v>0</v>
      </c>
      <c r="E17" s="68"/>
      <c r="F17" s="25"/>
      <c r="G17" s="59">
        <v>0</v>
      </c>
      <c r="H17" s="59">
        <v>0</v>
      </c>
      <c r="I17" s="59">
        <v>0</v>
      </c>
      <c r="J17" s="69"/>
      <c r="K17" s="70"/>
      <c r="L17" s="71"/>
      <c r="M17" s="68"/>
      <c r="N17" s="25"/>
      <c r="O17" s="72">
        <v>0</v>
      </c>
      <c r="P17" s="73">
        <v>0</v>
      </c>
      <c r="Q17" s="73">
        <v>0</v>
      </c>
      <c r="R17" s="29"/>
    </row>
    <row r="18" spans="1:20" ht="25.8" thickTop="1" thickBot="1">
      <c r="A18" s="29"/>
      <c r="B18" s="25" t="s">
        <v>26</v>
      </c>
      <c r="C18" s="29"/>
      <c r="D18" s="54">
        <v>0</v>
      </c>
      <c r="E18" s="54"/>
      <c r="F18" s="54"/>
      <c r="G18" s="54">
        <v>0</v>
      </c>
      <c r="H18" s="54">
        <v>0</v>
      </c>
      <c r="I18" s="54">
        <v>0</v>
      </c>
      <c r="J18" s="55"/>
      <c r="K18" s="55"/>
      <c r="L18" s="55"/>
      <c r="M18" s="54"/>
      <c r="N18" s="56"/>
      <c r="O18" s="54">
        <v>0</v>
      </c>
      <c r="P18" s="54">
        <v>0</v>
      </c>
      <c r="Q18" s="54">
        <v>0</v>
      </c>
      <c r="R18" s="53"/>
    </row>
    <row r="19" spans="1:20" ht="25.2" hidden="1" thickTop="1">
      <c r="A19" s="29"/>
      <c r="B19" s="45" t="s">
        <v>37</v>
      </c>
      <c r="C19" s="29"/>
      <c r="D19" s="57"/>
      <c r="E19" s="46"/>
      <c r="F19" s="46"/>
      <c r="G19" s="57"/>
      <c r="H19" s="57"/>
      <c r="I19" s="57"/>
      <c r="J19" s="47"/>
      <c r="K19" s="48"/>
      <c r="L19" s="58"/>
      <c r="M19" s="46"/>
      <c r="N19" s="28"/>
      <c r="O19" s="57"/>
      <c r="P19" s="57"/>
      <c r="Q19" s="57"/>
      <c r="R19" s="29"/>
    </row>
    <row r="20" spans="1:20" ht="25.8" hidden="1" thickTop="1" thickBot="1">
      <c r="A20" s="25">
        <v>1</v>
      </c>
      <c r="B20" s="25"/>
      <c r="C20" s="29"/>
      <c r="D20" s="78"/>
      <c r="E20" s="74"/>
      <c r="F20" s="74"/>
      <c r="G20" s="78"/>
      <c r="H20" s="78"/>
      <c r="I20" s="78"/>
      <c r="J20" s="75"/>
      <c r="K20" s="76"/>
      <c r="L20" s="77"/>
      <c r="M20" s="74"/>
      <c r="N20" s="34"/>
      <c r="O20" s="78"/>
      <c r="P20" s="78"/>
      <c r="Q20" s="78"/>
      <c r="R20" s="29"/>
    </row>
    <row r="21" spans="1:20" ht="25.8" hidden="1" thickTop="1" thickBot="1">
      <c r="A21" s="25"/>
      <c r="B21" s="25" t="s">
        <v>26</v>
      </c>
      <c r="C21" s="29"/>
      <c r="D21" s="54"/>
      <c r="E21" s="79"/>
      <c r="F21" s="79"/>
      <c r="G21" s="54"/>
      <c r="H21" s="54"/>
      <c r="I21" s="54"/>
      <c r="J21" s="80"/>
      <c r="K21" s="81"/>
      <c r="L21" s="55"/>
      <c r="M21" s="79"/>
      <c r="N21" s="82"/>
      <c r="O21" s="54"/>
      <c r="P21" s="54"/>
      <c r="Q21" s="54"/>
      <c r="R21" s="46"/>
    </row>
    <row r="22" spans="1:20" ht="25.2" hidden="1" thickTop="1">
      <c r="A22" s="25"/>
      <c r="B22" s="45" t="s">
        <v>38</v>
      </c>
      <c r="C22" s="29"/>
      <c r="D22" s="57"/>
      <c r="E22" s="46"/>
      <c r="F22" s="46"/>
      <c r="G22" s="57"/>
      <c r="H22" s="57"/>
      <c r="I22" s="57"/>
      <c r="J22" s="47"/>
      <c r="K22" s="48"/>
      <c r="L22" s="58"/>
      <c r="M22" s="46"/>
      <c r="N22" s="28"/>
      <c r="O22" s="57"/>
      <c r="P22" s="57"/>
      <c r="Q22" s="57"/>
      <c r="R22" s="46"/>
    </row>
    <row r="23" spans="1:20" ht="25.8" hidden="1" thickTop="1" thickBot="1">
      <c r="A23" s="25">
        <v>1</v>
      </c>
      <c r="B23" s="25"/>
      <c r="C23" s="29"/>
      <c r="D23" s="78"/>
      <c r="E23" s="74"/>
      <c r="F23" s="74"/>
      <c r="G23" s="78"/>
      <c r="H23" s="78"/>
      <c r="I23" s="78"/>
      <c r="J23" s="75"/>
      <c r="K23" s="76"/>
      <c r="L23" s="77"/>
      <c r="M23" s="74"/>
      <c r="N23" s="34"/>
      <c r="O23" s="78"/>
      <c r="P23" s="78"/>
      <c r="Q23" s="78"/>
      <c r="R23" s="46"/>
    </row>
    <row r="24" spans="1:20" ht="25.8" hidden="1" thickTop="1" thickBot="1">
      <c r="A24" s="25"/>
      <c r="B24" s="25" t="s">
        <v>26</v>
      </c>
      <c r="C24" s="29"/>
      <c r="D24" s="63"/>
      <c r="E24" s="64"/>
      <c r="F24" s="64"/>
      <c r="G24" s="63"/>
      <c r="H24" s="63"/>
      <c r="I24" s="63"/>
      <c r="J24" s="65"/>
      <c r="K24" s="66"/>
      <c r="L24" s="67"/>
      <c r="M24" s="64"/>
      <c r="N24" s="41"/>
      <c r="O24" s="63"/>
      <c r="P24" s="63"/>
      <c r="Q24" s="63"/>
      <c r="R24" s="46"/>
    </row>
    <row r="25" spans="1:20" ht="25.2" thickTop="1">
      <c r="A25" s="29"/>
      <c r="B25" s="45" t="s">
        <v>39</v>
      </c>
      <c r="C25" s="29"/>
      <c r="D25" s="46"/>
      <c r="E25" s="46"/>
      <c r="F25" s="46"/>
      <c r="G25" s="46"/>
      <c r="H25" s="46"/>
      <c r="I25" s="46"/>
      <c r="J25" s="47"/>
      <c r="K25" s="48"/>
      <c r="L25" s="48"/>
      <c r="M25" s="46"/>
      <c r="N25" s="28"/>
      <c r="O25" s="46"/>
      <c r="P25" s="46"/>
      <c r="Q25" s="46"/>
      <c r="R25" s="46"/>
    </row>
    <row r="26" spans="1:20" ht="24.6">
      <c r="A26" s="25">
        <v>1</v>
      </c>
      <c r="B26" s="29" t="s">
        <v>40</v>
      </c>
      <c r="C26" s="29"/>
      <c r="D26" s="257">
        <v>0</v>
      </c>
      <c r="E26" s="68"/>
      <c r="F26" s="25"/>
      <c r="G26" s="52">
        <v>0</v>
      </c>
      <c r="H26" s="59">
        <v>0</v>
      </c>
      <c r="I26" s="52">
        <v>0</v>
      </c>
      <c r="J26" s="69"/>
      <c r="K26" s="70"/>
      <c r="L26" s="83"/>
      <c r="M26" s="68"/>
      <c r="N26" s="25"/>
      <c r="O26" s="72">
        <v>0</v>
      </c>
      <c r="P26" s="73">
        <v>0</v>
      </c>
      <c r="Q26" s="73">
        <v>0</v>
      </c>
      <c r="R26" s="29" t="s">
        <v>41</v>
      </c>
    </row>
    <row r="27" spans="1:20" ht="24.6">
      <c r="A27" s="25">
        <v>2</v>
      </c>
      <c r="B27" s="29" t="s">
        <v>277</v>
      </c>
      <c r="C27" s="29"/>
      <c r="D27" s="257">
        <v>535</v>
      </c>
      <c r="E27" s="25"/>
      <c r="F27" s="25"/>
      <c r="G27" s="52">
        <v>0</v>
      </c>
      <c r="H27" s="59">
        <v>0</v>
      </c>
      <c r="I27" s="52">
        <v>0</v>
      </c>
      <c r="J27" s="69">
        <v>25267</v>
      </c>
      <c r="K27" s="84" t="s">
        <v>383</v>
      </c>
      <c r="L27" s="85">
        <v>535</v>
      </c>
      <c r="M27" s="25"/>
      <c r="N27" s="25"/>
      <c r="O27" s="72">
        <v>0</v>
      </c>
      <c r="P27" s="73">
        <v>0</v>
      </c>
      <c r="Q27" s="73">
        <v>0</v>
      </c>
      <c r="R27" s="29"/>
    </row>
    <row r="28" spans="1:20" s="96" customFormat="1" ht="24.6">
      <c r="A28" s="86">
        <v>3</v>
      </c>
      <c r="B28" s="87" t="s">
        <v>44</v>
      </c>
      <c r="C28" s="88"/>
      <c r="D28" s="258">
        <v>1070</v>
      </c>
      <c r="E28" s="90"/>
      <c r="F28" s="86"/>
      <c r="G28" s="91">
        <v>0</v>
      </c>
      <c r="H28" s="92">
        <v>0</v>
      </c>
      <c r="I28" s="91">
        <v>0</v>
      </c>
      <c r="J28" s="93">
        <v>25293</v>
      </c>
      <c r="K28" s="94" t="s">
        <v>384</v>
      </c>
      <c r="L28" s="95">
        <v>1070</v>
      </c>
      <c r="M28" s="90"/>
      <c r="N28" s="86"/>
      <c r="O28" s="72">
        <v>0</v>
      </c>
      <c r="P28" s="73">
        <v>0</v>
      </c>
      <c r="Q28" s="73">
        <v>0</v>
      </c>
      <c r="R28" s="87"/>
      <c r="T28" s="97"/>
    </row>
    <row r="29" spans="1:20" ht="24.6">
      <c r="A29" s="25">
        <v>4</v>
      </c>
      <c r="B29" s="29" t="s">
        <v>46</v>
      </c>
      <c r="C29" s="29"/>
      <c r="D29" s="259">
        <v>535</v>
      </c>
      <c r="E29" s="28"/>
      <c r="F29" s="28"/>
      <c r="G29" s="99"/>
      <c r="H29" s="59"/>
      <c r="I29" s="52"/>
      <c r="J29" s="69">
        <v>25293</v>
      </c>
      <c r="K29" s="70" t="s">
        <v>385</v>
      </c>
      <c r="L29" s="100">
        <v>535</v>
      </c>
      <c r="M29" s="28"/>
      <c r="N29" s="28"/>
      <c r="O29" s="72">
        <v>0</v>
      </c>
      <c r="P29" s="101">
        <v>0</v>
      </c>
      <c r="Q29" s="101">
        <v>0</v>
      </c>
      <c r="R29" s="102" t="s">
        <v>48</v>
      </c>
    </row>
    <row r="30" spans="1:20" ht="25.2" thickBot="1">
      <c r="A30" s="29"/>
      <c r="B30" s="25" t="s">
        <v>26</v>
      </c>
      <c r="C30" s="29"/>
      <c r="D30" s="103">
        <f>SUM(D26:D29)</f>
        <v>2140</v>
      </c>
      <c r="E30" s="63"/>
      <c r="F30" s="63"/>
      <c r="G30" s="103">
        <v>0</v>
      </c>
      <c r="H30" s="103">
        <v>0</v>
      </c>
      <c r="I30" s="103">
        <v>0</v>
      </c>
      <c r="J30" s="67"/>
      <c r="K30" s="67"/>
      <c r="L30" s="104">
        <f>SUM(L27:L29)</f>
        <v>2140</v>
      </c>
      <c r="M30" s="63"/>
      <c r="N30" s="105"/>
      <c r="O30" s="106">
        <v>0</v>
      </c>
      <c r="P30" s="107">
        <v>0</v>
      </c>
      <c r="Q30" s="107">
        <v>0</v>
      </c>
      <c r="R30" s="53"/>
    </row>
    <row r="31" spans="1:20" ht="25.2" hidden="1" thickTop="1">
      <c r="A31" s="29"/>
      <c r="B31" s="45" t="s">
        <v>49</v>
      </c>
      <c r="C31" s="29"/>
      <c r="D31" s="57"/>
      <c r="E31" s="108"/>
      <c r="F31" s="108"/>
      <c r="G31" s="57"/>
      <c r="H31" s="57"/>
      <c r="I31" s="57"/>
      <c r="J31" s="47"/>
      <c r="K31" s="48"/>
      <c r="L31" s="58"/>
      <c r="M31" s="46"/>
      <c r="N31" s="28"/>
      <c r="O31" s="57"/>
      <c r="P31" s="57"/>
      <c r="Q31" s="57"/>
      <c r="R31" s="29"/>
    </row>
    <row r="32" spans="1:20" ht="16.5" hidden="1" customHeight="1" thickBot="1">
      <c r="A32" s="25">
        <v>1</v>
      </c>
      <c r="B32" s="25"/>
      <c r="C32" s="29"/>
      <c r="D32" s="78"/>
      <c r="E32" s="74"/>
      <c r="F32" s="74"/>
      <c r="G32" s="78"/>
      <c r="H32" s="78"/>
      <c r="I32" s="78"/>
      <c r="J32" s="75"/>
      <c r="K32" s="76"/>
      <c r="L32" s="77"/>
      <c r="M32" s="74"/>
      <c r="N32" s="34"/>
      <c r="O32" s="78"/>
      <c r="P32" s="78"/>
      <c r="Q32" s="78"/>
      <c r="R32" s="29"/>
    </row>
    <row r="33" spans="1:18" ht="25.8" hidden="1" thickTop="1" thickBot="1">
      <c r="A33" s="25"/>
      <c r="B33" s="25" t="s">
        <v>26</v>
      </c>
      <c r="C33" s="29"/>
      <c r="D33" s="54"/>
      <c r="E33" s="64"/>
      <c r="F33" s="64"/>
      <c r="G33" s="54"/>
      <c r="H33" s="54"/>
      <c r="I33" s="54"/>
      <c r="J33" s="80"/>
      <c r="K33" s="81"/>
      <c r="L33" s="55"/>
      <c r="M33" s="79"/>
      <c r="N33" s="82"/>
      <c r="O33" s="54"/>
      <c r="P33" s="54"/>
      <c r="Q33" s="54"/>
      <c r="R33" s="29"/>
    </row>
    <row r="34" spans="1:18" ht="25.2" hidden="1" thickTop="1">
      <c r="A34" s="25"/>
      <c r="B34" s="45" t="s">
        <v>50</v>
      </c>
      <c r="C34" s="29"/>
      <c r="D34" s="57"/>
      <c r="E34" s="109"/>
      <c r="F34" s="109"/>
      <c r="G34" s="57"/>
      <c r="H34" s="57"/>
      <c r="I34" s="57"/>
      <c r="J34" s="47"/>
      <c r="K34" s="48"/>
      <c r="L34" s="58"/>
      <c r="M34" s="46"/>
      <c r="N34" s="28"/>
      <c r="O34" s="57"/>
      <c r="P34" s="57"/>
      <c r="Q34" s="57"/>
      <c r="R34" s="29"/>
    </row>
    <row r="35" spans="1:18" ht="25.8" hidden="1" thickTop="1" thickBot="1">
      <c r="A35" s="25"/>
      <c r="B35" s="25"/>
      <c r="C35" s="29"/>
      <c r="D35" s="78"/>
      <c r="E35" s="74"/>
      <c r="F35" s="74"/>
      <c r="G35" s="78">
        <v>0</v>
      </c>
      <c r="H35" s="78">
        <v>0</v>
      </c>
      <c r="I35" s="78">
        <v>0</v>
      </c>
      <c r="J35" s="75"/>
      <c r="K35" s="76"/>
      <c r="L35" s="77"/>
      <c r="M35" s="74"/>
      <c r="N35" s="34"/>
      <c r="O35" s="110">
        <v>0</v>
      </c>
      <c r="P35" s="110">
        <v>0</v>
      </c>
      <c r="Q35" s="110">
        <v>0</v>
      </c>
      <c r="R35" s="29"/>
    </row>
    <row r="36" spans="1:18" ht="25.2" hidden="1" thickTop="1">
      <c r="A36" s="25"/>
      <c r="B36" s="25" t="s">
        <v>26</v>
      </c>
      <c r="C36" s="29"/>
      <c r="D36" s="111">
        <v>0</v>
      </c>
      <c r="E36" s="46"/>
      <c r="F36" s="46"/>
      <c r="G36" s="111">
        <v>0</v>
      </c>
      <c r="H36" s="111"/>
      <c r="I36" s="111">
        <v>0</v>
      </c>
      <c r="J36" s="112"/>
      <c r="K36" s="113"/>
      <c r="L36" s="114"/>
      <c r="M36" s="109"/>
      <c r="N36" s="115"/>
      <c r="O36" s="111">
        <v>0</v>
      </c>
      <c r="P36" s="111"/>
      <c r="Q36" s="111">
        <v>0</v>
      </c>
      <c r="R36" s="53"/>
    </row>
    <row r="37" spans="1:18" ht="25.2" hidden="1" thickTop="1">
      <c r="A37" s="25"/>
      <c r="B37" s="45" t="s">
        <v>51</v>
      </c>
      <c r="C37" s="29"/>
      <c r="D37" s="59"/>
      <c r="E37" s="109"/>
      <c r="F37" s="109"/>
      <c r="G37" s="59"/>
      <c r="H37" s="59"/>
      <c r="I37" s="59"/>
      <c r="J37" s="60"/>
      <c r="K37" s="61"/>
      <c r="L37" s="62"/>
      <c r="M37" s="29"/>
      <c r="N37" s="25"/>
      <c r="O37" s="59"/>
      <c r="P37" s="59"/>
      <c r="Q37" s="59"/>
      <c r="R37" s="29"/>
    </row>
    <row r="38" spans="1:18" ht="25.8" hidden="1" thickTop="1" thickBot="1">
      <c r="A38" s="25">
        <v>1</v>
      </c>
      <c r="B38" s="25"/>
      <c r="C38" s="29"/>
      <c r="D38" s="78"/>
      <c r="E38" s="74"/>
      <c r="F38" s="74"/>
      <c r="G38" s="78"/>
      <c r="H38" s="78"/>
      <c r="I38" s="78"/>
      <c r="J38" s="75"/>
      <c r="K38" s="76"/>
      <c r="L38" s="77"/>
      <c r="M38" s="74"/>
      <c r="N38" s="34"/>
      <c r="O38" s="78"/>
      <c r="P38" s="78"/>
      <c r="Q38" s="78"/>
      <c r="R38" s="29"/>
    </row>
    <row r="39" spans="1:18" ht="25.8" hidden="1" thickTop="1" thickBot="1">
      <c r="A39" s="25"/>
      <c r="B39" s="25" t="s">
        <v>26</v>
      </c>
      <c r="C39" s="29"/>
      <c r="D39" s="63"/>
      <c r="E39" s="79"/>
      <c r="F39" s="79"/>
      <c r="G39" s="63"/>
      <c r="H39" s="63"/>
      <c r="I39" s="63"/>
      <c r="J39" s="65"/>
      <c r="K39" s="66"/>
      <c r="L39" s="67"/>
      <c r="M39" s="64"/>
      <c r="N39" s="41"/>
      <c r="O39" s="63"/>
      <c r="P39" s="63"/>
      <c r="Q39" s="63"/>
      <c r="R39" s="29"/>
    </row>
    <row r="40" spans="1:18" ht="25.2" thickTop="1">
      <c r="A40" s="29"/>
      <c r="B40" s="45" t="s">
        <v>52</v>
      </c>
      <c r="C40" s="29"/>
      <c r="D40" s="57"/>
      <c r="E40" s="28"/>
      <c r="F40" s="28"/>
      <c r="G40" s="57"/>
      <c r="H40" s="57"/>
      <c r="I40" s="57"/>
      <c r="J40" s="47"/>
      <c r="K40" s="48"/>
      <c r="L40" s="58"/>
      <c r="M40" s="46"/>
      <c r="N40" s="28"/>
      <c r="O40" s="57"/>
      <c r="P40" s="57"/>
      <c r="Q40" s="57"/>
      <c r="R40" s="29"/>
    </row>
    <row r="41" spans="1:18" ht="24.6">
      <c r="A41" s="29"/>
      <c r="B41" s="116" t="s">
        <v>53</v>
      </c>
      <c r="C41" s="29"/>
      <c r="D41" s="57"/>
      <c r="E41" s="25"/>
      <c r="F41" s="25"/>
      <c r="G41" s="57"/>
      <c r="H41" s="57"/>
      <c r="I41" s="57"/>
      <c r="J41" s="47"/>
      <c r="K41" s="48"/>
      <c r="L41" s="58"/>
      <c r="M41" s="46"/>
      <c r="N41" s="28"/>
      <c r="O41" s="57"/>
      <c r="P41" s="57"/>
      <c r="Q41" s="57"/>
      <c r="R41" s="29"/>
    </row>
    <row r="42" spans="1:18" ht="24.6">
      <c r="A42" s="25">
        <v>1</v>
      </c>
      <c r="B42" s="29" t="s">
        <v>54</v>
      </c>
      <c r="C42" s="25" t="s">
        <v>55</v>
      </c>
      <c r="D42" s="49">
        <v>0</v>
      </c>
      <c r="E42" s="25"/>
      <c r="F42" s="25"/>
      <c r="G42" s="49">
        <v>0</v>
      </c>
      <c r="H42" s="49">
        <v>0</v>
      </c>
      <c r="I42" s="49">
        <v>0</v>
      </c>
      <c r="J42" s="26"/>
      <c r="K42" s="117"/>
      <c r="L42" s="118"/>
      <c r="M42" s="25"/>
      <c r="N42" s="25"/>
      <c r="O42" s="72">
        <f t="shared" ref="O42:O47" si="0">D42</f>
        <v>0</v>
      </c>
      <c r="P42" s="73">
        <v>0</v>
      </c>
      <c r="Q42" s="73">
        <f t="shared" ref="Q42:Q45" si="1">D42</f>
        <v>0</v>
      </c>
      <c r="R42" s="29" t="s">
        <v>56</v>
      </c>
    </row>
    <row r="43" spans="1:18" ht="24.6">
      <c r="A43" s="25">
        <v>2</v>
      </c>
      <c r="B43" s="119" t="s">
        <v>57</v>
      </c>
      <c r="C43" s="25">
        <v>259</v>
      </c>
      <c r="D43" s="49">
        <v>0</v>
      </c>
      <c r="E43" s="25"/>
      <c r="F43" s="25"/>
      <c r="G43" s="49">
        <v>0</v>
      </c>
      <c r="H43" s="49">
        <v>0</v>
      </c>
      <c r="I43" s="49">
        <v>0</v>
      </c>
      <c r="J43" s="26"/>
      <c r="K43" s="16"/>
      <c r="L43" s="118"/>
      <c r="M43" s="25"/>
      <c r="N43" s="25"/>
      <c r="O43" s="72">
        <f t="shared" si="0"/>
        <v>0</v>
      </c>
      <c r="P43" s="73">
        <v>0</v>
      </c>
      <c r="Q43" s="73">
        <f t="shared" si="1"/>
        <v>0</v>
      </c>
      <c r="R43" s="29" t="s">
        <v>58</v>
      </c>
    </row>
    <row r="44" spans="1:18" ht="24.6">
      <c r="A44" s="25">
        <v>3</v>
      </c>
      <c r="B44" s="119" t="s">
        <v>57</v>
      </c>
      <c r="C44" s="25">
        <v>260</v>
      </c>
      <c r="D44" s="49"/>
      <c r="E44" s="25"/>
      <c r="F44" s="25"/>
      <c r="G44" s="49">
        <v>0</v>
      </c>
      <c r="H44" s="49">
        <v>0</v>
      </c>
      <c r="I44" s="49">
        <v>0</v>
      </c>
      <c r="J44" s="26"/>
      <c r="K44" s="16"/>
      <c r="L44" s="118"/>
      <c r="M44" s="25"/>
      <c r="N44" s="25"/>
      <c r="O44" s="72">
        <f t="shared" si="0"/>
        <v>0</v>
      </c>
      <c r="P44" s="73">
        <v>0</v>
      </c>
      <c r="Q44" s="73">
        <f t="shared" si="1"/>
        <v>0</v>
      </c>
      <c r="R44" s="29"/>
    </row>
    <row r="45" spans="1:18" ht="24.6">
      <c r="A45" s="25">
        <v>4</v>
      </c>
      <c r="B45" s="119" t="s">
        <v>57</v>
      </c>
      <c r="C45" s="25" t="s">
        <v>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60</v>
      </c>
    </row>
    <row r="46" spans="1:18" ht="24.6">
      <c r="A46" s="25">
        <v>5</v>
      </c>
      <c r="B46" s="119" t="s">
        <v>57</v>
      </c>
      <c r="C46" s="25" t="s">
        <v>61</v>
      </c>
      <c r="D46" s="49">
        <v>0</v>
      </c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2">
        <f t="shared" ref="Q46:Q50" si="2">D46+I46-L46</f>
        <v>0</v>
      </c>
      <c r="R46" s="29"/>
    </row>
    <row r="47" spans="1:18" ht="24.6">
      <c r="A47" s="25">
        <v>6</v>
      </c>
      <c r="B47" s="29" t="s">
        <v>62</v>
      </c>
      <c r="C47" s="25" t="s">
        <v>63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69"/>
      <c r="K47" s="70"/>
      <c r="L47" s="83"/>
      <c r="M47" s="25"/>
      <c r="N47" s="25"/>
      <c r="O47" s="72">
        <f t="shared" si="0"/>
        <v>0</v>
      </c>
      <c r="P47" s="73">
        <v>0</v>
      </c>
      <c r="Q47" s="72">
        <f t="shared" si="2"/>
        <v>0</v>
      </c>
      <c r="R47" s="29" t="s">
        <v>64</v>
      </c>
    </row>
    <row r="48" spans="1:18" ht="24.6">
      <c r="A48" s="25">
        <v>7</v>
      </c>
      <c r="B48" s="29" t="s">
        <v>65</v>
      </c>
      <c r="C48" s="25">
        <v>267</v>
      </c>
      <c r="D48" s="49">
        <v>1215</v>
      </c>
      <c r="E48" s="25"/>
      <c r="F48" s="25"/>
      <c r="G48" s="49">
        <v>0</v>
      </c>
      <c r="H48" s="49">
        <v>0</v>
      </c>
      <c r="I48" s="49">
        <v>0</v>
      </c>
      <c r="J48" s="69">
        <v>25273</v>
      </c>
      <c r="K48" s="70" t="s">
        <v>386</v>
      </c>
      <c r="L48" s="83">
        <v>1215</v>
      </c>
      <c r="M48" s="25"/>
      <c r="N48" s="25"/>
      <c r="O48" s="72">
        <f>D48+G48-L48</f>
        <v>0</v>
      </c>
      <c r="P48" s="72">
        <f t="shared" ref="P48" si="3">E48+H48-M48</f>
        <v>0</v>
      </c>
      <c r="Q48" s="72">
        <f t="shared" si="2"/>
        <v>0</v>
      </c>
      <c r="R48" s="29" t="s">
        <v>67</v>
      </c>
    </row>
    <row r="49" spans="1:18" ht="24.6">
      <c r="A49" s="25">
        <v>8</v>
      </c>
      <c r="B49" s="29" t="s">
        <v>68</v>
      </c>
      <c r="C49" s="120">
        <v>268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121"/>
      <c r="K49" s="121"/>
      <c r="L49" s="121"/>
      <c r="M49" s="25"/>
      <c r="N49" s="25"/>
      <c r="O49" s="72">
        <f t="shared" ref="O49:O60" si="4">D49+G49-L49</f>
        <v>0</v>
      </c>
      <c r="P49" s="73">
        <v>0</v>
      </c>
      <c r="Q49" s="72">
        <f t="shared" si="2"/>
        <v>0</v>
      </c>
      <c r="R49" s="29" t="s">
        <v>69</v>
      </c>
    </row>
    <row r="50" spans="1:18" ht="24.6">
      <c r="A50" s="25">
        <v>9</v>
      </c>
      <c r="B50" s="29" t="s">
        <v>70</v>
      </c>
      <c r="C50" s="25" t="s">
        <v>71</v>
      </c>
      <c r="D50" s="49">
        <v>2430</v>
      </c>
      <c r="E50" s="25"/>
      <c r="F50" s="25"/>
      <c r="G50" s="49">
        <v>0</v>
      </c>
      <c r="H50" s="49">
        <v>0</v>
      </c>
      <c r="I50" s="49">
        <v>0</v>
      </c>
      <c r="J50" s="69">
        <v>25275</v>
      </c>
      <c r="K50" s="70" t="s">
        <v>387</v>
      </c>
      <c r="L50" s="83">
        <v>2430</v>
      </c>
      <c r="M50" s="25"/>
      <c r="N50" s="25"/>
      <c r="O50" s="72">
        <f t="shared" si="4"/>
        <v>0</v>
      </c>
      <c r="P50" s="73">
        <v>0</v>
      </c>
      <c r="Q50" s="72">
        <f t="shared" si="2"/>
        <v>0</v>
      </c>
      <c r="R50" s="29"/>
    </row>
    <row r="51" spans="1:18" ht="24.6">
      <c r="A51" s="25">
        <v>10</v>
      </c>
      <c r="B51" s="29" t="s">
        <v>73</v>
      </c>
      <c r="C51" s="120">
        <v>84282</v>
      </c>
      <c r="D51" s="49">
        <v>2430</v>
      </c>
      <c r="E51" s="25" t="s">
        <v>359</v>
      </c>
      <c r="F51" s="25">
        <v>1</v>
      </c>
      <c r="G51" s="49">
        <v>2430</v>
      </c>
      <c r="H51" s="49">
        <v>0</v>
      </c>
      <c r="I51" s="49">
        <v>2430</v>
      </c>
      <c r="J51" s="69"/>
      <c r="K51" s="70"/>
      <c r="L51" s="83"/>
      <c r="M51" s="122" t="s">
        <v>388</v>
      </c>
      <c r="N51" s="123">
        <v>1</v>
      </c>
      <c r="O51" s="72">
        <f>D51+G51-L51</f>
        <v>4860</v>
      </c>
      <c r="P51" s="73">
        <v>0</v>
      </c>
      <c r="Q51" s="72">
        <f>D51+I51-L51</f>
        <v>4860</v>
      </c>
      <c r="R51" s="29"/>
    </row>
    <row r="52" spans="1:18" ht="24.6">
      <c r="A52" s="25">
        <v>11</v>
      </c>
      <c r="B52" s="29" t="s">
        <v>76</v>
      </c>
      <c r="C52" s="25">
        <v>281</v>
      </c>
      <c r="D52" s="49">
        <v>0</v>
      </c>
      <c r="E52" s="25"/>
      <c r="F52" s="25"/>
      <c r="G52" s="49">
        <v>0</v>
      </c>
      <c r="H52" s="49">
        <v>0</v>
      </c>
      <c r="I52" s="49">
        <v>0</v>
      </c>
      <c r="J52" s="69"/>
      <c r="K52" s="70"/>
      <c r="L52" s="83"/>
      <c r="M52" s="25"/>
      <c r="N52" s="25"/>
      <c r="O52" s="72">
        <f t="shared" si="4"/>
        <v>0</v>
      </c>
      <c r="P52" s="73">
        <v>0</v>
      </c>
      <c r="Q52" s="72">
        <f t="shared" ref="Q52:Q60" si="5">D52+I52-L52</f>
        <v>0</v>
      </c>
      <c r="R52" s="29" t="s">
        <v>77</v>
      </c>
    </row>
    <row r="53" spans="1:18" ht="24.6">
      <c r="A53" s="25">
        <v>12</v>
      </c>
      <c r="B53" s="29" t="s">
        <v>57</v>
      </c>
      <c r="C53" s="25">
        <v>280</v>
      </c>
      <c r="D53" s="49">
        <v>0</v>
      </c>
      <c r="E53" s="25"/>
      <c r="F53" s="25"/>
      <c r="G53" s="49">
        <v>0</v>
      </c>
      <c r="H53" s="49">
        <v>0</v>
      </c>
      <c r="I53" s="49">
        <v>0</v>
      </c>
      <c r="J53" s="69"/>
      <c r="K53" s="70"/>
      <c r="L53" s="83"/>
      <c r="M53" s="25"/>
      <c r="N53" s="25"/>
      <c r="O53" s="72">
        <f t="shared" si="4"/>
        <v>0</v>
      </c>
      <c r="P53" s="73">
        <v>0</v>
      </c>
      <c r="Q53" s="72">
        <f t="shared" si="5"/>
        <v>0</v>
      </c>
      <c r="R53" s="29"/>
    </row>
    <row r="54" spans="1:18" ht="24.6">
      <c r="A54" s="25">
        <v>13</v>
      </c>
      <c r="B54" s="29" t="s">
        <v>78</v>
      </c>
      <c r="C54" s="25" t="s">
        <v>79</v>
      </c>
      <c r="D54" s="49">
        <v>2430</v>
      </c>
      <c r="E54" s="25"/>
      <c r="F54" s="25"/>
      <c r="G54" s="49">
        <v>0</v>
      </c>
      <c r="H54" s="49">
        <v>0</v>
      </c>
      <c r="I54" s="49">
        <v>0</v>
      </c>
      <c r="J54" s="69">
        <v>25267</v>
      </c>
      <c r="K54" s="70" t="s">
        <v>389</v>
      </c>
      <c r="L54" s="83">
        <v>2430</v>
      </c>
      <c r="M54" s="25"/>
      <c r="N54" s="25"/>
      <c r="O54" s="72">
        <f t="shared" si="4"/>
        <v>0</v>
      </c>
      <c r="P54" s="73">
        <v>0</v>
      </c>
      <c r="Q54" s="72">
        <f t="shared" si="5"/>
        <v>0</v>
      </c>
      <c r="R54" s="29"/>
    </row>
    <row r="55" spans="1:18" ht="24.6">
      <c r="A55" s="25">
        <v>14</v>
      </c>
      <c r="B55" s="29" t="s">
        <v>81</v>
      </c>
      <c r="C55" s="25" t="s">
        <v>82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4"/>
        <v>0</v>
      </c>
      <c r="P55" s="73">
        <v>0</v>
      </c>
      <c r="Q55" s="72">
        <f t="shared" si="5"/>
        <v>0</v>
      </c>
      <c r="R55" s="29"/>
    </row>
    <row r="56" spans="1:18" ht="24.6">
      <c r="A56" s="25">
        <v>15</v>
      </c>
      <c r="B56" s="29" t="s">
        <v>83</v>
      </c>
      <c r="C56" s="25">
        <v>277</v>
      </c>
      <c r="D56" s="49">
        <v>1215</v>
      </c>
      <c r="E56" s="25"/>
      <c r="F56" s="25"/>
      <c r="G56" s="49">
        <v>0</v>
      </c>
      <c r="H56" s="49">
        <v>0</v>
      </c>
      <c r="I56" s="49">
        <v>0</v>
      </c>
      <c r="J56" s="69">
        <v>25293</v>
      </c>
      <c r="K56" s="70" t="s">
        <v>390</v>
      </c>
      <c r="L56" s="83">
        <v>1215</v>
      </c>
      <c r="M56" s="25"/>
      <c r="N56" s="25"/>
      <c r="O56" s="72">
        <f t="shared" si="4"/>
        <v>0</v>
      </c>
      <c r="P56" s="73">
        <v>0</v>
      </c>
      <c r="Q56" s="72">
        <f t="shared" si="5"/>
        <v>0</v>
      </c>
      <c r="R56" s="29"/>
    </row>
    <row r="57" spans="1:18" ht="24.6">
      <c r="A57" s="25">
        <v>16</v>
      </c>
      <c r="B57" s="29" t="s">
        <v>85</v>
      </c>
      <c r="C57" s="25" t="s">
        <v>86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26"/>
      <c r="K57" s="16"/>
      <c r="L57" s="118"/>
      <c r="M57" s="25"/>
      <c r="N57" s="25"/>
      <c r="O57" s="72">
        <f t="shared" si="4"/>
        <v>0</v>
      </c>
      <c r="P57" s="73">
        <v>0</v>
      </c>
      <c r="Q57" s="72">
        <f t="shared" si="5"/>
        <v>0</v>
      </c>
      <c r="R57" s="29" t="s">
        <v>87</v>
      </c>
    </row>
    <row r="58" spans="1:18" ht="24.6">
      <c r="A58" s="25">
        <v>17</v>
      </c>
      <c r="B58" s="29" t="s">
        <v>57</v>
      </c>
      <c r="C58" s="25" t="s">
        <v>88</v>
      </c>
      <c r="D58" s="49">
        <v>0</v>
      </c>
      <c r="E58" s="25"/>
      <c r="F58" s="25"/>
      <c r="G58" s="49">
        <v>0</v>
      </c>
      <c r="H58" s="49">
        <v>0</v>
      </c>
      <c r="I58" s="49">
        <v>0</v>
      </c>
      <c r="J58" s="26"/>
      <c r="K58" s="16"/>
      <c r="L58" s="118"/>
      <c r="M58" s="25"/>
      <c r="N58" s="25"/>
      <c r="O58" s="72">
        <f t="shared" si="4"/>
        <v>0</v>
      </c>
      <c r="P58" s="73">
        <v>0</v>
      </c>
      <c r="Q58" s="72">
        <f t="shared" si="5"/>
        <v>0</v>
      </c>
      <c r="R58" s="29"/>
    </row>
    <row r="59" spans="1:18" ht="24.6">
      <c r="A59" s="25"/>
      <c r="B59" s="116" t="s">
        <v>89</v>
      </c>
      <c r="C59" s="29"/>
      <c r="D59" s="29"/>
      <c r="E59" s="25"/>
      <c r="F59" s="25"/>
      <c r="G59" s="29">
        <v>0</v>
      </c>
      <c r="H59" s="49"/>
      <c r="I59" s="49">
        <v>0</v>
      </c>
      <c r="J59" s="26"/>
      <c r="K59" s="16"/>
      <c r="L59" s="118"/>
      <c r="M59" s="25"/>
      <c r="N59" s="25"/>
      <c r="O59" s="72">
        <f t="shared" si="4"/>
        <v>0</v>
      </c>
      <c r="P59" s="49"/>
      <c r="Q59" s="72">
        <f t="shared" si="5"/>
        <v>0</v>
      </c>
      <c r="R59" s="29"/>
    </row>
    <row r="60" spans="1:18" ht="24.6">
      <c r="A60" s="25">
        <v>1</v>
      </c>
      <c r="B60" s="29" t="s">
        <v>57</v>
      </c>
      <c r="C60" s="25" t="s">
        <v>90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4"/>
        <v>0</v>
      </c>
      <c r="P60" s="73">
        <v>0</v>
      </c>
      <c r="Q60" s="72">
        <f t="shared" si="5"/>
        <v>0</v>
      </c>
      <c r="R60" s="29" t="s">
        <v>91</v>
      </c>
    </row>
    <row r="61" spans="1:18" ht="24.6">
      <c r="A61" s="25">
        <v>2</v>
      </c>
      <c r="B61" s="119" t="s">
        <v>57</v>
      </c>
      <c r="C61" s="25" t="s">
        <v>92</v>
      </c>
      <c r="D61" s="49"/>
      <c r="E61" s="25"/>
      <c r="F61" s="25"/>
      <c r="G61" s="4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ref="O61:O69" si="6">D61+G61</f>
        <v>0</v>
      </c>
      <c r="P61" s="49"/>
      <c r="Q61" s="73">
        <f t="shared" ref="Q61:Q69" si="7">D61+I61</f>
        <v>0</v>
      </c>
      <c r="R61" s="29"/>
    </row>
    <row r="62" spans="1:18" ht="24.6">
      <c r="A62" s="25">
        <v>3</v>
      </c>
      <c r="B62" s="29" t="s">
        <v>93</v>
      </c>
      <c r="C62" s="25" t="s">
        <v>94</v>
      </c>
      <c r="D62" s="49">
        <v>0</v>
      </c>
      <c r="E62" s="25"/>
      <c r="F62" s="25"/>
      <c r="G62" s="89">
        <v>0</v>
      </c>
      <c r="H62" s="89">
        <v>0</v>
      </c>
      <c r="I62" s="89">
        <v>0</v>
      </c>
      <c r="J62" s="69"/>
      <c r="K62" s="84"/>
      <c r="L62" s="83"/>
      <c r="M62" s="25"/>
      <c r="N62" s="25"/>
      <c r="O62" s="72">
        <f t="shared" si="6"/>
        <v>0</v>
      </c>
      <c r="P62" s="73">
        <v>0</v>
      </c>
      <c r="Q62" s="73">
        <f t="shared" si="7"/>
        <v>0</v>
      </c>
      <c r="R62" s="29"/>
    </row>
    <row r="63" spans="1:18" ht="24.6">
      <c r="A63" s="25">
        <v>4</v>
      </c>
      <c r="B63" s="119" t="s">
        <v>57</v>
      </c>
      <c r="C63" s="25" t="s">
        <v>95</v>
      </c>
      <c r="D63" s="52">
        <v>0</v>
      </c>
      <c r="E63" s="25"/>
      <c r="F63" s="25"/>
      <c r="G63" s="49">
        <v>0</v>
      </c>
      <c r="H63" s="49"/>
      <c r="I63" s="49">
        <v>0</v>
      </c>
      <c r="J63" s="69"/>
      <c r="K63" s="84"/>
      <c r="L63" s="83"/>
      <c r="M63" s="25"/>
      <c r="N63" s="25"/>
      <c r="O63" s="72">
        <f t="shared" si="6"/>
        <v>0</v>
      </c>
      <c r="P63" s="49"/>
      <c r="Q63" s="73">
        <f t="shared" si="7"/>
        <v>0</v>
      </c>
      <c r="R63" s="29"/>
    </row>
    <row r="64" spans="1:18" ht="24.6">
      <c r="A64" s="25">
        <v>5</v>
      </c>
      <c r="B64" s="29" t="s">
        <v>40</v>
      </c>
      <c r="C64" s="25" t="s">
        <v>96</v>
      </c>
      <c r="D64" s="49">
        <v>0</v>
      </c>
      <c r="E64" s="25"/>
      <c r="F64" s="25"/>
      <c r="G64" s="49">
        <v>0</v>
      </c>
      <c r="H64" s="49">
        <v>0</v>
      </c>
      <c r="I64" s="49">
        <v>0</v>
      </c>
      <c r="J64" s="69"/>
      <c r="K64" s="70"/>
      <c r="L64" s="83"/>
      <c r="M64" s="25"/>
      <c r="N64" s="25"/>
      <c r="O64" s="72">
        <f t="shared" si="6"/>
        <v>0</v>
      </c>
      <c r="P64" s="73">
        <v>0</v>
      </c>
      <c r="Q64" s="73">
        <f t="shared" si="7"/>
        <v>0</v>
      </c>
      <c r="R64" s="29" t="s">
        <v>41</v>
      </c>
    </row>
    <row r="65" spans="1:20" ht="24.6">
      <c r="A65" s="25"/>
      <c r="B65" s="124" t="s">
        <v>97</v>
      </c>
      <c r="C65" s="29"/>
      <c r="D65" s="29"/>
      <c r="E65" s="25" t="s">
        <v>172</v>
      </c>
      <c r="F65" s="25" t="s">
        <v>172</v>
      </c>
      <c r="G65" s="29">
        <v>0</v>
      </c>
      <c r="H65" s="49"/>
      <c r="I65" s="49">
        <v>0</v>
      </c>
      <c r="J65" s="26"/>
      <c r="K65" s="16"/>
      <c r="L65" s="118"/>
      <c r="M65" s="25"/>
      <c r="N65" s="25"/>
      <c r="O65" s="72">
        <f t="shared" si="6"/>
        <v>0</v>
      </c>
      <c r="P65" s="49"/>
      <c r="Q65" s="73">
        <f t="shared" si="7"/>
        <v>0</v>
      </c>
      <c r="R65" s="29"/>
    </row>
    <row r="66" spans="1:20" ht="24.6">
      <c r="A66" s="25">
        <v>1</v>
      </c>
      <c r="B66" s="125" t="s">
        <v>98</v>
      </c>
      <c r="C66" s="25" t="s">
        <v>99</v>
      </c>
      <c r="D66" s="49">
        <v>0</v>
      </c>
      <c r="E66" s="68"/>
      <c r="F66" s="25"/>
      <c r="G66" s="49">
        <v>0</v>
      </c>
      <c r="H66" s="49">
        <v>0</v>
      </c>
      <c r="I66" s="49">
        <v>0</v>
      </c>
      <c r="J66" s="69" t="s">
        <v>172</v>
      </c>
      <c r="K66" s="70" t="s">
        <v>172</v>
      </c>
      <c r="L66" s="83">
        <v>0</v>
      </c>
      <c r="M66" s="25" t="s">
        <v>172</v>
      </c>
      <c r="N66" s="25" t="s">
        <v>172</v>
      </c>
      <c r="O66" s="72">
        <f t="shared" si="6"/>
        <v>0</v>
      </c>
      <c r="P66" s="73">
        <v>0</v>
      </c>
      <c r="Q66" s="73">
        <f t="shared" si="7"/>
        <v>0</v>
      </c>
      <c r="R66" s="29" t="s">
        <v>100</v>
      </c>
      <c r="T66" s="2" t="s">
        <v>101</v>
      </c>
    </row>
    <row r="67" spans="1:20" ht="24.6">
      <c r="A67" s="25"/>
      <c r="B67" s="116" t="s">
        <v>102</v>
      </c>
      <c r="C67" s="29"/>
      <c r="D67" s="29"/>
      <c r="E67" s="25"/>
      <c r="F67" s="25"/>
      <c r="G67" s="2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6"/>
        <v>0</v>
      </c>
      <c r="P67" s="49"/>
      <c r="Q67" s="73">
        <f t="shared" si="7"/>
        <v>0</v>
      </c>
      <c r="R67" s="29"/>
    </row>
    <row r="68" spans="1:20" ht="20.25" customHeight="1">
      <c r="A68" s="25">
        <v>1</v>
      </c>
      <c r="B68" s="29" t="s">
        <v>36</v>
      </c>
      <c r="C68" s="29"/>
      <c r="D68" s="49">
        <v>0</v>
      </c>
      <c r="E68" s="25"/>
      <c r="F68" s="25"/>
      <c r="G68" s="49">
        <v>0</v>
      </c>
      <c r="H68" s="49">
        <v>0</v>
      </c>
      <c r="I68" s="49">
        <v>0</v>
      </c>
      <c r="J68" s="69"/>
      <c r="K68" s="84"/>
      <c r="L68" s="83"/>
      <c r="M68" s="25"/>
      <c r="N68" s="25"/>
      <c r="O68" s="72">
        <f t="shared" si="6"/>
        <v>0</v>
      </c>
      <c r="P68" s="73">
        <v>0</v>
      </c>
      <c r="Q68" s="73">
        <f t="shared" si="7"/>
        <v>0</v>
      </c>
      <c r="R68" s="29" t="s">
        <v>103</v>
      </c>
    </row>
    <row r="69" spans="1:20" ht="24.6">
      <c r="A69" s="25"/>
      <c r="B69" s="116" t="s">
        <v>104</v>
      </c>
      <c r="C69" s="29"/>
      <c r="D69" s="29"/>
      <c r="E69" s="25"/>
      <c r="F69" s="25"/>
      <c r="G69" s="49">
        <v>0</v>
      </c>
      <c r="H69" s="49"/>
      <c r="I69" s="49">
        <v>0</v>
      </c>
      <c r="J69" s="61"/>
      <c r="K69" s="61"/>
      <c r="L69" s="61"/>
      <c r="N69" s="1"/>
      <c r="O69" s="72">
        <f t="shared" si="6"/>
        <v>0</v>
      </c>
      <c r="P69" s="49"/>
      <c r="Q69" s="73">
        <f t="shared" si="7"/>
        <v>0</v>
      </c>
      <c r="R69" s="29"/>
    </row>
    <row r="70" spans="1:20" ht="24.6">
      <c r="A70" s="25">
        <v>1</v>
      </c>
      <c r="B70" s="29" t="s">
        <v>105</v>
      </c>
      <c r="C70" s="29"/>
      <c r="D70" s="49">
        <v>5000</v>
      </c>
      <c r="E70" s="126" t="s">
        <v>359</v>
      </c>
      <c r="F70" s="25">
        <v>1</v>
      </c>
      <c r="G70" s="49">
        <v>5000</v>
      </c>
      <c r="H70" s="49">
        <v>0</v>
      </c>
      <c r="I70" s="49">
        <v>5000</v>
      </c>
      <c r="J70" s="69">
        <v>25288</v>
      </c>
      <c r="K70" s="84" t="s">
        <v>391</v>
      </c>
      <c r="L70" s="83">
        <v>5000</v>
      </c>
      <c r="M70" s="25" t="s">
        <v>388</v>
      </c>
      <c r="N70" s="25">
        <v>1</v>
      </c>
      <c r="O70" s="72">
        <f>D70+G70-L70</f>
        <v>5000</v>
      </c>
      <c r="P70" s="73">
        <v>0</v>
      </c>
      <c r="Q70" s="73">
        <f>D70+I70-L70</f>
        <v>5000</v>
      </c>
      <c r="R70" s="29"/>
    </row>
    <row r="71" spans="1:20" ht="24.6">
      <c r="A71" s="25">
        <v>2</v>
      </c>
      <c r="B71" s="29" t="s">
        <v>105</v>
      </c>
      <c r="C71" s="29"/>
      <c r="D71" s="49">
        <v>4650</v>
      </c>
      <c r="E71" s="126" t="s">
        <v>359</v>
      </c>
      <c r="F71" s="25">
        <v>1</v>
      </c>
      <c r="G71" s="49">
        <v>4650</v>
      </c>
      <c r="H71" s="49">
        <v>0</v>
      </c>
      <c r="I71" s="49">
        <v>4650</v>
      </c>
      <c r="J71" s="69">
        <v>25288</v>
      </c>
      <c r="K71" s="70" t="s">
        <v>392</v>
      </c>
      <c r="L71" s="83">
        <v>4650</v>
      </c>
      <c r="M71" s="126" t="s">
        <v>388</v>
      </c>
      <c r="N71" s="25">
        <v>1</v>
      </c>
      <c r="O71" s="72">
        <f>D71+G71-L71</f>
        <v>4650</v>
      </c>
      <c r="P71" s="73">
        <v>0</v>
      </c>
      <c r="Q71" s="73">
        <f>D71+I71-L71</f>
        <v>4650</v>
      </c>
      <c r="R71" s="29" t="s">
        <v>108</v>
      </c>
    </row>
    <row r="72" spans="1:20" ht="24.6">
      <c r="A72" s="25">
        <v>3</v>
      </c>
      <c r="B72" s="29" t="s">
        <v>109</v>
      </c>
      <c r="C72" s="53"/>
      <c r="D72" s="127">
        <v>3450</v>
      </c>
      <c r="E72" s="25"/>
      <c r="F72" s="25"/>
      <c r="G72" s="127">
        <v>0</v>
      </c>
      <c r="H72" s="127">
        <v>0</v>
      </c>
      <c r="I72" s="49">
        <v>0</v>
      </c>
      <c r="J72" s="69">
        <v>25267</v>
      </c>
      <c r="K72" s="70" t="s">
        <v>393</v>
      </c>
      <c r="L72" s="83">
        <v>3450</v>
      </c>
      <c r="M72" s="126"/>
      <c r="N72" s="25"/>
      <c r="O72" s="72">
        <f>D72+G72-L72</f>
        <v>0</v>
      </c>
      <c r="P72" s="73">
        <v>0</v>
      </c>
      <c r="Q72" s="73">
        <f>D72+I72-L72</f>
        <v>0</v>
      </c>
      <c r="R72" s="29" t="s">
        <v>111</v>
      </c>
    </row>
    <row r="73" spans="1:20" ht="24.6">
      <c r="A73" s="25">
        <v>4</v>
      </c>
      <c r="B73" s="29" t="s">
        <v>112</v>
      </c>
      <c r="C73" s="29"/>
      <c r="D73" s="49">
        <v>3795</v>
      </c>
      <c r="E73" s="25"/>
      <c r="F73" s="25"/>
      <c r="G73" s="49">
        <v>0</v>
      </c>
      <c r="H73" s="49">
        <v>0</v>
      </c>
      <c r="I73" s="49">
        <v>0</v>
      </c>
      <c r="J73" s="128">
        <v>25270</v>
      </c>
      <c r="K73" s="129" t="s">
        <v>394</v>
      </c>
      <c r="L73" s="130">
        <v>3795</v>
      </c>
      <c r="M73" s="25"/>
      <c r="N73" s="25"/>
      <c r="O73" s="72">
        <f>D73+G73-L73</f>
        <v>0</v>
      </c>
      <c r="P73" s="73">
        <v>0</v>
      </c>
      <c r="Q73" s="73">
        <f>D73+I73-L73</f>
        <v>0</v>
      </c>
      <c r="R73" s="131" t="s">
        <v>114</v>
      </c>
    </row>
    <row r="74" spans="1:20" ht="25.5" customHeight="1">
      <c r="A74" s="25">
        <v>5</v>
      </c>
      <c r="B74" s="132" t="s">
        <v>115</v>
      </c>
      <c r="C74" s="132"/>
      <c r="D74" s="133">
        <v>8000</v>
      </c>
      <c r="E74" s="29"/>
      <c r="F74" s="29"/>
      <c r="G74" s="134">
        <v>0</v>
      </c>
      <c r="H74" s="134">
        <v>0</v>
      </c>
      <c r="I74" s="134">
        <v>0</v>
      </c>
      <c r="J74" s="128">
        <v>25267</v>
      </c>
      <c r="K74" s="129" t="s">
        <v>395</v>
      </c>
      <c r="L74" s="130">
        <v>8000</v>
      </c>
      <c r="M74" s="25"/>
      <c r="N74" s="25"/>
      <c r="O74" s="72">
        <f>D74+G74-L74</f>
        <v>0</v>
      </c>
      <c r="P74" s="73">
        <v>0</v>
      </c>
      <c r="Q74" s="73">
        <f>D74+I74-L74</f>
        <v>0</v>
      </c>
    </row>
    <row r="75" spans="1:20" ht="25.2" thickBot="1">
      <c r="A75" s="29"/>
      <c r="B75" s="25" t="s">
        <v>26</v>
      </c>
      <c r="C75" s="74"/>
      <c r="D75" s="78">
        <f>SUM(D42:D74)</f>
        <v>34615</v>
      </c>
      <c r="E75" s="78"/>
      <c r="F75" s="78"/>
      <c r="G75" s="78">
        <f>SUM(G42:G74)</f>
        <v>12080</v>
      </c>
      <c r="H75" s="78">
        <f>SUM(H42:H74)</f>
        <v>0</v>
      </c>
      <c r="I75" s="78">
        <f>SUM(I42:I74)</f>
        <v>12080</v>
      </c>
      <c r="J75" s="77"/>
      <c r="K75" s="77"/>
      <c r="L75" s="77">
        <f>SUM(L42:L74)</f>
        <v>32185</v>
      </c>
      <c r="M75" s="78"/>
      <c r="N75" s="135"/>
      <c r="O75" s="106">
        <f>SUM(O42:O74)</f>
        <v>14510</v>
      </c>
      <c r="P75" s="78">
        <v>0</v>
      </c>
      <c r="Q75" s="136">
        <f>SUM(Q42:Q74)</f>
        <v>14510</v>
      </c>
      <c r="R75" s="29"/>
    </row>
    <row r="76" spans="1:20" ht="25.2" thickTop="1">
      <c r="A76" s="29"/>
      <c r="B76" s="116" t="s">
        <v>117</v>
      </c>
      <c r="C76" s="46"/>
      <c r="D76" s="46"/>
      <c r="E76" s="28"/>
      <c r="F76" s="28"/>
      <c r="G76" s="46"/>
      <c r="H76" s="46"/>
      <c r="I76" s="46"/>
      <c r="J76" s="137"/>
      <c r="K76" s="138"/>
      <c r="L76" s="139"/>
      <c r="M76" s="28"/>
      <c r="N76" s="28"/>
      <c r="O76" s="72">
        <v>0</v>
      </c>
      <c r="P76" s="46"/>
      <c r="Q76" s="140">
        <v>0</v>
      </c>
      <c r="R76" s="46"/>
    </row>
    <row r="77" spans="1:20" ht="24.6">
      <c r="A77" s="29"/>
      <c r="B77" s="116" t="s">
        <v>118</v>
      </c>
      <c r="C77" s="46"/>
      <c r="D77" s="46"/>
      <c r="E77" s="25"/>
      <c r="F77" s="28"/>
      <c r="G77" s="46"/>
      <c r="H77" s="46"/>
      <c r="I77" s="46"/>
      <c r="J77" s="137"/>
      <c r="K77" s="138"/>
      <c r="L77" s="139"/>
      <c r="M77" s="28"/>
      <c r="N77" s="28"/>
      <c r="O77" s="72">
        <v>0</v>
      </c>
      <c r="P77" s="46"/>
      <c r="Q77" s="73">
        <v>0</v>
      </c>
      <c r="R77" s="29"/>
    </row>
    <row r="78" spans="1:20" ht="24.6">
      <c r="A78" s="25">
        <v>1</v>
      </c>
      <c r="B78" s="119" t="s">
        <v>119</v>
      </c>
      <c r="C78" s="46"/>
      <c r="D78" s="98">
        <v>0</v>
      </c>
      <c r="E78" s="25"/>
      <c r="F78" s="28"/>
      <c r="G78" s="49">
        <v>0</v>
      </c>
      <c r="H78" s="49">
        <v>0</v>
      </c>
      <c r="I78" s="49">
        <v>0</v>
      </c>
      <c r="J78" s="26"/>
      <c r="K78" s="16"/>
      <c r="L78" s="118"/>
      <c r="M78" s="119"/>
      <c r="N78" s="28"/>
      <c r="O78" s="72">
        <v>0</v>
      </c>
      <c r="P78" s="141">
        <v>0</v>
      </c>
      <c r="Q78" s="73">
        <v>0</v>
      </c>
      <c r="R78" s="29" t="s">
        <v>120</v>
      </c>
    </row>
    <row r="79" spans="1:20" ht="24.6">
      <c r="A79" s="25"/>
      <c r="B79" s="29" t="s">
        <v>120</v>
      </c>
      <c r="C79" s="46"/>
      <c r="D79" s="98"/>
      <c r="E79" s="25"/>
      <c r="F79" s="28"/>
      <c r="G79" s="49">
        <v>0</v>
      </c>
      <c r="H79" s="49"/>
      <c r="I79" s="49">
        <v>0</v>
      </c>
      <c r="J79" s="26"/>
      <c r="K79" s="16"/>
      <c r="L79" s="118"/>
      <c r="M79" s="25"/>
      <c r="N79" s="28"/>
      <c r="O79" s="72">
        <v>0</v>
      </c>
      <c r="P79" s="46"/>
      <c r="Q79" s="73">
        <v>0</v>
      </c>
      <c r="R79" s="29"/>
    </row>
    <row r="80" spans="1:20" ht="24.6">
      <c r="A80" s="25">
        <v>2</v>
      </c>
      <c r="B80" s="119" t="s">
        <v>121</v>
      </c>
      <c r="C80" s="46"/>
      <c r="D80" s="98">
        <v>6000</v>
      </c>
      <c r="E80" s="25"/>
      <c r="F80" s="25"/>
      <c r="G80" s="49">
        <v>0</v>
      </c>
      <c r="H80" s="49">
        <v>0</v>
      </c>
      <c r="I80" s="49">
        <v>0</v>
      </c>
      <c r="J80" s="69">
        <v>25267</v>
      </c>
      <c r="K80" s="70" t="s">
        <v>396</v>
      </c>
      <c r="L80" s="83">
        <v>6000</v>
      </c>
      <c r="M80" s="25"/>
      <c r="N80" s="25"/>
      <c r="O80" s="72">
        <v>0</v>
      </c>
      <c r="P80" s="73">
        <v>0</v>
      </c>
      <c r="Q80" s="73">
        <v>0</v>
      </c>
      <c r="R80" s="29"/>
    </row>
    <row r="81" spans="1:18" ht="24.6">
      <c r="A81" s="29"/>
      <c r="B81" s="45" t="s">
        <v>123</v>
      </c>
      <c r="C81" s="46"/>
      <c r="D81" s="46"/>
      <c r="E81" s="28"/>
      <c r="F81" s="28"/>
      <c r="G81" s="46">
        <v>0</v>
      </c>
      <c r="H81" s="46"/>
      <c r="I81" s="49">
        <v>0</v>
      </c>
      <c r="J81" s="142"/>
      <c r="K81" s="143"/>
      <c r="L81" s="144"/>
      <c r="M81" s="28"/>
      <c r="N81" s="28"/>
      <c r="O81" s="72">
        <v>0</v>
      </c>
      <c r="P81" s="46"/>
      <c r="Q81" s="73">
        <v>0</v>
      </c>
      <c r="R81" s="29"/>
    </row>
    <row r="82" spans="1:18" ht="24.6">
      <c r="A82" s="25">
        <v>1</v>
      </c>
      <c r="B82" s="29" t="s">
        <v>124</v>
      </c>
      <c r="C82" s="29"/>
      <c r="D82" s="49">
        <v>600</v>
      </c>
      <c r="E82" s="25"/>
      <c r="F82" s="25"/>
      <c r="G82" s="49">
        <v>0</v>
      </c>
      <c r="H82" s="49">
        <v>0</v>
      </c>
      <c r="I82" s="49">
        <v>0</v>
      </c>
      <c r="J82" s="69">
        <v>25291</v>
      </c>
      <c r="K82" s="70" t="s">
        <v>397</v>
      </c>
      <c r="L82" s="83">
        <v>600</v>
      </c>
      <c r="M82" s="25"/>
      <c r="N82" s="25"/>
      <c r="O82" s="72">
        <v>0</v>
      </c>
      <c r="P82" s="73">
        <v>0</v>
      </c>
      <c r="Q82" s="73">
        <v>0</v>
      </c>
      <c r="R82" s="29"/>
    </row>
    <row r="83" spans="1:18" ht="24.6">
      <c r="A83" s="25">
        <v>2</v>
      </c>
      <c r="B83" s="29" t="s">
        <v>40</v>
      </c>
      <c r="C83" s="29"/>
      <c r="D83" s="49">
        <v>0</v>
      </c>
      <c r="E83" s="25"/>
      <c r="F83" s="25"/>
      <c r="G83" s="49">
        <v>0</v>
      </c>
      <c r="H83" s="49">
        <v>0</v>
      </c>
      <c r="I83" s="49">
        <v>0</v>
      </c>
      <c r="J83" s="69"/>
      <c r="K83" s="70"/>
      <c r="L83" s="83"/>
      <c r="M83" s="25"/>
      <c r="N83" s="25"/>
      <c r="O83" s="72">
        <v>0</v>
      </c>
      <c r="P83" s="73">
        <v>0</v>
      </c>
      <c r="Q83" s="73">
        <v>0</v>
      </c>
      <c r="R83" s="29" t="s">
        <v>126</v>
      </c>
    </row>
    <row r="84" spans="1:18" ht="24.6">
      <c r="A84" s="25"/>
      <c r="B84" s="124" t="s">
        <v>127</v>
      </c>
      <c r="C84" s="29"/>
      <c r="D84" s="49"/>
      <c r="E84" s="25"/>
      <c r="F84" s="25"/>
      <c r="G84" s="49">
        <v>0</v>
      </c>
      <c r="H84" s="29"/>
      <c r="I84" s="49">
        <v>0</v>
      </c>
      <c r="J84" s="26"/>
      <c r="K84" s="16"/>
      <c r="L84" s="118"/>
      <c r="M84" s="25"/>
      <c r="N84" s="25"/>
      <c r="O84" s="72">
        <v>0</v>
      </c>
      <c r="P84" s="49"/>
      <c r="Q84" s="73">
        <v>0</v>
      </c>
      <c r="R84" s="29"/>
    </row>
    <row r="85" spans="1:18" ht="24.6">
      <c r="A85" s="25">
        <v>1</v>
      </c>
      <c r="B85" s="119" t="s">
        <v>128</v>
      </c>
      <c r="C85" s="29"/>
      <c r="D85" s="49"/>
      <c r="E85" s="25"/>
      <c r="F85" s="25"/>
      <c r="G85" s="49">
        <v>0</v>
      </c>
      <c r="H85" s="49">
        <v>0</v>
      </c>
      <c r="I85" s="49">
        <v>0</v>
      </c>
      <c r="J85" s="26"/>
      <c r="K85" s="16"/>
      <c r="L85" s="118"/>
      <c r="M85" s="25"/>
      <c r="N85" s="25"/>
      <c r="O85" s="72">
        <v>0</v>
      </c>
      <c r="P85" s="73">
        <v>0</v>
      </c>
      <c r="Q85" s="73">
        <v>0</v>
      </c>
      <c r="R85" s="29" t="s">
        <v>129</v>
      </c>
    </row>
    <row r="86" spans="1:18" ht="24.6">
      <c r="A86" s="25">
        <v>2</v>
      </c>
      <c r="B86" s="29" t="s">
        <v>130</v>
      </c>
      <c r="C86" s="29"/>
      <c r="D86" s="49">
        <v>550</v>
      </c>
      <c r="E86" s="25"/>
      <c r="F86" s="25"/>
      <c r="G86" s="49">
        <v>0</v>
      </c>
      <c r="H86" s="49">
        <v>0</v>
      </c>
      <c r="I86" s="49">
        <v>0</v>
      </c>
      <c r="J86" s="69">
        <v>25289</v>
      </c>
      <c r="K86" s="70" t="s">
        <v>398</v>
      </c>
      <c r="L86" s="83">
        <v>550</v>
      </c>
      <c r="M86" s="25"/>
      <c r="N86" s="25"/>
      <c r="O86" s="72">
        <v>0</v>
      </c>
      <c r="P86" s="73">
        <v>0</v>
      </c>
      <c r="Q86" s="73">
        <v>0</v>
      </c>
      <c r="R86" s="29"/>
    </row>
    <row r="87" spans="1:18" ht="24.6">
      <c r="A87" s="25" t="s">
        <v>370</v>
      </c>
      <c r="B87" s="29" t="s">
        <v>225</v>
      </c>
      <c r="C87" s="29"/>
      <c r="D87" s="49"/>
      <c r="E87" s="25"/>
      <c r="F87" s="25"/>
      <c r="G87" s="49"/>
      <c r="H87" s="49"/>
      <c r="I87" s="49"/>
      <c r="J87" s="69"/>
      <c r="K87" s="70"/>
      <c r="L87" s="83"/>
      <c r="M87" s="25"/>
      <c r="N87" s="25"/>
      <c r="O87" s="72"/>
      <c r="P87" s="140"/>
      <c r="Q87" s="140"/>
      <c r="R87" s="29"/>
    </row>
    <row r="88" spans="1:18" ht="24.6">
      <c r="A88" s="25">
        <v>4</v>
      </c>
      <c r="B88" s="29" t="s">
        <v>132</v>
      </c>
      <c r="C88" s="29"/>
      <c r="D88" s="49">
        <v>1100</v>
      </c>
      <c r="E88" s="25" t="s">
        <v>359</v>
      </c>
      <c r="F88" s="25">
        <v>1</v>
      </c>
      <c r="G88" s="89">
        <v>1100</v>
      </c>
      <c r="H88" s="49"/>
      <c r="I88" s="49">
        <v>1100</v>
      </c>
      <c r="J88" s="69">
        <v>25291</v>
      </c>
      <c r="K88" s="70" t="s">
        <v>399</v>
      </c>
      <c r="L88" s="83">
        <v>1100</v>
      </c>
      <c r="M88" s="25" t="s">
        <v>388</v>
      </c>
      <c r="N88" s="25">
        <v>1</v>
      </c>
      <c r="O88" s="72">
        <f>SUM(D88+I88-L88)</f>
        <v>1100</v>
      </c>
      <c r="P88" s="72"/>
      <c r="Q88" s="72">
        <f>SUM(D88+I88-L88)</f>
        <v>1100</v>
      </c>
      <c r="R88" s="29"/>
    </row>
    <row r="89" spans="1:18" ht="24.6">
      <c r="A89" s="25">
        <v>5</v>
      </c>
      <c r="B89" s="29" t="s">
        <v>134</v>
      </c>
      <c r="C89" s="29"/>
      <c r="D89" s="49">
        <v>1650</v>
      </c>
      <c r="E89" s="25"/>
      <c r="F89" s="25"/>
      <c r="G89" s="89">
        <v>0</v>
      </c>
      <c r="H89" s="49">
        <v>0</v>
      </c>
      <c r="I89" s="49">
        <v>0</v>
      </c>
      <c r="J89" s="69">
        <v>25262</v>
      </c>
      <c r="K89" s="84" t="s">
        <v>368</v>
      </c>
      <c r="L89" s="83">
        <v>1650</v>
      </c>
      <c r="M89" s="25"/>
      <c r="N89" s="25"/>
      <c r="O89" s="72">
        <f t="shared" ref="O89:O93" si="8">SUM(D89+I89-L89)</f>
        <v>0</v>
      </c>
      <c r="P89" s="73">
        <v>0</v>
      </c>
      <c r="Q89" s="72">
        <f t="shared" ref="Q89:Q92" si="9">SUM(D89+I89-L89)</f>
        <v>0</v>
      </c>
      <c r="R89" s="29"/>
    </row>
    <row r="90" spans="1:18" ht="24.6">
      <c r="A90" s="25"/>
      <c r="B90" s="116" t="s">
        <v>136</v>
      </c>
      <c r="C90" s="29"/>
      <c r="D90" s="49"/>
      <c r="E90" s="25"/>
      <c r="F90" s="25"/>
      <c r="G90" s="89">
        <v>0</v>
      </c>
      <c r="H90" s="29"/>
      <c r="I90" s="49">
        <v>0</v>
      </c>
      <c r="J90" s="69"/>
      <c r="K90" s="70"/>
      <c r="L90" s="83"/>
      <c r="M90" s="25"/>
      <c r="N90" s="25"/>
      <c r="O90" s="72">
        <f t="shared" si="8"/>
        <v>0</v>
      </c>
      <c r="P90" s="49"/>
      <c r="Q90" s="72">
        <f t="shared" si="9"/>
        <v>0</v>
      </c>
      <c r="R90" s="29"/>
    </row>
    <row r="91" spans="1:18" ht="24.6">
      <c r="A91" s="25">
        <v>1</v>
      </c>
      <c r="B91" s="29" t="s">
        <v>137</v>
      </c>
      <c r="C91" s="29"/>
      <c r="D91" s="49">
        <v>5000</v>
      </c>
      <c r="E91" s="25" t="s">
        <v>359</v>
      </c>
      <c r="F91" s="25">
        <v>1</v>
      </c>
      <c r="G91" s="89">
        <v>5000</v>
      </c>
      <c r="H91" s="49">
        <v>0</v>
      </c>
      <c r="I91" s="49">
        <v>5000</v>
      </c>
      <c r="J91" s="69">
        <v>25286</v>
      </c>
      <c r="K91" s="70" t="s">
        <v>400</v>
      </c>
      <c r="L91" s="83">
        <v>5000</v>
      </c>
      <c r="M91" s="68" t="s">
        <v>388</v>
      </c>
      <c r="N91" s="25">
        <v>1</v>
      </c>
      <c r="O91" s="72">
        <f t="shared" si="8"/>
        <v>5000</v>
      </c>
      <c r="P91" s="73">
        <v>0</v>
      </c>
      <c r="Q91" s="72">
        <f t="shared" si="9"/>
        <v>5000</v>
      </c>
      <c r="R91" s="29"/>
    </row>
    <row r="92" spans="1:18" ht="24.6">
      <c r="A92" s="25"/>
      <c r="B92" s="116" t="s">
        <v>140</v>
      </c>
      <c r="C92" s="29"/>
      <c r="D92" s="49"/>
      <c r="E92" s="25"/>
      <c r="F92" s="25"/>
      <c r="G92" s="49">
        <v>0</v>
      </c>
      <c r="H92" s="49"/>
      <c r="I92" s="49">
        <v>0</v>
      </c>
      <c r="J92" s="69"/>
      <c r="K92" s="84"/>
      <c r="L92" s="83"/>
      <c r="M92" s="25"/>
      <c r="N92" s="25"/>
      <c r="O92" s="72">
        <f t="shared" si="8"/>
        <v>0</v>
      </c>
      <c r="P92" s="49"/>
      <c r="Q92" s="72">
        <f t="shared" si="9"/>
        <v>0</v>
      </c>
      <c r="R92" s="29"/>
    </row>
    <row r="93" spans="1:18" ht="24.6">
      <c r="A93" s="25">
        <v>1</v>
      </c>
      <c r="B93" s="29" t="s">
        <v>141</v>
      </c>
      <c r="C93" s="29"/>
      <c r="D93" s="49">
        <v>0</v>
      </c>
      <c r="E93" s="25"/>
      <c r="F93" s="25"/>
      <c r="G93" s="49">
        <v>0</v>
      </c>
      <c r="H93" s="49">
        <v>0</v>
      </c>
      <c r="I93" s="49">
        <v>0</v>
      </c>
      <c r="J93" s="69"/>
      <c r="K93" s="70"/>
      <c r="L93" s="83"/>
      <c r="M93" s="25"/>
      <c r="N93" s="25"/>
      <c r="O93" s="72">
        <f t="shared" si="8"/>
        <v>0</v>
      </c>
      <c r="P93" s="73">
        <v>0</v>
      </c>
      <c r="Q93" s="73">
        <v>0</v>
      </c>
      <c r="R93" s="29"/>
    </row>
    <row r="94" spans="1:18" ht="24.6">
      <c r="A94" s="25"/>
      <c r="B94" s="116" t="s">
        <v>142</v>
      </c>
      <c r="C94" s="29"/>
      <c r="D94" s="49"/>
      <c r="E94" s="25"/>
      <c r="F94" s="25"/>
      <c r="G94" s="49">
        <v>0</v>
      </c>
      <c r="H94" s="29"/>
      <c r="I94" s="49">
        <v>0</v>
      </c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>
        <v>1</v>
      </c>
      <c r="B95" s="29" t="s">
        <v>143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69"/>
      <c r="K95" s="70"/>
      <c r="L95" s="83"/>
      <c r="M95" s="25"/>
      <c r="N95" s="25"/>
      <c r="O95" s="72">
        <v>0</v>
      </c>
      <c r="P95" s="73">
        <v>0</v>
      </c>
      <c r="Q95" s="73">
        <v>0</v>
      </c>
      <c r="R95" s="29" t="s">
        <v>64</v>
      </c>
    </row>
    <row r="96" spans="1:18" ht="24.6">
      <c r="A96" s="25">
        <v>2</v>
      </c>
      <c r="B96" s="29" t="s">
        <v>144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145"/>
      <c r="K96" s="146"/>
      <c r="L96" s="147"/>
      <c r="M96" s="25"/>
      <c r="N96" s="25"/>
      <c r="O96" s="72">
        <v>0</v>
      </c>
      <c r="P96" s="73">
        <v>0</v>
      </c>
      <c r="Q96" s="73">
        <v>0</v>
      </c>
      <c r="R96" s="29" t="s">
        <v>145</v>
      </c>
    </row>
    <row r="97" spans="1:18" ht="24.6">
      <c r="A97" s="25">
        <v>3</v>
      </c>
      <c r="B97" s="29" t="s">
        <v>146</v>
      </c>
      <c r="C97" s="29"/>
      <c r="D97" s="49">
        <v>0</v>
      </c>
      <c r="E97" s="25"/>
      <c r="F97" s="25"/>
      <c r="G97" s="52">
        <v>0</v>
      </c>
      <c r="H97" s="49">
        <v>0</v>
      </c>
      <c r="I97" s="49">
        <v>0</v>
      </c>
      <c r="J97" s="69"/>
      <c r="K97" s="70"/>
      <c r="L97" s="83"/>
      <c r="M97" s="25"/>
      <c r="N97" s="25"/>
      <c r="O97" s="72">
        <v>0</v>
      </c>
      <c r="P97" s="73">
        <v>0</v>
      </c>
      <c r="Q97" s="73">
        <v>0</v>
      </c>
      <c r="R97" s="29"/>
    </row>
    <row r="98" spans="1:18" ht="24.6">
      <c r="A98" s="25">
        <v>4</v>
      </c>
      <c r="B98" s="29" t="s">
        <v>147</v>
      </c>
      <c r="C98" s="29"/>
      <c r="D98" s="49">
        <v>0</v>
      </c>
      <c r="E98" s="25"/>
      <c r="F98" s="25"/>
      <c r="G98" s="72">
        <v>0</v>
      </c>
      <c r="H98" s="73">
        <v>0</v>
      </c>
      <c r="I98" s="73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148</v>
      </c>
    </row>
    <row r="99" spans="1:18" ht="24.6">
      <c r="A99" s="25">
        <v>5</v>
      </c>
      <c r="B99" s="29" t="s">
        <v>149</v>
      </c>
      <c r="C99" s="29"/>
      <c r="D99" s="49">
        <v>0</v>
      </c>
      <c r="E99" s="25"/>
      <c r="F99" s="25"/>
      <c r="G99" s="72">
        <v>0</v>
      </c>
      <c r="H99" s="73">
        <v>0</v>
      </c>
      <c r="I99" s="73">
        <v>0</v>
      </c>
      <c r="J99" s="69"/>
      <c r="K99" s="70"/>
      <c r="L99" s="83"/>
      <c r="M99" s="25"/>
      <c r="N99" s="25"/>
      <c r="O99" s="72">
        <v>0</v>
      </c>
      <c r="P99" s="73">
        <v>0</v>
      </c>
      <c r="Q99" s="73">
        <v>0</v>
      </c>
      <c r="R99" s="29" t="s">
        <v>150</v>
      </c>
    </row>
    <row r="100" spans="1:18" ht="24.6">
      <c r="A100" s="25">
        <v>6</v>
      </c>
      <c r="B100" s="29" t="s">
        <v>151</v>
      </c>
      <c r="C100" s="29"/>
      <c r="D100" s="49"/>
      <c r="E100" s="25"/>
      <c r="F100" s="25"/>
      <c r="G100" s="72">
        <v>0</v>
      </c>
      <c r="H100" s="73"/>
      <c r="I100" s="73">
        <v>0</v>
      </c>
      <c r="J100" s="69"/>
      <c r="K100" s="70"/>
      <c r="L100" s="83"/>
      <c r="M100" s="25"/>
      <c r="N100" s="25"/>
      <c r="O100" s="72">
        <v>0</v>
      </c>
      <c r="P100" s="73"/>
      <c r="Q100" s="73">
        <v>0</v>
      </c>
      <c r="R100" s="29" t="s">
        <v>152</v>
      </c>
    </row>
    <row r="101" spans="1:18" ht="24.6">
      <c r="A101" s="25">
        <v>7</v>
      </c>
      <c r="B101" s="29" t="s">
        <v>153</v>
      </c>
      <c r="C101" s="29"/>
      <c r="D101" s="49"/>
      <c r="E101" s="25"/>
      <c r="F101" s="25"/>
      <c r="G101" s="72">
        <v>0</v>
      </c>
      <c r="H101" s="73"/>
      <c r="I101" s="73">
        <v>0</v>
      </c>
      <c r="J101" s="69"/>
      <c r="K101" s="70"/>
      <c r="L101" s="83"/>
      <c r="M101" s="25"/>
      <c r="N101" s="25"/>
      <c r="O101" s="72">
        <v>0</v>
      </c>
      <c r="P101" s="73"/>
      <c r="Q101" s="73">
        <v>0</v>
      </c>
      <c r="R101" s="29" t="s">
        <v>64</v>
      </c>
    </row>
    <row r="102" spans="1:18" ht="24.6">
      <c r="A102" s="25">
        <v>8</v>
      </c>
      <c r="B102" s="29" t="s">
        <v>154</v>
      </c>
      <c r="C102" s="29"/>
      <c r="D102" s="49"/>
      <c r="E102" s="25"/>
      <c r="F102" s="25"/>
      <c r="G102" s="72">
        <v>0</v>
      </c>
      <c r="H102" s="73"/>
      <c r="I102" s="73">
        <v>0</v>
      </c>
      <c r="J102" s="69"/>
      <c r="K102" s="70"/>
      <c r="L102" s="83"/>
      <c r="M102" s="25"/>
      <c r="N102" s="25"/>
      <c r="O102" s="72">
        <v>0</v>
      </c>
      <c r="P102" s="73"/>
      <c r="Q102" s="73">
        <v>0</v>
      </c>
      <c r="R102" s="29" t="s">
        <v>155</v>
      </c>
    </row>
    <row r="103" spans="1:18" ht="24.6">
      <c r="A103" s="25">
        <v>9</v>
      </c>
      <c r="B103" s="29" t="s">
        <v>156</v>
      </c>
      <c r="C103" s="29"/>
      <c r="D103" s="49"/>
      <c r="E103" s="25"/>
      <c r="F103" s="25"/>
      <c r="G103" s="72">
        <v>0</v>
      </c>
      <c r="H103" s="73"/>
      <c r="I103" s="73">
        <v>0</v>
      </c>
      <c r="J103" s="69"/>
      <c r="K103" s="70"/>
      <c r="L103" s="83"/>
      <c r="M103" s="25"/>
      <c r="N103" s="25"/>
      <c r="O103" s="72">
        <v>0</v>
      </c>
      <c r="P103" s="73"/>
      <c r="Q103" s="73">
        <v>0</v>
      </c>
      <c r="R103" s="29" t="s">
        <v>64</v>
      </c>
    </row>
    <row r="104" spans="1:18" ht="24.6">
      <c r="A104" s="25">
        <v>10</v>
      </c>
      <c r="B104" s="29" t="s">
        <v>157</v>
      </c>
      <c r="C104" s="29"/>
      <c r="D104" s="49"/>
      <c r="E104" s="25"/>
      <c r="F104" s="25"/>
      <c r="G104" s="72">
        <v>0</v>
      </c>
      <c r="H104" s="73"/>
      <c r="I104" s="73">
        <v>0</v>
      </c>
      <c r="J104" s="69"/>
      <c r="K104" s="70"/>
      <c r="L104" s="83"/>
      <c r="M104" s="25"/>
      <c r="N104" s="25"/>
      <c r="O104" s="72">
        <v>0</v>
      </c>
      <c r="P104" s="73"/>
      <c r="Q104" s="73">
        <v>0</v>
      </c>
      <c r="R104" s="29" t="s">
        <v>158</v>
      </c>
    </row>
    <row r="105" spans="1:18" ht="24.6">
      <c r="A105" s="25">
        <v>11</v>
      </c>
      <c r="B105" s="148" t="s">
        <v>159</v>
      </c>
      <c r="C105" s="29"/>
      <c r="D105" s="49">
        <v>0</v>
      </c>
      <c r="E105" s="25"/>
      <c r="F105" s="25"/>
      <c r="G105" s="72">
        <v>0</v>
      </c>
      <c r="H105" s="73">
        <v>0</v>
      </c>
      <c r="I105" s="73">
        <v>0</v>
      </c>
      <c r="J105" s="69"/>
      <c r="K105" s="83"/>
      <c r="L105" s="83"/>
      <c r="M105" s="25"/>
      <c r="N105" s="25"/>
      <c r="O105" s="72">
        <v>0</v>
      </c>
      <c r="P105" s="73">
        <v>0</v>
      </c>
      <c r="Q105" s="73">
        <v>0</v>
      </c>
      <c r="R105" s="29"/>
    </row>
    <row r="106" spans="1:18" ht="24.6">
      <c r="A106" s="25">
        <v>12</v>
      </c>
      <c r="B106" s="29" t="s">
        <v>160</v>
      </c>
      <c r="C106" s="29"/>
      <c r="D106" s="49">
        <v>0</v>
      </c>
      <c r="E106" s="25"/>
      <c r="F106" s="25"/>
      <c r="G106" s="72">
        <v>0</v>
      </c>
      <c r="H106" s="73">
        <v>0</v>
      </c>
      <c r="I106" s="73">
        <v>0</v>
      </c>
      <c r="J106" s="69"/>
      <c r="K106" s="70"/>
      <c r="L106" s="83"/>
      <c r="M106" s="25"/>
      <c r="N106" s="25"/>
      <c r="O106" s="72">
        <v>0</v>
      </c>
      <c r="P106" s="73">
        <v>0</v>
      </c>
      <c r="Q106" s="73">
        <v>0</v>
      </c>
      <c r="R106" s="149" t="s">
        <v>161</v>
      </c>
    </row>
    <row r="107" spans="1:18" ht="24.6">
      <c r="A107" s="25">
        <v>13</v>
      </c>
      <c r="B107" s="148" t="s">
        <v>162</v>
      </c>
      <c r="C107" s="29"/>
      <c r="D107" s="49">
        <v>0</v>
      </c>
      <c r="E107" s="25"/>
      <c r="F107" s="25"/>
      <c r="G107" s="72">
        <v>0</v>
      </c>
      <c r="H107" s="73">
        <v>0</v>
      </c>
      <c r="I107" s="73">
        <v>0</v>
      </c>
      <c r="J107" s="69"/>
      <c r="K107" s="70"/>
      <c r="L107" s="150"/>
      <c r="M107" s="25"/>
      <c r="N107" s="25"/>
      <c r="O107" s="72">
        <v>0</v>
      </c>
      <c r="P107" s="73">
        <v>0</v>
      </c>
      <c r="Q107" s="73">
        <v>0</v>
      </c>
      <c r="R107" s="29" t="s">
        <v>163</v>
      </c>
    </row>
    <row r="108" spans="1:18" ht="24.6">
      <c r="A108" s="25">
        <v>14</v>
      </c>
      <c r="B108" s="148" t="s">
        <v>164</v>
      </c>
      <c r="C108" s="29"/>
      <c r="D108" s="49">
        <v>0</v>
      </c>
      <c r="E108" s="25"/>
      <c r="F108" s="25"/>
      <c r="G108" s="72">
        <v>0</v>
      </c>
      <c r="H108" s="73">
        <v>0</v>
      </c>
      <c r="I108" s="73">
        <v>0</v>
      </c>
      <c r="J108" s="69"/>
      <c r="K108" s="70"/>
      <c r="L108" s="150"/>
      <c r="M108" s="25"/>
      <c r="N108" s="25"/>
      <c r="O108" s="72">
        <v>0</v>
      </c>
      <c r="P108" s="73">
        <v>0</v>
      </c>
      <c r="Q108" s="73">
        <v>0</v>
      </c>
      <c r="R108" s="29" t="s">
        <v>165</v>
      </c>
    </row>
    <row r="109" spans="1:18" ht="24.6">
      <c r="A109" s="25">
        <v>15</v>
      </c>
      <c r="B109" s="148" t="s">
        <v>166</v>
      </c>
      <c r="C109" s="29"/>
      <c r="D109" s="49">
        <v>0</v>
      </c>
      <c r="E109" s="25"/>
      <c r="F109" s="25"/>
      <c r="G109" s="72">
        <v>0</v>
      </c>
      <c r="H109" s="73">
        <v>0</v>
      </c>
      <c r="I109" s="73">
        <v>0</v>
      </c>
      <c r="J109" s="69"/>
      <c r="K109" s="70"/>
      <c r="L109" s="150"/>
      <c r="M109" s="25"/>
      <c r="N109" s="25"/>
      <c r="O109" s="72">
        <v>0</v>
      </c>
      <c r="P109" s="73">
        <v>0</v>
      </c>
      <c r="Q109" s="73">
        <v>0</v>
      </c>
      <c r="R109" s="29" t="s">
        <v>64</v>
      </c>
    </row>
    <row r="110" spans="1:18" ht="18.75" customHeight="1">
      <c r="A110" s="3">
        <v>16</v>
      </c>
      <c r="B110" s="151" t="s">
        <v>167</v>
      </c>
      <c r="C110" s="29"/>
      <c r="D110" s="49">
        <v>0</v>
      </c>
      <c r="E110" s="25"/>
      <c r="F110" s="25"/>
      <c r="G110" s="72">
        <v>0</v>
      </c>
      <c r="H110" s="73">
        <v>0</v>
      </c>
      <c r="I110" s="73">
        <v>0</v>
      </c>
      <c r="J110" s="69"/>
      <c r="K110" s="70"/>
      <c r="L110" s="150"/>
      <c r="M110" s="25"/>
      <c r="N110" s="25"/>
      <c r="O110" s="72">
        <v>0</v>
      </c>
      <c r="P110" s="73">
        <v>0</v>
      </c>
      <c r="Q110" s="73">
        <v>0</v>
      </c>
      <c r="R110" s="29" t="s">
        <v>145</v>
      </c>
    </row>
    <row r="111" spans="1:18" ht="25.2" thickBot="1">
      <c r="A111" s="29"/>
      <c r="B111" s="25" t="s">
        <v>26</v>
      </c>
      <c r="C111" s="64"/>
      <c r="D111" s="63">
        <f>SUM(D78:D110)</f>
        <v>14900</v>
      </c>
      <c r="E111" s="63"/>
      <c r="F111" s="63"/>
      <c r="G111" s="63">
        <f>SUM(G78:G110)</f>
        <v>6100</v>
      </c>
      <c r="H111" s="63">
        <f>SUM(H78:H110)</f>
        <v>0</v>
      </c>
      <c r="I111" s="63">
        <f>SUM(I78:I110)</f>
        <v>6100</v>
      </c>
      <c r="J111" s="67"/>
      <c r="K111" s="67"/>
      <c r="L111" s="67">
        <f>SUM(L78:L110)</f>
        <v>14900</v>
      </c>
      <c r="M111" s="63"/>
      <c r="N111" s="105"/>
      <c r="O111" s="106">
        <f>SUM(O78:O110)</f>
        <v>6100</v>
      </c>
      <c r="P111" s="106">
        <f>SUM(P78:P110)</f>
        <v>0</v>
      </c>
      <c r="Q111" s="106">
        <f>SUM(Q78:Q110)</f>
        <v>6100</v>
      </c>
      <c r="R111" s="29"/>
    </row>
    <row r="112" spans="1:18" ht="25.2" thickTop="1">
      <c r="A112" s="29"/>
      <c r="B112" s="25"/>
      <c r="C112" s="46"/>
      <c r="D112" s="57"/>
      <c r="E112" s="46"/>
      <c r="F112" s="46"/>
      <c r="G112" s="57"/>
      <c r="H112" s="57"/>
      <c r="I112" s="57"/>
      <c r="J112" s="137"/>
      <c r="K112" s="48"/>
      <c r="L112" s="58"/>
      <c r="M112" s="46"/>
      <c r="N112" s="28"/>
      <c r="O112" s="57"/>
      <c r="P112" s="57"/>
      <c r="Q112" s="57"/>
      <c r="R112" s="46"/>
    </row>
    <row r="113" spans="1:20" ht="24.6">
      <c r="A113" s="29"/>
      <c r="B113" s="45" t="s">
        <v>168</v>
      </c>
      <c r="C113" s="29"/>
      <c r="D113" s="59"/>
      <c r="E113" s="29"/>
      <c r="F113" s="29"/>
      <c r="G113" s="59"/>
      <c r="H113" s="59"/>
      <c r="I113" s="59"/>
      <c r="J113" s="26"/>
      <c r="K113" s="61"/>
      <c r="L113" s="62"/>
      <c r="M113" s="29"/>
      <c r="N113" s="25"/>
      <c r="O113" s="59"/>
      <c r="P113" s="59"/>
      <c r="Q113" s="59"/>
      <c r="R113" s="46"/>
    </row>
    <row r="114" spans="1:20" ht="25.2" thickBot="1">
      <c r="A114" s="25">
        <v>1</v>
      </c>
      <c r="B114" s="25"/>
      <c r="C114" s="74"/>
      <c r="D114" s="78"/>
      <c r="E114" s="74"/>
      <c r="F114" s="74"/>
      <c r="G114" s="78"/>
      <c r="H114" s="78"/>
      <c r="I114" s="78"/>
      <c r="J114" s="35"/>
      <c r="K114" s="76"/>
      <c r="L114" s="77"/>
      <c r="M114" s="74"/>
      <c r="N114" s="34"/>
      <c r="O114" s="78"/>
      <c r="P114" s="78"/>
      <c r="Q114" s="78"/>
      <c r="R114" s="46"/>
    </row>
    <row r="115" spans="1:20" ht="25.8" thickTop="1" thickBot="1">
      <c r="A115" s="29"/>
      <c r="B115" s="25" t="s">
        <v>26</v>
      </c>
      <c r="C115" s="64"/>
      <c r="D115" s="63"/>
      <c r="E115" s="64"/>
      <c r="F115" s="64"/>
      <c r="G115" s="63"/>
      <c r="H115" s="63"/>
      <c r="I115" s="63"/>
      <c r="J115" s="42"/>
      <c r="K115" s="66"/>
      <c r="L115" s="67"/>
      <c r="M115" s="64"/>
      <c r="N115" s="41"/>
      <c r="O115" s="63"/>
      <c r="P115" s="63"/>
      <c r="Q115" s="63"/>
      <c r="R115" s="46"/>
    </row>
    <row r="116" spans="1:20" ht="25.2" thickTop="1">
      <c r="A116" s="29"/>
      <c r="B116" s="45" t="s">
        <v>169</v>
      </c>
      <c r="C116" s="46"/>
      <c r="D116" s="57"/>
      <c r="E116" s="46"/>
      <c r="F116" s="46"/>
      <c r="G116" s="57"/>
      <c r="H116" s="57"/>
      <c r="I116" s="57"/>
      <c r="J116" s="137"/>
      <c r="K116" s="48"/>
      <c r="L116" s="58"/>
      <c r="M116" s="46"/>
      <c r="N116" s="28"/>
      <c r="O116" s="57"/>
      <c r="P116" s="57"/>
      <c r="Q116" s="57"/>
      <c r="R116" s="46"/>
    </row>
    <row r="117" spans="1:20" ht="25.2" thickBot="1">
      <c r="A117" s="25">
        <v>1</v>
      </c>
      <c r="B117" s="25"/>
      <c r="C117" s="74"/>
      <c r="D117" s="78"/>
      <c r="E117" s="74"/>
      <c r="F117" s="74"/>
      <c r="G117" s="78"/>
      <c r="H117" s="78"/>
      <c r="I117" s="78"/>
      <c r="J117" s="35"/>
      <c r="K117" s="76"/>
      <c r="L117" s="77"/>
      <c r="M117" s="74"/>
      <c r="N117" s="34"/>
      <c r="O117" s="78"/>
      <c r="P117" s="78"/>
      <c r="Q117" s="78"/>
      <c r="R117" s="46"/>
    </row>
    <row r="118" spans="1:20" ht="25.8" thickTop="1" thickBot="1">
      <c r="A118" s="29"/>
      <c r="B118" s="25" t="s">
        <v>26</v>
      </c>
      <c r="C118" s="79"/>
      <c r="D118" s="54"/>
      <c r="E118" s="79"/>
      <c r="F118" s="79"/>
      <c r="G118" s="54"/>
      <c r="H118" s="54"/>
      <c r="I118" s="54"/>
      <c r="J118" s="152"/>
      <c r="K118" s="81"/>
      <c r="L118" s="55"/>
      <c r="M118" s="79"/>
      <c r="N118" s="82"/>
      <c r="O118" s="54"/>
      <c r="P118" s="54"/>
      <c r="Q118" s="54"/>
      <c r="R118" s="46"/>
    </row>
    <row r="119" spans="1:20" ht="25.2" thickTop="1">
      <c r="A119" s="29"/>
      <c r="B119" s="45" t="s">
        <v>170</v>
      </c>
      <c r="C119" s="46"/>
      <c r="D119" s="57"/>
      <c r="E119" s="46"/>
      <c r="F119" s="46"/>
      <c r="G119" s="57"/>
      <c r="H119" s="57"/>
      <c r="I119" s="57"/>
      <c r="J119" s="137"/>
      <c r="K119" s="48"/>
      <c r="L119" s="58"/>
      <c r="M119" s="46"/>
      <c r="N119" s="28"/>
      <c r="O119" s="57"/>
      <c r="P119" s="57"/>
      <c r="Q119" s="57"/>
      <c r="R119" s="46"/>
    </row>
    <row r="120" spans="1:20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20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20" ht="25.2" thickTop="1">
      <c r="A122" s="29"/>
      <c r="B122" s="116" t="s">
        <v>171</v>
      </c>
      <c r="C122" s="46"/>
      <c r="D122" s="46"/>
      <c r="E122" s="46"/>
      <c r="F122" s="46"/>
      <c r="G122" s="46"/>
      <c r="H122" s="46"/>
      <c r="I122" s="46"/>
      <c r="J122" s="137"/>
      <c r="K122" s="48"/>
      <c r="L122" s="48"/>
      <c r="M122" s="46"/>
      <c r="N122" s="28"/>
      <c r="O122" s="46"/>
      <c r="P122" s="46"/>
      <c r="Q122" s="46"/>
      <c r="R122" s="46"/>
    </row>
    <row r="123" spans="1:20" ht="24.6">
      <c r="A123" s="29"/>
      <c r="B123" s="116" t="s">
        <v>53</v>
      </c>
      <c r="C123" s="46"/>
      <c r="D123" s="46"/>
      <c r="E123" s="46"/>
      <c r="F123" s="46"/>
      <c r="G123" s="46"/>
      <c r="H123" s="46"/>
      <c r="I123" s="46"/>
      <c r="J123" s="137"/>
      <c r="K123" s="48"/>
      <c r="L123" s="48"/>
      <c r="M123" s="46"/>
      <c r="N123" s="28"/>
      <c r="O123" s="46"/>
      <c r="P123" s="46"/>
      <c r="Q123" s="46"/>
      <c r="R123" s="46"/>
    </row>
    <row r="124" spans="1:20" s="96" customFormat="1" ht="24.6">
      <c r="A124" s="86">
        <v>1</v>
      </c>
      <c r="B124" s="87" t="s">
        <v>54</v>
      </c>
      <c r="C124" s="87"/>
      <c r="D124" s="89">
        <v>0</v>
      </c>
      <c r="E124" s="87"/>
      <c r="F124" s="87" t="s">
        <v>172</v>
      </c>
      <c r="G124" s="89">
        <v>0</v>
      </c>
      <c r="H124" s="89">
        <v>0</v>
      </c>
      <c r="I124" s="89">
        <v>0</v>
      </c>
      <c r="J124" s="153"/>
      <c r="K124" s="154"/>
      <c r="L124" s="155"/>
      <c r="M124" s="87"/>
      <c r="N124" s="86" t="s">
        <v>172</v>
      </c>
      <c r="O124" s="72">
        <v>0</v>
      </c>
      <c r="P124" s="73">
        <v>0</v>
      </c>
      <c r="Q124" s="73">
        <v>0</v>
      </c>
      <c r="R124" s="87" t="s">
        <v>173</v>
      </c>
      <c r="T124" s="97"/>
    </row>
    <row r="125" spans="1:20" ht="24.6">
      <c r="A125" s="25">
        <v>2</v>
      </c>
      <c r="B125" s="29" t="s">
        <v>174</v>
      </c>
      <c r="C125" s="29"/>
      <c r="D125" s="49">
        <v>0</v>
      </c>
      <c r="E125" s="29"/>
      <c r="F125" s="156"/>
      <c r="G125" s="157">
        <v>0</v>
      </c>
      <c r="H125" s="157">
        <v>0</v>
      </c>
      <c r="I125" s="157">
        <v>0</v>
      </c>
      <c r="J125" s="26"/>
      <c r="K125" s="16"/>
      <c r="L125" s="51"/>
      <c r="M125" s="29"/>
      <c r="N125" s="25"/>
      <c r="O125" s="72">
        <v>0</v>
      </c>
      <c r="P125" s="73">
        <v>0</v>
      </c>
      <c r="Q125" s="73">
        <v>0</v>
      </c>
      <c r="R125" s="29" t="s">
        <v>173</v>
      </c>
    </row>
    <row r="126" spans="1:20" ht="24.6">
      <c r="A126" s="25">
        <v>3</v>
      </c>
      <c r="B126" s="29" t="s">
        <v>175</v>
      </c>
      <c r="C126" s="29"/>
      <c r="D126" s="49">
        <v>0</v>
      </c>
      <c r="E126" s="29"/>
      <c r="F126" s="29"/>
      <c r="G126" s="49">
        <v>0</v>
      </c>
      <c r="H126" s="49">
        <v>0</v>
      </c>
      <c r="I126" s="49">
        <v>0</v>
      </c>
      <c r="J126" s="26"/>
      <c r="K126" s="61"/>
      <c r="L126" s="51"/>
      <c r="M126" s="29"/>
      <c r="N126" s="25"/>
      <c r="O126" s="72">
        <v>0</v>
      </c>
      <c r="P126" s="73">
        <v>0</v>
      </c>
      <c r="Q126" s="73">
        <v>0</v>
      </c>
      <c r="R126" s="29" t="s">
        <v>176</v>
      </c>
    </row>
    <row r="127" spans="1:20" ht="24.6">
      <c r="A127" s="25"/>
      <c r="B127" s="29" t="s">
        <v>177</v>
      </c>
      <c r="C127" s="29"/>
      <c r="D127" s="49"/>
      <c r="E127" s="29"/>
      <c r="F127" s="29"/>
      <c r="G127" s="49">
        <v>0</v>
      </c>
      <c r="H127" s="49">
        <v>0</v>
      </c>
      <c r="I127" s="49">
        <v>0</v>
      </c>
      <c r="J127" s="26"/>
      <c r="K127" s="61"/>
      <c r="L127" s="51"/>
      <c r="M127" s="29"/>
      <c r="N127" s="25"/>
      <c r="O127" s="72">
        <v>0</v>
      </c>
      <c r="P127" s="73">
        <v>0</v>
      </c>
      <c r="Q127" s="73">
        <v>0</v>
      </c>
      <c r="R127" s="29" t="s">
        <v>178</v>
      </c>
    </row>
    <row r="128" spans="1:20" ht="24.6">
      <c r="A128" s="25"/>
      <c r="B128" s="29"/>
      <c r="C128" s="29"/>
      <c r="D128" s="49"/>
      <c r="E128" s="29"/>
      <c r="F128" s="29"/>
      <c r="G128" s="49"/>
      <c r="H128" s="49"/>
      <c r="I128" s="49"/>
      <c r="J128" s="26"/>
      <c r="K128" s="61"/>
      <c r="L128" s="51"/>
      <c r="M128" s="29"/>
      <c r="N128" s="25"/>
      <c r="O128" s="72"/>
      <c r="P128" s="73"/>
      <c r="Q128" s="73"/>
      <c r="R128" s="29" t="s">
        <v>179</v>
      </c>
    </row>
    <row r="129" spans="1:20" ht="24.6">
      <c r="A129" s="25">
        <v>4</v>
      </c>
      <c r="B129" s="29" t="s">
        <v>62</v>
      </c>
      <c r="C129" s="29"/>
      <c r="D129" s="49">
        <v>0</v>
      </c>
      <c r="E129" s="29"/>
      <c r="F129" s="29"/>
      <c r="G129" s="49">
        <v>0</v>
      </c>
      <c r="H129" s="49">
        <v>0</v>
      </c>
      <c r="I129" s="49">
        <v>0</v>
      </c>
      <c r="J129" s="26"/>
      <c r="K129" s="16"/>
      <c r="L129" s="51"/>
      <c r="M129" s="29"/>
      <c r="N129" s="25"/>
      <c r="O129" s="72">
        <v>0</v>
      </c>
      <c r="P129" s="73">
        <v>0</v>
      </c>
      <c r="Q129" s="73">
        <v>0</v>
      </c>
      <c r="R129" s="29"/>
    </row>
    <row r="130" spans="1:20" ht="24.6">
      <c r="A130" s="25">
        <v>5</v>
      </c>
      <c r="B130" s="29" t="s">
        <v>180</v>
      </c>
      <c r="C130" s="29"/>
      <c r="D130" s="49">
        <v>0</v>
      </c>
      <c r="E130" s="29"/>
      <c r="F130" s="29" t="s">
        <v>172</v>
      </c>
      <c r="G130" s="49">
        <v>0</v>
      </c>
      <c r="H130" s="49">
        <v>0</v>
      </c>
      <c r="I130" s="49">
        <v>0</v>
      </c>
      <c r="J130" s="26"/>
      <c r="K130" s="61"/>
      <c r="L130" s="51"/>
      <c r="M130" s="29"/>
      <c r="N130" s="25" t="s">
        <v>172</v>
      </c>
      <c r="O130" s="72">
        <v>0</v>
      </c>
      <c r="P130" s="73">
        <v>0</v>
      </c>
      <c r="Q130" s="73">
        <v>0</v>
      </c>
      <c r="R130" s="29" t="s">
        <v>176</v>
      </c>
    </row>
    <row r="131" spans="1:20" ht="24.6">
      <c r="A131" s="25"/>
      <c r="B131" s="29" t="s">
        <v>181</v>
      </c>
      <c r="C131" s="29"/>
      <c r="D131" s="49"/>
      <c r="E131" s="29"/>
      <c r="F131" s="29"/>
      <c r="G131" s="49"/>
      <c r="H131" s="49"/>
      <c r="I131" s="49"/>
      <c r="J131" s="26"/>
      <c r="K131" s="61"/>
      <c r="L131" s="51"/>
      <c r="M131" s="29"/>
      <c r="N131" s="25"/>
      <c r="O131" s="59"/>
      <c r="P131" s="49"/>
      <c r="Q131" s="59"/>
      <c r="R131" s="29" t="s">
        <v>178</v>
      </c>
    </row>
    <row r="132" spans="1:20" ht="24.6">
      <c r="A132" s="25"/>
      <c r="B132" s="29"/>
      <c r="C132" s="29"/>
      <c r="D132" s="49"/>
      <c r="E132" s="29"/>
      <c r="F132" s="29"/>
      <c r="G132" s="49"/>
      <c r="H132" s="49"/>
      <c r="I132" s="49"/>
      <c r="J132" s="26"/>
      <c r="K132" s="61"/>
      <c r="L132" s="51"/>
      <c r="M132" s="29"/>
      <c r="N132" s="25"/>
      <c r="O132" s="59"/>
      <c r="P132" s="49"/>
      <c r="Q132" s="59"/>
      <c r="R132" s="29" t="s">
        <v>179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59"/>
      <c r="P133" s="49"/>
      <c r="Q133" s="59"/>
      <c r="R133" s="29" t="s">
        <v>182</v>
      </c>
    </row>
    <row r="134" spans="1:20" ht="24.6">
      <c r="A134" s="25">
        <v>6</v>
      </c>
      <c r="B134" s="29" t="s">
        <v>183</v>
      </c>
      <c r="C134" s="29"/>
      <c r="D134" s="158" t="s">
        <v>172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61"/>
      <c r="L134" s="51"/>
      <c r="M134" s="29"/>
      <c r="N134" s="25"/>
      <c r="O134" s="159">
        <v>0</v>
      </c>
      <c r="P134" s="73">
        <v>0</v>
      </c>
      <c r="Q134" s="73">
        <v>0</v>
      </c>
      <c r="R134" s="29" t="s">
        <v>184</v>
      </c>
    </row>
    <row r="135" spans="1:20" ht="24.6">
      <c r="A135" s="25"/>
      <c r="B135" s="29"/>
      <c r="C135" s="29"/>
      <c r="D135" s="49"/>
      <c r="E135" s="29"/>
      <c r="F135" s="29"/>
      <c r="G135" s="49"/>
      <c r="H135" s="49"/>
      <c r="I135" s="49"/>
      <c r="J135" s="26"/>
      <c r="K135" s="61"/>
      <c r="L135" s="51"/>
      <c r="M135" s="29"/>
      <c r="N135" s="25"/>
      <c r="O135" s="59"/>
      <c r="P135" s="49"/>
      <c r="Q135" s="59"/>
      <c r="R135" s="29" t="s">
        <v>185</v>
      </c>
    </row>
    <row r="136" spans="1:20" ht="24.6">
      <c r="A136" s="25"/>
      <c r="B136" s="29"/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186</v>
      </c>
    </row>
    <row r="137" spans="1:20" ht="24.6">
      <c r="A137" s="25">
        <v>7</v>
      </c>
      <c r="B137" s="29" t="s">
        <v>70</v>
      </c>
      <c r="C137" s="29"/>
      <c r="D137" s="49">
        <v>0</v>
      </c>
      <c r="E137" s="29"/>
      <c r="F137" s="29"/>
      <c r="G137" s="49">
        <v>0</v>
      </c>
      <c r="H137" s="49">
        <v>0</v>
      </c>
      <c r="I137" s="49">
        <v>0</v>
      </c>
      <c r="J137" s="26"/>
      <c r="K137" s="16"/>
      <c r="L137" s="51"/>
      <c r="M137" s="29"/>
      <c r="N137" s="25"/>
      <c r="O137" s="72">
        <v>0</v>
      </c>
      <c r="P137" s="73">
        <v>0</v>
      </c>
      <c r="Q137" s="73">
        <v>0</v>
      </c>
      <c r="R137" s="29" t="s">
        <v>187</v>
      </c>
    </row>
    <row r="138" spans="1:20" ht="24.6">
      <c r="A138" s="25">
        <v>8</v>
      </c>
      <c r="B138" s="29" t="s">
        <v>188</v>
      </c>
      <c r="C138" s="29"/>
      <c r="D138" s="49">
        <v>0</v>
      </c>
      <c r="E138" s="29"/>
      <c r="F138" s="29"/>
      <c r="G138" s="49">
        <v>0</v>
      </c>
      <c r="H138" s="49">
        <v>0</v>
      </c>
      <c r="I138" s="49">
        <v>0</v>
      </c>
      <c r="J138" s="26"/>
      <c r="K138" s="16"/>
      <c r="L138" s="51"/>
      <c r="M138" s="29"/>
      <c r="N138" s="25"/>
      <c r="O138" s="72">
        <v>0</v>
      </c>
      <c r="P138" s="73">
        <v>0</v>
      </c>
      <c r="Q138" s="73">
        <v>0</v>
      </c>
      <c r="R138" s="29" t="s">
        <v>187</v>
      </c>
    </row>
    <row r="139" spans="1:20" ht="24.6">
      <c r="A139" s="25">
        <v>9</v>
      </c>
      <c r="B139" s="29" t="s">
        <v>189</v>
      </c>
      <c r="C139" s="29"/>
      <c r="D139" s="49">
        <v>0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72">
        <v>0</v>
      </c>
      <c r="P139" s="73">
        <v>0</v>
      </c>
      <c r="Q139" s="73">
        <v>0</v>
      </c>
      <c r="R139" s="29" t="s">
        <v>190</v>
      </c>
      <c r="T139" s="2" t="s">
        <v>191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192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187</v>
      </c>
    </row>
    <row r="142" spans="1:20" ht="24.6">
      <c r="A142" s="25">
        <v>10</v>
      </c>
      <c r="B142" s="29" t="s">
        <v>193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61"/>
      <c r="L142" s="51"/>
      <c r="M142" s="29"/>
      <c r="N142" s="25"/>
      <c r="O142" s="72">
        <v>0</v>
      </c>
      <c r="P142" s="73">
        <v>0</v>
      </c>
      <c r="Q142" s="73">
        <v>0</v>
      </c>
      <c r="R142" s="29" t="s">
        <v>194</v>
      </c>
    </row>
    <row r="143" spans="1:20" ht="24.6">
      <c r="A143" s="25">
        <v>11</v>
      </c>
      <c r="B143" s="29" t="s">
        <v>78</v>
      </c>
      <c r="C143" s="29"/>
      <c r="D143" s="49"/>
      <c r="E143" s="29"/>
      <c r="F143" s="29"/>
      <c r="G143" s="49">
        <v>0</v>
      </c>
      <c r="H143" s="49">
        <v>0</v>
      </c>
      <c r="I143" s="49">
        <v>0</v>
      </c>
      <c r="J143" s="160"/>
      <c r="K143" s="50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195</v>
      </c>
    </row>
    <row r="144" spans="1:20" ht="24.6">
      <c r="A144" s="25">
        <v>12</v>
      </c>
      <c r="B144" s="29" t="s">
        <v>196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/>
    </row>
    <row r="145" spans="1:18" ht="24.6">
      <c r="A145" s="25">
        <v>13</v>
      </c>
      <c r="B145" s="29" t="s">
        <v>83</v>
      </c>
      <c r="C145" s="29"/>
      <c r="D145" s="49"/>
      <c r="E145" s="29"/>
      <c r="F145" s="29"/>
      <c r="G145" s="49">
        <v>0</v>
      </c>
      <c r="H145" s="49">
        <v>0</v>
      </c>
      <c r="I145" s="49">
        <v>0</v>
      </c>
      <c r="J145" s="26"/>
      <c r="K145" s="50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195</v>
      </c>
    </row>
    <row r="146" spans="1:18" ht="24.6">
      <c r="A146" s="25">
        <v>14</v>
      </c>
      <c r="B146" s="29" t="s">
        <v>85</v>
      </c>
      <c r="C146" s="29"/>
      <c r="D146" s="49">
        <v>0</v>
      </c>
      <c r="E146" s="29"/>
      <c r="F146" s="29" t="s">
        <v>172</v>
      </c>
      <c r="G146" s="49">
        <v>0</v>
      </c>
      <c r="H146" s="49">
        <v>0</v>
      </c>
      <c r="I146" s="49">
        <v>0</v>
      </c>
      <c r="J146" s="26"/>
      <c r="K146" s="61"/>
      <c r="L146" s="51"/>
      <c r="M146" s="29"/>
      <c r="N146" s="25" t="s">
        <v>172</v>
      </c>
      <c r="O146" s="72">
        <v>0</v>
      </c>
      <c r="P146" s="73">
        <v>0</v>
      </c>
      <c r="Q146" s="73">
        <v>0</v>
      </c>
      <c r="R146" s="29"/>
    </row>
    <row r="147" spans="1:18" ht="24.6">
      <c r="A147" s="25">
        <v>15</v>
      </c>
      <c r="B147" s="29" t="s">
        <v>197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72">
        <v>0</v>
      </c>
      <c r="P147" s="73">
        <v>0</v>
      </c>
      <c r="Q147" s="73">
        <v>0</v>
      </c>
      <c r="R147" s="29" t="s">
        <v>198</v>
      </c>
    </row>
    <row r="148" spans="1:18" ht="24.6">
      <c r="A148" s="25">
        <v>16</v>
      </c>
      <c r="B148" s="29" t="s">
        <v>199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200</v>
      </c>
    </row>
    <row r="149" spans="1:18" ht="24.6">
      <c r="A149" s="25"/>
      <c r="B149" s="116" t="s">
        <v>89</v>
      </c>
      <c r="C149" s="29"/>
      <c r="D149" s="49"/>
      <c r="E149" s="29"/>
      <c r="F149" s="29"/>
      <c r="G149" s="49"/>
      <c r="H149" s="49"/>
      <c r="I149" s="49"/>
      <c r="J149" s="26"/>
      <c r="K149" s="61"/>
      <c r="L149" s="51"/>
      <c r="M149" s="29"/>
      <c r="N149" s="25"/>
      <c r="O149" s="59"/>
      <c r="P149" s="49"/>
      <c r="Q149" s="59"/>
      <c r="R149" s="29"/>
    </row>
    <row r="150" spans="1:18" ht="24" customHeight="1">
      <c r="A150" s="25">
        <v>16</v>
      </c>
      <c r="B150" s="29" t="s">
        <v>62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18" ht="22.5" customHeight="1">
      <c r="A151" s="25">
        <v>17</v>
      </c>
      <c r="B151" s="25" t="s">
        <v>57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16"/>
      <c r="L151" s="51"/>
      <c r="M151" s="29"/>
      <c r="N151" s="25"/>
      <c r="O151" s="72">
        <v>0</v>
      </c>
      <c r="P151" s="73">
        <v>0</v>
      </c>
      <c r="Q151" s="73">
        <v>0</v>
      </c>
      <c r="R151" s="29"/>
    </row>
    <row r="152" spans="1:18" ht="22.5" customHeight="1">
      <c r="A152" s="25">
        <v>18</v>
      </c>
      <c r="B152" s="29" t="s">
        <v>93</v>
      </c>
      <c r="C152" s="29"/>
      <c r="D152" s="49"/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59">
        <v>0</v>
      </c>
      <c r="P152" s="49">
        <v>0</v>
      </c>
      <c r="Q152" s="59">
        <v>0</v>
      </c>
      <c r="R152" s="29" t="s">
        <v>201</v>
      </c>
    </row>
    <row r="153" spans="1:18" ht="24.6">
      <c r="A153" s="25">
        <v>19</v>
      </c>
      <c r="B153" s="25" t="s">
        <v>57</v>
      </c>
      <c r="C153" s="29"/>
      <c r="D153" s="49"/>
      <c r="E153" s="29"/>
      <c r="F153" s="29"/>
      <c r="G153" s="49"/>
      <c r="H153" s="49"/>
      <c r="I153" s="49"/>
      <c r="J153" s="26"/>
      <c r="K153" s="61"/>
      <c r="L153" s="51"/>
      <c r="M153" s="29"/>
      <c r="N153" s="25"/>
      <c r="O153" s="59"/>
      <c r="P153" s="49"/>
      <c r="Q153" s="59"/>
      <c r="R153" s="29"/>
    </row>
    <row r="154" spans="1:18" ht="24.6">
      <c r="A154" s="25">
        <v>20</v>
      </c>
      <c r="B154" s="29" t="s">
        <v>40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203</v>
      </c>
    </row>
    <row r="155" spans="1:18" ht="24.6">
      <c r="A155" s="28"/>
      <c r="B155" s="124" t="s">
        <v>97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18" ht="24.6">
      <c r="A156" s="28">
        <v>21</v>
      </c>
      <c r="B156" s="119" t="s">
        <v>98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18" ht="24.6">
      <c r="A157" s="28"/>
      <c r="B157" s="161" t="s">
        <v>204</v>
      </c>
      <c r="C157" s="29"/>
      <c r="D157" s="49"/>
      <c r="E157" s="29"/>
      <c r="F157" s="29"/>
      <c r="G157" s="49"/>
      <c r="H157" s="49"/>
      <c r="I157" s="49"/>
      <c r="J157" s="26"/>
      <c r="K157" s="61"/>
      <c r="L157" s="51"/>
      <c r="M157" s="29"/>
      <c r="N157" s="25"/>
      <c r="O157" s="59"/>
      <c r="P157" s="49"/>
      <c r="Q157" s="59"/>
      <c r="R157" s="29"/>
    </row>
    <row r="158" spans="1:18" ht="24.6">
      <c r="A158" s="28">
        <v>1</v>
      </c>
      <c r="B158" s="46" t="s">
        <v>166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72">
        <v>0</v>
      </c>
      <c r="P158" s="73">
        <v>0</v>
      </c>
      <c r="Q158" s="73">
        <v>0</v>
      </c>
      <c r="R158" s="29"/>
    </row>
    <row r="159" spans="1:18" ht="24.6">
      <c r="A159" s="28">
        <v>2</v>
      </c>
      <c r="B159" s="46" t="s">
        <v>167</v>
      </c>
      <c r="C159" s="29"/>
      <c r="D159" s="49"/>
      <c r="E159" s="29"/>
      <c r="F159" s="29"/>
      <c r="G159" s="49">
        <v>0</v>
      </c>
      <c r="H159" s="49">
        <v>0</v>
      </c>
      <c r="I159" s="49">
        <v>0</v>
      </c>
      <c r="J159" s="26"/>
      <c r="K159" s="61"/>
      <c r="L159" s="51"/>
      <c r="M159" s="29"/>
      <c r="N159" s="25"/>
      <c r="O159" s="72">
        <v>0</v>
      </c>
      <c r="P159" s="73">
        <v>0</v>
      </c>
      <c r="Q159" s="73">
        <v>0</v>
      </c>
      <c r="R159" s="29"/>
    </row>
    <row r="160" spans="1:18" ht="24.6">
      <c r="A160" s="28"/>
      <c r="B160" s="161" t="s">
        <v>205</v>
      </c>
      <c r="C160" s="109"/>
      <c r="D160" s="162"/>
      <c r="E160" s="109"/>
      <c r="F160" s="109"/>
      <c r="G160" s="162"/>
      <c r="H160" s="162"/>
      <c r="I160" s="162"/>
      <c r="J160" s="163"/>
      <c r="K160" s="113"/>
      <c r="L160" s="164"/>
      <c r="M160" s="109"/>
      <c r="N160" s="115"/>
      <c r="O160" s="59"/>
      <c r="P160" s="162"/>
      <c r="Q160" s="111"/>
      <c r="R160" s="29"/>
    </row>
    <row r="161" spans="1:18" ht="24.6">
      <c r="A161" s="28">
        <v>1</v>
      </c>
      <c r="B161" s="46" t="s">
        <v>32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206</v>
      </c>
    </row>
    <row r="162" spans="1:18" ht="25.2" thickBot="1">
      <c r="A162" s="28">
        <v>2</v>
      </c>
      <c r="B162" s="46" t="s">
        <v>207</v>
      </c>
      <c r="C162" s="109"/>
      <c r="D162" s="162"/>
      <c r="E162" s="109"/>
      <c r="F162" s="109"/>
      <c r="G162" s="49">
        <v>0</v>
      </c>
      <c r="H162" s="49">
        <v>0</v>
      </c>
      <c r="I162" s="49">
        <v>0</v>
      </c>
      <c r="J162" s="163"/>
      <c r="K162" s="113"/>
      <c r="L162" s="164"/>
      <c r="M162" s="109"/>
      <c r="N162" s="115"/>
      <c r="O162" s="72">
        <v>0</v>
      </c>
      <c r="P162" s="73">
        <v>0</v>
      </c>
      <c r="Q162" s="73">
        <v>0</v>
      </c>
      <c r="R162" s="29"/>
    </row>
    <row r="163" spans="1:18" ht="25.8" thickTop="1" thickBot="1">
      <c r="A163" s="46"/>
      <c r="B163" s="28" t="s">
        <v>26</v>
      </c>
      <c r="C163" s="79"/>
      <c r="D163" s="165"/>
      <c r="E163" s="165"/>
      <c r="F163" s="165"/>
      <c r="G163" s="165">
        <v>0</v>
      </c>
      <c r="H163" s="165">
        <v>0</v>
      </c>
      <c r="I163" s="165">
        <v>0</v>
      </c>
      <c r="J163" s="166"/>
      <c r="K163" s="166"/>
      <c r="L163" s="166"/>
      <c r="M163" s="165"/>
      <c r="N163" s="167"/>
      <c r="O163" s="165">
        <v>0</v>
      </c>
      <c r="P163" s="165">
        <v>0</v>
      </c>
      <c r="Q163" s="165">
        <v>0</v>
      </c>
      <c r="R163" s="29"/>
    </row>
    <row r="164" spans="1:18" ht="25.2" thickTop="1">
      <c r="A164" s="46"/>
      <c r="B164" s="168" t="s">
        <v>208</v>
      </c>
      <c r="C164" s="46"/>
      <c r="D164" s="98"/>
      <c r="E164" s="46"/>
      <c r="F164" s="46"/>
      <c r="G164" s="57"/>
      <c r="H164" s="57"/>
      <c r="I164" s="57"/>
      <c r="J164" s="137"/>
      <c r="K164" s="48"/>
      <c r="L164" s="169"/>
      <c r="M164" s="46"/>
      <c r="N164" s="28"/>
      <c r="O164" s="57"/>
      <c r="P164" s="57"/>
      <c r="Q164" s="57"/>
      <c r="R164" s="46"/>
    </row>
    <row r="165" spans="1:18" ht="25.2" thickBot="1">
      <c r="A165" s="28">
        <v>1</v>
      </c>
      <c r="B165" s="28"/>
      <c r="C165" s="74"/>
      <c r="D165" s="110"/>
      <c r="E165" s="74"/>
      <c r="F165" s="74"/>
      <c r="G165" s="78"/>
      <c r="H165" s="78"/>
      <c r="I165" s="78"/>
      <c r="J165" s="35"/>
      <c r="K165" s="76"/>
      <c r="L165" s="170"/>
      <c r="M165" s="74"/>
      <c r="N165" s="34"/>
      <c r="O165" s="78"/>
      <c r="P165" s="78"/>
      <c r="Q165" s="78"/>
      <c r="R165" s="46"/>
    </row>
    <row r="166" spans="1:18" ht="25.2" thickTop="1">
      <c r="A166" s="46"/>
      <c r="B166" s="28" t="s">
        <v>26</v>
      </c>
      <c r="C166" s="109"/>
      <c r="D166" s="162"/>
      <c r="E166" s="109"/>
      <c r="F166" s="109"/>
      <c r="G166" s="111"/>
      <c r="H166" s="111"/>
      <c r="I166" s="111"/>
      <c r="J166" s="163"/>
      <c r="K166" s="113"/>
      <c r="L166" s="164"/>
      <c r="M166" s="109"/>
      <c r="N166" s="115"/>
      <c r="O166" s="111"/>
      <c r="P166" s="111"/>
      <c r="Q166" s="111"/>
      <c r="R166" s="46"/>
    </row>
    <row r="167" spans="1:18" ht="24.6">
      <c r="A167" s="46"/>
      <c r="B167" s="168" t="s">
        <v>209</v>
      </c>
      <c r="C167" s="29"/>
      <c r="D167" s="49"/>
      <c r="E167" s="29"/>
      <c r="F167" s="29"/>
      <c r="G167" s="59"/>
      <c r="H167" s="59"/>
      <c r="I167" s="59"/>
      <c r="J167" s="26"/>
      <c r="K167" s="61"/>
      <c r="L167" s="51"/>
      <c r="M167" s="29"/>
      <c r="N167" s="25"/>
      <c r="O167" s="59"/>
      <c r="P167" s="59"/>
      <c r="Q167" s="59"/>
      <c r="R167" s="46"/>
    </row>
    <row r="168" spans="1:18" ht="29.25" customHeight="1" thickBot="1">
      <c r="A168" s="115">
        <v>1</v>
      </c>
      <c r="B168" s="115"/>
      <c r="C168" s="74"/>
      <c r="D168" s="110"/>
      <c r="E168" s="74"/>
      <c r="F168" s="74"/>
      <c r="G168" s="78"/>
      <c r="H168" s="78"/>
      <c r="I168" s="78"/>
      <c r="J168" s="35"/>
      <c r="K168" s="76"/>
      <c r="L168" s="170"/>
      <c r="M168" s="74"/>
      <c r="N168" s="34"/>
      <c r="O168" s="78"/>
      <c r="P168" s="78"/>
      <c r="Q168" s="78"/>
      <c r="R168" s="109"/>
    </row>
    <row r="169" spans="1:18" ht="26.25" customHeight="1" thickTop="1" thickBot="1">
      <c r="A169" s="29"/>
      <c r="B169" s="25" t="s">
        <v>26</v>
      </c>
      <c r="C169" s="64"/>
      <c r="D169" s="171"/>
      <c r="E169" s="64"/>
      <c r="F169" s="64"/>
      <c r="G169" s="63"/>
      <c r="H169" s="63"/>
      <c r="I169" s="63"/>
      <c r="J169" s="42"/>
      <c r="K169" s="66"/>
      <c r="L169" s="172"/>
      <c r="M169" s="64"/>
      <c r="N169" s="41"/>
      <c r="O169" s="63"/>
      <c r="P169" s="63"/>
      <c r="Q169" s="63"/>
      <c r="R169" s="29"/>
    </row>
    <row r="170" spans="1:18" ht="24.75" customHeight="1" thickTop="1">
      <c r="A170" s="46"/>
      <c r="B170" s="168" t="s">
        <v>210</v>
      </c>
      <c r="C170" s="46"/>
      <c r="D170" s="98"/>
      <c r="E170" s="46"/>
      <c r="F170" s="46"/>
      <c r="G170" s="46"/>
      <c r="H170" s="46"/>
      <c r="I170" s="46"/>
      <c r="J170" s="137"/>
      <c r="K170" s="48"/>
      <c r="L170" s="48"/>
      <c r="M170" s="46"/>
      <c r="N170" s="28"/>
      <c r="O170" s="46"/>
      <c r="P170" s="46"/>
      <c r="Q170" s="46"/>
      <c r="R170" s="46"/>
    </row>
    <row r="171" spans="1:18" ht="24.75" customHeight="1">
      <c r="A171" s="46"/>
      <c r="B171" s="168"/>
      <c r="C171" s="46"/>
      <c r="D171" s="98"/>
      <c r="E171" s="46"/>
      <c r="F171" s="46"/>
      <c r="G171" s="46"/>
      <c r="H171" s="46"/>
      <c r="I171" s="46"/>
      <c r="J171" s="137"/>
      <c r="K171" s="48"/>
      <c r="L171" s="48"/>
      <c r="M171" s="46"/>
      <c r="N171" s="28"/>
      <c r="O171" s="46"/>
      <c r="P171" s="46"/>
      <c r="Q171" s="46"/>
      <c r="R171" s="46"/>
    </row>
    <row r="172" spans="1:18" ht="24" customHeight="1">
      <c r="A172" s="25"/>
      <c r="B172" s="29" t="s">
        <v>26</v>
      </c>
      <c r="C172" s="29"/>
      <c r="D172" s="49"/>
      <c r="E172" s="29"/>
      <c r="F172" s="29"/>
      <c r="G172" s="49">
        <v>0</v>
      </c>
      <c r="H172" s="49">
        <v>0</v>
      </c>
      <c r="I172" s="59">
        <v>0</v>
      </c>
      <c r="J172" s="26"/>
      <c r="K172" s="61"/>
      <c r="L172" s="51"/>
      <c r="M172" s="29"/>
      <c r="N172" s="25"/>
      <c r="O172" s="72">
        <v>0</v>
      </c>
      <c r="P172" s="73">
        <v>0</v>
      </c>
      <c r="Q172" s="73">
        <v>0</v>
      </c>
      <c r="R172" s="29"/>
    </row>
    <row r="173" spans="1:18" ht="24.75" customHeight="1" thickBot="1">
      <c r="A173" s="34"/>
      <c r="B173" s="34" t="s">
        <v>374</v>
      </c>
      <c r="C173" s="74"/>
      <c r="D173" s="110">
        <f>SUM(D12+D15+D18+D30+D75+D111+D115+D118+D121+D163+D166+D169+D172)</f>
        <v>51655</v>
      </c>
      <c r="E173" s="110"/>
      <c r="F173" s="110"/>
      <c r="G173" s="110">
        <f t="shared" ref="G173:Q173" si="10">SUM(G12+G15+G18+G30+G75+G111+G115+G118+G121+G163+G166+G169+G172)</f>
        <v>18180</v>
      </c>
      <c r="H173" s="110">
        <f t="shared" si="10"/>
        <v>0</v>
      </c>
      <c r="I173" s="110">
        <f t="shared" si="10"/>
        <v>18180</v>
      </c>
      <c r="J173" s="110"/>
      <c r="K173" s="110"/>
      <c r="L173" s="110">
        <f t="shared" si="10"/>
        <v>49225</v>
      </c>
      <c r="M173" s="110"/>
      <c r="N173" s="110"/>
      <c r="O173" s="110">
        <f t="shared" si="10"/>
        <v>20610</v>
      </c>
      <c r="P173" s="110">
        <f t="shared" si="10"/>
        <v>0</v>
      </c>
      <c r="Q173" s="110">
        <f t="shared" si="10"/>
        <v>20610</v>
      </c>
      <c r="R173" s="74"/>
    </row>
    <row r="174" spans="1:18" ht="24.75" customHeight="1" thickTop="1">
      <c r="A174" s="14"/>
      <c r="B174" s="173"/>
      <c r="D174" s="174"/>
      <c r="G174" s="175"/>
      <c r="H174" s="175"/>
      <c r="I174" s="175"/>
      <c r="L174" s="178"/>
      <c r="O174" s="174"/>
      <c r="P174" s="174"/>
      <c r="Q174" s="174"/>
      <c r="R174" s="179"/>
    </row>
    <row r="175" spans="1:18" ht="24.75" customHeight="1">
      <c r="A175" s="731" t="s">
        <v>211</v>
      </c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3"/>
    </row>
    <row r="176" spans="1:18" ht="24.75" customHeight="1">
      <c r="A176" s="46">
        <v>1</v>
      </c>
      <c r="B176" s="180" t="s">
        <v>32</v>
      </c>
      <c r="C176" s="46" t="s">
        <v>104</v>
      </c>
      <c r="D176" s="98">
        <v>4650</v>
      </c>
      <c r="E176" s="141" t="s">
        <v>350</v>
      </c>
      <c r="F176" s="254">
        <v>8</v>
      </c>
      <c r="G176" s="141">
        <v>37200</v>
      </c>
      <c r="H176" s="141" t="s">
        <v>172</v>
      </c>
      <c r="I176" s="141">
        <v>37200</v>
      </c>
      <c r="J176" s="137"/>
      <c r="K176" s="48"/>
      <c r="L176" s="48"/>
      <c r="M176" s="46" t="s">
        <v>381</v>
      </c>
      <c r="N176" s="28">
        <v>9</v>
      </c>
      <c r="O176" s="57">
        <f>SUM(D176+I176-L176)</f>
        <v>41850</v>
      </c>
      <c r="P176" s="28" t="s">
        <v>172</v>
      </c>
      <c r="Q176" s="57">
        <f>O176</f>
        <v>41850</v>
      </c>
      <c r="R176" s="46" t="s">
        <v>214</v>
      </c>
    </row>
    <row r="177" spans="1:20" ht="24" customHeight="1">
      <c r="A177" s="25">
        <v>2</v>
      </c>
      <c r="B177" s="29" t="s">
        <v>215</v>
      </c>
      <c r="C177" s="29" t="s">
        <v>104</v>
      </c>
      <c r="D177" s="49">
        <v>5750</v>
      </c>
      <c r="E177" s="134" t="s">
        <v>350</v>
      </c>
      <c r="F177" s="255">
        <v>8</v>
      </c>
      <c r="G177" s="134">
        <v>46000</v>
      </c>
      <c r="H177" s="134">
        <v>0</v>
      </c>
      <c r="I177" s="134">
        <v>46000</v>
      </c>
      <c r="J177" s="26"/>
      <c r="K177" s="61"/>
      <c r="L177" s="51"/>
      <c r="M177" s="46" t="s">
        <v>381</v>
      </c>
      <c r="N177" s="25">
        <v>9</v>
      </c>
      <c r="O177" s="57">
        <f>SUM(D177+I177-L177)</f>
        <v>51750</v>
      </c>
      <c r="P177" s="73">
        <v>0</v>
      </c>
      <c r="Q177" s="57">
        <f>O177</f>
        <v>51750</v>
      </c>
      <c r="R177" s="29" t="s">
        <v>214</v>
      </c>
    </row>
    <row r="178" spans="1:20" ht="24" customHeight="1">
      <c r="A178" s="4">
        <v>3</v>
      </c>
      <c r="B178" s="53" t="s">
        <v>68</v>
      </c>
      <c r="C178" s="53">
        <v>268</v>
      </c>
      <c r="D178" s="127">
        <v>1215</v>
      </c>
      <c r="E178" s="280" t="s">
        <v>377</v>
      </c>
      <c r="F178" s="281">
        <v>23</v>
      </c>
      <c r="G178" s="280">
        <v>27945</v>
      </c>
      <c r="H178" s="280"/>
      <c r="I178" s="280">
        <v>27945</v>
      </c>
      <c r="J178" s="282"/>
      <c r="K178" s="244"/>
      <c r="L178" s="283"/>
      <c r="M178" s="109" t="s">
        <v>382</v>
      </c>
      <c r="N178" s="4">
        <v>24</v>
      </c>
      <c r="O178" s="57">
        <f>SUM(D178+I178-L178)</f>
        <v>29160</v>
      </c>
      <c r="P178" s="284"/>
      <c r="Q178" s="57">
        <f>O178</f>
        <v>29160</v>
      </c>
      <c r="R178" s="29" t="s">
        <v>214</v>
      </c>
    </row>
    <row r="179" spans="1:20" ht="24.75" customHeight="1" thickBot="1">
      <c r="A179" s="34"/>
      <c r="B179" s="34" t="s">
        <v>26</v>
      </c>
      <c r="C179" s="74"/>
      <c r="D179" s="110">
        <f>SUM(D176:D178)</f>
        <v>11615</v>
      </c>
      <c r="E179" s="74"/>
      <c r="F179" s="74"/>
      <c r="G179" s="78">
        <f>SUM(G176:G178)</f>
        <v>111145</v>
      </c>
      <c r="H179" s="78">
        <f t="shared" ref="H179:I179" si="11">SUM(H176:H178)</f>
        <v>0</v>
      </c>
      <c r="I179" s="78">
        <f t="shared" si="11"/>
        <v>111145</v>
      </c>
      <c r="J179" s="75"/>
      <c r="K179" s="76"/>
      <c r="L179" s="170"/>
      <c r="M179" s="74"/>
      <c r="N179" s="34"/>
      <c r="O179" s="110">
        <f>SUM(O176:O178)</f>
        <v>122760</v>
      </c>
      <c r="P179" s="110">
        <v>0</v>
      </c>
      <c r="Q179" s="110">
        <f>SUM(Q176:Q178)</f>
        <v>122760</v>
      </c>
      <c r="R179" s="74"/>
    </row>
    <row r="180" spans="1:20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0" ht="24.6">
      <c r="A181" s="734" t="s">
        <v>216</v>
      </c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735"/>
      <c r="R181" s="736"/>
    </row>
    <row r="182" spans="1:20" ht="29.25" customHeight="1">
      <c r="A182" s="115"/>
      <c r="B182" s="115"/>
      <c r="C182" s="181"/>
      <c r="D182" s="182"/>
      <c r="E182" s="181"/>
      <c r="F182" s="181"/>
      <c r="G182" s="183"/>
      <c r="H182" s="183"/>
      <c r="I182" s="183"/>
      <c r="J182" s="184"/>
      <c r="K182" s="185"/>
      <c r="L182" s="186"/>
      <c r="M182" s="181"/>
      <c r="N182" s="187"/>
      <c r="O182" s="183"/>
      <c r="P182" s="183"/>
      <c r="Q182" s="183"/>
      <c r="R182" s="109"/>
    </row>
    <row r="183" spans="1:20" ht="29.25" customHeight="1" thickBot="1">
      <c r="A183" s="115"/>
      <c r="B183" s="115"/>
      <c r="C183" s="64"/>
      <c r="D183" s="171"/>
      <c r="E183" s="64"/>
      <c r="F183" s="64"/>
      <c r="G183" s="63"/>
      <c r="H183" s="63"/>
      <c r="I183" s="63"/>
      <c r="J183" s="42"/>
      <c r="K183" s="66"/>
      <c r="L183" s="172"/>
      <c r="M183" s="64"/>
      <c r="N183" s="41"/>
      <c r="O183" s="63"/>
      <c r="P183" s="63"/>
      <c r="Q183" s="63"/>
      <c r="R183" s="109"/>
    </row>
    <row r="184" spans="1:20" ht="26.25" customHeight="1" thickTop="1" thickBot="1">
      <c r="A184" s="29"/>
      <c r="B184" s="25" t="s">
        <v>26</v>
      </c>
      <c r="C184" s="64"/>
      <c r="D184" s="171"/>
      <c r="E184" s="64"/>
      <c r="F184" s="64"/>
      <c r="G184" s="63">
        <f>SUM(G182:G182)</f>
        <v>0</v>
      </c>
      <c r="H184" s="63">
        <f>SUM(H182:H182)</f>
        <v>0</v>
      </c>
      <c r="I184" s="63">
        <f>SUM(I182:I182)</f>
        <v>0</v>
      </c>
      <c r="J184" s="42"/>
      <c r="K184" s="66"/>
      <c r="L184" s="172"/>
      <c r="M184" s="64"/>
      <c r="N184" s="41"/>
      <c r="O184" s="63">
        <f>SUM(O182:O182)</f>
        <v>0</v>
      </c>
      <c r="P184" s="63">
        <f>SUM(P182:P182)</f>
        <v>0</v>
      </c>
      <c r="Q184" s="63">
        <f>SUM(Q182:Q182)</f>
        <v>0</v>
      </c>
      <c r="R184" s="29"/>
    </row>
    <row r="185" spans="1:20" ht="24.75" customHeight="1" thickTop="1">
      <c r="A185" s="4"/>
      <c r="B185" s="188" t="s">
        <v>217</v>
      </c>
      <c r="C185" s="53"/>
      <c r="D185" s="127"/>
      <c r="E185" s="53"/>
      <c r="F185" s="53"/>
      <c r="G185" s="183"/>
      <c r="H185" s="183"/>
      <c r="I185" s="183"/>
      <c r="J185" s="189"/>
      <c r="K185" s="185"/>
      <c r="L185" s="186"/>
      <c r="M185" s="53"/>
      <c r="N185" s="4"/>
      <c r="O185" s="127"/>
      <c r="P185" s="127"/>
      <c r="Q185" s="127"/>
      <c r="R185" s="181"/>
    </row>
    <row r="186" spans="1:20" ht="24.75" customHeight="1">
      <c r="A186" s="199">
        <v>1</v>
      </c>
      <c r="B186" s="200" t="s">
        <v>85</v>
      </c>
      <c r="C186" s="203" t="s">
        <v>86</v>
      </c>
      <c r="D186" s="202">
        <v>0</v>
      </c>
      <c r="E186" s="199" t="s">
        <v>229</v>
      </c>
      <c r="F186" s="204">
        <v>7</v>
      </c>
      <c r="G186" s="202">
        <v>30800</v>
      </c>
      <c r="H186" s="202">
        <v>0</v>
      </c>
      <c r="I186" s="202">
        <v>30800</v>
      </c>
      <c r="J186" s="205"/>
      <c r="K186" s="206"/>
      <c r="L186" s="207"/>
      <c r="M186" s="203" t="s">
        <v>229</v>
      </c>
      <c r="N186" s="199">
        <v>7</v>
      </c>
      <c r="O186" s="198">
        <v>30800</v>
      </c>
      <c r="P186" s="210">
        <v>0</v>
      </c>
      <c r="Q186" s="210">
        <v>30800</v>
      </c>
      <c r="R186" s="203" t="s">
        <v>230</v>
      </c>
    </row>
    <row r="187" spans="1:20" ht="24.75" customHeight="1">
      <c r="A187" s="115"/>
      <c r="B187" s="212"/>
      <c r="C187" s="109"/>
      <c r="D187" s="162"/>
      <c r="E187" s="115"/>
      <c r="F187" s="213"/>
      <c r="G187" s="162"/>
      <c r="H187" s="214"/>
      <c r="I187" s="214"/>
      <c r="J187" s="215"/>
      <c r="K187" s="216"/>
      <c r="L187" s="217"/>
      <c r="M187" s="218"/>
      <c r="N187" s="219"/>
      <c r="O187" s="220"/>
      <c r="P187" s="221"/>
      <c r="Q187" s="221"/>
      <c r="R187" s="218" t="s">
        <v>231</v>
      </c>
    </row>
    <row r="188" spans="1:20" s="96" customFormat="1" ht="24.75" customHeight="1">
      <c r="A188" s="190"/>
      <c r="B188" s="191" t="s">
        <v>232</v>
      </c>
      <c r="C188" s="192" t="s">
        <v>194</v>
      </c>
      <c r="D188" s="193">
        <v>0</v>
      </c>
      <c r="E188" s="192"/>
      <c r="F188" s="192"/>
      <c r="G188" s="193">
        <v>64400</v>
      </c>
      <c r="H188" s="193">
        <v>0</v>
      </c>
      <c r="I188" s="193">
        <v>64400</v>
      </c>
      <c r="J188" s="195"/>
      <c r="K188" s="196"/>
      <c r="L188" s="197">
        <v>0</v>
      </c>
      <c r="M188" s="192"/>
      <c r="N188" s="190"/>
      <c r="O188" s="198">
        <v>64400</v>
      </c>
      <c r="P188" s="210">
        <v>0</v>
      </c>
      <c r="Q188" s="210">
        <v>64400</v>
      </c>
      <c r="R188" s="192" t="s">
        <v>233</v>
      </c>
      <c r="T188" s="97"/>
    </row>
    <row r="189" spans="1:20" ht="24.6">
      <c r="A189" s="199">
        <v>2</v>
      </c>
      <c r="B189" s="203" t="s">
        <v>32</v>
      </c>
      <c r="C189" s="222" t="s">
        <v>104</v>
      </c>
      <c r="D189" s="202"/>
      <c r="E189" s="223" t="s">
        <v>234</v>
      </c>
      <c r="F189" s="224">
        <v>4</v>
      </c>
      <c r="G189" s="225">
        <v>18600</v>
      </c>
      <c r="H189" s="225">
        <v>0</v>
      </c>
      <c r="I189" s="225">
        <v>18600</v>
      </c>
      <c r="J189" s="226"/>
      <c r="K189" s="227"/>
      <c r="L189" s="228"/>
      <c r="M189" s="199" t="s">
        <v>234</v>
      </c>
      <c r="N189" s="199">
        <v>4</v>
      </c>
      <c r="O189" s="198">
        <f>D189+G189</f>
        <v>18600</v>
      </c>
      <c r="P189" s="210">
        <v>0</v>
      </c>
      <c r="Q189" s="210">
        <f>D189+I189</f>
        <v>18600</v>
      </c>
      <c r="R189" s="203" t="s">
        <v>235</v>
      </c>
    </row>
    <row r="190" spans="1:20" ht="24.6">
      <c r="A190" s="199">
        <v>3</v>
      </c>
      <c r="B190" s="203" t="s">
        <v>215</v>
      </c>
      <c r="C190" s="222" t="s">
        <v>104</v>
      </c>
      <c r="D190" s="202"/>
      <c r="E190" s="199" t="s">
        <v>236</v>
      </c>
      <c r="F190" s="199">
        <v>4</v>
      </c>
      <c r="G190" s="202">
        <v>23000</v>
      </c>
      <c r="H190" s="202">
        <v>0</v>
      </c>
      <c r="I190" s="202">
        <v>23000</v>
      </c>
      <c r="J190" s="226"/>
      <c r="K190" s="227"/>
      <c r="L190" s="228"/>
      <c r="M190" s="199" t="s">
        <v>236</v>
      </c>
      <c r="N190" s="199">
        <v>4</v>
      </c>
      <c r="O190" s="198">
        <f>D190+G190</f>
        <v>23000</v>
      </c>
      <c r="P190" s="210">
        <v>0</v>
      </c>
      <c r="Q190" s="210">
        <f>D190+I190</f>
        <v>23000</v>
      </c>
      <c r="R190" s="203" t="s">
        <v>237</v>
      </c>
    </row>
    <row r="191" spans="1:20" s="96" customFormat="1" ht="24.75" customHeight="1">
      <c r="A191" s="229"/>
      <c r="B191" s="230"/>
      <c r="C191" s="231"/>
      <c r="D191" s="232"/>
      <c r="E191" s="231"/>
      <c r="F191" s="231"/>
      <c r="G191" s="232"/>
      <c r="H191" s="232"/>
      <c r="I191" s="232"/>
      <c r="J191" s="233"/>
      <c r="K191" s="234"/>
      <c r="L191" s="235"/>
      <c r="M191" s="231"/>
      <c r="N191" s="229"/>
      <c r="O191" s="236"/>
      <c r="P191" s="237"/>
      <c r="Q191" s="237"/>
      <c r="R191" s="238"/>
      <c r="T191" s="97"/>
    </row>
    <row r="192" spans="1:20" ht="24.75" customHeight="1" thickBot="1">
      <c r="A192" s="34"/>
      <c r="B192" s="239"/>
      <c r="C192" s="74"/>
      <c r="D192" s="110">
        <v>0</v>
      </c>
      <c r="E192" s="110"/>
      <c r="F192" s="110"/>
      <c r="G192" s="110">
        <f>SUM(G186:G190)</f>
        <v>136800</v>
      </c>
      <c r="H192" s="110">
        <v>0</v>
      </c>
      <c r="I192" s="110">
        <f>SUM(I186:I190)</f>
        <v>136800</v>
      </c>
      <c r="J192" s="170"/>
      <c r="K192" s="170"/>
      <c r="L192" s="170">
        <v>0</v>
      </c>
      <c r="M192" s="110"/>
      <c r="N192" s="240"/>
      <c r="O192" s="171">
        <f>SUM(O186:O190)</f>
        <v>136800</v>
      </c>
      <c r="P192" s="171">
        <v>0</v>
      </c>
      <c r="Q192" s="171">
        <f>SUM(Q186:Q190)</f>
        <v>136800</v>
      </c>
      <c r="R192" s="208"/>
    </row>
    <row r="193" spans="1:23" ht="25.2" thickTop="1">
      <c r="A193" s="46"/>
      <c r="B193" s="161" t="s">
        <v>238</v>
      </c>
      <c r="C193" s="46"/>
      <c r="D193" s="46"/>
      <c r="E193" s="46"/>
      <c r="F193" s="46"/>
      <c r="G193" s="46"/>
      <c r="H193" s="46"/>
      <c r="I193" s="46"/>
      <c r="J193" s="47"/>
      <c r="K193" s="48"/>
      <c r="L193" s="48"/>
      <c r="M193" s="46"/>
      <c r="N193" s="28"/>
      <c r="O193" s="46"/>
      <c r="P193" s="46"/>
      <c r="Q193" s="46"/>
      <c r="R193" s="46"/>
    </row>
    <row r="194" spans="1:23" ht="24.6">
      <c r="A194" s="25">
        <v>1</v>
      </c>
      <c r="B194" s="53" t="s">
        <v>239</v>
      </c>
      <c r="C194" s="109"/>
      <c r="D194" s="109"/>
      <c r="E194" s="109" t="s">
        <v>240</v>
      </c>
      <c r="F194" s="109"/>
      <c r="G194" s="162"/>
      <c r="H194" s="109"/>
      <c r="I194" s="162">
        <v>0</v>
      </c>
      <c r="J194" s="112"/>
      <c r="K194" s="113"/>
      <c r="L194" s="241"/>
      <c r="M194" s="109" t="s">
        <v>240</v>
      </c>
      <c r="N194" s="115"/>
      <c r="O194" s="49"/>
      <c r="P194" s="127"/>
      <c r="Q194" s="162">
        <v>0</v>
      </c>
      <c r="R194" s="29"/>
    </row>
    <row r="195" spans="1:23" ht="24.6">
      <c r="A195" s="25"/>
      <c r="B195" s="29" t="s">
        <v>241</v>
      </c>
      <c r="C195" s="29"/>
      <c r="D195" s="29"/>
      <c r="E195" s="25" t="s">
        <v>242</v>
      </c>
      <c r="F195" s="29"/>
      <c r="G195" s="49">
        <v>133707.98000000001</v>
      </c>
      <c r="H195" s="134">
        <v>0</v>
      </c>
      <c r="I195" s="49">
        <v>133707.98000000001</v>
      </c>
      <c r="J195" s="60"/>
      <c r="K195" s="61"/>
      <c r="L195" s="242"/>
      <c r="M195" s="29" t="s">
        <v>242</v>
      </c>
      <c r="N195" s="25"/>
      <c r="O195" s="72">
        <v>133707.98000000001</v>
      </c>
      <c r="P195" s="73">
        <v>0</v>
      </c>
      <c r="Q195" s="73">
        <v>133707.98000000001</v>
      </c>
      <c r="R195" s="29" t="s">
        <v>243</v>
      </c>
    </row>
    <row r="196" spans="1:23" ht="24.6">
      <c r="A196" s="25"/>
      <c r="B196" s="29" t="s">
        <v>244</v>
      </c>
      <c r="C196" s="29"/>
      <c r="D196" s="29"/>
      <c r="E196" s="29"/>
      <c r="F196" s="29"/>
      <c r="G196" s="49">
        <v>73800</v>
      </c>
      <c r="H196" s="134">
        <v>0</v>
      </c>
      <c r="I196" s="49">
        <v>73800</v>
      </c>
      <c r="J196" s="60"/>
      <c r="K196" s="61"/>
      <c r="L196" s="242"/>
      <c r="M196" s="29"/>
      <c r="N196" s="25"/>
      <c r="O196" s="72">
        <v>73800</v>
      </c>
      <c r="P196" s="73">
        <v>0</v>
      </c>
      <c r="Q196" s="73">
        <v>73800</v>
      </c>
      <c r="R196" s="29"/>
    </row>
    <row r="197" spans="1:23" ht="24.6">
      <c r="A197" s="25"/>
      <c r="B197" s="29" t="s">
        <v>245</v>
      </c>
      <c r="C197" s="29"/>
      <c r="D197" s="29"/>
      <c r="E197" s="29"/>
      <c r="F197" s="29"/>
      <c r="G197" s="49">
        <v>7596.82</v>
      </c>
      <c r="H197" s="134">
        <v>0</v>
      </c>
      <c r="I197" s="89">
        <v>7596.82</v>
      </c>
      <c r="J197" s="60"/>
      <c r="K197" s="61"/>
      <c r="L197" s="242"/>
      <c r="M197" s="29"/>
      <c r="N197" s="25"/>
      <c r="O197" s="72">
        <v>7596.82</v>
      </c>
      <c r="P197" s="73">
        <v>0</v>
      </c>
      <c r="Q197" s="73">
        <v>7596.82</v>
      </c>
      <c r="R197" s="29" t="s">
        <v>243</v>
      </c>
    </row>
    <row r="198" spans="1:23" ht="24.6">
      <c r="A198" s="25"/>
      <c r="B198" s="29" t="s">
        <v>246</v>
      </c>
      <c r="C198" s="29"/>
      <c r="D198" s="53"/>
      <c r="E198" s="53"/>
      <c r="F198" s="53"/>
      <c r="G198" s="127"/>
      <c r="H198" s="53"/>
      <c r="I198" s="127"/>
      <c r="J198" s="243"/>
      <c r="K198" s="244"/>
      <c r="L198" s="245"/>
      <c r="M198" s="53"/>
      <c r="N198" s="4"/>
      <c r="O198" s="127"/>
      <c r="P198" s="127"/>
      <c r="Q198" s="49"/>
      <c r="R198" s="29"/>
      <c r="U198" s="1">
        <v>763210.28</v>
      </c>
    </row>
    <row r="199" spans="1:23" ht="24.6">
      <c r="A199" s="4"/>
      <c r="B199" s="53"/>
      <c r="C199" s="737" t="s">
        <v>247</v>
      </c>
      <c r="D199" s="738"/>
      <c r="E199" s="738"/>
      <c r="F199" s="738"/>
      <c r="G199" s="738"/>
      <c r="H199" s="739"/>
      <c r="I199" s="127"/>
      <c r="J199" s="243"/>
      <c r="K199" s="244"/>
      <c r="L199" s="245"/>
      <c r="M199" s="53"/>
      <c r="N199" s="4"/>
      <c r="O199" s="127"/>
      <c r="P199" s="127"/>
      <c r="Q199" s="162"/>
      <c r="R199" s="53"/>
    </row>
    <row r="200" spans="1:23" s="96" customFormat="1" ht="24.75" customHeight="1">
      <c r="A200" s="86">
        <v>2</v>
      </c>
      <c r="B200" s="274" t="s">
        <v>68</v>
      </c>
      <c r="C200" s="87">
        <v>268</v>
      </c>
      <c r="D200" s="89"/>
      <c r="E200" s="86" t="s">
        <v>378</v>
      </c>
      <c r="F200" s="275">
        <v>80</v>
      </c>
      <c r="G200" s="89">
        <v>133752.76</v>
      </c>
      <c r="H200" s="89" t="s">
        <v>172</v>
      </c>
      <c r="I200" s="89">
        <v>133752.76</v>
      </c>
      <c r="J200" s="276"/>
      <c r="K200" s="154"/>
      <c r="L200" s="155"/>
      <c r="M200" s="86" t="s">
        <v>378</v>
      </c>
      <c r="N200" s="86">
        <v>80</v>
      </c>
      <c r="O200" s="277">
        <f>SUM(D200+G200)</f>
        <v>133752.76</v>
      </c>
      <c r="P200" s="277" t="s">
        <v>172</v>
      </c>
      <c r="Q200" s="277">
        <f>SUM(D200+I200)</f>
        <v>133752.76</v>
      </c>
      <c r="R200" s="87" t="s">
        <v>379</v>
      </c>
      <c r="T200" s="97" t="s">
        <v>375</v>
      </c>
    </row>
    <row r="201" spans="1:23" ht="24.75" customHeight="1">
      <c r="A201" s="25"/>
      <c r="B201" s="119" t="s">
        <v>221</v>
      </c>
      <c r="C201" s="278" t="s">
        <v>222</v>
      </c>
      <c r="D201" s="49">
        <v>0</v>
      </c>
      <c r="E201" s="29"/>
      <c r="F201" s="3" t="s">
        <v>172</v>
      </c>
      <c r="G201" s="49">
        <v>19700</v>
      </c>
      <c r="H201" s="49">
        <v>0</v>
      </c>
      <c r="I201" s="49">
        <v>19700</v>
      </c>
      <c r="J201" s="60"/>
      <c r="K201" s="61"/>
      <c r="L201" s="51">
        <v>0</v>
      </c>
      <c r="M201" s="29"/>
      <c r="N201" s="25" t="s">
        <v>172</v>
      </c>
      <c r="O201" s="277">
        <v>19700</v>
      </c>
      <c r="P201" s="73">
        <v>0</v>
      </c>
      <c r="Q201" s="73">
        <v>19700</v>
      </c>
      <c r="R201" s="29" t="s">
        <v>184</v>
      </c>
      <c r="V201" s="211"/>
      <c r="W201" s="211"/>
    </row>
    <row r="202" spans="1:23" ht="24.75" customHeight="1">
      <c r="A202" s="25"/>
      <c r="B202" s="278"/>
      <c r="C202" s="278" t="s">
        <v>223</v>
      </c>
      <c r="D202" s="49"/>
      <c r="E202" s="29"/>
      <c r="F202" s="3" t="s">
        <v>172</v>
      </c>
      <c r="G202" s="49">
        <v>19700</v>
      </c>
      <c r="H202" s="49">
        <v>0</v>
      </c>
      <c r="I202" s="49">
        <v>19700</v>
      </c>
      <c r="J202" s="60"/>
      <c r="K202" s="61"/>
      <c r="L202" s="51">
        <v>0</v>
      </c>
      <c r="M202" s="29"/>
      <c r="N202" s="25" t="s">
        <v>172</v>
      </c>
      <c r="O202" s="277">
        <v>19700</v>
      </c>
      <c r="P202" s="73">
        <v>0</v>
      </c>
      <c r="Q202" s="73">
        <v>19700</v>
      </c>
      <c r="R202" s="29" t="s">
        <v>185</v>
      </c>
      <c r="V202" s="211"/>
    </row>
    <row r="203" spans="1:23" ht="24.75" customHeight="1">
      <c r="A203" s="25"/>
      <c r="B203" s="278"/>
      <c r="C203" s="278" t="s">
        <v>224</v>
      </c>
      <c r="D203" s="49"/>
      <c r="E203" s="29"/>
      <c r="F203" s="3" t="s">
        <v>172</v>
      </c>
      <c r="G203" s="49">
        <v>19700</v>
      </c>
      <c r="H203" s="49">
        <v>0</v>
      </c>
      <c r="I203" s="49">
        <v>19700</v>
      </c>
      <c r="J203" s="60"/>
      <c r="K203" s="61"/>
      <c r="L203" s="51">
        <v>0</v>
      </c>
      <c r="M203" s="29"/>
      <c r="N203" s="25" t="s">
        <v>172</v>
      </c>
      <c r="O203" s="277">
        <v>19700</v>
      </c>
      <c r="P203" s="73">
        <v>0</v>
      </c>
      <c r="Q203" s="73">
        <v>19700</v>
      </c>
      <c r="R203" s="29" t="s">
        <v>186</v>
      </c>
    </row>
    <row r="204" spans="1:23" ht="24.75" customHeight="1">
      <c r="A204" s="25">
        <v>3</v>
      </c>
      <c r="B204" s="119" t="s">
        <v>225</v>
      </c>
      <c r="C204" s="29"/>
      <c r="D204" s="49"/>
      <c r="E204" s="25" t="s">
        <v>226</v>
      </c>
      <c r="F204" s="3">
        <v>88</v>
      </c>
      <c r="G204" s="49">
        <v>304935.7</v>
      </c>
      <c r="H204" s="49">
        <v>0</v>
      </c>
      <c r="I204" s="49">
        <v>304935.7</v>
      </c>
      <c r="J204" s="60"/>
      <c r="K204" s="61"/>
      <c r="L204" s="51"/>
      <c r="M204" s="25" t="s">
        <v>226</v>
      </c>
      <c r="N204" s="25">
        <v>88</v>
      </c>
      <c r="O204" s="277">
        <v>304935.7</v>
      </c>
      <c r="P204" s="73">
        <v>0</v>
      </c>
      <c r="Q204" s="73">
        <v>304935.7</v>
      </c>
      <c r="R204" s="29" t="s">
        <v>227</v>
      </c>
    </row>
    <row r="205" spans="1:23" ht="25.2" thickBot="1">
      <c r="A205" s="25"/>
      <c r="B205" s="29"/>
      <c r="C205" s="29"/>
      <c r="D205" s="74"/>
      <c r="E205" s="74"/>
      <c r="F205" s="74"/>
      <c r="G205" s="74"/>
      <c r="H205" s="74"/>
      <c r="I205" s="74"/>
      <c r="J205" s="75"/>
      <c r="K205" s="76"/>
      <c r="L205" s="76"/>
      <c r="M205" s="74"/>
      <c r="N205" s="34"/>
      <c r="O205" s="110"/>
      <c r="P205" s="74"/>
      <c r="Q205" s="171"/>
      <c r="R205" s="29"/>
    </row>
    <row r="206" spans="1:23" s="249" customFormat="1" ht="25.8" thickTop="1" thickBot="1">
      <c r="A206" s="134"/>
      <c r="B206" s="246" t="s">
        <v>26</v>
      </c>
      <c r="C206" s="103"/>
      <c r="D206" s="103">
        <v>0</v>
      </c>
      <c r="E206" s="103"/>
      <c r="F206" s="103"/>
      <c r="G206" s="103">
        <f>SUM(G195:G205)</f>
        <v>712893.26</v>
      </c>
      <c r="H206" s="103">
        <f t="shared" ref="H206:I206" si="12">SUM(H195:H205)</f>
        <v>0</v>
      </c>
      <c r="I206" s="103">
        <f t="shared" si="12"/>
        <v>712893.26</v>
      </c>
      <c r="J206" s="104"/>
      <c r="K206" s="104"/>
      <c r="L206" s="104">
        <v>0</v>
      </c>
      <c r="M206" s="103"/>
      <c r="N206" s="247"/>
      <c r="O206" s="103">
        <f>SUM(O195:O205)</f>
        <v>712893.26</v>
      </c>
      <c r="P206" s="103">
        <v>0</v>
      </c>
      <c r="Q206" s="103">
        <f>SUM(Q194:Q205)</f>
        <v>712893.26</v>
      </c>
      <c r="R206" s="248"/>
    </row>
    <row r="207" spans="1:23" ht="25.8" thickTop="1" thickBot="1">
      <c r="A207" s="29"/>
      <c r="B207" s="25" t="s">
        <v>248</v>
      </c>
      <c r="C207" s="64"/>
      <c r="D207" s="63">
        <f>SUM(D30+D75+D111+D179+D184+D192+D206)</f>
        <v>63270</v>
      </c>
      <c r="E207" s="63"/>
      <c r="F207" s="63"/>
      <c r="G207" s="63">
        <f>SUM(G30+G75+G111+G163+G179+G184+G192+G206)</f>
        <v>979018.26</v>
      </c>
      <c r="H207" s="63">
        <v>0</v>
      </c>
      <c r="I207" s="63">
        <f>SUM(I9+I12+I15+I18+I21+I24+I30+I33+I35+I39+I75+I111+I115+I118+I121+I163+I169+I173+I179+I184+I192+I206)</f>
        <v>997198.26</v>
      </c>
      <c r="J207" s="67"/>
      <c r="K207" s="67"/>
      <c r="L207" s="67">
        <f>SUM(L30+L75+L111)</f>
        <v>49225</v>
      </c>
      <c r="M207" s="63"/>
      <c r="N207" s="105"/>
      <c r="O207" s="63">
        <f>SUM(O30+O75+O111+O179+O184+O192+O206)</f>
        <v>993063.26</v>
      </c>
      <c r="P207" s="63">
        <f>SUM(P30+P75+P111+P179+P184+P192+P206)</f>
        <v>0</v>
      </c>
      <c r="Q207" s="63">
        <f>SUM(Q30+Q75+Q111+Q179+Q184+Q192+Q206)</f>
        <v>993063.26</v>
      </c>
      <c r="R207" s="59"/>
      <c r="T207" s="63"/>
    </row>
    <row r="208" spans="1:23" ht="25.2" thickTop="1"/>
    <row r="209" spans="6:17" ht="24.6">
      <c r="K209" s="250"/>
      <c r="Q209" s="249"/>
    </row>
    <row r="210" spans="6:17" ht="24.6">
      <c r="K210" s="251"/>
      <c r="Q210" s="249"/>
    </row>
    <row r="211" spans="6:17" ht="24.6">
      <c r="F211" s="1">
        <v>1010.6000000000058</v>
      </c>
      <c r="K211" s="250"/>
      <c r="Q211" s="249"/>
    </row>
    <row r="212" spans="6:17" ht="24.6">
      <c r="K212" s="250"/>
      <c r="L212" s="252"/>
    </row>
    <row r="213" spans="6:17" ht="24.6">
      <c r="H213" s="253"/>
      <c r="K213" s="25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A175:R175"/>
    <mergeCell ref="A181:R181"/>
    <mergeCell ref="C199:H199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146D-17FE-4745-9883-E65B2B75C04C}">
  <sheetPr>
    <tabColor rgb="FFFFFF00"/>
  </sheetPr>
  <dimension ref="A1:L822"/>
  <sheetViews>
    <sheetView zoomScale="90" zoomScaleNormal="90" zoomScaleSheetLayoutView="87" workbookViewId="0">
      <pane ySplit="6" topLeftCell="A8" activePane="bottomLeft" state="frozen"/>
      <selection activeCell="I147" sqref="I147"/>
      <selection pane="bottomLeft" activeCell="E56" sqref="E5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6.33203125" style="1" customWidth="1"/>
    <col min="8" max="8" width="11" style="1" bestFit="1" customWidth="1"/>
    <col min="9" max="9" width="11" style="285" bestFit="1" customWidth="1"/>
    <col min="10" max="238" width="10.33203125" style="1"/>
    <col min="239" max="239" width="4.44140625" style="1" customWidth="1"/>
    <col min="240" max="240" width="21.6640625" style="1" customWidth="1"/>
    <col min="241" max="241" width="15" style="1" customWidth="1"/>
    <col min="242" max="242" width="15.44140625" style="1" customWidth="1"/>
    <col min="243" max="243" width="11.5546875" style="1" customWidth="1"/>
    <col min="244" max="244" width="7.44140625" style="1" customWidth="1"/>
    <col min="245" max="245" width="14.109375" style="1" customWidth="1"/>
    <col min="246" max="246" width="10.6640625" style="1" customWidth="1"/>
    <col min="247" max="247" width="13.44140625" style="1" customWidth="1"/>
    <col min="248" max="248" width="11.44140625" style="1" customWidth="1"/>
    <col min="249" max="249" width="15" style="1" customWidth="1"/>
    <col min="250" max="250" width="14.5546875" style="1" customWidth="1"/>
    <col min="251" max="251" width="10.33203125" style="1"/>
    <col min="252" max="252" width="7.44140625" style="1" customWidth="1"/>
    <col min="253" max="253" width="12.88671875" style="1" customWidth="1"/>
    <col min="254" max="254" width="11.109375" style="1" customWidth="1"/>
    <col min="255" max="255" width="14" style="1" customWidth="1"/>
    <col min="256" max="256" width="33" style="1" customWidth="1"/>
    <col min="257" max="257" width="6.6640625" style="1" customWidth="1"/>
    <col min="258" max="258" width="19" style="1" customWidth="1"/>
    <col min="259" max="259" width="19.109375" style="1" customWidth="1"/>
    <col min="260" max="260" width="21.33203125" style="1" customWidth="1"/>
    <col min="261" max="261" width="32.5546875" style="1" customWidth="1"/>
    <col min="262" max="262" width="16.88671875" style="1" customWidth="1"/>
    <col min="263" max="263" width="16.33203125" style="1" customWidth="1"/>
    <col min="264" max="494" width="10.33203125" style="1"/>
    <col min="495" max="495" width="4.44140625" style="1" customWidth="1"/>
    <col min="496" max="496" width="21.6640625" style="1" customWidth="1"/>
    <col min="497" max="497" width="15" style="1" customWidth="1"/>
    <col min="498" max="498" width="15.44140625" style="1" customWidth="1"/>
    <col min="499" max="499" width="11.5546875" style="1" customWidth="1"/>
    <col min="500" max="500" width="7.44140625" style="1" customWidth="1"/>
    <col min="501" max="501" width="14.109375" style="1" customWidth="1"/>
    <col min="502" max="502" width="10.6640625" style="1" customWidth="1"/>
    <col min="503" max="503" width="13.44140625" style="1" customWidth="1"/>
    <col min="504" max="504" width="11.44140625" style="1" customWidth="1"/>
    <col min="505" max="505" width="15" style="1" customWidth="1"/>
    <col min="506" max="506" width="14.5546875" style="1" customWidth="1"/>
    <col min="507" max="507" width="10.33203125" style="1"/>
    <col min="508" max="508" width="7.44140625" style="1" customWidth="1"/>
    <col min="509" max="509" width="12.88671875" style="1" customWidth="1"/>
    <col min="510" max="510" width="11.109375" style="1" customWidth="1"/>
    <col min="511" max="511" width="14" style="1" customWidth="1"/>
    <col min="512" max="512" width="33" style="1" customWidth="1"/>
    <col min="513" max="513" width="6.6640625" style="1" customWidth="1"/>
    <col min="514" max="514" width="19" style="1" customWidth="1"/>
    <col min="515" max="515" width="19.109375" style="1" customWidth="1"/>
    <col min="516" max="516" width="21.33203125" style="1" customWidth="1"/>
    <col min="517" max="517" width="32.5546875" style="1" customWidth="1"/>
    <col min="518" max="518" width="16.88671875" style="1" customWidth="1"/>
    <col min="519" max="519" width="16.33203125" style="1" customWidth="1"/>
    <col min="520" max="750" width="10.33203125" style="1"/>
    <col min="751" max="751" width="4.44140625" style="1" customWidth="1"/>
    <col min="752" max="752" width="21.6640625" style="1" customWidth="1"/>
    <col min="753" max="753" width="15" style="1" customWidth="1"/>
    <col min="754" max="754" width="15.44140625" style="1" customWidth="1"/>
    <col min="755" max="755" width="11.5546875" style="1" customWidth="1"/>
    <col min="756" max="756" width="7.44140625" style="1" customWidth="1"/>
    <col min="757" max="757" width="14.109375" style="1" customWidth="1"/>
    <col min="758" max="758" width="10.6640625" style="1" customWidth="1"/>
    <col min="759" max="759" width="13.44140625" style="1" customWidth="1"/>
    <col min="760" max="760" width="11.44140625" style="1" customWidth="1"/>
    <col min="761" max="761" width="15" style="1" customWidth="1"/>
    <col min="762" max="762" width="14.5546875" style="1" customWidth="1"/>
    <col min="763" max="763" width="10.33203125" style="1"/>
    <col min="764" max="764" width="7.44140625" style="1" customWidth="1"/>
    <col min="765" max="765" width="12.88671875" style="1" customWidth="1"/>
    <col min="766" max="766" width="11.109375" style="1" customWidth="1"/>
    <col min="767" max="767" width="14" style="1" customWidth="1"/>
    <col min="768" max="768" width="33" style="1" customWidth="1"/>
    <col min="769" max="769" width="6.6640625" style="1" customWidth="1"/>
    <col min="770" max="770" width="19" style="1" customWidth="1"/>
    <col min="771" max="771" width="19.109375" style="1" customWidth="1"/>
    <col min="772" max="772" width="21.33203125" style="1" customWidth="1"/>
    <col min="773" max="773" width="32.5546875" style="1" customWidth="1"/>
    <col min="774" max="774" width="16.88671875" style="1" customWidth="1"/>
    <col min="775" max="775" width="16.33203125" style="1" customWidth="1"/>
    <col min="776" max="1006" width="10.33203125" style="1"/>
    <col min="1007" max="1007" width="4.44140625" style="1" customWidth="1"/>
    <col min="1008" max="1008" width="21.6640625" style="1" customWidth="1"/>
    <col min="1009" max="1009" width="15" style="1" customWidth="1"/>
    <col min="1010" max="1010" width="15.44140625" style="1" customWidth="1"/>
    <col min="1011" max="1011" width="11.5546875" style="1" customWidth="1"/>
    <col min="1012" max="1012" width="7.44140625" style="1" customWidth="1"/>
    <col min="1013" max="1013" width="14.109375" style="1" customWidth="1"/>
    <col min="1014" max="1014" width="10.6640625" style="1" customWidth="1"/>
    <col min="1015" max="1015" width="13.44140625" style="1" customWidth="1"/>
    <col min="1016" max="1016" width="11.44140625" style="1" customWidth="1"/>
    <col min="1017" max="1017" width="15" style="1" customWidth="1"/>
    <col min="1018" max="1018" width="14.5546875" style="1" customWidth="1"/>
    <col min="1019" max="1019" width="10.33203125" style="1"/>
    <col min="1020" max="1020" width="7.44140625" style="1" customWidth="1"/>
    <col min="1021" max="1021" width="12.88671875" style="1" customWidth="1"/>
    <col min="1022" max="1022" width="11.109375" style="1" customWidth="1"/>
    <col min="1023" max="1023" width="14" style="1" customWidth="1"/>
    <col min="1024" max="1024" width="33" style="1" customWidth="1"/>
    <col min="1025" max="1025" width="6.6640625" style="1" customWidth="1"/>
    <col min="1026" max="1026" width="19" style="1" customWidth="1"/>
    <col min="1027" max="1027" width="19.109375" style="1" customWidth="1"/>
    <col min="1028" max="1028" width="21.33203125" style="1" customWidth="1"/>
    <col min="1029" max="1029" width="32.5546875" style="1" customWidth="1"/>
    <col min="1030" max="1030" width="16.88671875" style="1" customWidth="1"/>
    <col min="1031" max="1031" width="16.33203125" style="1" customWidth="1"/>
    <col min="1032" max="1262" width="10.33203125" style="1"/>
    <col min="1263" max="1263" width="4.44140625" style="1" customWidth="1"/>
    <col min="1264" max="1264" width="21.6640625" style="1" customWidth="1"/>
    <col min="1265" max="1265" width="15" style="1" customWidth="1"/>
    <col min="1266" max="1266" width="15.44140625" style="1" customWidth="1"/>
    <col min="1267" max="1267" width="11.5546875" style="1" customWidth="1"/>
    <col min="1268" max="1268" width="7.44140625" style="1" customWidth="1"/>
    <col min="1269" max="1269" width="14.109375" style="1" customWidth="1"/>
    <col min="1270" max="1270" width="10.6640625" style="1" customWidth="1"/>
    <col min="1271" max="1271" width="13.44140625" style="1" customWidth="1"/>
    <col min="1272" max="1272" width="11.44140625" style="1" customWidth="1"/>
    <col min="1273" max="1273" width="15" style="1" customWidth="1"/>
    <col min="1274" max="1274" width="14.5546875" style="1" customWidth="1"/>
    <col min="1275" max="1275" width="10.33203125" style="1"/>
    <col min="1276" max="1276" width="7.44140625" style="1" customWidth="1"/>
    <col min="1277" max="1277" width="12.88671875" style="1" customWidth="1"/>
    <col min="1278" max="1278" width="11.109375" style="1" customWidth="1"/>
    <col min="1279" max="1279" width="14" style="1" customWidth="1"/>
    <col min="1280" max="1280" width="33" style="1" customWidth="1"/>
    <col min="1281" max="1281" width="6.6640625" style="1" customWidth="1"/>
    <col min="1282" max="1282" width="19" style="1" customWidth="1"/>
    <col min="1283" max="1283" width="19.109375" style="1" customWidth="1"/>
    <col min="1284" max="1284" width="21.33203125" style="1" customWidth="1"/>
    <col min="1285" max="1285" width="32.5546875" style="1" customWidth="1"/>
    <col min="1286" max="1286" width="16.88671875" style="1" customWidth="1"/>
    <col min="1287" max="1287" width="16.33203125" style="1" customWidth="1"/>
    <col min="1288" max="1518" width="10.33203125" style="1"/>
    <col min="1519" max="1519" width="4.44140625" style="1" customWidth="1"/>
    <col min="1520" max="1520" width="21.6640625" style="1" customWidth="1"/>
    <col min="1521" max="1521" width="15" style="1" customWidth="1"/>
    <col min="1522" max="1522" width="15.44140625" style="1" customWidth="1"/>
    <col min="1523" max="1523" width="11.5546875" style="1" customWidth="1"/>
    <col min="1524" max="1524" width="7.44140625" style="1" customWidth="1"/>
    <col min="1525" max="1525" width="14.109375" style="1" customWidth="1"/>
    <col min="1526" max="1526" width="10.6640625" style="1" customWidth="1"/>
    <col min="1527" max="1527" width="13.44140625" style="1" customWidth="1"/>
    <col min="1528" max="1528" width="11.44140625" style="1" customWidth="1"/>
    <col min="1529" max="1529" width="15" style="1" customWidth="1"/>
    <col min="1530" max="1530" width="14.5546875" style="1" customWidth="1"/>
    <col min="1531" max="1531" width="10.33203125" style="1"/>
    <col min="1532" max="1532" width="7.44140625" style="1" customWidth="1"/>
    <col min="1533" max="1533" width="12.88671875" style="1" customWidth="1"/>
    <col min="1534" max="1534" width="11.109375" style="1" customWidth="1"/>
    <col min="1535" max="1535" width="14" style="1" customWidth="1"/>
    <col min="1536" max="1536" width="33" style="1" customWidth="1"/>
    <col min="1537" max="1537" width="6.6640625" style="1" customWidth="1"/>
    <col min="1538" max="1538" width="19" style="1" customWidth="1"/>
    <col min="1539" max="1539" width="19.109375" style="1" customWidth="1"/>
    <col min="1540" max="1540" width="21.33203125" style="1" customWidth="1"/>
    <col min="1541" max="1541" width="32.5546875" style="1" customWidth="1"/>
    <col min="1542" max="1542" width="16.88671875" style="1" customWidth="1"/>
    <col min="1543" max="1543" width="16.33203125" style="1" customWidth="1"/>
    <col min="1544" max="1774" width="10.33203125" style="1"/>
    <col min="1775" max="1775" width="4.44140625" style="1" customWidth="1"/>
    <col min="1776" max="1776" width="21.6640625" style="1" customWidth="1"/>
    <col min="1777" max="1777" width="15" style="1" customWidth="1"/>
    <col min="1778" max="1778" width="15.44140625" style="1" customWidth="1"/>
    <col min="1779" max="1779" width="11.5546875" style="1" customWidth="1"/>
    <col min="1780" max="1780" width="7.44140625" style="1" customWidth="1"/>
    <col min="1781" max="1781" width="14.109375" style="1" customWidth="1"/>
    <col min="1782" max="1782" width="10.6640625" style="1" customWidth="1"/>
    <col min="1783" max="1783" width="13.44140625" style="1" customWidth="1"/>
    <col min="1784" max="1784" width="11.44140625" style="1" customWidth="1"/>
    <col min="1785" max="1785" width="15" style="1" customWidth="1"/>
    <col min="1786" max="1786" width="14.5546875" style="1" customWidth="1"/>
    <col min="1787" max="1787" width="10.33203125" style="1"/>
    <col min="1788" max="1788" width="7.44140625" style="1" customWidth="1"/>
    <col min="1789" max="1789" width="12.88671875" style="1" customWidth="1"/>
    <col min="1790" max="1790" width="11.109375" style="1" customWidth="1"/>
    <col min="1791" max="1791" width="14" style="1" customWidth="1"/>
    <col min="1792" max="1792" width="33" style="1" customWidth="1"/>
    <col min="1793" max="1793" width="6.6640625" style="1" customWidth="1"/>
    <col min="1794" max="1794" width="19" style="1" customWidth="1"/>
    <col min="1795" max="1795" width="19.109375" style="1" customWidth="1"/>
    <col min="1796" max="1796" width="21.33203125" style="1" customWidth="1"/>
    <col min="1797" max="1797" width="32.5546875" style="1" customWidth="1"/>
    <col min="1798" max="1798" width="16.88671875" style="1" customWidth="1"/>
    <col min="1799" max="1799" width="16.33203125" style="1" customWidth="1"/>
    <col min="1800" max="2030" width="10.33203125" style="1"/>
    <col min="2031" max="2031" width="4.44140625" style="1" customWidth="1"/>
    <col min="2032" max="2032" width="21.6640625" style="1" customWidth="1"/>
    <col min="2033" max="2033" width="15" style="1" customWidth="1"/>
    <col min="2034" max="2034" width="15.44140625" style="1" customWidth="1"/>
    <col min="2035" max="2035" width="11.5546875" style="1" customWidth="1"/>
    <col min="2036" max="2036" width="7.44140625" style="1" customWidth="1"/>
    <col min="2037" max="2037" width="14.109375" style="1" customWidth="1"/>
    <col min="2038" max="2038" width="10.6640625" style="1" customWidth="1"/>
    <col min="2039" max="2039" width="13.44140625" style="1" customWidth="1"/>
    <col min="2040" max="2040" width="11.44140625" style="1" customWidth="1"/>
    <col min="2041" max="2041" width="15" style="1" customWidth="1"/>
    <col min="2042" max="2042" width="14.5546875" style="1" customWidth="1"/>
    <col min="2043" max="2043" width="10.33203125" style="1"/>
    <col min="2044" max="2044" width="7.44140625" style="1" customWidth="1"/>
    <col min="2045" max="2045" width="12.88671875" style="1" customWidth="1"/>
    <col min="2046" max="2046" width="11.109375" style="1" customWidth="1"/>
    <col min="2047" max="2047" width="14" style="1" customWidth="1"/>
    <col min="2048" max="2048" width="33" style="1" customWidth="1"/>
    <col min="2049" max="2049" width="6.6640625" style="1" customWidth="1"/>
    <col min="2050" max="2050" width="19" style="1" customWidth="1"/>
    <col min="2051" max="2051" width="19.109375" style="1" customWidth="1"/>
    <col min="2052" max="2052" width="21.33203125" style="1" customWidth="1"/>
    <col min="2053" max="2053" width="32.5546875" style="1" customWidth="1"/>
    <col min="2054" max="2054" width="16.88671875" style="1" customWidth="1"/>
    <col min="2055" max="2055" width="16.33203125" style="1" customWidth="1"/>
    <col min="2056" max="2286" width="10.33203125" style="1"/>
    <col min="2287" max="2287" width="4.44140625" style="1" customWidth="1"/>
    <col min="2288" max="2288" width="21.6640625" style="1" customWidth="1"/>
    <col min="2289" max="2289" width="15" style="1" customWidth="1"/>
    <col min="2290" max="2290" width="15.44140625" style="1" customWidth="1"/>
    <col min="2291" max="2291" width="11.5546875" style="1" customWidth="1"/>
    <col min="2292" max="2292" width="7.44140625" style="1" customWidth="1"/>
    <col min="2293" max="2293" width="14.109375" style="1" customWidth="1"/>
    <col min="2294" max="2294" width="10.6640625" style="1" customWidth="1"/>
    <col min="2295" max="2295" width="13.44140625" style="1" customWidth="1"/>
    <col min="2296" max="2296" width="11.44140625" style="1" customWidth="1"/>
    <col min="2297" max="2297" width="15" style="1" customWidth="1"/>
    <col min="2298" max="2298" width="14.5546875" style="1" customWidth="1"/>
    <col min="2299" max="2299" width="10.33203125" style="1"/>
    <col min="2300" max="2300" width="7.44140625" style="1" customWidth="1"/>
    <col min="2301" max="2301" width="12.88671875" style="1" customWidth="1"/>
    <col min="2302" max="2302" width="11.109375" style="1" customWidth="1"/>
    <col min="2303" max="2303" width="14" style="1" customWidth="1"/>
    <col min="2304" max="2304" width="33" style="1" customWidth="1"/>
    <col min="2305" max="2305" width="6.6640625" style="1" customWidth="1"/>
    <col min="2306" max="2306" width="19" style="1" customWidth="1"/>
    <col min="2307" max="2307" width="19.109375" style="1" customWidth="1"/>
    <col min="2308" max="2308" width="21.33203125" style="1" customWidth="1"/>
    <col min="2309" max="2309" width="32.5546875" style="1" customWidth="1"/>
    <col min="2310" max="2310" width="16.88671875" style="1" customWidth="1"/>
    <col min="2311" max="2311" width="16.33203125" style="1" customWidth="1"/>
    <col min="2312" max="2542" width="10.33203125" style="1"/>
    <col min="2543" max="2543" width="4.44140625" style="1" customWidth="1"/>
    <col min="2544" max="2544" width="21.6640625" style="1" customWidth="1"/>
    <col min="2545" max="2545" width="15" style="1" customWidth="1"/>
    <col min="2546" max="2546" width="15.44140625" style="1" customWidth="1"/>
    <col min="2547" max="2547" width="11.5546875" style="1" customWidth="1"/>
    <col min="2548" max="2548" width="7.44140625" style="1" customWidth="1"/>
    <col min="2549" max="2549" width="14.109375" style="1" customWidth="1"/>
    <col min="2550" max="2550" width="10.6640625" style="1" customWidth="1"/>
    <col min="2551" max="2551" width="13.44140625" style="1" customWidth="1"/>
    <col min="2552" max="2552" width="11.44140625" style="1" customWidth="1"/>
    <col min="2553" max="2553" width="15" style="1" customWidth="1"/>
    <col min="2554" max="2554" width="14.5546875" style="1" customWidth="1"/>
    <col min="2555" max="2555" width="10.33203125" style="1"/>
    <col min="2556" max="2556" width="7.44140625" style="1" customWidth="1"/>
    <col min="2557" max="2557" width="12.88671875" style="1" customWidth="1"/>
    <col min="2558" max="2558" width="11.109375" style="1" customWidth="1"/>
    <col min="2559" max="2559" width="14" style="1" customWidth="1"/>
    <col min="2560" max="2560" width="33" style="1" customWidth="1"/>
    <col min="2561" max="2561" width="6.6640625" style="1" customWidth="1"/>
    <col min="2562" max="2562" width="19" style="1" customWidth="1"/>
    <col min="2563" max="2563" width="19.109375" style="1" customWidth="1"/>
    <col min="2564" max="2564" width="21.33203125" style="1" customWidth="1"/>
    <col min="2565" max="2565" width="32.5546875" style="1" customWidth="1"/>
    <col min="2566" max="2566" width="16.88671875" style="1" customWidth="1"/>
    <col min="2567" max="2567" width="16.33203125" style="1" customWidth="1"/>
    <col min="2568" max="2798" width="10.33203125" style="1"/>
    <col min="2799" max="2799" width="4.44140625" style="1" customWidth="1"/>
    <col min="2800" max="2800" width="21.6640625" style="1" customWidth="1"/>
    <col min="2801" max="2801" width="15" style="1" customWidth="1"/>
    <col min="2802" max="2802" width="15.44140625" style="1" customWidth="1"/>
    <col min="2803" max="2803" width="11.5546875" style="1" customWidth="1"/>
    <col min="2804" max="2804" width="7.44140625" style="1" customWidth="1"/>
    <col min="2805" max="2805" width="14.109375" style="1" customWidth="1"/>
    <col min="2806" max="2806" width="10.6640625" style="1" customWidth="1"/>
    <col min="2807" max="2807" width="13.44140625" style="1" customWidth="1"/>
    <col min="2808" max="2808" width="11.44140625" style="1" customWidth="1"/>
    <col min="2809" max="2809" width="15" style="1" customWidth="1"/>
    <col min="2810" max="2810" width="14.5546875" style="1" customWidth="1"/>
    <col min="2811" max="2811" width="10.33203125" style="1"/>
    <col min="2812" max="2812" width="7.44140625" style="1" customWidth="1"/>
    <col min="2813" max="2813" width="12.88671875" style="1" customWidth="1"/>
    <col min="2814" max="2814" width="11.109375" style="1" customWidth="1"/>
    <col min="2815" max="2815" width="14" style="1" customWidth="1"/>
    <col min="2816" max="2816" width="33" style="1" customWidth="1"/>
    <col min="2817" max="2817" width="6.6640625" style="1" customWidth="1"/>
    <col min="2818" max="2818" width="19" style="1" customWidth="1"/>
    <col min="2819" max="2819" width="19.109375" style="1" customWidth="1"/>
    <col min="2820" max="2820" width="21.33203125" style="1" customWidth="1"/>
    <col min="2821" max="2821" width="32.5546875" style="1" customWidth="1"/>
    <col min="2822" max="2822" width="16.88671875" style="1" customWidth="1"/>
    <col min="2823" max="2823" width="16.33203125" style="1" customWidth="1"/>
    <col min="2824" max="3054" width="10.33203125" style="1"/>
    <col min="3055" max="3055" width="4.44140625" style="1" customWidth="1"/>
    <col min="3056" max="3056" width="21.6640625" style="1" customWidth="1"/>
    <col min="3057" max="3057" width="15" style="1" customWidth="1"/>
    <col min="3058" max="3058" width="15.44140625" style="1" customWidth="1"/>
    <col min="3059" max="3059" width="11.5546875" style="1" customWidth="1"/>
    <col min="3060" max="3060" width="7.44140625" style="1" customWidth="1"/>
    <col min="3061" max="3061" width="14.109375" style="1" customWidth="1"/>
    <col min="3062" max="3062" width="10.6640625" style="1" customWidth="1"/>
    <col min="3063" max="3063" width="13.44140625" style="1" customWidth="1"/>
    <col min="3064" max="3064" width="11.44140625" style="1" customWidth="1"/>
    <col min="3065" max="3065" width="15" style="1" customWidth="1"/>
    <col min="3066" max="3066" width="14.5546875" style="1" customWidth="1"/>
    <col min="3067" max="3067" width="10.33203125" style="1"/>
    <col min="3068" max="3068" width="7.44140625" style="1" customWidth="1"/>
    <col min="3069" max="3069" width="12.88671875" style="1" customWidth="1"/>
    <col min="3070" max="3070" width="11.109375" style="1" customWidth="1"/>
    <col min="3071" max="3071" width="14" style="1" customWidth="1"/>
    <col min="3072" max="3072" width="33" style="1" customWidth="1"/>
    <col min="3073" max="3073" width="6.6640625" style="1" customWidth="1"/>
    <col min="3074" max="3074" width="19" style="1" customWidth="1"/>
    <col min="3075" max="3075" width="19.109375" style="1" customWidth="1"/>
    <col min="3076" max="3076" width="21.33203125" style="1" customWidth="1"/>
    <col min="3077" max="3077" width="32.5546875" style="1" customWidth="1"/>
    <col min="3078" max="3078" width="16.88671875" style="1" customWidth="1"/>
    <col min="3079" max="3079" width="16.33203125" style="1" customWidth="1"/>
    <col min="3080" max="3310" width="10.33203125" style="1"/>
    <col min="3311" max="3311" width="4.44140625" style="1" customWidth="1"/>
    <col min="3312" max="3312" width="21.6640625" style="1" customWidth="1"/>
    <col min="3313" max="3313" width="15" style="1" customWidth="1"/>
    <col min="3314" max="3314" width="15.44140625" style="1" customWidth="1"/>
    <col min="3315" max="3315" width="11.5546875" style="1" customWidth="1"/>
    <col min="3316" max="3316" width="7.44140625" style="1" customWidth="1"/>
    <col min="3317" max="3317" width="14.109375" style="1" customWidth="1"/>
    <col min="3318" max="3318" width="10.6640625" style="1" customWidth="1"/>
    <col min="3319" max="3319" width="13.44140625" style="1" customWidth="1"/>
    <col min="3320" max="3320" width="11.44140625" style="1" customWidth="1"/>
    <col min="3321" max="3321" width="15" style="1" customWidth="1"/>
    <col min="3322" max="3322" width="14.5546875" style="1" customWidth="1"/>
    <col min="3323" max="3323" width="10.33203125" style="1"/>
    <col min="3324" max="3324" width="7.44140625" style="1" customWidth="1"/>
    <col min="3325" max="3325" width="12.88671875" style="1" customWidth="1"/>
    <col min="3326" max="3326" width="11.109375" style="1" customWidth="1"/>
    <col min="3327" max="3327" width="14" style="1" customWidth="1"/>
    <col min="3328" max="3328" width="33" style="1" customWidth="1"/>
    <col min="3329" max="3329" width="6.6640625" style="1" customWidth="1"/>
    <col min="3330" max="3330" width="19" style="1" customWidth="1"/>
    <col min="3331" max="3331" width="19.109375" style="1" customWidth="1"/>
    <col min="3332" max="3332" width="21.33203125" style="1" customWidth="1"/>
    <col min="3333" max="3333" width="32.5546875" style="1" customWidth="1"/>
    <col min="3334" max="3334" width="16.88671875" style="1" customWidth="1"/>
    <col min="3335" max="3335" width="16.33203125" style="1" customWidth="1"/>
    <col min="3336" max="3566" width="10.33203125" style="1"/>
    <col min="3567" max="3567" width="4.44140625" style="1" customWidth="1"/>
    <col min="3568" max="3568" width="21.6640625" style="1" customWidth="1"/>
    <col min="3569" max="3569" width="15" style="1" customWidth="1"/>
    <col min="3570" max="3570" width="15.44140625" style="1" customWidth="1"/>
    <col min="3571" max="3571" width="11.5546875" style="1" customWidth="1"/>
    <col min="3572" max="3572" width="7.44140625" style="1" customWidth="1"/>
    <col min="3573" max="3573" width="14.109375" style="1" customWidth="1"/>
    <col min="3574" max="3574" width="10.6640625" style="1" customWidth="1"/>
    <col min="3575" max="3575" width="13.44140625" style="1" customWidth="1"/>
    <col min="3576" max="3576" width="11.44140625" style="1" customWidth="1"/>
    <col min="3577" max="3577" width="15" style="1" customWidth="1"/>
    <col min="3578" max="3578" width="14.5546875" style="1" customWidth="1"/>
    <col min="3579" max="3579" width="10.33203125" style="1"/>
    <col min="3580" max="3580" width="7.44140625" style="1" customWidth="1"/>
    <col min="3581" max="3581" width="12.88671875" style="1" customWidth="1"/>
    <col min="3582" max="3582" width="11.109375" style="1" customWidth="1"/>
    <col min="3583" max="3583" width="14" style="1" customWidth="1"/>
    <col min="3584" max="3584" width="33" style="1" customWidth="1"/>
    <col min="3585" max="3585" width="6.6640625" style="1" customWidth="1"/>
    <col min="3586" max="3586" width="19" style="1" customWidth="1"/>
    <col min="3587" max="3587" width="19.109375" style="1" customWidth="1"/>
    <col min="3588" max="3588" width="21.33203125" style="1" customWidth="1"/>
    <col min="3589" max="3589" width="32.5546875" style="1" customWidth="1"/>
    <col min="3590" max="3590" width="16.88671875" style="1" customWidth="1"/>
    <col min="3591" max="3591" width="16.33203125" style="1" customWidth="1"/>
    <col min="3592" max="3822" width="10.33203125" style="1"/>
    <col min="3823" max="3823" width="4.44140625" style="1" customWidth="1"/>
    <col min="3824" max="3824" width="21.6640625" style="1" customWidth="1"/>
    <col min="3825" max="3825" width="15" style="1" customWidth="1"/>
    <col min="3826" max="3826" width="15.44140625" style="1" customWidth="1"/>
    <col min="3827" max="3827" width="11.5546875" style="1" customWidth="1"/>
    <col min="3828" max="3828" width="7.44140625" style="1" customWidth="1"/>
    <col min="3829" max="3829" width="14.109375" style="1" customWidth="1"/>
    <col min="3830" max="3830" width="10.6640625" style="1" customWidth="1"/>
    <col min="3831" max="3831" width="13.44140625" style="1" customWidth="1"/>
    <col min="3832" max="3832" width="11.44140625" style="1" customWidth="1"/>
    <col min="3833" max="3833" width="15" style="1" customWidth="1"/>
    <col min="3834" max="3834" width="14.5546875" style="1" customWidth="1"/>
    <col min="3835" max="3835" width="10.33203125" style="1"/>
    <col min="3836" max="3836" width="7.44140625" style="1" customWidth="1"/>
    <col min="3837" max="3837" width="12.88671875" style="1" customWidth="1"/>
    <col min="3838" max="3838" width="11.109375" style="1" customWidth="1"/>
    <col min="3839" max="3839" width="14" style="1" customWidth="1"/>
    <col min="3840" max="3840" width="33" style="1" customWidth="1"/>
    <col min="3841" max="3841" width="6.6640625" style="1" customWidth="1"/>
    <col min="3842" max="3842" width="19" style="1" customWidth="1"/>
    <col min="3843" max="3843" width="19.109375" style="1" customWidth="1"/>
    <col min="3844" max="3844" width="21.33203125" style="1" customWidth="1"/>
    <col min="3845" max="3845" width="32.5546875" style="1" customWidth="1"/>
    <col min="3846" max="3846" width="16.88671875" style="1" customWidth="1"/>
    <col min="3847" max="3847" width="16.33203125" style="1" customWidth="1"/>
    <col min="3848" max="4078" width="10.33203125" style="1"/>
    <col min="4079" max="4079" width="4.44140625" style="1" customWidth="1"/>
    <col min="4080" max="4080" width="21.6640625" style="1" customWidth="1"/>
    <col min="4081" max="4081" width="15" style="1" customWidth="1"/>
    <col min="4082" max="4082" width="15.44140625" style="1" customWidth="1"/>
    <col min="4083" max="4083" width="11.5546875" style="1" customWidth="1"/>
    <col min="4084" max="4084" width="7.44140625" style="1" customWidth="1"/>
    <col min="4085" max="4085" width="14.109375" style="1" customWidth="1"/>
    <col min="4086" max="4086" width="10.6640625" style="1" customWidth="1"/>
    <col min="4087" max="4087" width="13.44140625" style="1" customWidth="1"/>
    <col min="4088" max="4088" width="11.44140625" style="1" customWidth="1"/>
    <col min="4089" max="4089" width="15" style="1" customWidth="1"/>
    <col min="4090" max="4090" width="14.5546875" style="1" customWidth="1"/>
    <col min="4091" max="4091" width="10.33203125" style="1"/>
    <col min="4092" max="4092" width="7.44140625" style="1" customWidth="1"/>
    <col min="4093" max="4093" width="12.88671875" style="1" customWidth="1"/>
    <col min="4094" max="4094" width="11.109375" style="1" customWidth="1"/>
    <col min="4095" max="4095" width="14" style="1" customWidth="1"/>
    <col min="4096" max="4096" width="33" style="1" customWidth="1"/>
    <col min="4097" max="4097" width="6.6640625" style="1" customWidth="1"/>
    <col min="4098" max="4098" width="19" style="1" customWidth="1"/>
    <col min="4099" max="4099" width="19.109375" style="1" customWidth="1"/>
    <col min="4100" max="4100" width="21.33203125" style="1" customWidth="1"/>
    <col min="4101" max="4101" width="32.5546875" style="1" customWidth="1"/>
    <col min="4102" max="4102" width="16.88671875" style="1" customWidth="1"/>
    <col min="4103" max="4103" width="16.33203125" style="1" customWidth="1"/>
    <col min="4104" max="4334" width="10.33203125" style="1"/>
    <col min="4335" max="4335" width="4.44140625" style="1" customWidth="1"/>
    <col min="4336" max="4336" width="21.6640625" style="1" customWidth="1"/>
    <col min="4337" max="4337" width="15" style="1" customWidth="1"/>
    <col min="4338" max="4338" width="15.44140625" style="1" customWidth="1"/>
    <col min="4339" max="4339" width="11.5546875" style="1" customWidth="1"/>
    <col min="4340" max="4340" width="7.44140625" style="1" customWidth="1"/>
    <col min="4341" max="4341" width="14.109375" style="1" customWidth="1"/>
    <col min="4342" max="4342" width="10.6640625" style="1" customWidth="1"/>
    <col min="4343" max="4343" width="13.44140625" style="1" customWidth="1"/>
    <col min="4344" max="4344" width="11.44140625" style="1" customWidth="1"/>
    <col min="4345" max="4345" width="15" style="1" customWidth="1"/>
    <col min="4346" max="4346" width="14.5546875" style="1" customWidth="1"/>
    <col min="4347" max="4347" width="10.33203125" style="1"/>
    <col min="4348" max="4348" width="7.44140625" style="1" customWidth="1"/>
    <col min="4349" max="4349" width="12.88671875" style="1" customWidth="1"/>
    <col min="4350" max="4350" width="11.109375" style="1" customWidth="1"/>
    <col min="4351" max="4351" width="14" style="1" customWidth="1"/>
    <col min="4352" max="4352" width="33" style="1" customWidth="1"/>
    <col min="4353" max="4353" width="6.6640625" style="1" customWidth="1"/>
    <col min="4354" max="4354" width="19" style="1" customWidth="1"/>
    <col min="4355" max="4355" width="19.109375" style="1" customWidth="1"/>
    <col min="4356" max="4356" width="21.33203125" style="1" customWidth="1"/>
    <col min="4357" max="4357" width="32.5546875" style="1" customWidth="1"/>
    <col min="4358" max="4358" width="16.88671875" style="1" customWidth="1"/>
    <col min="4359" max="4359" width="16.33203125" style="1" customWidth="1"/>
    <col min="4360" max="4590" width="10.33203125" style="1"/>
    <col min="4591" max="4591" width="4.44140625" style="1" customWidth="1"/>
    <col min="4592" max="4592" width="21.6640625" style="1" customWidth="1"/>
    <col min="4593" max="4593" width="15" style="1" customWidth="1"/>
    <col min="4594" max="4594" width="15.44140625" style="1" customWidth="1"/>
    <col min="4595" max="4595" width="11.5546875" style="1" customWidth="1"/>
    <col min="4596" max="4596" width="7.44140625" style="1" customWidth="1"/>
    <col min="4597" max="4597" width="14.109375" style="1" customWidth="1"/>
    <col min="4598" max="4598" width="10.6640625" style="1" customWidth="1"/>
    <col min="4599" max="4599" width="13.44140625" style="1" customWidth="1"/>
    <col min="4600" max="4600" width="11.44140625" style="1" customWidth="1"/>
    <col min="4601" max="4601" width="15" style="1" customWidth="1"/>
    <col min="4602" max="4602" width="14.5546875" style="1" customWidth="1"/>
    <col min="4603" max="4603" width="10.33203125" style="1"/>
    <col min="4604" max="4604" width="7.44140625" style="1" customWidth="1"/>
    <col min="4605" max="4605" width="12.88671875" style="1" customWidth="1"/>
    <col min="4606" max="4606" width="11.109375" style="1" customWidth="1"/>
    <col min="4607" max="4607" width="14" style="1" customWidth="1"/>
    <col min="4608" max="4608" width="33" style="1" customWidth="1"/>
    <col min="4609" max="4609" width="6.6640625" style="1" customWidth="1"/>
    <col min="4610" max="4610" width="19" style="1" customWidth="1"/>
    <col min="4611" max="4611" width="19.109375" style="1" customWidth="1"/>
    <col min="4612" max="4612" width="21.33203125" style="1" customWidth="1"/>
    <col min="4613" max="4613" width="32.5546875" style="1" customWidth="1"/>
    <col min="4614" max="4614" width="16.88671875" style="1" customWidth="1"/>
    <col min="4615" max="4615" width="16.33203125" style="1" customWidth="1"/>
    <col min="4616" max="4846" width="10.33203125" style="1"/>
    <col min="4847" max="4847" width="4.44140625" style="1" customWidth="1"/>
    <col min="4848" max="4848" width="21.6640625" style="1" customWidth="1"/>
    <col min="4849" max="4849" width="15" style="1" customWidth="1"/>
    <col min="4850" max="4850" width="15.44140625" style="1" customWidth="1"/>
    <col min="4851" max="4851" width="11.5546875" style="1" customWidth="1"/>
    <col min="4852" max="4852" width="7.44140625" style="1" customWidth="1"/>
    <col min="4853" max="4853" width="14.109375" style="1" customWidth="1"/>
    <col min="4854" max="4854" width="10.6640625" style="1" customWidth="1"/>
    <col min="4855" max="4855" width="13.44140625" style="1" customWidth="1"/>
    <col min="4856" max="4856" width="11.44140625" style="1" customWidth="1"/>
    <col min="4857" max="4857" width="15" style="1" customWidth="1"/>
    <col min="4858" max="4858" width="14.5546875" style="1" customWidth="1"/>
    <col min="4859" max="4859" width="10.33203125" style="1"/>
    <col min="4860" max="4860" width="7.44140625" style="1" customWidth="1"/>
    <col min="4861" max="4861" width="12.88671875" style="1" customWidth="1"/>
    <col min="4862" max="4862" width="11.109375" style="1" customWidth="1"/>
    <col min="4863" max="4863" width="14" style="1" customWidth="1"/>
    <col min="4864" max="4864" width="33" style="1" customWidth="1"/>
    <col min="4865" max="4865" width="6.6640625" style="1" customWidth="1"/>
    <col min="4866" max="4866" width="19" style="1" customWidth="1"/>
    <col min="4867" max="4867" width="19.109375" style="1" customWidth="1"/>
    <col min="4868" max="4868" width="21.33203125" style="1" customWidth="1"/>
    <col min="4869" max="4869" width="32.5546875" style="1" customWidth="1"/>
    <col min="4870" max="4870" width="16.88671875" style="1" customWidth="1"/>
    <col min="4871" max="4871" width="16.33203125" style="1" customWidth="1"/>
    <col min="4872" max="5102" width="10.33203125" style="1"/>
    <col min="5103" max="5103" width="4.44140625" style="1" customWidth="1"/>
    <col min="5104" max="5104" width="21.6640625" style="1" customWidth="1"/>
    <col min="5105" max="5105" width="15" style="1" customWidth="1"/>
    <col min="5106" max="5106" width="15.44140625" style="1" customWidth="1"/>
    <col min="5107" max="5107" width="11.5546875" style="1" customWidth="1"/>
    <col min="5108" max="5108" width="7.44140625" style="1" customWidth="1"/>
    <col min="5109" max="5109" width="14.109375" style="1" customWidth="1"/>
    <col min="5110" max="5110" width="10.6640625" style="1" customWidth="1"/>
    <col min="5111" max="5111" width="13.44140625" style="1" customWidth="1"/>
    <col min="5112" max="5112" width="11.44140625" style="1" customWidth="1"/>
    <col min="5113" max="5113" width="15" style="1" customWidth="1"/>
    <col min="5114" max="5114" width="14.5546875" style="1" customWidth="1"/>
    <col min="5115" max="5115" width="10.33203125" style="1"/>
    <col min="5116" max="5116" width="7.44140625" style="1" customWidth="1"/>
    <col min="5117" max="5117" width="12.88671875" style="1" customWidth="1"/>
    <col min="5118" max="5118" width="11.109375" style="1" customWidth="1"/>
    <col min="5119" max="5119" width="14" style="1" customWidth="1"/>
    <col min="5120" max="5120" width="33" style="1" customWidth="1"/>
    <col min="5121" max="5121" width="6.6640625" style="1" customWidth="1"/>
    <col min="5122" max="5122" width="19" style="1" customWidth="1"/>
    <col min="5123" max="5123" width="19.109375" style="1" customWidth="1"/>
    <col min="5124" max="5124" width="21.33203125" style="1" customWidth="1"/>
    <col min="5125" max="5125" width="32.5546875" style="1" customWidth="1"/>
    <col min="5126" max="5126" width="16.88671875" style="1" customWidth="1"/>
    <col min="5127" max="5127" width="16.33203125" style="1" customWidth="1"/>
    <col min="5128" max="5358" width="10.33203125" style="1"/>
    <col min="5359" max="5359" width="4.44140625" style="1" customWidth="1"/>
    <col min="5360" max="5360" width="21.6640625" style="1" customWidth="1"/>
    <col min="5361" max="5361" width="15" style="1" customWidth="1"/>
    <col min="5362" max="5362" width="15.44140625" style="1" customWidth="1"/>
    <col min="5363" max="5363" width="11.5546875" style="1" customWidth="1"/>
    <col min="5364" max="5364" width="7.44140625" style="1" customWidth="1"/>
    <col min="5365" max="5365" width="14.109375" style="1" customWidth="1"/>
    <col min="5366" max="5366" width="10.6640625" style="1" customWidth="1"/>
    <col min="5367" max="5367" width="13.44140625" style="1" customWidth="1"/>
    <col min="5368" max="5368" width="11.44140625" style="1" customWidth="1"/>
    <col min="5369" max="5369" width="15" style="1" customWidth="1"/>
    <col min="5370" max="5370" width="14.5546875" style="1" customWidth="1"/>
    <col min="5371" max="5371" width="10.33203125" style="1"/>
    <col min="5372" max="5372" width="7.44140625" style="1" customWidth="1"/>
    <col min="5373" max="5373" width="12.88671875" style="1" customWidth="1"/>
    <col min="5374" max="5374" width="11.109375" style="1" customWidth="1"/>
    <col min="5375" max="5375" width="14" style="1" customWidth="1"/>
    <col min="5376" max="5376" width="33" style="1" customWidth="1"/>
    <col min="5377" max="5377" width="6.6640625" style="1" customWidth="1"/>
    <col min="5378" max="5378" width="19" style="1" customWidth="1"/>
    <col min="5379" max="5379" width="19.109375" style="1" customWidth="1"/>
    <col min="5380" max="5380" width="21.33203125" style="1" customWidth="1"/>
    <col min="5381" max="5381" width="32.5546875" style="1" customWidth="1"/>
    <col min="5382" max="5382" width="16.88671875" style="1" customWidth="1"/>
    <col min="5383" max="5383" width="16.33203125" style="1" customWidth="1"/>
    <col min="5384" max="5614" width="10.33203125" style="1"/>
    <col min="5615" max="5615" width="4.44140625" style="1" customWidth="1"/>
    <col min="5616" max="5616" width="21.6640625" style="1" customWidth="1"/>
    <col min="5617" max="5617" width="15" style="1" customWidth="1"/>
    <col min="5618" max="5618" width="15.44140625" style="1" customWidth="1"/>
    <col min="5619" max="5619" width="11.5546875" style="1" customWidth="1"/>
    <col min="5620" max="5620" width="7.44140625" style="1" customWidth="1"/>
    <col min="5621" max="5621" width="14.109375" style="1" customWidth="1"/>
    <col min="5622" max="5622" width="10.6640625" style="1" customWidth="1"/>
    <col min="5623" max="5623" width="13.44140625" style="1" customWidth="1"/>
    <col min="5624" max="5624" width="11.44140625" style="1" customWidth="1"/>
    <col min="5625" max="5625" width="15" style="1" customWidth="1"/>
    <col min="5626" max="5626" width="14.5546875" style="1" customWidth="1"/>
    <col min="5627" max="5627" width="10.33203125" style="1"/>
    <col min="5628" max="5628" width="7.44140625" style="1" customWidth="1"/>
    <col min="5629" max="5629" width="12.88671875" style="1" customWidth="1"/>
    <col min="5630" max="5630" width="11.109375" style="1" customWidth="1"/>
    <col min="5631" max="5631" width="14" style="1" customWidth="1"/>
    <col min="5632" max="5632" width="33" style="1" customWidth="1"/>
    <col min="5633" max="5633" width="6.6640625" style="1" customWidth="1"/>
    <col min="5634" max="5634" width="19" style="1" customWidth="1"/>
    <col min="5635" max="5635" width="19.109375" style="1" customWidth="1"/>
    <col min="5636" max="5636" width="21.33203125" style="1" customWidth="1"/>
    <col min="5637" max="5637" width="32.5546875" style="1" customWidth="1"/>
    <col min="5638" max="5638" width="16.88671875" style="1" customWidth="1"/>
    <col min="5639" max="5639" width="16.33203125" style="1" customWidth="1"/>
    <col min="5640" max="5870" width="10.33203125" style="1"/>
    <col min="5871" max="5871" width="4.44140625" style="1" customWidth="1"/>
    <col min="5872" max="5872" width="21.6640625" style="1" customWidth="1"/>
    <col min="5873" max="5873" width="15" style="1" customWidth="1"/>
    <col min="5874" max="5874" width="15.44140625" style="1" customWidth="1"/>
    <col min="5875" max="5875" width="11.5546875" style="1" customWidth="1"/>
    <col min="5876" max="5876" width="7.44140625" style="1" customWidth="1"/>
    <col min="5877" max="5877" width="14.109375" style="1" customWidth="1"/>
    <col min="5878" max="5878" width="10.6640625" style="1" customWidth="1"/>
    <col min="5879" max="5879" width="13.44140625" style="1" customWidth="1"/>
    <col min="5880" max="5880" width="11.44140625" style="1" customWidth="1"/>
    <col min="5881" max="5881" width="15" style="1" customWidth="1"/>
    <col min="5882" max="5882" width="14.5546875" style="1" customWidth="1"/>
    <col min="5883" max="5883" width="10.33203125" style="1"/>
    <col min="5884" max="5884" width="7.44140625" style="1" customWidth="1"/>
    <col min="5885" max="5885" width="12.88671875" style="1" customWidth="1"/>
    <col min="5886" max="5886" width="11.109375" style="1" customWidth="1"/>
    <col min="5887" max="5887" width="14" style="1" customWidth="1"/>
    <col min="5888" max="5888" width="33" style="1" customWidth="1"/>
    <col min="5889" max="5889" width="6.6640625" style="1" customWidth="1"/>
    <col min="5890" max="5890" width="19" style="1" customWidth="1"/>
    <col min="5891" max="5891" width="19.109375" style="1" customWidth="1"/>
    <col min="5892" max="5892" width="21.33203125" style="1" customWidth="1"/>
    <col min="5893" max="5893" width="32.5546875" style="1" customWidth="1"/>
    <col min="5894" max="5894" width="16.88671875" style="1" customWidth="1"/>
    <col min="5895" max="5895" width="16.33203125" style="1" customWidth="1"/>
    <col min="5896" max="6126" width="10.33203125" style="1"/>
    <col min="6127" max="6127" width="4.44140625" style="1" customWidth="1"/>
    <col min="6128" max="6128" width="21.6640625" style="1" customWidth="1"/>
    <col min="6129" max="6129" width="15" style="1" customWidth="1"/>
    <col min="6130" max="6130" width="15.44140625" style="1" customWidth="1"/>
    <col min="6131" max="6131" width="11.5546875" style="1" customWidth="1"/>
    <col min="6132" max="6132" width="7.44140625" style="1" customWidth="1"/>
    <col min="6133" max="6133" width="14.109375" style="1" customWidth="1"/>
    <col min="6134" max="6134" width="10.6640625" style="1" customWidth="1"/>
    <col min="6135" max="6135" width="13.44140625" style="1" customWidth="1"/>
    <col min="6136" max="6136" width="11.44140625" style="1" customWidth="1"/>
    <col min="6137" max="6137" width="15" style="1" customWidth="1"/>
    <col min="6138" max="6138" width="14.5546875" style="1" customWidth="1"/>
    <col min="6139" max="6139" width="10.33203125" style="1"/>
    <col min="6140" max="6140" width="7.44140625" style="1" customWidth="1"/>
    <col min="6141" max="6141" width="12.88671875" style="1" customWidth="1"/>
    <col min="6142" max="6142" width="11.109375" style="1" customWidth="1"/>
    <col min="6143" max="6143" width="14" style="1" customWidth="1"/>
    <col min="6144" max="6144" width="33" style="1" customWidth="1"/>
    <col min="6145" max="6145" width="6.6640625" style="1" customWidth="1"/>
    <col min="6146" max="6146" width="19" style="1" customWidth="1"/>
    <col min="6147" max="6147" width="19.109375" style="1" customWidth="1"/>
    <col min="6148" max="6148" width="21.33203125" style="1" customWidth="1"/>
    <col min="6149" max="6149" width="32.5546875" style="1" customWidth="1"/>
    <col min="6150" max="6150" width="16.88671875" style="1" customWidth="1"/>
    <col min="6151" max="6151" width="16.33203125" style="1" customWidth="1"/>
    <col min="6152" max="6382" width="10.33203125" style="1"/>
    <col min="6383" max="6383" width="4.44140625" style="1" customWidth="1"/>
    <col min="6384" max="6384" width="21.6640625" style="1" customWidth="1"/>
    <col min="6385" max="6385" width="15" style="1" customWidth="1"/>
    <col min="6386" max="6386" width="15.44140625" style="1" customWidth="1"/>
    <col min="6387" max="6387" width="11.5546875" style="1" customWidth="1"/>
    <col min="6388" max="6388" width="7.44140625" style="1" customWidth="1"/>
    <col min="6389" max="6389" width="14.109375" style="1" customWidth="1"/>
    <col min="6390" max="6390" width="10.6640625" style="1" customWidth="1"/>
    <col min="6391" max="6391" width="13.44140625" style="1" customWidth="1"/>
    <col min="6392" max="6392" width="11.44140625" style="1" customWidth="1"/>
    <col min="6393" max="6393" width="15" style="1" customWidth="1"/>
    <col min="6394" max="6394" width="14.5546875" style="1" customWidth="1"/>
    <col min="6395" max="6395" width="10.33203125" style="1"/>
    <col min="6396" max="6396" width="7.44140625" style="1" customWidth="1"/>
    <col min="6397" max="6397" width="12.88671875" style="1" customWidth="1"/>
    <col min="6398" max="6398" width="11.109375" style="1" customWidth="1"/>
    <col min="6399" max="6399" width="14" style="1" customWidth="1"/>
    <col min="6400" max="6400" width="33" style="1" customWidth="1"/>
    <col min="6401" max="6401" width="6.6640625" style="1" customWidth="1"/>
    <col min="6402" max="6402" width="19" style="1" customWidth="1"/>
    <col min="6403" max="6403" width="19.109375" style="1" customWidth="1"/>
    <col min="6404" max="6404" width="21.33203125" style="1" customWidth="1"/>
    <col min="6405" max="6405" width="32.5546875" style="1" customWidth="1"/>
    <col min="6406" max="6406" width="16.88671875" style="1" customWidth="1"/>
    <col min="6407" max="6407" width="16.33203125" style="1" customWidth="1"/>
    <col min="6408" max="6638" width="10.33203125" style="1"/>
    <col min="6639" max="6639" width="4.44140625" style="1" customWidth="1"/>
    <col min="6640" max="6640" width="21.6640625" style="1" customWidth="1"/>
    <col min="6641" max="6641" width="15" style="1" customWidth="1"/>
    <col min="6642" max="6642" width="15.44140625" style="1" customWidth="1"/>
    <col min="6643" max="6643" width="11.5546875" style="1" customWidth="1"/>
    <col min="6644" max="6644" width="7.44140625" style="1" customWidth="1"/>
    <col min="6645" max="6645" width="14.109375" style="1" customWidth="1"/>
    <col min="6646" max="6646" width="10.6640625" style="1" customWidth="1"/>
    <col min="6647" max="6647" width="13.44140625" style="1" customWidth="1"/>
    <col min="6648" max="6648" width="11.44140625" style="1" customWidth="1"/>
    <col min="6649" max="6649" width="15" style="1" customWidth="1"/>
    <col min="6650" max="6650" width="14.5546875" style="1" customWidth="1"/>
    <col min="6651" max="6651" width="10.33203125" style="1"/>
    <col min="6652" max="6652" width="7.44140625" style="1" customWidth="1"/>
    <col min="6653" max="6653" width="12.88671875" style="1" customWidth="1"/>
    <col min="6654" max="6654" width="11.109375" style="1" customWidth="1"/>
    <col min="6655" max="6655" width="14" style="1" customWidth="1"/>
    <col min="6656" max="6656" width="33" style="1" customWidth="1"/>
    <col min="6657" max="6657" width="6.6640625" style="1" customWidth="1"/>
    <col min="6658" max="6658" width="19" style="1" customWidth="1"/>
    <col min="6659" max="6659" width="19.109375" style="1" customWidth="1"/>
    <col min="6660" max="6660" width="21.33203125" style="1" customWidth="1"/>
    <col min="6661" max="6661" width="32.5546875" style="1" customWidth="1"/>
    <col min="6662" max="6662" width="16.88671875" style="1" customWidth="1"/>
    <col min="6663" max="6663" width="16.33203125" style="1" customWidth="1"/>
    <col min="6664" max="6894" width="10.33203125" style="1"/>
    <col min="6895" max="6895" width="4.44140625" style="1" customWidth="1"/>
    <col min="6896" max="6896" width="21.6640625" style="1" customWidth="1"/>
    <col min="6897" max="6897" width="15" style="1" customWidth="1"/>
    <col min="6898" max="6898" width="15.44140625" style="1" customWidth="1"/>
    <col min="6899" max="6899" width="11.5546875" style="1" customWidth="1"/>
    <col min="6900" max="6900" width="7.44140625" style="1" customWidth="1"/>
    <col min="6901" max="6901" width="14.109375" style="1" customWidth="1"/>
    <col min="6902" max="6902" width="10.6640625" style="1" customWidth="1"/>
    <col min="6903" max="6903" width="13.44140625" style="1" customWidth="1"/>
    <col min="6904" max="6904" width="11.44140625" style="1" customWidth="1"/>
    <col min="6905" max="6905" width="15" style="1" customWidth="1"/>
    <col min="6906" max="6906" width="14.5546875" style="1" customWidth="1"/>
    <col min="6907" max="6907" width="10.33203125" style="1"/>
    <col min="6908" max="6908" width="7.44140625" style="1" customWidth="1"/>
    <col min="6909" max="6909" width="12.88671875" style="1" customWidth="1"/>
    <col min="6910" max="6910" width="11.109375" style="1" customWidth="1"/>
    <col min="6911" max="6911" width="14" style="1" customWidth="1"/>
    <col min="6912" max="6912" width="33" style="1" customWidth="1"/>
    <col min="6913" max="6913" width="6.6640625" style="1" customWidth="1"/>
    <col min="6914" max="6914" width="19" style="1" customWidth="1"/>
    <col min="6915" max="6915" width="19.109375" style="1" customWidth="1"/>
    <col min="6916" max="6916" width="21.33203125" style="1" customWidth="1"/>
    <col min="6917" max="6917" width="32.5546875" style="1" customWidth="1"/>
    <col min="6918" max="6918" width="16.88671875" style="1" customWidth="1"/>
    <col min="6919" max="6919" width="16.33203125" style="1" customWidth="1"/>
    <col min="6920" max="7150" width="10.33203125" style="1"/>
    <col min="7151" max="7151" width="4.44140625" style="1" customWidth="1"/>
    <col min="7152" max="7152" width="21.6640625" style="1" customWidth="1"/>
    <col min="7153" max="7153" width="15" style="1" customWidth="1"/>
    <col min="7154" max="7154" width="15.44140625" style="1" customWidth="1"/>
    <col min="7155" max="7155" width="11.5546875" style="1" customWidth="1"/>
    <col min="7156" max="7156" width="7.44140625" style="1" customWidth="1"/>
    <col min="7157" max="7157" width="14.109375" style="1" customWidth="1"/>
    <col min="7158" max="7158" width="10.6640625" style="1" customWidth="1"/>
    <col min="7159" max="7159" width="13.44140625" style="1" customWidth="1"/>
    <col min="7160" max="7160" width="11.44140625" style="1" customWidth="1"/>
    <col min="7161" max="7161" width="15" style="1" customWidth="1"/>
    <col min="7162" max="7162" width="14.5546875" style="1" customWidth="1"/>
    <col min="7163" max="7163" width="10.33203125" style="1"/>
    <col min="7164" max="7164" width="7.44140625" style="1" customWidth="1"/>
    <col min="7165" max="7165" width="12.88671875" style="1" customWidth="1"/>
    <col min="7166" max="7166" width="11.109375" style="1" customWidth="1"/>
    <col min="7167" max="7167" width="14" style="1" customWidth="1"/>
    <col min="7168" max="7168" width="33" style="1" customWidth="1"/>
    <col min="7169" max="7169" width="6.6640625" style="1" customWidth="1"/>
    <col min="7170" max="7170" width="19" style="1" customWidth="1"/>
    <col min="7171" max="7171" width="19.109375" style="1" customWidth="1"/>
    <col min="7172" max="7172" width="21.33203125" style="1" customWidth="1"/>
    <col min="7173" max="7173" width="32.5546875" style="1" customWidth="1"/>
    <col min="7174" max="7174" width="16.88671875" style="1" customWidth="1"/>
    <col min="7175" max="7175" width="16.33203125" style="1" customWidth="1"/>
    <col min="7176" max="7406" width="10.33203125" style="1"/>
    <col min="7407" max="7407" width="4.44140625" style="1" customWidth="1"/>
    <col min="7408" max="7408" width="21.6640625" style="1" customWidth="1"/>
    <col min="7409" max="7409" width="15" style="1" customWidth="1"/>
    <col min="7410" max="7410" width="15.44140625" style="1" customWidth="1"/>
    <col min="7411" max="7411" width="11.5546875" style="1" customWidth="1"/>
    <col min="7412" max="7412" width="7.44140625" style="1" customWidth="1"/>
    <col min="7413" max="7413" width="14.109375" style="1" customWidth="1"/>
    <col min="7414" max="7414" width="10.6640625" style="1" customWidth="1"/>
    <col min="7415" max="7415" width="13.44140625" style="1" customWidth="1"/>
    <col min="7416" max="7416" width="11.44140625" style="1" customWidth="1"/>
    <col min="7417" max="7417" width="15" style="1" customWidth="1"/>
    <col min="7418" max="7418" width="14.5546875" style="1" customWidth="1"/>
    <col min="7419" max="7419" width="10.33203125" style="1"/>
    <col min="7420" max="7420" width="7.44140625" style="1" customWidth="1"/>
    <col min="7421" max="7421" width="12.88671875" style="1" customWidth="1"/>
    <col min="7422" max="7422" width="11.109375" style="1" customWidth="1"/>
    <col min="7423" max="7423" width="14" style="1" customWidth="1"/>
    <col min="7424" max="7424" width="33" style="1" customWidth="1"/>
    <col min="7425" max="7425" width="6.6640625" style="1" customWidth="1"/>
    <col min="7426" max="7426" width="19" style="1" customWidth="1"/>
    <col min="7427" max="7427" width="19.109375" style="1" customWidth="1"/>
    <col min="7428" max="7428" width="21.33203125" style="1" customWidth="1"/>
    <col min="7429" max="7429" width="32.5546875" style="1" customWidth="1"/>
    <col min="7430" max="7430" width="16.88671875" style="1" customWidth="1"/>
    <col min="7431" max="7431" width="16.33203125" style="1" customWidth="1"/>
    <col min="7432" max="7662" width="10.33203125" style="1"/>
    <col min="7663" max="7663" width="4.44140625" style="1" customWidth="1"/>
    <col min="7664" max="7664" width="21.6640625" style="1" customWidth="1"/>
    <col min="7665" max="7665" width="15" style="1" customWidth="1"/>
    <col min="7666" max="7666" width="15.44140625" style="1" customWidth="1"/>
    <col min="7667" max="7667" width="11.5546875" style="1" customWidth="1"/>
    <col min="7668" max="7668" width="7.44140625" style="1" customWidth="1"/>
    <col min="7669" max="7669" width="14.109375" style="1" customWidth="1"/>
    <col min="7670" max="7670" width="10.6640625" style="1" customWidth="1"/>
    <col min="7671" max="7671" width="13.44140625" style="1" customWidth="1"/>
    <col min="7672" max="7672" width="11.44140625" style="1" customWidth="1"/>
    <col min="7673" max="7673" width="15" style="1" customWidth="1"/>
    <col min="7674" max="7674" width="14.5546875" style="1" customWidth="1"/>
    <col min="7675" max="7675" width="10.33203125" style="1"/>
    <col min="7676" max="7676" width="7.44140625" style="1" customWidth="1"/>
    <col min="7677" max="7677" width="12.88671875" style="1" customWidth="1"/>
    <col min="7678" max="7678" width="11.109375" style="1" customWidth="1"/>
    <col min="7679" max="7679" width="14" style="1" customWidth="1"/>
    <col min="7680" max="7680" width="33" style="1" customWidth="1"/>
    <col min="7681" max="7681" width="6.6640625" style="1" customWidth="1"/>
    <col min="7682" max="7682" width="19" style="1" customWidth="1"/>
    <col min="7683" max="7683" width="19.109375" style="1" customWidth="1"/>
    <col min="7684" max="7684" width="21.33203125" style="1" customWidth="1"/>
    <col min="7685" max="7685" width="32.5546875" style="1" customWidth="1"/>
    <col min="7686" max="7686" width="16.88671875" style="1" customWidth="1"/>
    <col min="7687" max="7687" width="16.33203125" style="1" customWidth="1"/>
    <col min="7688" max="7918" width="10.33203125" style="1"/>
    <col min="7919" max="7919" width="4.44140625" style="1" customWidth="1"/>
    <col min="7920" max="7920" width="21.6640625" style="1" customWidth="1"/>
    <col min="7921" max="7921" width="15" style="1" customWidth="1"/>
    <col min="7922" max="7922" width="15.44140625" style="1" customWidth="1"/>
    <col min="7923" max="7923" width="11.5546875" style="1" customWidth="1"/>
    <col min="7924" max="7924" width="7.44140625" style="1" customWidth="1"/>
    <col min="7925" max="7925" width="14.109375" style="1" customWidth="1"/>
    <col min="7926" max="7926" width="10.6640625" style="1" customWidth="1"/>
    <col min="7927" max="7927" width="13.44140625" style="1" customWidth="1"/>
    <col min="7928" max="7928" width="11.44140625" style="1" customWidth="1"/>
    <col min="7929" max="7929" width="15" style="1" customWidth="1"/>
    <col min="7930" max="7930" width="14.5546875" style="1" customWidth="1"/>
    <col min="7931" max="7931" width="10.33203125" style="1"/>
    <col min="7932" max="7932" width="7.44140625" style="1" customWidth="1"/>
    <col min="7933" max="7933" width="12.88671875" style="1" customWidth="1"/>
    <col min="7934" max="7934" width="11.109375" style="1" customWidth="1"/>
    <col min="7935" max="7935" width="14" style="1" customWidth="1"/>
    <col min="7936" max="7936" width="33" style="1" customWidth="1"/>
    <col min="7937" max="7937" width="6.6640625" style="1" customWidth="1"/>
    <col min="7938" max="7938" width="19" style="1" customWidth="1"/>
    <col min="7939" max="7939" width="19.109375" style="1" customWidth="1"/>
    <col min="7940" max="7940" width="21.33203125" style="1" customWidth="1"/>
    <col min="7941" max="7941" width="32.5546875" style="1" customWidth="1"/>
    <col min="7942" max="7942" width="16.88671875" style="1" customWidth="1"/>
    <col min="7943" max="7943" width="16.33203125" style="1" customWidth="1"/>
    <col min="7944" max="8174" width="10.33203125" style="1"/>
    <col min="8175" max="8175" width="4.44140625" style="1" customWidth="1"/>
    <col min="8176" max="8176" width="21.6640625" style="1" customWidth="1"/>
    <col min="8177" max="8177" width="15" style="1" customWidth="1"/>
    <col min="8178" max="8178" width="15.44140625" style="1" customWidth="1"/>
    <col min="8179" max="8179" width="11.5546875" style="1" customWidth="1"/>
    <col min="8180" max="8180" width="7.44140625" style="1" customWidth="1"/>
    <col min="8181" max="8181" width="14.109375" style="1" customWidth="1"/>
    <col min="8182" max="8182" width="10.6640625" style="1" customWidth="1"/>
    <col min="8183" max="8183" width="13.44140625" style="1" customWidth="1"/>
    <col min="8184" max="8184" width="11.44140625" style="1" customWidth="1"/>
    <col min="8185" max="8185" width="15" style="1" customWidth="1"/>
    <col min="8186" max="8186" width="14.5546875" style="1" customWidth="1"/>
    <col min="8187" max="8187" width="10.33203125" style="1"/>
    <col min="8188" max="8188" width="7.44140625" style="1" customWidth="1"/>
    <col min="8189" max="8189" width="12.88671875" style="1" customWidth="1"/>
    <col min="8190" max="8190" width="11.109375" style="1" customWidth="1"/>
    <col min="8191" max="8191" width="14" style="1" customWidth="1"/>
    <col min="8192" max="8192" width="33" style="1" customWidth="1"/>
    <col min="8193" max="8193" width="6.6640625" style="1" customWidth="1"/>
    <col min="8194" max="8194" width="19" style="1" customWidth="1"/>
    <col min="8195" max="8195" width="19.109375" style="1" customWidth="1"/>
    <col min="8196" max="8196" width="21.33203125" style="1" customWidth="1"/>
    <col min="8197" max="8197" width="32.5546875" style="1" customWidth="1"/>
    <col min="8198" max="8198" width="16.88671875" style="1" customWidth="1"/>
    <col min="8199" max="8199" width="16.33203125" style="1" customWidth="1"/>
    <col min="8200" max="8430" width="10.33203125" style="1"/>
    <col min="8431" max="8431" width="4.44140625" style="1" customWidth="1"/>
    <col min="8432" max="8432" width="21.6640625" style="1" customWidth="1"/>
    <col min="8433" max="8433" width="15" style="1" customWidth="1"/>
    <col min="8434" max="8434" width="15.44140625" style="1" customWidth="1"/>
    <col min="8435" max="8435" width="11.5546875" style="1" customWidth="1"/>
    <col min="8436" max="8436" width="7.44140625" style="1" customWidth="1"/>
    <col min="8437" max="8437" width="14.109375" style="1" customWidth="1"/>
    <col min="8438" max="8438" width="10.6640625" style="1" customWidth="1"/>
    <col min="8439" max="8439" width="13.44140625" style="1" customWidth="1"/>
    <col min="8440" max="8440" width="11.44140625" style="1" customWidth="1"/>
    <col min="8441" max="8441" width="15" style="1" customWidth="1"/>
    <col min="8442" max="8442" width="14.5546875" style="1" customWidth="1"/>
    <col min="8443" max="8443" width="10.33203125" style="1"/>
    <col min="8444" max="8444" width="7.44140625" style="1" customWidth="1"/>
    <col min="8445" max="8445" width="12.88671875" style="1" customWidth="1"/>
    <col min="8446" max="8446" width="11.109375" style="1" customWidth="1"/>
    <col min="8447" max="8447" width="14" style="1" customWidth="1"/>
    <col min="8448" max="8448" width="33" style="1" customWidth="1"/>
    <col min="8449" max="8449" width="6.6640625" style="1" customWidth="1"/>
    <col min="8450" max="8450" width="19" style="1" customWidth="1"/>
    <col min="8451" max="8451" width="19.109375" style="1" customWidth="1"/>
    <col min="8452" max="8452" width="21.33203125" style="1" customWidth="1"/>
    <col min="8453" max="8453" width="32.5546875" style="1" customWidth="1"/>
    <col min="8454" max="8454" width="16.88671875" style="1" customWidth="1"/>
    <col min="8455" max="8455" width="16.33203125" style="1" customWidth="1"/>
    <col min="8456" max="8686" width="10.33203125" style="1"/>
    <col min="8687" max="8687" width="4.44140625" style="1" customWidth="1"/>
    <col min="8688" max="8688" width="21.6640625" style="1" customWidth="1"/>
    <col min="8689" max="8689" width="15" style="1" customWidth="1"/>
    <col min="8690" max="8690" width="15.44140625" style="1" customWidth="1"/>
    <col min="8691" max="8691" width="11.5546875" style="1" customWidth="1"/>
    <col min="8692" max="8692" width="7.44140625" style="1" customWidth="1"/>
    <col min="8693" max="8693" width="14.109375" style="1" customWidth="1"/>
    <col min="8694" max="8694" width="10.6640625" style="1" customWidth="1"/>
    <col min="8695" max="8695" width="13.44140625" style="1" customWidth="1"/>
    <col min="8696" max="8696" width="11.44140625" style="1" customWidth="1"/>
    <col min="8697" max="8697" width="15" style="1" customWidth="1"/>
    <col min="8698" max="8698" width="14.5546875" style="1" customWidth="1"/>
    <col min="8699" max="8699" width="10.33203125" style="1"/>
    <col min="8700" max="8700" width="7.44140625" style="1" customWidth="1"/>
    <col min="8701" max="8701" width="12.88671875" style="1" customWidth="1"/>
    <col min="8702" max="8702" width="11.109375" style="1" customWidth="1"/>
    <col min="8703" max="8703" width="14" style="1" customWidth="1"/>
    <col min="8704" max="8704" width="33" style="1" customWidth="1"/>
    <col min="8705" max="8705" width="6.6640625" style="1" customWidth="1"/>
    <col min="8706" max="8706" width="19" style="1" customWidth="1"/>
    <col min="8707" max="8707" width="19.109375" style="1" customWidth="1"/>
    <col min="8708" max="8708" width="21.33203125" style="1" customWidth="1"/>
    <col min="8709" max="8709" width="32.5546875" style="1" customWidth="1"/>
    <col min="8710" max="8710" width="16.88671875" style="1" customWidth="1"/>
    <col min="8711" max="8711" width="16.33203125" style="1" customWidth="1"/>
    <col min="8712" max="8942" width="10.33203125" style="1"/>
    <col min="8943" max="8943" width="4.44140625" style="1" customWidth="1"/>
    <col min="8944" max="8944" width="21.6640625" style="1" customWidth="1"/>
    <col min="8945" max="8945" width="15" style="1" customWidth="1"/>
    <col min="8946" max="8946" width="15.44140625" style="1" customWidth="1"/>
    <col min="8947" max="8947" width="11.5546875" style="1" customWidth="1"/>
    <col min="8948" max="8948" width="7.44140625" style="1" customWidth="1"/>
    <col min="8949" max="8949" width="14.109375" style="1" customWidth="1"/>
    <col min="8950" max="8950" width="10.6640625" style="1" customWidth="1"/>
    <col min="8951" max="8951" width="13.44140625" style="1" customWidth="1"/>
    <col min="8952" max="8952" width="11.44140625" style="1" customWidth="1"/>
    <col min="8953" max="8953" width="15" style="1" customWidth="1"/>
    <col min="8954" max="8954" width="14.5546875" style="1" customWidth="1"/>
    <col min="8955" max="8955" width="10.33203125" style="1"/>
    <col min="8956" max="8956" width="7.44140625" style="1" customWidth="1"/>
    <col min="8957" max="8957" width="12.88671875" style="1" customWidth="1"/>
    <col min="8958" max="8958" width="11.109375" style="1" customWidth="1"/>
    <col min="8959" max="8959" width="14" style="1" customWidth="1"/>
    <col min="8960" max="8960" width="33" style="1" customWidth="1"/>
    <col min="8961" max="8961" width="6.6640625" style="1" customWidth="1"/>
    <col min="8962" max="8962" width="19" style="1" customWidth="1"/>
    <col min="8963" max="8963" width="19.109375" style="1" customWidth="1"/>
    <col min="8964" max="8964" width="21.33203125" style="1" customWidth="1"/>
    <col min="8965" max="8965" width="32.5546875" style="1" customWidth="1"/>
    <col min="8966" max="8966" width="16.88671875" style="1" customWidth="1"/>
    <col min="8967" max="8967" width="16.33203125" style="1" customWidth="1"/>
    <col min="8968" max="9198" width="10.33203125" style="1"/>
    <col min="9199" max="9199" width="4.44140625" style="1" customWidth="1"/>
    <col min="9200" max="9200" width="21.6640625" style="1" customWidth="1"/>
    <col min="9201" max="9201" width="15" style="1" customWidth="1"/>
    <col min="9202" max="9202" width="15.44140625" style="1" customWidth="1"/>
    <col min="9203" max="9203" width="11.5546875" style="1" customWidth="1"/>
    <col min="9204" max="9204" width="7.44140625" style="1" customWidth="1"/>
    <col min="9205" max="9205" width="14.109375" style="1" customWidth="1"/>
    <col min="9206" max="9206" width="10.6640625" style="1" customWidth="1"/>
    <col min="9207" max="9207" width="13.44140625" style="1" customWidth="1"/>
    <col min="9208" max="9208" width="11.44140625" style="1" customWidth="1"/>
    <col min="9209" max="9209" width="15" style="1" customWidth="1"/>
    <col min="9210" max="9210" width="14.5546875" style="1" customWidth="1"/>
    <col min="9211" max="9211" width="10.33203125" style="1"/>
    <col min="9212" max="9212" width="7.44140625" style="1" customWidth="1"/>
    <col min="9213" max="9213" width="12.88671875" style="1" customWidth="1"/>
    <col min="9214" max="9214" width="11.109375" style="1" customWidth="1"/>
    <col min="9215" max="9215" width="14" style="1" customWidth="1"/>
    <col min="9216" max="9216" width="33" style="1" customWidth="1"/>
    <col min="9217" max="9217" width="6.6640625" style="1" customWidth="1"/>
    <col min="9218" max="9218" width="19" style="1" customWidth="1"/>
    <col min="9219" max="9219" width="19.109375" style="1" customWidth="1"/>
    <col min="9220" max="9220" width="21.33203125" style="1" customWidth="1"/>
    <col min="9221" max="9221" width="32.5546875" style="1" customWidth="1"/>
    <col min="9222" max="9222" width="16.88671875" style="1" customWidth="1"/>
    <col min="9223" max="9223" width="16.33203125" style="1" customWidth="1"/>
    <col min="9224" max="9454" width="10.33203125" style="1"/>
    <col min="9455" max="9455" width="4.44140625" style="1" customWidth="1"/>
    <col min="9456" max="9456" width="21.6640625" style="1" customWidth="1"/>
    <col min="9457" max="9457" width="15" style="1" customWidth="1"/>
    <col min="9458" max="9458" width="15.44140625" style="1" customWidth="1"/>
    <col min="9459" max="9459" width="11.5546875" style="1" customWidth="1"/>
    <col min="9460" max="9460" width="7.44140625" style="1" customWidth="1"/>
    <col min="9461" max="9461" width="14.109375" style="1" customWidth="1"/>
    <col min="9462" max="9462" width="10.6640625" style="1" customWidth="1"/>
    <col min="9463" max="9463" width="13.44140625" style="1" customWidth="1"/>
    <col min="9464" max="9464" width="11.44140625" style="1" customWidth="1"/>
    <col min="9465" max="9465" width="15" style="1" customWidth="1"/>
    <col min="9466" max="9466" width="14.5546875" style="1" customWidth="1"/>
    <col min="9467" max="9467" width="10.33203125" style="1"/>
    <col min="9468" max="9468" width="7.44140625" style="1" customWidth="1"/>
    <col min="9469" max="9469" width="12.88671875" style="1" customWidth="1"/>
    <col min="9470" max="9470" width="11.109375" style="1" customWidth="1"/>
    <col min="9471" max="9471" width="14" style="1" customWidth="1"/>
    <col min="9472" max="9472" width="33" style="1" customWidth="1"/>
    <col min="9473" max="9473" width="6.6640625" style="1" customWidth="1"/>
    <col min="9474" max="9474" width="19" style="1" customWidth="1"/>
    <col min="9475" max="9475" width="19.109375" style="1" customWidth="1"/>
    <col min="9476" max="9476" width="21.33203125" style="1" customWidth="1"/>
    <col min="9477" max="9477" width="32.5546875" style="1" customWidth="1"/>
    <col min="9478" max="9478" width="16.88671875" style="1" customWidth="1"/>
    <col min="9479" max="9479" width="16.33203125" style="1" customWidth="1"/>
    <col min="9480" max="9710" width="10.33203125" style="1"/>
    <col min="9711" max="9711" width="4.44140625" style="1" customWidth="1"/>
    <col min="9712" max="9712" width="21.6640625" style="1" customWidth="1"/>
    <col min="9713" max="9713" width="15" style="1" customWidth="1"/>
    <col min="9714" max="9714" width="15.44140625" style="1" customWidth="1"/>
    <col min="9715" max="9715" width="11.5546875" style="1" customWidth="1"/>
    <col min="9716" max="9716" width="7.44140625" style="1" customWidth="1"/>
    <col min="9717" max="9717" width="14.109375" style="1" customWidth="1"/>
    <col min="9718" max="9718" width="10.6640625" style="1" customWidth="1"/>
    <col min="9719" max="9719" width="13.44140625" style="1" customWidth="1"/>
    <col min="9720" max="9720" width="11.44140625" style="1" customWidth="1"/>
    <col min="9721" max="9721" width="15" style="1" customWidth="1"/>
    <col min="9722" max="9722" width="14.5546875" style="1" customWidth="1"/>
    <col min="9723" max="9723" width="10.33203125" style="1"/>
    <col min="9724" max="9724" width="7.44140625" style="1" customWidth="1"/>
    <col min="9725" max="9725" width="12.88671875" style="1" customWidth="1"/>
    <col min="9726" max="9726" width="11.109375" style="1" customWidth="1"/>
    <col min="9727" max="9727" width="14" style="1" customWidth="1"/>
    <col min="9728" max="9728" width="33" style="1" customWidth="1"/>
    <col min="9729" max="9729" width="6.6640625" style="1" customWidth="1"/>
    <col min="9730" max="9730" width="19" style="1" customWidth="1"/>
    <col min="9731" max="9731" width="19.109375" style="1" customWidth="1"/>
    <col min="9732" max="9732" width="21.33203125" style="1" customWidth="1"/>
    <col min="9733" max="9733" width="32.5546875" style="1" customWidth="1"/>
    <col min="9734" max="9734" width="16.88671875" style="1" customWidth="1"/>
    <col min="9735" max="9735" width="16.33203125" style="1" customWidth="1"/>
    <col min="9736" max="9966" width="10.33203125" style="1"/>
    <col min="9967" max="9967" width="4.44140625" style="1" customWidth="1"/>
    <col min="9968" max="9968" width="21.6640625" style="1" customWidth="1"/>
    <col min="9969" max="9969" width="15" style="1" customWidth="1"/>
    <col min="9970" max="9970" width="15.44140625" style="1" customWidth="1"/>
    <col min="9971" max="9971" width="11.5546875" style="1" customWidth="1"/>
    <col min="9972" max="9972" width="7.44140625" style="1" customWidth="1"/>
    <col min="9973" max="9973" width="14.109375" style="1" customWidth="1"/>
    <col min="9974" max="9974" width="10.6640625" style="1" customWidth="1"/>
    <col min="9975" max="9975" width="13.44140625" style="1" customWidth="1"/>
    <col min="9976" max="9976" width="11.44140625" style="1" customWidth="1"/>
    <col min="9977" max="9977" width="15" style="1" customWidth="1"/>
    <col min="9978" max="9978" width="14.5546875" style="1" customWidth="1"/>
    <col min="9979" max="9979" width="10.33203125" style="1"/>
    <col min="9980" max="9980" width="7.44140625" style="1" customWidth="1"/>
    <col min="9981" max="9981" width="12.88671875" style="1" customWidth="1"/>
    <col min="9982" max="9982" width="11.109375" style="1" customWidth="1"/>
    <col min="9983" max="9983" width="14" style="1" customWidth="1"/>
    <col min="9984" max="9984" width="33" style="1" customWidth="1"/>
    <col min="9985" max="9985" width="6.6640625" style="1" customWidth="1"/>
    <col min="9986" max="9986" width="19" style="1" customWidth="1"/>
    <col min="9987" max="9987" width="19.109375" style="1" customWidth="1"/>
    <col min="9988" max="9988" width="21.33203125" style="1" customWidth="1"/>
    <col min="9989" max="9989" width="32.5546875" style="1" customWidth="1"/>
    <col min="9990" max="9990" width="16.88671875" style="1" customWidth="1"/>
    <col min="9991" max="9991" width="16.33203125" style="1" customWidth="1"/>
    <col min="9992" max="10222" width="10.33203125" style="1"/>
    <col min="10223" max="10223" width="4.44140625" style="1" customWidth="1"/>
    <col min="10224" max="10224" width="21.6640625" style="1" customWidth="1"/>
    <col min="10225" max="10225" width="15" style="1" customWidth="1"/>
    <col min="10226" max="10226" width="15.44140625" style="1" customWidth="1"/>
    <col min="10227" max="10227" width="11.5546875" style="1" customWidth="1"/>
    <col min="10228" max="10228" width="7.44140625" style="1" customWidth="1"/>
    <col min="10229" max="10229" width="14.109375" style="1" customWidth="1"/>
    <col min="10230" max="10230" width="10.6640625" style="1" customWidth="1"/>
    <col min="10231" max="10231" width="13.44140625" style="1" customWidth="1"/>
    <col min="10232" max="10232" width="11.44140625" style="1" customWidth="1"/>
    <col min="10233" max="10233" width="15" style="1" customWidth="1"/>
    <col min="10234" max="10234" width="14.5546875" style="1" customWidth="1"/>
    <col min="10235" max="10235" width="10.33203125" style="1"/>
    <col min="10236" max="10236" width="7.44140625" style="1" customWidth="1"/>
    <col min="10237" max="10237" width="12.88671875" style="1" customWidth="1"/>
    <col min="10238" max="10238" width="11.109375" style="1" customWidth="1"/>
    <col min="10239" max="10239" width="14" style="1" customWidth="1"/>
    <col min="10240" max="10240" width="33" style="1" customWidth="1"/>
    <col min="10241" max="10241" width="6.6640625" style="1" customWidth="1"/>
    <col min="10242" max="10242" width="19" style="1" customWidth="1"/>
    <col min="10243" max="10243" width="19.109375" style="1" customWidth="1"/>
    <col min="10244" max="10244" width="21.33203125" style="1" customWidth="1"/>
    <col min="10245" max="10245" width="32.5546875" style="1" customWidth="1"/>
    <col min="10246" max="10246" width="16.88671875" style="1" customWidth="1"/>
    <col min="10247" max="10247" width="16.33203125" style="1" customWidth="1"/>
    <col min="10248" max="10478" width="10.33203125" style="1"/>
    <col min="10479" max="10479" width="4.44140625" style="1" customWidth="1"/>
    <col min="10480" max="10480" width="21.6640625" style="1" customWidth="1"/>
    <col min="10481" max="10481" width="15" style="1" customWidth="1"/>
    <col min="10482" max="10482" width="15.44140625" style="1" customWidth="1"/>
    <col min="10483" max="10483" width="11.5546875" style="1" customWidth="1"/>
    <col min="10484" max="10484" width="7.44140625" style="1" customWidth="1"/>
    <col min="10485" max="10485" width="14.109375" style="1" customWidth="1"/>
    <col min="10486" max="10486" width="10.6640625" style="1" customWidth="1"/>
    <col min="10487" max="10487" width="13.44140625" style="1" customWidth="1"/>
    <col min="10488" max="10488" width="11.44140625" style="1" customWidth="1"/>
    <col min="10489" max="10489" width="15" style="1" customWidth="1"/>
    <col min="10490" max="10490" width="14.5546875" style="1" customWidth="1"/>
    <col min="10491" max="10491" width="10.33203125" style="1"/>
    <col min="10492" max="10492" width="7.44140625" style="1" customWidth="1"/>
    <col min="10493" max="10493" width="12.88671875" style="1" customWidth="1"/>
    <col min="10494" max="10494" width="11.109375" style="1" customWidth="1"/>
    <col min="10495" max="10495" width="14" style="1" customWidth="1"/>
    <col min="10496" max="10496" width="33" style="1" customWidth="1"/>
    <col min="10497" max="10497" width="6.6640625" style="1" customWidth="1"/>
    <col min="10498" max="10498" width="19" style="1" customWidth="1"/>
    <col min="10499" max="10499" width="19.109375" style="1" customWidth="1"/>
    <col min="10500" max="10500" width="21.33203125" style="1" customWidth="1"/>
    <col min="10501" max="10501" width="32.5546875" style="1" customWidth="1"/>
    <col min="10502" max="10502" width="16.88671875" style="1" customWidth="1"/>
    <col min="10503" max="10503" width="16.33203125" style="1" customWidth="1"/>
    <col min="10504" max="10734" width="10.33203125" style="1"/>
    <col min="10735" max="10735" width="4.44140625" style="1" customWidth="1"/>
    <col min="10736" max="10736" width="21.6640625" style="1" customWidth="1"/>
    <col min="10737" max="10737" width="15" style="1" customWidth="1"/>
    <col min="10738" max="10738" width="15.44140625" style="1" customWidth="1"/>
    <col min="10739" max="10739" width="11.5546875" style="1" customWidth="1"/>
    <col min="10740" max="10740" width="7.44140625" style="1" customWidth="1"/>
    <col min="10741" max="10741" width="14.109375" style="1" customWidth="1"/>
    <col min="10742" max="10742" width="10.6640625" style="1" customWidth="1"/>
    <col min="10743" max="10743" width="13.44140625" style="1" customWidth="1"/>
    <col min="10744" max="10744" width="11.44140625" style="1" customWidth="1"/>
    <col min="10745" max="10745" width="15" style="1" customWidth="1"/>
    <col min="10746" max="10746" width="14.5546875" style="1" customWidth="1"/>
    <col min="10747" max="10747" width="10.33203125" style="1"/>
    <col min="10748" max="10748" width="7.44140625" style="1" customWidth="1"/>
    <col min="10749" max="10749" width="12.88671875" style="1" customWidth="1"/>
    <col min="10750" max="10750" width="11.109375" style="1" customWidth="1"/>
    <col min="10751" max="10751" width="14" style="1" customWidth="1"/>
    <col min="10752" max="10752" width="33" style="1" customWidth="1"/>
    <col min="10753" max="10753" width="6.6640625" style="1" customWidth="1"/>
    <col min="10754" max="10754" width="19" style="1" customWidth="1"/>
    <col min="10755" max="10755" width="19.109375" style="1" customWidth="1"/>
    <col min="10756" max="10756" width="21.33203125" style="1" customWidth="1"/>
    <col min="10757" max="10757" width="32.5546875" style="1" customWidth="1"/>
    <col min="10758" max="10758" width="16.88671875" style="1" customWidth="1"/>
    <col min="10759" max="10759" width="16.33203125" style="1" customWidth="1"/>
    <col min="10760" max="10990" width="10.33203125" style="1"/>
    <col min="10991" max="10991" width="4.44140625" style="1" customWidth="1"/>
    <col min="10992" max="10992" width="21.6640625" style="1" customWidth="1"/>
    <col min="10993" max="10993" width="15" style="1" customWidth="1"/>
    <col min="10994" max="10994" width="15.44140625" style="1" customWidth="1"/>
    <col min="10995" max="10995" width="11.5546875" style="1" customWidth="1"/>
    <col min="10996" max="10996" width="7.44140625" style="1" customWidth="1"/>
    <col min="10997" max="10997" width="14.109375" style="1" customWidth="1"/>
    <col min="10998" max="10998" width="10.6640625" style="1" customWidth="1"/>
    <col min="10999" max="10999" width="13.44140625" style="1" customWidth="1"/>
    <col min="11000" max="11000" width="11.44140625" style="1" customWidth="1"/>
    <col min="11001" max="11001" width="15" style="1" customWidth="1"/>
    <col min="11002" max="11002" width="14.5546875" style="1" customWidth="1"/>
    <col min="11003" max="11003" width="10.33203125" style="1"/>
    <col min="11004" max="11004" width="7.44140625" style="1" customWidth="1"/>
    <col min="11005" max="11005" width="12.88671875" style="1" customWidth="1"/>
    <col min="11006" max="11006" width="11.109375" style="1" customWidth="1"/>
    <col min="11007" max="11007" width="14" style="1" customWidth="1"/>
    <col min="11008" max="11008" width="33" style="1" customWidth="1"/>
    <col min="11009" max="11009" width="6.6640625" style="1" customWidth="1"/>
    <col min="11010" max="11010" width="19" style="1" customWidth="1"/>
    <col min="11011" max="11011" width="19.109375" style="1" customWidth="1"/>
    <col min="11012" max="11012" width="21.33203125" style="1" customWidth="1"/>
    <col min="11013" max="11013" width="32.5546875" style="1" customWidth="1"/>
    <col min="11014" max="11014" width="16.88671875" style="1" customWidth="1"/>
    <col min="11015" max="11015" width="16.33203125" style="1" customWidth="1"/>
    <col min="11016" max="11246" width="10.33203125" style="1"/>
    <col min="11247" max="11247" width="4.44140625" style="1" customWidth="1"/>
    <col min="11248" max="11248" width="21.6640625" style="1" customWidth="1"/>
    <col min="11249" max="11249" width="15" style="1" customWidth="1"/>
    <col min="11250" max="11250" width="15.44140625" style="1" customWidth="1"/>
    <col min="11251" max="11251" width="11.5546875" style="1" customWidth="1"/>
    <col min="11252" max="11252" width="7.44140625" style="1" customWidth="1"/>
    <col min="11253" max="11253" width="14.109375" style="1" customWidth="1"/>
    <col min="11254" max="11254" width="10.6640625" style="1" customWidth="1"/>
    <col min="11255" max="11255" width="13.44140625" style="1" customWidth="1"/>
    <col min="11256" max="11256" width="11.44140625" style="1" customWidth="1"/>
    <col min="11257" max="11257" width="15" style="1" customWidth="1"/>
    <col min="11258" max="11258" width="14.5546875" style="1" customWidth="1"/>
    <col min="11259" max="11259" width="10.33203125" style="1"/>
    <col min="11260" max="11260" width="7.44140625" style="1" customWidth="1"/>
    <col min="11261" max="11261" width="12.88671875" style="1" customWidth="1"/>
    <col min="11262" max="11262" width="11.109375" style="1" customWidth="1"/>
    <col min="11263" max="11263" width="14" style="1" customWidth="1"/>
    <col min="11264" max="11264" width="33" style="1" customWidth="1"/>
    <col min="11265" max="11265" width="6.6640625" style="1" customWidth="1"/>
    <col min="11266" max="11266" width="19" style="1" customWidth="1"/>
    <col min="11267" max="11267" width="19.109375" style="1" customWidth="1"/>
    <col min="11268" max="11268" width="21.33203125" style="1" customWidth="1"/>
    <col min="11269" max="11269" width="32.5546875" style="1" customWidth="1"/>
    <col min="11270" max="11270" width="16.88671875" style="1" customWidth="1"/>
    <col min="11271" max="11271" width="16.33203125" style="1" customWidth="1"/>
    <col min="11272" max="11502" width="10.33203125" style="1"/>
    <col min="11503" max="11503" width="4.44140625" style="1" customWidth="1"/>
    <col min="11504" max="11504" width="21.6640625" style="1" customWidth="1"/>
    <col min="11505" max="11505" width="15" style="1" customWidth="1"/>
    <col min="11506" max="11506" width="15.44140625" style="1" customWidth="1"/>
    <col min="11507" max="11507" width="11.5546875" style="1" customWidth="1"/>
    <col min="11508" max="11508" width="7.44140625" style="1" customWidth="1"/>
    <col min="11509" max="11509" width="14.109375" style="1" customWidth="1"/>
    <col min="11510" max="11510" width="10.6640625" style="1" customWidth="1"/>
    <col min="11511" max="11511" width="13.44140625" style="1" customWidth="1"/>
    <col min="11512" max="11512" width="11.44140625" style="1" customWidth="1"/>
    <col min="11513" max="11513" width="15" style="1" customWidth="1"/>
    <col min="11514" max="11514" width="14.5546875" style="1" customWidth="1"/>
    <col min="11515" max="11515" width="10.33203125" style="1"/>
    <col min="11516" max="11516" width="7.44140625" style="1" customWidth="1"/>
    <col min="11517" max="11517" width="12.88671875" style="1" customWidth="1"/>
    <col min="11518" max="11518" width="11.109375" style="1" customWidth="1"/>
    <col min="11519" max="11519" width="14" style="1" customWidth="1"/>
    <col min="11520" max="11520" width="33" style="1" customWidth="1"/>
    <col min="11521" max="11521" width="6.6640625" style="1" customWidth="1"/>
    <col min="11522" max="11522" width="19" style="1" customWidth="1"/>
    <col min="11523" max="11523" width="19.109375" style="1" customWidth="1"/>
    <col min="11524" max="11524" width="21.33203125" style="1" customWidth="1"/>
    <col min="11525" max="11525" width="32.5546875" style="1" customWidth="1"/>
    <col min="11526" max="11526" width="16.88671875" style="1" customWidth="1"/>
    <col min="11527" max="11527" width="16.33203125" style="1" customWidth="1"/>
    <col min="11528" max="11758" width="10.33203125" style="1"/>
    <col min="11759" max="11759" width="4.44140625" style="1" customWidth="1"/>
    <col min="11760" max="11760" width="21.6640625" style="1" customWidth="1"/>
    <col min="11761" max="11761" width="15" style="1" customWidth="1"/>
    <col min="11762" max="11762" width="15.44140625" style="1" customWidth="1"/>
    <col min="11763" max="11763" width="11.5546875" style="1" customWidth="1"/>
    <col min="11764" max="11764" width="7.44140625" style="1" customWidth="1"/>
    <col min="11765" max="11765" width="14.109375" style="1" customWidth="1"/>
    <col min="11766" max="11766" width="10.6640625" style="1" customWidth="1"/>
    <col min="11767" max="11767" width="13.44140625" style="1" customWidth="1"/>
    <col min="11768" max="11768" width="11.44140625" style="1" customWidth="1"/>
    <col min="11769" max="11769" width="15" style="1" customWidth="1"/>
    <col min="11770" max="11770" width="14.5546875" style="1" customWidth="1"/>
    <col min="11771" max="11771" width="10.33203125" style="1"/>
    <col min="11772" max="11772" width="7.44140625" style="1" customWidth="1"/>
    <col min="11773" max="11773" width="12.88671875" style="1" customWidth="1"/>
    <col min="11774" max="11774" width="11.109375" style="1" customWidth="1"/>
    <col min="11775" max="11775" width="14" style="1" customWidth="1"/>
    <col min="11776" max="11776" width="33" style="1" customWidth="1"/>
    <col min="11777" max="11777" width="6.6640625" style="1" customWidth="1"/>
    <col min="11778" max="11778" width="19" style="1" customWidth="1"/>
    <col min="11779" max="11779" width="19.109375" style="1" customWidth="1"/>
    <col min="11780" max="11780" width="21.33203125" style="1" customWidth="1"/>
    <col min="11781" max="11781" width="32.5546875" style="1" customWidth="1"/>
    <col min="11782" max="11782" width="16.88671875" style="1" customWidth="1"/>
    <col min="11783" max="11783" width="16.33203125" style="1" customWidth="1"/>
    <col min="11784" max="12014" width="10.33203125" style="1"/>
    <col min="12015" max="12015" width="4.44140625" style="1" customWidth="1"/>
    <col min="12016" max="12016" width="21.6640625" style="1" customWidth="1"/>
    <col min="12017" max="12017" width="15" style="1" customWidth="1"/>
    <col min="12018" max="12018" width="15.44140625" style="1" customWidth="1"/>
    <col min="12019" max="12019" width="11.5546875" style="1" customWidth="1"/>
    <col min="12020" max="12020" width="7.44140625" style="1" customWidth="1"/>
    <col min="12021" max="12021" width="14.109375" style="1" customWidth="1"/>
    <col min="12022" max="12022" width="10.6640625" style="1" customWidth="1"/>
    <col min="12023" max="12023" width="13.44140625" style="1" customWidth="1"/>
    <col min="12024" max="12024" width="11.44140625" style="1" customWidth="1"/>
    <col min="12025" max="12025" width="15" style="1" customWidth="1"/>
    <col min="12026" max="12026" width="14.5546875" style="1" customWidth="1"/>
    <col min="12027" max="12027" width="10.33203125" style="1"/>
    <col min="12028" max="12028" width="7.44140625" style="1" customWidth="1"/>
    <col min="12029" max="12029" width="12.88671875" style="1" customWidth="1"/>
    <col min="12030" max="12030" width="11.109375" style="1" customWidth="1"/>
    <col min="12031" max="12031" width="14" style="1" customWidth="1"/>
    <col min="12032" max="12032" width="33" style="1" customWidth="1"/>
    <col min="12033" max="12033" width="6.6640625" style="1" customWidth="1"/>
    <col min="12034" max="12034" width="19" style="1" customWidth="1"/>
    <col min="12035" max="12035" width="19.109375" style="1" customWidth="1"/>
    <col min="12036" max="12036" width="21.33203125" style="1" customWidth="1"/>
    <col min="12037" max="12037" width="32.5546875" style="1" customWidth="1"/>
    <col min="12038" max="12038" width="16.88671875" style="1" customWidth="1"/>
    <col min="12039" max="12039" width="16.33203125" style="1" customWidth="1"/>
    <col min="12040" max="12270" width="10.33203125" style="1"/>
    <col min="12271" max="12271" width="4.44140625" style="1" customWidth="1"/>
    <col min="12272" max="12272" width="21.6640625" style="1" customWidth="1"/>
    <col min="12273" max="12273" width="15" style="1" customWidth="1"/>
    <col min="12274" max="12274" width="15.44140625" style="1" customWidth="1"/>
    <col min="12275" max="12275" width="11.5546875" style="1" customWidth="1"/>
    <col min="12276" max="12276" width="7.44140625" style="1" customWidth="1"/>
    <col min="12277" max="12277" width="14.109375" style="1" customWidth="1"/>
    <col min="12278" max="12278" width="10.6640625" style="1" customWidth="1"/>
    <col min="12279" max="12279" width="13.44140625" style="1" customWidth="1"/>
    <col min="12280" max="12280" width="11.44140625" style="1" customWidth="1"/>
    <col min="12281" max="12281" width="15" style="1" customWidth="1"/>
    <col min="12282" max="12282" width="14.5546875" style="1" customWidth="1"/>
    <col min="12283" max="12283" width="10.33203125" style="1"/>
    <col min="12284" max="12284" width="7.44140625" style="1" customWidth="1"/>
    <col min="12285" max="12285" width="12.88671875" style="1" customWidth="1"/>
    <col min="12286" max="12286" width="11.109375" style="1" customWidth="1"/>
    <col min="12287" max="12287" width="14" style="1" customWidth="1"/>
    <col min="12288" max="12288" width="33" style="1" customWidth="1"/>
    <col min="12289" max="12289" width="6.6640625" style="1" customWidth="1"/>
    <col min="12290" max="12290" width="19" style="1" customWidth="1"/>
    <col min="12291" max="12291" width="19.109375" style="1" customWidth="1"/>
    <col min="12292" max="12292" width="21.33203125" style="1" customWidth="1"/>
    <col min="12293" max="12293" width="32.5546875" style="1" customWidth="1"/>
    <col min="12294" max="12294" width="16.88671875" style="1" customWidth="1"/>
    <col min="12295" max="12295" width="16.33203125" style="1" customWidth="1"/>
    <col min="12296" max="12526" width="10.33203125" style="1"/>
    <col min="12527" max="12527" width="4.44140625" style="1" customWidth="1"/>
    <col min="12528" max="12528" width="21.6640625" style="1" customWidth="1"/>
    <col min="12529" max="12529" width="15" style="1" customWidth="1"/>
    <col min="12530" max="12530" width="15.44140625" style="1" customWidth="1"/>
    <col min="12531" max="12531" width="11.5546875" style="1" customWidth="1"/>
    <col min="12532" max="12532" width="7.44140625" style="1" customWidth="1"/>
    <col min="12533" max="12533" width="14.109375" style="1" customWidth="1"/>
    <col min="12534" max="12534" width="10.6640625" style="1" customWidth="1"/>
    <col min="12535" max="12535" width="13.44140625" style="1" customWidth="1"/>
    <col min="12536" max="12536" width="11.44140625" style="1" customWidth="1"/>
    <col min="12537" max="12537" width="15" style="1" customWidth="1"/>
    <col min="12538" max="12538" width="14.5546875" style="1" customWidth="1"/>
    <col min="12539" max="12539" width="10.33203125" style="1"/>
    <col min="12540" max="12540" width="7.44140625" style="1" customWidth="1"/>
    <col min="12541" max="12541" width="12.88671875" style="1" customWidth="1"/>
    <col min="12542" max="12542" width="11.109375" style="1" customWidth="1"/>
    <col min="12543" max="12543" width="14" style="1" customWidth="1"/>
    <col min="12544" max="12544" width="33" style="1" customWidth="1"/>
    <col min="12545" max="12545" width="6.6640625" style="1" customWidth="1"/>
    <col min="12546" max="12546" width="19" style="1" customWidth="1"/>
    <col min="12547" max="12547" width="19.109375" style="1" customWidth="1"/>
    <col min="12548" max="12548" width="21.33203125" style="1" customWidth="1"/>
    <col min="12549" max="12549" width="32.5546875" style="1" customWidth="1"/>
    <col min="12550" max="12550" width="16.88671875" style="1" customWidth="1"/>
    <col min="12551" max="12551" width="16.33203125" style="1" customWidth="1"/>
    <col min="12552" max="12782" width="10.33203125" style="1"/>
    <col min="12783" max="12783" width="4.44140625" style="1" customWidth="1"/>
    <col min="12784" max="12784" width="21.6640625" style="1" customWidth="1"/>
    <col min="12785" max="12785" width="15" style="1" customWidth="1"/>
    <col min="12786" max="12786" width="15.44140625" style="1" customWidth="1"/>
    <col min="12787" max="12787" width="11.5546875" style="1" customWidth="1"/>
    <col min="12788" max="12788" width="7.44140625" style="1" customWidth="1"/>
    <col min="12789" max="12789" width="14.109375" style="1" customWidth="1"/>
    <col min="12790" max="12790" width="10.6640625" style="1" customWidth="1"/>
    <col min="12791" max="12791" width="13.44140625" style="1" customWidth="1"/>
    <col min="12792" max="12792" width="11.44140625" style="1" customWidth="1"/>
    <col min="12793" max="12793" width="15" style="1" customWidth="1"/>
    <col min="12794" max="12794" width="14.5546875" style="1" customWidth="1"/>
    <col min="12795" max="12795" width="10.33203125" style="1"/>
    <col min="12796" max="12796" width="7.44140625" style="1" customWidth="1"/>
    <col min="12797" max="12797" width="12.88671875" style="1" customWidth="1"/>
    <col min="12798" max="12798" width="11.109375" style="1" customWidth="1"/>
    <col min="12799" max="12799" width="14" style="1" customWidth="1"/>
    <col min="12800" max="12800" width="33" style="1" customWidth="1"/>
    <col min="12801" max="12801" width="6.6640625" style="1" customWidth="1"/>
    <col min="12802" max="12802" width="19" style="1" customWidth="1"/>
    <col min="12803" max="12803" width="19.109375" style="1" customWidth="1"/>
    <col min="12804" max="12804" width="21.33203125" style="1" customWidth="1"/>
    <col min="12805" max="12805" width="32.5546875" style="1" customWidth="1"/>
    <col min="12806" max="12806" width="16.88671875" style="1" customWidth="1"/>
    <col min="12807" max="12807" width="16.33203125" style="1" customWidth="1"/>
    <col min="12808" max="13038" width="10.33203125" style="1"/>
    <col min="13039" max="13039" width="4.44140625" style="1" customWidth="1"/>
    <col min="13040" max="13040" width="21.6640625" style="1" customWidth="1"/>
    <col min="13041" max="13041" width="15" style="1" customWidth="1"/>
    <col min="13042" max="13042" width="15.44140625" style="1" customWidth="1"/>
    <col min="13043" max="13043" width="11.5546875" style="1" customWidth="1"/>
    <col min="13044" max="13044" width="7.44140625" style="1" customWidth="1"/>
    <col min="13045" max="13045" width="14.109375" style="1" customWidth="1"/>
    <col min="13046" max="13046" width="10.6640625" style="1" customWidth="1"/>
    <col min="13047" max="13047" width="13.44140625" style="1" customWidth="1"/>
    <col min="13048" max="13048" width="11.44140625" style="1" customWidth="1"/>
    <col min="13049" max="13049" width="15" style="1" customWidth="1"/>
    <col min="13050" max="13050" width="14.5546875" style="1" customWidth="1"/>
    <col min="13051" max="13051" width="10.33203125" style="1"/>
    <col min="13052" max="13052" width="7.44140625" style="1" customWidth="1"/>
    <col min="13053" max="13053" width="12.88671875" style="1" customWidth="1"/>
    <col min="13054" max="13054" width="11.109375" style="1" customWidth="1"/>
    <col min="13055" max="13055" width="14" style="1" customWidth="1"/>
    <col min="13056" max="13056" width="33" style="1" customWidth="1"/>
    <col min="13057" max="13057" width="6.6640625" style="1" customWidth="1"/>
    <col min="13058" max="13058" width="19" style="1" customWidth="1"/>
    <col min="13059" max="13059" width="19.109375" style="1" customWidth="1"/>
    <col min="13060" max="13060" width="21.33203125" style="1" customWidth="1"/>
    <col min="13061" max="13061" width="32.5546875" style="1" customWidth="1"/>
    <col min="13062" max="13062" width="16.88671875" style="1" customWidth="1"/>
    <col min="13063" max="13063" width="16.33203125" style="1" customWidth="1"/>
    <col min="13064" max="13294" width="10.33203125" style="1"/>
    <col min="13295" max="13295" width="4.44140625" style="1" customWidth="1"/>
    <col min="13296" max="13296" width="21.6640625" style="1" customWidth="1"/>
    <col min="13297" max="13297" width="15" style="1" customWidth="1"/>
    <col min="13298" max="13298" width="15.44140625" style="1" customWidth="1"/>
    <col min="13299" max="13299" width="11.5546875" style="1" customWidth="1"/>
    <col min="13300" max="13300" width="7.44140625" style="1" customWidth="1"/>
    <col min="13301" max="13301" width="14.109375" style="1" customWidth="1"/>
    <col min="13302" max="13302" width="10.6640625" style="1" customWidth="1"/>
    <col min="13303" max="13303" width="13.44140625" style="1" customWidth="1"/>
    <col min="13304" max="13304" width="11.44140625" style="1" customWidth="1"/>
    <col min="13305" max="13305" width="15" style="1" customWidth="1"/>
    <col min="13306" max="13306" width="14.5546875" style="1" customWidth="1"/>
    <col min="13307" max="13307" width="10.33203125" style="1"/>
    <col min="13308" max="13308" width="7.44140625" style="1" customWidth="1"/>
    <col min="13309" max="13309" width="12.88671875" style="1" customWidth="1"/>
    <col min="13310" max="13310" width="11.109375" style="1" customWidth="1"/>
    <col min="13311" max="13311" width="14" style="1" customWidth="1"/>
    <col min="13312" max="13312" width="33" style="1" customWidth="1"/>
    <col min="13313" max="13313" width="6.6640625" style="1" customWidth="1"/>
    <col min="13314" max="13314" width="19" style="1" customWidth="1"/>
    <col min="13315" max="13315" width="19.109375" style="1" customWidth="1"/>
    <col min="13316" max="13316" width="21.33203125" style="1" customWidth="1"/>
    <col min="13317" max="13317" width="32.5546875" style="1" customWidth="1"/>
    <col min="13318" max="13318" width="16.88671875" style="1" customWidth="1"/>
    <col min="13319" max="13319" width="16.33203125" style="1" customWidth="1"/>
    <col min="13320" max="13550" width="10.33203125" style="1"/>
    <col min="13551" max="13551" width="4.44140625" style="1" customWidth="1"/>
    <col min="13552" max="13552" width="21.6640625" style="1" customWidth="1"/>
    <col min="13553" max="13553" width="15" style="1" customWidth="1"/>
    <col min="13554" max="13554" width="15.44140625" style="1" customWidth="1"/>
    <col min="13555" max="13555" width="11.5546875" style="1" customWidth="1"/>
    <col min="13556" max="13556" width="7.44140625" style="1" customWidth="1"/>
    <col min="13557" max="13557" width="14.109375" style="1" customWidth="1"/>
    <col min="13558" max="13558" width="10.6640625" style="1" customWidth="1"/>
    <col min="13559" max="13559" width="13.44140625" style="1" customWidth="1"/>
    <col min="13560" max="13560" width="11.44140625" style="1" customWidth="1"/>
    <col min="13561" max="13561" width="15" style="1" customWidth="1"/>
    <col min="13562" max="13562" width="14.5546875" style="1" customWidth="1"/>
    <col min="13563" max="13563" width="10.33203125" style="1"/>
    <col min="13564" max="13564" width="7.44140625" style="1" customWidth="1"/>
    <col min="13565" max="13565" width="12.88671875" style="1" customWidth="1"/>
    <col min="13566" max="13566" width="11.109375" style="1" customWidth="1"/>
    <col min="13567" max="13567" width="14" style="1" customWidth="1"/>
    <col min="13568" max="13568" width="33" style="1" customWidth="1"/>
    <col min="13569" max="13569" width="6.6640625" style="1" customWidth="1"/>
    <col min="13570" max="13570" width="19" style="1" customWidth="1"/>
    <col min="13571" max="13571" width="19.109375" style="1" customWidth="1"/>
    <col min="13572" max="13572" width="21.33203125" style="1" customWidth="1"/>
    <col min="13573" max="13573" width="32.5546875" style="1" customWidth="1"/>
    <col min="13574" max="13574" width="16.88671875" style="1" customWidth="1"/>
    <col min="13575" max="13575" width="16.33203125" style="1" customWidth="1"/>
    <col min="13576" max="13806" width="10.33203125" style="1"/>
    <col min="13807" max="13807" width="4.44140625" style="1" customWidth="1"/>
    <col min="13808" max="13808" width="21.6640625" style="1" customWidth="1"/>
    <col min="13809" max="13809" width="15" style="1" customWidth="1"/>
    <col min="13810" max="13810" width="15.44140625" style="1" customWidth="1"/>
    <col min="13811" max="13811" width="11.5546875" style="1" customWidth="1"/>
    <col min="13812" max="13812" width="7.44140625" style="1" customWidth="1"/>
    <col min="13813" max="13813" width="14.109375" style="1" customWidth="1"/>
    <col min="13814" max="13814" width="10.6640625" style="1" customWidth="1"/>
    <col min="13815" max="13815" width="13.44140625" style="1" customWidth="1"/>
    <col min="13816" max="13816" width="11.44140625" style="1" customWidth="1"/>
    <col min="13817" max="13817" width="15" style="1" customWidth="1"/>
    <col min="13818" max="13818" width="14.5546875" style="1" customWidth="1"/>
    <col min="13819" max="13819" width="10.33203125" style="1"/>
    <col min="13820" max="13820" width="7.44140625" style="1" customWidth="1"/>
    <col min="13821" max="13821" width="12.88671875" style="1" customWidth="1"/>
    <col min="13822" max="13822" width="11.109375" style="1" customWidth="1"/>
    <col min="13823" max="13823" width="14" style="1" customWidth="1"/>
    <col min="13824" max="13824" width="33" style="1" customWidth="1"/>
    <col min="13825" max="13825" width="6.6640625" style="1" customWidth="1"/>
    <col min="13826" max="13826" width="19" style="1" customWidth="1"/>
    <col min="13827" max="13827" width="19.109375" style="1" customWidth="1"/>
    <col min="13828" max="13828" width="21.33203125" style="1" customWidth="1"/>
    <col min="13829" max="13829" width="32.5546875" style="1" customWidth="1"/>
    <col min="13830" max="13830" width="16.88671875" style="1" customWidth="1"/>
    <col min="13831" max="13831" width="16.33203125" style="1" customWidth="1"/>
    <col min="13832" max="14062" width="10.33203125" style="1"/>
    <col min="14063" max="14063" width="4.44140625" style="1" customWidth="1"/>
    <col min="14064" max="14064" width="21.6640625" style="1" customWidth="1"/>
    <col min="14065" max="14065" width="15" style="1" customWidth="1"/>
    <col min="14066" max="14066" width="15.44140625" style="1" customWidth="1"/>
    <col min="14067" max="14067" width="11.5546875" style="1" customWidth="1"/>
    <col min="14068" max="14068" width="7.44140625" style="1" customWidth="1"/>
    <col min="14069" max="14069" width="14.109375" style="1" customWidth="1"/>
    <col min="14070" max="14070" width="10.6640625" style="1" customWidth="1"/>
    <col min="14071" max="14071" width="13.44140625" style="1" customWidth="1"/>
    <col min="14072" max="14072" width="11.44140625" style="1" customWidth="1"/>
    <col min="14073" max="14073" width="15" style="1" customWidth="1"/>
    <col min="14074" max="14074" width="14.5546875" style="1" customWidth="1"/>
    <col min="14075" max="14075" width="10.33203125" style="1"/>
    <col min="14076" max="14076" width="7.44140625" style="1" customWidth="1"/>
    <col min="14077" max="14077" width="12.88671875" style="1" customWidth="1"/>
    <col min="14078" max="14078" width="11.109375" style="1" customWidth="1"/>
    <col min="14079" max="14079" width="14" style="1" customWidth="1"/>
    <col min="14080" max="14080" width="33" style="1" customWidth="1"/>
    <col min="14081" max="14081" width="6.6640625" style="1" customWidth="1"/>
    <col min="14082" max="14082" width="19" style="1" customWidth="1"/>
    <col min="14083" max="14083" width="19.109375" style="1" customWidth="1"/>
    <col min="14084" max="14084" width="21.33203125" style="1" customWidth="1"/>
    <col min="14085" max="14085" width="32.5546875" style="1" customWidth="1"/>
    <col min="14086" max="14086" width="16.88671875" style="1" customWidth="1"/>
    <col min="14087" max="14087" width="16.33203125" style="1" customWidth="1"/>
    <col min="14088" max="14318" width="10.33203125" style="1"/>
    <col min="14319" max="14319" width="4.44140625" style="1" customWidth="1"/>
    <col min="14320" max="14320" width="21.6640625" style="1" customWidth="1"/>
    <col min="14321" max="14321" width="15" style="1" customWidth="1"/>
    <col min="14322" max="14322" width="15.44140625" style="1" customWidth="1"/>
    <col min="14323" max="14323" width="11.5546875" style="1" customWidth="1"/>
    <col min="14324" max="14324" width="7.44140625" style="1" customWidth="1"/>
    <col min="14325" max="14325" width="14.109375" style="1" customWidth="1"/>
    <col min="14326" max="14326" width="10.6640625" style="1" customWidth="1"/>
    <col min="14327" max="14327" width="13.44140625" style="1" customWidth="1"/>
    <col min="14328" max="14328" width="11.44140625" style="1" customWidth="1"/>
    <col min="14329" max="14329" width="15" style="1" customWidth="1"/>
    <col min="14330" max="14330" width="14.5546875" style="1" customWidth="1"/>
    <col min="14331" max="14331" width="10.33203125" style="1"/>
    <col min="14332" max="14332" width="7.44140625" style="1" customWidth="1"/>
    <col min="14333" max="14333" width="12.88671875" style="1" customWidth="1"/>
    <col min="14334" max="14334" width="11.109375" style="1" customWidth="1"/>
    <col min="14335" max="14335" width="14" style="1" customWidth="1"/>
    <col min="14336" max="14336" width="33" style="1" customWidth="1"/>
    <col min="14337" max="14337" width="6.6640625" style="1" customWidth="1"/>
    <col min="14338" max="14338" width="19" style="1" customWidth="1"/>
    <col min="14339" max="14339" width="19.109375" style="1" customWidth="1"/>
    <col min="14340" max="14340" width="21.33203125" style="1" customWidth="1"/>
    <col min="14341" max="14341" width="32.5546875" style="1" customWidth="1"/>
    <col min="14342" max="14342" width="16.88671875" style="1" customWidth="1"/>
    <col min="14343" max="14343" width="16.33203125" style="1" customWidth="1"/>
    <col min="14344" max="14574" width="10.33203125" style="1"/>
    <col min="14575" max="14575" width="4.44140625" style="1" customWidth="1"/>
    <col min="14576" max="14576" width="21.6640625" style="1" customWidth="1"/>
    <col min="14577" max="14577" width="15" style="1" customWidth="1"/>
    <col min="14578" max="14578" width="15.44140625" style="1" customWidth="1"/>
    <col min="14579" max="14579" width="11.5546875" style="1" customWidth="1"/>
    <col min="14580" max="14580" width="7.44140625" style="1" customWidth="1"/>
    <col min="14581" max="14581" width="14.109375" style="1" customWidth="1"/>
    <col min="14582" max="14582" width="10.6640625" style="1" customWidth="1"/>
    <col min="14583" max="14583" width="13.44140625" style="1" customWidth="1"/>
    <col min="14584" max="14584" width="11.44140625" style="1" customWidth="1"/>
    <col min="14585" max="14585" width="15" style="1" customWidth="1"/>
    <col min="14586" max="14586" width="14.5546875" style="1" customWidth="1"/>
    <col min="14587" max="14587" width="10.33203125" style="1"/>
    <col min="14588" max="14588" width="7.44140625" style="1" customWidth="1"/>
    <col min="14589" max="14589" width="12.88671875" style="1" customWidth="1"/>
    <col min="14590" max="14590" width="11.109375" style="1" customWidth="1"/>
    <col min="14591" max="14591" width="14" style="1" customWidth="1"/>
    <col min="14592" max="14592" width="33" style="1" customWidth="1"/>
    <col min="14593" max="14593" width="6.6640625" style="1" customWidth="1"/>
    <col min="14594" max="14594" width="19" style="1" customWidth="1"/>
    <col min="14595" max="14595" width="19.109375" style="1" customWidth="1"/>
    <col min="14596" max="14596" width="21.33203125" style="1" customWidth="1"/>
    <col min="14597" max="14597" width="32.5546875" style="1" customWidth="1"/>
    <col min="14598" max="14598" width="16.88671875" style="1" customWidth="1"/>
    <col min="14599" max="14599" width="16.33203125" style="1" customWidth="1"/>
    <col min="14600" max="14830" width="10.33203125" style="1"/>
    <col min="14831" max="14831" width="4.44140625" style="1" customWidth="1"/>
    <col min="14832" max="14832" width="21.6640625" style="1" customWidth="1"/>
    <col min="14833" max="14833" width="15" style="1" customWidth="1"/>
    <col min="14834" max="14834" width="15.44140625" style="1" customWidth="1"/>
    <col min="14835" max="14835" width="11.5546875" style="1" customWidth="1"/>
    <col min="14836" max="14836" width="7.44140625" style="1" customWidth="1"/>
    <col min="14837" max="14837" width="14.109375" style="1" customWidth="1"/>
    <col min="14838" max="14838" width="10.6640625" style="1" customWidth="1"/>
    <col min="14839" max="14839" width="13.44140625" style="1" customWidth="1"/>
    <col min="14840" max="14840" width="11.44140625" style="1" customWidth="1"/>
    <col min="14841" max="14841" width="15" style="1" customWidth="1"/>
    <col min="14842" max="14842" width="14.5546875" style="1" customWidth="1"/>
    <col min="14843" max="14843" width="10.33203125" style="1"/>
    <col min="14844" max="14844" width="7.44140625" style="1" customWidth="1"/>
    <col min="14845" max="14845" width="12.88671875" style="1" customWidth="1"/>
    <col min="14846" max="14846" width="11.109375" style="1" customWidth="1"/>
    <col min="14847" max="14847" width="14" style="1" customWidth="1"/>
    <col min="14848" max="14848" width="33" style="1" customWidth="1"/>
    <col min="14849" max="14849" width="6.6640625" style="1" customWidth="1"/>
    <col min="14850" max="14850" width="19" style="1" customWidth="1"/>
    <col min="14851" max="14851" width="19.109375" style="1" customWidth="1"/>
    <col min="14852" max="14852" width="21.33203125" style="1" customWidth="1"/>
    <col min="14853" max="14853" width="32.5546875" style="1" customWidth="1"/>
    <col min="14854" max="14854" width="16.88671875" style="1" customWidth="1"/>
    <col min="14855" max="14855" width="16.33203125" style="1" customWidth="1"/>
    <col min="14856" max="15086" width="10.33203125" style="1"/>
    <col min="15087" max="15087" width="4.44140625" style="1" customWidth="1"/>
    <col min="15088" max="15088" width="21.6640625" style="1" customWidth="1"/>
    <col min="15089" max="15089" width="15" style="1" customWidth="1"/>
    <col min="15090" max="15090" width="15.44140625" style="1" customWidth="1"/>
    <col min="15091" max="15091" width="11.5546875" style="1" customWidth="1"/>
    <col min="15092" max="15092" width="7.44140625" style="1" customWidth="1"/>
    <col min="15093" max="15093" width="14.109375" style="1" customWidth="1"/>
    <col min="15094" max="15094" width="10.6640625" style="1" customWidth="1"/>
    <col min="15095" max="15095" width="13.44140625" style="1" customWidth="1"/>
    <col min="15096" max="15096" width="11.44140625" style="1" customWidth="1"/>
    <col min="15097" max="15097" width="15" style="1" customWidth="1"/>
    <col min="15098" max="15098" width="14.5546875" style="1" customWidth="1"/>
    <col min="15099" max="15099" width="10.33203125" style="1"/>
    <col min="15100" max="15100" width="7.44140625" style="1" customWidth="1"/>
    <col min="15101" max="15101" width="12.88671875" style="1" customWidth="1"/>
    <col min="15102" max="15102" width="11.109375" style="1" customWidth="1"/>
    <col min="15103" max="15103" width="14" style="1" customWidth="1"/>
    <col min="15104" max="15104" width="33" style="1" customWidth="1"/>
    <col min="15105" max="15105" width="6.6640625" style="1" customWidth="1"/>
    <col min="15106" max="15106" width="19" style="1" customWidth="1"/>
    <col min="15107" max="15107" width="19.109375" style="1" customWidth="1"/>
    <col min="15108" max="15108" width="21.33203125" style="1" customWidth="1"/>
    <col min="15109" max="15109" width="32.5546875" style="1" customWidth="1"/>
    <col min="15110" max="15110" width="16.88671875" style="1" customWidth="1"/>
    <col min="15111" max="15111" width="16.33203125" style="1" customWidth="1"/>
    <col min="15112" max="15342" width="10.33203125" style="1"/>
    <col min="15343" max="15343" width="4.44140625" style="1" customWidth="1"/>
    <col min="15344" max="15344" width="21.6640625" style="1" customWidth="1"/>
    <col min="15345" max="15345" width="15" style="1" customWidth="1"/>
    <col min="15346" max="15346" width="15.44140625" style="1" customWidth="1"/>
    <col min="15347" max="15347" width="11.5546875" style="1" customWidth="1"/>
    <col min="15348" max="15348" width="7.44140625" style="1" customWidth="1"/>
    <col min="15349" max="15349" width="14.109375" style="1" customWidth="1"/>
    <col min="15350" max="15350" width="10.6640625" style="1" customWidth="1"/>
    <col min="15351" max="15351" width="13.44140625" style="1" customWidth="1"/>
    <col min="15352" max="15352" width="11.44140625" style="1" customWidth="1"/>
    <col min="15353" max="15353" width="15" style="1" customWidth="1"/>
    <col min="15354" max="15354" width="14.5546875" style="1" customWidth="1"/>
    <col min="15355" max="15355" width="10.33203125" style="1"/>
    <col min="15356" max="15356" width="7.44140625" style="1" customWidth="1"/>
    <col min="15357" max="15357" width="12.88671875" style="1" customWidth="1"/>
    <col min="15358" max="15358" width="11.109375" style="1" customWidth="1"/>
    <col min="15359" max="15359" width="14" style="1" customWidth="1"/>
    <col min="15360" max="15360" width="33" style="1" customWidth="1"/>
    <col min="15361" max="15361" width="6.6640625" style="1" customWidth="1"/>
    <col min="15362" max="15362" width="19" style="1" customWidth="1"/>
    <col min="15363" max="15363" width="19.109375" style="1" customWidth="1"/>
    <col min="15364" max="15364" width="21.33203125" style="1" customWidth="1"/>
    <col min="15365" max="15365" width="32.5546875" style="1" customWidth="1"/>
    <col min="15366" max="15366" width="16.88671875" style="1" customWidth="1"/>
    <col min="15367" max="15367" width="16.33203125" style="1" customWidth="1"/>
    <col min="15368" max="15598" width="10.33203125" style="1"/>
    <col min="15599" max="15599" width="4.44140625" style="1" customWidth="1"/>
    <col min="15600" max="15600" width="21.6640625" style="1" customWidth="1"/>
    <col min="15601" max="15601" width="15" style="1" customWidth="1"/>
    <col min="15602" max="15602" width="15.44140625" style="1" customWidth="1"/>
    <col min="15603" max="15603" width="11.5546875" style="1" customWidth="1"/>
    <col min="15604" max="15604" width="7.44140625" style="1" customWidth="1"/>
    <col min="15605" max="15605" width="14.109375" style="1" customWidth="1"/>
    <col min="15606" max="15606" width="10.6640625" style="1" customWidth="1"/>
    <col min="15607" max="15607" width="13.44140625" style="1" customWidth="1"/>
    <col min="15608" max="15608" width="11.44140625" style="1" customWidth="1"/>
    <col min="15609" max="15609" width="15" style="1" customWidth="1"/>
    <col min="15610" max="15610" width="14.5546875" style="1" customWidth="1"/>
    <col min="15611" max="15611" width="10.33203125" style="1"/>
    <col min="15612" max="15612" width="7.44140625" style="1" customWidth="1"/>
    <col min="15613" max="15613" width="12.88671875" style="1" customWidth="1"/>
    <col min="15614" max="15614" width="11.109375" style="1" customWidth="1"/>
    <col min="15615" max="15615" width="14" style="1" customWidth="1"/>
    <col min="15616" max="15616" width="33" style="1" customWidth="1"/>
    <col min="15617" max="15617" width="6.6640625" style="1" customWidth="1"/>
    <col min="15618" max="15618" width="19" style="1" customWidth="1"/>
    <col min="15619" max="15619" width="19.109375" style="1" customWidth="1"/>
    <col min="15620" max="15620" width="21.33203125" style="1" customWidth="1"/>
    <col min="15621" max="15621" width="32.5546875" style="1" customWidth="1"/>
    <col min="15622" max="15622" width="16.88671875" style="1" customWidth="1"/>
    <col min="15623" max="15623" width="16.33203125" style="1" customWidth="1"/>
    <col min="15624" max="15854" width="10.33203125" style="1"/>
    <col min="15855" max="15855" width="4.44140625" style="1" customWidth="1"/>
    <col min="15856" max="15856" width="21.6640625" style="1" customWidth="1"/>
    <col min="15857" max="15857" width="15" style="1" customWidth="1"/>
    <col min="15858" max="15858" width="15.44140625" style="1" customWidth="1"/>
    <col min="15859" max="15859" width="11.5546875" style="1" customWidth="1"/>
    <col min="15860" max="15860" width="7.44140625" style="1" customWidth="1"/>
    <col min="15861" max="15861" width="14.109375" style="1" customWidth="1"/>
    <col min="15862" max="15862" width="10.6640625" style="1" customWidth="1"/>
    <col min="15863" max="15863" width="13.44140625" style="1" customWidth="1"/>
    <col min="15864" max="15864" width="11.44140625" style="1" customWidth="1"/>
    <col min="15865" max="15865" width="15" style="1" customWidth="1"/>
    <col min="15866" max="15866" width="14.5546875" style="1" customWidth="1"/>
    <col min="15867" max="15867" width="10.33203125" style="1"/>
    <col min="15868" max="15868" width="7.44140625" style="1" customWidth="1"/>
    <col min="15869" max="15869" width="12.88671875" style="1" customWidth="1"/>
    <col min="15870" max="15870" width="11.109375" style="1" customWidth="1"/>
    <col min="15871" max="15871" width="14" style="1" customWidth="1"/>
    <col min="15872" max="15872" width="33" style="1" customWidth="1"/>
    <col min="15873" max="15873" width="6.6640625" style="1" customWidth="1"/>
    <col min="15874" max="15874" width="19" style="1" customWidth="1"/>
    <col min="15875" max="15875" width="19.109375" style="1" customWidth="1"/>
    <col min="15876" max="15876" width="21.33203125" style="1" customWidth="1"/>
    <col min="15877" max="15877" width="32.5546875" style="1" customWidth="1"/>
    <col min="15878" max="15878" width="16.88671875" style="1" customWidth="1"/>
    <col min="15879" max="15879" width="16.33203125" style="1" customWidth="1"/>
    <col min="15880" max="16110" width="10.33203125" style="1"/>
    <col min="16111" max="16111" width="4.44140625" style="1" customWidth="1"/>
    <col min="16112" max="16112" width="21.6640625" style="1" customWidth="1"/>
    <col min="16113" max="16113" width="15" style="1" customWidth="1"/>
    <col min="16114" max="16114" width="15.44140625" style="1" customWidth="1"/>
    <col min="16115" max="16115" width="11.5546875" style="1" customWidth="1"/>
    <col min="16116" max="16116" width="7.44140625" style="1" customWidth="1"/>
    <col min="16117" max="16117" width="14.109375" style="1" customWidth="1"/>
    <col min="16118" max="16118" width="10.6640625" style="1" customWidth="1"/>
    <col min="16119" max="16119" width="13.44140625" style="1" customWidth="1"/>
    <col min="16120" max="16120" width="11.44140625" style="1" customWidth="1"/>
    <col min="16121" max="16121" width="15" style="1" customWidth="1"/>
    <col min="16122" max="16122" width="14.5546875" style="1" customWidth="1"/>
    <col min="16123" max="16123" width="10.33203125" style="1"/>
    <col min="16124" max="16124" width="7.44140625" style="1" customWidth="1"/>
    <col min="16125" max="16125" width="12.88671875" style="1" customWidth="1"/>
    <col min="16126" max="16126" width="11.109375" style="1" customWidth="1"/>
    <col min="16127" max="16127" width="14" style="1" customWidth="1"/>
    <col min="16128" max="16128" width="33" style="1" customWidth="1"/>
    <col min="16129" max="16129" width="6.6640625" style="1" customWidth="1"/>
    <col min="16130" max="16130" width="19" style="1" customWidth="1"/>
    <col min="16131" max="16131" width="19.109375" style="1" customWidth="1"/>
    <col min="16132" max="16132" width="21.33203125" style="1" customWidth="1"/>
    <col min="16133" max="16133" width="32.5546875" style="1" customWidth="1"/>
    <col min="16134" max="16134" width="16.88671875" style="1" customWidth="1"/>
    <col min="16135" max="16135" width="16.33203125" style="1" customWidth="1"/>
    <col min="16136" max="16384" width="10.33203125" style="1"/>
  </cols>
  <sheetData>
    <row r="1" spans="1:12" ht="24.6">
      <c r="A1" s="726" t="s">
        <v>0</v>
      </c>
      <c r="B1" s="726"/>
      <c r="C1" s="726"/>
      <c r="D1" s="726"/>
      <c r="E1" s="726"/>
      <c r="F1" s="726"/>
    </row>
    <row r="2" spans="1:12" ht="24.6">
      <c r="A2" s="726" t="s">
        <v>1</v>
      </c>
      <c r="B2" s="726"/>
      <c r="C2" s="726"/>
      <c r="D2" s="726"/>
      <c r="E2" s="726"/>
      <c r="F2" s="726"/>
    </row>
    <row r="3" spans="1:12" ht="24.6">
      <c r="A3" s="727" t="s">
        <v>380</v>
      </c>
      <c r="B3" s="727"/>
      <c r="C3" s="727"/>
      <c r="D3" s="727"/>
      <c r="E3" s="727"/>
      <c r="F3" s="727"/>
    </row>
    <row r="4" spans="1:12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  <c r="G4" s="1" t="s">
        <v>15</v>
      </c>
      <c r="H4" s="1" t="s">
        <v>16</v>
      </c>
      <c r="I4" s="285" t="s">
        <v>17</v>
      </c>
      <c r="J4" s="1" t="s">
        <v>18</v>
      </c>
      <c r="K4" s="1" t="s">
        <v>19</v>
      </c>
      <c r="L4" s="1" t="s">
        <v>10</v>
      </c>
    </row>
    <row r="5" spans="1:12" ht="24.6">
      <c r="A5" s="3"/>
      <c r="B5" s="13"/>
      <c r="C5" s="3"/>
      <c r="D5" s="15"/>
      <c r="E5" s="16"/>
      <c r="F5" s="8"/>
      <c r="G5" s="19"/>
      <c r="H5" s="23"/>
      <c r="I5" s="286"/>
      <c r="J5" s="19"/>
      <c r="K5" s="19"/>
      <c r="L5" s="19"/>
    </row>
    <row r="6" spans="1:12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12" ht="24.6" hidden="1">
      <c r="A7" s="3"/>
      <c r="B7" s="30" t="s">
        <v>30</v>
      </c>
      <c r="C7" s="3"/>
      <c r="D7" s="26"/>
      <c r="E7" s="16"/>
      <c r="F7" s="8"/>
    </row>
    <row r="8" spans="1:12" ht="1.8" customHeight="1" thickBot="1">
      <c r="A8" s="3">
        <v>1</v>
      </c>
      <c r="B8" s="30"/>
      <c r="C8" s="3"/>
      <c r="D8" s="35"/>
      <c r="E8" s="36"/>
      <c r="F8" s="37"/>
    </row>
    <row r="9" spans="1:12" ht="20.399999999999999" hidden="1" customHeight="1" thickBot="1">
      <c r="A9" s="3"/>
      <c r="B9" s="3" t="s">
        <v>26</v>
      </c>
      <c r="C9" s="3"/>
      <c r="D9" s="42"/>
      <c r="E9" s="43"/>
      <c r="F9" s="44"/>
    </row>
    <row r="10" spans="1:12" ht="25.2" hidden="1" thickTop="1">
      <c r="A10" s="29"/>
      <c r="B10" s="45" t="s">
        <v>37</v>
      </c>
      <c r="C10" s="29"/>
      <c r="D10" s="47"/>
      <c r="E10" s="48"/>
      <c r="F10" s="58"/>
    </row>
    <row r="11" spans="1:12" ht="25.8" hidden="1" thickTop="1" thickBot="1">
      <c r="A11" s="25">
        <v>1</v>
      </c>
      <c r="B11" s="25"/>
      <c r="C11" s="29"/>
      <c r="D11" s="75"/>
      <c r="E11" s="76"/>
      <c r="F11" s="77"/>
    </row>
    <row r="12" spans="1:12" ht="25.8" hidden="1" thickTop="1" thickBot="1">
      <c r="A12" s="25"/>
      <c r="B12" s="25" t="s">
        <v>26</v>
      </c>
      <c r="C12" s="29"/>
      <c r="D12" s="80"/>
      <c r="E12" s="81"/>
      <c r="F12" s="55"/>
    </row>
    <row r="13" spans="1:12" ht="25.2" hidden="1" thickTop="1">
      <c r="A13" s="25"/>
      <c r="B13" s="45" t="s">
        <v>38</v>
      </c>
      <c r="C13" s="29"/>
      <c r="D13" s="47"/>
      <c r="E13" s="48"/>
      <c r="F13" s="58"/>
    </row>
    <row r="14" spans="1:12" ht="25.8" hidden="1" thickTop="1" thickBot="1">
      <c r="A14" s="25">
        <v>1</v>
      </c>
      <c r="B14" s="25"/>
      <c r="C14" s="29"/>
      <c r="D14" s="75"/>
      <c r="E14" s="76"/>
      <c r="F14" s="77"/>
    </row>
    <row r="15" spans="1:12" ht="25.8" hidden="1" thickTop="1" thickBot="1">
      <c r="A15" s="25"/>
      <c r="B15" s="25" t="s">
        <v>26</v>
      </c>
      <c r="C15" s="29"/>
      <c r="D15" s="65"/>
      <c r="E15" s="66"/>
      <c r="F15" s="67"/>
    </row>
    <row r="16" spans="1:12" ht="25.2" thickTop="1">
      <c r="A16" s="29"/>
      <c r="B16" s="45" t="s">
        <v>39</v>
      </c>
      <c r="C16" s="29"/>
      <c r="D16" s="47"/>
      <c r="E16" s="48"/>
      <c r="F16" s="48"/>
    </row>
    <row r="17" spans="1:9" ht="24.6">
      <c r="A17" s="25">
        <v>1</v>
      </c>
      <c r="B17" s="29" t="s">
        <v>277</v>
      </c>
      <c r="C17" s="29"/>
      <c r="D17" s="69">
        <v>25267</v>
      </c>
      <c r="E17" s="84" t="s">
        <v>383</v>
      </c>
      <c r="F17" s="85">
        <v>535</v>
      </c>
    </row>
    <row r="18" spans="1:9" s="96" customFormat="1" ht="24.6">
      <c r="A18" s="86">
        <v>2</v>
      </c>
      <c r="B18" s="87" t="s">
        <v>44</v>
      </c>
      <c r="C18" s="88"/>
      <c r="D18" s="93">
        <v>25293</v>
      </c>
      <c r="E18" s="94" t="s">
        <v>384</v>
      </c>
      <c r="F18" s="95">
        <v>1070</v>
      </c>
      <c r="I18" s="287"/>
    </row>
    <row r="19" spans="1:9" ht="24.6">
      <c r="A19" s="25">
        <v>3</v>
      </c>
      <c r="B19" s="29" t="s">
        <v>46</v>
      </c>
      <c r="C19" s="29"/>
      <c r="D19" s="69">
        <v>25293</v>
      </c>
      <c r="E19" s="70" t="s">
        <v>385</v>
      </c>
      <c r="F19" s="100">
        <v>535</v>
      </c>
    </row>
    <row r="20" spans="1:9" ht="25.2" thickBot="1">
      <c r="A20" s="29"/>
      <c r="B20" s="25" t="s">
        <v>26</v>
      </c>
      <c r="C20" s="29"/>
      <c r="D20" s="67"/>
      <c r="E20" s="67"/>
      <c r="F20" s="104">
        <v>2140</v>
      </c>
      <c r="H20" s="175">
        <f>SUM(F17:F19)</f>
        <v>2140</v>
      </c>
    </row>
    <row r="21" spans="1:9" ht="25.2" hidden="1" thickTop="1">
      <c r="A21" s="29"/>
      <c r="B21" s="45" t="s">
        <v>49</v>
      </c>
      <c r="C21" s="29"/>
      <c r="D21" s="47"/>
      <c r="E21" s="48"/>
      <c r="F21" s="58"/>
    </row>
    <row r="22" spans="1:9" ht="16.5" hidden="1" customHeight="1" thickTop="1">
      <c r="A22" s="25">
        <v>1</v>
      </c>
      <c r="B22" s="25"/>
      <c r="C22" s="29"/>
      <c r="D22" s="75"/>
      <c r="E22" s="76"/>
      <c r="F22" s="77"/>
    </row>
    <row r="23" spans="1:9" ht="25.8" hidden="1" thickTop="1" thickBot="1">
      <c r="A23" s="25"/>
      <c r="B23" s="25" t="s">
        <v>26</v>
      </c>
      <c r="C23" s="29"/>
      <c r="D23" s="80"/>
      <c r="E23" s="81"/>
      <c r="F23" s="55"/>
    </row>
    <row r="24" spans="1:9" ht="25.2" hidden="1" thickTop="1">
      <c r="A24" s="25"/>
      <c r="B24" s="45" t="s">
        <v>50</v>
      </c>
      <c r="C24" s="29"/>
      <c r="D24" s="47"/>
      <c r="E24" s="48"/>
      <c r="F24" s="58"/>
    </row>
    <row r="25" spans="1:9" ht="25.8" hidden="1" thickTop="1" thickBot="1">
      <c r="A25" s="25"/>
      <c r="B25" s="25"/>
      <c r="C25" s="29"/>
      <c r="D25" s="75"/>
      <c r="E25" s="76"/>
      <c r="F25" s="77"/>
    </row>
    <row r="26" spans="1:9" ht="25.2" hidden="1" thickTop="1">
      <c r="A26" s="25"/>
      <c r="B26" s="25" t="s">
        <v>26</v>
      </c>
      <c r="C26" s="29"/>
      <c r="D26" s="112"/>
      <c r="E26" s="113"/>
      <c r="F26" s="114"/>
    </row>
    <row r="27" spans="1:9" ht="25.2" hidden="1" thickTop="1">
      <c r="A27" s="25"/>
      <c r="B27" s="45" t="s">
        <v>51</v>
      </c>
      <c r="C27" s="29"/>
      <c r="D27" s="60"/>
      <c r="E27" s="61"/>
      <c r="F27" s="62"/>
    </row>
    <row r="28" spans="1:9" ht="25.8" hidden="1" thickTop="1" thickBot="1">
      <c r="A28" s="25">
        <v>1</v>
      </c>
      <c r="B28" s="25"/>
      <c r="C28" s="29"/>
      <c r="D28" s="75"/>
      <c r="E28" s="76"/>
      <c r="F28" s="77"/>
    </row>
    <row r="29" spans="1:9" ht="25.8" hidden="1" thickTop="1" thickBot="1">
      <c r="A29" s="25"/>
      <c r="B29" s="25" t="s">
        <v>26</v>
      </c>
      <c r="C29" s="29"/>
      <c r="D29" s="65"/>
      <c r="E29" s="66"/>
      <c r="F29" s="67"/>
    </row>
    <row r="30" spans="1:9" ht="25.2" thickTop="1">
      <c r="A30" s="29"/>
      <c r="B30" s="45" t="s">
        <v>52</v>
      </c>
      <c r="C30" s="29"/>
      <c r="D30" s="47"/>
      <c r="E30" s="48"/>
      <c r="F30" s="58"/>
    </row>
    <row r="31" spans="1:9" ht="24.6">
      <c r="A31" s="25">
        <v>1</v>
      </c>
      <c r="B31" s="29" t="s">
        <v>65</v>
      </c>
      <c r="C31" s="25">
        <v>267</v>
      </c>
      <c r="D31" s="69">
        <v>25273</v>
      </c>
      <c r="E31" s="70" t="s">
        <v>386</v>
      </c>
      <c r="F31" s="83">
        <v>1215</v>
      </c>
    </row>
    <row r="32" spans="1:9" ht="24.6">
      <c r="A32" s="25">
        <v>2</v>
      </c>
      <c r="B32" s="29" t="s">
        <v>70</v>
      </c>
      <c r="C32" s="25" t="s">
        <v>71</v>
      </c>
      <c r="D32" s="69">
        <v>25275</v>
      </c>
      <c r="E32" s="70" t="s">
        <v>387</v>
      </c>
      <c r="F32" s="83">
        <v>2430</v>
      </c>
    </row>
    <row r="33" spans="1:8" ht="24.6">
      <c r="A33" s="25">
        <v>3</v>
      </c>
      <c r="B33" s="29" t="s">
        <v>78</v>
      </c>
      <c r="C33" s="25" t="s">
        <v>79</v>
      </c>
      <c r="D33" s="69">
        <v>25267</v>
      </c>
      <c r="E33" s="70" t="s">
        <v>389</v>
      </c>
      <c r="F33" s="83">
        <v>2430</v>
      </c>
    </row>
    <row r="34" spans="1:8" ht="24.6">
      <c r="A34" s="25">
        <v>4</v>
      </c>
      <c r="B34" s="29" t="s">
        <v>83</v>
      </c>
      <c r="C34" s="25">
        <v>277</v>
      </c>
      <c r="D34" s="69">
        <v>25293</v>
      </c>
      <c r="E34" s="70" t="s">
        <v>390</v>
      </c>
      <c r="F34" s="83">
        <v>1215</v>
      </c>
    </row>
    <row r="35" spans="1:8" ht="24.6">
      <c r="A35" s="25">
        <v>5</v>
      </c>
      <c r="B35" s="29" t="s">
        <v>105</v>
      </c>
      <c r="C35" s="29"/>
      <c r="D35" s="69">
        <v>25288</v>
      </c>
      <c r="E35" s="84" t="s">
        <v>391</v>
      </c>
      <c r="F35" s="83">
        <v>5000</v>
      </c>
    </row>
    <row r="36" spans="1:8" ht="24.6">
      <c r="A36" s="25">
        <v>6</v>
      </c>
      <c r="B36" s="29" t="s">
        <v>105</v>
      </c>
      <c r="C36" s="29"/>
      <c r="D36" s="69">
        <v>25288</v>
      </c>
      <c r="E36" s="70" t="s">
        <v>392</v>
      </c>
      <c r="F36" s="83">
        <v>4650</v>
      </c>
    </row>
    <row r="37" spans="1:8" ht="24.6">
      <c r="A37" s="25">
        <v>7</v>
      </c>
      <c r="B37" s="29" t="s">
        <v>109</v>
      </c>
      <c r="C37" s="53"/>
      <c r="D37" s="69">
        <v>25267</v>
      </c>
      <c r="E37" s="70" t="s">
        <v>393</v>
      </c>
      <c r="F37" s="83">
        <v>3450</v>
      </c>
    </row>
    <row r="38" spans="1:8" ht="25.2" thickBot="1">
      <c r="A38" s="25">
        <v>8</v>
      </c>
      <c r="B38" s="29" t="s">
        <v>112</v>
      </c>
      <c r="C38" s="29"/>
      <c r="D38" s="128">
        <v>25270</v>
      </c>
      <c r="E38" s="129" t="s">
        <v>394</v>
      </c>
      <c r="F38" s="130">
        <v>3795</v>
      </c>
    </row>
    <row r="39" spans="1:8" ht="25.5" customHeight="1">
      <c r="A39" s="25">
        <v>9</v>
      </c>
      <c r="B39" s="132" t="s">
        <v>115</v>
      </c>
      <c r="C39" s="132"/>
      <c r="D39" s="128">
        <v>25267</v>
      </c>
      <c r="E39" s="129" t="s">
        <v>395</v>
      </c>
      <c r="F39" s="130">
        <v>8000</v>
      </c>
    </row>
    <row r="40" spans="1:8" ht="25.2" thickBot="1">
      <c r="A40" s="29"/>
      <c r="B40" s="25" t="s">
        <v>26</v>
      </c>
      <c r="C40" s="74"/>
      <c r="D40" s="77"/>
      <c r="E40" s="77"/>
      <c r="F40" s="77">
        <v>32185</v>
      </c>
      <c r="H40" s="175">
        <f>SUM(F31:F39)</f>
        <v>32185</v>
      </c>
    </row>
    <row r="41" spans="1:8" ht="25.2" thickTop="1">
      <c r="A41" s="29"/>
      <c r="B41" s="116" t="s">
        <v>117</v>
      </c>
      <c r="C41" s="46"/>
      <c r="D41" s="137"/>
      <c r="E41" s="138"/>
      <c r="F41" s="139"/>
    </row>
    <row r="42" spans="1:8" ht="24.6">
      <c r="A42" s="25">
        <v>1</v>
      </c>
      <c r="B42" s="119" t="s">
        <v>121</v>
      </c>
      <c r="C42" s="46"/>
      <c r="D42" s="69">
        <v>25267</v>
      </c>
      <c r="E42" s="70" t="s">
        <v>396</v>
      </c>
      <c r="F42" s="83">
        <v>6000</v>
      </c>
    </row>
    <row r="43" spans="1:8" ht="24.6">
      <c r="A43" s="25">
        <v>2</v>
      </c>
      <c r="B43" s="29" t="s">
        <v>124</v>
      </c>
      <c r="C43" s="29"/>
      <c r="D43" s="69">
        <v>25291</v>
      </c>
      <c r="E43" s="70" t="s">
        <v>397</v>
      </c>
      <c r="F43" s="83">
        <v>600</v>
      </c>
    </row>
    <row r="44" spans="1:8" ht="24.6">
      <c r="A44" s="25">
        <v>3</v>
      </c>
      <c r="B44" s="29" t="s">
        <v>130</v>
      </c>
      <c r="C44" s="29"/>
      <c r="D44" s="69">
        <v>25289</v>
      </c>
      <c r="E44" s="70" t="s">
        <v>398</v>
      </c>
      <c r="F44" s="83">
        <v>550</v>
      </c>
    </row>
    <row r="45" spans="1:8" ht="24.6">
      <c r="A45" s="25">
        <v>4</v>
      </c>
      <c r="B45" s="29" t="s">
        <v>132</v>
      </c>
      <c r="C45" s="29"/>
      <c r="D45" s="69">
        <v>25291</v>
      </c>
      <c r="E45" s="70" t="s">
        <v>399</v>
      </c>
      <c r="F45" s="83">
        <v>1100</v>
      </c>
    </row>
    <row r="46" spans="1:8" ht="24.6">
      <c r="A46" s="25">
        <v>5</v>
      </c>
      <c r="B46" s="29" t="s">
        <v>134</v>
      </c>
      <c r="C46" s="29"/>
      <c r="D46" s="69">
        <v>25262</v>
      </c>
      <c r="E46" s="84" t="s">
        <v>368</v>
      </c>
      <c r="F46" s="83">
        <v>1650</v>
      </c>
    </row>
    <row r="47" spans="1:8" ht="24.6">
      <c r="A47" s="25">
        <v>6</v>
      </c>
      <c r="B47" s="29" t="s">
        <v>137</v>
      </c>
      <c r="C47" s="29"/>
      <c r="D47" s="69">
        <v>25286</v>
      </c>
      <c r="E47" s="70" t="s">
        <v>400</v>
      </c>
      <c r="F47" s="83">
        <v>5000</v>
      </c>
    </row>
    <row r="48" spans="1:8" ht="25.2" thickBot="1">
      <c r="A48" s="29"/>
      <c r="B48" s="25" t="s">
        <v>26</v>
      </c>
      <c r="C48" s="64"/>
      <c r="D48" s="67"/>
      <c r="E48" s="67"/>
      <c r="F48" s="67">
        <v>14900</v>
      </c>
      <c r="H48" s="175">
        <f>SUM(F42:F47)</f>
        <v>14900</v>
      </c>
    </row>
    <row r="49" spans="1:9" ht="24.75" customHeight="1" thickTop="1" thickBot="1">
      <c r="A49" s="34"/>
      <c r="B49" s="34" t="s">
        <v>374</v>
      </c>
      <c r="C49" s="74"/>
      <c r="D49" s="110"/>
      <c r="E49" s="110"/>
      <c r="F49" s="110">
        <v>49225</v>
      </c>
      <c r="I49" s="288">
        <f>SUM(H19:H48)</f>
        <v>49225</v>
      </c>
    </row>
    <row r="50" spans="1:9" ht="24.75" customHeight="1" thickTop="1">
      <c r="A50" s="14"/>
      <c r="B50" s="173"/>
      <c r="F50" s="178"/>
    </row>
    <row r="51" spans="1:9" ht="24.6"/>
    <row r="52" spans="1:9" ht="24.6">
      <c r="E52" s="250"/>
    </row>
    <row r="53" spans="1:9" ht="24.6">
      <c r="E53" s="251"/>
    </row>
    <row r="54" spans="1:9" ht="24.6">
      <c r="E54" s="250"/>
    </row>
    <row r="55" spans="1:9" ht="24.6">
      <c r="E55" s="250"/>
      <c r="F55" s="252"/>
    </row>
    <row r="56" spans="1:9" ht="24.6">
      <c r="E56" s="250"/>
    </row>
    <row r="57" spans="1:9" ht="24.6"/>
    <row r="58" spans="1:9" ht="24.6"/>
    <row r="59" spans="1:9" ht="24.6"/>
    <row r="60" spans="1:9" ht="24.6"/>
    <row r="61" spans="1:9" ht="24.6"/>
    <row r="62" spans="1:9" ht="24.6"/>
    <row r="63" spans="1:9" ht="24.6"/>
    <row r="64" spans="1:9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6406-5182-43A3-B54D-CEFF28FB7569}">
  <sheetPr>
    <tabColor rgb="FFFFFF00"/>
  </sheetPr>
  <dimension ref="A1:K829"/>
  <sheetViews>
    <sheetView zoomScale="90" zoomScaleNormal="90" zoomScaleSheetLayoutView="87" workbookViewId="0">
      <pane ySplit="6" topLeftCell="A28" activePane="bottomLeft" state="frozen"/>
      <selection activeCell="I147" sqref="I147"/>
      <selection pane="bottomLeft" activeCell="I30" sqref="I30"/>
    </sheetView>
  </sheetViews>
  <sheetFormatPr defaultColWidth="10.33203125" defaultRowHeight="25.5" customHeight="1"/>
  <cols>
    <col min="1" max="1" width="4.44140625" style="1" customWidth="1"/>
    <col min="2" max="4" width="21.6640625" style="1" customWidth="1"/>
    <col min="5" max="5" width="10.33203125" style="1" customWidth="1"/>
    <col min="6" max="6" width="7.44140625" style="173" customWidth="1"/>
    <col min="7" max="7" width="14" style="1" customWidth="1"/>
    <col min="8" max="8" width="10.33203125" style="1"/>
    <col min="9" max="10" width="12.109375" style="1" bestFit="1" customWidth="1"/>
    <col min="11" max="233" width="10.33203125" style="1"/>
    <col min="234" max="234" width="4.44140625" style="1" customWidth="1"/>
    <col min="235" max="235" width="21.6640625" style="1" customWidth="1"/>
    <col min="236" max="236" width="15" style="1" customWidth="1"/>
    <col min="237" max="237" width="15.44140625" style="1" customWidth="1"/>
    <col min="238" max="238" width="11.5546875" style="1" customWidth="1"/>
    <col min="239" max="239" width="7.44140625" style="1" customWidth="1"/>
    <col min="240" max="240" width="14.109375" style="1" customWidth="1"/>
    <col min="241" max="241" width="10.6640625" style="1" customWidth="1"/>
    <col min="242" max="242" width="13.44140625" style="1" customWidth="1"/>
    <col min="243" max="243" width="11.44140625" style="1" customWidth="1"/>
    <col min="244" max="244" width="15" style="1" customWidth="1"/>
    <col min="245" max="245" width="14.5546875" style="1" customWidth="1"/>
    <col min="246" max="246" width="10.33203125" style="1"/>
    <col min="247" max="247" width="7.44140625" style="1" customWidth="1"/>
    <col min="248" max="248" width="12.88671875" style="1" customWidth="1"/>
    <col min="249" max="249" width="11.109375" style="1" customWidth="1"/>
    <col min="250" max="250" width="14" style="1" customWidth="1"/>
    <col min="251" max="251" width="33" style="1" customWidth="1"/>
    <col min="252" max="252" width="6.6640625" style="1" customWidth="1"/>
    <col min="253" max="253" width="19" style="1" customWidth="1"/>
    <col min="254" max="254" width="19.109375" style="1" customWidth="1"/>
    <col min="255" max="255" width="21.33203125" style="1" customWidth="1"/>
    <col min="256" max="256" width="32.5546875" style="1" customWidth="1"/>
    <col min="257" max="257" width="16.88671875" style="1" customWidth="1"/>
    <col min="258" max="258" width="16.33203125" style="1" customWidth="1"/>
    <col min="259" max="489" width="10.33203125" style="1"/>
    <col min="490" max="490" width="4.44140625" style="1" customWidth="1"/>
    <col min="491" max="491" width="21.6640625" style="1" customWidth="1"/>
    <col min="492" max="492" width="15" style="1" customWidth="1"/>
    <col min="493" max="493" width="15.44140625" style="1" customWidth="1"/>
    <col min="494" max="494" width="11.5546875" style="1" customWidth="1"/>
    <col min="495" max="495" width="7.44140625" style="1" customWidth="1"/>
    <col min="496" max="496" width="14.109375" style="1" customWidth="1"/>
    <col min="497" max="497" width="10.6640625" style="1" customWidth="1"/>
    <col min="498" max="498" width="13.44140625" style="1" customWidth="1"/>
    <col min="499" max="499" width="11.44140625" style="1" customWidth="1"/>
    <col min="500" max="500" width="15" style="1" customWidth="1"/>
    <col min="501" max="501" width="14.5546875" style="1" customWidth="1"/>
    <col min="502" max="502" width="10.33203125" style="1"/>
    <col min="503" max="503" width="7.44140625" style="1" customWidth="1"/>
    <col min="504" max="504" width="12.88671875" style="1" customWidth="1"/>
    <col min="505" max="505" width="11.109375" style="1" customWidth="1"/>
    <col min="506" max="506" width="14" style="1" customWidth="1"/>
    <col min="507" max="507" width="33" style="1" customWidth="1"/>
    <col min="508" max="508" width="6.6640625" style="1" customWidth="1"/>
    <col min="509" max="509" width="19" style="1" customWidth="1"/>
    <col min="510" max="510" width="19.109375" style="1" customWidth="1"/>
    <col min="511" max="511" width="21.33203125" style="1" customWidth="1"/>
    <col min="512" max="512" width="32.5546875" style="1" customWidth="1"/>
    <col min="513" max="513" width="16.88671875" style="1" customWidth="1"/>
    <col min="514" max="514" width="16.33203125" style="1" customWidth="1"/>
    <col min="515" max="745" width="10.33203125" style="1"/>
    <col min="746" max="746" width="4.44140625" style="1" customWidth="1"/>
    <col min="747" max="747" width="21.6640625" style="1" customWidth="1"/>
    <col min="748" max="748" width="15" style="1" customWidth="1"/>
    <col min="749" max="749" width="15.44140625" style="1" customWidth="1"/>
    <col min="750" max="750" width="11.5546875" style="1" customWidth="1"/>
    <col min="751" max="751" width="7.44140625" style="1" customWidth="1"/>
    <col min="752" max="752" width="14.109375" style="1" customWidth="1"/>
    <col min="753" max="753" width="10.6640625" style="1" customWidth="1"/>
    <col min="754" max="754" width="13.44140625" style="1" customWidth="1"/>
    <col min="755" max="755" width="11.44140625" style="1" customWidth="1"/>
    <col min="756" max="756" width="15" style="1" customWidth="1"/>
    <col min="757" max="757" width="14.5546875" style="1" customWidth="1"/>
    <col min="758" max="758" width="10.33203125" style="1"/>
    <col min="759" max="759" width="7.44140625" style="1" customWidth="1"/>
    <col min="760" max="760" width="12.88671875" style="1" customWidth="1"/>
    <col min="761" max="761" width="11.109375" style="1" customWidth="1"/>
    <col min="762" max="762" width="14" style="1" customWidth="1"/>
    <col min="763" max="763" width="33" style="1" customWidth="1"/>
    <col min="764" max="764" width="6.6640625" style="1" customWidth="1"/>
    <col min="765" max="765" width="19" style="1" customWidth="1"/>
    <col min="766" max="766" width="19.109375" style="1" customWidth="1"/>
    <col min="767" max="767" width="21.33203125" style="1" customWidth="1"/>
    <col min="768" max="768" width="32.5546875" style="1" customWidth="1"/>
    <col min="769" max="769" width="16.88671875" style="1" customWidth="1"/>
    <col min="770" max="770" width="16.33203125" style="1" customWidth="1"/>
    <col min="771" max="1001" width="10.33203125" style="1"/>
    <col min="1002" max="1002" width="4.44140625" style="1" customWidth="1"/>
    <col min="1003" max="1003" width="21.6640625" style="1" customWidth="1"/>
    <col min="1004" max="1004" width="15" style="1" customWidth="1"/>
    <col min="1005" max="1005" width="15.44140625" style="1" customWidth="1"/>
    <col min="1006" max="1006" width="11.5546875" style="1" customWidth="1"/>
    <col min="1007" max="1007" width="7.44140625" style="1" customWidth="1"/>
    <col min="1008" max="1008" width="14.109375" style="1" customWidth="1"/>
    <col min="1009" max="1009" width="10.6640625" style="1" customWidth="1"/>
    <col min="1010" max="1010" width="13.44140625" style="1" customWidth="1"/>
    <col min="1011" max="1011" width="11.44140625" style="1" customWidth="1"/>
    <col min="1012" max="1012" width="15" style="1" customWidth="1"/>
    <col min="1013" max="1013" width="14.5546875" style="1" customWidth="1"/>
    <col min="1014" max="1014" width="10.33203125" style="1"/>
    <col min="1015" max="1015" width="7.44140625" style="1" customWidth="1"/>
    <col min="1016" max="1016" width="12.88671875" style="1" customWidth="1"/>
    <col min="1017" max="1017" width="11.109375" style="1" customWidth="1"/>
    <col min="1018" max="1018" width="14" style="1" customWidth="1"/>
    <col min="1019" max="1019" width="33" style="1" customWidth="1"/>
    <col min="1020" max="1020" width="6.6640625" style="1" customWidth="1"/>
    <col min="1021" max="1021" width="19" style="1" customWidth="1"/>
    <col min="1022" max="1022" width="19.109375" style="1" customWidth="1"/>
    <col min="1023" max="1023" width="21.33203125" style="1" customWidth="1"/>
    <col min="1024" max="1024" width="32.5546875" style="1" customWidth="1"/>
    <col min="1025" max="1025" width="16.88671875" style="1" customWidth="1"/>
    <col min="1026" max="1026" width="16.33203125" style="1" customWidth="1"/>
    <col min="1027" max="1257" width="10.33203125" style="1"/>
    <col min="1258" max="1258" width="4.44140625" style="1" customWidth="1"/>
    <col min="1259" max="1259" width="21.6640625" style="1" customWidth="1"/>
    <col min="1260" max="1260" width="15" style="1" customWidth="1"/>
    <col min="1261" max="1261" width="15.44140625" style="1" customWidth="1"/>
    <col min="1262" max="1262" width="11.5546875" style="1" customWidth="1"/>
    <col min="1263" max="1263" width="7.44140625" style="1" customWidth="1"/>
    <col min="1264" max="1264" width="14.109375" style="1" customWidth="1"/>
    <col min="1265" max="1265" width="10.6640625" style="1" customWidth="1"/>
    <col min="1266" max="1266" width="13.44140625" style="1" customWidth="1"/>
    <col min="1267" max="1267" width="11.44140625" style="1" customWidth="1"/>
    <col min="1268" max="1268" width="15" style="1" customWidth="1"/>
    <col min="1269" max="1269" width="14.5546875" style="1" customWidth="1"/>
    <col min="1270" max="1270" width="10.33203125" style="1"/>
    <col min="1271" max="1271" width="7.44140625" style="1" customWidth="1"/>
    <col min="1272" max="1272" width="12.88671875" style="1" customWidth="1"/>
    <col min="1273" max="1273" width="11.109375" style="1" customWidth="1"/>
    <col min="1274" max="1274" width="14" style="1" customWidth="1"/>
    <col min="1275" max="1275" width="33" style="1" customWidth="1"/>
    <col min="1276" max="1276" width="6.6640625" style="1" customWidth="1"/>
    <col min="1277" max="1277" width="19" style="1" customWidth="1"/>
    <col min="1278" max="1278" width="19.109375" style="1" customWidth="1"/>
    <col min="1279" max="1279" width="21.33203125" style="1" customWidth="1"/>
    <col min="1280" max="1280" width="32.5546875" style="1" customWidth="1"/>
    <col min="1281" max="1281" width="16.88671875" style="1" customWidth="1"/>
    <col min="1282" max="1282" width="16.33203125" style="1" customWidth="1"/>
    <col min="1283" max="1513" width="10.33203125" style="1"/>
    <col min="1514" max="1514" width="4.44140625" style="1" customWidth="1"/>
    <col min="1515" max="1515" width="21.6640625" style="1" customWidth="1"/>
    <col min="1516" max="1516" width="15" style="1" customWidth="1"/>
    <col min="1517" max="1517" width="15.44140625" style="1" customWidth="1"/>
    <col min="1518" max="1518" width="11.5546875" style="1" customWidth="1"/>
    <col min="1519" max="1519" width="7.44140625" style="1" customWidth="1"/>
    <col min="1520" max="1520" width="14.109375" style="1" customWidth="1"/>
    <col min="1521" max="1521" width="10.6640625" style="1" customWidth="1"/>
    <col min="1522" max="1522" width="13.44140625" style="1" customWidth="1"/>
    <col min="1523" max="1523" width="11.44140625" style="1" customWidth="1"/>
    <col min="1524" max="1524" width="15" style="1" customWidth="1"/>
    <col min="1525" max="1525" width="14.5546875" style="1" customWidth="1"/>
    <col min="1526" max="1526" width="10.33203125" style="1"/>
    <col min="1527" max="1527" width="7.44140625" style="1" customWidth="1"/>
    <col min="1528" max="1528" width="12.88671875" style="1" customWidth="1"/>
    <col min="1529" max="1529" width="11.109375" style="1" customWidth="1"/>
    <col min="1530" max="1530" width="14" style="1" customWidth="1"/>
    <col min="1531" max="1531" width="33" style="1" customWidth="1"/>
    <col min="1532" max="1532" width="6.6640625" style="1" customWidth="1"/>
    <col min="1533" max="1533" width="19" style="1" customWidth="1"/>
    <col min="1534" max="1534" width="19.109375" style="1" customWidth="1"/>
    <col min="1535" max="1535" width="21.33203125" style="1" customWidth="1"/>
    <col min="1536" max="1536" width="32.5546875" style="1" customWidth="1"/>
    <col min="1537" max="1537" width="16.88671875" style="1" customWidth="1"/>
    <col min="1538" max="1538" width="16.33203125" style="1" customWidth="1"/>
    <col min="1539" max="1769" width="10.33203125" style="1"/>
    <col min="1770" max="1770" width="4.44140625" style="1" customWidth="1"/>
    <col min="1771" max="1771" width="21.6640625" style="1" customWidth="1"/>
    <col min="1772" max="1772" width="15" style="1" customWidth="1"/>
    <col min="1773" max="1773" width="15.44140625" style="1" customWidth="1"/>
    <col min="1774" max="1774" width="11.5546875" style="1" customWidth="1"/>
    <col min="1775" max="1775" width="7.44140625" style="1" customWidth="1"/>
    <col min="1776" max="1776" width="14.109375" style="1" customWidth="1"/>
    <col min="1777" max="1777" width="10.6640625" style="1" customWidth="1"/>
    <col min="1778" max="1778" width="13.44140625" style="1" customWidth="1"/>
    <col min="1779" max="1779" width="11.44140625" style="1" customWidth="1"/>
    <col min="1780" max="1780" width="15" style="1" customWidth="1"/>
    <col min="1781" max="1781" width="14.5546875" style="1" customWidth="1"/>
    <col min="1782" max="1782" width="10.33203125" style="1"/>
    <col min="1783" max="1783" width="7.44140625" style="1" customWidth="1"/>
    <col min="1784" max="1784" width="12.88671875" style="1" customWidth="1"/>
    <col min="1785" max="1785" width="11.109375" style="1" customWidth="1"/>
    <col min="1786" max="1786" width="14" style="1" customWidth="1"/>
    <col min="1787" max="1787" width="33" style="1" customWidth="1"/>
    <col min="1788" max="1788" width="6.6640625" style="1" customWidth="1"/>
    <col min="1789" max="1789" width="19" style="1" customWidth="1"/>
    <col min="1790" max="1790" width="19.109375" style="1" customWidth="1"/>
    <col min="1791" max="1791" width="21.33203125" style="1" customWidth="1"/>
    <col min="1792" max="1792" width="32.5546875" style="1" customWidth="1"/>
    <col min="1793" max="1793" width="16.88671875" style="1" customWidth="1"/>
    <col min="1794" max="1794" width="16.33203125" style="1" customWidth="1"/>
    <col min="1795" max="2025" width="10.33203125" style="1"/>
    <col min="2026" max="2026" width="4.44140625" style="1" customWidth="1"/>
    <col min="2027" max="2027" width="21.6640625" style="1" customWidth="1"/>
    <col min="2028" max="2028" width="15" style="1" customWidth="1"/>
    <col min="2029" max="2029" width="15.44140625" style="1" customWidth="1"/>
    <col min="2030" max="2030" width="11.5546875" style="1" customWidth="1"/>
    <col min="2031" max="2031" width="7.44140625" style="1" customWidth="1"/>
    <col min="2032" max="2032" width="14.109375" style="1" customWidth="1"/>
    <col min="2033" max="2033" width="10.6640625" style="1" customWidth="1"/>
    <col min="2034" max="2034" width="13.44140625" style="1" customWidth="1"/>
    <col min="2035" max="2035" width="11.44140625" style="1" customWidth="1"/>
    <col min="2036" max="2036" width="15" style="1" customWidth="1"/>
    <col min="2037" max="2037" width="14.5546875" style="1" customWidth="1"/>
    <col min="2038" max="2038" width="10.33203125" style="1"/>
    <col min="2039" max="2039" width="7.44140625" style="1" customWidth="1"/>
    <col min="2040" max="2040" width="12.88671875" style="1" customWidth="1"/>
    <col min="2041" max="2041" width="11.109375" style="1" customWidth="1"/>
    <col min="2042" max="2042" width="14" style="1" customWidth="1"/>
    <col min="2043" max="2043" width="33" style="1" customWidth="1"/>
    <col min="2044" max="2044" width="6.6640625" style="1" customWidth="1"/>
    <col min="2045" max="2045" width="19" style="1" customWidth="1"/>
    <col min="2046" max="2046" width="19.109375" style="1" customWidth="1"/>
    <col min="2047" max="2047" width="21.33203125" style="1" customWidth="1"/>
    <col min="2048" max="2048" width="32.5546875" style="1" customWidth="1"/>
    <col min="2049" max="2049" width="16.88671875" style="1" customWidth="1"/>
    <col min="2050" max="2050" width="16.33203125" style="1" customWidth="1"/>
    <col min="2051" max="2281" width="10.33203125" style="1"/>
    <col min="2282" max="2282" width="4.44140625" style="1" customWidth="1"/>
    <col min="2283" max="2283" width="21.6640625" style="1" customWidth="1"/>
    <col min="2284" max="2284" width="15" style="1" customWidth="1"/>
    <col min="2285" max="2285" width="15.44140625" style="1" customWidth="1"/>
    <col min="2286" max="2286" width="11.5546875" style="1" customWidth="1"/>
    <col min="2287" max="2287" width="7.44140625" style="1" customWidth="1"/>
    <col min="2288" max="2288" width="14.109375" style="1" customWidth="1"/>
    <col min="2289" max="2289" width="10.6640625" style="1" customWidth="1"/>
    <col min="2290" max="2290" width="13.44140625" style="1" customWidth="1"/>
    <col min="2291" max="2291" width="11.44140625" style="1" customWidth="1"/>
    <col min="2292" max="2292" width="15" style="1" customWidth="1"/>
    <col min="2293" max="2293" width="14.5546875" style="1" customWidth="1"/>
    <col min="2294" max="2294" width="10.33203125" style="1"/>
    <col min="2295" max="2295" width="7.44140625" style="1" customWidth="1"/>
    <col min="2296" max="2296" width="12.88671875" style="1" customWidth="1"/>
    <col min="2297" max="2297" width="11.109375" style="1" customWidth="1"/>
    <col min="2298" max="2298" width="14" style="1" customWidth="1"/>
    <col min="2299" max="2299" width="33" style="1" customWidth="1"/>
    <col min="2300" max="2300" width="6.6640625" style="1" customWidth="1"/>
    <col min="2301" max="2301" width="19" style="1" customWidth="1"/>
    <col min="2302" max="2302" width="19.109375" style="1" customWidth="1"/>
    <col min="2303" max="2303" width="21.33203125" style="1" customWidth="1"/>
    <col min="2304" max="2304" width="32.5546875" style="1" customWidth="1"/>
    <col min="2305" max="2305" width="16.88671875" style="1" customWidth="1"/>
    <col min="2306" max="2306" width="16.33203125" style="1" customWidth="1"/>
    <col min="2307" max="2537" width="10.33203125" style="1"/>
    <col min="2538" max="2538" width="4.44140625" style="1" customWidth="1"/>
    <col min="2539" max="2539" width="21.6640625" style="1" customWidth="1"/>
    <col min="2540" max="2540" width="15" style="1" customWidth="1"/>
    <col min="2541" max="2541" width="15.44140625" style="1" customWidth="1"/>
    <col min="2542" max="2542" width="11.5546875" style="1" customWidth="1"/>
    <col min="2543" max="2543" width="7.44140625" style="1" customWidth="1"/>
    <col min="2544" max="2544" width="14.109375" style="1" customWidth="1"/>
    <col min="2545" max="2545" width="10.6640625" style="1" customWidth="1"/>
    <col min="2546" max="2546" width="13.44140625" style="1" customWidth="1"/>
    <col min="2547" max="2547" width="11.44140625" style="1" customWidth="1"/>
    <col min="2548" max="2548" width="15" style="1" customWidth="1"/>
    <col min="2549" max="2549" width="14.5546875" style="1" customWidth="1"/>
    <col min="2550" max="2550" width="10.33203125" style="1"/>
    <col min="2551" max="2551" width="7.44140625" style="1" customWidth="1"/>
    <col min="2552" max="2552" width="12.88671875" style="1" customWidth="1"/>
    <col min="2553" max="2553" width="11.109375" style="1" customWidth="1"/>
    <col min="2554" max="2554" width="14" style="1" customWidth="1"/>
    <col min="2555" max="2555" width="33" style="1" customWidth="1"/>
    <col min="2556" max="2556" width="6.6640625" style="1" customWidth="1"/>
    <col min="2557" max="2557" width="19" style="1" customWidth="1"/>
    <col min="2558" max="2558" width="19.109375" style="1" customWidth="1"/>
    <col min="2559" max="2559" width="21.33203125" style="1" customWidth="1"/>
    <col min="2560" max="2560" width="32.5546875" style="1" customWidth="1"/>
    <col min="2561" max="2561" width="16.88671875" style="1" customWidth="1"/>
    <col min="2562" max="2562" width="16.33203125" style="1" customWidth="1"/>
    <col min="2563" max="2793" width="10.33203125" style="1"/>
    <col min="2794" max="2794" width="4.44140625" style="1" customWidth="1"/>
    <col min="2795" max="2795" width="21.6640625" style="1" customWidth="1"/>
    <col min="2796" max="2796" width="15" style="1" customWidth="1"/>
    <col min="2797" max="2797" width="15.44140625" style="1" customWidth="1"/>
    <col min="2798" max="2798" width="11.5546875" style="1" customWidth="1"/>
    <col min="2799" max="2799" width="7.44140625" style="1" customWidth="1"/>
    <col min="2800" max="2800" width="14.109375" style="1" customWidth="1"/>
    <col min="2801" max="2801" width="10.6640625" style="1" customWidth="1"/>
    <col min="2802" max="2802" width="13.44140625" style="1" customWidth="1"/>
    <col min="2803" max="2803" width="11.44140625" style="1" customWidth="1"/>
    <col min="2804" max="2804" width="15" style="1" customWidth="1"/>
    <col min="2805" max="2805" width="14.5546875" style="1" customWidth="1"/>
    <col min="2806" max="2806" width="10.33203125" style="1"/>
    <col min="2807" max="2807" width="7.44140625" style="1" customWidth="1"/>
    <col min="2808" max="2808" width="12.88671875" style="1" customWidth="1"/>
    <col min="2809" max="2809" width="11.109375" style="1" customWidth="1"/>
    <col min="2810" max="2810" width="14" style="1" customWidth="1"/>
    <col min="2811" max="2811" width="33" style="1" customWidth="1"/>
    <col min="2812" max="2812" width="6.6640625" style="1" customWidth="1"/>
    <col min="2813" max="2813" width="19" style="1" customWidth="1"/>
    <col min="2814" max="2814" width="19.109375" style="1" customWidth="1"/>
    <col min="2815" max="2815" width="21.33203125" style="1" customWidth="1"/>
    <col min="2816" max="2816" width="32.5546875" style="1" customWidth="1"/>
    <col min="2817" max="2817" width="16.88671875" style="1" customWidth="1"/>
    <col min="2818" max="2818" width="16.33203125" style="1" customWidth="1"/>
    <col min="2819" max="3049" width="10.33203125" style="1"/>
    <col min="3050" max="3050" width="4.44140625" style="1" customWidth="1"/>
    <col min="3051" max="3051" width="21.6640625" style="1" customWidth="1"/>
    <col min="3052" max="3052" width="15" style="1" customWidth="1"/>
    <col min="3053" max="3053" width="15.44140625" style="1" customWidth="1"/>
    <col min="3054" max="3054" width="11.5546875" style="1" customWidth="1"/>
    <col min="3055" max="3055" width="7.44140625" style="1" customWidth="1"/>
    <col min="3056" max="3056" width="14.109375" style="1" customWidth="1"/>
    <col min="3057" max="3057" width="10.6640625" style="1" customWidth="1"/>
    <col min="3058" max="3058" width="13.44140625" style="1" customWidth="1"/>
    <col min="3059" max="3059" width="11.44140625" style="1" customWidth="1"/>
    <col min="3060" max="3060" width="15" style="1" customWidth="1"/>
    <col min="3061" max="3061" width="14.5546875" style="1" customWidth="1"/>
    <col min="3062" max="3062" width="10.33203125" style="1"/>
    <col min="3063" max="3063" width="7.44140625" style="1" customWidth="1"/>
    <col min="3064" max="3064" width="12.88671875" style="1" customWidth="1"/>
    <col min="3065" max="3065" width="11.109375" style="1" customWidth="1"/>
    <col min="3066" max="3066" width="14" style="1" customWidth="1"/>
    <col min="3067" max="3067" width="33" style="1" customWidth="1"/>
    <col min="3068" max="3068" width="6.6640625" style="1" customWidth="1"/>
    <col min="3069" max="3069" width="19" style="1" customWidth="1"/>
    <col min="3070" max="3070" width="19.109375" style="1" customWidth="1"/>
    <col min="3071" max="3071" width="21.33203125" style="1" customWidth="1"/>
    <col min="3072" max="3072" width="32.5546875" style="1" customWidth="1"/>
    <col min="3073" max="3073" width="16.88671875" style="1" customWidth="1"/>
    <col min="3074" max="3074" width="16.33203125" style="1" customWidth="1"/>
    <col min="3075" max="3305" width="10.33203125" style="1"/>
    <col min="3306" max="3306" width="4.44140625" style="1" customWidth="1"/>
    <col min="3307" max="3307" width="21.6640625" style="1" customWidth="1"/>
    <col min="3308" max="3308" width="15" style="1" customWidth="1"/>
    <col min="3309" max="3309" width="15.44140625" style="1" customWidth="1"/>
    <col min="3310" max="3310" width="11.5546875" style="1" customWidth="1"/>
    <col min="3311" max="3311" width="7.44140625" style="1" customWidth="1"/>
    <col min="3312" max="3312" width="14.109375" style="1" customWidth="1"/>
    <col min="3313" max="3313" width="10.6640625" style="1" customWidth="1"/>
    <col min="3314" max="3314" width="13.44140625" style="1" customWidth="1"/>
    <col min="3315" max="3315" width="11.44140625" style="1" customWidth="1"/>
    <col min="3316" max="3316" width="15" style="1" customWidth="1"/>
    <col min="3317" max="3317" width="14.5546875" style="1" customWidth="1"/>
    <col min="3318" max="3318" width="10.33203125" style="1"/>
    <col min="3319" max="3319" width="7.44140625" style="1" customWidth="1"/>
    <col min="3320" max="3320" width="12.88671875" style="1" customWidth="1"/>
    <col min="3321" max="3321" width="11.109375" style="1" customWidth="1"/>
    <col min="3322" max="3322" width="14" style="1" customWidth="1"/>
    <col min="3323" max="3323" width="33" style="1" customWidth="1"/>
    <col min="3324" max="3324" width="6.6640625" style="1" customWidth="1"/>
    <col min="3325" max="3325" width="19" style="1" customWidth="1"/>
    <col min="3326" max="3326" width="19.109375" style="1" customWidth="1"/>
    <col min="3327" max="3327" width="21.33203125" style="1" customWidth="1"/>
    <col min="3328" max="3328" width="32.5546875" style="1" customWidth="1"/>
    <col min="3329" max="3329" width="16.88671875" style="1" customWidth="1"/>
    <col min="3330" max="3330" width="16.33203125" style="1" customWidth="1"/>
    <col min="3331" max="3561" width="10.33203125" style="1"/>
    <col min="3562" max="3562" width="4.44140625" style="1" customWidth="1"/>
    <col min="3563" max="3563" width="21.6640625" style="1" customWidth="1"/>
    <col min="3564" max="3564" width="15" style="1" customWidth="1"/>
    <col min="3565" max="3565" width="15.44140625" style="1" customWidth="1"/>
    <col min="3566" max="3566" width="11.5546875" style="1" customWidth="1"/>
    <col min="3567" max="3567" width="7.44140625" style="1" customWidth="1"/>
    <col min="3568" max="3568" width="14.109375" style="1" customWidth="1"/>
    <col min="3569" max="3569" width="10.6640625" style="1" customWidth="1"/>
    <col min="3570" max="3570" width="13.44140625" style="1" customWidth="1"/>
    <col min="3571" max="3571" width="11.44140625" style="1" customWidth="1"/>
    <col min="3572" max="3572" width="15" style="1" customWidth="1"/>
    <col min="3573" max="3573" width="14.5546875" style="1" customWidth="1"/>
    <col min="3574" max="3574" width="10.33203125" style="1"/>
    <col min="3575" max="3575" width="7.44140625" style="1" customWidth="1"/>
    <col min="3576" max="3576" width="12.88671875" style="1" customWidth="1"/>
    <col min="3577" max="3577" width="11.109375" style="1" customWidth="1"/>
    <col min="3578" max="3578" width="14" style="1" customWidth="1"/>
    <col min="3579" max="3579" width="33" style="1" customWidth="1"/>
    <col min="3580" max="3580" width="6.6640625" style="1" customWidth="1"/>
    <col min="3581" max="3581" width="19" style="1" customWidth="1"/>
    <col min="3582" max="3582" width="19.109375" style="1" customWidth="1"/>
    <col min="3583" max="3583" width="21.33203125" style="1" customWidth="1"/>
    <col min="3584" max="3584" width="32.5546875" style="1" customWidth="1"/>
    <col min="3585" max="3585" width="16.88671875" style="1" customWidth="1"/>
    <col min="3586" max="3586" width="16.33203125" style="1" customWidth="1"/>
    <col min="3587" max="3817" width="10.33203125" style="1"/>
    <col min="3818" max="3818" width="4.44140625" style="1" customWidth="1"/>
    <col min="3819" max="3819" width="21.6640625" style="1" customWidth="1"/>
    <col min="3820" max="3820" width="15" style="1" customWidth="1"/>
    <col min="3821" max="3821" width="15.44140625" style="1" customWidth="1"/>
    <col min="3822" max="3822" width="11.5546875" style="1" customWidth="1"/>
    <col min="3823" max="3823" width="7.44140625" style="1" customWidth="1"/>
    <col min="3824" max="3824" width="14.109375" style="1" customWidth="1"/>
    <col min="3825" max="3825" width="10.6640625" style="1" customWidth="1"/>
    <col min="3826" max="3826" width="13.44140625" style="1" customWidth="1"/>
    <col min="3827" max="3827" width="11.44140625" style="1" customWidth="1"/>
    <col min="3828" max="3828" width="15" style="1" customWidth="1"/>
    <col min="3829" max="3829" width="14.5546875" style="1" customWidth="1"/>
    <col min="3830" max="3830" width="10.33203125" style="1"/>
    <col min="3831" max="3831" width="7.44140625" style="1" customWidth="1"/>
    <col min="3832" max="3832" width="12.88671875" style="1" customWidth="1"/>
    <col min="3833" max="3833" width="11.109375" style="1" customWidth="1"/>
    <col min="3834" max="3834" width="14" style="1" customWidth="1"/>
    <col min="3835" max="3835" width="33" style="1" customWidth="1"/>
    <col min="3836" max="3836" width="6.6640625" style="1" customWidth="1"/>
    <col min="3837" max="3837" width="19" style="1" customWidth="1"/>
    <col min="3838" max="3838" width="19.109375" style="1" customWidth="1"/>
    <col min="3839" max="3839" width="21.33203125" style="1" customWidth="1"/>
    <col min="3840" max="3840" width="32.5546875" style="1" customWidth="1"/>
    <col min="3841" max="3841" width="16.88671875" style="1" customWidth="1"/>
    <col min="3842" max="3842" width="16.33203125" style="1" customWidth="1"/>
    <col min="3843" max="4073" width="10.33203125" style="1"/>
    <col min="4074" max="4074" width="4.44140625" style="1" customWidth="1"/>
    <col min="4075" max="4075" width="21.6640625" style="1" customWidth="1"/>
    <col min="4076" max="4076" width="15" style="1" customWidth="1"/>
    <col min="4077" max="4077" width="15.44140625" style="1" customWidth="1"/>
    <col min="4078" max="4078" width="11.5546875" style="1" customWidth="1"/>
    <col min="4079" max="4079" width="7.44140625" style="1" customWidth="1"/>
    <col min="4080" max="4080" width="14.109375" style="1" customWidth="1"/>
    <col min="4081" max="4081" width="10.6640625" style="1" customWidth="1"/>
    <col min="4082" max="4082" width="13.44140625" style="1" customWidth="1"/>
    <col min="4083" max="4083" width="11.44140625" style="1" customWidth="1"/>
    <col min="4084" max="4084" width="15" style="1" customWidth="1"/>
    <col min="4085" max="4085" width="14.5546875" style="1" customWidth="1"/>
    <col min="4086" max="4086" width="10.33203125" style="1"/>
    <col min="4087" max="4087" width="7.44140625" style="1" customWidth="1"/>
    <col min="4088" max="4088" width="12.88671875" style="1" customWidth="1"/>
    <col min="4089" max="4089" width="11.109375" style="1" customWidth="1"/>
    <col min="4090" max="4090" width="14" style="1" customWidth="1"/>
    <col min="4091" max="4091" width="33" style="1" customWidth="1"/>
    <col min="4092" max="4092" width="6.6640625" style="1" customWidth="1"/>
    <col min="4093" max="4093" width="19" style="1" customWidth="1"/>
    <col min="4094" max="4094" width="19.109375" style="1" customWidth="1"/>
    <col min="4095" max="4095" width="21.33203125" style="1" customWidth="1"/>
    <col min="4096" max="4096" width="32.5546875" style="1" customWidth="1"/>
    <col min="4097" max="4097" width="16.88671875" style="1" customWidth="1"/>
    <col min="4098" max="4098" width="16.33203125" style="1" customWidth="1"/>
    <col min="4099" max="4329" width="10.33203125" style="1"/>
    <col min="4330" max="4330" width="4.44140625" style="1" customWidth="1"/>
    <col min="4331" max="4331" width="21.6640625" style="1" customWidth="1"/>
    <col min="4332" max="4332" width="15" style="1" customWidth="1"/>
    <col min="4333" max="4333" width="15.44140625" style="1" customWidth="1"/>
    <col min="4334" max="4334" width="11.5546875" style="1" customWidth="1"/>
    <col min="4335" max="4335" width="7.44140625" style="1" customWidth="1"/>
    <col min="4336" max="4336" width="14.109375" style="1" customWidth="1"/>
    <col min="4337" max="4337" width="10.6640625" style="1" customWidth="1"/>
    <col min="4338" max="4338" width="13.44140625" style="1" customWidth="1"/>
    <col min="4339" max="4339" width="11.44140625" style="1" customWidth="1"/>
    <col min="4340" max="4340" width="15" style="1" customWidth="1"/>
    <col min="4341" max="4341" width="14.5546875" style="1" customWidth="1"/>
    <col min="4342" max="4342" width="10.33203125" style="1"/>
    <col min="4343" max="4343" width="7.44140625" style="1" customWidth="1"/>
    <col min="4344" max="4344" width="12.88671875" style="1" customWidth="1"/>
    <col min="4345" max="4345" width="11.109375" style="1" customWidth="1"/>
    <col min="4346" max="4346" width="14" style="1" customWidth="1"/>
    <col min="4347" max="4347" width="33" style="1" customWidth="1"/>
    <col min="4348" max="4348" width="6.6640625" style="1" customWidth="1"/>
    <col min="4349" max="4349" width="19" style="1" customWidth="1"/>
    <col min="4350" max="4350" width="19.109375" style="1" customWidth="1"/>
    <col min="4351" max="4351" width="21.33203125" style="1" customWidth="1"/>
    <col min="4352" max="4352" width="32.5546875" style="1" customWidth="1"/>
    <col min="4353" max="4353" width="16.88671875" style="1" customWidth="1"/>
    <col min="4354" max="4354" width="16.33203125" style="1" customWidth="1"/>
    <col min="4355" max="4585" width="10.33203125" style="1"/>
    <col min="4586" max="4586" width="4.44140625" style="1" customWidth="1"/>
    <col min="4587" max="4587" width="21.6640625" style="1" customWidth="1"/>
    <col min="4588" max="4588" width="15" style="1" customWidth="1"/>
    <col min="4589" max="4589" width="15.44140625" style="1" customWidth="1"/>
    <col min="4590" max="4590" width="11.5546875" style="1" customWidth="1"/>
    <col min="4591" max="4591" width="7.44140625" style="1" customWidth="1"/>
    <col min="4592" max="4592" width="14.109375" style="1" customWidth="1"/>
    <col min="4593" max="4593" width="10.6640625" style="1" customWidth="1"/>
    <col min="4594" max="4594" width="13.44140625" style="1" customWidth="1"/>
    <col min="4595" max="4595" width="11.44140625" style="1" customWidth="1"/>
    <col min="4596" max="4596" width="15" style="1" customWidth="1"/>
    <col min="4597" max="4597" width="14.5546875" style="1" customWidth="1"/>
    <col min="4598" max="4598" width="10.33203125" style="1"/>
    <col min="4599" max="4599" width="7.44140625" style="1" customWidth="1"/>
    <col min="4600" max="4600" width="12.88671875" style="1" customWidth="1"/>
    <col min="4601" max="4601" width="11.109375" style="1" customWidth="1"/>
    <col min="4602" max="4602" width="14" style="1" customWidth="1"/>
    <col min="4603" max="4603" width="33" style="1" customWidth="1"/>
    <col min="4604" max="4604" width="6.6640625" style="1" customWidth="1"/>
    <col min="4605" max="4605" width="19" style="1" customWidth="1"/>
    <col min="4606" max="4606" width="19.109375" style="1" customWidth="1"/>
    <col min="4607" max="4607" width="21.33203125" style="1" customWidth="1"/>
    <col min="4608" max="4608" width="32.5546875" style="1" customWidth="1"/>
    <col min="4609" max="4609" width="16.88671875" style="1" customWidth="1"/>
    <col min="4610" max="4610" width="16.33203125" style="1" customWidth="1"/>
    <col min="4611" max="4841" width="10.33203125" style="1"/>
    <col min="4842" max="4842" width="4.44140625" style="1" customWidth="1"/>
    <col min="4843" max="4843" width="21.6640625" style="1" customWidth="1"/>
    <col min="4844" max="4844" width="15" style="1" customWidth="1"/>
    <col min="4845" max="4845" width="15.44140625" style="1" customWidth="1"/>
    <col min="4846" max="4846" width="11.5546875" style="1" customWidth="1"/>
    <col min="4847" max="4847" width="7.44140625" style="1" customWidth="1"/>
    <col min="4848" max="4848" width="14.109375" style="1" customWidth="1"/>
    <col min="4849" max="4849" width="10.6640625" style="1" customWidth="1"/>
    <col min="4850" max="4850" width="13.44140625" style="1" customWidth="1"/>
    <col min="4851" max="4851" width="11.44140625" style="1" customWidth="1"/>
    <col min="4852" max="4852" width="15" style="1" customWidth="1"/>
    <col min="4853" max="4853" width="14.5546875" style="1" customWidth="1"/>
    <col min="4854" max="4854" width="10.33203125" style="1"/>
    <col min="4855" max="4855" width="7.44140625" style="1" customWidth="1"/>
    <col min="4856" max="4856" width="12.88671875" style="1" customWidth="1"/>
    <col min="4857" max="4857" width="11.109375" style="1" customWidth="1"/>
    <col min="4858" max="4858" width="14" style="1" customWidth="1"/>
    <col min="4859" max="4859" width="33" style="1" customWidth="1"/>
    <col min="4860" max="4860" width="6.6640625" style="1" customWidth="1"/>
    <col min="4861" max="4861" width="19" style="1" customWidth="1"/>
    <col min="4862" max="4862" width="19.109375" style="1" customWidth="1"/>
    <col min="4863" max="4863" width="21.33203125" style="1" customWidth="1"/>
    <col min="4864" max="4864" width="32.5546875" style="1" customWidth="1"/>
    <col min="4865" max="4865" width="16.88671875" style="1" customWidth="1"/>
    <col min="4866" max="4866" width="16.33203125" style="1" customWidth="1"/>
    <col min="4867" max="5097" width="10.33203125" style="1"/>
    <col min="5098" max="5098" width="4.44140625" style="1" customWidth="1"/>
    <col min="5099" max="5099" width="21.6640625" style="1" customWidth="1"/>
    <col min="5100" max="5100" width="15" style="1" customWidth="1"/>
    <col min="5101" max="5101" width="15.44140625" style="1" customWidth="1"/>
    <col min="5102" max="5102" width="11.5546875" style="1" customWidth="1"/>
    <col min="5103" max="5103" width="7.44140625" style="1" customWidth="1"/>
    <col min="5104" max="5104" width="14.109375" style="1" customWidth="1"/>
    <col min="5105" max="5105" width="10.6640625" style="1" customWidth="1"/>
    <col min="5106" max="5106" width="13.44140625" style="1" customWidth="1"/>
    <col min="5107" max="5107" width="11.44140625" style="1" customWidth="1"/>
    <col min="5108" max="5108" width="15" style="1" customWidth="1"/>
    <col min="5109" max="5109" width="14.5546875" style="1" customWidth="1"/>
    <col min="5110" max="5110" width="10.33203125" style="1"/>
    <col min="5111" max="5111" width="7.44140625" style="1" customWidth="1"/>
    <col min="5112" max="5112" width="12.88671875" style="1" customWidth="1"/>
    <col min="5113" max="5113" width="11.109375" style="1" customWidth="1"/>
    <col min="5114" max="5114" width="14" style="1" customWidth="1"/>
    <col min="5115" max="5115" width="33" style="1" customWidth="1"/>
    <col min="5116" max="5116" width="6.6640625" style="1" customWidth="1"/>
    <col min="5117" max="5117" width="19" style="1" customWidth="1"/>
    <col min="5118" max="5118" width="19.109375" style="1" customWidth="1"/>
    <col min="5119" max="5119" width="21.33203125" style="1" customWidth="1"/>
    <col min="5120" max="5120" width="32.5546875" style="1" customWidth="1"/>
    <col min="5121" max="5121" width="16.88671875" style="1" customWidth="1"/>
    <col min="5122" max="5122" width="16.33203125" style="1" customWidth="1"/>
    <col min="5123" max="5353" width="10.33203125" style="1"/>
    <col min="5354" max="5354" width="4.44140625" style="1" customWidth="1"/>
    <col min="5355" max="5355" width="21.6640625" style="1" customWidth="1"/>
    <col min="5356" max="5356" width="15" style="1" customWidth="1"/>
    <col min="5357" max="5357" width="15.44140625" style="1" customWidth="1"/>
    <col min="5358" max="5358" width="11.5546875" style="1" customWidth="1"/>
    <col min="5359" max="5359" width="7.44140625" style="1" customWidth="1"/>
    <col min="5360" max="5360" width="14.109375" style="1" customWidth="1"/>
    <col min="5361" max="5361" width="10.6640625" style="1" customWidth="1"/>
    <col min="5362" max="5362" width="13.44140625" style="1" customWidth="1"/>
    <col min="5363" max="5363" width="11.44140625" style="1" customWidth="1"/>
    <col min="5364" max="5364" width="15" style="1" customWidth="1"/>
    <col min="5365" max="5365" width="14.5546875" style="1" customWidth="1"/>
    <col min="5366" max="5366" width="10.33203125" style="1"/>
    <col min="5367" max="5367" width="7.44140625" style="1" customWidth="1"/>
    <col min="5368" max="5368" width="12.88671875" style="1" customWidth="1"/>
    <col min="5369" max="5369" width="11.109375" style="1" customWidth="1"/>
    <col min="5370" max="5370" width="14" style="1" customWidth="1"/>
    <col min="5371" max="5371" width="33" style="1" customWidth="1"/>
    <col min="5372" max="5372" width="6.6640625" style="1" customWidth="1"/>
    <col min="5373" max="5373" width="19" style="1" customWidth="1"/>
    <col min="5374" max="5374" width="19.109375" style="1" customWidth="1"/>
    <col min="5375" max="5375" width="21.33203125" style="1" customWidth="1"/>
    <col min="5376" max="5376" width="32.5546875" style="1" customWidth="1"/>
    <col min="5377" max="5377" width="16.88671875" style="1" customWidth="1"/>
    <col min="5378" max="5378" width="16.33203125" style="1" customWidth="1"/>
    <col min="5379" max="5609" width="10.33203125" style="1"/>
    <col min="5610" max="5610" width="4.44140625" style="1" customWidth="1"/>
    <col min="5611" max="5611" width="21.6640625" style="1" customWidth="1"/>
    <col min="5612" max="5612" width="15" style="1" customWidth="1"/>
    <col min="5613" max="5613" width="15.44140625" style="1" customWidth="1"/>
    <col min="5614" max="5614" width="11.5546875" style="1" customWidth="1"/>
    <col min="5615" max="5615" width="7.44140625" style="1" customWidth="1"/>
    <col min="5616" max="5616" width="14.109375" style="1" customWidth="1"/>
    <col min="5617" max="5617" width="10.6640625" style="1" customWidth="1"/>
    <col min="5618" max="5618" width="13.44140625" style="1" customWidth="1"/>
    <col min="5619" max="5619" width="11.44140625" style="1" customWidth="1"/>
    <col min="5620" max="5620" width="15" style="1" customWidth="1"/>
    <col min="5621" max="5621" width="14.5546875" style="1" customWidth="1"/>
    <col min="5622" max="5622" width="10.33203125" style="1"/>
    <col min="5623" max="5623" width="7.44140625" style="1" customWidth="1"/>
    <col min="5624" max="5624" width="12.88671875" style="1" customWidth="1"/>
    <col min="5625" max="5625" width="11.109375" style="1" customWidth="1"/>
    <col min="5626" max="5626" width="14" style="1" customWidth="1"/>
    <col min="5627" max="5627" width="33" style="1" customWidth="1"/>
    <col min="5628" max="5628" width="6.6640625" style="1" customWidth="1"/>
    <col min="5629" max="5629" width="19" style="1" customWidth="1"/>
    <col min="5630" max="5630" width="19.109375" style="1" customWidth="1"/>
    <col min="5631" max="5631" width="21.33203125" style="1" customWidth="1"/>
    <col min="5632" max="5632" width="32.5546875" style="1" customWidth="1"/>
    <col min="5633" max="5633" width="16.88671875" style="1" customWidth="1"/>
    <col min="5634" max="5634" width="16.33203125" style="1" customWidth="1"/>
    <col min="5635" max="5865" width="10.33203125" style="1"/>
    <col min="5866" max="5866" width="4.44140625" style="1" customWidth="1"/>
    <col min="5867" max="5867" width="21.6640625" style="1" customWidth="1"/>
    <col min="5868" max="5868" width="15" style="1" customWidth="1"/>
    <col min="5869" max="5869" width="15.44140625" style="1" customWidth="1"/>
    <col min="5870" max="5870" width="11.5546875" style="1" customWidth="1"/>
    <col min="5871" max="5871" width="7.44140625" style="1" customWidth="1"/>
    <col min="5872" max="5872" width="14.109375" style="1" customWidth="1"/>
    <col min="5873" max="5873" width="10.6640625" style="1" customWidth="1"/>
    <col min="5874" max="5874" width="13.44140625" style="1" customWidth="1"/>
    <col min="5875" max="5875" width="11.44140625" style="1" customWidth="1"/>
    <col min="5876" max="5876" width="15" style="1" customWidth="1"/>
    <col min="5877" max="5877" width="14.5546875" style="1" customWidth="1"/>
    <col min="5878" max="5878" width="10.33203125" style="1"/>
    <col min="5879" max="5879" width="7.44140625" style="1" customWidth="1"/>
    <col min="5880" max="5880" width="12.88671875" style="1" customWidth="1"/>
    <col min="5881" max="5881" width="11.109375" style="1" customWidth="1"/>
    <col min="5882" max="5882" width="14" style="1" customWidth="1"/>
    <col min="5883" max="5883" width="33" style="1" customWidth="1"/>
    <col min="5884" max="5884" width="6.6640625" style="1" customWidth="1"/>
    <col min="5885" max="5885" width="19" style="1" customWidth="1"/>
    <col min="5886" max="5886" width="19.109375" style="1" customWidth="1"/>
    <col min="5887" max="5887" width="21.33203125" style="1" customWidth="1"/>
    <col min="5888" max="5888" width="32.5546875" style="1" customWidth="1"/>
    <col min="5889" max="5889" width="16.88671875" style="1" customWidth="1"/>
    <col min="5890" max="5890" width="16.33203125" style="1" customWidth="1"/>
    <col min="5891" max="6121" width="10.33203125" style="1"/>
    <col min="6122" max="6122" width="4.44140625" style="1" customWidth="1"/>
    <col min="6123" max="6123" width="21.6640625" style="1" customWidth="1"/>
    <col min="6124" max="6124" width="15" style="1" customWidth="1"/>
    <col min="6125" max="6125" width="15.44140625" style="1" customWidth="1"/>
    <col min="6126" max="6126" width="11.5546875" style="1" customWidth="1"/>
    <col min="6127" max="6127" width="7.44140625" style="1" customWidth="1"/>
    <col min="6128" max="6128" width="14.109375" style="1" customWidth="1"/>
    <col min="6129" max="6129" width="10.6640625" style="1" customWidth="1"/>
    <col min="6130" max="6130" width="13.44140625" style="1" customWidth="1"/>
    <col min="6131" max="6131" width="11.44140625" style="1" customWidth="1"/>
    <col min="6132" max="6132" width="15" style="1" customWidth="1"/>
    <col min="6133" max="6133" width="14.5546875" style="1" customWidth="1"/>
    <col min="6134" max="6134" width="10.33203125" style="1"/>
    <col min="6135" max="6135" width="7.44140625" style="1" customWidth="1"/>
    <col min="6136" max="6136" width="12.88671875" style="1" customWidth="1"/>
    <col min="6137" max="6137" width="11.109375" style="1" customWidth="1"/>
    <col min="6138" max="6138" width="14" style="1" customWidth="1"/>
    <col min="6139" max="6139" width="33" style="1" customWidth="1"/>
    <col min="6140" max="6140" width="6.6640625" style="1" customWidth="1"/>
    <col min="6141" max="6141" width="19" style="1" customWidth="1"/>
    <col min="6142" max="6142" width="19.109375" style="1" customWidth="1"/>
    <col min="6143" max="6143" width="21.33203125" style="1" customWidth="1"/>
    <col min="6144" max="6144" width="32.5546875" style="1" customWidth="1"/>
    <col min="6145" max="6145" width="16.88671875" style="1" customWidth="1"/>
    <col min="6146" max="6146" width="16.33203125" style="1" customWidth="1"/>
    <col min="6147" max="6377" width="10.33203125" style="1"/>
    <col min="6378" max="6378" width="4.44140625" style="1" customWidth="1"/>
    <col min="6379" max="6379" width="21.6640625" style="1" customWidth="1"/>
    <col min="6380" max="6380" width="15" style="1" customWidth="1"/>
    <col min="6381" max="6381" width="15.44140625" style="1" customWidth="1"/>
    <col min="6382" max="6382" width="11.5546875" style="1" customWidth="1"/>
    <col min="6383" max="6383" width="7.44140625" style="1" customWidth="1"/>
    <col min="6384" max="6384" width="14.109375" style="1" customWidth="1"/>
    <col min="6385" max="6385" width="10.6640625" style="1" customWidth="1"/>
    <col min="6386" max="6386" width="13.44140625" style="1" customWidth="1"/>
    <col min="6387" max="6387" width="11.44140625" style="1" customWidth="1"/>
    <col min="6388" max="6388" width="15" style="1" customWidth="1"/>
    <col min="6389" max="6389" width="14.5546875" style="1" customWidth="1"/>
    <col min="6390" max="6390" width="10.33203125" style="1"/>
    <col min="6391" max="6391" width="7.44140625" style="1" customWidth="1"/>
    <col min="6392" max="6392" width="12.88671875" style="1" customWidth="1"/>
    <col min="6393" max="6393" width="11.109375" style="1" customWidth="1"/>
    <col min="6394" max="6394" width="14" style="1" customWidth="1"/>
    <col min="6395" max="6395" width="33" style="1" customWidth="1"/>
    <col min="6396" max="6396" width="6.6640625" style="1" customWidth="1"/>
    <col min="6397" max="6397" width="19" style="1" customWidth="1"/>
    <col min="6398" max="6398" width="19.109375" style="1" customWidth="1"/>
    <col min="6399" max="6399" width="21.33203125" style="1" customWidth="1"/>
    <col min="6400" max="6400" width="32.5546875" style="1" customWidth="1"/>
    <col min="6401" max="6401" width="16.88671875" style="1" customWidth="1"/>
    <col min="6402" max="6402" width="16.33203125" style="1" customWidth="1"/>
    <col min="6403" max="6633" width="10.33203125" style="1"/>
    <col min="6634" max="6634" width="4.44140625" style="1" customWidth="1"/>
    <col min="6635" max="6635" width="21.6640625" style="1" customWidth="1"/>
    <col min="6636" max="6636" width="15" style="1" customWidth="1"/>
    <col min="6637" max="6637" width="15.44140625" style="1" customWidth="1"/>
    <col min="6638" max="6638" width="11.5546875" style="1" customWidth="1"/>
    <col min="6639" max="6639" width="7.44140625" style="1" customWidth="1"/>
    <col min="6640" max="6640" width="14.109375" style="1" customWidth="1"/>
    <col min="6641" max="6641" width="10.6640625" style="1" customWidth="1"/>
    <col min="6642" max="6642" width="13.44140625" style="1" customWidth="1"/>
    <col min="6643" max="6643" width="11.44140625" style="1" customWidth="1"/>
    <col min="6644" max="6644" width="15" style="1" customWidth="1"/>
    <col min="6645" max="6645" width="14.5546875" style="1" customWidth="1"/>
    <col min="6646" max="6646" width="10.33203125" style="1"/>
    <col min="6647" max="6647" width="7.44140625" style="1" customWidth="1"/>
    <col min="6648" max="6648" width="12.88671875" style="1" customWidth="1"/>
    <col min="6649" max="6649" width="11.109375" style="1" customWidth="1"/>
    <col min="6650" max="6650" width="14" style="1" customWidth="1"/>
    <col min="6651" max="6651" width="33" style="1" customWidth="1"/>
    <col min="6652" max="6652" width="6.6640625" style="1" customWidth="1"/>
    <col min="6653" max="6653" width="19" style="1" customWidth="1"/>
    <col min="6654" max="6654" width="19.109375" style="1" customWidth="1"/>
    <col min="6655" max="6655" width="21.33203125" style="1" customWidth="1"/>
    <col min="6656" max="6656" width="32.5546875" style="1" customWidth="1"/>
    <col min="6657" max="6657" width="16.88671875" style="1" customWidth="1"/>
    <col min="6658" max="6658" width="16.33203125" style="1" customWidth="1"/>
    <col min="6659" max="6889" width="10.33203125" style="1"/>
    <col min="6890" max="6890" width="4.44140625" style="1" customWidth="1"/>
    <col min="6891" max="6891" width="21.6640625" style="1" customWidth="1"/>
    <col min="6892" max="6892" width="15" style="1" customWidth="1"/>
    <col min="6893" max="6893" width="15.44140625" style="1" customWidth="1"/>
    <col min="6894" max="6894" width="11.5546875" style="1" customWidth="1"/>
    <col min="6895" max="6895" width="7.44140625" style="1" customWidth="1"/>
    <col min="6896" max="6896" width="14.109375" style="1" customWidth="1"/>
    <col min="6897" max="6897" width="10.6640625" style="1" customWidth="1"/>
    <col min="6898" max="6898" width="13.44140625" style="1" customWidth="1"/>
    <col min="6899" max="6899" width="11.44140625" style="1" customWidth="1"/>
    <col min="6900" max="6900" width="15" style="1" customWidth="1"/>
    <col min="6901" max="6901" width="14.5546875" style="1" customWidth="1"/>
    <col min="6902" max="6902" width="10.33203125" style="1"/>
    <col min="6903" max="6903" width="7.44140625" style="1" customWidth="1"/>
    <col min="6904" max="6904" width="12.88671875" style="1" customWidth="1"/>
    <col min="6905" max="6905" width="11.109375" style="1" customWidth="1"/>
    <col min="6906" max="6906" width="14" style="1" customWidth="1"/>
    <col min="6907" max="6907" width="33" style="1" customWidth="1"/>
    <col min="6908" max="6908" width="6.6640625" style="1" customWidth="1"/>
    <col min="6909" max="6909" width="19" style="1" customWidth="1"/>
    <col min="6910" max="6910" width="19.109375" style="1" customWidth="1"/>
    <col min="6911" max="6911" width="21.33203125" style="1" customWidth="1"/>
    <col min="6912" max="6912" width="32.5546875" style="1" customWidth="1"/>
    <col min="6913" max="6913" width="16.88671875" style="1" customWidth="1"/>
    <col min="6914" max="6914" width="16.33203125" style="1" customWidth="1"/>
    <col min="6915" max="7145" width="10.33203125" style="1"/>
    <col min="7146" max="7146" width="4.44140625" style="1" customWidth="1"/>
    <col min="7147" max="7147" width="21.6640625" style="1" customWidth="1"/>
    <col min="7148" max="7148" width="15" style="1" customWidth="1"/>
    <col min="7149" max="7149" width="15.44140625" style="1" customWidth="1"/>
    <col min="7150" max="7150" width="11.5546875" style="1" customWidth="1"/>
    <col min="7151" max="7151" width="7.44140625" style="1" customWidth="1"/>
    <col min="7152" max="7152" width="14.109375" style="1" customWidth="1"/>
    <col min="7153" max="7153" width="10.6640625" style="1" customWidth="1"/>
    <col min="7154" max="7154" width="13.44140625" style="1" customWidth="1"/>
    <col min="7155" max="7155" width="11.44140625" style="1" customWidth="1"/>
    <col min="7156" max="7156" width="15" style="1" customWidth="1"/>
    <col min="7157" max="7157" width="14.5546875" style="1" customWidth="1"/>
    <col min="7158" max="7158" width="10.33203125" style="1"/>
    <col min="7159" max="7159" width="7.44140625" style="1" customWidth="1"/>
    <col min="7160" max="7160" width="12.88671875" style="1" customWidth="1"/>
    <col min="7161" max="7161" width="11.109375" style="1" customWidth="1"/>
    <col min="7162" max="7162" width="14" style="1" customWidth="1"/>
    <col min="7163" max="7163" width="33" style="1" customWidth="1"/>
    <col min="7164" max="7164" width="6.6640625" style="1" customWidth="1"/>
    <col min="7165" max="7165" width="19" style="1" customWidth="1"/>
    <col min="7166" max="7166" width="19.109375" style="1" customWidth="1"/>
    <col min="7167" max="7167" width="21.33203125" style="1" customWidth="1"/>
    <col min="7168" max="7168" width="32.5546875" style="1" customWidth="1"/>
    <col min="7169" max="7169" width="16.88671875" style="1" customWidth="1"/>
    <col min="7170" max="7170" width="16.33203125" style="1" customWidth="1"/>
    <col min="7171" max="7401" width="10.33203125" style="1"/>
    <col min="7402" max="7402" width="4.44140625" style="1" customWidth="1"/>
    <col min="7403" max="7403" width="21.6640625" style="1" customWidth="1"/>
    <col min="7404" max="7404" width="15" style="1" customWidth="1"/>
    <col min="7405" max="7405" width="15.44140625" style="1" customWidth="1"/>
    <col min="7406" max="7406" width="11.5546875" style="1" customWidth="1"/>
    <col min="7407" max="7407" width="7.44140625" style="1" customWidth="1"/>
    <col min="7408" max="7408" width="14.109375" style="1" customWidth="1"/>
    <col min="7409" max="7409" width="10.6640625" style="1" customWidth="1"/>
    <col min="7410" max="7410" width="13.44140625" style="1" customWidth="1"/>
    <col min="7411" max="7411" width="11.44140625" style="1" customWidth="1"/>
    <col min="7412" max="7412" width="15" style="1" customWidth="1"/>
    <col min="7413" max="7413" width="14.5546875" style="1" customWidth="1"/>
    <col min="7414" max="7414" width="10.33203125" style="1"/>
    <col min="7415" max="7415" width="7.44140625" style="1" customWidth="1"/>
    <col min="7416" max="7416" width="12.88671875" style="1" customWidth="1"/>
    <col min="7417" max="7417" width="11.109375" style="1" customWidth="1"/>
    <col min="7418" max="7418" width="14" style="1" customWidth="1"/>
    <col min="7419" max="7419" width="33" style="1" customWidth="1"/>
    <col min="7420" max="7420" width="6.6640625" style="1" customWidth="1"/>
    <col min="7421" max="7421" width="19" style="1" customWidth="1"/>
    <col min="7422" max="7422" width="19.109375" style="1" customWidth="1"/>
    <col min="7423" max="7423" width="21.33203125" style="1" customWidth="1"/>
    <col min="7424" max="7424" width="32.5546875" style="1" customWidth="1"/>
    <col min="7425" max="7425" width="16.88671875" style="1" customWidth="1"/>
    <col min="7426" max="7426" width="16.33203125" style="1" customWidth="1"/>
    <col min="7427" max="7657" width="10.33203125" style="1"/>
    <col min="7658" max="7658" width="4.44140625" style="1" customWidth="1"/>
    <col min="7659" max="7659" width="21.6640625" style="1" customWidth="1"/>
    <col min="7660" max="7660" width="15" style="1" customWidth="1"/>
    <col min="7661" max="7661" width="15.44140625" style="1" customWidth="1"/>
    <col min="7662" max="7662" width="11.5546875" style="1" customWidth="1"/>
    <col min="7663" max="7663" width="7.44140625" style="1" customWidth="1"/>
    <col min="7664" max="7664" width="14.109375" style="1" customWidth="1"/>
    <col min="7665" max="7665" width="10.6640625" style="1" customWidth="1"/>
    <col min="7666" max="7666" width="13.44140625" style="1" customWidth="1"/>
    <col min="7667" max="7667" width="11.44140625" style="1" customWidth="1"/>
    <col min="7668" max="7668" width="15" style="1" customWidth="1"/>
    <col min="7669" max="7669" width="14.5546875" style="1" customWidth="1"/>
    <col min="7670" max="7670" width="10.33203125" style="1"/>
    <col min="7671" max="7671" width="7.44140625" style="1" customWidth="1"/>
    <col min="7672" max="7672" width="12.88671875" style="1" customWidth="1"/>
    <col min="7673" max="7673" width="11.109375" style="1" customWidth="1"/>
    <col min="7674" max="7674" width="14" style="1" customWidth="1"/>
    <col min="7675" max="7675" width="33" style="1" customWidth="1"/>
    <col min="7676" max="7676" width="6.6640625" style="1" customWidth="1"/>
    <col min="7677" max="7677" width="19" style="1" customWidth="1"/>
    <col min="7678" max="7678" width="19.109375" style="1" customWidth="1"/>
    <col min="7679" max="7679" width="21.33203125" style="1" customWidth="1"/>
    <col min="7680" max="7680" width="32.5546875" style="1" customWidth="1"/>
    <col min="7681" max="7681" width="16.88671875" style="1" customWidth="1"/>
    <col min="7682" max="7682" width="16.33203125" style="1" customWidth="1"/>
    <col min="7683" max="7913" width="10.33203125" style="1"/>
    <col min="7914" max="7914" width="4.44140625" style="1" customWidth="1"/>
    <col min="7915" max="7915" width="21.6640625" style="1" customWidth="1"/>
    <col min="7916" max="7916" width="15" style="1" customWidth="1"/>
    <col min="7917" max="7917" width="15.44140625" style="1" customWidth="1"/>
    <col min="7918" max="7918" width="11.5546875" style="1" customWidth="1"/>
    <col min="7919" max="7919" width="7.44140625" style="1" customWidth="1"/>
    <col min="7920" max="7920" width="14.109375" style="1" customWidth="1"/>
    <col min="7921" max="7921" width="10.6640625" style="1" customWidth="1"/>
    <col min="7922" max="7922" width="13.44140625" style="1" customWidth="1"/>
    <col min="7923" max="7923" width="11.44140625" style="1" customWidth="1"/>
    <col min="7924" max="7924" width="15" style="1" customWidth="1"/>
    <col min="7925" max="7925" width="14.5546875" style="1" customWidth="1"/>
    <col min="7926" max="7926" width="10.33203125" style="1"/>
    <col min="7927" max="7927" width="7.44140625" style="1" customWidth="1"/>
    <col min="7928" max="7928" width="12.88671875" style="1" customWidth="1"/>
    <col min="7929" max="7929" width="11.109375" style="1" customWidth="1"/>
    <col min="7930" max="7930" width="14" style="1" customWidth="1"/>
    <col min="7931" max="7931" width="33" style="1" customWidth="1"/>
    <col min="7932" max="7932" width="6.6640625" style="1" customWidth="1"/>
    <col min="7933" max="7933" width="19" style="1" customWidth="1"/>
    <col min="7934" max="7934" width="19.109375" style="1" customWidth="1"/>
    <col min="7935" max="7935" width="21.33203125" style="1" customWidth="1"/>
    <col min="7936" max="7936" width="32.5546875" style="1" customWidth="1"/>
    <col min="7937" max="7937" width="16.88671875" style="1" customWidth="1"/>
    <col min="7938" max="7938" width="16.33203125" style="1" customWidth="1"/>
    <col min="7939" max="8169" width="10.33203125" style="1"/>
    <col min="8170" max="8170" width="4.44140625" style="1" customWidth="1"/>
    <col min="8171" max="8171" width="21.6640625" style="1" customWidth="1"/>
    <col min="8172" max="8172" width="15" style="1" customWidth="1"/>
    <col min="8173" max="8173" width="15.44140625" style="1" customWidth="1"/>
    <col min="8174" max="8174" width="11.5546875" style="1" customWidth="1"/>
    <col min="8175" max="8175" width="7.44140625" style="1" customWidth="1"/>
    <col min="8176" max="8176" width="14.109375" style="1" customWidth="1"/>
    <col min="8177" max="8177" width="10.6640625" style="1" customWidth="1"/>
    <col min="8178" max="8178" width="13.44140625" style="1" customWidth="1"/>
    <col min="8179" max="8179" width="11.44140625" style="1" customWidth="1"/>
    <col min="8180" max="8180" width="15" style="1" customWidth="1"/>
    <col min="8181" max="8181" width="14.5546875" style="1" customWidth="1"/>
    <col min="8182" max="8182" width="10.33203125" style="1"/>
    <col min="8183" max="8183" width="7.44140625" style="1" customWidth="1"/>
    <col min="8184" max="8184" width="12.88671875" style="1" customWidth="1"/>
    <col min="8185" max="8185" width="11.109375" style="1" customWidth="1"/>
    <col min="8186" max="8186" width="14" style="1" customWidth="1"/>
    <col min="8187" max="8187" width="33" style="1" customWidth="1"/>
    <col min="8188" max="8188" width="6.6640625" style="1" customWidth="1"/>
    <col min="8189" max="8189" width="19" style="1" customWidth="1"/>
    <col min="8190" max="8190" width="19.109375" style="1" customWidth="1"/>
    <col min="8191" max="8191" width="21.33203125" style="1" customWidth="1"/>
    <col min="8192" max="8192" width="32.5546875" style="1" customWidth="1"/>
    <col min="8193" max="8193" width="16.88671875" style="1" customWidth="1"/>
    <col min="8194" max="8194" width="16.33203125" style="1" customWidth="1"/>
    <col min="8195" max="8425" width="10.33203125" style="1"/>
    <col min="8426" max="8426" width="4.44140625" style="1" customWidth="1"/>
    <col min="8427" max="8427" width="21.6640625" style="1" customWidth="1"/>
    <col min="8428" max="8428" width="15" style="1" customWidth="1"/>
    <col min="8429" max="8429" width="15.44140625" style="1" customWidth="1"/>
    <col min="8430" max="8430" width="11.5546875" style="1" customWidth="1"/>
    <col min="8431" max="8431" width="7.44140625" style="1" customWidth="1"/>
    <col min="8432" max="8432" width="14.109375" style="1" customWidth="1"/>
    <col min="8433" max="8433" width="10.6640625" style="1" customWidth="1"/>
    <col min="8434" max="8434" width="13.44140625" style="1" customWidth="1"/>
    <col min="8435" max="8435" width="11.44140625" style="1" customWidth="1"/>
    <col min="8436" max="8436" width="15" style="1" customWidth="1"/>
    <col min="8437" max="8437" width="14.5546875" style="1" customWidth="1"/>
    <col min="8438" max="8438" width="10.33203125" style="1"/>
    <col min="8439" max="8439" width="7.44140625" style="1" customWidth="1"/>
    <col min="8440" max="8440" width="12.88671875" style="1" customWidth="1"/>
    <col min="8441" max="8441" width="11.109375" style="1" customWidth="1"/>
    <col min="8442" max="8442" width="14" style="1" customWidth="1"/>
    <col min="8443" max="8443" width="33" style="1" customWidth="1"/>
    <col min="8444" max="8444" width="6.6640625" style="1" customWidth="1"/>
    <col min="8445" max="8445" width="19" style="1" customWidth="1"/>
    <col min="8446" max="8446" width="19.109375" style="1" customWidth="1"/>
    <col min="8447" max="8447" width="21.33203125" style="1" customWidth="1"/>
    <col min="8448" max="8448" width="32.5546875" style="1" customWidth="1"/>
    <col min="8449" max="8449" width="16.88671875" style="1" customWidth="1"/>
    <col min="8450" max="8450" width="16.33203125" style="1" customWidth="1"/>
    <col min="8451" max="8681" width="10.33203125" style="1"/>
    <col min="8682" max="8682" width="4.44140625" style="1" customWidth="1"/>
    <col min="8683" max="8683" width="21.6640625" style="1" customWidth="1"/>
    <col min="8684" max="8684" width="15" style="1" customWidth="1"/>
    <col min="8685" max="8685" width="15.44140625" style="1" customWidth="1"/>
    <col min="8686" max="8686" width="11.5546875" style="1" customWidth="1"/>
    <col min="8687" max="8687" width="7.44140625" style="1" customWidth="1"/>
    <col min="8688" max="8688" width="14.109375" style="1" customWidth="1"/>
    <col min="8689" max="8689" width="10.6640625" style="1" customWidth="1"/>
    <col min="8690" max="8690" width="13.44140625" style="1" customWidth="1"/>
    <col min="8691" max="8691" width="11.44140625" style="1" customWidth="1"/>
    <col min="8692" max="8692" width="15" style="1" customWidth="1"/>
    <col min="8693" max="8693" width="14.5546875" style="1" customWidth="1"/>
    <col min="8694" max="8694" width="10.33203125" style="1"/>
    <col min="8695" max="8695" width="7.44140625" style="1" customWidth="1"/>
    <col min="8696" max="8696" width="12.88671875" style="1" customWidth="1"/>
    <col min="8697" max="8697" width="11.109375" style="1" customWidth="1"/>
    <col min="8698" max="8698" width="14" style="1" customWidth="1"/>
    <col min="8699" max="8699" width="33" style="1" customWidth="1"/>
    <col min="8700" max="8700" width="6.6640625" style="1" customWidth="1"/>
    <col min="8701" max="8701" width="19" style="1" customWidth="1"/>
    <col min="8702" max="8702" width="19.109375" style="1" customWidth="1"/>
    <col min="8703" max="8703" width="21.33203125" style="1" customWidth="1"/>
    <col min="8704" max="8704" width="32.5546875" style="1" customWidth="1"/>
    <col min="8705" max="8705" width="16.88671875" style="1" customWidth="1"/>
    <col min="8706" max="8706" width="16.33203125" style="1" customWidth="1"/>
    <col min="8707" max="8937" width="10.33203125" style="1"/>
    <col min="8938" max="8938" width="4.44140625" style="1" customWidth="1"/>
    <col min="8939" max="8939" width="21.6640625" style="1" customWidth="1"/>
    <col min="8940" max="8940" width="15" style="1" customWidth="1"/>
    <col min="8941" max="8941" width="15.44140625" style="1" customWidth="1"/>
    <col min="8942" max="8942" width="11.5546875" style="1" customWidth="1"/>
    <col min="8943" max="8943" width="7.44140625" style="1" customWidth="1"/>
    <col min="8944" max="8944" width="14.109375" style="1" customWidth="1"/>
    <col min="8945" max="8945" width="10.6640625" style="1" customWidth="1"/>
    <col min="8946" max="8946" width="13.44140625" style="1" customWidth="1"/>
    <col min="8947" max="8947" width="11.44140625" style="1" customWidth="1"/>
    <col min="8948" max="8948" width="15" style="1" customWidth="1"/>
    <col min="8949" max="8949" width="14.5546875" style="1" customWidth="1"/>
    <col min="8950" max="8950" width="10.33203125" style="1"/>
    <col min="8951" max="8951" width="7.44140625" style="1" customWidth="1"/>
    <col min="8952" max="8952" width="12.88671875" style="1" customWidth="1"/>
    <col min="8953" max="8953" width="11.109375" style="1" customWidth="1"/>
    <col min="8954" max="8954" width="14" style="1" customWidth="1"/>
    <col min="8955" max="8955" width="33" style="1" customWidth="1"/>
    <col min="8956" max="8956" width="6.6640625" style="1" customWidth="1"/>
    <col min="8957" max="8957" width="19" style="1" customWidth="1"/>
    <col min="8958" max="8958" width="19.109375" style="1" customWidth="1"/>
    <col min="8959" max="8959" width="21.33203125" style="1" customWidth="1"/>
    <col min="8960" max="8960" width="32.5546875" style="1" customWidth="1"/>
    <col min="8961" max="8961" width="16.88671875" style="1" customWidth="1"/>
    <col min="8962" max="8962" width="16.33203125" style="1" customWidth="1"/>
    <col min="8963" max="9193" width="10.33203125" style="1"/>
    <col min="9194" max="9194" width="4.44140625" style="1" customWidth="1"/>
    <col min="9195" max="9195" width="21.6640625" style="1" customWidth="1"/>
    <col min="9196" max="9196" width="15" style="1" customWidth="1"/>
    <col min="9197" max="9197" width="15.44140625" style="1" customWidth="1"/>
    <col min="9198" max="9198" width="11.5546875" style="1" customWidth="1"/>
    <col min="9199" max="9199" width="7.44140625" style="1" customWidth="1"/>
    <col min="9200" max="9200" width="14.109375" style="1" customWidth="1"/>
    <col min="9201" max="9201" width="10.6640625" style="1" customWidth="1"/>
    <col min="9202" max="9202" width="13.44140625" style="1" customWidth="1"/>
    <col min="9203" max="9203" width="11.44140625" style="1" customWidth="1"/>
    <col min="9204" max="9204" width="15" style="1" customWidth="1"/>
    <col min="9205" max="9205" width="14.5546875" style="1" customWidth="1"/>
    <col min="9206" max="9206" width="10.33203125" style="1"/>
    <col min="9207" max="9207" width="7.44140625" style="1" customWidth="1"/>
    <col min="9208" max="9208" width="12.88671875" style="1" customWidth="1"/>
    <col min="9209" max="9209" width="11.109375" style="1" customWidth="1"/>
    <col min="9210" max="9210" width="14" style="1" customWidth="1"/>
    <col min="9211" max="9211" width="33" style="1" customWidth="1"/>
    <col min="9212" max="9212" width="6.6640625" style="1" customWidth="1"/>
    <col min="9213" max="9213" width="19" style="1" customWidth="1"/>
    <col min="9214" max="9214" width="19.109375" style="1" customWidth="1"/>
    <col min="9215" max="9215" width="21.33203125" style="1" customWidth="1"/>
    <col min="9216" max="9216" width="32.5546875" style="1" customWidth="1"/>
    <col min="9217" max="9217" width="16.88671875" style="1" customWidth="1"/>
    <col min="9218" max="9218" width="16.33203125" style="1" customWidth="1"/>
    <col min="9219" max="9449" width="10.33203125" style="1"/>
    <col min="9450" max="9450" width="4.44140625" style="1" customWidth="1"/>
    <col min="9451" max="9451" width="21.6640625" style="1" customWidth="1"/>
    <col min="9452" max="9452" width="15" style="1" customWidth="1"/>
    <col min="9453" max="9453" width="15.44140625" style="1" customWidth="1"/>
    <col min="9454" max="9454" width="11.5546875" style="1" customWidth="1"/>
    <col min="9455" max="9455" width="7.44140625" style="1" customWidth="1"/>
    <col min="9456" max="9456" width="14.109375" style="1" customWidth="1"/>
    <col min="9457" max="9457" width="10.6640625" style="1" customWidth="1"/>
    <col min="9458" max="9458" width="13.44140625" style="1" customWidth="1"/>
    <col min="9459" max="9459" width="11.44140625" style="1" customWidth="1"/>
    <col min="9460" max="9460" width="15" style="1" customWidth="1"/>
    <col min="9461" max="9461" width="14.5546875" style="1" customWidth="1"/>
    <col min="9462" max="9462" width="10.33203125" style="1"/>
    <col min="9463" max="9463" width="7.44140625" style="1" customWidth="1"/>
    <col min="9464" max="9464" width="12.88671875" style="1" customWidth="1"/>
    <col min="9465" max="9465" width="11.109375" style="1" customWidth="1"/>
    <col min="9466" max="9466" width="14" style="1" customWidth="1"/>
    <col min="9467" max="9467" width="33" style="1" customWidth="1"/>
    <col min="9468" max="9468" width="6.6640625" style="1" customWidth="1"/>
    <col min="9469" max="9469" width="19" style="1" customWidth="1"/>
    <col min="9470" max="9470" width="19.109375" style="1" customWidth="1"/>
    <col min="9471" max="9471" width="21.33203125" style="1" customWidth="1"/>
    <col min="9472" max="9472" width="32.5546875" style="1" customWidth="1"/>
    <col min="9473" max="9473" width="16.88671875" style="1" customWidth="1"/>
    <col min="9474" max="9474" width="16.33203125" style="1" customWidth="1"/>
    <col min="9475" max="9705" width="10.33203125" style="1"/>
    <col min="9706" max="9706" width="4.44140625" style="1" customWidth="1"/>
    <col min="9707" max="9707" width="21.6640625" style="1" customWidth="1"/>
    <col min="9708" max="9708" width="15" style="1" customWidth="1"/>
    <col min="9709" max="9709" width="15.44140625" style="1" customWidth="1"/>
    <col min="9710" max="9710" width="11.5546875" style="1" customWidth="1"/>
    <col min="9711" max="9711" width="7.44140625" style="1" customWidth="1"/>
    <col min="9712" max="9712" width="14.109375" style="1" customWidth="1"/>
    <col min="9713" max="9713" width="10.6640625" style="1" customWidth="1"/>
    <col min="9714" max="9714" width="13.44140625" style="1" customWidth="1"/>
    <col min="9715" max="9715" width="11.44140625" style="1" customWidth="1"/>
    <col min="9716" max="9716" width="15" style="1" customWidth="1"/>
    <col min="9717" max="9717" width="14.5546875" style="1" customWidth="1"/>
    <col min="9718" max="9718" width="10.33203125" style="1"/>
    <col min="9719" max="9719" width="7.44140625" style="1" customWidth="1"/>
    <col min="9720" max="9720" width="12.88671875" style="1" customWidth="1"/>
    <col min="9721" max="9721" width="11.109375" style="1" customWidth="1"/>
    <col min="9722" max="9722" width="14" style="1" customWidth="1"/>
    <col min="9723" max="9723" width="33" style="1" customWidth="1"/>
    <col min="9724" max="9724" width="6.6640625" style="1" customWidth="1"/>
    <col min="9725" max="9725" width="19" style="1" customWidth="1"/>
    <col min="9726" max="9726" width="19.109375" style="1" customWidth="1"/>
    <col min="9727" max="9727" width="21.33203125" style="1" customWidth="1"/>
    <col min="9728" max="9728" width="32.5546875" style="1" customWidth="1"/>
    <col min="9729" max="9729" width="16.88671875" style="1" customWidth="1"/>
    <col min="9730" max="9730" width="16.33203125" style="1" customWidth="1"/>
    <col min="9731" max="9961" width="10.33203125" style="1"/>
    <col min="9962" max="9962" width="4.44140625" style="1" customWidth="1"/>
    <col min="9963" max="9963" width="21.6640625" style="1" customWidth="1"/>
    <col min="9964" max="9964" width="15" style="1" customWidth="1"/>
    <col min="9965" max="9965" width="15.44140625" style="1" customWidth="1"/>
    <col min="9966" max="9966" width="11.5546875" style="1" customWidth="1"/>
    <col min="9967" max="9967" width="7.44140625" style="1" customWidth="1"/>
    <col min="9968" max="9968" width="14.109375" style="1" customWidth="1"/>
    <col min="9969" max="9969" width="10.6640625" style="1" customWidth="1"/>
    <col min="9970" max="9970" width="13.44140625" style="1" customWidth="1"/>
    <col min="9971" max="9971" width="11.44140625" style="1" customWidth="1"/>
    <col min="9972" max="9972" width="15" style="1" customWidth="1"/>
    <col min="9973" max="9973" width="14.5546875" style="1" customWidth="1"/>
    <col min="9974" max="9974" width="10.33203125" style="1"/>
    <col min="9975" max="9975" width="7.44140625" style="1" customWidth="1"/>
    <col min="9976" max="9976" width="12.88671875" style="1" customWidth="1"/>
    <col min="9977" max="9977" width="11.109375" style="1" customWidth="1"/>
    <col min="9978" max="9978" width="14" style="1" customWidth="1"/>
    <col min="9979" max="9979" width="33" style="1" customWidth="1"/>
    <col min="9980" max="9980" width="6.6640625" style="1" customWidth="1"/>
    <col min="9981" max="9981" width="19" style="1" customWidth="1"/>
    <col min="9982" max="9982" width="19.109375" style="1" customWidth="1"/>
    <col min="9983" max="9983" width="21.33203125" style="1" customWidth="1"/>
    <col min="9984" max="9984" width="32.5546875" style="1" customWidth="1"/>
    <col min="9985" max="9985" width="16.88671875" style="1" customWidth="1"/>
    <col min="9986" max="9986" width="16.33203125" style="1" customWidth="1"/>
    <col min="9987" max="10217" width="10.33203125" style="1"/>
    <col min="10218" max="10218" width="4.44140625" style="1" customWidth="1"/>
    <col min="10219" max="10219" width="21.6640625" style="1" customWidth="1"/>
    <col min="10220" max="10220" width="15" style="1" customWidth="1"/>
    <col min="10221" max="10221" width="15.44140625" style="1" customWidth="1"/>
    <col min="10222" max="10222" width="11.5546875" style="1" customWidth="1"/>
    <col min="10223" max="10223" width="7.44140625" style="1" customWidth="1"/>
    <col min="10224" max="10224" width="14.109375" style="1" customWidth="1"/>
    <col min="10225" max="10225" width="10.6640625" style="1" customWidth="1"/>
    <col min="10226" max="10226" width="13.44140625" style="1" customWidth="1"/>
    <col min="10227" max="10227" width="11.44140625" style="1" customWidth="1"/>
    <col min="10228" max="10228" width="15" style="1" customWidth="1"/>
    <col min="10229" max="10229" width="14.5546875" style="1" customWidth="1"/>
    <col min="10230" max="10230" width="10.33203125" style="1"/>
    <col min="10231" max="10231" width="7.44140625" style="1" customWidth="1"/>
    <col min="10232" max="10232" width="12.88671875" style="1" customWidth="1"/>
    <col min="10233" max="10233" width="11.109375" style="1" customWidth="1"/>
    <col min="10234" max="10234" width="14" style="1" customWidth="1"/>
    <col min="10235" max="10235" width="33" style="1" customWidth="1"/>
    <col min="10236" max="10236" width="6.6640625" style="1" customWidth="1"/>
    <col min="10237" max="10237" width="19" style="1" customWidth="1"/>
    <col min="10238" max="10238" width="19.109375" style="1" customWidth="1"/>
    <col min="10239" max="10239" width="21.33203125" style="1" customWidth="1"/>
    <col min="10240" max="10240" width="32.5546875" style="1" customWidth="1"/>
    <col min="10241" max="10241" width="16.88671875" style="1" customWidth="1"/>
    <col min="10242" max="10242" width="16.33203125" style="1" customWidth="1"/>
    <col min="10243" max="10473" width="10.33203125" style="1"/>
    <col min="10474" max="10474" width="4.44140625" style="1" customWidth="1"/>
    <col min="10475" max="10475" width="21.6640625" style="1" customWidth="1"/>
    <col min="10476" max="10476" width="15" style="1" customWidth="1"/>
    <col min="10477" max="10477" width="15.44140625" style="1" customWidth="1"/>
    <col min="10478" max="10478" width="11.5546875" style="1" customWidth="1"/>
    <col min="10479" max="10479" width="7.44140625" style="1" customWidth="1"/>
    <col min="10480" max="10480" width="14.109375" style="1" customWidth="1"/>
    <col min="10481" max="10481" width="10.6640625" style="1" customWidth="1"/>
    <col min="10482" max="10482" width="13.44140625" style="1" customWidth="1"/>
    <col min="10483" max="10483" width="11.44140625" style="1" customWidth="1"/>
    <col min="10484" max="10484" width="15" style="1" customWidth="1"/>
    <col min="10485" max="10485" width="14.5546875" style="1" customWidth="1"/>
    <col min="10486" max="10486" width="10.33203125" style="1"/>
    <col min="10487" max="10487" width="7.44140625" style="1" customWidth="1"/>
    <col min="10488" max="10488" width="12.88671875" style="1" customWidth="1"/>
    <col min="10489" max="10489" width="11.109375" style="1" customWidth="1"/>
    <col min="10490" max="10490" width="14" style="1" customWidth="1"/>
    <col min="10491" max="10491" width="33" style="1" customWidth="1"/>
    <col min="10492" max="10492" width="6.6640625" style="1" customWidth="1"/>
    <col min="10493" max="10493" width="19" style="1" customWidth="1"/>
    <col min="10494" max="10494" width="19.109375" style="1" customWidth="1"/>
    <col min="10495" max="10495" width="21.33203125" style="1" customWidth="1"/>
    <col min="10496" max="10496" width="32.5546875" style="1" customWidth="1"/>
    <col min="10497" max="10497" width="16.88671875" style="1" customWidth="1"/>
    <col min="10498" max="10498" width="16.33203125" style="1" customWidth="1"/>
    <col min="10499" max="10729" width="10.33203125" style="1"/>
    <col min="10730" max="10730" width="4.44140625" style="1" customWidth="1"/>
    <col min="10731" max="10731" width="21.6640625" style="1" customWidth="1"/>
    <col min="10732" max="10732" width="15" style="1" customWidth="1"/>
    <col min="10733" max="10733" width="15.44140625" style="1" customWidth="1"/>
    <col min="10734" max="10734" width="11.5546875" style="1" customWidth="1"/>
    <col min="10735" max="10735" width="7.44140625" style="1" customWidth="1"/>
    <col min="10736" max="10736" width="14.109375" style="1" customWidth="1"/>
    <col min="10737" max="10737" width="10.6640625" style="1" customWidth="1"/>
    <col min="10738" max="10738" width="13.44140625" style="1" customWidth="1"/>
    <col min="10739" max="10739" width="11.44140625" style="1" customWidth="1"/>
    <col min="10740" max="10740" width="15" style="1" customWidth="1"/>
    <col min="10741" max="10741" width="14.5546875" style="1" customWidth="1"/>
    <col min="10742" max="10742" width="10.33203125" style="1"/>
    <col min="10743" max="10743" width="7.44140625" style="1" customWidth="1"/>
    <col min="10744" max="10744" width="12.88671875" style="1" customWidth="1"/>
    <col min="10745" max="10745" width="11.109375" style="1" customWidth="1"/>
    <col min="10746" max="10746" width="14" style="1" customWidth="1"/>
    <col min="10747" max="10747" width="33" style="1" customWidth="1"/>
    <col min="10748" max="10748" width="6.6640625" style="1" customWidth="1"/>
    <col min="10749" max="10749" width="19" style="1" customWidth="1"/>
    <col min="10750" max="10750" width="19.109375" style="1" customWidth="1"/>
    <col min="10751" max="10751" width="21.33203125" style="1" customWidth="1"/>
    <col min="10752" max="10752" width="32.5546875" style="1" customWidth="1"/>
    <col min="10753" max="10753" width="16.88671875" style="1" customWidth="1"/>
    <col min="10754" max="10754" width="16.33203125" style="1" customWidth="1"/>
    <col min="10755" max="10985" width="10.33203125" style="1"/>
    <col min="10986" max="10986" width="4.44140625" style="1" customWidth="1"/>
    <col min="10987" max="10987" width="21.6640625" style="1" customWidth="1"/>
    <col min="10988" max="10988" width="15" style="1" customWidth="1"/>
    <col min="10989" max="10989" width="15.44140625" style="1" customWidth="1"/>
    <col min="10990" max="10990" width="11.5546875" style="1" customWidth="1"/>
    <col min="10991" max="10991" width="7.44140625" style="1" customWidth="1"/>
    <col min="10992" max="10992" width="14.109375" style="1" customWidth="1"/>
    <col min="10993" max="10993" width="10.6640625" style="1" customWidth="1"/>
    <col min="10994" max="10994" width="13.44140625" style="1" customWidth="1"/>
    <col min="10995" max="10995" width="11.44140625" style="1" customWidth="1"/>
    <col min="10996" max="10996" width="15" style="1" customWidth="1"/>
    <col min="10997" max="10997" width="14.5546875" style="1" customWidth="1"/>
    <col min="10998" max="10998" width="10.33203125" style="1"/>
    <col min="10999" max="10999" width="7.44140625" style="1" customWidth="1"/>
    <col min="11000" max="11000" width="12.88671875" style="1" customWidth="1"/>
    <col min="11001" max="11001" width="11.109375" style="1" customWidth="1"/>
    <col min="11002" max="11002" width="14" style="1" customWidth="1"/>
    <col min="11003" max="11003" width="33" style="1" customWidth="1"/>
    <col min="11004" max="11004" width="6.6640625" style="1" customWidth="1"/>
    <col min="11005" max="11005" width="19" style="1" customWidth="1"/>
    <col min="11006" max="11006" width="19.109375" style="1" customWidth="1"/>
    <col min="11007" max="11007" width="21.33203125" style="1" customWidth="1"/>
    <col min="11008" max="11008" width="32.5546875" style="1" customWidth="1"/>
    <col min="11009" max="11009" width="16.88671875" style="1" customWidth="1"/>
    <col min="11010" max="11010" width="16.33203125" style="1" customWidth="1"/>
    <col min="11011" max="11241" width="10.33203125" style="1"/>
    <col min="11242" max="11242" width="4.44140625" style="1" customWidth="1"/>
    <col min="11243" max="11243" width="21.6640625" style="1" customWidth="1"/>
    <col min="11244" max="11244" width="15" style="1" customWidth="1"/>
    <col min="11245" max="11245" width="15.44140625" style="1" customWidth="1"/>
    <col min="11246" max="11246" width="11.5546875" style="1" customWidth="1"/>
    <col min="11247" max="11247" width="7.44140625" style="1" customWidth="1"/>
    <col min="11248" max="11248" width="14.109375" style="1" customWidth="1"/>
    <col min="11249" max="11249" width="10.6640625" style="1" customWidth="1"/>
    <col min="11250" max="11250" width="13.44140625" style="1" customWidth="1"/>
    <col min="11251" max="11251" width="11.44140625" style="1" customWidth="1"/>
    <col min="11252" max="11252" width="15" style="1" customWidth="1"/>
    <col min="11253" max="11253" width="14.5546875" style="1" customWidth="1"/>
    <col min="11254" max="11254" width="10.33203125" style="1"/>
    <col min="11255" max="11255" width="7.44140625" style="1" customWidth="1"/>
    <col min="11256" max="11256" width="12.88671875" style="1" customWidth="1"/>
    <col min="11257" max="11257" width="11.109375" style="1" customWidth="1"/>
    <col min="11258" max="11258" width="14" style="1" customWidth="1"/>
    <col min="11259" max="11259" width="33" style="1" customWidth="1"/>
    <col min="11260" max="11260" width="6.6640625" style="1" customWidth="1"/>
    <col min="11261" max="11261" width="19" style="1" customWidth="1"/>
    <col min="11262" max="11262" width="19.109375" style="1" customWidth="1"/>
    <col min="11263" max="11263" width="21.33203125" style="1" customWidth="1"/>
    <col min="11264" max="11264" width="32.5546875" style="1" customWidth="1"/>
    <col min="11265" max="11265" width="16.88671875" style="1" customWidth="1"/>
    <col min="11266" max="11266" width="16.33203125" style="1" customWidth="1"/>
    <col min="11267" max="11497" width="10.33203125" style="1"/>
    <col min="11498" max="11498" width="4.44140625" style="1" customWidth="1"/>
    <col min="11499" max="11499" width="21.6640625" style="1" customWidth="1"/>
    <col min="11500" max="11500" width="15" style="1" customWidth="1"/>
    <col min="11501" max="11501" width="15.44140625" style="1" customWidth="1"/>
    <col min="11502" max="11502" width="11.5546875" style="1" customWidth="1"/>
    <col min="11503" max="11503" width="7.44140625" style="1" customWidth="1"/>
    <col min="11504" max="11504" width="14.109375" style="1" customWidth="1"/>
    <col min="11505" max="11505" width="10.6640625" style="1" customWidth="1"/>
    <col min="11506" max="11506" width="13.44140625" style="1" customWidth="1"/>
    <col min="11507" max="11507" width="11.44140625" style="1" customWidth="1"/>
    <col min="11508" max="11508" width="15" style="1" customWidth="1"/>
    <col min="11509" max="11509" width="14.5546875" style="1" customWidth="1"/>
    <col min="11510" max="11510" width="10.33203125" style="1"/>
    <col min="11511" max="11511" width="7.44140625" style="1" customWidth="1"/>
    <col min="11512" max="11512" width="12.88671875" style="1" customWidth="1"/>
    <col min="11513" max="11513" width="11.109375" style="1" customWidth="1"/>
    <col min="11514" max="11514" width="14" style="1" customWidth="1"/>
    <col min="11515" max="11515" width="33" style="1" customWidth="1"/>
    <col min="11516" max="11516" width="6.6640625" style="1" customWidth="1"/>
    <col min="11517" max="11517" width="19" style="1" customWidth="1"/>
    <col min="11518" max="11518" width="19.109375" style="1" customWidth="1"/>
    <col min="11519" max="11519" width="21.33203125" style="1" customWidth="1"/>
    <col min="11520" max="11520" width="32.5546875" style="1" customWidth="1"/>
    <col min="11521" max="11521" width="16.88671875" style="1" customWidth="1"/>
    <col min="11522" max="11522" width="16.33203125" style="1" customWidth="1"/>
    <col min="11523" max="11753" width="10.33203125" style="1"/>
    <col min="11754" max="11754" width="4.44140625" style="1" customWidth="1"/>
    <col min="11755" max="11755" width="21.6640625" style="1" customWidth="1"/>
    <col min="11756" max="11756" width="15" style="1" customWidth="1"/>
    <col min="11757" max="11757" width="15.44140625" style="1" customWidth="1"/>
    <col min="11758" max="11758" width="11.5546875" style="1" customWidth="1"/>
    <col min="11759" max="11759" width="7.44140625" style="1" customWidth="1"/>
    <col min="11760" max="11760" width="14.109375" style="1" customWidth="1"/>
    <col min="11761" max="11761" width="10.6640625" style="1" customWidth="1"/>
    <col min="11762" max="11762" width="13.44140625" style="1" customWidth="1"/>
    <col min="11763" max="11763" width="11.44140625" style="1" customWidth="1"/>
    <col min="11764" max="11764" width="15" style="1" customWidth="1"/>
    <col min="11765" max="11765" width="14.5546875" style="1" customWidth="1"/>
    <col min="11766" max="11766" width="10.33203125" style="1"/>
    <col min="11767" max="11767" width="7.44140625" style="1" customWidth="1"/>
    <col min="11768" max="11768" width="12.88671875" style="1" customWidth="1"/>
    <col min="11769" max="11769" width="11.109375" style="1" customWidth="1"/>
    <col min="11770" max="11770" width="14" style="1" customWidth="1"/>
    <col min="11771" max="11771" width="33" style="1" customWidth="1"/>
    <col min="11772" max="11772" width="6.6640625" style="1" customWidth="1"/>
    <col min="11773" max="11773" width="19" style="1" customWidth="1"/>
    <col min="11774" max="11774" width="19.109375" style="1" customWidth="1"/>
    <col min="11775" max="11775" width="21.33203125" style="1" customWidth="1"/>
    <col min="11776" max="11776" width="32.5546875" style="1" customWidth="1"/>
    <col min="11777" max="11777" width="16.88671875" style="1" customWidth="1"/>
    <col min="11778" max="11778" width="16.33203125" style="1" customWidth="1"/>
    <col min="11779" max="12009" width="10.33203125" style="1"/>
    <col min="12010" max="12010" width="4.44140625" style="1" customWidth="1"/>
    <col min="12011" max="12011" width="21.6640625" style="1" customWidth="1"/>
    <col min="12012" max="12012" width="15" style="1" customWidth="1"/>
    <col min="12013" max="12013" width="15.44140625" style="1" customWidth="1"/>
    <col min="12014" max="12014" width="11.5546875" style="1" customWidth="1"/>
    <col min="12015" max="12015" width="7.44140625" style="1" customWidth="1"/>
    <col min="12016" max="12016" width="14.109375" style="1" customWidth="1"/>
    <col min="12017" max="12017" width="10.6640625" style="1" customWidth="1"/>
    <col min="12018" max="12018" width="13.44140625" style="1" customWidth="1"/>
    <col min="12019" max="12019" width="11.44140625" style="1" customWidth="1"/>
    <col min="12020" max="12020" width="15" style="1" customWidth="1"/>
    <col min="12021" max="12021" width="14.5546875" style="1" customWidth="1"/>
    <col min="12022" max="12022" width="10.33203125" style="1"/>
    <col min="12023" max="12023" width="7.44140625" style="1" customWidth="1"/>
    <col min="12024" max="12024" width="12.88671875" style="1" customWidth="1"/>
    <col min="12025" max="12025" width="11.109375" style="1" customWidth="1"/>
    <col min="12026" max="12026" width="14" style="1" customWidth="1"/>
    <col min="12027" max="12027" width="33" style="1" customWidth="1"/>
    <col min="12028" max="12028" width="6.6640625" style="1" customWidth="1"/>
    <col min="12029" max="12029" width="19" style="1" customWidth="1"/>
    <col min="12030" max="12030" width="19.109375" style="1" customWidth="1"/>
    <col min="12031" max="12031" width="21.33203125" style="1" customWidth="1"/>
    <col min="12032" max="12032" width="32.5546875" style="1" customWidth="1"/>
    <col min="12033" max="12033" width="16.88671875" style="1" customWidth="1"/>
    <col min="12034" max="12034" width="16.33203125" style="1" customWidth="1"/>
    <col min="12035" max="12265" width="10.33203125" style="1"/>
    <col min="12266" max="12266" width="4.44140625" style="1" customWidth="1"/>
    <col min="12267" max="12267" width="21.6640625" style="1" customWidth="1"/>
    <col min="12268" max="12268" width="15" style="1" customWidth="1"/>
    <col min="12269" max="12269" width="15.44140625" style="1" customWidth="1"/>
    <col min="12270" max="12270" width="11.5546875" style="1" customWidth="1"/>
    <col min="12271" max="12271" width="7.44140625" style="1" customWidth="1"/>
    <col min="12272" max="12272" width="14.109375" style="1" customWidth="1"/>
    <col min="12273" max="12273" width="10.6640625" style="1" customWidth="1"/>
    <col min="12274" max="12274" width="13.44140625" style="1" customWidth="1"/>
    <col min="12275" max="12275" width="11.44140625" style="1" customWidth="1"/>
    <col min="12276" max="12276" width="15" style="1" customWidth="1"/>
    <col min="12277" max="12277" width="14.5546875" style="1" customWidth="1"/>
    <col min="12278" max="12278" width="10.33203125" style="1"/>
    <col min="12279" max="12279" width="7.44140625" style="1" customWidth="1"/>
    <col min="12280" max="12280" width="12.88671875" style="1" customWidth="1"/>
    <col min="12281" max="12281" width="11.109375" style="1" customWidth="1"/>
    <col min="12282" max="12282" width="14" style="1" customWidth="1"/>
    <col min="12283" max="12283" width="33" style="1" customWidth="1"/>
    <col min="12284" max="12284" width="6.6640625" style="1" customWidth="1"/>
    <col min="12285" max="12285" width="19" style="1" customWidth="1"/>
    <col min="12286" max="12286" width="19.109375" style="1" customWidth="1"/>
    <col min="12287" max="12287" width="21.33203125" style="1" customWidth="1"/>
    <col min="12288" max="12288" width="32.5546875" style="1" customWidth="1"/>
    <col min="12289" max="12289" width="16.88671875" style="1" customWidth="1"/>
    <col min="12290" max="12290" width="16.33203125" style="1" customWidth="1"/>
    <col min="12291" max="12521" width="10.33203125" style="1"/>
    <col min="12522" max="12522" width="4.44140625" style="1" customWidth="1"/>
    <col min="12523" max="12523" width="21.6640625" style="1" customWidth="1"/>
    <col min="12524" max="12524" width="15" style="1" customWidth="1"/>
    <col min="12525" max="12525" width="15.44140625" style="1" customWidth="1"/>
    <col min="12526" max="12526" width="11.5546875" style="1" customWidth="1"/>
    <col min="12527" max="12527" width="7.44140625" style="1" customWidth="1"/>
    <col min="12528" max="12528" width="14.109375" style="1" customWidth="1"/>
    <col min="12529" max="12529" width="10.6640625" style="1" customWidth="1"/>
    <col min="12530" max="12530" width="13.44140625" style="1" customWidth="1"/>
    <col min="12531" max="12531" width="11.44140625" style="1" customWidth="1"/>
    <col min="12532" max="12532" width="15" style="1" customWidth="1"/>
    <col min="12533" max="12533" width="14.5546875" style="1" customWidth="1"/>
    <col min="12534" max="12534" width="10.33203125" style="1"/>
    <col min="12535" max="12535" width="7.44140625" style="1" customWidth="1"/>
    <col min="12536" max="12536" width="12.88671875" style="1" customWidth="1"/>
    <col min="12537" max="12537" width="11.109375" style="1" customWidth="1"/>
    <col min="12538" max="12538" width="14" style="1" customWidth="1"/>
    <col min="12539" max="12539" width="33" style="1" customWidth="1"/>
    <col min="12540" max="12540" width="6.6640625" style="1" customWidth="1"/>
    <col min="12541" max="12541" width="19" style="1" customWidth="1"/>
    <col min="12542" max="12542" width="19.109375" style="1" customWidth="1"/>
    <col min="12543" max="12543" width="21.33203125" style="1" customWidth="1"/>
    <col min="12544" max="12544" width="32.5546875" style="1" customWidth="1"/>
    <col min="12545" max="12545" width="16.88671875" style="1" customWidth="1"/>
    <col min="12546" max="12546" width="16.33203125" style="1" customWidth="1"/>
    <col min="12547" max="12777" width="10.33203125" style="1"/>
    <col min="12778" max="12778" width="4.44140625" style="1" customWidth="1"/>
    <col min="12779" max="12779" width="21.6640625" style="1" customWidth="1"/>
    <col min="12780" max="12780" width="15" style="1" customWidth="1"/>
    <col min="12781" max="12781" width="15.44140625" style="1" customWidth="1"/>
    <col min="12782" max="12782" width="11.5546875" style="1" customWidth="1"/>
    <col min="12783" max="12783" width="7.44140625" style="1" customWidth="1"/>
    <col min="12784" max="12784" width="14.109375" style="1" customWidth="1"/>
    <col min="12785" max="12785" width="10.6640625" style="1" customWidth="1"/>
    <col min="12786" max="12786" width="13.44140625" style="1" customWidth="1"/>
    <col min="12787" max="12787" width="11.44140625" style="1" customWidth="1"/>
    <col min="12788" max="12788" width="15" style="1" customWidth="1"/>
    <col min="12789" max="12789" width="14.5546875" style="1" customWidth="1"/>
    <col min="12790" max="12790" width="10.33203125" style="1"/>
    <col min="12791" max="12791" width="7.44140625" style="1" customWidth="1"/>
    <col min="12792" max="12792" width="12.88671875" style="1" customWidth="1"/>
    <col min="12793" max="12793" width="11.109375" style="1" customWidth="1"/>
    <col min="12794" max="12794" width="14" style="1" customWidth="1"/>
    <col min="12795" max="12795" width="33" style="1" customWidth="1"/>
    <col min="12796" max="12796" width="6.6640625" style="1" customWidth="1"/>
    <col min="12797" max="12797" width="19" style="1" customWidth="1"/>
    <col min="12798" max="12798" width="19.109375" style="1" customWidth="1"/>
    <col min="12799" max="12799" width="21.33203125" style="1" customWidth="1"/>
    <col min="12800" max="12800" width="32.5546875" style="1" customWidth="1"/>
    <col min="12801" max="12801" width="16.88671875" style="1" customWidth="1"/>
    <col min="12802" max="12802" width="16.33203125" style="1" customWidth="1"/>
    <col min="12803" max="13033" width="10.33203125" style="1"/>
    <col min="13034" max="13034" width="4.44140625" style="1" customWidth="1"/>
    <col min="13035" max="13035" width="21.6640625" style="1" customWidth="1"/>
    <col min="13036" max="13036" width="15" style="1" customWidth="1"/>
    <col min="13037" max="13037" width="15.44140625" style="1" customWidth="1"/>
    <col min="13038" max="13038" width="11.5546875" style="1" customWidth="1"/>
    <col min="13039" max="13039" width="7.44140625" style="1" customWidth="1"/>
    <col min="13040" max="13040" width="14.109375" style="1" customWidth="1"/>
    <col min="13041" max="13041" width="10.6640625" style="1" customWidth="1"/>
    <col min="13042" max="13042" width="13.44140625" style="1" customWidth="1"/>
    <col min="13043" max="13043" width="11.44140625" style="1" customWidth="1"/>
    <col min="13044" max="13044" width="15" style="1" customWidth="1"/>
    <col min="13045" max="13045" width="14.5546875" style="1" customWidth="1"/>
    <col min="13046" max="13046" width="10.33203125" style="1"/>
    <col min="13047" max="13047" width="7.44140625" style="1" customWidth="1"/>
    <col min="13048" max="13048" width="12.88671875" style="1" customWidth="1"/>
    <col min="13049" max="13049" width="11.109375" style="1" customWidth="1"/>
    <col min="13050" max="13050" width="14" style="1" customWidth="1"/>
    <col min="13051" max="13051" width="33" style="1" customWidth="1"/>
    <col min="13052" max="13052" width="6.6640625" style="1" customWidth="1"/>
    <col min="13053" max="13053" width="19" style="1" customWidth="1"/>
    <col min="13054" max="13054" width="19.109375" style="1" customWidth="1"/>
    <col min="13055" max="13055" width="21.33203125" style="1" customWidth="1"/>
    <col min="13056" max="13056" width="32.5546875" style="1" customWidth="1"/>
    <col min="13057" max="13057" width="16.88671875" style="1" customWidth="1"/>
    <col min="13058" max="13058" width="16.33203125" style="1" customWidth="1"/>
    <col min="13059" max="13289" width="10.33203125" style="1"/>
    <col min="13290" max="13290" width="4.44140625" style="1" customWidth="1"/>
    <col min="13291" max="13291" width="21.6640625" style="1" customWidth="1"/>
    <col min="13292" max="13292" width="15" style="1" customWidth="1"/>
    <col min="13293" max="13293" width="15.44140625" style="1" customWidth="1"/>
    <col min="13294" max="13294" width="11.5546875" style="1" customWidth="1"/>
    <col min="13295" max="13295" width="7.44140625" style="1" customWidth="1"/>
    <col min="13296" max="13296" width="14.109375" style="1" customWidth="1"/>
    <col min="13297" max="13297" width="10.6640625" style="1" customWidth="1"/>
    <col min="13298" max="13298" width="13.44140625" style="1" customWidth="1"/>
    <col min="13299" max="13299" width="11.44140625" style="1" customWidth="1"/>
    <col min="13300" max="13300" width="15" style="1" customWidth="1"/>
    <col min="13301" max="13301" width="14.5546875" style="1" customWidth="1"/>
    <col min="13302" max="13302" width="10.33203125" style="1"/>
    <col min="13303" max="13303" width="7.44140625" style="1" customWidth="1"/>
    <col min="13304" max="13304" width="12.88671875" style="1" customWidth="1"/>
    <col min="13305" max="13305" width="11.109375" style="1" customWidth="1"/>
    <col min="13306" max="13306" width="14" style="1" customWidth="1"/>
    <col min="13307" max="13307" width="33" style="1" customWidth="1"/>
    <col min="13308" max="13308" width="6.6640625" style="1" customWidth="1"/>
    <col min="13309" max="13309" width="19" style="1" customWidth="1"/>
    <col min="13310" max="13310" width="19.109375" style="1" customWidth="1"/>
    <col min="13311" max="13311" width="21.33203125" style="1" customWidth="1"/>
    <col min="13312" max="13312" width="32.5546875" style="1" customWidth="1"/>
    <col min="13313" max="13313" width="16.88671875" style="1" customWidth="1"/>
    <col min="13314" max="13314" width="16.33203125" style="1" customWidth="1"/>
    <col min="13315" max="13545" width="10.33203125" style="1"/>
    <col min="13546" max="13546" width="4.44140625" style="1" customWidth="1"/>
    <col min="13547" max="13547" width="21.6640625" style="1" customWidth="1"/>
    <col min="13548" max="13548" width="15" style="1" customWidth="1"/>
    <col min="13549" max="13549" width="15.44140625" style="1" customWidth="1"/>
    <col min="13550" max="13550" width="11.5546875" style="1" customWidth="1"/>
    <col min="13551" max="13551" width="7.44140625" style="1" customWidth="1"/>
    <col min="13552" max="13552" width="14.109375" style="1" customWidth="1"/>
    <col min="13553" max="13553" width="10.6640625" style="1" customWidth="1"/>
    <col min="13554" max="13554" width="13.44140625" style="1" customWidth="1"/>
    <col min="13555" max="13555" width="11.44140625" style="1" customWidth="1"/>
    <col min="13556" max="13556" width="15" style="1" customWidth="1"/>
    <col min="13557" max="13557" width="14.5546875" style="1" customWidth="1"/>
    <col min="13558" max="13558" width="10.33203125" style="1"/>
    <col min="13559" max="13559" width="7.44140625" style="1" customWidth="1"/>
    <col min="13560" max="13560" width="12.88671875" style="1" customWidth="1"/>
    <col min="13561" max="13561" width="11.109375" style="1" customWidth="1"/>
    <col min="13562" max="13562" width="14" style="1" customWidth="1"/>
    <col min="13563" max="13563" width="33" style="1" customWidth="1"/>
    <col min="13564" max="13564" width="6.6640625" style="1" customWidth="1"/>
    <col min="13565" max="13565" width="19" style="1" customWidth="1"/>
    <col min="13566" max="13566" width="19.109375" style="1" customWidth="1"/>
    <col min="13567" max="13567" width="21.33203125" style="1" customWidth="1"/>
    <col min="13568" max="13568" width="32.5546875" style="1" customWidth="1"/>
    <col min="13569" max="13569" width="16.88671875" style="1" customWidth="1"/>
    <col min="13570" max="13570" width="16.33203125" style="1" customWidth="1"/>
    <col min="13571" max="13801" width="10.33203125" style="1"/>
    <col min="13802" max="13802" width="4.44140625" style="1" customWidth="1"/>
    <col min="13803" max="13803" width="21.6640625" style="1" customWidth="1"/>
    <col min="13804" max="13804" width="15" style="1" customWidth="1"/>
    <col min="13805" max="13805" width="15.44140625" style="1" customWidth="1"/>
    <col min="13806" max="13806" width="11.5546875" style="1" customWidth="1"/>
    <col min="13807" max="13807" width="7.44140625" style="1" customWidth="1"/>
    <col min="13808" max="13808" width="14.109375" style="1" customWidth="1"/>
    <col min="13809" max="13809" width="10.6640625" style="1" customWidth="1"/>
    <col min="13810" max="13810" width="13.44140625" style="1" customWidth="1"/>
    <col min="13811" max="13811" width="11.44140625" style="1" customWidth="1"/>
    <col min="13812" max="13812" width="15" style="1" customWidth="1"/>
    <col min="13813" max="13813" width="14.5546875" style="1" customWidth="1"/>
    <col min="13814" max="13814" width="10.33203125" style="1"/>
    <col min="13815" max="13815" width="7.44140625" style="1" customWidth="1"/>
    <col min="13816" max="13816" width="12.88671875" style="1" customWidth="1"/>
    <col min="13817" max="13817" width="11.109375" style="1" customWidth="1"/>
    <col min="13818" max="13818" width="14" style="1" customWidth="1"/>
    <col min="13819" max="13819" width="33" style="1" customWidth="1"/>
    <col min="13820" max="13820" width="6.6640625" style="1" customWidth="1"/>
    <col min="13821" max="13821" width="19" style="1" customWidth="1"/>
    <col min="13822" max="13822" width="19.109375" style="1" customWidth="1"/>
    <col min="13823" max="13823" width="21.33203125" style="1" customWidth="1"/>
    <col min="13824" max="13824" width="32.5546875" style="1" customWidth="1"/>
    <col min="13825" max="13825" width="16.88671875" style="1" customWidth="1"/>
    <col min="13826" max="13826" width="16.33203125" style="1" customWidth="1"/>
    <col min="13827" max="14057" width="10.33203125" style="1"/>
    <col min="14058" max="14058" width="4.44140625" style="1" customWidth="1"/>
    <col min="14059" max="14059" width="21.6640625" style="1" customWidth="1"/>
    <col min="14060" max="14060" width="15" style="1" customWidth="1"/>
    <col min="14061" max="14061" width="15.44140625" style="1" customWidth="1"/>
    <col min="14062" max="14062" width="11.5546875" style="1" customWidth="1"/>
    <col min="14063" max="14063" width="7.44140625" style="1" customWidth="1"/>
    <col min="14064" max="14064" width="14.109375" style="1" customWidth="1"/>
    <col min="14065" max="14065" width="10.6640625" style="1" customWidth="1"/>
    <col min="14066" max="14066" width="13.44140625" style="1" customWidth="1"/>
    <col min="14067" max="14067" width="11.44140625" style="1" customWidth="1"/>
    <col min="14068" max="14068" width="15" style="1" customWidth="1"/>
    <col min="14069" max="14069" width="14.5546875" style="1" customWidth="1"/>
    <col min="14070" max="14070" width="10.33203125" style="1"/>
    <col min="14071" max="14071" width="7.44140625" style="1" customWidth="1"/>
    <col min="14072" max="14072" width="12.88671875" style="1" customWidth="1"/>
    <col min="14073" max="14073" width="11.109375" style="1" customWidth="1"/>
    <col min="14074" max="14074" width="14" style="1" customWidth="1"/>
    <col min="14075" max="14075" width="33" style="1" customWidth="1"/>
    <col min="14076" max="14076" width="6.6640625" style="1" customWidth="1"/>
    <col min="14077" max="14077" width="19" style="1" customWidth="1"/>
    <col min="14078" max="14078" width="19.109375" style="1" customWidth="1"/>
    <col min="14079" max="14079" width="21.33203125" style="1" customWidth="1"/>
    <col min="14080" max="14080" width="32.5546875" style="1" customWidth="1"/>
    <col min="14081" max="14081" width="16.88671875" style="1" customWidth="1"/>
    <col min="14082" max="14082" width="16.33203125" style="1" customWidth="1"/>
    <col min="14083" max="14313" width="10.33203125" style="1"/>
    <col min="14314" max="14314" width="4.44140625" style="1" customWidth="1"/>
    <col min="14315" max="14315" width="21.6640625" style="1" customWidth="1"/>
    <col min="14316" max="14316" width="15" style="1" customWidth="1"/>
    <col min="14317" max="14317" width="15.44140625" style="1" customWidth="1"/>
    <col min="14318" max="14318" width="11.5546875" style="1" customWidth="1"/>
    <col min="14319" max="14319" width="7.44140625" style="1" customWidth="1"/>
    <col min="14320" max="14320" width="14.109375" style="1" customWidth="1"/>
    <col min="14321" max="14321" width="10.6640625" style="1" customWidth="1"/>
    <col min="14322" max="14322" width="13.44140625" style="1" customWidth="1"/>
    <col min="14323" max="14323" width="11.44140625" style="1" customWidth="1"/>
    <col min="14324" max="14324" width="15" style="1" customWidth="1"/>
    <col min="14325" max="14325" width="14.5546875" style="1" customWidth="1"/>
    <col min="14326" max="14326" width="10.33203125" style="1"/>
    <col min="14327" max="14327" width="7.44140625" style="1" customWidth="1"/>
    <col min="14328" max="14328" width="12.88671875" style="1" customWidth="1"/>
    <col min="14329" max="14329" width="11.109375" style="1" customWidth="1"/>
    <col min="14330" max="14330" width="14" style="1" customWidth="1"/>
    <col min="14331" max="14331" width="33" style="1" customWidth="1"/>
    <col min="14332" max="14332" width="6.6640625" style="1" customWidth="1"/>
    <col min="14333" max="14333" width="19" style="1" customWidth="1"/>
    <col min="14334" max="14334" width="19.109375" style="1" customWidth="1"/>
    <col min="14335" max="14335" width="21.33203125" style="1" customWidth="1"/>
    <col min="14336" max="14336" width="32.5546875" style="1" customWidth="1"/>
    <col min="14337" max="14337" width="16.88671875" style="1" customWidth="1"/>
    <col min="14338" max="14338" width="16.33203125" style="1" customWidth="1"/>
    <col min="14339" max="14569" width="10.33203125" style="1"/>
    <col min="14570" max="14570" width="4.44140625" style="1" customWidth="1"/>
    <col min="14571" max="14571" width="21.6640625" style="1" customWidth="1"/>
    <col min="14572" max="14572" width="15" style="1" customWidth="1"/>
    <col min="14573" max="14573" width="15.44140625" style="1" customWidth="1"/>
    <col min="14574" max="14574" width="11.5546875" style="1" customWidth="1"/>
    <col min="14575" max="14575" width="7.44140625" style="1" customWidth="1"/>
    <col min="14576" max="14576" width="14.109375" style="1" customWidth="1"/>
    <col min="14577" max="14577" width="10.6640625" style="1" customWidth="1"/>
    <col min="14578" max="14578" width="13.44140625" style="1" customWidth="1"/>
    <col min="14579" max="14579" width="11.44140625" style="1" customWidth="1"/>
    <col min="14580" max="14580" width="15" style="1" customWidth="1"/>
    <col min="14581" max="14581" width="14.5546875" style="1" customWidth="1"/>
    <col min="14582" max="14582" width="10.33203125" style="1"/>
    <col min="14583" max="14583" width="7.44140625" style="1" customWidth="1"/>
    <col min="14584" max="14584" width="12.88671875" style="1" customWidth="1"/>
    <col min="14585" max="14585" width="11.109375" style="1" customWidth="1"/>
    <col min="14586" max="14586" width="14" style="1" customWidth="1"/>
    <col min="14587" max="14587" width="33" style="1" customWidth="1"/>
    <col min="14588" max="14588" width="6.6640625" style="1" customWidth="1"/>
    <col min="14589" max="14589" width="19" style="1" customWidth="1"/>
    <col min="14590" max="14590" width="19.109375" style="1" customWidth="1"/>
    <col min="14591" max="14591" width="21.33203125" style="1" customWidth="1"/>
    <col min="14592" max="14592" width="32.5546875" style="1" customWidth="1"/>
    <col min="14593" max="14593" width="16.88671875" style="1" customWidth="1"/>
    <col min="14594" max="14594" width="16.33203125" style="1" customWidth="1"/>
    <col min="14595" max="14825" width="10.33203125" style="1"/>
    <col min="14826" max="14826" width="4.44140625" style="1" customWidth="1"/>
    <col min="14827" max="14827" width="21.6640625" style="1" customWidth="1"/>
    <col min="14828" max="14828" width="15" style="1" customWidth="1"/>
    <col min="14829" max="14829" width="15.44140625" style="1" customWidth="1"/>
    <col min="14830" max="14830" width="11.5546875" style="1" customWidth="1"/>
    <col min="14831" max="14831" width="7.44140625" style="1" customWidth="1"/>
    <col min="14832" max="14832" width="14.109375" style="1" customWidth="1"/>
    <col min="14833" max="14833" width="10.6640625" style="1" customWidth="1"/>
    <col min="14834" max="14834" width="13.44140625" style="1" customWidth="1"/>
    <col min="14835" max="14835" width="11.44140625" style="1" customWidth="1"/>
    <col min="14836" max="14836" width="15" style="1" customWidth="1"/>
    <col min="14837" max="14837" width="14.5546875" style="1" customWidth="1"/>
    <col min="14838" max="14838" width="10.33203125" style="1"/>
    <col min="14839" max="14839" width="7.44140625" style="1" customWidth="1"/>
    <col min="14840" max="14840" width="12.88671875" style="1" customWidth="1"/>
    <col min="14841" max="14841" width="11.109375" style="1" customWidth="1"/>
    <col min="14842" max="14842" width="14" style="1" customWidth="1"/>
    <col min="14843" max="14843" width="33" style="1" customWidth="1"/>
    <col min="14844" max="14844" width="6.6640625" style="1" customWidth="1"/>
    <col min="14845" max="14845" width="19" style="1" customWidth="1"/>
    <col min="14846" max="14846" width="19.109375" style="1" customWidth="1"/>
    <col min="14847" max="14847" width="21.33203125" style="1" customWidth="1"/>
    <col min="14848" max="14848" width="32.5546875" style="1" customWidth="1"/>
    <col min="14849" max="14849" width="16.88671875" style="1" customWidth="1"/>
    <col min="14850" max="14850" width="16.33203125" style="1" customWidth="1"/>
    <col min="14851" max="15081" width="10.33203125" style="1"/>
    <col min="15082" max="15082" width="4.44140625" style="1" customWidth="1"/>
    <col min="15083" max="15083" width="21.6640625" style="1" customWidth="1"/>
    <col min="15084" max="15084" width="15" style="1" customWidth="1"/>
    <col min="15085" max="15085" width="15.44140625" style="1" customWidth="1"/>
    <col min="15086" max="15086" width="11.5546875" style="1" customWidth="1"/>
    <col min="15087" max="15087" width="7.44140625" style="1" customWidth="1"/>
    <col min="15088" max="15088" width="14.109375" style="1" customWidth="1"/>
    <col min="15089" max="15089" width="10.6640625" style="1" customWidth="1"/>
    <col min="15090" max="15090" width="13.44140625" style="1" customWidth="1"/>
    <col min="15091" max="15091" width="11.44140625" style="1" customWidth="1"/>
    <col min="15092" max="15092" width="15" style="1" customWidth="1"/>
    <col min="15093" max="15093" width="14.5546875" style="1" customWidth="1"/>
    <col min="15094" max="15094" width="10.33203125" style="1"/>
    <col min="15095" max="15095" width="7.44140625" style="1" customWidth="1"/>
    <col min="15096" max="15096" width="12.88671875" style="1" customWidth="1"/>
    <col min="15097" max="15097" width="11.109375" style="1" customWidth="1"/>
    <col min="15098" max="15098" width="14" style="1" customWidth="1"/>
    <col min="15099" max="15099" width="33" style="1" customWidth="1"/>
    <col min="15100" max="15100" width="6.6640625" style="1" customWidth="1"/>
    <col min="15101" max="15101" width="19" style="1" customWidth="1"/>
    <col min="15102" max="15102" width="19.109375" style="1" customWidth="1"/>
    <col min="15103" max="15103" width="21.33203125" style="1" customWidth="1"/>
    <col min="15104" max="15104" width="32.5546875" style="1" customWidth="1"/>
    <col min="15105" max="15105" width="16.88671875" style="1" customWidth="1"/>
    <col min="15106" max="15106" width="16.33203125" style="1" customWidth="1"/>
    <col min="15107" max="15337" width="10.33203125" style="1"/>
    <col min="15338" max="15338" width="4.44140625" style="1" customWidth="1"/>
    <col min="15339" max="15339" width="21.6640625" style="1" customWidth="1"/>
    <col min="15340" max="15340" width="15" style="1" customWidth="1"/>
    <col min="15341" max="15341" width="15.44140625" style="1" customWidth="1"/>
    <col min="15342" max="15342" width="11.5546875" style="1" customWidth="1"/>
    <col min="15343" max="15343" width="7.44140625" style="1" customWidth="1"/>
    <col min="15344" max="15344" width="14.109375" style="1" customWidth="1"/>
    <col min="15345" max="15345" width="10.6640625" style="1" customWidth="1"/>
    <col min="15346" max="15346" width="13.44140625" style="1" customWidth="1"/>
    <col min="15347" max="15347" width="11.44140625" style="1" customWidth="1"/>
    <col min="15348" max="15348" width="15" style="1" customWidth="1"/>
    <col min="15349" max="15349" width="14.5546875" style="1" customWidth="1"/>
    <col min="15350" max="15350" width="10.33203125" style="1"/>
    <col min="15351" max="15351" width="7.44140625" style="1" customWidth="1"/>
    <col min="15352" max="15352" width="12.88671875" style="1" customWidth="1"/>
    <col min="15353" max="15353" width="11.109375" style="1" customWidth="1"/>
    <col min="15354" max="15354" width="14" style="1" customWidth="1"/>
    <col min="15355" max="15355" width="33" style="1" customWidth="1"/>
    <col min="15356" max="15356" width="6.6640625" style="1" customWidth="1"/>
    <col min="15357" max="15357" width="19" style="1" customWidth="1"/>
    <col min="15358" max="15358" width="19.109375" style="1" customWidth="1"/>
    <col min="15359" max="15359" width="21.33203125" style="1" customWidth="1"/>
    <col min="15360" max="15360" width="32.5546875" style="1" customWidth="1"/>
    <col min="15361" max="15361" width="16.88671875" style="1" customWidth="1"/>
    <col min="15362" max="15362" width="16.33203125" style="1" customWidth="1"/>
    <col min="15363" max="15593" width="10.33203125" style="1"/>
    <col min="15594" max="15594" width="4.44140625" style="1" customWidth="1"/>
    <col min="15595" max="15595" width="21.6640625" style="1" customWidth="1"/>
    <col min="15596" max="15596" width="15" style="1" customWidth="1"/>
    <col min="15597" max="15597" width="15.44140625" style="1" customWidth="1"/>
    <col min="15598" max="15598" width="11.5546875" style="1" customWidth="1"/>
    <col min="15599" max="15599" width="7.44140625" style="1" customWidth="1"/>
    <col min="15600" max="15600" width="14.109375" style="1" customWidth="1"/>
    <col min="15601" max="15601" width="10.6640625" style="1" customWidth="1"/>
    <col min="15602" max="15602" width="13.44140625" style="1" customWidth="1"/>
    <col min="15603" max="15603" width="11.44140625" style="1" customWidth="1"/>
    <col min="15604" max="15604" width="15" style="1" customWidth="1"/>
    <col min="15605" max="15605" width="14.5546875" style="1" customWidth="1"/>
    <col min="15606" max="15606" width="10.33203125" style="1"/>
    <col min="15607" max="15607" width="7.44140625" style="1" customWidth="1"/>
    <col min="15608" max="15608" width="12.88671875" style="1" customWidth="1"/>
    <col min="15609" max="15609" width="11.109375" style="1" customWidth="1"/>
    <col min="15610" max="15610" width="14" style="1" customWidth="1"/>
    <col min="15611" max="15611" width="33" style="1" customWidth="1"/>
    <col min="15612" max="15612" width="6.6640625" style="1" customWidth="1"/>
    <col min="15613" max="15613" width="19" style="1" customWidth="1"/>
    <col min="15614" max="15614" width="19.109375" style="1" customWidth="1"/>
    <col min="15615" max="15615" width="21.33203125" style="1" customWidth="1"/>
    <col min="15616" max="15616" width="32.5546875" style="1" customWidth="1"/>
    <col min="15617" max="15617" width="16.88671875" style="1" customWidth="1"/>
    <col min="15618" max="15618" width="16.33203125" style="1" customWidth="1"/>
    <col min="15619" max="15849" width="10.33203125" style="1"/>
    <col min="15850" max="15850" width="4.44140625" style="1" customWidth="1"/>
    <col min="15851" max="15851" width="21.6640625" style="1" customWidth="1"/>
    <col min="15852" max="15852" width="15" style="1" customWidth="1"/>
    <col min="15853" max="15853" width="15.44140625" style="1" customWidth="1"/>
    <col min="15854" max="15854" width="11.5546875" style="1" customWidth="1"/>
    <col min="15855" max="15855" width="7.44140625" style="1" customWidth="1"/>
    <col min="15856" max="15856" width="14.109375" style="1" customWidth="1"/>
    <col min="15857" max="15857" width="10.6640625" style="1" customWidth="1"/>
    <col min="15858" max="15858" width="13.44140625" style="1" customWidth="1"/>
    <col min="15859" max="15859" width="11.44140625" style="1" customWidth="1"/>
    <col min="15860" max="15860" width="15" style="1" customWidth="1"/>
    <col min="15861" max="15861" width="14.5546875" style="1" customWidth="1"/>
    <col min="15862" max="15862" width="10.33203125" style="1"/>
    <col min="15863" max="15863" width="7.44140625" style="1" customWidth="1"/>
    <col min="15864" max="15864" width="12.88671875" style="1" customWidth="1"/>
    <col min="15865" max="15865" width="11.109375" style="1" customWidth="1"/>
    <col min="15866" max="15866" width="14" style="1" customWidth="1"/>
    <col min="15867" max="15867" width="33" style="1" customWidth="1"/>
    <col min="15868" max="15868" width="6.6640625" style="1" customWidth="1"/>
    <col min="15869" max="15869" width="19" style="1" customWidth="1"/>
    <col min="15870" max="15870" width="19.109375" style="1" customWidth="1"/>
    <col min="15871" max="15871" width="21.33203125" style="1" customWidth="1"/>
    <col min="15872" max="15872" width="32.5546875" style="1" customWidth="1"/>
    <col min="15873" max="15873" width="16.88671875" style="1" customWidth="1"/>
    <col min="15874" max="15874" width="16.33203125" style="1" customWidth="1"/>
    <col min="15875" max="16105" width="10.33203125" style="1"/>
    <col min="16106" max="16106" width="4.44140625" style="1" customWidth="1"/>
    <col min="16107" max="16107" width="21.6640625" style="1" customWidth="1"/>
    <col min="16108" max="16108" width="15" style="1" customWidth="1"/>
    <col min="16109" max="16109" width="15.44140625" style="1" customWidth="1"/>
    <col min="16110" max="16110" width="11.5546875" style="1" customWidth="1"/>
    <col min="16111" max="16111" width="7.44140625" style="1" customWidth="1"/>
    <col min="16112" max="16112" width="14.109375" style="1" customWidth="1"/>
    <col min="16113" max="16113" width="10.6640625" style="1" customWidth="1"/>
    <col min="16114" max="16114" width="13.44140625" style="1" customWidth="1"/>
    <col min="16115" max="16115" width="11.44140625" style="1" customWidth="1"/>
    <col min="16116" max="16116" width="15" style="1" customWidth="1"/>
    <col min="16117" max="16117" width="14.5546875" style="1" customWidth="1"/>
    <col min="16118" max="16118" width="10.33203125" style="1"/>
    <col min="16119" max="16119" width="7.44140625" style="1" customWidth="1"/>
    <col min="16120" max="16120" width="12.88671875" style="1" customWidth="1"/>
    <col min="16121" max="16121" width="11.109375" style="1" customWidth="1"/>
    <col min="16122" max="16122" width="14" style="1" customWidth="1"/>
    <col min="16123" max="16123" width="33" style="1" customWidth="1"/>
    <col min="16124" max="16124" width="6.6640625" style="1" customWidth="1"/>
    <col min="16125" max="16125" width="19" style="1" customWidth="1"/>
    <col min="16126" max="16126" width="19.109375" style="1" customWidth="1"/>
    <col min="16127" max="16127" width="21.33203125" style="1" customWidth="1"/>
    <col min="16128" max="16128" width="32.5546875" style="1" customWidth="1"/>
    <col min="16129" max="16129" width="16.88671875" style="1" customWidth="1"/>
    <col min="16130" max="16130" width="16.33203125" style="1" customWidth="1"/>
    <col min="16131" max="16384" width="10.33203125" style="1"/>
  </cols>
  <sheetData>
    <row r="1" spans="1:7" ht="24.6">
      <c r="A1" s="726" t="s">
        <v>0</v>
      </c>
      <c r="B1" s="726"/>
      <c r="C1" s="726"/>
      <c r="D1" s="726"/>
      <c r="E1" s="726"/>
      <c r="F1" s="726"/>
      <c r="G1" s="726"/>
    </row>
    <row r="2" spans="1:7" ht="24.6">
      <c r="A2" s="726" t="s">
        <v>1</v>
      </c>
      <c r="B2" s="726"/>
      <c r="C2" s="726"/>
      <c r="D2" s="726"/>
      <c r="E2" s="726"/>
      <c r="F2" s="726"/>
      <c r="G2" s="726"/>
    </row>
    <row r="3" spans="1:7" ht="24.6">
      <c r="A3" s="727" t="s">
        <v>380</v>
      </c>
      <c r="B3" s="727"/>
      <c r="C3" s="727"/>
      <c r="D3" s="727"/>
      <c r="E3" s="727"/>
      <c r="F3" s="727"/>
      <c r="G3" s="727"/>
    </row>
    <row r="4" spans="1:7" ht="24.6">
      <c r="A4" s="3" t="s">
        <v>3</v>
      </c>
      <c r="B4" s="3" t="s">
        <v>4</v>
      </c>
      <c r="C4" s="261" t="s">
        <v>5</v>
      </c>
      <c r="D4" s="261" t="s">
        <v>296</v>
      </c>
      <c r="E4" s="728" t="s">
        <v>9</v>
      </c>
      <c r="F4" s="729"/>
      <c r="G4" s="730"/>
    </row>
    <row r="5" spans="1:7" ht="24.6">
      <c r="A5" s="3"/>
      <c r="B5" s="13"/>
      <c r="C5" s="289"/>
      <c r="D5" s="289"/>
      <c r="E5" s="9" t="s">
        <v>21</v>
      </c>
      <c r="F5" s="9" t="s">
        <v>22</v>
      </c>
      <c r="G5" s="7"/>
    </row>
    <row r="6" spans="1:7" ht="24.6">
      <c r="A6" s="3"/>
      <c r="B6" s="3"/>
      <c r="C6" s="18"/>
      <c r="D6" s="18"/>
      <c r="E6" s="18"/>
      <c r="F6" s="18"/>
      <c r="G6" s="28" t="s">
        <v>26</v>
      </c>
    </row>
    <row r="7" spans="1:7" ht="24.6" hidden="1">
      <c r="A7" s="3"/>
      <c r="B7" s="30" t="s">
        <v>30</v>
      </c>
      <c r="C7" s="290"/>
      <c r="D7" s="290"/>
      <c r="E7" s="18"/>
      <c r="F7" s="18"/>
      <c r="G7" s="28"/>
    </row>
    <row r="8" spans="1:7" ht="1.8" customHeight="1" thickBot="1">
      <c r="A8" s="3">
        <v>1</v>
      </c>
      <c r="B8" s="30"/>
      <c r="C8" s="291"/>
      <c r="D8" s="291"/>
      <c r="E8" s="32"/>
      <c r="F8" s="32"/>
      <c r="G8" s="34"/>
    </row>
    <row r="9" spans="1:7" ht="20.399999999999999" hidden="1" customHeight="1" thickBot="1">
      <c r="A9" s="3"/>
      <c r="B9" s="3" t="s">
        <v>26</v>
      </c>
      <c r="C9" s="213"/>
      <c r="D9" s="213"/>
      <c r="E9" s="39"/>
      <c r="F9" s="39"/>
      <c r="G9" s="41"/>
    </row>
    <row r="10" spans="1:7" ht="25.2" hidden="1" thickTop="1">
      <c r="A10" s="29"/>
      <c r="B10" s="45" t="s">
        <v>49</v>
      </c>
      <c r="C10" s="168"/>
      <c r="D10" s="168"/>
      <c r="E10" s="46"/>
      <c r="F10" s="28"/>
      <c r="G10" s="57"/>
    </row>
    <row r="11" spans="1:7" ht="16.5" hidden="1" customHeight="1" thickTop="1">
      <c r="A11" s="25">
        <v>1</v>
      </c>
      <c r="B11" s="25"/>
      <c r="C11" s="4"/>
      <c r="D11" s="4"/>
      <c r="E11" s="74"/>
      <c r="F11" s="34"/>
      <c r="G11" s="78"/>
    </row>
    <row r="12" spans="1:7" ht="25.8" hidden="1" thickTop="1" thickBot="1">
      <c r="A12" s="25"/>
      <c r="B12" s="25" t="s">
        <v>26</v>
      </c>
      <c r="C12" s="115"/>
      <c r="D12" s="115"/>
      <c r="E12" s="79"/>
      <c r="F12" s="82"/>
      <c r="G12" s="54"/>
    </row>
    <row r="13" spans="1:7" ht="25.2" hidden="1" thickTop="1">
      <c r="A13" s="25"/>
      <c r="B13" s="45" t="s">
        <v>50</v>
      </c>
      <c r="C13" s="168"/>
      <c r="D13" s="168"/>
      <c r="E13" s="46"/>
      <c r="F13" s="28"/>
      <c r="G13" s="57"/>
    </row>
    <row r="14" spans="1:7" ht="25.8" hidden="1" thickTop="1" thickBot="1">
      <c r="A14" s="25"/>
      <c r="B14" s="25"/>
      <c r="C14" s="4"/>
      <c r="D14" s="4"/>
      <c r="E14" s="74"/>
      <c r="F14" s="34"/>
      <c r="G14" s="110">
        <v>0</v>
      </c>
    </row>
    <row r="15" spans="1:7" ht="25.2" hidden="1" thickTop="1">
      <c r="A15" s="25"/>
      <c r="B15" s="25" t="s">
        <v>26</v>
      </c>
      <c r="C15" s="115"/>
      <c r="D15" s="115"/>
      <c r="E15" s="109"/>
      <c r="F15" s="115"/>
      <c r="G15" s="111">
        <v>0</v>
      </c>
    </row>
    <row r="16" spans="1:7" ht="25.2" hidden="1" thickTop="1">
      <c r="A16" s="25"/>
      <c r="B16" s="45" t="s">
        <v>51</v>
      </c>
      <c r="C16" s="45"/>
      <c r="D16" s="45"/>
      <c r="E16" s="29"/>
      <c r="F16" s="25"/>
      <c r="G16" s="59"/>
    </row>
    <row r="17" spans="1:11" ht="25.8" hidden="1" thickTop="1" thickBot="1">
      <c r="A17" s="25">
        <v>1</v>
      </c>
      <c r="B17" s="25"/>
      <c r="C17" s="4"/>
      <c r="D17" s="4"/>
      <c r="E17" s="74"/>
      <c r="F17" s="34"/>
      <c r="G17" s="78"/>
    </row>
    <row r="18" spans="1:11" ht="25.8" hidden="1" thickTop="1" thickBot="1">
      <c r="A18" s="25"/>
      <c r="B18" s="25" t="s">
        <v>26</v>
      </c>
      <c r="C18" s="115"/>
      <c r="D18" s="115"/>
      <c r="E18" s="64"/>
      <c r="F18" s="41"/>
      <c r="G18" s="63"/>
    </row>
    <row r="19" spans="1:11" ht="25.2" thickTop="1">
      <c r="A19" s="29"/>
      <c r="B19" s="45" t="s">
        <v>52</v>
      </c>
      <c r="C19" s="168"/>
      <c r="D19" s="168"/>
      <c r="E19" s="46"/>
      <c r="F19" s="28"/>
      <c r="G19" s="57"/>
    </row>
    <row r="20" spans="1:11" ht="24.6">
      <c r="A20" s="25">
        <v>1</v>
      </c>
      <c r="B20" s="29" t="s">
        <v>73</v>
      </c>
      <c r="C20" s="293">
        <v>84282</v>
      </c>
      <c r="D20" s="29"/>
      <c r="E20" s="122" t="s">
        <v>388</v>
      </c>
      <c r="F20" s="123">
        <v>1</v>
      </c>
      <c r="G20" s="72">
        <v>4860</v>
      </c>
    </row>
    <row r="21" spans="1:11" ht="24.6">
      <c r="A21" s="25">
        <v>2</v>
      </c>
      <c r="B21" s="29" t="s">
        <v>105</v>
      </c>
      <c r="C21" s="29"/>
      <c r="D21" s="29"/>
      <c r="E21" s="25" t="s">
        <v>388</v>
      </c>
      <c r="F21" s="25">
        <v>1</v>
      </c>
      <c r="G21" s="73">
        <v>5000</v>
      </c>
    </row>
    <row r="22" spans="1:11" ht="24.6">
      <c r="A22" s="25">
        <v>3</v>
      </c>
      <c r="B22" s="29" t="s">
        <v>105</v>
      </c>
      <c r="C22" s="29"/>
      <c r="D22" s="29"/>
      <c r="E22" s="126" t="s">
        <v>388</v>
      </c>
      <c r="F22" s="25">
        <v>1</v>
      </c>
      <c r="G22" s="73">
        <v>4650</v>
      </c>
    </row>
    <row r="23" spans="1:11" ht="25.2" thickBot="1">
      <c r="A23" s="29"/>
      <c r="B23" s="25" t="s">
        <v>26</v>
      </c>
      <c r="C23" s="4"/>
      <c r="D23" s="4"/>
      <c r="E23" s="78"/>
      <c r="F23" s="135"/>
      <c r="G23" s="136">
        <v>14510</v>
      </c>
      <c r="I23" s="175">
        <f>SUM(G20:G22)</f>
        <v>14510</v>
      </c>
    </row>
    <row r="24" spans="1:11" ht="25.2" thickTop="1">
      <c r="A24" s="29"/>
      <c r="B24" s="116" t="s">
        <v>117</v>
      </c>
      <c r="C24" s="161"/>
      <c r="D24" s="161"/>
      <c r="E24" s="28"/>
      <c r="F24" s="28"/>
      <c r="G24" s="140">
        <v>0</v>
      </c>
    </row>
    <row r="25" spans="1:11" ht="24.6">
      <c r="A25" s="25">
        <v>1</v>
      </c>
      <c r="B25" s="29" t="s">
        <v>132</v>
      </c>
      <c r="C25" s="29"/>
      <c r="D25" s="29"/>
      <c r="E25" s="25" t="s">
        <v>388</v>
      </c>
      <c r="F25" s="25">
        <v>1</v>
      </c>
      <c r="G25" s="72">
        <v>1100</v>
      </c>
    </row>
    <row r="26" spans="1:11" ht="24.6">
      <c r="A26" s="25">
        <v>2</v>
      </c>
      <c r="B26" s="29" t="s">
        <v>137</v>
      </c>
      <c r="C26" s="29"/>
      <c r="D26" s="29"/>
      <c r="E26" s="68" t="s">
        <v>388</v>
      </c>
      <c r="F26" s="25">
        <v>1</v>
      </c>
      <c r="G26" s="72">
        <v>5000</v>
      </c>
    </row>
    <row r="27" spans="1:11" ht="25.2" thickBot="1">
      <c r="A27" s="29"/>
      <c r="B27" s="25" t="s">
        <v>26</v>
      </c>
      <c r="C27" s="115"/>
      <c r="D27" s="115"/>
      <c r="E27" s="63"/>
      <c r="F27" s="105"/>
      <c r="G27" s="106">
        <v>6100</v>
      </c>
      <c r="I27" s="175">
        <f>SUM(G25:G26)</f>
        <v>6100</v>
      </c>
    </row>
    <row r="28" spans="1:11" ht="25.2" thickTop="1">
      <c r="A28" s="29"/>
      <c r="B28" s="25"/>
      <c r="C28" s="28"/>
      <c r="D28" s="28"/>
      <c r="E28" s="46"/>
      <c r="F28" s="28"/>
      <c r="G28" s="57"/>
    </row>
    <row r="29" spans="1:11" ht="24.75" customHeight="1" thickBot="1">
      <c r="A29" s="34"/>
      <c r="B29" s="34" t="s">
        <v>374</v>
      </c>
      <c r="C29" s="34"/>
      <c r="D29" s="34"/>
      <c r="E29" s="110"/>
      <c r="F29" s="110"/>
      <c r="G29" s="110">
        <v>20610</v>
      </c>
      <c r="J29" s="260">
        <f>SUM(I23:I27)</f>
        <v>20610</v>
      </c>
      <c r="K29" s="1" t="s">
        <v>345</v>
      </c>
    </row>
    <row r="30" spans="1:11" ht="24.75" customHeight="1" thickTop="1">
      <c r="A30" s="14"/>
      <c r="B30" s="173"/>
      <c r="C30" s="173"/>
      <c r="D30" s="173"/>
      <c r="G30" s="174"/>
    </row>
    <row r="31" spans="1:11" ht="24.75" customHeight="1">
      <c r="A31" s="731" t="s">
        <v>211</v>
      </c>
      <c r="B31" s="732"/>
      <c r="C31" s="732"/>
      <c r="D31" s="732"/>
      <c r="E31" s="732"/>
      <c r="F31" s="732"/>
      <c r="G31" s="732"/>
    </row>
    <row r="32" spans="1:11" ht="24.75" customHeight="1">
      <c r="A32" s="46">
        <v>1</v>
      </c>
      <c r="B32" s="180" t="s">
        <v>32</v>
      </c>
      <c r="C32" s="180"/>
      <c r="D32" s="180"/>
      <c r="E32" s="46" t="s">
        <v>381</v>
      </c>
      <c r="F32" s="28">
        <v>9</v>
      </c>
      <c r="G32" s="57">
        <v>41850</v>
      </c>
    </row>
    <row r="33" spans="1:11" ht="24" customHeight="1">
      <c r="A33" s="25">
        <v>2</v>
      </c>
      <c r="B33" s="29" t="s">
        <v>215</v>
      </c>
      <c r="C33" s="46"/>
      <c r="D33" s="46"/>
      <c r="E33" s="46" t="s">
        <v>381</v>
      </c>
      <c r="F33" s="25">
        <v>9</v>
      </c>
      <c r="G33" s="57">
        <v>51750</v>
      </c>
    </row>
    <row r="34" spans="1:11" ht="24" customHeight="1">
      <c r="A34" s="4">
        <v>3</v>
      </c>
      <c r="B34" s="53" t="s">
        <v>68</v>
      </c>
      <c r="C34" s="109"/>
      <c r="D34" s="109"/>
      <c r="E34" s="109" t="s">
        <v>382</v>
      </c>
      <c r="F34" s="4">
        <v>24</v>
      </c>
      <c r="G34" s="57">
        <v>29160</v>
      </c>
    </row>
    <row r="35" spans="1:11" ht="24.75" customHeight="1" thickBot="1">
      <c r="A35" s="34"/>
      <c r="B35" s="34" t="s">
        <v>26</v>
      </c>
      <c r="C35" s="34"/>
      <c r="D35" s="34"/>
      <c r="E35" s="74"/>
      <c r="F35" s="34"/>
      <c r="G35" s="110">
        <v>122760</v>
      </c>
      <c r="I35" s="175"/>
      <c r="J35" s="260">
        <f>SUM(G32:G34)</f>
        <v>122760</v>
      </c>
      <c r="K35" s="1" t="s">
        <v>401</v>
      </c>
    </row>
    <row r="36" spans="1:11" ht="24.75" customHeight="1" thickTop="1">
      <c r="A36" s="14"/>
      <c r="B36" s="173"/>
      <c r="C36" s="173"/>
      <c r="D36" s="173"/>
      <c r="G36" s="174"/>
    </row>
    <row r="37" spans="1:11" ht="24.6">
      <c r="A37" s="734" t="s">
        <v>216</v>
      </c>
      <c r="B37" s="735"/>
      <c r="C37" s="735"/>
      <c r="D37" s="735"/>
      <c r="E37" s="735"/>
      <c r="F37" s="735"/>
      <c r="G37" s="735"/>
    </row>
    <row r="38" spans="1:11" ht="24.75" customHeight="1">
      <c r="A38" s="4"/>
      <c r="B38" s="188" t="s">
        <v>217</v>
      </c>
      <c r="C38" s="188"/>
      <c r="D38" s="188"/>
      <c r="E38" s="53"/>
      <c r="F38" s="4"/>
      <c r="G38" s="127"/>
    </row>
    <row r="39" spans="1:11" ht="24.75" customHeight="1">
      <c r="A39" s="199">
        <v>1</v>
      </c>
      <c r="B39" s="200" t="s">
        <v>85</v>
      </c>
      <c r="C39" s="200"/>
      <c r="D39" s="200"/>
      <c r="E39" s="203" t="s">
        <v>229</v>
      </c>
      <c r="F39" s="199">
        <v>7</v>
      </c>
      <c r="G39" s="210">
        <v>30800</v>
      </c>
    </row>
    <row r="40" spans="1:11" s="96" customFormat="1" ht="24.75" customHeight="1">
      <c r="A40" s="190"/>
      <c r="B40" s="191" t="s">
        <v>232</v>
      </c>
      <c r="C40" s="191"/>
      <c r="D40" s="191"/>
      <c r="E40" s="192"/>
      <c r="F40" s="190"/>
      <c r="G40" s="210">
        <v>64400</v>
      </c>
    </row>
    <row r="41" spans="1:11" ht="24.6">
      <c r="A41" s="199">
        <v>2</v>
      </c>
      <c r="B41" s="203" t="s">
        <v>32</v>
      </c>
      <c r="C41" s="203"/>
      <c r="D41" s="203"/>
      <c r="E41" s="199" t="s">
        <v>234</v>
      </c>
      <c r="F41" s="199">
        <v>4</v>
      </c>
      <c r="G41" s="210">
        <v>18600</v>
      </c>
    </row>
    <row r="42" spans="1:11" ht="24.6">
      <c r="A42" s="199">
        <v>3</v>
      </c>
      <c r="B42" s="203" t="s">
        <v>215</v>
      </c>
      <c r="C42" s="203"/>
      <c r="D42" s="203"/>
      <c r="E42" s="199" t="s">
        <v>236</v>
      </c>
      <c r="F42" s="199">
        <v>4</v>
      </c>
      <c r="G42" s="210">
        <v>23000</v>
      </c>
    </row>
    <row r="43" spans="1:11" ht="24.75" customHeight="1" thickBot="1">
      <c r="A43" s="34"/>
      <c r="B43" s="239"/>
      <c r="C43" s="239"/>
      <c r="D43" s="239"/>
      <c r="E43" s="110"/>
      <c r="F43" s="240"/>
      <c r="G43" s="171">
        <v>136800</v>
      </c>
      <c r="I43" s="175">
        <f>SUM(G39:G42)</f>
        <v>136800</v>
      </c>
    </row>
    <row r="44" spans="1:11" ht="25.2" thickTop="1">
      <c r="A44" s="46"/>
      <c r="B44" s="161" t="s">
        <v>238</v>
      </c>
      <c r="C44" s="161"/>
      <c r="D44" s="161"/>
      <c r="E44" s="46"/>
      <c r="F44" s="28"/>
      <c r="G44" s="46"/>
    </row>
    <row r="45" spans="1:11" ht="24.6">
      <c r="A45" s="25">
        <v>1</v>
      </c>
      <c r="B45" s="53" t="s">
        <v>239</v>
      </c>
      <c r="C45" s="109"/>
      <c r="D45" s="109"/>
      <c r="E45" s="109" t="s">
        <v>240</v>
      </c>
      <c r="F45" s="115"/>
      <c r="G45" s="162">
        <v>0</v>
      </c>
    </row>
    <row r="46" spans="1:11" ht="24.6">
      <c r="A46" s="25"/>
      <c r="B46" s="29" t="s">
        <v>241</v>
      </c>
      <c r="C46" s="29"/>
      <c r="D46" s="29"/>
      <c r="E46" s="29" t="s">
        <v>242</v>
      </c>
      <c r="F46" s="25"/>
      <c r="G46" s="73">
        <v>133707.98000000001</v>
      </c>
    </row>
    <row r="47" spans="1:11" ht="24.6">
      <c r="A47" s="25"/>
      <c r="B47" s="29" t="s">
        <v>244</v>
      </c>
      <c r="C47" s="29"/>
      <c r="D47" s="29"/>
      <c r="E47" s="29"/>
      <c r="F47" s="25"/>
      <c r="G47" s="73">
        <v>73800</v>
      </c>
    </row>
    <row r="48" spans="1:11" ht="24.6">
      <c r="A48" s="25"/>
      <c r="B48" s="29" t="s">
        <v>245</v>
      </c>
      <c r="C48" s="29"/>
      <c r="D48" s="29"/>
      <c r="E48" s="29"/>
      <c r="F48" s="25"/>
      <c r="G48" s="73">
        <v>7596.82</v>
      </c>
    </row>
    <row r="49" spans="1:11" ht="24.6">
      <c r="A49" s="25"/>
      <c r="B49" s="29" t="s">
        <v>246</v>
      </c>
      <c r="C49" s="53"/>
      <c r="D49" s="53"/>
      <c r="E49" s="53"/>
      <c r="F49" s="4"/>
      <c r="G49" s="49"/>
    </row>
    <row r="50" spans="1:11" ht="24.6">
      <c r="A50" s="4"/>
      <c r="B50" s="53"/>
      <c r="C50" s="53"/>
      <c r="D50" s="53"/>
      <c r="E50" s="53"/>
      <c r="F50" s="4"/>
      <c r="G50" s="162"/>
    </row>
    <row r="51" spans="1:11" s="96" customFormat="1" ht="24.75" customHeight="1">
      <c r="A51" s="86">
        <v>2</v>
      </c>
      <c r="B51" s="274" t="s">
        <v>68</v>
      </c>
      <c r="C51" s="274"/>
      <c r="D51" s="274"/>
      <c r="E51" s="86" t="s">
        <v>378</v>
      </c>
      <c r="F51" s="86">
        <v>80</v>
      </c>
      <c r="G51" s="277">
        <v>133752.76</v>
      </c>
    </row>
    <row r="52" spans="1:11" ht="24.75" customHeight="1">
      <c r="A52" s="25"/>
      <c r="B52" s="119" t="s">
        <v>221</v>
      </c>
      <c r="C52" s="119"/>
      <c r="D52" s="119"/>
      <c r="E52" s="29"/>
      <c r="F52" s="25" t="s">
        <v>172</v>
      </c>
      <c r="G52" s="73">
        <v>19700</v>
      </c>
    </row>
    <row r="53" spans="1:11" ht="24.75" customHeight="1">
      <c r="A53" s="25"/>
      <c r="B53" s="278"/>
      <c r="C53" s="278"/>
      <c r="D53" s="278"/>
      <c r="E53" s="29"/>
      <c r="F53" s="25" t="s">
        <v>172</v>
      </c>
      <c r="G53" s="73">
        <v>19700</v>
      </c>
    </row>
    <row r="54" spans="1:11" ht="24.75" customHeight="1">
      <c r="A54" s="25"/>
      <c r="B54" s="278"/>
      <c r="C54" s="278"/>
      <c r="D54" s="278"/>
      <c r="E54" s="29"/>
      <c r="F54" s="25" t="s">
        <v>172</v>
      </c>
      <c r="G54" s="73">
        <v>19700</v>
      </c>
    </row>
    <row r="55" spans="1:11" ht="24.75" customHeight="1">
      <c r="A55" s="25">
        <v>3</v>
      </c>
      <c r="B55" s="119" t="s">
        <v>225</v>
      </c>
      <c r="C55" s="119"/>
      <c r="D55" s="119"/>
      <c r="E55" s="25" t="s">
        <v>226</v>
      </c>
      <c r="F55" s="25">
        <v>88</v>
      </c>
      <c r="G55" s="73">
        <v>304935.7</v>
      </c>
    </row>
    <row r="56" spans="1:11" s="249" customFormat="1" ht="25.2" thickBot="1">
      <c r="A56" s="134"/>
      <c r="B56" s="246" t="s">
        <v>26</v>
      </c>
      <c r="C56" s="292"/>
      <c r="D56" s="292"/>
      <c r="E56" s="103"/>
      <c r="F56" s="247"/>
      <c r="G56" s="103">
        <v>712893.26</v>
      </c>
      <c r="I56" s="249">
        <f>SUM(G45:G55)</f>
        <v>712893.26</v>
      </c>
      <c r="J56" s="288">
        <f>SUM(I43:I56)</f>
        <v>849693.26</v>
      </c>
      <c r="K56" s="249" t="s">
        <v>402</v>
      </c>
    </row>
    <row r="57" spans="1:11" ht="25.8" thickTop="1" thickBot="1">
      <c r="A57" s="29"/>
      <c r="B57" s="25" t="s">
        <v>248</v>
      </c>
      <c r="C57" s="115"/>
      <c r="D57" s="115"/>
      <c r="E57" s="63"/>
      <c r="F57" s="105"/>
      <c r="G57" s="63">
        <v>993063.26</v>
      </c>
      <c r="J57" s="256">
        <f>SUM(J29:J56)</f>
        <v>993063.26</v>
      </c>
      <c r="K57" s="1" t="s">
        <v>403</v>
      </c>
    </row>
    <row r="58" spans="1:11" ht="25.2" thickTop="1"/>
    <row r="59" spans="1:11" ht="24.6">
      <c r="G59" s="249"/>
    </row>
    <row r="60" spans="1:11" ht="24.6">
      <c r="G60" s="249"/>
    </row>
    <row r="61" spans="1:11" ht="24.6">
      <c r="G61" s="249"/>
    </row>
    <row r="62" spans="1:11" ht="24.6"/>
    <row r="63" spans="1:11" ht="24.6"/>
    <row r="64" spans="1:11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</sheetData>
  <mergeCells count="6">
    <mergeCell ref="A31:G31"/>
    <mergeCell ref="A37:G37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42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6404-C0C5-4386-8D0B-E66061D3051D}">
  <sheetPr>
    <tabColor rgb="FFFFFF00"/>
  </sheetPr>
  <dimension ref="A1:J825"/>
  <sheetViews>
    <sheetView zoomScale="90" zoomScaleNormal="90" zoomScaleSheetLayoutView="87" workbookViewId="0">
      <pane ySplit="6" topLeftCell="A31" activePane="bottomLeft" state="frozen"/>
      <selection activeCell="I147" sqref="I147"/>
      <selection pane="bottomLeft" activeCell="E67" sqref="E67"/>
    </sheetView>
  </sheetViews>
  <sheetFormatPr defaultColWidth="10.33203125" defaultRowHeight="25.5" customHeight="1"/>
  <cols>
    <col min="1" max="1" width="4.44140625" style="1" customWidth="1"/>
    <col min="2" max="3" width="21.664062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9" width="12.109375" style="1" bestFit="1" customWidth="1"/>
    <col min="10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6" ht="24.6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380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261" t="s">
        <v>296</v>
      </c>
      <c r="D4" s="728" t="s">
        <v>9</v>
      </c>
      <c r="E4" s="729"/>
      <c r="F4" s="730"/>
    </row>
    <row r="5" spans="1:6" ht="24.6">
      <c r="A5" s="3"/>
      <c r="B5" s="13"/>
      <c r="C5" s="289"/>
      <c r="D5" s="9" t="s">
        <v>21</v>
      </c>
      <c r="E5" s="9" t="s">
        <v>22</v>
      </c>
      <c r="F5" s="7"/>
    </row>
    <row r="6" spans="1:6" ht="24.6">
      <c r="A6" s="3"/>
      <c r="B6" s="3"/>
      <c r="C6" s="18"/>
      <c r="D6" s="18"/>
      <c r="E6" s="18"/>
      <c r="F6" s="28" t="s">
        <v>26</v>
      </c>
    </row>
    <row r="7" spans="1:6" ht="24.6" hidden="1">
      <c r="A7" s="3"/>
      <c r="B7" s="30" t="s">
        <v>30</v>
      </c>
      <c r="C7" s="290"/>
      <c r="D7" s="18"/>
      <c r="E7" s="18"/>
      <c r="F7" s="28"/>
    </row>
    <row r="8" spans="1:6" ht="1.8" customHeight="1" thickBot="1">
      <c r="A8" s="3">
        <v>1</v>
      </c>
      <c r="B8" s="30"/>
      <c r="C8" s="291"/>
      <c r="D8" s="32"/>
      <c r="E8" s="32"/>
      <c r="F8" s="34"/>
    </row>
    <row r="9" spans="1:6" ht="20.399999999999999" hidden="1" customHeight="1" thickBot="1">
      <c r="A9" s="3"/>
      <c r="B9" s="3" t="s">
        <v>26</v>
      </c>
      <c r="C9" s="213"/>
      <c r="D9" s="39"/>
      <c r="E9" s="39"/>
      <c r="F9" s="41"/>
    </row>
    <row r="10" spans="1:6" ht="25.2" hidden="1" thickTop="1">
      <c r="A10" s="29"/>
      <c r="B10" s="45" t="s">
        <v>49</v>
      </c>
      <c r="C10" s="168"/>
      <c r="D10" s="46"/>
      <c r="E10" s="28"/>
      <c r="F10" s="57"/>
    </row>
    <row r="11" spans="1:6" ht="16.5" hidden="1" customHeight="1" thickTop="1">
      <c r="A11" s="25">
        <v>1</v>
      </c>
      <c r="B11" s="25"/>
      <c r="C11" s="4"/>
      <c r="D11" s="74"/>
      <c r="E11" s="34"/>
      <c r="F11" s="78"/>
    </row>
    <row r="12" spans="1:6" ht="25.8" hidden="1" thickTop="1" thickBot="1">
      <c r="A12" s="25"/>
      <c r="B12" s="25" t="s">
        <v>26</v>
      </c>
      <c r="C12" s="115"/>
      <c r="D12" s="79"/>
      <c r="E12" s="82"/>
      <c r="F12" s="54"/>
    </row>
    <row r="13" spans="1:6" ht="25.2" hidden="1" thickTop="1">
      <c r="A13" s="25"/>
      <c r="B13" s="45" t="s">
        <v>50</v>
      </c>
      <c r="C13" s="168"/>
      <c r="D13" s="46"/>
      <c r="E13" s="28"/>
      <c r="F13" s="57"/>
    </row>
    <row r="14" spans="1:6" ht="25.8" hidden="1" thickTop="1" thickBot="1">
      <c r="A14" s="25"/>
      <c r="B14" s="25"/>
      <c r="C14" s="4"/>
      <c r="D14" s="74"/>
      <c r="E14" s="34"/>
      <c r="F14" s="110">
        <v>0</v>
      </c>
    </row>
    <row r="15" spans="1:6" ht="25.2" hidden="1" thickTop="1">
      <c r="A15" s="25"/>
      <c r="B15" s="25" t="s">
        <v>26</v>
      </c>
      <c r="C15" s="115"/>
      <c r="D15" s="109"/>
      <c r="E15" s="115"/>
      <c r="F15" s="111">
        <v>0</v>
      </c>
    </row>
    <row r="16" spans="1:6" ht="25.2" hidden="1" thickTop="1">
      <c r="A16" s="25"/>
      <c r="B16" s="45" t="s">
        <v>51</v>
      </c>
      <c r="C16" s="45"/>
      <c r="D16" s="29"/>
      <c r="E16" s="25"/>
      <c r="F16" s="59"/>
    </row>
    <row r="17" spans="1:10" ht="25.8" hidden="1" thickTop="1" thickBot="1">
      <c r="A17" s="25">
        <v>1</v>
      </c>
      <c r="B17" s="25"/>
      <c r="C17" s="4"/>
      <c r="D17" s="74"/>
      <c r="E17" s="34"/>
      <c r="F17" s="78"/>
    </row>
    <row r="18" spans="1:10" ht="25.8" hidden="1" thickTop="1" thickBot="1">
      <c r="A18" s="25"/>
      <c r="B18" s="25" t="s">
        <v>26</v>
      </c>
      <c r="C18" s="115"/>
      <c r="D18" s="64"/>
      <c r="E18" s="41"/>
      <c r="F18" s="63"/>
    </row>
    <row r="19" spans="1:10" ht="25.2" thickTop="1">
      <c r="A19" s="763" t="s">
        <v>273</v>
      </c>
      <c r="B19" s="764"/>
      <c r="C19" s="764"/>
      <c r="D19" s="764"/>
      <c r="E19" s="764"/>
      <c r="F19" s="765"/>
    </row>
    <row r="20" spans="1:10" ht="24.6">
      <c r="A20" s="25">
        <v>1</v>
      </c>
      <c r="B20" s="29" t="s">
        <v>73</v>
      </c>
      <c r="C20" s="29"/>
      <c r="D20" s="122" t="s">
        <v>388</v>
      </c>
      <c r="E20" s="123">
        <v>1</v>
      </c>
      <c r="F20" s="72">
        <v>4860</v>
      </c>
    </row>
    <row r="21" spans="1:10" ht="24.6">
      <c r="A21" s="25">
        <v>2</v>
      </c>
      <c r="B21" s="29" t="s">
        <v>105</v>
      </c>
      <c r="C21" s="29"/>
      <c r="D21" s="25" t="s">
        <v>388</v>
      </c>
      <c r="E21" s="25">
        <v>1</v>
      </c>
      <c r="F21" s="73">
        <v>5000</v>
      </c>
    </row>
    <row r="22" spans="1:10" ht="24.6">
      <c r="A22" s="25">
        <v>3</v>
      </c>
      <c r="B22" s="29" t="s">
        <v>105</v>
      </c>
      <c r="C22" s="29"/>
      <c r="D22" s="126" t="s">
        <v>388</v>
      </c>
      <c r="E22" s="25">
        <v>1</v>
      </c>
      <c r="F22" s="73">
        <v>4650</v>
      </c>
    </row>
    <row r="23" spans="1:10" ht="24.6">
      <c r="A23" s="25">
        <v>4</v>
      </c>
      <c r="B23" s="29" t="s">
        <v>132</v>
      </c>
      <c r="C23" s="29"/>
      <c r="D23" s="25" t="s">
        <v>388</v>
      </c>
      <c r="E23" s="25">
        <v>1</v>
      </c>
      <c r="F23" s="72">
        <v>1100</v>
      </c>
    </row>
    <row r="24" spans="1:10" ht="24.6">
      <c r="A24" s="25">
        <v>5</v>
      </c>
      <c r="B24" s="29" t="s">
        <v>137</v>
      </c>
      <c r="C24" s="29"/>
      <c r="D24" s="68" t="s">
        <v>388</v>
      </c>
      <c r="E24" s="25">
        <v>1</v>
      </c>
      <c r="F24" s="72">
        <v>5000</v>
      </c>
    </row>
    <row r="25" spans="1:10" ht="24.75" customHeight="1" thickBot="1">
      <c r="A25" s="34"/>
      <c r="B25" s="34" t="s">
        <v>374</v>
      </c>
      <c r="C25" s="34"/>
      <c r="D25" s="110"/>
      <c r="E25" s="110"/>
      <c r="F25" s="110">
        <v>20610</v>
      </c>
      <c r="I25" s="260">
        <f>SUM(F20:F24)</f>
        <v>20610</v>
      </c>
      <c r="J25" s="1" t="s">
        <v>345</v>
      </c>
    </row>
    <row r="26" spans="1:10" ht="24.75" customHeight="1" thickTop="1">
      <c r="A26" s="14"/>
      <c r="B26" s="173"/>
      <c r="C26" s="173"/>
      <c r="F26" s="174"/>
    </row>
    <row r="27" spans="1:10" ht="24.75" customHeight="1">
      <c r="A27" s="731" t="s">
        <v>211</v>
      </c>
      <c r="B27" s="732"/>
      <c r="C27" s="732"/>
      <c r="D27" s="732"/>
      <c r="E27" s="732"/>
      <c r="F27" s="732"/>
    </row>
    <row r="28" spans="1:10" ht="24.75" customHeight="1">
      <c r="A28" s="46">
        <v>1</v>
      </c>
      <c r="B28" s="180" t="s">
        <v>32</v>
      </c>
      <c r="C28" s="180"/>
      <c r="D28" s="46" t="s">
        <v>381</v>
      </c>
      <c r="E28" s="28">
        <v>9</v>
      </c>
      <c r="F28" s="57">
        <v>41850</v>
      </c>
    </row>
    <row r="29" spans="1:10" ht="24" customHeight="1">
      <c r="A29" s="25">
        <v>2</v>
      </c>
      <c r="B29" s="29" t="s">
        <v>215</v>
      </c>
      <c r="C29" s="46"/>
      <c r="D29" s="46" t="s">
        <v>381</v>
      </c>
      <c r="E29" s="25">
        <v>9</v>
      </c>
      <c r="F29" s="57">
        <v>51750</v>
      </c>
    </row>
    <row r="30" spans="1:10" ht="24" customHeight="1">
      <c r="A30" s="4">
        <v>3</v>
      </c>
      <c r="B30" s="53" t="s">
        <v>68</v>
      </c>
      <c r="C30" s="109"/>
      <c r="D30" s="109" t="s">
        <v>382</v>
      </c>
      <c r="E30" s="4">
        <v>24</v>
      </c>
      <c r="F30" s="57">
        <v>29160</v>
      </c>
    </row>
    <row r="31" spans="1:10" ht="24.75" customHeight="1" thickBot="1">
      <c r="A31" s="34"/>
      <c r="B31" s="34" t="s">
        <v>26</v>
      </c>
      <c r="C31" s="34"/>
      <c r="D31" s="74"/>
      <c r="E31" s="34"/>
      <c r="F31" s="110">
        <v>122760</v>
      </c>
      <c r="H31" s="175"/>
      <c r="I31" s="260">
        <f>SUM(F28:F30)</f>
        <v>122760</v>
      </c>
      <c r="J31" s="1" t="s">
        <v>401</v>
      </c>
    </row>
    <row r="32" spans="1:10" ht="24.75" customHeight="1" thickTop="1">
      <c r="A32" s="14"/>
      <c r="B32" s="173"/>
      <c r="C32" s="173"/>
      <c r="F32" s="174"/>
    </row>
    <row r="33" spans="1:8" ht="24.6">
      <c r="A33" s="734" t="s">
        <v>216</v>
      </c>
      <c r="B33" s="735"/>
      <c r="C33" s="735"/>
      <c r="D33" s="735"/>
      <c r="E33" s="735"/>
      <c r="F33" s="735"/>
    </row>
    <row r="34" spans="1:8" ht="24.75" customHeight="1">
      <c r="A34" s="4"/>
      <c r="B34" s="188" t="s">
        <v>217</v>
      </c>
      <c r="C34" s="188"/>
      <c r="D34" s="53"/>
      <c r="E34" s="4"/>
      <c r="F34" s="127"/>
    </row>
    <row r="35" spans="1:8" ht="24.75" customHeight="1">
      <c r="A35" s="199">
        <v>1</v>
      </c>
      <c r="B35" s="200" t="s">
        <v>85</v>
      </c>
      <c r="C35" s="200"/>
      <c r="D35" s="203" t="s">
        <v>229</v>
      </c>
      <c r="E35" s="199">
        <v>7</v>
      </c>
      <c r="F35" s="210">
        <v>30800</v>
      </c>
    </row>
    <row r="36" spans="1:8" s="96" customFormat="1" ht="24.75" customHeight="1">
      <c r="A36" s="190"/>
      <c r="B36" s="191" t="s">
        <v>232</v>
      </c>
      <c r="C36" s="191"/>
      <c r="D36" s="192"/>
      <c r="E36" s="190"/>
      <c r="F36" s="210">
        <v>64400</v>
      </c>
    </row>
    <row r="37" spans="1:8" ht="24.6">
      <c r="A37" s="199">
        <v>2</v>
      </c>
      <c r="B37" s="203" t="s">
        <v>32</v>
      </c>
      <c r="C37" s="203"/>
      <c r="D37" s="199" t="s">
        <v>234</v>
      </c>
      <c r="E37" s="199">
        <v>4</v>
      </c>
      <c r="F37" s="210">
        <v>18600</v>
      </c>
    </row>
    <row r="38" spans="1:8" ht="24.6">
      <c r="A38" s="199">
        <v>3</v>
      </c>
      <c r="B38" s="203" t="s">
        <v>215</v>
      </c>
      <c r="C38" s="203"/>
      <c r="D38" s="199" t="s">
        <v>236</v>
      </c>
      <c r="E38" s="199">
        <v>4</v>
      </c>
      <c r="F38" s="210">
        <v>23000</v>
      </c>
    </row>
    <row r="39" spans="1:8" ht="24.75" customHeight="1" thickBot="1">
      <c r="A39" s="34"/>
      <c r="B39" s="239"/>
      <c r="C39" s="239"/>
      <c r="D39" s="110"/>
      <c r="E39" s="240"/>
      <c r="F39" s="171">
        <v>136800</v>
      </c>
      <c r="H39" s="175">
        <f>SUM(F35:F38)</f>
        <v>136800</v>
      </c>
    </row>
    <row r="40" spans="1:8" ht="25.2" thickTop="1">
      <c r="A40" s="46"/>
      <c r="B40" s="161" t="s">
        <v>238</v>
      </c>
      <c r="C40" s="161"/>
      <c r="D40" s="46"/>
      <c r="E40" s="28"/>
      <c r="F40" s="46"/>
    </row>
    <row r="41" spans="1:8" ht="24.6">
      <c r="A41" s="25">
        <v>1</v>
      </c>
      <c r="B41" s="53" t="s">
        <v>239</v>
      </c>
      <c r="C41" s="109"/>
      <c r="D41" s="109" t="s">
        <v>240</v>
      </c>
      <c r="E41" s="115"/>
      <c r="F41" s="162">
        <v>0</v>
      </c>
    </row>
    <row r="42" spans="1:8" ht="24.6">
      <c r="A42" s="25"/>
      <c r="B42" s="29" t="s">
        <v>241</v>
      </c>
      <c r="C42" s="29"/>
      <c r="D42" s="29" t="s">
        <v>242</v>
      </c>
      <c r="E42" s="25"/>
      <c r="F42" s="73">
        <v>133707.98000000001</v>
      </c>
    </row>
    <row r="43" spans="1:8" ht="24.6">
      <c r="A43" s="25"/>
      <c r="B43" s="29" t="s">
        <v>244</v>
      </c>
      <c r="C43" s="29"/>
      <c r="D43" s="29"/>
      <c r="E43" s="25"/>
      <c r="F43" s="73">
        <v>73800</v>
      </c>
    </row>
    <row r="44" spans="1:8" ht="24.6">
      <c r="A44" s="25"/>
      <c r="B44" s="29" t="s">
        <v>245</v>
      </c>
      <c r="C44" s="29"/>
      <c r="D44" s="29"/>
      <c r="E44" s="25"/>
      <c r="F44" s="73">
        <v>7596.82</v>
      </c>
    </row>
    <row r="45" spans="1:8" ht="24.6">
      <c r="A45" s="25"/>
      <c r="B45" s="29" t="s">
        <v>246</v>
      </c>
      <c r="C45" s="53"/>
      <c r="D45" s="53"/>
      <c r="E45" s="4"/>
      <c r="F45" s="49"/>
    </row>
    <row r="46" spans="1:8" ht="24.6">
      <c r="A46" s="4"/>
      <c r="B46" s="53"/>
      <c r="C46" s="53"/>
      <c r="D46" s="53"/>
      <c r="E46" s="4"/>
      <c r="F46" s="162"/>
    </row>
    <row r="47" spans="1:8" s="96" customFormat="1" ht="24.75" customHeight="1">
      <c r="A47" s="86">
        <v>2</v>
      </c>
      <c r="B47" s="274" t="s">
        <v>68</v>
      </c>
      <c r="C47" s="274"/>
      <c r="D47" s="86" t="s">
        <v>378</v>
      </c>
      <c r="E47" s="86">
        <v>80</v>
      </c>
      <c r="F47" s="277">
        <v>133752.76</v>
      </c>
    </row>
    <row r="48" spans="1:8" ht="24.75" customHeight="1">
      <c r="A48" s="25"/>
      <c r="B48" s="119" t="s">
        <v>221</v>
      </c>
      <c r="C48" s="119"/>
      <c r="D48" s="29"/>
      <c r="E48" s="25" t="s">
        <v>172</v>
      </c>
      <c r="F48" s="73">
        <v>19700</v>
      </c>
    </row>
    <row r="49" spans="1:10" ht="24.75" customHeight="1">
      <c r="A49" s="25"/>
      <c r="B49" s="278"/>
      <c r="C49" s="278"/>
      <c r="D49" s="29"/>
      <c r="E49" s="25" t="s">
        <v>172</v>
      </c>
      <c r="F49" s="73">
        <v>19700</v>
      </c>
    </row>
    <row r="50" spans="1:10" ht="24.75" customHeight="1">
      <c r="A50" s="25"/>
      <c r="B50" s="278"/>
      <c r="C50" s="278"/>
      <c r="D50" s="29"/>
      <c r="E50" s="25" t="s">
        <v>172</v>
      </c>
      <c r="F50" s="73">
        <v>19700</v>
      </c>
    </row>
    <row r="51" spans="1:10" ht="24.75" customHeight="1">
      <c r="A51" s="25">
        <v>3</v>
      </c>
      <c r="B51" s="119" t="s">
        <v>225</v>
      </c>
      <c r="C51" s="119"/>
      <c r="D51" s="25" t="s">
        <v>226</v>
      </c>
      <c r="E51" s="25">
        <v>88</v>
      </c>
      <c r="F51" s="73">
        <v>304935.7</v>
      </c>
    </row>
    <row r="52" spans="1:10" s="249" customFormat="1" ht="25.2" thickBot="1">
      <c r="A52" s="134"/>
      <c r="B52" s="246" t="s">
        <v>26</v>
      </c>
      <c r="C52" s="292"/>
      <c r="D52" s="103"/>
      <c r="E52" s="247"/>
      <c r="F52" s="103">
        <v>712893.26</v>
      </c>
      <c r="H52" s="249">
        <f>SUM(F41:F51)</f>
        <v>712893.26</v>
      </c>
      <c r="I52" s="288">
        <f>SUM(H39:H52)</f>
        <v>849693.26</v>
      </c>
      <c r="J52" s="249" t="s">
        <v>402</v>
      </c>
    </row>
    <row r="53" spans="1:10" ht="25.8" thickTop="1" thickBot="1">
      <c r="A53" s="29"/>
      <c r="B53" s="25" t="s">
        <v>248</v>
      </c>
      <c r="C53" s="115"/>
      <c r="D53" s="63"/>
      <c r="E53" s="105"/>
      <c r="F53" s="63">
        <v>993063.26</v>
      </c>
      <c r="I53" s="256">
        <f>SUM(I25:I52)</f>
        <v>993063.26</v>
      </c>
      <c r="J53" s="1" t="s">
        <v>403</v>
      </c>
    </row>
    <row r="54" spans="1:10" ht="25.2" thickTop="1"/>
    <row r="55" spans="1:10" ht="24.6">
      <c r="F55" s="249"/>
    </row>
    <row r="56" spans="1:10" ht="24.6">
      <c r="F56" s="249"/>
    </row>
    <row r="57" spans="1:10" ht="24.6">
      <c r="F57" s="249"/>
    </row>
    <row r="58" spans="1:10" ht="24.6"/>
    <row r="59" spans="1:10" ht="24.6"/>
    <row r="60" spans="1:10" ht="24.6"/>
    <row r="61" spans="1:10" ht="24.6"/>
    <row r="62" spans="1:10" ht="24.6"/>
    <row r="63" spans="1:10" ht="24.6"/>
    <row r="64" spans="1:10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</sheetData>
  <mergeCells count="7">
    <mergeCell ref="A33:F33"/>
    <mergeCell ref="A19:F19"/>
    <mergeCell ref="A1:F1"/>
    <mergeCell ref="A2:F2"/>
    <mergeCell ref="A3:F3"/>
    <mergeCell ref="D4:F4"/>
    <mergeCell ref="A27:F27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0647-1273-41A0-B4E7-90EE96779EF5}">
  <sheetPr>
    <tabColor rgb="FF00B0F0"/>
  </sheetPr>
  <dimension ref="A1:AD979"/>
  <sheetViews>
    <sheetView zoomScale="90" zoomScaleNormal="90" zoomScaleSheetLayoutView="87" workbookViewId="0">
      <pane ySplit="6" topLeftCell="A194" activePane="bottomLeft" state="frozen"/>
      <selection activeCell="I147" sqref="I147"/>
      <selection pane="bottomLeft" activeCell="Q207" sqref="Q207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349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.8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399999999999999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customHeight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customHeight="1" thickBot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customHeight="1" thickTop="1" thickBot="1">
      <c r="A12" s="29"/>
      <c r="B12" s="25" t="s">
        <v>26</v>
      </c>
      <c r="C12" s="29"/>
      <c r="D12" s="54">
        <v>0</v>
      </c>
      <c r="E12" s="54"/>
      <c r="F12" s="54"/>
      <c r="G12" s="54">
        <v>0</v>
      </c>
      <c r="H12" s="54">
        <v>0</v>
      </c>
      <c r="I12" s="54">
        <v>0</v>
      </c>
      <c r="J12" s="55"/>
      <c r="K12" s="55"/>
      <c r="L12" s="55"/>
      <c r="M12" s="54"/>
      <c r="N12" s="56"/>
      <c r="O12" s="54">
        <v>0</v>
      </c>
      <c r="P12" s="54">
        <v>0</v>
      </c>
      <c r="Q12" s="54">
        <v>0</v>
      </c>
      <c r="R12" s="29"/>
    </row>
    <row r="13" spans="1:30" ht="22.8" customHeight="1" thickTop="1">
      <c r="A13" s="29"/>
      <c r="B13" s="45" t="s">
        <v>33</v>
      </c>
      <c r="C13" s="29"/>
      <c r="D13" s="57"/>
      <c r="E13" s="46"/>
      <c r="F13" s="46"/>
      <c r="G13" s="57"/>
      <c r="H13" s="57"/>
      <c r="I13" s="57"/>
      <c r="J13" s="47"/>
      <c r="K13" s="48"/>
      <c r="L13" s="58"/>
      <c r="M13" s="46"/>
      <c r="N13" s="28"/>
      <c r="O13" s="57"/>
      <c r="P13" s="57"/>
      <c r="Q13" s="57"/>
      <c r="R13" s="46"/>
    </row>
    <row r="14" spans="1:30" ht="23.4" customHeight="1">
      <c r="A14" s="25"/>
      <c r="B14" s="25"/>
      <c r="C14" s="29"/>
      <c r="D14" s="59"/>
      <c r="E14" s="29"/>
      <c r="F14" s="29"/>
      <c r="G14" s="59" t="s">
        <v>34</v>
      </c>
      <c r="H14" s="59" t="s">
        <v>34</v>
      </c>
      <c r="I14" s="59" t="s">
        <v>34</v>
      </c>
      <c r="J14" s="60"/>
      <c r="K14" s="61"/>
      <c r="L14" s="62"/>
      <c r="M14" s="29"/>
      <c r="N14" s="25"/>
      <c r="O14" s="59" t="s">
        <v>34</v>
      </c>
      <c r="P14" s="59" t="s">
        <v>34</v>
      </c>
      <c r="Q14" s="59" t="s">
        <v>34</v>
      </c>
      <c r="R14" s="29"/>
    </row>
    <row r="15" spans="1:30" ht="17.399999999999999" customHeight="1" thickBot="1">
      <c r="A15" s="29"/>
      <c r="B15" s="25" t="s">
        <v>26</v>
      </c>
      <c r="C15" s="29"/>
      <c r="D15" s="63">
        <v>0</v>
      </c>
      <c r="E15" s="64"/>
      <c r="F15" s="64"/>
      <c r="G15" s="63">
        <v>0</v>
      </c>
      <c r="H15" s="63">
        <v>0</v>
      </c>
      <c r="I15" s="63">
        <v>0</v>
      </c>
      <c r="J15" s="65"/>
      <c r="K15" s="66"/>
      <c r="L15" s="67"/>
      <c r="M15" s="64"/>
      <c r="N15" s="41"/>
      <c r="O15" s="63">
        <v>0</v>
      </c>
      <c r="P15" s="63">
        <v>0</v>
      </c>
      <c r="Q15" s="63">
        <v>0</v>
      </c>
      <c r="R15" s="29"/>
      <c r="V15" s="49"/>
    </row>
    <row r="16" spans="1:30" ht="25.2" thickTop="1">
      <c r="A16" s="29"/>
      <c r="B16" s="45" t="s">
        <v>35</v>
      </c>
      <c r="C16" s="29"/>
      <c r="D16" s="46"/>
      <c r="E16" s="46"/>
      <c r="F16" s="46"/>
      <c r="G16" s="46"/>
      <c r="H16" s="46"/>
      <c r="I16" s="46"/>
      <c r="J16" s="47"/>
      <c r="K16" s="48"/>
      <c r="L16" s="48"/>
      <c r="M16" s="46"/>
      <c r="N16" s="28"/>
      <c r="O16" s="46"/>
      <c r="P16" s="46"/>
      <c r="Q16" s="46"/>
      <c r="R16" s="46"/>
    </row>
    <row r="17" spans="1:20" ht="25.2" thickBot="1">
      <c r="A17" s="25">
        <v>1</v>
      </c>
      <c r="B17" s="29" t="s">
        <v>36</v>
      </c>
      <c r="C17" s="29"/>
      <c r="D17" s="49">
        <v>0</v>
      </c>
      <c r="E17" s="68"/>
      <c r="F17" s="25"/>
      <c r="G17" s="59">
        <v>0</v>
      </c>
      <c r="H17" s="59">
        <v>0</v>
      </c>
      <c r="I17" s="59">
        <v>0</v>
      </c>
      <c r="J17" s="69"/>
      <c r="K17" s="70"/>
      <c r="L17" s="71"/>
      <c r="M17" s="68"/>
      <c r="N17" s="25"/>
      <c r="O17" s="72">
        <v>0</v>
      </c>
      <c r="P17" s="73">
        <v>0</v>
      </c>
      <c r="Q17" s="73">
        <v>0</v>
      </c>
      <c r="R17" s="29"/>
    </row>
    <row r="18" spans="1:20" ht="25.8" thickTop="1" thickBot="1">
      <c r="A18" s="29"/>
      <c r="B18" s="25" t="s">
        <v>26</v>
      </c>
      <c r="C18" s="29"/>
      <c r="D18" s="54">
        <v>0</v>
      </c>
      <c r="E18" s="54"/>
      <c r="F18" s="54"/>
      <c r="G18" s="54">
        <v>0</v>
      </c>
      <c r="H18" s="54">
        <v>0</v>
      </c>
      <c r="I18" s="54">
        <v>0</v>
      </c>
      <c r="J18" s="55"/>
      <c r="K18" s="55"/>
      <c r="L18" s="55"/>
      <c r="M18" s="54"/>
      <c r="N18" s="56"/>
      <c r="O18" s="54">
        <v>0</v>
      </c>
      <c r="P18" s="54">
        <v>0</v>
      </c>
      <c r="Q18" s="54">
        <v>0</v>
      </c>
      <c r="R18" s="53"/>
    </row>
    <row r="19" spans="1:20" ht="25.2" hidden="1" thickTop="1">
      <c r="A19" s="29"/>
      <c r="B19" s="45" t="s">
        <v>37</v>
      </c>
      <c r="C19" s="29"/>
      <c r="D19" s="57"/>
      <c r="E19" s="46"/>
      <c r="F19" s="46"/>
      <c r="G19" s="57"/>
      <c r="H19" s="57"/>
      <c r="I19" s="57"/>
      <c r="J19" s="47"/>
      <c r="K19" s="48"/>
      <c r="L19" s="58"/>
      <c r="M19" s="46"/>
      <c r="N19" s="28"/>
      <c r="O19" s="57"/>
      <c r="P19" s="57"/>
      <c r="Q19" s="57"/>
      <c r="R19" s="29"/>
    </row>
    <row r="20" spans="1:20" ht="25.8" hidden="1" thickTop="1" thickBot="1">
      <c r="A20" s="25">
        <v>1</v>
      </c>
      <c r="B20" s="25"/>
      <c r="C20" s="29"/>
      <c r="D20" s="78"/>
      <c r="E20" s="74"/>
      <c r="F20" s="74"/>
      <c r="G20" s="78"/>
      <c r="H20" s="78"/>
      <c r="I20" s="78"/>
      <c r="J20" s="75"/>
      <c r="K20" s="76"/>
      <c r="L20" s="77"/>
      <c r="M20" s="74"/>
      <c r="N20" s="34"/>
      <c r="O20" s="78"/>
      <c r="P20" s="78"/>
      <c r="Q20" s="78"/>
      <c r="R20" s="29"/>
    </row>
    <row r="21" spans="1:20" ht="25.8" hidden="1" thickTop="1" thickBot="1">
      <c r="A21" s="25"/>
      <c r="B21" s="25" t="s">
        <v>26</v>
      </c>
      <c r="C21" s="29"/>
      <c r="D21" s="54"/>
      <c r="E21" s="79"/>
      <c r="F21" s="79"/>
      <c r="G21" s="54"/>
      <c r="H21" s="54"/>
      <c r="I21" s="54"/>
      <c r="J21" s="80"/>
      <c r="K21" s="81"/>
      <c r="L21" s="55"/>
      <c r="M21" s="79"/>
      <c r="N21" s="82"/>
      <c r="O21" s="54"/>
      <c r="P21" s="54"/>
      <c r="Q21" s="54"/>
      <c r="R21" s="46"/>
    </row>
    <row r="22" spans="1:20" ht="25.2" hidden="1" thickTop="1">
      <c r="A22" s="25"/>
      <c r="B22" s="45" t="s">
        <v>38</v>
      </c>
      <c r="C22" s="29"/>
      <c r="D22" s="57"/>
      <c r="E22" s="46"/>
      <c r="F22" s="46"/>
      <c r="G22" s="57"/>
      <c r="H22" s="57"/>
      <c r="I22" s="57"/>
      <c r="J22" s="47"/>
      <c r="K22" s="48"/>
      <c r="L22" s="58"/>
      <c r="M22" s="46"/>
      <c r="N22" s="28"/>
      <c r="O22" s="57"/>
      <c r="P22" s="57"/>
      <c r="Q22" s="57"/>
      <c r="R22" s="46"/>
    </row>
    <row r="23" spans="1:20" ht="25.8" hidden="1" thickTop="1" thickBot="1">
      <c r="A23" s="25">
        <v>1</v>
      </c>
      <c r="B23" s="25"/>
      <c r="C23" s="29"/>
      <c r="D23" s="78"/>
      <c r="E23" s="74"/>
      <c r="F23" s="74"/>
      <c r="G23" s="78"/>
      <c r="H23" s="78"/>
      <c r="I23" s="78"/>
      <c r="J23" s="75"/>
      <c r="K23" s="76"/>
      <c r="L23" s="77"/>
      <c r="M23" s="74"/>
      <c r="N23" s="34"/>
      <c r="O23" s="78"/>
      <c r="P23" s="78"/>
      <c r="Q23" s="78"/>
      <c r="R23" s="46"/>
    </row>
    <row r="24" spans="1:20" ht="25.8" hidden="1" thickTop="1" thickBot="1">
      <c r="A24" s="25"/>
      <c r="B24" s="25" t="s">
        <v>26</v>
      </c>
      <c r="C24" s="29"/>
      <c r="D24" s="63"/>
      <c r="E24" s="64"/>
      <c r="F24" s="64"/>
      <c r="G24" s="63"/>
      <c r="H24" s="63"/>
      <c r="I24" s="63"/>
      <c r="J24" s="65"/>
      <c r="K24" s="66"/>
      <c r="L24" s="67"/>
      <c r="M24" s="64"/>
      <c r="N24" s="41"/>
      <c r="O24" s="63"/>
      <c r="P24" s="63"/>
      <c r="Q24" s="63"/>
      <c r="R24" s="46"/>
    </row>
    <row r="25" spans="1:20" ht="25.2" thickTop="1">
      <c r="A25" s="29"/>
      <c r="B25" s="45" t="s">
        <v>39</v>
      </c>
      <c r="C25" s="29"/>
      <c r="D25" s="46"/>
      <c r="E25" s="46"/>
      <c r="F25" s="46"/>
      <c r="G25" s="46"/>
      <c r="H25" s="46"/>
      <c r="I25" s="46"/>
      <c r="J25" s="47"/>
      <c r="K25" s="48"/>
      <c r="L25" s="48"/>
      <c r="M25" s="46"/>
      <c r="N25" s="28"/>
      <c r="O25" s="46"/>
      <c r="P25" s="46"/>
      <c r="Q25" s="46"/>
      <c r="R25" s="46"/>
    </row>
    <row r="26" spans="1:20" ht="24.6">
      <c r="A26" s="25">
        <v>1</v>
      </c>
      <c r="B26" s="29" t="s">
        <v>40</v>
      </c>
      <c r="C26" s="29"/>
      <c r="D26" s="257">
        <v>0</v>
      </c>
      <c r="E26" s="68"/>
      <c r="F26" s="25"/>
      <c r="G26" s="52">
        <v>0</v>
      </c>
      <c r="H26" s="59">
        <v>0</v>
      </c>
      <c r="I26" s="52">
        <v>0</v>
      </c>
      <c r="J26" s="69"/>
      <c r="K26" s="70"/>
      <c r="L26" s="83"/>
      <c r="M26" s="68"/>
      <c r="N26" s="25"/>
      <c r="O26" s="72">
        <v>0</v>
      </c>
      <c r="P26" s="73">
        <v>0</v>
      </c>
      <c r="Q26" s="73">
        <v>0</v>
      </c>
      <c r="R26" s="29" t="s">
        <v>41</v>
      </c>
    </row>
    <row r="27" spans="1:20" ht="24.6">
      <c r="A27" s="25">
        <v>2</v>
      </c>
      <c r="B27" s="29" t="s">
        <v>277</v>
      </c>
      <c r="C27" s="29"/>
      <c r="D27" s="257">
        <v>535</v>
      </c>
      <c r="E27" s="25"/>
      <c r="F27" s="25"/>
      <c r="G27" s="52">
        <v>0</v>
      </c>
      <c r="H27" s="59">
        <v>0</v>
      </c>
      <c r="I27" s="52">
        <v>0</v>
      </c>
      <c r="J27" s="69">
        <v>25238</v>
      </c>
      <c r="K27" s="84" t="s">
        <v>351</v>
      </c>
      <c r="L27" s="85">
        <v>535</v>
      </c>
      <c r="M27" s="25"/>
      <c r="N27" s="25"/>
      <c r="O27" s="72">
        <v>0</v>
      </c>
      <c r="P27" s="73">
        <v>0</v>
      </c>
      <c r="Q27" s="73">
        <v>0</v>
      </c>
      <c r="R27" s="29"/>
    </row>
    <row r="28" spans="1:20" s="96" customFormat="1" ht="24.6">
      <c r="A28" s="86">
        <v>3</v>
      </c>
      <c r="B28" s="87" t="s">
        <v>44</v>
      </c>
      <c r="C28" s="88"/>
      <c r="D28" s="258">
        <v>1070</v>
      </c>
      <c r="E28" s="90"/>
      <c r="F28" s="86"/>
      <c r="G28" s="91">
        <v>0</v>
      </c>
      <c r="H28" s="92">
        <v>0</v>
      </c>
      <c r="I28" s="91">
        <v>0</v>
      </c>
      <c r="J28" s="93">
        <v>25261</v>
      </c>
      <c r="K28" s="94" t="s">
        <v>352</v>
      </c>
      <c r="L28" s="95">
        <v>1070</v>
      </c>
      <c r="M28" s="90"/>
      <c r="N28" s="86"/>
      <c r="O28" s="72">
        <v>0</v>
      </c>
      <c r="P28" s="73">
        <v>0</v>
      </c>
      <c r="Q28" s="73">
        <v>0</v>
      </c>
      <c r="R28" s="87"/>
      <c r="T28" s="97"/>
    </row>
    <row r="29" spans="1:20" ht="24.6">
      <c r="A29" s="25">
        <v>4</v>
      </c>
      <c r="B29" s="29" t="s">
        <v>46</v>
      </c>
      <c r="C29" s="29"/>
      <c r="D29" s="259">
        <v>535</v>
      </c>
      <c r="E29" s="28"/>
      <c r="F29" s="28"/>
      <c r="G29" s="99"/>
      <c r="H29" s="59"/>
      <c r="I29" s="52"/>
      <c r="J29" s="69">
        <v>25261</v>
      </c>
      <c r="K29" s="70" t="s">
        <v>353</v>
      </c>
      <c r="L29" s="100">
        <v>535</v>
      </c>
      <c r="M29" s="28"/>
      <c r="N29" s="28"/>
      <c r="O29" s="72">
        <v>0</v>
      </c>
      <c r="P29" s="101">
        <v>0</v>
      </c>
      <c r="Q29" s="101">
        <v>0</v>
      </c>
      <c r="R29" s="102" t="s">
        <v>48</v>
      </c>
    </row>
    <row r="30" spans="1:20" ht="25.2" thickBot="1">
      <c r="A30" s="29"/>
      <c r="B30" s="25" t="s">
        <v>26</v>
      </c>
      <c r="C30" s="29"/>
      <c r="D30" s="103">
        <f>SUM(D26:D29)</f>
        <v>2140</v>
      </c>
      <c r="E30" s="63"/>
      <c r="F30" s="63"/>
      <c r="G30" s="103">
        <v>0</v>
      </c>
      <c r="H30" s="103">
        <v>0</v>
      </c>
      <c r="I30" s="103">
        <v>0</v>
      </c>
      <c r="J30" s="67"/>
      <c r="K30" s="67"/>
      <c r="L30" s="104">
        <f>SUM(L27:L29)</f>
        <v>2140</v>
      </c>
      <c r="M30" s="63"/>
      <c r="N30" s="105"/>
      <c r="O30" s="106">
        <v>0</v>
      </c>
      <c r="P30" s="107">
        <v>0</v>
      </c>
      <c r="Q30" s="107">
        <v>0</v>
      </c>
      <c r="R30" s="53"/>
    </row>
    <row r="31" spans="1:20" ht="25.2" hidden="1" thickTop="1">
      <c r="A31" s="29"/>
      <c r="B31" s="45" t="s">
        <v>49</v>
      </c>
      <c r="C31" s="29"/>
      <c r="D31" s="57"/>
      <c r="E31" s="108"/>
      <c r="F31" s="108"/>
      <c r="G31" s="57"/>
      <c r="H31" s="57"/>
      <c r="I31" s="57"/>
      <c r="J31" s="47"/>
      <c r="K31" s="48"/>
      <c r="L31" s="58"/>
      <c r="M31" s="46"/>
      <c r="N31" s="28"/>
      <c r="O31" s="57"/>
      <c r="P31" s="57"/>
      <c r="Q31" s="57"/>
      <c r="R31" s="29"/>
    </row>
    <row r="32" spans="1:20" ht="16.5" hidden="1" customHeight="1" thickBot="1">
      <c r="A32" s="25">
        <v>1</v>
      </c>
      <c r="B32" s="25"/>
      <c r="C32" s="29"/>
      <c r="D32" s="78"/>
      <c r="E32" s="74"/>
      <c r="F32" s="74"/>
      <c r="G32" s="78"/>
      <c r="H32" s="78"/>
      <c r="I32" s="78"/>
      <c r="J32" s="75"/>
      <c r="K32" s="76"/>
      <c r="L32" s="77"/>
      <c r="M32" s="74"/>
      <c r="N32" s="34"/>
      <c r="O32" s="78"/>
      <c r="P32" s="78"/>
      <c r="Q32" s="78"/>
      <c r="R32" s="29"/>
    </row>
    <row r="33" spans="1:18" ht="25.8" hidden="1" thickTop="1" thickBot="1">
      <c r="A33" s="25"/>
      <c r="B33" s="25" t="s">
        <v>26</v>
      </c>
      <c r="C33" s="29"/>
      <c r="D33" s="54"/>
      <c r="E33" s="64"/>
      <c r="F33" s="64"/>
      <c r="G33" s="54"/>
      <c r="H33" s="54"/>
      <c r="I33" s="54"/>
      <c r="J33" s="80"/>
      <c r="K33" s="81"/>
      <c r="L33" s="55"/>
      <c r="M33" s="79"/>
      <c r="N33" s="82"/>
      <c r="O33" s="54"/>
      <c r="P33" s="54"/>
      <c r="Q33" s="54"/>
      <c r="R33" s="29"/>
    </row>
    <row r="34" spans="1:18" ht="25.2" hidden="1" thickTop="1">
      <c r="A34" s="25"/>
      <c r="B34" s="45" t="s">
        <v>50</v>
      </c>
      <c r="C34" s="29"/>
      <c r="D34" s="57"/>
      <c r="E34" s="109"/>
      <c r="F34" s="109"/>
      <c r="G34" s="57"/>
      <c r="H34" s="57"/>
      <c r="I34" s="57"/>
      <c r="J34" s="47"/>
      <c r="K34" s="48"/>
      <c r="L34" s="58"/>
      <c r="M34" s="46"/>
      <c r="N34" s="28"/>
      <c r="O34" s="57"/>
      <c r="P34" s="57"/>
      <c r="Q34" s="57"/>
      <c r="R34" s="29"/>
    </row>
    <row r="35" spans="1:18" ht="25.8" hidden="1" thickTop="1" thickBot="1">
      <c r="A35" s="25"/>
      <c r="B35" s="25"/>
      <c r="C35" s="29"/>
      <c r="D35" s="78"/>
      <c r="E35" s="74"/>
      <c r="F35" s="74"/>
      <c r="G35" s="78">
        <v>0</v>
      </c>
      <c r="H35" s="78">
        <v>0</v>
      </c>
      <c r="I35" s="78">
        <v>0</v>
      </c>
      <c r="J35" s="75"/>
      <c r="K35" s="76"/>
      <c r="L35" s="77"/>
      <c r="M35" s="74"/>
      <c r="N35" s="34"/>
      <c r="O35" s="110">
        <v>0</v>
      </c>
      <c r="P35" s="110">
        <v>0</v>
      </c>
      <c r="Q35" s="110">
        <v>0</v>
      </c>
      <c r="R35" s="29"/>
    </row>
    <row r="36" spans="1:18" ht="25.2" hidden="1" thickTop="1">
      <c r="A36" s="25"/>
      <c r="B36" s="25" t="s">
        <v>26</v>
      </c>
      <c r="C36" s="29"/>
      <c r="D36" s="111">
        <v>0</v>
      </c>
      <c r="E36" s="46"/>
      <c r="F36" s="46"/>
      <c r="G36" s="111">
        <v>0</v>
      </c>
      <c r="H36" s="111"/>
      <c r="I36" s="111">
        <v>0</v>
      </c>
      <c r="J36" s="112"/>
      <c r="K36" s="113"/>
      <c r="L36" s="114"/>
      <c r="M36" s="109"/>
      <c r="N36" s="115"/>
      <c r="O36" s="111">
        <v>0</v>
      </c>
      <c r="P36" s="111"/>
      <c r="Q36" s="111">
        <v>0</v>
      </c>
      <c r="R36" s="53"/>
    </row>
    <row r="37" spans="1:18" ht="25.2" hidden="1" thickTop="1">
      <c r="A37" s="25"/>
      <c r="B37" s="45" t="s">
        <v>51</v>
      </c>
      <c r="C37" s="29"/>
      <c r="D37" s="59"/>
      <c r="E37" s="109"/>
      <c r="F37" s="109"/>
      <c r="G37" s="59"/>
      <c r="H37" s="59"/>
      <c r="I37" s="59"/>
      <c r="J37" s="60"/>
      <c r="K37" s="61"/>
      <c r="L37" s="62"/>
      <c r="M37" s="29"/>
      <c r="N37" s="25"/>
      <c r="O37" s="59"/>
      <c r="P37" s="59"/>
      <c r="Q37" s="59"/>
      <c r="R37" s="29"/>
    </row>
    <row r="38" spans="1:18" ht="25.8" hidden="1" thickTop="1" thickBot="1">
      <c r="A38" s="25">
        <v>1</v>
      </c>
      <c r="B38" s="25"/>
      <c r="C38" s="29"/>
      <c r="D38" s="78"/>
      <c r="E38" s="74"/>
      <c r="F38" s="74"/>
      <c r="G38" s="78"/>
      <c r="H38" s="78"/>
      <c r="I38" s="78"/>
      <c r="J38" s="75"/>
      <c r="K38" s="76"/>
      <c r="L38" s="77"/>
      <c r="M38" s="74"/>
      <c r="N38" s="34"/>
      <c r="O38" s="78"/>
      <c r="P38" s="78"/>
      <c r="Q38" s="78"/>
      <c r="R38" s="29"/>
    </row>
    <row r="39" spans="1:18" ht="25.8" hidden="1" thickTop="1" thickBot="1">
      <c r="A39" s="25"/>
      <c r="B39" s="25" t="s">
        <v>26</v>
      </c>
      <c r="C39" s="29"/>
      <c r="D39" s="63"/>
      <c r="E39" s="79"/>
      <c r="F39" s="79"/>
      <c r="G39" s="63"/>
      <c r="H39" s="63"/>
      <c r="I39" s="63"/>
      <c r="J39" s="65"/>
      <c r="K39" s="66"/>
      <c r="L39" s="67"/>
      <c r="M39" s="64"/>
      <c r="N39" s="41"/>
      <c r="O39" s="63"/>
      <c r="P39" s="63"/>
      <c r="Q39" s="63"/>
      <c r="R39" s="29"/>
    </row>
    <row r="40" spans="1:18" ht="25.2" thickTop="1">
      <c r="A40" s="29"/>
      <c r="B40" s="45" t="s">
        <v>52</v>
      </c>
      <c r="C40" s="29"/>
      <c r="D40" s="57"/>
      <c r="E40" s="28"/>
      <c r="F40" s="28"/>
      <c r="G40" s="57"/>
      <c r="H40" s="57"/>
      <c r="I40" s="57"/>
      <c r="J40" s="47"/>
      <c r="K40" s="48"/>
      <c r="L40" s="58"/>
      <c r="M40" s="46"/>
      <c r="N40" s="28"/>
      <c r="O40" s="57"/>
      <c r="P40" s="57"/>
      <c r="Q40" s="57"/>
      <c r="R40" s="29"/>
    </row>
    <row r="41" spans="1:18" ht="24.6">
      <c r="A41" s="29"/>
      <c r="B41" s="116" t="s">
        <v>53</v>
      </c>
      <c r="C41" s="29"/>
      <c r="D41" s="57"/>
      <c r="E41" s="25"/>
      <c r="F41" s="25"/>
      <c r="G41" s="57"/>
      <c r="H41" s="57"/>
      <c r="I41" s="57"/>
      <c r="J41" s="47"/>
      <c r="K41" s="48"/>
      <c r="L41" s="58"/>
      <c r="M41" s="46"/>
      <c r="N41" s="28"/>
      <c r="O41" s="57"/>
      <c r="P41" s="57"/>
      <c r="Q41" s="57"/>
      <c r="R41" s="29"/>
    </row>
    <row r="42" spans="1:18" ht="24.6">
      <c r="A42" s="25">
        <v>1</v>
      </c>
      <c r="B42" s="29" t="s">
        <v>54</v>
      </c>
      <c r="C42" s="25" t="s">
        <v>55</v>
      </c>
      <c r="D42" s="49">
        <v>0</v>
      </c>
      <c r="E42" s="25"/>
      <c r="F42" s="25"/>
      <c r="G42" s="49">
        <v>0</v>
      </c>
      <c r="H42" s="49">
        <v>0</v>
      </c>
      <c r="I42" s="49">
        <v>0</v>
      </c>
      <c r="J42" s="26"/>
      <c r="K42" s="117"/>
      <c r="L42" s="118"/>
      <c r="M42" s="25"/>
      <c r="N42" s="25"/>
      <c r="O42" s="72">
        <f t="shared" ref="O42:O47" si="0">D42</f>
        <v>0</v>
      </c>
      <c r="P42" s="73">
        <v>0</v>
      </c>
      <c r="Q42" s="73">
        <f t="shared" ref="Q42:Q45" si="1">D42</f>
        <v>0</v>
      </c>
      <c r="R42" s="29" t="s">
        <v>56</v>
      </c>
    </row>
    <row r="43" spans="1:18" ht="24.6">
      <c r="A43" s="25">
        <v>2</v>
      </c>
      <c r="B43" s="119" t="s">
        <v>57</v>
      </c>
      <c r="C43" s="25">
        <v>259</v>
      </c>
      <c r="D43" s="49">
        <v>0</v>
      </c>
      <c r="E43" s="25"/>
      <c r="F43" s="25"/>
      <c r="G43" s="49">
        <v>0</v>
      </c>
      <c r="H43" s="49">
        <v>0</v>
      </c>
      <c r="I43" s="49">
        <v>0</v>
      </c>
      <c r="J43" s="26"/>
      <c r="K43" s="16"/>
      <c r="L43" s="118"/>
      <c r="M43" s="25"/>
      <c r="N43" s="25"/>
      <c r="O43" s="72">
        <f t="shared" si="0"/>
        <v>0</v>
      </c>
      <c r="P43" s="73">
        <v>0</v>
      </c>
      <c r="Q43" s="73">
        <f t="shared" si="1"/>
        <v>0</v>
      </c>
      <c r="R43" s="29" t="s">
        <v>58</v>
      </c>
    </row>
    <row r="44" spans="1:18" ht="24.6">
      <c r="A44" s="25">
        <v>3</v>
      </c>
      <c r="B44" s="119" t="s">
        <v>57</v>
      </c>
      <c r="C44" s="25">
        <v>260</v>
      </c>
      <c r="D44" s="49"/>
      <c r="E44" s="25"/>
      <c r="F44" s="25"/>
      <c r="G44" s="49">
        <v>0</v>
      </c>
      <c r="H44" s="49">
        <v>0</v>
      </c>
      <c r="I44" s="49">
        <v>0</v>
      </c>
      <c r="J44" s="26"/>
      <c r="K44" s="16"/>
      <c r="L44" s="118"/>
      <c r="M44" s="25"/>
      <c r="N44" s="25"/>
      <c r="O44" s="72">
        <f t="shared" si="0"/>
        <v>0</v>
      </c>
      <c r="P44" s="73">
        <v>0</v>
      </c>
      <c r="Q44" s="73">
        <f t="shared" si="1"/>
        <v>0</v>
      </c>
      <c r="R44" s="29"/>
    </row>
    <row r="45" spans="1:18" ht="24.6">
      <c r="A45" s="25">
        <v>4</v>
      </c>
      <c r="B45" s="119" t="s">
        <v>57</v>
      </c>
      <c r="C45" s="25" t="s">
        <v>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60</v>
      </c>
    </row>
    <row r="46" spans="1:18" ht="24.6">
      <c r="A46" s="25">
        <v>5</v>
      </c>
      <c r="B46" s="119" t="s">
        <v>57</v>
      </c>
      <c r="C46" s="25" t="s">
        <v>61</v>
      </c>
      <c r="D46" s="49">
        <v>0</v>
      </c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2">
        <f t="shared" ref="Q46:Q50" si="2">D46+I46-L46</f>
        <v>0</v>
      </c>
      <c r="R46" s="29"/>
    </row>
    <row r="47" spans="1:18" ht="24.6">
      <c r="A47" s="25">
        <v>6</v>
      </c>
      <c r="B47" s="29" t="s">
        <v>62</v>
      </c>
      <c r="C47" s="25" t="s">
        <v>63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69"/>
      <c r="K47" s="70"/>
      <c r="L47" s="83"/>
      <c r="M47" s="25"/>
      <c r="N47" s="25"/>
      <c r="O47" s="72">
        <f t="shared" si="0"/>
        <v>0</v>
      </c>
      <c r="P47" s="73">
        <v>0</v>
      </c>
      <c r="Q47" s="72">
        <f t="shared" si="2"/>
        <v>0</v>
      </c>
      <c r="R47" s="29" t="s">
        <v>64</v>
      </c>
    </row>
    <row r="48" spans="1:18" ht="24.6">
      <c r="A48" s="25">
        <v>7</v>
      </c>
      <c r="B48" s="29" t="s">
        <v>65</v>
      </c>
      <c r="C48" s="25">
        <v>267</v>
      </c>
      <c r="D48" s="49">
        <v>1215</v>
      </c>
      <c r="E48" s="25"/>
      <c r="F48" s="25"/>
      <c r="G48" s="49">
        <v>0</v>
      </c>
      <c r="H48" s="49">
        <v>0</v>
      </c>
      <c r="I48" s="49">
        <v>0</v>
      </c>
      <c r="J48" s="69">
        <v>25243</v>
      </c>
      <c r="K48" s="70" t="s">
        <v>354</v>
      </c>
      <c r="L48" s="83">
        <v>1215</v>
      </c>
      <c r="M48" s="25"/>
      <c r="N48" s="25"/>
      <c r="O48" s="72">
        <f>D48+G48-L48</f>
        <v>0</v>
      </c>
      <c r="P48" s="72">
        <f t="shared" ref="P48" si="3">E48+H48-M48</f>
        <v>0</v>
      </c>
      <c r="Q48" s="72">
        <f t="shared" si="2"/>
        <v>0</v>
      </c>
      <c r="R48" s="29" t="s">
        <v>67</v>
      </c>
    </row>
    <row r="49" spans="1:18" ht="24.6">
      <c r="A49" s="25">
        <v>8</v>
      </c>
      <c r="B49" s="29" t="s">
        <v>68</v>
      </c>
      <c r="C49" s="120">
        <v>268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121"/>
      <c r="K49" s="121"/>
      <c r="L49" s="121"/>
      <c r="M49" s="25"/>
      <c r="N49" s="25"/>
      <c r="O49" s="72">
        <f t="shared" ref="O49:O60" si="4">D49+G49-L49</f>
        <v>0</v>
      </c>
      <c r="P49" s="73">
        <v>0</v>
      </c>
      <c r="Q49" s="72">
        <f t="shared" si="2"/>
        <v>0</v>
      </c>
      <c r="R49" s="29" t="s">
        <v>69</v>
      </c>
    </row>
    <row r="50" spans="1:18" ht="24.6">
      <c r="A50" s="25">
        <v>9</v>
      </c>
      <c r="B50" s="29" t="s">
        <v>70</v>
      </c>
      <c r="C50" s="25" t="s">
        <v>71</v>
      </c>
      <c r="D50" s="49">
        <v>2430</v>
      </c>
      <c r="E50" s="25"/>
      <c r="F50" s="25"/>
      <c r="G50" s="49">
        <v>0</v>
      </c>
      <c r="H50" s="49">
        <v>0</v>
      </c>
      <c r="I50" s="49">
        <v>0</v>
      </c>
      <c r="J50" s="69">
        <v>25250</v>
      </c>
      <c r="K50" s="70" t="s">
        <v>355</v>
      </c>
      <c r="L50" s="83">
        <v>2430</v>
      </c>
      <c r="M50" s="25"/>
      <c r="N50" s="25"/>
      <c r="O50" s="72">
        <f t="shared" si="4"/>
        <v>0</v>
      </c>
      <c r="P50" s="73">
        <v>0</v>
      </c>
      <c r="Q50" s="72">
        <f t="shared" si="2"/>
        <v>0</v>
      </c>
      <c r="R50" s="29"/>
    </row>
    <row r="51" spans="1:18" ht="24.6">
      <c r="A51" s="25">
        <v>10</v>
      </c>
      <c r="B51" s="29" t="s">
        <v>73</v>
      </c>
      <c r="C51" s="120">
        <v>84282</v>
      </c>
      <c r="D51" s="49">
        <v>2430</v>
      </c>
      <c r="E51" s="25" t="s">
        <v>332</v>
      </c>
      <c r="F51" s="25">
        <v>2</v>
      </c>
      <c r="G51" s="49">
        <v>4860</v>
      </c>
      <c r="H51" s="49">
        <v>0</v>
      </c>
      <c r="I51" s="49">
        <v>4860</v>
      </c>
      <c r="J51" s="69">
        <v>25243</v>
      </c>
      <c r="K51" s="70" t="s">
        <v>356</v>
      </c>
      <c r="L51" s="83">
        <v>4860</v>
      </c>
      <c r="M51" s="122">
        <v>25235</v>
      </c>
      <c r="N51" s="123">
        <v>1</v>
      </c>
      <c r="O51" s="72">
        <f>D51+G51-L51</f>
        <v>2430</v>
      </c>
      <c r="P51" s="73">
        <v>0</v>
      </c>
      <c r="Q51" s="72">
        <f>D51+I51-L51</f>
        <v>2430</v>
      </c>
      <c r="R51" s="29"/>
    </row>
    <row r="52" spans="1:18" ht="24.6">
      <c r="A52" s="25">
        <v>11</v>
      </c>
      <c r="B52" s="29" t="s">
        <v>76</v>
      </c>
      <c r="C52" s="25">
        <v>281</v>
      </c>
      <c r="D52" s="49">
        <v>0</v>
      </c>
      <c r="E52" s="25"/>
      <c r="F52" s="25"/>
      <c r="G52" s="49">
        <v>0</v>
      </c>
      <c r="H52" s="49">
        <v>0</v>
      </c>
      <c r="I52" s="49">
        <v>0</v>
      </c>
      <c r="J52" s="69"/>
      <c r="K52" s="70"/>
      <c r="L52" s="83"/>
      <c r="M52" s="25"/>
      <c r="N52" s="25"/>
      <c r="O52" s="72">
        <f t="shared" si="4"/>
        <v>0</v>
      </c>
      <c r="P52" s="73">
        <v>0</v>
      </c>
      <c r="Q52" s="72">
        <f t="shared" ref="Q52:Q60" si="5">D52+I52-L52</f>
        <v>0</v>
      </c>
      <c r="R52" s="29" t="s">
        <v>77</v>
      </c>
    </row>
    <row r="53" spans="1:18" ht="24.6">
      <c r="A53" s="25">
        <v>12</v>
      </c>
      <c r="B53" s="29" t="s">
        <v>57</v>
      </c>
      <c r="C53" s="25">
        <v>280</v>
      </c>
      <c r="D53" s="49">
        <v>0</v>
      </c>
      <c r="E53" s="25"/>
      <c r="F53" s="25"/>
      <c r="G53" s="49">
        <v>0</v>
      </c>
      <c r="H53" s="49">
        <v>0</v>
      </c>
      <c r="I53" s="49">
        <v>0</v>
      </c>
      <c r="J53" s="69"/>
      <c r="K53" s="70"/>
      <c r="L53" s="83"/>
      <c r="M53" s="25"/>
      <c r="N53" s="25"/>
      <c r="O53" s="72">
        <f t="shared" si="4"/>
        <v>0</v>
      </c>
      <c r="P53" s="73">
        <v>0</v>
      </c>
      <c r="Q53" s="72">
        <f t="shared" si="5"/>
        <v>0</v>
      </c>
      <c r="R53" s="29"/>
    </row>
    <row r="54" spans="1:18" ht="24.6">
      <c r="A54" s="25">
        <v>13</v>
      </c>
      <c r="B54" s="29" t="s">
        <v>78</v>
      </c>
      <c r="C54" s="25" t="s">
        <v>79</v>
      </c>
      <c r="D54" s="49">
        <v>2430</v>
      </c>
      <c r="E54" s="25"/>
      <c r="F54" s="25"/>
      <c r="G54" s="49">
        <v>0</v>
      </c>
      <c r="H54" s="49">
        <v>0</v>
      </c>
      <c r="I54" s="49">
        <v>0</v>
      </c>
      <c r="J54" s="69">
        <v>25239</v>
      </c>
      <c r="K54" s="70" t="s">
        <v>357</v>
      </c>
      <c r="L54" s="83">
        <v>2430</v>
      </c>
      <c r="M54" s="25"/>
      <c r="N54" s="25"/>
      <c r="O54" s="72">
        <f t="shared" si="4"/>
        <v>0</v>
      </c>
      <c r="P54" s="73">
        <v>0</v>
      </c>
      <c r="Q54" s="72">
        <f t="shared" si="5"/>
        <v>0</v>
      </c>
      <c r="R54" s="29"/>
    </row>
    <row r="55" spans="1:18" ht="24.6">
      <c r="A55" s="25">
        <v>14</v>
      </c>
      <c r="B55" s="29" t="s">
        <v>81</v>
      </c>
      <c r="C55" s="25" t="s">
        <v>82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4"/>
        <v>0</v>
      </c>
      <c r="P55" s="73">
        <v>0</v>
      </c>
      <c r="Q55" s="72">
        <f t="shared" si="5"/>
        <v>0</v>
      </c>
      <c r="R55" s="29"/>
    </row>
    <row r="56" spans="1:18" ht="24.6">
      <c r="A56" s="25">
        <v>15</v>
      </c>
      <c r="B56" s="29" t="s">
        <v>83</v>
      </c>
      <c r="C56" s="25">
        <v>277</v>
      </c>
      <c r="D56" s="49">
        <v>1215</v>
      </c>
      <c r="E56" s="25"/>
      <c r="F56" s="25"/>
      <c r="G56" s="49">
        <v>0</v>
      </c>
      <c r="H56" s="49">
        <v>0</v>
      </c>
      <c r="I56" s="49">
        <v>0</v>
      </c>
      <c r="J56" s="69">
        <v>25261</v>
      </c>
      <c r="K56" s="70" t="s">
        <v>357</v>
      </c>
      <c r="L56" s="83">
        <v>1215</v>
      </c>
      <c r="M56" s="25"/>
      <c r="N56" s="25"/>
      <c r="O56" s="72">
        <f t="shared" si="4"/>
        <v>0</v>
      </c>
      <c r="P56" s="73">
        <v>0</v>
      </c>
      <c r="Q56" s="72">
        <f t="shared" si="5"/>
        <v>0</v>
      </c>
      <c r="R56" s="29"/>
    </row>
    <row r="57" spans="1:18" ht="24.6">
      <c r="A57" s="25">
        <v>16</v>
      </c>
      <c r="B57" s="29" t="s">
        <v>85</v>
      </c>
      <c r="C57" s="25" t="s">
        <v>86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26"/>
      <c r="K57" s="16"/>
      <c r="L57" s="118"/>
      <c r="M57" s="25"/>
      <c r="N57" s="25"/>
      <c r="O57" s="72">
        <f t="shared" si="4"/>
        <v>0</v>
      </c>
      <c r="P57" s="73">
        <v>0</v>
      </c>
      <c r="Q57" s="72">
        <f t="shared" si="5"/>
        <v>0</v>
      </c>
      <c r="R57" s="29" t="s">
        <v>87</v>
      </c>
    </row>
    <row r="58" spans="1:18" ht="24.6">
      <c r="A58" s="25">
        <v>17</v>
      </c>
      <c r="B58" s="29" t="s">
        <v>57</v>
      </c>
      <c r="C58" s="25" t="s">
        <v>88</v>
      </c>
      <c r="D58" s="49">
        <v>0</v>
      </c>
      <c r="E58" s="25"/>
      <c r="F58" s="25"/>
      <c r="G58" s="49">
        <v>0</v>
      </c>
      <c r="H58" s="49">
        <v>0</v>
      </c>
      <c r="I58" s="49">
        <v>0</v>
      </c>
      <c r="J58" s="26"/>
      <c r="K58" s="16"/>
      <c r="L58" s="118"/>
      <c r="M58" s="25"/>
      <c r="N58" s="25"/>
      <c r="O58" s="72">
        <f t="shared" si="4"/>
        <v>0</v>
      </c>
      <c r="P58" s="73">
        <v>0</v>
      </c>
      <c r="Q58" s="72">
        <f t="shared" si="5"/>
        <v>0</v>
      </c>
      <c r="R58" s="29"/>
    </row>
    <row r="59" spans="1:18" ht="24.6">
      <c r="A59" s="25"/>
      <c r="B59" s="116" t="s">
        <v>89</v>
      </c>
      <c r="C59" s="29"/>
      <c r="D59" s="29"/>
      <c r="E59" s="25"/>
      <c r="F59" s="25"/>
      <c r="G59" s="29">
        <v>0</v>
      </c>
      <c r="H59" s="49"/>
      <c r="I59" s="49">
        <v>0</v>
      </c>
      <c r="J59" s="26"/>
      <c r="K59" s="16"/>
      <c r="L59" s="118"/>
      <c r="M59" s="25"/>
      <c r="N59" s="25"/>
      <c r="O59" s="72">
        <f t="shared" si="4"/>
        <v>0</v>
      </c>
      <c r="P59" s="49"/>
      <c r="Q59" s="72">
        <f t="shared" si="5"/>
        <v>0</v>
      </c>
      <c r="R59" s="29"/>
    </row>
    <row r="60" spans="1:18" ht="24.6">
      <c r="A60" s="25">
        <v>1</v>
      </c>
      <c r="B60" s="29" t="s">
        <v>57</v>
      </c>
      <c r="C60" s="25" t="s">
        <v>90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4"/>
        <v>0</v>
      </c>
      <c r="P60" s="73">
        <v>0</v>
      </c>
      <c r="Q60" s="72">
        <f t="shared" si="5"/>
        <v>0</v>
      </c>
      <c r="R60" s="29" t="s">
        <v>91</v>
      </c>
    </row>
    <row r="61" spans="1:18" ht="24.6">
      <c r="A61" s="25">
        <v>2</v>
      </c>
      <c r="B61" s="119" t="s">
        <v>57</v>
      </c>
      <c r="C61" s="25" t="s">
        <v>92</v>
      </c>
      <c r="D61" s="49"/>
      <c r="E61" s="25"/>
      <c r="F61" s="25"/>
      <c r="G61" s="4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ref="O61:O69" si="6">D61+G61</f>
        <v>0</v>
      </c>
      <c r="P61" s="49"/>
      <c r="Q61" s="73">
        <f t="shared" ref="Q61:Q69" si="7">D61+I61</f>
        <v>0</v>
      </c>
      <c r="R61" s="29"/>
    </row>
    <row r="62" spans="1:18" ht="24.6">
      <c r="A62" s="25">
        <v>3</v>
      </c>
      <c r="B62" s="29" t="s">
        <v>93</v>
      </c>
      <c r="C62" s="25" t="s">
        <v>94</v>
      </c>
      <c r="D62" s="49">
        <v>0</v>
      </c>
      <c r="E62" s="25"/>
      <c r="F62" s="25"/>
      <c r="G62" s="89">
        <v>0</v>
      </c>
      <c r="H62" s="89">
        <v>0</v>
      </c>
      <c r="I62" s="89">
        <v>0</v>
      </c>
      <c r="J62" s="69"/>
      <c r="K62" s="84"/>
      <c r="L62" s="83"/>
      <c r="M62" s="25"/>
      <c r="N62" s="25"/>
      <c r="O62" s="72">
        <f t="shared" si="6"/>
        <v>0</v>
      </c>
      <c r="P62" s="73">
        <v>0</v>
      </c>
      <c r="Q62" s="73">
        <f t="shared" si="7"/>
        <v>0</v>
      </c>
      <c r="R62" s="29"/>
    </row>
    <row r="63" spans="1:18" ht="24.6">
      <c r="A63" s="25">
        <v>4</v>
      </c>
      <c r="B63" s="119" t="s">
        <v>57</v>
      </c>
      <c r="C63" s="25" t="s">
        <v>95</v>
      </c>
      <c r="D63" s="52">
        <v>0</v>
      </c>
      <c r="E63" s="25"/>
      <c r="F63" s="25"/>
      <c r="G63" s="49">
        <v>0</v>
      </c>
      <c r="H63" s="49"/>
      <c r="I63" s="49">
        <v>0</v>
      </c>
      <c r="J63" s="69"/>
      <c r="K63" s="84"/>
      <c r="L63" s="83"/>
      <c r="M63" s="25"/>
      <c r="N63" s="25"/>
      <c r="O63" s="72">
        <f t="shared" si="6"/>
        <v>0</v>
      </c>
      <c r="P63" s="49"/>
      <c r="Q63" s="73">
        <f t="shared" si="7"/>
        <v>0</v>
      </c>
      <c r="R63" s="29"/>
    </row>
    <row r="64" spans="1:18" ht="24.6">
      <c r="A64" s="25">
        <v>5</v>
      </c>
      <c r="B64" s="29" t="s">
        <v>40</v>
      </c>
      <c r="C64" s="25" t="s">
        <v>96</v>
      </c>
      <c r="D64" s="49">
        <v>0</v>
      </c>
      <c r="E64" s="25"/>
      <c r="F64" s="25"/>
      <c r="G64" s="49">
        <v>0</v>
      </c>
      <c r="H64" s="49">
        <v>0</v>
      </c>
      <c r="I64" s="49">
        <v>0</v>
      </c>
      <c r="J64" s="69"/>
      <c r="K64" s="70"/>
      <c r="L64" s="83"/>
      <c r="M64" s="25"/>
      <c r="N64" s="25"/>
      <c r="O64" s="72">
        <f t="shared" si="6"/>
        <v>0</v>
      </c>
      <c r="P64" s="73">
        <v>0</v>
      </c>
      <c r="Q64" s="73">
        <f t="shared" si="7"/>
        <v>0</v>
      </c>
      <c r="R64" s="29" t="s">
        <v>41</v>
      </c>
    </row>
    <row r="65" spans="1:20" ht="24.6">
      <c r="A65" s="25"/>
      <c r="B65" s="124" t="s">
        <v>97</v>
      </c>
      <c r="C65" s="29"/>
      <c r="D65" s="29"/>
      <c r="E65" s="25" t="s">
        <v>172</v>
      </c>
      <c r="F65" s="25" t="s">
        <v>172</v>
      </c>
      <c r="G65" s="29">
        <v>0</v>
      </c>
      <c r="H65" s="49"/>
      <c r="I65" s="49">
        <v>0</v>
      </c>
      <c r="J65" s="26"/>
      <c r="K65" s="16"/>
      <c r="L65" s="118"/>
      <c r="M65" s="25"/>
      <c r="N65" s="25"/>
      <c r="O65" s="72">
        <f t="shared" si="6"/>
        <v>0</v>
      </c>
      <c r="P65" s="49"/>
      <c r="Q65" s="73">
        <f t="shared" si="7"/>
        <v>0</v>
      </c>
      <c r="R65" s="29"/>
    </row>
    <row r="66" spans="1:20" ht="24.6">
      <c r="A66" s="25">
        <v>1</v>
      </c>
      <c r="B66" s="125" t="s">
        <v>98</v>
      </c>
      <c r="C66" s="25" t="s">
        <v>99</v>
      </c>
      <c r="D66" s="49">
        <v>0</v>
      </c>
      <c r="E66" s="68"/>
      <c r="F66" s="25"/>
      <c r="G66" s="49">
        <v>0</v>
      </c>
      <c r="H66" s="49">
        <v>0</v>
      </c>
      <c r="I66" s="49">
        <v>0</v>
      </c>
      <c r="J66" s="69" t="s">
        <v>172</v>
      </c>
      <c r="K66" s="70" t="s">
        <v>172</v>
      </c>
      <c r="L66" s="83">
        <v>0</v>
      </c>
      <c r="M66" s="25" t="s">
        <v>172</v>
      </c>
      <c r="N66" s="25" t="s">
        <v>172</v>
      </c>
      <c r="O66" s="72">
        <f t="shared" si="6"/>
        <v>0</v>
      </c>
      <c r="P66" s="73">
        <v>0</v>
      </c>
      <c r="Q66" s="73">
        <f t="shared" si="7"/>
        <v>0</v>
      </c>
      <c r="R66" s="29" t="s">
        <v>100</v>
      </c>
      <c r="T66" s="2" t="s">
        <v>101</v>
      </c>
    </row>
    <row r="67" spans="1:20" ht="24.6">
      <c r="A67" s="25"/>
      <c r="B67" s="116" t="s">
        <v>102</v>
      </c>
      <c r="C67" s="29"/>
      <c r="D67" s="29"/>
      <c r="E67" s="25"/>
      <c r="F67" s="25"/>
      <c r="G67" s="2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6"/>
        <v>0</v>
      </c>
      <c r="P67" s="49"/>
      <c r="Q67" s="73">
        <f t="shared" si="7"/>
        <v>0</v>
      </c>
      <c r="R67" s="29"/>
    </row>
    <row r="68" spans="1:20" ht="20.25" customHeight="1">
      <c r="A68" s="25">
        <v>1</v>
      </c>
      <c r="B68" s="29" t="s">
        <v>36</v>
      </c>
      <c r="C68" s="29"/>
      <c r="D68" s="49">
        <v>0</v>
      </c>
      <c r="E68" s="25"/>
      <c r="F68" s="25"/>
      <c r="G68" s="49">
        <v>0</v>
      </c>
      <c r="H68" s="49">
        <v>0</v>
      </c>
      <c r="I68" s="49">
        <v>0</v>
      </c>
      <c r="J68" s="69"/>
      <c r="K68" s="84"/>
      <c r="L68" s="83"/>
      <c r="M68" s="25"/>
      <c r="N68" s="25"/>
      <c r="O68" s="72">
        <f t="shared" si="6"/>
        <v>0</v>
      </c>
      <c r="P68" s="73">
        <v>0</v>
      </c>
      <c r="Q68" s="73">
        <f t="shared" si="7"/>
        <v>0</v>
      </c>
      <c r="R68" s="29" t="s">
        <v>103</v>
      </c>
    </row>
    <row r="69" spans="1:20" ht="24.6">
      <c r="A69" s="25"/>
      <c r="B69" s="116" t="s">
        <v>104</v>
      </c>
      <c r="C69" s="29"/>
      <c r="D69" s="29"/>
      <c r="E69" s="25"/>
      <c r="F69" s="25"/>
      <c r="G69" s="49">
        <v>0</v>
      </c>
      <c r="H69" s="49"/>
      <c r="I69" s="49">
        <v>0</v>
      </c>
      <c r="J69" s="61"/>
      <c r="K69" s="61"/>
      <c r="L69" s="61"/>
      <c r="N69" s="1"/>
      <c r="O69" s="72">
        <f t="shared" si="6"/>
        <v>0</v>
      </c>
      <c r="P69" s="49"/>
      <c r="Q69" s="73">
        <f t="shared" si="7"/>
        <v>0</v>
      </c>
      <c r="R69" s="29"/>
    </row>
    <row r="70" spans="1:20" ht="24.6">
      <c r="A70" s="25">
        <v>1</v>
      </c>
      <c r="B70" s="29" t="s">
        <v>105</v>
      </c>
      <c r="C70" s="29"/>
      <c r="D70" s="49">
        <v>5000</v>
      </c>
      <c r="E70" s="126" t="s">
        <v>335</v>
      </c>
      <c r="F70" s="25">
        <v>1</v>
      </c>
      <c r="G70" s="49">
        <v>5000</v>
      </c>
      <c r="H70" s="49">
        <v>0</v>
      </c>
      <c r="I70" s="49">
        <v>5000</v>
      </c>
      <c r="J70" s="69">
        <v>25238</v>
      </c>
      <c r="K70" s="84" t="s">
        <v>358</v>
      </c>
      <c r="L70" s="83">
        <v>5000</v>
      </c>
      <c r="M70" s="25" t="s">
        <v>359</v>
      </c>
      <c r="N70" s="25">
        <v>1</v>
      </c>
      <c r="O70" s="72">
        <f>D70+G70-L70</f>
        <v>5000</v>
      </c>
      <c r="P70" s="73">
        <v>0</v>
      </c>
      <c r="Q70" s="73">
        <f>D70+I70-L70</f>
        <v>5000</v>
      </c>
      <c r="R70" s="29"/>
    </row>
    <row r="71" spans="1:20" ht="24.6">
      <c r="A71" s="25">
        <v>2</v>
      </c>
      <c r="B71" s="29" t="s">
        <v>105</v>
      </c>
      <c r="C71" s="29"/>
      <c r="D71" s="49">
        <v>4650</v>
      </c>
      <c r="E71" s="126" t="s">
        <v>335</v>
      </c>
      <c r="F71" s="25">
        <v>1</v>
      </c>
      <c r="G71" s="49">
        <v>4650</v>
      </c>
      <c r="H71" s="49">
        <v>0</v>
      </c>
      <c r="I71" s="49">
        <v>4650</v>
      </c>
      <c r="J71" s="69">
        <v>25238</v>
      </c>
      <c r="K71" s="70" t="s">
        <v>360</v>
      </c>
      <c r="L71" s="83">
        <v>4650</v>
      </c>
      <c r="M71" s="126" t="s">
        <v>359</v>
      </c>
      <c r="N71" s="25">
        <v>1</v>
      </c>
      <c r="O71" s="72">
        <f>D71+G71-L71</f>
        <v>4650</v>
      </c>
      <c r="P71" s="73">
        <v>0</v>
      </c>
      <c r="Q71" s="73">
        <f>D71+I71-L71</f>
        <v>4650</v>
      </c>
      <c r="R71" s="29" t="s">
        <v>108</v>
      </c>
    </row>
    <row r="72" spans="1:20" ht="24.6">
      <c r="A72" s="25">
        <v>3</v>
      </c>
      <c r="B72" s="29" t="s">
        <v>109</v>
      </c>
      <c r="C72" s="53"/>
      <c r="D72" s="127">
        <v>3450</v>
      </c>
      <c r="E72" s="25"/>
      <c r="F72" s="25"/>
      <c r="G72" s="127">
        <v>0</v>
      </c>
      <c r="H72" s="127">
        <v>0</v>
      </c>
      <c r="I72" s="49">
        <v>0</v>
      </c>
      <c r="J72" s="69">
        <v>25239</v>
      </c>
      <c r="K72" s="70" t="s">
        <v>361</v>
      </c>
      <c r="L72" s="83">
        <v>3450</v>
      </c>
      <c r="M72" s="126"/>
      <c r="N72" s="25"/>
      <c r="O72" s="72">
        <f>D72+G72-L72</f>
        <v>0</v>
      </c>
      <c r="P72" s="73">
        <v>0</v>
      </c>
      <c r="Q72" s="73">
        <f>D72+I72-L72</f>
        <v>0</v>
      </c>
      <c r="R72" s="29" t="s">
        <v>111</v>
      </c>
    </row>
    <row r="73" spans="1:20" ht="24.6">
      <c r="A73" s="25">
        <v>4</v>
      </c>
      <c r="B73" s="29" t="s">
        <v>112</v>
      </c>
      <c r="C73" s="29"/>
      <c r="D73" s="49">
        <v>3795</v>
      </c>
      <c r="E73" s="25"/>
      <c r="F73" s="25"/>
      <c r="G73" s="49">
        <v>0</v>
      </c>
      <c r="H73" s="49">
        <v>0</v>
      </c>
      <c r="I73" s="49">
        <v>0</v>
      </c>
      <c r="J73" s="128">
        <v>25244</v>
      </c>
      <c r="K73" s="129" t="s">
        <v>362</v>
      </c>
      <c r="L73" s="130">
        <v>3795</v>
      </c>
      <c r="M73" s="25"/>
      <c r="N73" s="25"/>
      <c r="O73" s="72">
        <f>D73+G73-L73</f>
        <v>0</v>
      </c>
      <c r="P73" s="73">
        <v>0</v>
      </c>
      <c r="Q73" s="73">
        <f>D73+I73-L73</f>
        <v>0</v>
      </c>
      <c r="R73" s="131" t="s">
        <v>114</v>
      </c>
    </row>
    <row r="74" spans="1:20" ht="25.5" customHeight="1">
      <c r="A74" s="25">
        <v>5</v>
      </c>
      <c r="B74" s="132" t="s">
        <v>115</v>
      </c>
      <c r="C74" s="132"/>
      <c r="D74" s="133">
        <v>8000</v>
      </c>
      <c r="E74" s="29"/>
      <c r="F74" s="29"/>
      <c r="G74" s="134">
        <v>0</v>
      </c>
      <c r="H74" s="134">
        <v>0</v>
      </c>
      <c r="I74" s="134">
        <v>0</v>
      </c>
      <c r="J74" s="128">
        <v>25239</v>
      </c>
      <c r="K74" s="129" t="s">
        <v>363</v>
      </c>
      <c r="L74" s="130">
        <v>8000</v>
      </c>
      <c r="M74" s="25"/>
      <c r="N74" s="25"/>
      <c r="O74" s="72">
        <f>D74+G74-L74</f>
        <v>0</v>
      </c>
      <c r="P74" s="73">
        <v>0</v>
      </c>
      <c r="Q74" s="73">
        <f>D74+I74-L74</f>
        <v>0</v>
      </c>
    </row>
    <row r="75" spans="1:20" ht="25.2" thickBot="1">
      <c r="A75" s="29"/>
      <c r="B75" s="25" t="s">
        <v>26</v>
      </c>
      <c r="C75" s="74"/>
      <c r="D75" s="78">
        <f>SUM(D42:D74)</f>
        <v>34615</v>
      </c>
      <c r="E75" s="78"/>
      <c r="F75" s="78"/>
      <c r="G75" s="78">
        <f>SUM(G42:G74)</f>
        <v>14510</v>
      </c>
      <c r="H75" s="78">
        <f>SUM(H42:H74)</f>
        <v>0</v>
      </c>
      <c r="I75" s="78">
        <f>SUM(I42:I74)</f>
        <v>14510</v>
      </c>
      <c r="J75" s="77"/>
      <c r="K75" s="77"/>
      <c r="L75" s="77">
        <f>SUM(L42:L74)</f>
        <v>37045</v>
      </c>
      <c r="M75" s="78"/>
      <c r="N75" s="135"/>
      <c r="O75" s="106">
        <f>SUM(O42:O74)</f>
        <v>12080</v>
      </c>
      <c r="P75" s="78">
        <v>0</v>
      </c>
      <c r="Q75" s="136">
        <f>SUM(Q42:Q74)</f>
        <v>12080</v>
      </c>
      <c r="R75" s="29"/>
    </row>
    <row r="76" spans="1:20" ht="25.2" thickTop="1">
      <c r="A76" s="29"/>
      <c r="B76" s="116" t="s">
        <v>117</v>
      </c>
      <c r="C76" s="46"/>
      <c r="D76" s="46"/>
      <c r="E76" s="28"/>
      <c r="F76" s="28"/>
      <c r="G76" s="46"/>
      <c r="H76" s="46"/>
      <c r="I76" s="46"/>
      <c r="J76" s="137"/>
      <c r="K76" s="138"/>
      <c r="L76" s="139"/>
      <c r="M76" s="28"/>
      <c r="N76" s="28"/>
      <c r="O76" s="72">
        <v>0</v>
      </c>
      <c r="P76" s="46"/>
      <c r="Q76" s="140">
        <v>0</v>
      </c>
      <c r="R76" s="46"/>
    </row>
    <row r="77" spans="1:20" ht="24.6">
      <c r="A77" s="29"/>
      <c r="B77" s="116" t="s">
        <v>118</v>
      </c>
      <c r="C77" s="46"/>
      <c r="D77" s="46"/>
      <c r="E77" s="25"/>
      <c r="F77" s="28"/>
      <c r="G77" s="46"/>
      <c r="H77" s="46"/>
      <c r="I77" s="46"/>
      <c r="J77" s="137"/>
      <c r="K77" s="138"/>
      <c r="L77" s="139"/>
      <c r="M77" s="28"/>
      <c r="N77" s="28"/>
      <c r="O77" s="72">
        <v>0</v>
      </c>
      <c r="P77" s="46"/>
      <c r="Q77" s="73">
        <v>0</v>
      </c>
      <c r="R77" s="29"/>
    </row>
    <row r="78" spans="1:20" ht="24.6">
      <c r="A78" s="25">
        <v>1</v>
      </c>
      <c r="B78" s="119" t="s">
        <v>119</v>
      </c>
      <c r="C78" s="46"/>
      <c r="D78" s="98">
        <v>0</v>
      </c>
      <c r="E78" s="25"/>
      <c r="F78" s="28"/>
      <c r="G78" s="49">
        <v>0</v>
      </c>
      <c r="H78" s="49">
        <v>0</v>
      </c>
      <c r="I78" s="49">
        <v>0</v>
      </c>
      <c r="J78" s="26"/>
      <c r="K78" s="16"/>
      <c r="L78" s="118"/>
      <c r="M78" s="119"/>
      <c r="N78" s="28"/>
      <c r="O78" s="72">
        <v>0</v>
      </c>
      <c r="P78" s="141">
        <v>0</v>
      </c>
      <c r="Q78" s="73">
        <v>0</v>
      </c>
      <c r="R78" s="29" t="s">
        <v>120</v>
      </c>
    </row>
    <row r="79" spans="1:20" ht="24.6">
      <c r="A79" s="25"/>
      <c r="B79" s="29" t="s">
        <v>120</v>
      </c>
      <c r="C79" s="46"/>
      <c r="D79" s="98"/>
      <c r="E79" s="25"/>
      <c r="F79" s="28"/>
      <c r="G79" s="49">
        <v>0</v>
      </c>
      <c r="H79" s="49"/>
      <c r="I79" s="49">
        <v>0</v>
      </c>
      <c r="J79" s="26"/>
      <c r="K79" s="16"/>
      <c r="L79" s="118"/>
      <c r="M79" s="25"/>
      <c r="N79" s="28"/>
      <c r="O79" s="72">
        <v>0</v>
      </c>
      <c r="P79" s="46"/>
      <c r="Q79" s="73">
        <v>0</v>
      </c>
      <c r="R79" s="29"/>
    </row>
    <row r="80" spans="1:20" ht="24.6">
      <c r="A80" s="25">
        <v>2</v>
      </c>
      <c r="B80" s="119" t="s">
        <v>121</v>
      </c>
      <c r="C80" s="46"/>
      <c r="D80" s="98">
        <v>6000</v>
      </c>
      <c r="E80" s="25"/>
      <c r="F80" s="25"/>
      <c r="G80" s="49">
        <v>0</v>
      </c>
      <c r="H80" s="49">
        <v>0</v>
      </c>
      <c r="I80" s="49">
        <v>0</v>
      </c>
      <c r="J80" s="69">
        <v>25239</v>
      </c>
      <c r="K80" s="70" t="s">
        <v>364</v>
      </c>
      <c r="L80" s="83">
        <v>6000</v>
      </c>
      <c r="M80" s="25"/>
      <c r="N80" s="25"/>
      <c r="O80" s="72">
        <v>0</v>
      </c>
      <c r="P80" s="73">
        <v>0</v>
      </c>
      <c r="Q80" s="73">
        <v>0</v>
      </c>
      <c r="R80" s="29"/>
    </row>
    <row r="81" spans="1:18" ht="24.6">
      <c r="A81" s="29"/>
      <c r="B81" s="45" t="s">
        <v>123</v>
      </c>
      <c r="C81" s="46"/>
      <c r="D81" s="46"/>
      <c r="E81" s="28"/>
      <c r="F81" s="28"/>
      <c r="G81" s="46">
        <v>0</v>
      </c>
      <c r="H81" s="46"/>
      <c r="I81" s="49">
        <v>0</v>
      </c>
      <c r="J81" s="142"/>
      <c r="K81" s="143"/>
      <c r="L81" s="144"/>
      <c r="M81" s="28"/>
      <c r="N81" s="28"/>
      <c r="O81" s="72">
        <v>0</v>
      </c>
      <c r="P81" s="46"/>
      <c r="Q81" s="73">
        <v>0</v>
      </c>
      <c r="R81" s="29"/>
    </row>
    <row r="82" spans="1:18" ht="24.6">
      <c r="A82" s="25">
        <v>1</v>
      </c>
      <c r="B82" s="29" t="s">
        <v>124</v>
      </c>
      <c r="C82" s="29"/>
      <c r="D82" s="49">
        <v>600</v>
      </c>
      <c r="E82" s="25"/>
      <c r="F82" s="25"/>
      <c r="G82" s="49">
        <v>0</v>
      </c>
      <c r="H82" s="49">
        <v>0</v>
      </c>
      <c r="I82" s="49">
        <v>0</v>
      </c>
      <c r="J82" s="69">
        <v>25255</v>
      </c>
      <c r="K82" s="70" t="s">
        <v>365</v>
      </c>
      <c r="L82" s="83">
        <v>600</v>
      </c>
      <c r="M82" s="25"/>
      <c r="N82" s="25"/>
      <c r="O82" s="72">
        <v>0</v>
      </c>
      <c r="P82" s="73">
        <v>0</v>
      </c>
      <c r="Q82" s="73">
        <v>0</v>
      </c>
      <c r="R82" s="29"/>
    </row>
    <row r="83" spans="1:18" ht="24.6">
      <c r="A83" s="25">
        <v>2</v>
      </c>
      <c r="B83" s="29" t="s">
        <v>40</v>
      </c>
      <c r="C83" s="29"/>
      <c r="D83" s="49">
        <v>0</v>
      </c>
      <c r="E83" s="25"/>
      <c r="F83" s="25"/>
      <c r="G83" s="49">
        <v>0</v>
      </c>
      <c r="H83" s="49">
        <v>0</v>
      </c>
      <c r="I83" s="49">
        <v>0</v>
      </c>
      <c r="J83" s="69"/>
      <c r="K83" s="70"/>
      <c r="L83" s="83"/>
      <c r="M83" s="25"/>
      <c r="N83" s="25"/>
      <c r="O83" s="72">
        <v>0</v>
      </c>
      <c r="P83" s="73">
        <v>0</v>
      </c>
      <c r="Q83" s="73">
        <v>0</v>
      </c>
      <c r="R83" s="29" t="s">
        <v>126</v>
      </c>
    </row>
    <row r="84" spans="1:18" ht="24.6">
      <c r="A84" s="25"/>
      <c r="B84" s="124" t="s">
        <v>127</v>
      </c>
      <c r="C84" s="29"/>
      <c r="D84" s="49"/>
      <c r="E84" s="25"/>
      <c r="F84" s="25"/>
      <c r="G84" s="49">
        <v>0</v>
      </c>
      <c r="H84" s="29"/>
      <c r="I84" s="49">
        <v>0</v>
      </c>
      <c r="J84" s="26"/>
      <c r="K84" s="16"/>
      <c r="L84" s="118"/>
      <c r="M84" s="25"/>
      <c r="N84" s="25"/>
      <c r="O84" s="72">
        <v>0</v>
      </c>
      <c r="P84" s="49"/>
      <c r="Q84" s="73">
        <v>0</v>
      </c>
      <c r="R84" s="29"/>
    </row>
    <row r="85" spans="1:18" ht="24.6">
      <c r="A85" s="25">
        <v>1</v>
      </c>
      <c r="B85" s="119" t="s">
        <v>128</v>
      </c>
      <c r="C85" s="29"/>
      <c r="D85" s="49"/>
      <c r="E85" s="25"/>
      <c r="F85" s="25"/>
      <c r="G85" s="49">
        <v>0</v>
      </c>
      <c r="H85" s="49">
        <v>0</v>
      </c>
      <c r="I85" s="49">
        <v>0</v>
      </c>
      <c r="J85" s="26"/>
      <c r="K85" s="16"/>
      <c r="L85" s="118"/>
      <c r="M85" s="25"/>
      <c r="N85" s="25"/>
      <c r="O85" s="72">
        <v>0</v>
      </c>
      <c r="P85" s="73">
        <v>0</v>
      </c>
      <c r="Q85" s="73">
        <v>0</v>
      </c>
      <c r="R85" s="29" t="s">
        <v>129</v>
      </c>
    </row>
    <row r="86" spans="1:18" ht="24.6">
      <c r="A86" s="25">
        <v>2</v>
      </c>
      <c r="B86" s="29" t="s">
        <v>130</v>
      </c>
      <c r="C86" s="29"/>
      <c r="D86" s="49">
        <v>550</v>
      </c>
      <c r="E86" s="25"/>
      <c r="F86" s="25"/>
      <c r="G86" s="49">
        <v>0</v>
      </c>
      <c r="H86" s="49">
        <v>0</v>
      </c>
      <c r="I86" s="49">
        <v>0</v>
      </c>
      <c r="J86" s="69">
        <v>25262</v>
      </c>
      <c r="K86" s="70" t="s">
        <v>366</v>
      </c>
      <c r="L86" s="83">
        <v>550</v>
      </c>
      <c r="M86" s="25"/>
      <c r="N86" s="25"/>
      <c r="O86" s="72">
        <v>0</v>
      </c>
      <c r="P86" s="73">
        <v>0</v>
      </c>
      <c r="Q86" s="73">
        <v>0</v>
      </c>
      <c r="R86" s="29"/>
    </row>
    <row r="87" spans="1:18" ht="24.6">
      <c r="A87" s="25" t="s">
        <v>370</v>
      </c>
      <c r="B87" s="29" t="s">
        <v>225</v>
      </c>
      <c r="C87" s="29"/>
      <c r="D87" s="49"/>
      <c r="E87" s="25"/>
      <c r="F87" s="25"/>
      <c r="G87" s="49"/>
      <c r="H87" s="49"/>
      <c r="I87" s="49"/>
      <c r="J87" s="69"/>
      <c r="K87" s="70"/>
      <c r="L87" s="83"/>
      <c r="M87" s="25"/>
      <c r="N87" s="25"/>
      <c r="O87" s="72"/>
      <c r="P87" s="140"/>
      <c r="Q87" s="140"/>
      <c r="R87" s="29"/>
    </row>
    <row r="88" spans="1:18" ht="24.6">
      <c r="A88" s="25">
        <v>4</v>
      </c>
      <c r="B88" s="29" t="s">
        <v>132</v>
      </c>
      <c r="C88" s="29"/>
      <c r="D88" s="49">
        <v>1100</v>
      </c>
      <c r="E88" s="25" t="s">
        <v>335</v>
      </c>
      <c r="F88" s="25">
        <v>1</v>
      </c>
      <c r="G88" s="89">
        <v>1100</v>
      </c>
      <c r="H88" s="49"/>
      <c r="I88" s="49">
        <v>1100</v>
      </c>
      <c r="J88" s="69">
        <v>25259</v>
      </c>
      <c r="K88" s="70" t="s">
        <v>367</v>
      </c>
      <c r="L88" s="83">
        <v>1100</v>
      </c>
      <c r="M88" s="25" t="s">
        <v>359</v>
      </c>
      <c r="N88" s="25">
        <v>1</v>
      </c>
      <c r="O88" s="72">
        <f>SUM(D88+I88-L88)</f>
        <v>1100</v>
      </c>
      <c r="P88" s="72"/>
      <c r="Q88" s="72">
        <f>SUM(D88+I88-L88)</f>
        <v>1100</v>
      </c>
      <c r="R88" s="29"/>
    </row>
    <row r="89" spans="1:18" ht="24.6">
      <c r="A89" s="25">
        <v>5</v>
      </c>
      <c r="B89" s="29" t="s">
        <v>134</v>
      </c>
      <c r="C89" s="29"/>
      <c r="D89" s="49">
        <v>1650</v>
      </c>
      <c r="E89" s="25"/>
      <c r="F89" s="25"/>
      <c r="G89" s="89">
        <v>0</v>
      </c>
      <c r="H89" s="49">
        <v>0</v>
      </c>
      <c r="I89" s="49">
        <v>0</v>
      </c>
      <c r="J89" s="69">
        <v>25262</v>
      </c>
      <c r="K89" s="84" t="s">
        <v>368</v>
      </c>
      <c r="L89" s="83">
        <v>1650</v>
      </c>
      <c r="M89" s="25"/>
      <c r="N89" s="25"/>
      <c r="O89" s="72">
        <f t="shared" ref="O89:O93" si="8">SUM(D89+I89-L89)</f>
        <v>0</v>
      </c>
      <c r="P89" s="73">
        <v>0</v>
      </c>
      <c r="Q89" s="72">
        <f t="shared" ref="Q89:Q92" si="9">SUM(D89+I89-L89)</f>
        <v>0</v>
      </c>
      <c r="R89" s="29"/>
    </row>
    <row r="90" spans="1:18" ht="24.6">
      <c r="A90" s="25"/>
      <c r="B90" s="116" t="s">
        <v>136</v>
      </c>
      <c r="C90" s="29"/>
      <c r="D90" s="49"/>
      <c r="E90" s="25"/>
      <c r="F90" s="25"/>
      <c r="G90" s="89">
        <v>0</v>
      </c>
      <c r="H90" s="29"/>
      <c r="I90" s="49">
        <v>0</v>
      </c>
      <c r="J90" s="69"/>
      <c r="K90" s="70"/>
      <c r="L90" s="83"/>
      <c r="M90" s="25"/>
      <c r="N90" s="25"/>
      <c r="O90" s="72">
        <f t="shared" si="8"/>
        <v>0</v>
      </c>
      <c r="P90" s="49"/>
      <c r="Q90" s="72">
        <f t="shared" si="9"/>
        <v>0</v>
      </c>
      <c r="R90" s="29"/>
    </row>
    <row r="91" spans="1:18" ht="24.6">
      <c r="A91" s="25">
        <v>1</v>
      </c>
      <c r="B91" s="29" t="s">
        <v>137</v>
      </c>
      <c r="C91" s="29"/>
      <c r="D91" s="49">
        <v>5000</v>
      </c>
      <c r="E91" s="25" t="s">
        <v>335</v>
      </c>
      <c r="F91" s="25">
        <v>1</v>
      </c>
      <c r="G91" s="89">
        <v>5000</v>
      </c>
      <c r="H91" s="49">
        <v>0</v>
      </c>
      <c r="I91" s="49">
        <v>5000</v>
      </c>
      <c r="J91" s="69">
        <v>25262</v>
      </c>
      <c r="K91" s="70" t="s">
        <v>369</v>
      </c>
      <c r="L91" s="83">
        <v>5000</v>
      </c>
      <c r="M91" s="68" t="s">
        <v>359</v>
      </c>
      <c r="N91" s="25">
        <v>1</v>
      </c>
      <c r="O91" s="72">
        <f t="shared" si="8"/>
        <v>5000</v>
      </c>
      <c r="P91" s="73">
        <v>0</v>
      </c>
      <c r="Q91" s="72">
        <f t="shared" si="9"/>
        <v>5000</v>
      </c>
      <c r="R91" s="29"/>
    </row>
    <row r="92" spans="1:18" ht="24.6">
      <c r="A92" s="25"/>
      <c r="B92" s="116" t="s">
        <v>140</v>
      </c>
      <c r="C92" s="29"/>
      <c r="D92" s="49"/>
      <c r="E92" s="25"/>
      <c r="F92" s="25"/>
      <c r="G92" s="49">
        <v>0</v>
      </c>
      <c r="H92" s="49"/>
      <c r="I92" s="49">
        <v>0</v>
      </c>
      <c r="J92" s="69"/>
      <c r="K92" s="84"/>
      <c r="L92" s="83"/>
      <c r="M92" s="25"/>
      <c r="N92" s="25"/>
      <c r="O92" s="72">
        <f t="shared" si="8"/>
        <v>0</v>
      </c>
      <c r="P92" s="49"/>
      <c r="Q92" s="72">
        <f t="shared" si="9"/>
        <v>0</v>
      </c>
      <c r="R92" s="29"/>
    </row>
    <row r="93" spans="1:18" ht="24.6">
      <c r="A93" s="25">
        <v>1</v>
      </c>
      <c r="B93" s="29" t="s">
        <v>141</v>
      </c>
      <c r="C93" s="29"/>
      <c r="D93" s="49">
        <v>0</v>
      </c>
      <c r="E93" s="25"/>
      <c r="F93" s="25"/>
      <c r="G93" s="49">
        <v>0</v>
      </c>
      <c r="H93" s="49">
        <v>0</v>
      </c>
      <c r="I93" s="49">
        <v>0</v>
      </c>
      <c r="J93" s="69"/>
      <c r="K93" s="70"/>
      <c r="L93" s="83"/>
      <c r="M93" s="25"/>
      <c r="N93" s="25"/>
      <c r="O93" s="72">
        <f t="shared" si="8"/>
        <v>0</v>
      </c>
      <c r="P93" s="73">
        <v>0</v>
      </c>
      <c r="Q93" s="73">
        <v>0</v>
      </c>
      <c r="R93" s="29"/>
    </row>
    <row r="94" spans="1:18" ht="24.6">
      <c r="A94" s="25"/>
      <c r="B94" s="116" t="s">
        <v>142</v>
      </c>
      <c r="C94" s="29"/>
      <c r="D94" s="49"/>
      <c r="E94" s="25"/>
      <c r="F94" s="25"/>
      <c r="G94" s="49">
        <v>0</v>
      </c>
      <c r="H94" s="29"/>
      <c r="I94" s="49">
        <v>0</v>
      </c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>
        <v>1</v>
      </c>
      <c r="B95" s="29" t="s">
        <v>143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69"/>
      <c r="K95" s="70"/>
      <c r="L95" s="83"/>
      <c r="M95" s="25"/>
      <c r="N95" s="25"/>
      <c r="O95" s="72">
        <v>0</v>
      </c>
      <c r="P95" s="73">
        <v>0</v>
      </c>
      <c r="Q95" s="73">
        <v>0</v>
      </c>
      <c r="R95" s="29" t="s">
        <v>64</v>
      </c>
    </row>
    <row r="96" spans="1:18" ht="24.6">
      <c r="A96" s="25">
        <v>2</v>
      </c>
      <c r="B96" s="29" t="s">
        <v>144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145"/>
      <c r="K96" s="146"/>
      <c r="L96" s="147"/>
      <c r="M96" s="25"/>
      <c r="N96" s="25"/>
      <c r="O96" s="72">
        <v>0</v>
      </c>
      <c r="P96" s="73">
        <v>0</v>
      </c>
      <c r="Q96" s="73">
        <v>0</v>
      </c>
      <c r="R96" s="29" t="s">
        <v>145</v>
      </c>
    </row>
    <row r="97" spans="1:18" ht="24.6">
      <c r="A97" s="25">
        <v>3</v>
      </c>
      <c r="B97" s="29" t="s">
        <v>146</v>
      </c>
      <c r="C97" s="29"/>
      <c r="D97" s="49">
        <v>0</v>
      </c>
      <c r="E97" s="25"/>
      <c r="F97" s="25"/>
      <c r="G97" s="52">
        <v>0</v>
      </c>
      <c r="H97" s="49">
        <v>0</v>
      </c>
      <c r="I97" s="49">
        <v>0</v>
      </c>
      <c r="J97" s="69"/>
      <c r="K97" s="70"/>
      <c r="L97" s="83"/>
      <c r="M97" s="25"/>
      <c r="N97" s="25"/>
      <c r="O97" s="72">
        <v>0</v>
      </c>
      <c r="P97" s="73">
        <v>0</v>
      </c>
      <c r="Q97" s="73">
        <v>0</v>
      </c>
      <c r="R97" s="29"/>
    </row>
    <row r="98" spans="1:18" ht="24.6">
      <c r="A98" s="25">
        <v>4</v>
      </c>
      <c r="B98" s="29" t="s">
        <v>147</v>
      </c>
      <c r="C98" s="29"/>
      <c r="D98" s="49">
        <v>0</v>
      </c>
      <c r="E98" s="25"/>
      <c r="F98" s="25"/>
      <c r="G98" s="72">
        <v>0</v>
      </c>
      <c r="H98" s="73">
        <v>0</v>
      </c>
      <c r="I98" s="73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148</v>
      </c>
    </row>
    <row r="99" spans="1:18" ht="24.6">
      <c r="A99" s="25">
        <v>5</v>
      </c>
      <c r="B99" s="29" t="s">
        <v>149</v>
      </c>
      <c r="C99" s="29"/>
      <c r="D99" s="49">
        <v>0</v>
      </c>
      <c r="E99" s="25"/>
      <c r="F99" s="25"/>
      <c r="G99" s="72">
        <v>0</v>
      </c>
      <c r="H99" s="73">
        <v>0</v>
      </c>
      <c r="I99" s="73">
        <v>0</v>
      </c>
      <c r="J99" s="69"/>
      <c r="K99" s="70"/>
      <c r="L99" s="83"/>
      <c r="M99" s="25"/>
      <c r="N99" s="25"/>
      <c r="O99" s="72">
        <v>0</v>
      </c>
      <c r="P99" s="73">
        <v>0</v>
      </c>
      <c r="Q99" s="73">
        <v>0</v>
      </c>
      <c r="R99" s="29" t="s">
        <v>150</v>
      </c>
    </row>
    <row r="100" spans="1:18" ht="24.6">
      <c r="A100" s="25">
        <v>6</v>
      </c>
      <c r="B100" s="29" t="s">
        <v>151</v>
      </c>
      <c r="C100" s="29"/>
      <c r="D100" s="49"/>
      <c r="E100" s="25"/>
      <c r="F100" s="25"/>
      <c r="G100" s="72">
        <v>0</v>
      </c>
      <c r="H100" s="73"/>
      <c r="I100" s="73">
        <v>0</v>
      </c>
      <c r="J100" s="69"/>
      <c r="K100" s="70"/>
      <c r="L100" s="83"/>
      <c r="M100" s="25"/>
      <c r="N100" s="25"/>
      <c r="O100" s="72">
        <v>0</v>
      </c>
      <c r="P100" s="73"/>
      <c r="Q100" s="73">
        <v>0</v>
      </c>
      <c r="R100" s="29" t="s">
        <v>152</v>
      </c>
    </row>
    <row r="101" spans="1:18" ht="24.6">
      <c r="A101" s="25">
        <v>7</v>
      </c>
      <c r="B101" s="29" t="s">
        <v>153</v>
      </c>
      <c r="C101" s="29"/>
      <c r="D101" s="49"/>
      <c r="E101" s="25"/>
      <c r="F101" s="25"/>
      <c r="G101" s="72">
        <v>0</v>
      </c>
      <c r="H101" s="73"/>
      <c r="I101" s="73">
        <v>0</v>
      </c>
      <c r="J101" s="69"/>
      <c r="K101" s="70"/>
      <c r="L101" s="83"/>
      <c r="M101" s="25"/>
      <c r="N101" s="25"/>
      <c r="O101" s="72">
        <v>0</v>
      </c>
      <c r="P101" s="73"/>
      <c r="Q101" s="73">
        <v>0</v>
      </c>
      <c r="R101" s="29" t="s">
        <v>64</v>
      </c>
    </row>
    <row r="102" spans="1:18" ht="24.6">
      <c r="A102" s="25">
        <v>8</v>
      </c>
      <c r="B102" s="29" t="s">
        <v>154</v>
      </c>
      <c r="C102" s="29"/>
      <c r="D102" s="49"/>
      <c r="E102" s="25"/>
      <c r="F102" s="25"/>
      <c r="G102" s="72">
        <v>0</v>
      </c>
      <c r="H102" s="73"/>
      <c r="I102" s="73">
        <v>0</v>
      </c>
      <c r="J102" s="69"/>
      <c r="K102" s="70"/>
      <c r="L102" s="83"/>
      <c r="M102" s="25"/>
      <c r="N102" s="25"/>
      <c r="O102" s="72">
        <v>0</v>
      </c>
      <c r="P102" s="73"/>
      <c r="Q102" s="73">
        <v>0</v>
      </c>
      <c r="R102" s="29" t="s">
        <v>155</v>
      </c>
    </row>
    <row r="103" spans="1:18" ht="24.6">
      <c r="A103" s="25">
        <v>9</v>
      </c>
      <c r="B103" s="29" t="s">
        <v>156</v>
      </c>
      <c r="C103" s="29"/>
      <c r="D103" s="49"/>
      <c r="E103" s="25"/>
      <c r="F103" s="25"/>
      <c r="G103" s="72">
        <v>0</v>
      </c>
      <c r="H103" s="73"/>
      <c r="I103" s="73">
        <v>0</v>
      </c>
      <c r="J103" s="69"/>
      <c r="K103" s="70"/>
      <c r="L103" s="83"/>
      <c r="M103" s="25"/>
      <c r="N103" s="25"/>
      <c r="O103" s="72">
        <v>0</v>
      </c>
      <c r="P103" s="73"/>
      <c r="Q103" s="73">
        <v>0</v>
      </c>
      <c r="R103" s="29" t="s">
        <v>64</v>
      </c>
    </row>
    <row r="104" spans="1:18" ht="24.6">
      <c r="A104" s="25">
        <v>10</v>
      </c>
      <c r="B104" s="29" t="s">
        <v>157</v>
      </c>
      <c r="C104" s="29"/>
      <c r="D104" s="49"/>
      <c r="E104" s="25"/>
      <c r="F104" s="25"/>
      <c r="G104" s="72">
        <v>0</v>
      </c>
      <c r="H104" s="73"/>
      <c r="I104" s="73">
        <v>0</v>
      </c>
      <c r="J104" s="69"/>
      <c r="K104" s="70"/>
      <c r="L104" s="83"/>
      <c r="M104" s="25"/>
      <c r="N104" s="25"/>
      <c r="O104" s="72">
        <v>0</v>
      </c>
      <c r="P104" s="73"/>
      <c r="Q104" s="73">
        <v>0</v>
      </c>
      <c r="R104" s="29" t="s">
        <v>158</v>
      </c>
    </row>
    <row r="105" spans="1:18" ht="24.6">
      <c r="A105" s="25">
        <v>11</v>
      </c>
      <c r="B105" s="148" t="s">
        <v>159</v>
      </c>
      <c r="C105" s="29"/>
      <c r="D105" s="49">
        <v>0</v>
      </c>
      <c r="E105" s="25"/>
      <c r="F105" s="25"/>
      <c r="G105" s="72">
        <v>0</v>
      </c>
      <c r="H105" s="73">
        <v>0</v>
      </c>
      <c r="I105" s="73">
        <v>0</v>
      </c>
      <c r="J105" s="69"/>
      <c r="K105" s="83"/>
      <c r="L105" s="83"/>
      <c r="M105" s="25"/>
      <c r="N105" s="25"/>
      <c r="O105" s="72">
        <v>0</v>
      </c>
      <c r="P105" s="73">
        <v>0</v>
      </c>
      <c r="Q105" s="73">
        <v>0</v>
      </c>
      <c r="R105" s="29"/>
    </row>
    <row r="106" spans="1:18" ht="24.6">
      <c r="A106" s="25">
        <v>12</v>
      </c>
      <c r="B106" s="29" t="s">
        <v>160</v>
      </c>
      <c r="C106" s="29"/>
      <c r="D106" s="49">
        <v>0</v>
      </c>
      <c r="E106" s="25"/>
      <c r="F106" s="25"/>
      <c r="G106" s="72">
        <v>0</v>
      </c>
      <c r="H106" s="73">
        <v>0</v>
      </c>
      <c r="I106" s="73">
        <v>0</v>
      </c>
      <c r="J106" s="69"/>
      <c r="K106" s="70"/>
      <c r="L106" s="83"/>
      <c r="M106" s="25"/>
      <c r="N106" s="25"/>
      <c r="O106" s="72">
        <v>0</v>
      </c>
      <c r="P106" s="73">
        <v>0</v>
      </c>
      <c r="Q106" s="73">
        <v>0</v>
      </c>
      <c r="R106" s="149" t="s">
        <v>161</v>
      </c>
    </row>
    <row r="107" spans="1:18" ht="24.6">
      <c r="A107" s="25">
        <v>13</v>
      </c>
      <c r="B107" s="148" t="s">
        <v>162</v>
      </c>
      <c r="C107" s="29"/>
      <c r="D107" s="49">
        <v>0</v>
      </c>
      <c r="E107" s="25"/>
      <c r="F107" s="25"/>
      <c r="G107" s="72">
        <v>0</v>
      </c>
      <c r="H107" s="73">
        <v>0</v>
      </c>
      <c r="I107" s="73">
        <v>0</v>
      </c>
      <c r="J107" s="69"/>
      <c r="K107" s="70"/>
      <c r="L107" s="150"/>
      <c r="M107" s="25"/>
      <c r="N107" s="25"/>
      <c r="O107" s="72">
        <v>0</v>
      </c>
      <c r="P107" s="73">
        <v>0</v>
      </c>
      <c r="Q107" s="73">
        <v>0</v>
      </c>
      <c r="R107" s="29" t="s">
        <v>163</v>
      </c>
    </row>
    <row r="108" spans="1:18" ht="24.6">
      <c r="A108" s="25">
        <v>14</v>
      </c>
      <c r="B108" s="148" t="s">
        <v>164</v>
      </c>
      <c r="C108" s="29"/>
      <c r="D108" s="49">
        <v>0</v>
      </c>
      <c r="E108" s="25"/>
      <c r="F108" s="25"/>
      <c r="G108" s="72">
        <v>0</v>
      </c>
      <c r="H108" s="73">
        <v>0</v>
      </c>
      <c r="I108" s="73">
        <v>0</v>
      </c>
      <c r="J108" s="69"/>
      <c r="K108" s="70"/>
      <c r="L108" s="150"/>
      <c r="M108" s="25"/>
      <c r="N108" s="25"/>
      <c r="O108" s="72">
        <v>0</v>
      </c>
      <c r="P108" s="73">
        <v>0</v>
      </c>
      <c r="Q108" s="73">
        <v>0</v>
      </c>
      <c r="R108" s="29" t="s">
        <v>165</v>
      </c>
    </row>
    <row r="109" spans="1:18" ht="24.6">
      <c r="A109" s="25">
        <v>15</v>
      </c>
      <c r="B109" s="148" t="s">
        <v>166</v>
      </c>
      <c r="C109" s="29"/>
      <c r="D109" s="49">
        <v>0</v>
      </c>
      <c r="E109" s="25"/>
      <c r="F109" s="25"/>
      <c r="G109" s="72">
        <v>0</v>
      </c>
      <c r="H109" s="73">
        <v>0</v>
      </c>
      <c r="I109" s="73">
        <v>0</v>
      </c>
      <c r="J109" s="69"/>
      <c r="K109" s="70"/>
      <c r="L109" s="150"/>
      <c r="M109" s="25"/>
      <c r="N109" s="25"/>
      <c r="O109" s="72">
        <v>0</v>
      </c>
      <c r="P109" s="73">
        <v>0</v>
      </c>
      <c r="Q109" s="73">
        <v>0</v>
      </c>
      <c r="R109" s="29" t="s">
        <v>64</v>
      </c>
    </row>
    <row r="110" spans="1:18" ht="18.75" customHeight="1">
      <c r="A110" s="3">
        <v>16</v>
      </c>
      <c r="B110" s="151" t="s">
        <v>167</v>
      </c>
      <c r="C110" s="29"/>
      <c r="D110" s="49">
        <v>0</v>
      </c>
      <c r="E110" s="25"/>
      <c r="F110" s="25"/>
      <c r="G110" s="72">
        <v>0</v>
      </c>
      <c r="H110" s="73">
        <v>0</v>
      </c>
      <c r="I110" s="73">
        <v>0</v>
      </c>
      <c r="J110" s="69"/>
      <c r="K110" s="70"/>
      <c r="L110" s="150"/>
      <c r="M110" s="25"/>
      <c r="N110" s="25"/>
      <c r="O110" s="72">
        <v>0</v>
      </c>
      <c r="P110" s="73">
        <v>0</v>
      </c>
      <c r="Q110" s="73">
        <v>0</v>
      </c>
      <c r="R110" s="29" t="s">
        <v>145</v>
      </c>
    </row>
    <row r="111" spans="1:18" ht="25.2" thickBot="1">
      <c r="A111" s="29"/>
      <c r="B111" s="25" t="s">
        <v>26</v>
      </c>
      <c r="C111" s="64"/>
      <c r="D111" s="63">
        <f>SUM(D78:D110)</f>
        <v>14900</v>
      </c>
      <c r="E111" s="63"/>
      <c r="F111" s="63"/>
      <c r="G111" s="63">
        <f>SUM(G78:G110)</f>
        <v>6100</v>
      </c>
      <c r="H111" s="63">
        <f>SUM(H78:H110)</f>
        <v>0</v>
      </c>
      <c r="I111" s="63">
        <f>SUM(I78:I110)</f>
        <v>6100</v>
      </c>
      <c r="J111" s="67"/>
      <c r="K111" s="67"/>
      <c r="L111" s="67">
        <f>SUM(L78:L110)</f>
        <v>14900</v>
      </c>
      <c r="M111" s="63"/>
      <c r="N111" s="105"/>
      <c r="O111" s="106">
        <f>SUM(O78:O110)</f>
        <v>6100</v>
      </c>
      <c r="P111" s="106">
        <f>SUM(P78:P110)</f>
        <v>0</v>
      </c>
      <c r="Q111" s="106">
        <f>SUM(Q78:Q110)</f>
        <v>6100</v>
      </c>
      <c r="R111" s="29"/>
    </row>
    <row r="112" spans="1:18" ht="25.2" thickTop="1">
      <c r="A112" s="29"/>
      <c r="B112" s="25"/>
      <c r="C112" s="46"/>
      <c r="D112" s="57"/>
      <c r="E112" s="46"/>
      <c r="F112" s="46"/>
      <c r="G112" s="57"/>
      <c r="H112" s="57"/>
      <c r="I112" s="57"/>
      <c r="J112" s="137"/>
      <c r="K112" s="48"/>
      <c r="L112" s="58"/>
      <c r="M112" s="46"/>
      <c r="N112" s="28"/>
      <c r="O112" s="57"/>
      <c r="P112" s="57"/>
      <c r="Q112" s="57"/>
      <c r="R112" s="46"/>
    </row>
    <row r="113" spans="1:20" ht="24.6">
      <c r="A113" s="29"/>
      <c r="B113" s="45" t="s">
        <v>168</v>
      </c>
      <c r="C113" s="29"/>
      <c r="D113" s="59"/>
      <c r="E113" s="29"/>
      <c r="F113" s="29"/>
      <c r="G113" s="59"/>
      <c r="H113" s="59"/>
      <c r="I113" s="59"/>
      <c r="J113" s="26"/>
      <c r="K113" s="61"/>
      <c r="L113" s="62"/>
      <c r="M113" s="29"/>
      <c r="N113" s="25"/>
      <c r="O113" s="59"/>
      <c r="P113" s="59"/>
      <c r="Q113" s="59"/>
      <c r="R113" s="46"/>
    </row>
    <row r="114" spans="1:20" ht="25.2" thickBot="1">
      <c r="A114" s="25">
        <v>1</v>
      </c>
      <c r="B114" s="25"/>
      <c r="C114" s="74"/>
      <c r="D114" s="78"/>
      <c r="E114" s="74"/>
      <c r="F114" s="74"/>
      <c r="G114" s="78"/>
      <c r="H114" s="78"/>
      <c r="I114" s="78"/>
      <c r="J114" s="35"/>
      <c r="K114" s="76"/>
      <c r="L114" s="77"/>
      <c r="M114" s="74"/>
      <c r="N114" s="34"/>
      <c r="O114" s="78"/>
      <c r="P114" s="78"/>
      <c r="Q114" s="78"/>
      <c r="R114" s="46"/>
    </row>
    <row r="115" spans="1:20" ht="25.8" thickTop="1" thickBot="1">
      <c r="A115" s="29"/>
      <c r="B115" s="25" t="s">
        <v>26</v>
      </c>
      <c r="C115" s="64"/>
      <c r="D115" s="63"/>
      <c r="E115" s="64"/>
      <c r="F115" s="64"/>
      <c r="G115" s="63"/>
      <c r="H115" s="63"/>
      <c r="I115" s="63"/>
      <c r="J115" s="42"/>
      <c r="K115" s="66"/>
      <c r="L115" s="67"/>
      <c r="M115" s="64"/>
      <c r="N115" s="41"/>
      <c r="O115" s="63"/>
      <c r="P115" s="63"/>
      <c r="Q115" s="63"/>
      <c r="R115" s="46"/>
    </row>
    <row r="116" spans="1:20" ht="25.2" thickTop="1">
      <c r="A116" s="29"/>
      <c r="B116" s="45" t="s">
        <v>169</v>
      </c>
      <c r="C116" s="46"/>
      <c r="D116" s="57"/>
      <c r="E116" s="46"/>
      <c r="F116" s="46"/>
      <c r="G116" s="57"/>
      <c r="H116" s="57"/>
      <c r="I116" s="57"/>
      <c r="J116" s="137"/>
      <c r="K116" s="48"/>
      <c r="L116" s="58"/>
      <c r="M116" s="46"/>
      <c r="N116" s="28"/>
      <c r="O116" s="57"/>
      <c r="P116" s="57"/>
      <c r="Q116" s="57"/>
      <c r="R116" s="46"/>
    </row>
    <row r="117" spans="1:20" ht="25.2" thickBot="1">
      <c r="A117" s="25">
        <v>1</v>
      </c>
      <c r="B117" s="25"/>
      <c r="C117" s="74"/>
      <c r="D117" s="78"/>
      <c r="E117" s="74"/>
      <c r="F117" s="74"/>
      <c r="G117" s="78"/>
      <c r="H117" s="78"/>
      <c r="I117" s="78"/>
      <c r="J117" s="35"/>
      <c r="K117" s="76"/>
      <c r="L117" s="77"/>
      <c r="M117" s="74"/>
      <c r="N117" s="34"/>
      <c r="O117" s="78"/>
      <c r="P117" s="78"/>
      <c r="Q117" s="78"/>
      <c r="R117" s="46"/>
    </row>
    <row r="118" spans="1:20" ht="25.8" thickTop="1" thickBot="1">
      <c r="A118" s="29"/>
      <c r="B118" s="25" t="s">
        <v>26</v>
      </c>
      <c r="C118" s="79"/>
      <c r="D118" s="54"/>
      <c r="E118" s="79"/>
      <c r="F118" s="79"/>
      <c r="G118" s="54"/>
      <c r="H118" s="54"/>
      <c r="I118" s="54"/>
      <c r="J118" s="152"/>
      <c r="K118" s="81"/>
      <c r="L118" s="55"/>
      <c r="M118" s="79"/>
      <c r="N118" s="82"/>
      <c r="O118" s="54"/>
      <c r="P118" s="54"/>
      <c r="Q118" s="54"/>
      <c r="R118" s="46"/>
    </row>
    <row r="119" spans="1:20" ht="25.2" thickTop="1">
      <c r="A119" s="29"/>
      <c r="B119" s="45" t="s">
        <v>170</v>
      </c>
      <c r="C119" s="46"/>
      <c r="D119" s="57"/>
      <c r="E119" s="46"/>
      <c r="F119" s="46"/>
      <c r="G119" s="57"/>
      <c r="H119" s="57"/>
      <c r="I119" s="57"/>
      <c r="J119" s="137"/>
      <c r="K119" s="48"/>
      <c r="L119" s="58"/>
      <c r="M119" s="46"/>
      <c r="N119" s="28"/>
      <c r="O119" s="57"/>
      <c r="P119" s="57"/>
      <c r="Q119" s="57"/>
      <c r="R119" s="46"/>
    </row>
    <row r="120" spans="1:20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20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20" ht="25.2" thickTop="1">
      <c r="A122" s="29"/>
      <c r="B122" s="116" t="s">
        <v>171</v>
      </c>
      <c r="C122" s="46"/>
      <c r="D122" s="46"/>
      <c r="E122" s="46"/>
      <c r="F122" s="46"/>
      <c r="G122" s="46"/>
      <c r="H122" s="46"/>
      <c r="I122" s="46"/>
      <c r="J122" s="137"/>
      <c r="K122" s="48"/>
      <c r="L122" s="48"/>
      <c r="M122" s="46"/>
      <c r="N122" s="28"/>
      <c r="O122" s="46"/>
      <c r="P122" s="46"/>
      <c r="Q122" s="46"/>
      <c r="R122" s="46"/>
    </row>
    <row r="123" spans="1:20" ht="24.6">
      <c r="A123" s="29"/>
      <c r="B123" s="116" t="s">
        <v>53</v>
      </c>
      <c r="C123" s="46"/>
      <c r="D123" s="46"/>
      <c r="E123" s="46"/>
      <c r="F123" s="46"/>
      <c r="G123" s="46"/>
      <c r="H123" s="46"/>
      <c r="I123" s="46"/>
      <c r="J123" s="137"/>
      <c r="K123" s="48"/>
      <c r="L123" s="48"/>
      <c r="M123" s="46"/>
      <c r="N123" s="28"/>
      <c r="O123" s="46"/>
      <c r="P123" s="46"/>
      <c r="Q123" s="46"/>
      <c r="R123" s="46"/>
    </row>
    <row r="124" spans="1:20" s="96" customFormat="1" ht="24.6">
      <c r="A124" s="86">
        <v>1</v>
      </c>
      <c r="B124" s="87" t="s">
        <v>54</v>
      </c>
      <c r="C124" s="87"/>
      <c r="D124" s="89">
        <v>0</v>
      </c>
      <c r="E124" s="87"/>
      <c r="F124" s="87" t="s">
        <v>172</v>
      </c>
      <c r="G124" s="89">
        <v>0</v>
      </c>
      <c r="H124" s="89">
        <v>0</v>
      </c>
      <c r="I124" s="89">
        <v>0</v>
      </c>
      <c r="J124" s="153"/>
      <c r="K124" s="154"/>
      <c r="L124" s="155"/>
      <c r="M124" s="87"/>
      <c r="N124" s="86" t="s">
        <v>172</v>
      </c>
      <c r="O124" s="72">
        <v>0</v>
      </c>
      <c r="P124" s="73">
        <v>0</v>
      </c>
      <c r="Q124" s="73">
        <v>0</v>
      </c>
      <c r="R124" s="87" t="s">
        <v>173</v>
      </c>
      <c r="T124" s="97"/>
    </row>
    <row r="125" spans="1:20" ht="24.6">
      <c r="A125" s="25">
        <v>2</v>
      </c>
      <c r="B125" s="29" t="s">
        <v>174</v>
      </c>
      <c r="C125" s="29"/>
      <c r="D125" s="49">
        <v>0</v>
      </c>
      <c r="E125" s="29"/>
      <c r="F125" s="156"/>
      <c r="G125" s="157">
        <v>0</v>
      </c>
      <c r="H125" s="157">
        <v>0</v>
      </c>
      <c r="I125" s="157">
        <v>0</v>
      </c>
      <c r="J125" s="26"/>
      <c r="K125" s="16"/>
      <c r="L125" s="51"/>
      <c r="M125" s="29"/>
      <c r="N125" s="25"/>
      <c r="O125" s="72">
        <v>0</v>
      </c>
      <c r="P125" s="73">
        <v>0</v>
      </c>
      <c r="Q125" s="73">
        <v>0</v>
      </c>
      <c r="R125" s="29" t="s">
        <v>173</v>
      </c>
    </row>
    <row r="126" spans="1:20" ht="24.6">
      <c r="A126" s="25">
        <v>3</v>
      </c>
      <c r="B126" s="29" t="s">
        <v>175</v>
      </c>
      <c r="C126" s="29"/>
      <c r="D126" s="49">
        <v>0</v>
      </c>
      <c r="E126" s="29"/>
      <c r="F126" s="29"/>
      <c r="G126" s="49">
        <v>0</v>
      </c>
      <c r="H126" s="49">
        <v>0</v>
      </c>
      <c r="I126" s="49">
        <v>0</v>
      </c>
      <c r="J126" s="26"/>
      <c r="K126" s="61"/>
      <c r="L126" s="51"/>
      <c r="M126" s="29"/>
      <c r="N126" s="25"/>
      <c r="O126" s="72">
        <v>0</v>
      </c>
      <c r="P126" s="73">
        <v>0</v>
      </c>
      <c r="Q126" s="73">
        <v>0</v>
      </c>
      <c r="R126" s="29" t="s">
        <v>176</v>
      </c>
    </row>
    <row r="127" spans="1:20" ht="24.6">
      <c r="A127" s="25"/>
      <c r="B127" s="29" t="s">
        <v>177</v>
      </c>
      <c r="C127" s="29"/>
      <c r="D127" s="49"/>
      <c r="E127" s="29"/>
      <c r="F127" s="29"/>
      <c r="G127" s="49">
        <v>0</v>
      </c>
      <c r="H127" s="49">
        <v>0</v>
      </c>
      <c r="I127" s="49">
        <v>0</v>
      </c>
      <c r="J127" s="26"/>
      <c r="K127" s="61"/>
      <c r="L127" s="51"/>
      <c r="M127" s="29"/>
      <c r="N127" s="25"/>
      <c r="O127" s="72">
        <v>0</v>
      </c>
      <c r="P127" s="73">
        <v>0</v>
      </c>
      <c r="Q127" s="73">
        <v>0</v>
      </c>
      <c r="R127" s="29" t="s">
        <v>178</v>
      </c>
    </row>
    <row r="128" spans="1:20" ht="24.6">
      <c r="A128" s="25"/>
      <c r="B128" s="29"/>
      <c r="C128" s="29"/>
      <c r="D128" s="49"/>
      <c r="E128" s="29"/>
      <c r="F128" s="29"/>
      <c r="G128" s="49"/>
      <c r="H128" s="49"/>
      <c r="I128" s="49"/>
      <c r="J128" s="26"/>
      <c r="K128" s="61"/>
      <c r="L128" s="51"/>
      <c r="M128" s="29"/>
      <c r="N128" s="25"/>
      <c r="O128" s="72"/>
      <c r="P128" s="73"/>
      <c r="Q128" s="73"/>
      <c r="R128" s="29" t="s">
        <v>179</v>
      </c>
    </row>
    <row r="129" spans="1:20" ht="24.6">
      <c r="A129" s="25">
        <v>4</v>
      </c>
      <c r="B129" s="29" t="s">
        <v>62</v>
      </c>
      <c r="C129" s="29"/>
      <c r="D129" s="49">
        <v>0</v>
      </c>
      <c r="E129" s="29"/>
      <c r="F129" s="29"/>
      <c r="G129" s="49">
        <v>0</v>
      </c>
      <c r="H129" s="49">
        <v>0</v>
      </c>
      <c r="I129" s="49">
        <v>0</v>
      </c>
      <c r="J129" s="26"/>
      <c r="K129" s="16"/>
      <c r="L129" s="51"/>
      <c r="M129" s="29"/>
      <c r="N129" s="25"/>
      <c r="O129" s="72">
        <v>0</v>
      </c>
      <c r="P129" s="73">
        <v>0</v>
      </c>
      <c r="Q129" s="73">
        <v>0</v>
      </c>
      <c r="R129" s="29"/>
    </row>
    <row r="130" spans="1:20" ht="24.6">
      <c r="A130" s="25">
        <v>5</v>
      </c>
      <c r="B130" s="29" t="s">
        <v>180</v>
      </c>
      <c r="C130" s="29"/>
      <c r="D130" s="49">
        <v>0</v>
      </c>
      <c r="E130" s="29"/>
      <c r="F130" s="29" t="s">
        <v>172</v>
      </c>
      <c r="G130" s="49">
        <v>0</v>
      </c>
      <c r="H130" s="49">
        <v>0</v>
      </c>
      <c r="I130" s="49">
        <v>0</v>
      </c>
      <c r="J130" s="26"/>
      <c r="K130" s="61"/>
      <c r="L130" s="51"/>
      <c r="M130" s="29"/>
      <c r="N130" s="25" t="s">
        <v>172</v>
      </c>
      <c r="O130" s="72">
        <v>0</v>
      </c>
      <c r="P130" s="73">
        <v>0</v>
      </c>
      <c r="Q130" s="73">
        <v>0</v>
      </c>
      <c r="R130" s="29" t="s">
        <v>176</v>
      </c>
    </row>
    <row r="131" spans="1:20" ht="24.6">
      <c r="A131" s="25"/>
      <c r="B131" s="29" t="s">
        <v>181</v>
      </c>
      <c r="C131" s="29"/>
      <c r="D131" s="49"/>
      <c r="E131" s="29"/>
      <c r="F131" s="29"/>
      <c r="G131" s="49"/>
      <c r="H131" s="49"/>
      <c r="I131" s="49"/>
      <c r="J131" s="26"/>
      <c r="K131" s="61"/>
      <c r="L131" s="51"/>
      <c r="M131" s="29"/>
      <c r="N131" s="25"/>
      <c r="O131" s="59"/>
      <c r="P131" s="49"/>
      <c r="Q131" s="59"/>
      <c r="R131" s="29" t="s">
        <v>178</v>
      </c>
    </row>
    <row r="132" spans="1:20" ht="24.6">
      <c r="A132" s="25"/>
      <c r="B132" s="29"/>
      <c r="C132" s="29"/>
      <c r="D132" s="49"/>
      <c r="E132" s="29"/>
      <c r="F132" s="29"/>
      <c r="G132" s="49"/>
      <c r="H132" s="49"/>
      <c r="I132" s="49"/>
      <c r="J132" s="26"/>
      <c r="K132" s="61"/>
      <c r="L132" s="51"/>
      <c r="M132" s="29"/>
      <c r="N132" s="25"/>
      <c r="O132" s="59"/>
      <c r="P132" s="49"/>
      <c r="Q132" s="59"/>
      <c r="R132" s="29" t="s">
        <v>179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59"/>
      <c r="P133" s="49"/>
      <c r="Q133" s="59"/>
      <c r="R133" s="29" t="s">
        <v>182</v>
      </c>
    </row>
    <row r="134" spans="1:20" ht="24.6">
      <c r="A134" s="25">
        <v>6</v>
      </c>
      <c r="B134" s="29" t="s">
        <v>183</v>
      </c>
      <c r="C134" s="29"/>
      <c r="D134" s="158" t="s">
        <v>172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61"/>
      <c r="L134" s="51"/>
      <c r="M134" s="29"/>
      <c r="N134" s="25"/>
      <c r="O134" s="159">
        <v>0</v>
      </c>
      <c r="P134" s="73">
        <v>0</v>
      </c>
      <c r="Q134" s="73">
        <v>0</v>
      </c>
      <c r="R134" s="29" t="s">
        <v>184</v>
      </c>
    </row>
    <row r="135" spans="1:20" ht="24.6">
      <c r="A135" s="25"/>
      <c r="B135" s="29"/>
      <c r="C135" s="29"/>
      <c r="D135" s="49"/>
      <c r="E135" s="29"/>
      <c r="F135" s="29"/>
      <c r="G135" s="49"/>
      <c r="H135" s="49"/>
      <c r="I135" s="49"/>
      <c r="J135" s="26"/>
      <c r="K135" s="61"/>
      <c r="L135" s="51"/>
      <c r="M135" s="29"/>
      <c r="N135" s="25"/>
      <c r="O135" s="59"/>
      <c r="P135" s="49"/>
      <c r="Q135" s="59"/>
      <c r="R135" s="29" t="s">
        <v>185</v>
      </c>
    </row>
    <row r="136" spans="1:20" ht="24.6">
      <c r="A136" s="25"/>
      <c r="B136" s="29"/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186</v>
      </c>
    </row>
    <row r="137" spans="1:20" ht="24.6">
      <c r="A137" s="25">
        <v>7</v>
      </c>
      <c r="B137" s="29" t="s">
        <v>70</v>
      </c>
      <c r="C137" s="29"/>
      <c r="D137" s="49">
        <v>0</v>
      </c>
      <c r="E137" s="29"/>
      <c r="F137" s="29"/>
      <c r="G137" s="49">
        <v>0</v>
      </c>
      <c r="H137" s="49">
        <v>0</v>
      </c>
      <c r="I137" s="49">
        <v>0</v>
      </c>
      <c r="J137" s="26"/>
      <c r="K137" s="16"/>
      <c r="L137" s="51"/>
      <c r="M137" s="29"/>
      <c r="N137" s="25"/>
      <c r="O137" s="72">
        <v>0</v>
      </c>
      <c r="P137" s="73">
        <v>0</v>
      </c>
      <c r="Q137" s="73">
        <v>0</v>
      </c>
      <c r="R137" s="29" t="s">
        <v>187</v>
      </c>
    </row>
    <row r="138" spans="1:20" ht="24.6">
      <c r="A138" s="25">
        <v>8</v>
      </c>
      <c r="B138" s="29" t="s">
        <v>188</v>
      </c>
      <c r="C138" s="29"/>
      <c r="D138" s="49">
        <v>0</v>
      </c>
      <c r="E138" s="29"/>
      <c r="F138" s="29"/>
      <c r="G138" s="49">
        <v>0</v>
      </c>
      <c r="H138" s="49">
        <v>0</v>
      </c>
      <c r="I138" s="49">
        <v>0</v>
      </c>
      <c r="J138" s="26"/>
      <c r="K138" s="16"/>
      <c r="L138" s="51"/>
      <c r="M138" s="29"/>
      <c r="N138" s="25"/>
      <c r="O138" s="72">
        <v>0</v>
      </c>
      <c r="P138" s="73">
        <v>0</v>
      </c>
      <c r="Q138" s="73">
        <v>0</v>
      </c>
      <c r="R138" s="29" t="s">
        <v>187</v>
      </c>
    </row>
    <row r="139" spans="1:20" ht="24.6">
      <c r="A139" s="25">
        <v>9</v>
      </c>
      <c r="B139" s="29" t="s">
        <v>189</v>
      </c>
      <c r="C139" s="29"/>
      <c r="D139" s="49">
        <v>0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72">
        <v>0</v>
      </c>
      <c r="P139" s="73">
        <v>0</v>
      </c>
      <c r="Q139" s="73">
        <v>0</v>
      </c>
      <c r="R139" s="29" t="s">
        <v>190</v>
      </c>
      <c r="T139" s="2" t="s">
        <v>191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192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187</v>
      </c>
    </row>
    <row r="142" spans="1:20" ht="24.6">
      <c r="A142" s="25">
        <v>10</v>
      </c>
      <c r="B142" s="29" t="s">
        <v>193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61"/>
      <c r="L142" s="51"/>
      <c r="M142" s="29"/>
      <c r="N142" s="25"/>
      <c r="O142" s="72">
        <v>0</v>
      </c>
      <c r="P142" s="73">
        <v>0</v>
      </c>
      <c r="Q142" s="73">
        <v>0</v>
      </c>
      <c r="R142" s="29" t="s">
        <v>194</v>
      </c>
    </row>
    <row r="143" spans="1:20" ht="24.6">
      <c r="A143" s="25">
        <v>11</v>
      </c>
      <c r="B143" s="29" t="s">
        <v>78</v>
      </c>
      <c r="C143" s="29"/>
      <c r="D143" s="49"/>
      <c r="E143" s="29"/>
      <c r="F143" s="29"/>
      <c r="G143" s="49">
        <v>0</v>
      </c>
      <c r="H143" s="49">
        <v>0</v>
      </c>
      <c r="I143" s="49">
        <v>0</v>
      </c>
      <c r="J143" s="160"/>
      <c r="K143" s="50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195</v>
      </c>
    </row>
    <row r="144" spans="1:20" ht="24.6">
      <c r="A144" s="25">
        <v>12</v>
      </c>
      <c r="B144" s="29" t="s">
        <v>196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/>
    </row>
    <row r="145" spans="1:18" ht="24.6">
      <c r="A145" s="25">
        <v>13</v>
      </c>
      <c r="B145" s="29" t="s">
        <v>83</v>
      </c>
      <c r="C145" s="29"/>
      <c r="D145" s="49"/>
      <c r="E145" s="29"/>
      <c r="F145" s="29"/>
      <c r="G145" s="49">
        <v>0</v>
      </c>
      <c r="H145" s="49">
        <v>0</v>
      </c>
      <c r="I145" s="49">
        <v>0</v>
      </c>
      <c r="J145" s="26"/>
      <c r="K145" s="50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195</v>
      </c>
    </row>
    <row r="146" spans="1:18" ht="24.6">
      <c r="A146" s="25">
        <v>14</v>
      </c>
      <c r="B146" s="29" t="s">
        <v>85</v>
      </c>
      <c r="C146" s="29"/>
      <c r="D146" s="49">
        <v>0</v>
      </c>
      <c r="E146" s="29"/>
      <c r="F146" s="29" t="s">
        <v>172</v>
      </c>
      <c r="G146" s="49">
        <v>0</v>
      </c>
      <c r="H146" s="49">
        <v>0</v>
      </c>
      <c r="I146" s="49">
        <v>0</v>
      </c>
      <c r="J146" s="26"/>
      <c r="K146" s="61"/>
      <c r="L146" s="51"/>
      <c r="M146" s="29"/>
      <c r="N146" s="25" t="s">
        <v>172</v>
      </c>
      <c r="O146" s="72">
        <v>0</v>
      </c>
      <c r="P146" s="73">
        <v>0</v>
      </c>
      <c r="Q146" s="73">
        <v>0</v>
      </c>
      <c r="R146" s="29"/>
    </row>
    <row r="147" spans="1:18" ht="24.6">
      <c r="A147" s="25">
        <v>15</v>
      </c>
      <c r="B147" s="29" t="s">
        <v>197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72">
        <v>0</v>
      </c>
      <c r="P147" s="73">
        <v>0</v>
      </c>
      <c r="Q147" s="73">
        <v>0</v>
      </c>
      <c r="R147" s="29" t="s">
        <v>198</v>
      </c>
    </row>
    <row r="148" spans="1:18" ht="24.6">
      <c r="A148" s="25">
        <v>16</v>
      </c>
      <c r="B148" s="29" t="s">
        <v>199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200</v>
      </c>
    </row>
    <row r="149" spans="1:18" ht="24.6">
      <c r="A149" s="25"/>
      <c r="B149" s="116" t="s">
        <v>89</v>
      </c>
      <c r="C149" s="29"/>
      <c r="D149" s="49"/>
      <c r="E149" s="29"/>
      <c r="F149" s="29"/>
      <c r="G149" s="49"/>
      <c r="H149" s="49"/>
      <c r="I149" s="49"/>
      <c r="J149" s="26"/>
      <c r="K149" s="61"/>
      <c r="L149" s="51"/>
      <c r="M149" s="29"/>
      <c r="N149" s="25"/>
      <c r="O149" s="59"/>
      <c r="P149" s="49"/>
      <c r="Q149" s="59"/>
      <c r="R149" s="29"/>
    </row>
    <row r="150" spans="1:18" ht="24" customHeight="1">
      <c r="A150" s="25">
        <v>16</v>
      </c>
      <c r="B150" s="29" t="s">
        <v>62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18" ht="22.5" customHeight="1">
      <c r="A151" s="25">
        <v>17</v>
      </c>
      <c r="B151" s="25" t="s">
        <v>57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16"/>
      <c r="L151" s="51"/>
      <c r="M151" s="29"/>
      <c r="N151" s="25"/>
      <c r="O151" s="72">
        <v>0</v>
      </c>
      <c r="P151" s="73">
        <v>0</v>
      </c>
      <c r="Q151" s="73">
        <v>0</v>
      </c>
      <c r="R151" s="29"/>
    </row>
    <row r="152" spans="1:18" ht="22.5" customHeight="1">
      <c r="A152" s="25">
        <v>18</v>
      </c>
      <c r="B152" s="29" t="s">
        <v>93</v>
      </c>
      <c r="C152" s="29"/>
      <c r="D152" s="49"/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59">
        <v>0</v>
      </c>
      <c r="P152" s="49">
        <v>0</v>
      </c>
      <c r="Q152" s="59">
        <v>0</v>
      </c>
      <c r="R152" s="29" t="s">
        <v>201</v>
      </c>
    </row>
    <row r="153" spans="1:18" ht="24.6">
      <c r="A153" s="25">
        <v>19</v>
      </c>
      <c r="B153" s="25" t="s">
        <v>57</v>
      </c>
      <c r="C153" s="29"/>
      <c r="D153" s="49"/>
      <c r="E153" s="29"/>
      <c r="F153" s="29"/>
      <c r="G153" s="49"/>
      <c r="H153" s="49"/>
      <c r="I153" s="49"/>
      <c r="J153" s="26"/>
      <c r="K153" s="61"/>
      <c r="L153" s="51"/>
      <c r="M153" s="29"/>
      <c r="N153" s="25"/>
      <c r="O153" s="59"/>
      <c r="P153" s="49"/>
      <c r="Q153" s="59"/>
      <c r="R153" s="29"/>
    </row>
    <row r="154" spans="1:18" ht="24.6">
      <c r="A154" s="25">
        <v>20</v>
      </c>
      <c r="B154" s="29" t="s">
        <v>40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203</v>
      </c>
    </row>
    <row r="155" spans="1:18" ht="24.6">
      <c r="A155" s="28"/>
      <c r="B155" s="124" t="s">
        <v>97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18" ht="24.6">
      <c r="A156" s="28">
        <v>21</v>
      </c>
      <c r="B156" s="119" t="s">
        <v>98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18" ht="24.6">
      <c r="A157" s="28"/>
      <c r="B157" s="161" t="s">
        <v>204</v>
      </c>
      <c r="C157" s="29"/>
      <c r="D157" s="49"/>
      <c r="E157" s="29"/>
      <c r="F157" s="29"/>
      <c r="G157" s="49"/>
      <c r="H157" s="49"/>
      <c r="I157" s="49"/>
      <c r="J157" s="26"/>
      <c r="K157" s="61"/>
      <c r="L157" s="51"/>
      <c r="M157" s="29"/>
      <c r="N157" s="25"/>
      <c r="O157" s="59"/>
      <c r="P157" s="49"/>
      <c r="Q157" s="59"/>
      <c r="R157" s="29"/>
    </row>
    <row r="158" spans="1:18" ht="24.6">
      <c r="A158" s="28">
        <v>1</v>
      </c>
      <c r="B158" s="46" t="s">
        <v>166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72">
        <v>0</v>
      </c>
      <c r="P158" s="73">
        <v>0</v>
      </c>
      <c r="Q158" s="73">
        <v>0</v>
      </c>
      <c r="R158" s="29"/>
    </row>
    <row r="159" spans="1:18" ht="24.6">
      <c r="A159" s="28">
        <v>2</v>
      </c>
      <c r="B159" s="46" t="s">
        <v>167</v>
      </c>
      <c r="C159" s="29"/>
      <c r="D159" s="49"/>
      <c r="E159" s="29"/>
      <c r="F159" s="29"/>
      <c r="G159" s="49">
        <v>0</v>
      </c>
      <c r="H159" s="49">
        <v>0</v>
      </c>
      <c r="I159" s="49">
        <v>0</v>
      </c>
      <c r="J159" s="26"/>
      <c r="K159" s="61"/>
      <c r="L159" s="51"/>
      <c r="M159" s="29"/>
      <c r="N159" s="25"/>
      <c r="O159" s="72">
        <v>0</v>
      </c>
      <c r="P159" s="73">
        <v>0</v>
      </c>
      <c r="Q159" s="73">
        <v>0</v>
      </c>
      <c r="R159" s="29"/>
    </row>
    <row r="160" spans="1:18" ht="24.6">
      <c r="A160" s="28"/>
      <c r="B160" s="161" t="s">
        <v>205</v>
      </c>
      <c r="C160" s="109"/>
      <c r="D160" s="162"/>
      <c r="E160" s="109"/>
      <c r="F160" s="109"/>
      <c r="G160" s="162"/>
      <c r="H160" s="162"/>
      <c r="I160" s="162"/>
      <c r="J160" s="163"/>
      <c r="K160" s="113"/>
      <c r="L160" s="164"/>
      <c r="M160" s="109"/>
      <c r="N160" s="115"/>
      <c r="O160" s="59"/>
      <c r="P160" s="162"/>
      <c r="Q160" s="111"/>
      <c r="R160" s="29"/>
    </row>
    <row r="161" spans="1:18" ht="24.6">
      <c r="A161" s="28">
        <v>1</v>
      </c>
      <c r="B161" s="46" t="s">
        <v>32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206</v>
      </c>
    </row>
    <row r="162" spans="1:18" ht="25.2" thickBot="1">
      <c r="A162" s="28">
        <v>2</v>
      </c>
      <c r="B162" s="46" t="s">
        <v>207</v>
      </c>
      <c r="C162" s="109"/>
      <c r="D162" s="162"/>
      <c r="E162" s="109"/>
      <c r="F162" s="109"/>
      <c r="G162" s="49">
        <v>0</v>
      </c>
      <c r="H162" s="49">
        <v>0</v>
      </c>
      <c r="I162" s="49">
        <v>0</v>
      </c>
      <c r="J162" s="163"/>
      <c r="K162" s="113"/>
      <c r="L162" s="164"/>
      <c r="M162" s="109"/>
      <c r="N162" s="115"/>
      <c r="O162" s="72">
        <v>0</v>
      </c>
      <c r="P162" s="73">
        <v>0</v>
      </c>
      <c r="Q162" s="73">
        <v>0</v>
      </c>
      <c r="R162" s="29"/>
    </row>
    <row r="163" spans="1:18" ht="25.8" thickTop="1" thickBot="1">
      <c r="A163" s="46"/>
      <c r="B163" s="28" t="s">
        <v>26</v>
      </c>
      <c r="C163" s="79"/>
      <c r="D163" s="165"/>
      <c r="E163" s="165"/>
      <c r="F163" s="165"/>
      <c r="G163" s="165">
        <v>0</v>
      </c>
      <c r="H163" s="165">
        <v>0</v>
      </c>
      <c r="I163" s="165">
        <v>0</v>
      </c>
      <c r="J163" s="166"/>
      <c r="K163" s="166"/>
      <c r="L163" s="166"/>
      <c r="M163" s="165"/>
      <c r="N163" s="167"/>
      <c r="O163" s="165">
        <v>0</v>
      </c>
      <c r="P163" s="165">
        <v>0</v>
      </c>
      <c r="Q163" s="165">
        <v>0</v>
      </c>
      <c r="R163" s="29"/>
    </row>
    <row r="164" spans="1:18" ht="25.2" thickTop="1">
      <c r="A164" s="46"/>
      <c r="B164" s="168" t="s">
        <v>208</v>
      </c>
      <c r="C164" s="46"/>
      <c r="D164" s="98"/>
      <c r="E164" s="46"/>
      <c r="F164" s="46"/>
      <c r="G164" s="57"/>
      <c r="H164" s="57"/>
      <c r="I164" s="57"/>
      <c r="J164" s="137"/>
      <c r="K164" s="48"/>
      <c r="L164" s="169"/>
      <c r="M164" s="46"/>
      <c r="N164" s="28"/>
      <c r="O164" s="57"/>
      <c r="P164" s="57"/>
      <c r="Q164" s="57"/>
      <c r="R164" s="46"/>
    </row>
    <row r="165" spans="1:18" ht="25.2" thickBot="1">
      <c r="A165" s="28">
        <v>1</v>
      </c>
      <c r="B165" s="28"/>
      <c r="C165" s="74"/>
      <c r="D165" s="110"/>
      <c r="E165" s="74"/>
      <c r="F165" s="74"/>
      <c r="G165" s="78"/>
      <c r="H165" s="78"/>
      <c r="I165" s="78"/>
      <c r="J165" s="35"/>
      <c r="K165" s="76"/>
      <c r="L165" s="170"/>
      <c r="M165" s="74"/>
      <c r="N165" s="34"/>
      <c r="O165" s="78"/>
      <c r="P165" s="78"/>
      <c r="Q165" s="78"/>
      <c r="R165" s="46"/>
    </row>
    <row r="166" spans="1:18" ht="25.2" thickTop="1">
      <c r="A166" s="46"/>
      <c r="B166" s="28" t="s">
        <v>26</v>
      </c>
      <c r="C166" s="109"/>
      <c r="D166" s="162"/>
      <c r="E166" s="109"/>
      <c r="F166" s="109"/>
      <c r="G166" s="111"/>
      <c r="H166" s="111"/>
      <c r="I166" s="111"/>
      <c r="J166" s="163"/>
      <c r="K166" s="113"/>
      <c r="L166" s="164"/>
      <c r="M166" s="109"/>
      <c r="N166" s="115"/>
      <c r="O166" s="111"/>
      <c r="P166" s="111"/>
      <c r="Q166" s="111"/>
      <c r="R166" s="46"/>
    </row>
    <row r="167" spans="1:18" ht="24.6">
      <c r="A167" s="46"/>
      <c r="B167" s="168" t="s">
        <v>209</v>
      </c>
      <c r="C167" s="29"/>
      <c r="D167" s="49"/>
      <c r="E167" s="29"/>
      <c r="F167" s="29"/>
      <c r="G167" s="59"/>
      <c r="H167" s="59"/>
      <c r="I167" s="59"/>
      <c r="J167" s="26"/>
      <c r="K167" s="61"/>
      <c r="L167" s="51"/>
      <c r="M167" s="29"/>
      <c r="N167" s="25"/>
      <c r="O167" s="59"/>
      <c r="P167" s="59"/>
      <c r="Q167" s="59"/>
      <c r="R167" s="46"/>
    </row>
    <row r="168" spans="1:18" ht="29.25" customHeight="1" thickBot="1">
      <c r="A168" s="115">
        <v>1</v>
      </c>
      <c r="B168" s="115"/>
      <c r="C168" s="74"/>
      <c r="D168" s="110"/>
      <c r="E168" s="74"/>
      <c r="F168" s="74"/>
      <c r="G168" s="78"/>
      <c r="H168" s="78"/>
      <c r="I168" s="78"/>
      <c r="J168" s="35"/>
      <c r="K168" s="76"/>
      <c r="L168" s="170"/>
      <c r="M168" s="74"/>
      <c r="N168" s="34"/>
      <c r="O168" s="78"/>
      <c r="P168" s="78"/>
      <c r="Q168" s="78"/>
      <c r="R168" s="109"/>
    </row>
    <row r="169" spans="1:18" ht="26.25" customHeight="1" thickTop="1" thickBot="1">
      <c r="A169" s="29"/>
      <c r="B169" s="25" t="s">
        <v>26</v>
      </c>
      <c r="C169" s="64"/>
      <c r="D169" s="171"/>
      <c r="E169" s="64"/>
      <c r="F169" s="64"/>
      <c r="G169" s="63"/>
      <c r="H169" s="63"/>
      <c r="I169" s="63"/>
      <c r="J169" s="42"/>
      <c r="K169" s="66"/>
      <c r="L169" s="172"/>
      <c r="M169" s="64"/>
      <c r="N169" s="41"/>
      <c r="O169" s="63"/>
      <c r="P169" s="63"/>
      <c r="Q169" s="63"/>
      <c r="R169" s="29"/>
    </row>
    <row r="170" spans="1:18" ht="24.75" customHeight="1" thickTop="1">
      <c r="A170" s="46"/>
      <c r="B170" s="168" t="s">
        <v>210</v>
      </c>
      <c r="C170" s="46"/>
      <c r="D170" s="98"/>
      <c r="E170" s="46"/>
      <c r="F170" s="46"/>
      <c r="G170" s="46"/>
      <c r="H170" s="46"/>
      <c r="I170" s="46"/>
      <c r="J170" s="137"/>
      <c r="K170" s="48"/>
      <c r="L170" s="48"/>
      <c r="M170" s="46"/>
      <c r="N170" s="28"/>
      <c r="O170" s="46"/>
      <c r="P170" s="46"/>
      <c r="Q170" s="46"/>
      <c r="R170" s="46"/>
    </row>
    <row r="171" spans="1:18" ht="24.75" customHeight="1">
      <c r="A171" s="46"/>
      <c r="B171" s="168"/>
      <c r="C171" s="46"/>
      <c r="D171" s="98"/>
      <c r="E171" s="46"/>
      <c r="F171" s="46"/>
      <c r="G171" s="46"/>
      <c r="H171" s="46"/>
      <c r="I171" s="46"/>
      <c r="J171" s="137"/>
      <c r="K171" s="48"/>
      <c r="L171" s="48"/>
      <c r="M171" s="46"/>
      <c r="N171" s="28"/>
      <c r="O171" s="46"/>
      <c r="P171" s="46"/>
      <c r="Q171" s="46"/>
      <c r="R171" s="46"/>
    </row>
    <row r="172" spans="1:18" ht="24" customHeight="1">
      <c r="A172" s="25"/>
      <c r="B172" s="29" t="s">
        <v>26</v>
      </c>
      <c r="C172" s="29"/>
      <c r="D172" s="49"/>
      <c r="E172" s="29"/>
      <c r="F172" s="29"/>
      <c r="G172" s="49">
        <v>0</v>
      </c>
      <c r="H172" s="49">
        <v>0</v>
      </c>
      <c r="I172" s="59">
        <v>0</v>
      </c>
      <c r="J172" s="26"/>
      <c r="K172" s="61"/>
      <c r="L172" s="51"/>
      <c r="M172" s="29"/>
      <c r="N172" s="25"/>
      <c r="O172" s="72">
        <v>0</v>
      </c>
      <c r="P172" s="73">
        <v>0</v>
      </c>
      <c r="Q172" s="73">
        <v>0</v>
      </c>
      <c r="R172" s="29"/>
    </row>
    <row r="173" spans="1:18" ht="24.75" customHeight="1" thickBot="1">
      <c r="A173" s="34"/>
      <c r="B173" s="34" t="s">
        <v>374</v>
      </c>
      <c r="C173" s="74"/>
      <c r="D173" s="110">
        <f>SUM(D12+D15+D18+D30+D75+D111+D115+D118+D121+D163+D166+D169+D172)</f>
        <v>51655</v>
      </c>
      <c r="E173" s="110"/>
      <c r="F173" s="110"/>
      <c r="G173" s="110">
        <f t="shared" ref="G173:Q173" si="10">SUM(G12+G15+G18+G30+G75+G111+G115+G118+G121+G163+G166+G169+G172)</f>
        <v>20610</v>
      </c>
      <c r="H173" s="110">
        <f t="shared" si="10"/>
        <v>0</v>
      </c>
      <c r="I173" s="110">
        <f t="shared" si="10"/>
        <v>20610</v>
      </c>
      <c r="J173" s="110"/>
      <c r="K173" s="110"/>
      <c r="L173" s="110">
        <f t="shared" si="10"/>
        <v>54085</v>
      </c>
      <c r="M173" s="110"/>
      <c r="N173" s="110"/>
      <c r="O173" s="110">
        <f t="shared" si="10"/>
        <v>18180</v>
      </c>
      <c r="P173" s="110">
        <f t="shared" si="10"/>
        <v>0</v>
      </c>
      <c r="Q173" s="110">
        <f t="shared" si="10"/>
        <v>18180</v>
      </c>
      <c r="R173" s="74"/>
    </row>
    <row r="174" spans="1:18" ht="24.75" customHeight="1" thickTop="1">
      <c r="A174" s="14"/>
      <c r="B174" s="173"/>
      <c r="D174" s="174"/>
      <c r="G174" s="175"/>
      <c r="H174" s="175"/>
      <c r="I174" s="175"/>
      <c r="L174" s="178"/>
      <c r="O174" s="174"/>
      <c r="P174" s="174"/>
      <c r="Q174" s="174"/>
      <c r="R174" s="179"/>
    </row>
    <row r="175" spans="1:18" ht="24.75" customHeight="1">
      <c r="A175" s="731" t="s">
        <v>211</v>
      </c>
      <c r="B175" s="732"/>
      <c r="C175" s="732"/>
      <c r="D175" s="732"/>
      <c r="E175" s="732"/>
      <c r="F175" s="732"/>
      <c r="G175" s="732"/>
      <c r="H175" s="732"/>
      <c r="I175" s="732"/>
      <c r="J175" s="732"/>
      <c r="K175" s="732"/>
      <c r="L175" s="732"/>
      <c r="M175" s="732"/>
      <c r="N175" s="732"/>
      <c r="O175" s="732"/>
      <c r="P175" s="732"/>
      <c r="Q175" s="732"/>
      <c r="R175" s="733"/>
    </row>
    <row r="176" spans="1:18" ht="24.75" customHeight="1">
      <c r="A176" s="46">
        <v>1</v>
      </c>
      <c r="B176" s="180" t="s">
        <v>32</v>
      </c>
      <c r="C176" s="46" t="s">
        <v>104</v>
      </c>
      <c r="D176" s="98">
        <v>4650</v>
      </c>
      <c r="E176" s="141" t="s">
        <v>325</v>
      </c>
      <c r="F176" s="254">
        <v>7</v>
      </c>
      <c r="G176" s="141">
        <v>32550</v>
      </c>
      <c r="H176" s="141" t="s">
        <v>172</v>
      </c>
      <c r="I176" s="141">
        <v>32550</v>
      </c>
      <c r="J176" s="137"/>
      <c r="K176" s="48"/>
      <c r="L176" s="48"/>
      <c r="M176" s="46" t="s">
        <v>350</v>
      </c>
      <c r="N176" s="28">
        <v>8</v>
      </c>
      <c r="O176" s="57">
        <f>SUM(D176+I176-L176)</f>
        <v>37200</v>
      </c>
      <c r="P176" s="28" t="s">
        <v>172</v>
      </c>
      <c r="Q176" s="57">
        <f>O176</f>
        <v>37200</v>
      </c>
      <c r="R176" s="46" t="s">
        <v>214</v>
      </c>
    </row>
    <row r="177" spans="1:20" ht="24" customHeight="1">
      <c r="A177" s="25">
        <v>2</v>
      </c>
      <c r="B177" s="29" t="s">
        <v>215</v>
      </c>
      <c r="C177" s="29" t="s">
        <v>104</v>
      </c>
      <c r="D177" s="49">
        <v>5750</v>
      </c>
      <c r="E177" s="134" t="s">
        <v>325</v>
      </c>
      <c r="F177" s="255">
        <v>7</v>
      </c>
      <c r="G177" s="134">
        <v>40250</v>
      </c>
      <c r="H177" s="134">
        <v>0</v>
      </c>
      <c r="I177" s="134">
        <v>40250</v>
      </c>
      <c r="J177" s="26"/>
      <c r="K177" s="61"/>
      <c r="L177" s="51"/>
      <c r="M177" s="46" t="s">
        <v>350</v>
      </c>
      <c r="N177" s="25">
        <v>8</v>
      </c>
      <c r="O177" s="57">
        <f>SUM(D177+I177-L177)</f>
        <v>46000</v>
      </c>
      <c r="P177" s="73">
        <v>0</v>
      </c>
      <c r="Q177" s="57">
        <f>O177</f>
        <v>46000</v>
      </c>
      <c r="R177" s="29" t="s">
        <v>214</v>
      </c>
    </row>
    <row r="178" spans="1:20" ht="24" customHeight="1">
      <c r="A178" s="4">
        <v>3</v>
      </c>
      <c r="B178" s="53" t="s">
        <v>68</v>
      </c>
      <c r="C178" s="53">
        <v>268</v>
      </c>
      <c r="D178" s="127">
        <v>1215</v>
      </c>
      <c r="E178" s="280" t="s">
        <v>376</v>
      </c>
      <c r="F178" s="281">
        <v>22</v>
      </c>
      <c r="G178" s="280">
        <v>26730</v>
      </c>
      <c r="H178" s="280"/>
      <c r="I178" s="280">
        <v>26730</v>
      </c>
      <c r="J178" s="282"/>
      <c r="K178" s="244"/>
      <c r="L178" s="283"/>
      <c r="M178" s="109" t="s">
        <v>377</v>
      </c>
      <c r="N178" s="4">
        <v>23</v>
      </c>
      <c r="O178" s="57">
        <f>SUM(D178+I178-L178)</f>
        <v>27945</v>
      </c>
      <c r="P178" s="284"/>
      <c r="Q178" s="57">
        <f>O178</f>
        <v>27945</v>
      </c>
      <c r="R178" s="29" t="s">
        <v>214</v>
      </c>
    </row>
    <row r="179" spans="1:20" ht="24.75" customHeight="1" thickBot="1">
      <c r="A179" s="34"/>
      <c r="B179" s="34" t="s">
        <v>26</v>
      </c>
      <c r="C179" s="74"/>
      <c r="D179" s="110">
        <f>SUM(D176:D178)</f>
        <v>11615</v>
      </c>
      <c r="E179" s="74"/>
      <c r="F179" s="74"/>
      <c r="G179" s="78">
        <f>SUM(G176:G178)</f>
        <v>99530</v>
      </c>
      <c r="H179" s="78">
        <f t="shared" ref="H179:I179" si="11">SUM(H176:H178)</f>
        <v>0</v>
      </c>
      <c r="I179" s="78">
        <f t="shared" si="11"/>
        <v>99530</v>
      </c>
      <c r="J179" s="75"/>
      <c r="K179" s="76"/>
      <c r="L179" s="170"/>
      <c r="M179" s="74"/>
      <c r="N179" s="34"/>
      <c r="O179" s="110">
        <f>SUM(O176:O178)</f>
        <v>111145</v>
      </c>
      <c r="P179" s="110">
        <v>0</v>
      </c>
      <c r="Q179" s="110">
        <f>SUM(Q176:Q178)</f>
        <v>111145</v>
      </c>
      <c r="R179" s="74"/>
    </row>
    <row r="180" spans="1:20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0" ht="24.6">
      <c r="A181" s="734" t="s">
        <v>216</v>
      </c>
      <c r="B181" s="735"/>
      <c r="C181" s="735"/>
      <c r="D181" s="735"/>
      <c r="E181" s="735"/>
      <c r="F181" s="735"/>
      <c r="G181" s="735"/>
      <c r="H181" s="735"/>
      <c r="I181" s="735"/>
      <c r="J181" s="735"/>
      <c r="K181" s="735"/>
      <c r="L181" s="735"/>
      <c r="M181" s="735"/>
      <c r="N181" s="735"/>
      <c r="O181" s="735"/>
      <c r="P181" s="735"/>
      <c r="Q181" s="735"/>
      <c r="R181" s="736"/>
    </row>
    <row r="182" spans="1:20" ht="29.25" customHeight="1">
      <c r="A182" s="115"/>
      <c r="B182" s="115"/>
      <c r="C182" s="181"/>
      <c r="D182" s="182"/>
      <c r="E182" s="181"/>
      <c r="F182" s="181"/>
      <c r="G182" s="183"/>
      <c r="H182" s="183"/>
      <c r="I182" s="183"/>
      <c r="J182" s="184"/>
      <c r="K182" s="185"/>
      <c r="L182" s="186"/>
      <c r="M182" s="181"/>
      <c r="N182" s="187"/>
      <c r="O182" s="183"/>
      <c r="P182" s="183"/>
      <c r="Q182" s="183"/>
      <c r="R182" s="109"/>
    </row>
    <row r="183" spans="1:20" ht="29.25" customHeight="1" thickBot="1">
      <c r="A183" s="115"/>
      <c r="B183" s="115"/>
      <c r="C183" s="64"/>
      <c r="D183" s="171"/>
      <c r="E183" s="64"/>
      <c r="F183" s="64"/>
      <c r="G183" s="63"/>
      <c r="H183" s="63"/>
      <c r="I183" s="63"/>
      <c r="J183" s="42"/>
      <c r="K183" s="66"/>
      <c r="L183" s="172"/>
      <c r="M183" s="64"/>
      <c r="N183" s="41"/>
      <c r="O183" s="63"/>
      <c r="P183" s="63"/>
      <c r="Q183" s="63"/>
      <c r="R183" s="109"/>
    </row>
    <row r="184" spans="1:20" ht="26.25" customHeight="1" thickTop="1" thickBot="1">
      <c r="A184" s="29"/>
      <c r="B184" s="25" t="s">
        <v>26</v>
      </c>
      <c r="C184" s="64"/>
      <c r="D184" s="171"/>
      <c r="E184" s="64"/>
      <c r="F184" s="64"/>
      <c r="G184" s="63">
        <f>SUM(G182:G182)</f>
        <v>0</v>
      </c>
      <c r="H184" s="63">
        <f>SUM(H182:H182)</f>
        <v>0</v>
      </c>
      <c r="I184" s="63">
        <f>SUM(I182:I182)</f>
        <v>0</v>
      </c>
      <c r="J184" s="42"/>
      <c r="K184" s="66"/>
      <c r="L184" s="172"/>
      <c r="M184" s="64"/>
      <c r="N184" s="41"/>
      <c r="O184" s="63">
        <f>SUM(O182:O182)</f>
        <v>0</v>
      </c>
      <c r="P184" s="63">
        <f>SUM(P182:P182)</f>
        <v>0</v>
      </c>
      <c r="Q184" s="63">
        <f>SUM(Q182:Q182)</f>
        <v>0</v>
      </c>
      <c r="R184" s="29"/>
    </row>
    <row r="185" spans="1:20" ht="24.75" customHeight="1" thickTop="1">
      <c r="A185" s="4"/>
      <c r="B185" s="188" t="s">
        <v>217</v>
      </c>
      <c r="C185" s="53"/>
      <c r="D185" s="127"/>
      <c r="E185" s="53"/>
      <c r="F185" s="53"/>
      <c r="G185" s="183"/>
      <c r="H185" s="183"/>
      <c r="I185" s="183"/>
      <c r="J185" s="189"/>
      <c r="K185" s="185"/>
      <c r="L185" s="186"/>
      <c r="M185" s="53"/>
      <c r="N185" s="4"/>
      <c r="O185" s="127"/>
      <c r="P185" s="127"/>
      <c r="Q185" s="127"/>
      <c r="R185" s="181"/>
    </row>
    <row r="186" spans="1:20" ht="24.75" customHeight="1">
      <c r="A186" s="199">
        <v>1</v>
      </c>
      <c r="B186" s="200" t="s">
        <v>85</v>
      </c>
      <c r="C186" s="203" t="s">
        <v>86</v>
      </c>
      <c r="D186" s="202">
        <v>0</v>
      </c>
      <c r="E186" s="199" t="s">
        <v>229</v>
      </c>
      <c r="F186" s="204">
        <v>7</v>
      </c>
      <c r="G186" s="202">
        <v>30800</v>
      </c>
      <c r="H186" s="202">
        <v>0</v>
      </c>
      <c r="I186" s="202">
        <v>30800</v>
      </c>
      <c r="J186" s="205"/>
      <c r="K186" s="206"/>
      <c r="L186" s="207"/>
      <c r="M186" s="203" t="s">
        <v>229</v>
      </c>
      <c r="N186" s="199">
        <v>7</v>
      </c>
      <c r="O186" s="198">
        <v>30800</v>
      </c>
      <c r="P186" s="210">
        <v>0</v>
      </c>
      <c r="Q186" s="210">
        <v>30800</v>
      </c>
      <c r="R186" s="203" t="s">
        <v>230</v>
      </c>
    </row>
    <row r="187" spans="1:20" ht="24.75" customHeight="1">
      <c r="A187" s="115"/>
      <c r="B187" s="212"/>
      <c r="C187" s="109"/>
      <c r="D187" s="162"/>
      <c r="E187" s="115"/>
      <c r="F187" s="213"/>
      <c r="G187" s="162"/>
      <c r="H187" s="214"/>
      <c r="I187" s="214"/>
      <c r="J187" s="215"/>
      <c r="K187" s="216"/>
      <c r="L187" s="217"/>
      <c r="M187" s="218"/>
      <c r="N187" s="219"/>
      <c r="O187" s="220"/>
      <c r="P187" s="221"/>
      <c r="Q187" s="221"/>
      <c r="R187" s="218" t="s">
        <v>231</v>
      </c>
    </row>
    <row r="188" spans="1:20" s="96" customFormat="1" ht="24.75" customHeight="1">
      <c r="A188" s="190"/>
      <c r="B188" s="191" t="s">
        <v>232</v>
      </c>
      <c r="C188" s="192" t="s">
        <v>194</v>
      </c>
      <c r="D188" s="193">
        <v>0</v>
      </c>
      <c r="E188" s="192"/>
      <c r="F188" s="192"/>
      <c r="G188" s="193">
        <v>64400</v>
      </c>
      <c r="H188" s="193">
        <v>0</v>
      </c>
      <c r="I188" s="193">
        <v>64400</v>
      </c>
      <c r="J188" s="195"/>
      <c r="K188" s="196"/>
      <c r="L188" s="197">
        <v>0</v>
      </c>
      <c r="M188" s="192"/>
      <c r="N188" s="190"/>
      <c r="O188" s="198">
        <v>64400</v>
      </c>
      <c r="P188" s="210">
        <v>0</v>
      </c>
      <c r="Q188" s="210">
        <v>64400</v>
      </c>
      <c r="R188" s="192" t="s">
        <v>233</v>
      </c>
      <c r="T188" s="97"/>
    </row>
    <row r="189" spans="1:20" ht="24.6">
      <c r="A189" s="199">
        <v>2</v>
      </c>
      <c r="B189" s="203" t="s">
        <v>32</v>
      </c>
      <c r="C189" s="222" t="s">
        <v>104</v>
      </c>
      <c r="D189" s="202"/>
      <c r="E189" s="223" t="s">
        <v>234</v>
      </c>
      <c r="F189" s="224">
        <v>4</v>
      </c>
      <c r="G189" s="225">
        <v>18600</v>
      </c>
      <c r="H189" s="225">
        <v>0</v>
      </c>
      <c r="I189" s="225">
        <v>18600</v>
      </c>
      <c r="J189" s="226"/>
      <c r="K189" s="227"/>
      <c r="L189" s="228"/>
      <c r="M189" s="199" t="s">
        <v>234</v>
      </c>
      <c r="N189" s="199">
        <v>4</v>
      </c>
      <c r="O189" s="198">
        <f>D189+G189</f>
        <v>18600</v>
      </c>
      <c r="P189" s="210">
        <v>0</v>
      </c>
      <c r="Q189" s="210">
        <f>D189+I189</f>
        <v>18600</v>
      </c>
      <c r="R189" s="203" t="s">
        <v>235</v>
      </c>
    </row>
    <row r="190" spans="1:20" ht="24.6">
      <c r="A190" s="199">
        <v>3</v>
      </c>
      <c r="B190" s="203" t="s">
        <v>215</v>
      </c>
      <c r="C190" s="222" t="s">
        <v>104</v>
      </c>
      <c r="D190" s="202"/>
      <c r="E190" s="199" t="s">
        <v>236</v>
      </c>
      <c r="F190" s="199">
        <v>4</v>
      </c>
      <c r="G190" s="202">
        <v>23000</v>
      </c>
      <c r="H190" s="202">
        <v>0</v>
      </c>
      <c r="I190" s="202">
        <v>23000</v>
      </c>
      <c r="J190" s="226"/>
      <c r="K190" s="227"/>
      <c r="L190" s="228"/>
      <c r="M190" s="199" t="s">
        <v>236</v>
      </c>
      <c r="N190" s="199">
        <v>4</v>
      </c>
      <c r="O190" s="198">
        <f>D190+G190</f>
        <v>23000</v>
      </c>
      <c r="P190" s="210">
        <v>0</v>
      </c>
      <c r="Q190" s="210">
        <f>D190+I190</f>
        <v>23000</v>
      </c>
      <c r="R190" s="203" t="s">
        <v>237</v>
      </c>
    </row>
    <row r="191" spans="1:20" s="96" customFormat="1" ht="24.75" customHeight="1">
      <c r="A191" s="229"/>
      <c r="B191" s="230"/>
      <c r="C191" s="231"/>
      <c r="D191" s="232"/>
      <c r="E191" s="231"/>
      <c r="F191" s="231"/>
      <c r="G191" s="232"/>
      <c r="H191" s="232"/>
      <c r="I191" s="232"/>
      <c r="J191" s="233"/>
      <c r="K191" s="234"/>
      <c r="L191" s="235"/>
      <c r="M191" s="231"/>
      <c r="N191" s="229"/>
      <c r="O191" s="236"/>
      <c r="P191" s="237"/>
      <c r="Q191" s="237"/>
      <c r="R191" s="238"/>
      <c r="T191" s="97"/>
    </row>
    <row r="192" spans="1:20" ht="24.75" customHeight="1" thickBot="1">
      <c r="A192" s="34"/>
      <c r="B192" s="239"/>
      <c r="C192" s="74"/>
      <c r="D192" s="110">
        <v>0</v>
      </c>
      <c r="E192" s="110"/>
      <c r="F192" s="110"/>
      <c r="G192" s="110">
        <f>SUM(G186:G190)</f>
        <v>136800</v>
      </c>
      <c r="H192" s="110">
        <v>0</v>
      </c>
      <c r="I192" s="110">
        <f>SUM(I186:I190)</f>
        <v>136800</v>
      </c>
      <c r="J192" s="170"/>
      <c r="K192" s="170"/>
      <c r="L192" s="170">
        <v>0</v>
      </c>
      <c r="M192" s="110"/>
      <c r="N192" s="240"/>
      <c r="O192" s="171">
        <f>SUM(O186:O190)</f>
        <v>136800</v>
      </c>
      <c r="P192" s="171">
        <v>0</v>
      </c>
      <c r="Q192" s="171">
        <f>SUM(Q186:Q190)</f>
        <v>136800</v>
      </c>
      <c r="R192" s="208"/>
    </row>
    <row r="193" spans="1:23" ht="25.2" thickTop="1">
      <c r="A193" s="46"/>
      <c r="B193" s="161" t="s">
        <v>238</v>
      </c>
      <c r="C193" s="46"/>
      <c r="D193" s="46"/>
      <c r="E193" s="46"/>
      <c r="F193" s="46"/>
      <c r="G193" s="46"/>
      <c r="H193" s="46"/>
      <c r="I193" s="46"/>
      <c r="J193" s="47"/>
      <c r="K193" s="48"/>
      <c r="L193" s="48"/>
      <c r="M193" s="46"/>
      <c r="N193" s="28"/>
      <c r="O193" s="46"/>
      <c r="P193" s="46"/>
      <c r="Q193" s="46"/>
      <c r="R193" s="46"/>
    </row>
    <row r="194" spans="1:23" ht="24.6">
      <c r="A194" s="25">
        <v>1</v>
      </c>
      <c r="B194" s="53" t="s">
        <v>239</v>
      </c>
      <c r="C194" s="109"/>
      <c r="D194" s="109"/>
      <c r="E194" s="109" t="s">
        <v>240</v>
      </c>
      <c r="F194" s="109"/>
      <c r="G194" s="162"/>
      <c r="H194" s="109"/>
      <c r="I194" s="162">
        <v>0</v>
      </c>
      <c r="J194" s="112"/>
      <c r="K194" s="113"/>
      <c r="L194" s="241"/>
      <c r="M194" s="109" t="s">
        <v>240</v>
      </c>
      <c r="N194" s="115"/>
      <c r="O194" s="49"/>
      <c r="P194" s="127"/>
      <c r="Q194" s="162">
        <v>0</v>
      </c>
      <c r="R194" s="29"/>
    </row>
    <row r="195" spans="1:23" ht="24.6">
      <c r="A195" s="25"/>
      <c r="B195" s="29" t="s">
        <v>241</v>
      </c>
      <c r="C195" s="29"/>
      <c r="D195" s="29"/>
      <c r="E195" s="25" t="s">
        <v>242</v>
      </c>
      <c r="F195" s="29"/>
      <c r="G195" s="49">
        <v>133707.98000000001</v>
      </c>
      <c r="H195" s="134">
        <v>0</v>
      </c>
      <c r="I195" s="49">
        <v>133707.98000000001</v>
      </c>
      <c r="J195" s="60"/>
      <c r="K195" s="61"/>
      <c r="L195" s="242"/>
      <c r="M195" s="29" t="s">
        <v>242</v>
      </c>
      <c r="N195" s="25"/>
      <c r="O195" s="72">
        <v>133707.98000000001</v>
      </c>
      <c r="P195" s="73">
        <v>0</v>
      </c>
      <c r="Q195" s="73">
        <v>133707.98000000001</v>
      </c>
      <c r="R195" s="29" t="s">
        <v>243</v>
      </c>
    </row>
    <row r="196" spans="1:23" ht="24.6">
      <c r="A196" s="25"/>
      <c r="B196" s="29" t="s">
        <v>244</v>
      </c>
      <c r="C196" s="29"/>
      <c r="D196" s="29"/>
      <c r="E196" s="29"/>
      <c r="F196" s="29"/>
      <c r="G196" s="49">
        <v>73800</v>
      </c>
      <c r="H196" s="134">
        <v>0</v>
      </c>
      <c r="I196" s="49">
        <v>73800</v>
      </c>
      <c r="J196" s="60"/>
      <c r="K196" s="61"/>
      <c r="L196" s="242"/>
      <c r="M196" s="29"/>
      <c r="N196" s="25"/>
      <c r="O196" s="72">
        <v>73800</v>
      </c>
      <c r="P196" s="73">
        <v>0</v>
      </c>
      <c r="Q196" s="73">
        <v>73800</v>
      </c>
      <c r="R196" s="29"/>
    </row>
    <row r="197" spans="1:23" ht="24.6">
      <c r="A197" s="25"/>
      <c r="B197" s="29" t="s">
        <v>245</v>
      </c>
      <c r="C197" s="29"/>
      <c r="D197" s="29"/>
      <c r="E197" s="29"/>
      <c r="F197" s="29"/>
      <c r="G197" s="49">
        <v>7596.82</v>
      </c>
      <c r="H197" s="134">
        <v>0</v>
      </c>
      <c r="I197" s="89">
        <v>7596.82</v>
      </c>
      <c r="J197" s="60"/>
      <c r="K197" s="61"/>
      <c r="L197" s="242"/>
      <c r="M197" s="29"/>
      <c r="N197" s="25"/>
      <c r="O197" s="72">
        <v>7596.82</v>
      </c>
      <c r="P197" s="73">
        <v>0</v>
      </c>
      <c r="Q197" s="73">
        <v>7596.82</v>
      </c>
      <c r="R197" s="29" t="s">
        <v>243</v>
      </c>
    </row>
    <row r="198" spans="1:23" ht="24.6">
      <c r="A198" s="25"/>
      <c r="B198" s="29" t="s">
        <v>246</v>
      </c>
      <c r="C198" s="29"/>
      <c r="D198" s="53"/>
      <c r="E198" s="53"/>
      <c r="F198" s="53"/>
      <c r="G198" s="127"/>
      <c r="H198" s="53"/>
      <c r="I198" s="127"/>
      <c r="J198" s="243"/>
      <c r="K198" s="244"/>
      <c r="L198" s="245"/>
      <c r="M198" s="53"/>
      <c r="N198" s="4"/>
      <c r="O198" s="127"/>
      <c r="P198" s="127"/>
      <c r="Q198" s="49"/>
      <c r="R198" s="29"/>
      <c r="U198" s="1">
        <v>763210.28</v>
      </c>
    </row>
    <row r="199" spans="1:23" ht="24.6">
      <c r="A199" s="4"/>
      <c r="B199" s="53"/>
      <c r="C199" s="737" t="s">
        <v>247</v>
      </c>
      <c r="D199" s="738"/>
      <c r="E199" s="738"/>
      <c r="F199" s="738"/>
      <c r="G199" s="738"/>
      <c r="H199" s="739"/>
      <c r="I199" s="127"/>
      <c r="J199" s="243"/>
      <c r="K199" s="244"/>
      <c r="L199" s="245"/>
      <c r="M199" s="53"/>
      <c r="N199" s="4"/>
      <c r="O199" s="127"/>
      <c r="P199" s="127"/>
      <c r="Q199" s="162"/>
      <c r="R199" s="53"/>
    </row>
    <row r="200" spans="1:23" s="96" customFormat="1" ht="24.75" customHeight="1">
      <c r="A200" s="86">
        <v>2</v>
      </c>
      <c r="B200" s="274" t="s">
        <v>68</v>
      </c>
      <c r="C200" s="87">
        <v>268</v>
      </c>
      <c r="D200" s="89"/>
      <c r="E200" s="86" t="s">
        <v>378</v>
      </c>
      <c r="F200" s="275">
        <v>80</v>
      </c>
      <c r="G200" s="89">
        <v>133752.76</v>
      </c>
      <c r="H200" s="89" t="s">
        <v>172</v>
      </c>
      <c r="I200" s="89">
        <v>133752.76</v>
      </c>
      <c r="J200" s="276"/>
      <c r="K200" s="154"/>
      <c r="L200" s="155"/>
      <c r="M200" s="86" t="s">
        <v>378</v>
      </c>
      <c r="N200" s="86">
        <v>80</v>
      </c>
      <c r="O200" s="277">
        <f>SUM(D200+G200)</f>
        <v>133752.76</v>
      </c>
      <c r="P200" s="277" t="s">
        <v>172</v>
      </c>
      <c r="Q200" s="277">
        <f>SUM(D200+I200)</f>
        <v>133752.76</v>
      </c>
      <c r="R200" s="87" t="s">
        <v>379</v>
      </c>
      <c r="T200" s="97" t="s">
        <v>375</v>
      </c>
    </row>
    <row r="201" spans="1:23" ht="24.75" customHeight="1">
      <c r="A201" s="25"/>
      <c r="B201" s="119" t="s">
        <v>221</v>
      </c>
      <c r="C201" s="278" t="s">
        <v>222</v>
      </c>
      <c r="D201" s="49">
        <v>0</v>
      </c>
      <c r="E201" s="29"/>
      <c r="F201" s="3" t="s">
        <v>172</v>
      </c>
      <c r="G201" s="49">
        <v>19700</v>
      </c>
      <c r="H201" s="49">
        <v>0</v>
      </c>
      <c r="I201" s="49">
        <v>19700</v>
      </c>
      <c r="J201" s="60"/>
      <c r="K201" s="61"/>
      <c r="L201" s="51">
        <v>0</v>
      </c>
      <c r="M201" s="29"/>
      <c r="N201" s="25" t="s">
        <v>172</v>
      </c>
      <c r="O201" s="277">
        <v>19700</v>
      </c>
      <c r="P201" s="73">
        <v>0</v>
      </c>
      <c r="Q201" s="73">
        <v>19700</v>
      </c>
      <c r="R201" s="29" t="s">
        <v>184</v>
      </c>
      <c r="V201" s="211"/>
      <c r="W201" s="211"/>
    </row>
    <row r="202" spans="1:23" ht="24.75" customHeight="1">
      <c r="A202" s="25"/>
      <c r="B202" s="278"/>
      <c r="C202" s="278" t="s">
        <v>223</v>
      </c>
      <c r="D202" s="49"/>
      <c r="E202" s="29"/>
      <c r="F202" s="3" t="s">
        <v>172</v>
      </c>
      <c r="G202" s="49">
        <v>19700</v>
      </c>
      <c r="H202" s="49">
        <v>0</v>
      </c>
      <c r="I202" s="49">
        <v>19700</v>
      </c>
      <c r="J202" s="60"/>
      <c r="K202" s="61"/>
      <c r="L202" s="51">
        <v>0</v>
      </c>
      <c r="M202" s="29"/>
      <c r="N202" s="25" t="s">
        <v>172</v>
      </c>
      <c r="O202" s="277">
        <v>19700</v>
      </c>
      <c r="P202" s="73">
        <v>0</v>
      </c>
      <c r="Q202" s="73">
        <v>19700</v>
      </c>
      <c r="R202" s="29" t="s">
        <v>185</v>
      </c>
      <c r="V202" s="211"/>
    </row>
    <row r="203" spans="1:23" ht="24.75" customHeight="1">
      <c r="A203" s="25"/>
      <c r="B203" s="278"/>
      <c r="C203" s="278" t="s">
        <v>224</v>
      </c>
      <c r="D203" s="49"/>
      <c r="E203" s="29"/>
      <c r="F203" s="3" t="s">
        <v>172</v>
      </c>
      <c r="G203" s="49">
        <v>19700</v>
      </c>
      <c r="H203" s="49">
        <v>0</v>
      </c>
      <c r="I203" s="49">
        <v>19700</v>
      </c>
      <c r="J203" s="60"/>
      <c r="K203" s="61"/>
      <c r="L203" s="51">
        <v>0</v>
      </c>
      <c r="M203" s="29"/>
      <c r="N203" s="25" t="s">
        <v>172</v>
      </c>
      <c r="O203" s="277">
        <v>19700</v>
      </c>
      <c r="P203" s="73">
        <v>0</v>
      </c>
      <c r="Q203" s="73">
        <v>19700</v>
      </c>
      <c r="R203" s="29" t="s">
        <v>186</v>
      </c>
    </row>
    <row r="204" spans="1:23" ht="24.75" customHeight="1">
      <c r="A204" s="25">
        <v>3</v>
      </c>
      <c r="B204" s="119" t="s">
        <v>225</v>
      </c>
      <c r="C204" s="29"/>
      <c r="D204" s="49"/>
      <c r="E204" s="25" t="s">
        <v>226</v>
      </c>
      <c r="F204" s="3">
        <v>88</v>
      </c>
      <c r="G204" s="49">
        <v>304935.7</v>
      </c>
      <c r="H204" s="49">
        <v>0</v>
      </c>
      <c r="I204" s="49">
        <v>304935.7</v>
      </c>
      <c r="J204" s="60"/>
      <c r="K204" s="61"/>
      <c r="L204" s="51"/>
      <c r="M204" s="25" t="s">
        <v>226</v>
      </c>
      <c r="N204" s="25">
        <v>88</v>
      </c>
      <c r="O204" s="277">
        <v>304935.7</v>
      </c>
      <c r="P204" s="73">
        <v>0</v>
      </c>
      <c r="Q204" s="73">
        <v>304935.7</v>
      </c>
      <c r="R204" s="29" t="s">
        <v>227</v>
      </c>
    </row>
    <row r="205" spans="1:23" ht="25.2" thickBot="1">
      <c r="A205" s="25"/>
      <c r="B205" s="29"/>
      <c r="C205" s="29"/>
      <c r="D205" s="74"/>
      <c r="E205" s="74"/>
      <c r="F205" s="74"/>
      <c r="G205" s="74"/>
      <c r="H205" s="74"/>
      <c r="I205" s="74"/>
      <c r="J205" s="75"/>
      <c r="K205" s="76"/>
      <c r="L205" s="76"/>
      <c r="M205" s="74"/>
      <c r="N205" s="34"/>
      <c r="O205" s="110"/>
      <c r="P205" s="74"/>
      <c r="Q205" s="171"/>
      <c r="R205" s="29"/>
    </row>
    <row r="206" spans="1:23" s="249" customFormat="1" ht="25.8" thickTop="1" thickBot="1">
      <c r="A206" s="134"/>
      <c r="B206" s="246" t="s">
        <v>26</v>
      </c>
      <c r="C206" s="103"/>
      <c r="D206" s="103">
        <v>0</v>
      </c>
      <c r="E206" s="103"/>
      <c r="F206" s="103"/>
      <c r="G206" s="103">
        <f>SUM(G195:G205)</f>
        <v>712893.26</v>
      </c>
      <c r="H206" s="103">
        <f t="shared" ref="H206:I206" si="12">SUM(H195:H205)</f>
        <v>0</v>
      </c>
      <c r="I206" s="103">
        <f t="shared" si="12"/>
        <v>712893.26</v>
      </c>
      <c r="J206" s="104"/>
      <c r="K206" s="104"/>
      <c r="L206" s="104">
        <v>0</v>
      </c>
      <c r="M206" s="103"/>
      <c r="N206" s="247"/>
      <c r="O206" s="103">
        <f>SUM(O195:O205)</f>
        <v>712893.26</v>
      </c>
      <c r="P206" s="103">
        <v>0</v>
      </c>
      <c r="Q206" s="103">
        <f>SUM(Q194:Q205)</f>
        <v>712893.26</v>
      </c>
      <c r="R206" s="248"/>
    </row>
    <row r="207" spans="1:23" ht="25.8" thickTop="1" thickBot="1">
      <c r="A207" s="29"/>
      <c r="B207" s="25" t="s">
        <v>248</v>
      </c>
      <c r="C207" s="64"/>
      <c r="D207" s="63">
        <f>SUM(D30+D75+D111+D179+D184+D192+D206)</f>
        <v>63270</v>
      </c>
      <c r="E207" s="63"/>
      <c r="F207" s="63"/>
      <c r="G207" s="63">
        <f>SUM(G30+G75+G111+G163+G179+G184+G192+G206)</f>
        <v>969833.26</v>
      </c>
      <c r="H207" s="63">
        <v>0</v>
      </c>
      <c r="I207" s="63">
        <f>SUM(I9+I12+I15+I18+I21+I24+I30+I33+I35+I39+I75+I111+I115+I118+I121+I163+I169+I173+I179+I184+I192+I206)</f>
        <v>990443.26</v>
      </c>
      <c r="J207" s="67"/>
      <c r="K207" s="67"/>
      <c r="L207" s="67">
        <f>SUM(L30+L75+L111)</f>
        <v>54085</v>
      </c>
      <c r="M207" s="63"/>
      <c r="N207" s="105"/>
      <c r="O207" s="63">
        <f>SUM(O30+O75+O111+O179+O184+O192+O206)</f>
        <v>979018.26</v>
      </c>
      <c r="P207" s="63">
        <f>SUM(P30+P75+P111+P179+P184+P192+P206)</f>
        <v>0</v>
      </c>
      <c r="Q207" s="63">
        <f>SUM(Q30+Q75+Q111+Q179+Q184+Q192+Q206)</f>
        <v>979018.26</v>
      </c>
      <c r="R207" s="59"/>
      <c r="T207" s="63"/>
    </row>
    <row r="208" spans="1:23" ht="25.2" thickTop="1"/>
    <row r="209" spans="6:17" ht="24.6">
      <c r="K209" s="250"/>
      <c r="Q209" s="249"/>
    </row>
    <row r="210" spans="6:17" ht="24.6">
      <c r="K210" s="251"/>
      <c r="Q210" s="249"/>
    </row>
    <row r="211" spans="6:17" ht="24.6">
      <c r="F211" s="1">
        <v>1010.6000000000058</v>
      </c>
      <c r="K211" s="250"/>
      <c r="Q211" s="249"/>
    </row>
    <row r="212" spans="6:17" ht="24.6">
      <c r="K212" s="250"/>
      <c r="L212" s="252"/>
    </row>
    <row r="213" spans="6:17" ht="24.6">
      <c r="H213" s="253"/>
      <c r="K213" s="250"/>
    </row>
    <row r="214" spans="6:17" ht="24.6"/>
    <row r="215" spans="6:17" ht="24.6"/>
    <row r="216" spans="6:17" ht="24.6"/>
    <row r="217" spans="6:17" ht="24.6"/>
    <row r="218" spans="6:17" ht="24.6"/>
    <row r="219" spans="6:17" ht="24.6"/>
    <row r="220" spans="6:17" ht="24.6"/>
    <row r="221" spans="6:17" ht="24.6"/>
    <row r="222" spans="6:17" ht="24.6"/>
    <row r="223" spans="6:17" ht="24.6"/>
    <row r="224" spans="6:17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</sheetData>
  <mergeCells count="9">
    <mergeCell ref="C199:H199"/>
    <mergeCell ref="A175:R175"/>
    <mergeCell ref="A181:R181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2" max="29" man="1"/>
    <brk id="191" max="16383" man="1"/>
  </rowBreaks>
  <colBreaks count="1" manualBreakCount="1">
    <brk id="18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8F20-A757-446C-B1AF-3527271AD540}">
  <sheetPr>
    <tabColor rgb="FF00B0F0"/>
  </sheetPr>
  <dimension ref="A1:I824"/>
  <sheetViews>
    <sheetView zoomScale="90" zoomScaleNormal="90" zoomScaleSheetLayoutView="87" workbookViewId="0">
      <pane ySplit="6" topLeftCell="A37" activePane="bottomLeft" state="frozen"/>
      <selection activeCell="I147" sqref="I147"/>
      <selection pane="bottomLeft" activeCell="F61" sqref="F61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0.33203125" style="1"/>
    <col min="8" max="9" width="11" style="1" bestFit="1" customWidth="1"/>
    <col min="10" max="226" width="10.33203125" style="1"/>
    <col min="227" max="227" width="4.44140625" style="1" customWidth="1"/>
    <col min="228" max="228" width="21.6640625" style="1" customWidth="1"/>
    <col min="229" max="229" width="15" style="1" customWidth="1"/>
    <col min="230" max="230" width="15.44140625" style="1" customWidth="1"/>
    <col min="231" max="231" width="11.5546875" style="1" customWidth="1"/>
    <col min="232" max="232" width="7.44140625" style="1" customWidth="1"/>
    <col min="233" max="233" width="14.109375" style="1" customWidth="1"/>
    <col min="234" max="234" width="10.6640625" style="1" customWidth="1"/>
    <col min="235" max="235" width="13.44140625" style="1" customWidth="1"/>
    <col min="236" max="236" width="11.44140625" style="1" customWidth="1"/>
    <col min="237" max="237" width="15" style="1" customWidth="1"/>
    <col min="238" max="238" width="14.5546875" style="1" customWidth="1"/>
    <col min="239" max="239" width="10.33203125" style="1"/>
    <col min="240" max="240" width="7.44140625" style="1" customWidth="1"/>
    <col min="241" max="241" width="12.88671875" style="1" customWidth="1"/>
    <col min="242" max="242" width="11.109375" style="1" customWidth="1"/>
    <col min="243" max="243" width="14" style="1" customWidth="1"/>
    <col min="244" max="244" width="33" style="1" customWidth="1"/>
    <col min="245" max="245" width="6.6640625" style="1" customWidth="1"/>
    <col min="246" max="246" width="19" style="1" customWidth="1"/>
    <col min="247" max="247" width="19.109375" style="1" customWidth="1"/>
    <col min="248" max="248" width="21.33203125" style="1" customWidth="1"/>
    <col min="249" max="249" width="32.5546875" style="1" customWidth="1"/>
    <col min="250" max="250" width="16.88671875" style="1" customWidth="1"/>
    <col min="251" max="251" width="16.33203125" style="1" customWidth="1"/>
    <col min="252" max="482" width="10.33203125" style="1"/>
    <col min="483" max="483" width="4.44140625" style="1" customWidth="1"/>
    <col min="484" max="484" width="21.6640625" style="1" customWidth="1"/>
    <col min="485" max="485" width="15" style="1" customWidth="1"/>
    <col min="486" max="486" width="15.44140625" style="1" customWidth="1"/>
    <col min="487" max="487" width="11.5546875" style="1" customWidth="1"/>
    <col min="488" max="488" width="7.44140625" style="1" customWidth="1"/>
    <col min="489" max="489" width="14.109375" style="1" customWidth="1"/>
    <col min="490" max="490" width="10.6640625" style="1" customWidth="1"/>
    <col min="491" max="491" width="13.44140625" style="1" customWidth="1"/>
    <col min="492" max="492" width="11.44140625" style="1" customWidth="1"/>
    <col min="493" max="493" width="15" style="1" customWidth="1"/>
    <col min="494" max="494" width="14.5546875" style="1" customWidth="1"/>
    <col min="495" max="495" width="10.33203125" style="1"/>
    <col min="496" max="496" width="7.44140625" style="1" customWidth="1"/>
    <col min="497" max="497" width="12.88671875" style="1" customWidth="1"/>
    <col min="498" max="498" width="11.109375" style="1" customWidth="1"/>
    <col min="499" max="499" width="14" style="1" customWidth="1"/>
    <col min="500" max="500" width="33" style="1" customWidth="1"/>
    <col min="501" max="501" width="6.6640625" style="1" customWidth="1"/>
    <col min="502" max="502" width="19" style="1" customWidth="1"/>
    <col min="503" max="503" width="19.109375" style="1" customWidth="1"/>
    <col min="504" max="504" width="21.33203125" style="1" customWidth="1"/>
    <col min="505" max="505" width="32.5546875" style="1" customWidth="1"/>
    <col min="506" max="506" width="16.88671875" style="1" customWidth="1"/>
    <col min="507" max="507" width="16.33203125" style="1" customWidth="1"/>
    <col min="508" max="738" width="10.33203125" style="1"/>
    <col min="739" max="739" width="4.44140625" style="1" customWidth="1"/>
    <col min="740" max="740" width="21.6640625" style="1" customWidth="1"/>
    <col min="741" max="741" width="15" style="1" customWidth="1"/>
    <col min="742" max="742" width="15.44140625" style="1" customWidth="1"/>
    <col min="743" max="743" width="11.5546875" style="1" customWidth="1"/>
    <col min="744" max="744" width="7.44140625" style="1" customWidth="1"/>
    <col min="745" max="745" width="14.109375" style="1" customWidth="1"/>
    <col min="746" max="746" width="10.6640625" style="1" customWidth="1"/>
    <col min="747" max="747" width="13.44140625" style="1" customWidth="1"/>
    <col min="748" max="748" width="11.44140625" style="1" customWidth="1"/>
    <col min="749" max="749" width="15" style="1" customWidth="1"/>
    <col min="750" max="750" width="14.5546875" style="1" customWidth="1"/>
    <col min="751" max="751" width="10.33203125" style="1"/>
    <col min="752" max="752" width="7.44140625" style="1" customWidth="1"/>
    <col min="753" max="753" width="12.88671875" style="1" customWidth="1"/>
    <col min="754" max="754" width="11.109375" style="1" customWidth="1"/>
    <col min="755" max="755" width="14" style="1" customWidth="1"/>
    <col min="756" max="756" width="33" style="1" customWidth="1"/>
    <col min="757" max="757" width="6.6640625" style="1" customWidth="1"/>
    <col min="758" max="758" width="19" style="1" customWidth="1"/>
    <col min="759" max="759" width="19.109375" style="1" customWidth="1"/>
    <col min="760" max="760" width="21.33203125" style="1" customWidth="1"/>
    <col min="761" max="761" width="32.5546875" style="1" customWidth="1"/>
    <col min="762" max="762" width="16.88671875" style="1" customWidth="1"/>
    <col min="763" max="763" width="16.33203125" style="1" customWidth="1"/>
    <col min="764" max="994" width="10.33203125" style="1"/>
    <col min="995" max="995" width="4.44140625" style="1" customWidth="1"/>
    <col min="996" max="996" width="21.6640625" style="1" customWidth="1"/>
    <col min="997" max="997" width="15" style="1" customWidth="1"/>
    <col min="998" max="998" width="15.44140625" style="1" customWidth="1"/>
    <col min="999" max="999" width="11.5546875" style="1" customWidth="1"/>
    <col min="1000" max="1000" width="7.44140625" style="1" customWidth="1"/>
    <col min="1001" max="1001" width="14.109375" style="1" customWidth="1"/>
    <col min="1002" max="1002" width="10.6640625" style="1" customWidth="1"/>
    <col min="1003" max="1003" width="13.44140625" style="1" customWidth="1"/>
    <col min="1004" max="1004" width="11.44140625" style="1" customWidth="1"/>
    <col min="1005" max="1005" width="15" style="1" customWidth="1"/>
    <col min="1006" max="1006" width="14.5546875" style="1" customWidth="1"/>
    <col min="1007" max="1007" width="10.33203125" style="1"/>
    <col min="1008" max="1008" width="7.44140625" style="1" customWidth="1"/>
    <col min="1009" max="1009" width="12.88671875" style="1" customWidth="1"/>
    <col min="1010" max="1010" width="11.109375" style="1" customWidth="1"/>
    <col min="1011" max="1011" width="14" style="1" customWidth="1"/>
    <col min="1012" max="1012" width="33" style="1" customWidth="1"/>
    <col min="1013" max="1013" width="6.6640625" style="1" customWidth="1"/>
    <col min="1014" max="1014" width="19" style="1" customWidth="1"/>
    <col min="1015" max="1015" width="19.109375" style="1" customWidth="1"/>
    <col min="1016" max="1016" width="21.33203125" style="1" customWidth="1"/>
    <col min="1017" max="1017" width="32.5546875" style="1" customWidth="1"/>
    <col min="1018" max="1018" width="16.88671875" style="1" customWidth="1"/>
    <col min="1019" max="1019" width="16.33203125" style="1" customWidth="1"/>
    <col min="1020" max="1250" width="10.33203125" style="1"/>
    <col min="1251" max="1251" width="4.44140625" style="1" customWidth="1"/>
    <col min="1252" max="1252" width="21.6640625" style="1" customWidth="1"/>
    <col min="1253" max="1253" width="15" style="1" customWidth="1"/>
    <col min="1254" max="1254" width="15.44140625" style="1" customWidth="1"/>
    <col min="1255" max="1255" width="11.5546875" style="1" customWidth="1"/>
    <col min="1256" max="1256" width="7.44140625" style="1" customWidth="1"/>
    <col min="1257" max="1257" width="14.109375" style="1" customWidth="1"/>
    <col min="1258" max="1258" width="10.6640625" style="1" customWidth="1"/>
    <col min="1259" max="1259" width="13.44140625" style="1" customWidth="1"/>
    <col min="1260" max="1260" width="11.44140625" style="1" customWidth="1"/>
    <col min="1261" max="1261" width="15" style="1" customWidth="1"/>
    <col min="1262" max="1262" width="14.5546875" style="1" customWidth="1"/>
    <col min="1263" max="1263" width="10.33203125" style="1"/>
    <col min="1264" max="1264" width="7.44140625" style="1" customWidth="1"/>
    <col min="1265" max="1265" width="12.88671875" style="1" customWidth="1"/>
    <col min="1266" max="1266" width="11.109375" style="1" customWidth="1"/>
    <col min="1267" max="1267" width="14" style="1" customWidth="1"/>
    <col min="1268" max="1268" width="33" style="1" customWidth="1"/>
    <col min="1269" max="1269" width="6.6640625" style="1" customWidth="1"/>
    <col min="1270" max="1270" width="19" style="1" customWidth="1"/>
    <col min="1271" max="1271" width="19.109375" style="1" customWidth="1"/>
    <col min="1272" max="1272" width="21.33203125" style="1" customWidth="1"/>
    <col min="1273" max="1273" width="32.5546875" style="1" customWidth="1"/>
    <col min="1274" max="1274" width="16.88671875" style="1" customWidth="1"/>
    <col min="1275" max="1275" width="16.33203125" style="1" customWidth="1"/>
    <col min="1276" max="1506" width="10.33203125" style="1"/>
    <col min="1507" max="1507" width="4.44140625" style="1" customWidth="1"/>
    <col min="1508" max="1508" width="21.6640625" style="1" customWidth="1"/>
    <col min="1509" max="1509" width="15" style="1" customWidth="1"/>
    <col min="1510" max="1510" width="15.44140625" style="1" customWidth="1"/>
    <col min="1511" max="1511" width="11.5546875" style="1" customWidth="1"/>
    <col min="1512" max="1512" width="7.44140625" style="1" customWidth="1"/>
    <col min="1513" max="1513" width="14.109375" style="1" customWidth="1"/>
    <col min="1514" max="1514" width="10.6640625" style="1" customWidth="1"/>
    <col min="1515" max="1515" width="13.44140625" style="1" customWidth="1"/>
    <col min="1516" max="1516" width="11.44140625" style="1" customWidth="1"/>
    <col min="1517" max="1517" width="15" style="1" customWidth="1"/>
    <col min="1518" max="1518" width="14.5546875" style="1" customWidth="1"/>
    <col min="1519" max="1519" width="10.33203125" style="1"/>
    <col min="1520" max="1520" width="7.44140625" style="1" customWidth="1"/>
    <col min="1521" max="1521" width="12.88671875" style="1" customWidth="1"/>
    <col min="1522" max="1522" width="11.109375" style="1" customWidth="1"/>
    <col min="1523" max="1523" width="14" style="1" customWidth="1"/>
    <col min="1524" max="1524" width="33" style="1" customWidth="1"/>
    <col min="1525" max="1525" width="6.6640625" style="1" customWidth="1"/>
    <col min="1526" max="1526" width="19" style="1" customWidth="1"/>
    <col min="1527" max="1527" width="19.109375" style="1" customWidth="1"/>
    <col min="1528" max="1528" width="21.33203125" style="1" customWidth="1"/>
    <col min="1529" max="1529" width="32.5546875" style="1" customWidth="1"/>
    <col min="1530" max="1530" width="16.88671875" style="1" customWidth="1"/>
    <col min="1531" max="1531" width="16.33203125" style="1" customWidth="1"/>
    <col min="1532" max="1762" width="10.33203125" style="1"/>
    <col min="1763" max="1763" width="4.44140625" style="1" customWidth="1"/>
    <col min="1764" max="1764" width="21.6640625" style="1" customWidth="1"/>
    <col min="1765" max="1765" width="15" style="1" customWidth="1"/>
    <col min="1766" max="1766" width="15.44140625" style="1" customWidth="1"/>
    <col min="1767" max="1767" width="11.5546875" style="1" customWidth="1"/>
    <col min="1768" max="1768" width="7.44140625" style="1" customWidth="1"/>
    <col min="1769" max="1769" width="14.109375" style="1" customWidth="1"/>
    <col min="1770" max="1770" width="10.6640625" style="1" customWidth="1"/>
    <col min="1771" max="1771" width="13.44140625" style="1" customWidth="1"/>
    <col min="1772" max="1772" width="11.44140625" style="1" customWidth="1"/>
    <col min="1773" max="1773" width="15" style="1" customWidth="1"/>
    <col min="1774" max="1774" width="14.5546875" style="1" customWidth="1"/>
    <col min="1775" max="1775" width="10.33203125" style="1"/>
    <col min="1776" max="1776" width="7.44140625" style="1" customWidth="1"/>
    <col min="1777" max="1777" width="12.88671875" style="1" customWidth="1"/>
    <col min="1778" max="1778" width="11.109375" style="1" customWidth="1"/>
    <col min="1779" max="1779" width="14" style="1" customWidth="1"/>
    <col min="1780" max="1780" width="33" style="1" customWidth="1"/>
    <col min="1781" max="1781" width="6.6640625" style="1" customWidth="1"/>
    <col min="1782" max="1782" width="19" style="1" customWidth="1"/>
    <col min="1783" max="1783" width="19.109375" style="1" customWidth="1"/>
    <col min="1784" max="1784" width="21.33203125" style="1" customWidth="1"/>
    <col min="1785" max="1785" width="32.5546875" style="1" customWidth="1"/>
    <col min="1786" max="1786" width="16.88671875" style="1" customWidth="1"/>
    <col min="1787" max="1787" width="16.33203125" style="1" customWidth="1"/>
    <col min="1788" max="2018" width="10.33203125" style="1"/>
    <col min="2019" max="2019" width="4.44140625" style="1" customWidth="1"/>
    <col min="2020" max="2020" width="21.6640625" style="1" customWidth="1"/>
    <col min="2021" max="2021" width="15" style="1" customWidth="1"/>
    <col min="2022" max="2022" width="15.44140625" style="1" customWidth="1"/>
    <col min="2023" max="2023" width="11.5546875" style="1" customWidth="1"/>
    <col min="2024" max="2024" width="7.44140625" style="1" customWidth="1"/>
    <col min="2025" max="2025" width="14.109375" style="1" customWidth="1"/>
    <col min="2026" max="2026" width="10.6640625" style="1" customWidth="1"/>
    <col min="2027" max="2027" width="13.44140625" style="1" customWidth="1"/>
    <col min="2028" max="2028" width="11.44140625" style="1" customWidth="1"/>
    <col min="2029" max="2029" width="15" style="1" customWidth="1"/>
    <col min="2030" max="2030" width="14.5546875" style="1" customWidth="1"/>
    <col min="2031" max="2031" width="10.33203125" style="1"/>
    <col min="2032" max="2032" width="7.44140625" style="1" customWidth="1"/>
    <col min="2033" max="2033" width="12.88671875" style="1" customWidth="1"/>
    <col min="2034" max="2034" width="11.109375" style="1" customWidth="1"/>
    <col min="2035" max="2035" width="14" style="1" customWidth="1"/>
    <col min="2036" max="2036" width="33" style="1" customWidth="1"/>
    <col min="2037" max="2037" width="6.6640625" style="1" customWidth="1"/>
    <col min="2038" max="2038" width="19" style="1" customWidth="1"/>
    <col min="2039" max="2039" width="19.109375" style="1" customWidth="1"/>
    <col min="2040" max="2040" width="21.33203125" style="1" customWidth="1"/>
    <col min="2041" max="2041" width="32.5546875" style="1" customWidth="1"/>
    <col min="2042" max="2042" width="16.88671875" style="1" customWidth="1"/>
    <col min="2043" max="2043" width="16.33203125" style="1" customWidth="1"/>
    <col min="2044" max="2274" width="10.33203125" style="1"/>
    <col min="2275" max="2275" width="4.44140625" style="1" customWidth="1"/>
    <col min="2276" max="2276" width="21.6640625" style="1" customWidth="1"/>
    <col min="2277" max="2277" width="15" style="1" customWidth="1"/>
    <col min="2278" max="2278" width="15.44140625" style="1" customWidth="1"/>
    <col min="2279" max="2279" width="11.5546875" style="1" customWidth="1"/>
    <col min="2280" max="2280" width="7.44140625" style="1" customWidth="1"/>
    <col min="2281" max="2281" width="14.109375" style="1" customWidth="1"/>
    <col min="2282" max="2282" width="10.6640625" style="1" customWidth="1"/>
    <col min="2283" max="2283" width="13.44140625" style="1" customWidth="1"/>
    <col min="2284" max="2284" width="11.44140625" style="1" customWidth="1"/>
    <col min="2285" max="2285" width="15" style="1" customWidth="1"/>
    <col min="2286" max="2286" width="14.5546875" style="1" customWidth="1"/>
    <col min="2287" max="2287" width="10.33203125" style="1"/>
    <col min="2288" max="2288" width="7.44140625" style="1" customWidth="1"/>
    <col min="2289" max="2289" width="12.88671875" style="1" customWidth="1"/>
    <col min="2290" max="2290" width="11.109375" style="1" customWidth="1"/>
    <col min="2291" max="2291" width="14" style="1" customWidth="1"/>
    <col min="2292" max="2292" width="33" style="1" customWidth="1"/>
    <col min="2293" max="2293" width="6.6640625" style="1" customWidth="1"/>
    <col min="2294" max="2294" width="19" style="1" customWidth="1"/>
    <col min="2295" max="2295" width="19.109375" style="1" customWidth="1"/>
    <col min="2296" max="2296" width="21.33203125" style="1" customWidth="1"/>
    <col min="2297" max="2297" width="32.5546875" style="1" customWidth="1"/>
    <col min="2298" max="2298" width="16.88671875" style="1" customWidth="1"/>
    <col min="2299" max="2299" width="16.33203125" style="1" customWidth="1"/>
    <col min="2300" max="2530" width="10.33203125" style="1"/>
    <col min="2531" max="2531" width="4.44140625" style="1" customWidth="1"/>
    <col min="2532" max="2532" width="21.6640625" style="1" customWidth="1"/>
    <col min="2533" max="2533" width="15" style="1" customWidth="1"/>
    <col min="2534" max="2534" width="15.44140625" style="1" customWidth="1"/>
    <col min="2535" max="2535" width="11.5546875" style="1" customWidth="1"/>
    <col min="2536" max="2536" width="7.44140625" style="1" customWidth="1"/>
    <col min="2537" max="2537" width="14.109375" style="1" customWidth="1"/>
    <col min="2538" max="2538" width="10.6640625" style="1" customWidth="1"/>
    <col min="2539" max="2539" width="13.44140625" style="1" customWidth="1"/>
    <col min="2540" max="2540" width="11.44140625" style="1" customWidth="1"/>
    <col min="2541" max="2541" width="15" style="1" customWidth="1"/>
    <col min="2542" max="2542" width="14.5546875" style="1" customWidth="1"/>
    <col min="2543" max="2543" width="10.33203125" style="1"/>
    <col min="2544" max="2544" width="7.44140625" style="1" customWidth="1"/>
    <col min="2545" max="2545" width="12.88671875" style="1" customWidth="1"/>
    <col min="2546" max="2546" width="11.109375" style="1" customWidth="1"/>
    <col min="2547" max="2547" width="14" style="1" customWidth="1"/>
    <col min="2548" max="2548" width="33" style="1" customWidth="1"/>
    <col min="2549" max="2549" width="6.6640625" style="1" customWidth="1"/>
    <col min="2550" max="2550" width="19" style="1" customWidth="1"/>
    <col min="2551" max="2551" width="19.109375" style="1" customWidth="1"/>
    <col min="2552" max="2552" width="21.33203125" style="1" customWidth="1"/>
    <col min="2553" max="2553" width="32.5546875" style="1" customWidth="1"/>
    <col min="2554" max="2554" width="16.88671875" style="1" customWidth="1"/>
    <col min="2555" max="2555" width="16.33203125" style="1" customWidth="1"/>
    <col min="2556" max="2786" width="10.33203125" style="1"/>
    <col min="2787" max="2787" width="4.44140625" style="1" customWidth="1"/>
    <col min="2788" max="2788" width="21.6640625" style="1" customWidth="1"/>
    <col min="2789" max="2789" width="15" style="1" customWidth="1"/>
    <col min="2790" max="2790" width="15.44140625" style="1" customWidth="1"/>
    <col min="2791" max="2791" width="11.5546875" style="1" customWidth="1"/>
    <col min="2792" max="2792" width="7.44140625" style="1" customWidth="1"/>
    <col min="2793" max="2793" width="14.109375" style="1" customWidth="1"/>
    <col min="2794" max="2794" width="10.6640625" style="1" customWidth="1"/>
    <col min="2795" max="2795" width="13.44140625" style="1" customWidth="1"/>
    <col min="2796" max="2796" width="11.44140625" style="1" customWidth="1"/>
    <col min="2797" max="2797" width="15" style="1" customWidth="1"/>
    <col min="2798" max="2798" width="14.5546875" style="1" customWidth="1"/>
    <col min="2799" max="2799" width="10.33203125" style="1"/>
    <col min="2800" max="2800" width="7.44140625" style="1" customWidth="1"/>
    <col min="2801" max="2801" width="12.88671875" style="1" customWidth="1"/>
    <col min="2802" max="2802" width="11.109375" style="1" customWidth="1"/>
    <col min="2803" max="2803" width="14" style="1" customWidth="1"/>
    <col min="2804" max="2804" width="33" style="1" customWidth="1"/>
    <col min="2805" max="2805" width="6.6640625" style="1" customWidth="1"/>
    <col min="2806" max="2806" width="19" style="1" customWidth="1"/>
    <col min="2807" max="2807" width="19.109375" style="1" customWidth="1"/>
    <col min="2808" max="2808" width="21.33203125" style="1" customWidth="1"/>
    <col min="2809" max="2809" width="32.5546875" style="1" customWidth="1"/>
    <col min="2810" max="2810" width="16.88671875" style="1" customWidth="1"/>
    <col min="2811" max="2811" width="16.33203125" style="1" customWidth="1"/>
    <col min="2812" max="3042" width="10.33203125" style="1"/>
    <col min="3043" max="3043" width="4.44140625" style="1" customWidth="1"/>
    <col min="3044" max="3044" width="21.6640625" style="1" customWidth="1"/>
    <col min="3045" max="3045" width="15" style="1" customWidth="1"/>
    <col min="3046" max="3046" width="15.44140625" style="1" customWidth="1"/>
    <col min="3047" max="3047" width="11.5546875" style="1" customWidth="1"/>
    <col min="3048" max="3048" width="7.44140625" style="1" customWidth="1"/>
    <col min="3049" max="3049" width="14.109375" style="1" customWidth="1"/>
    <col min="3050" max="3050" width="10.6640625" style="1" customWidth="1"/>
    <col min="3051" max="3051" width="13.44140625" style="1" customWidth="1"/>
    <col min="3052" max="3052" width="11.44140625" style="1" customWidth="1"/>
    <col min="3053" max="3053" width="15" style="1" customWidth="1"/>
    <col min="3054" max="3054" width="14.5546875" style="1" customWidth="1"/>
    <col min="3055" max="3055" width="10.33203125" style="1"/>
    <col min="3056" max="3056" width="7.44140625" style="1" customWidth="1"/>
    <col min="3057" max="3057" width="12.88671875" style="1" customWidth="1"/>
    <col min="3058" max="3058" width="11.109375" style="1" customWidth="1"/>
    <col min="3059" max="3059" width="14" style="1" customWidth="1"/>
    <col min="3060" max="3060" width="33" style="1" customWidth="1"/>
    <col min="3061" max="3061" width="6.6640625" style="1" customWidth="1"/>
    <col min="3062" max="3062" width="19" style="1" customWidth="1"/>
    <col min="3063" max="3063" width="19.109375" style="1" customWidth="1"/>
    <col min="3064" max="3064" width="21.33203125" style="1" customWidth="1"/>
    <col min="3065" max="3065" width="32.5546875" style="1" customWidth="1"/>
    <col min="3066" max="3066" width="16.88671875" style="1" customWidth="1"/>
    <col min="3067" max="3067" width="16.33203125" style="1" customWidth="1"/>
    <col min="3068" max="3298" width="10.33203125" style="1"/>
    <col min="3299" max="3299" width="4.44140625" style="1" customWidth="1"/>
    <col min="3300" max="3300" width="21.6640625" style="1" customWidth="1"/>
    <col min="3301" max="3301" width="15" style="1" customWidth="1"/>
    <col min="3302" max="3302" width="15.44140625" style="1" customWidth="1"/>
    <col min="3303" max="3303" width="11.5546875" style="1" customWidth="1"/>
    <col min="3304" max="3304" width="7.44140625" style="1" customWidth="1"/>
    <col min="3305" max="3305" width="14.109375" style="1" customWidth="1"/>
    <col min="3306" max="3306" width="10.6640625" style="1" customWidth="1"/>
    <col min="3307" max="3307" width="13.44140625" style="1" customWidth="1"/>
    <col min="3308" max="3308" width="11.44140625" style="1" customWidth="1"/>
    <col min="3309" max="3309" width="15" style="1" customWidth="1"/>
    <col min="3310" max="3310" width="14.5546875" style="1" customWidth="1"/>
    <col min="3311" max="3311" width="10.33203125" style="1"/>
    <col min="3312" max="3312" width="7.44140625" style="1" customWidth="1"/>
    <col min="3313" max="3313" width="12.88671875" style="1" customWidth="1"/>
    <col min="3314" max="3314" width="11.109375" style="1" customWidth="1"/>
    <col min="3315" max="3315" width="14" style="1" customWidth="1"/>
    <col min="3316" max="3316" width="33" style="1" customWidth="1"/>
    <col min="3317" max="3317" width="6.6640625" style="1" customWidth="1"/>
    <col min="3318" max="3318" width="19" style="1" customWidth="1"/>
    <col min="3319" max="3319" width="19.109375" style="1" customWidth="1"/>
    <col min="3320" max="3320" width="21.33203125" style="1" customWidth="1"/>
    <col min="3321" max="3321" width="32.5546875" style="1" customWidth="1"/>
    <col min="3322" max="3322" width="16.88671875" style="1" customWidth="1"/>
    <col min="3323" max="3323" width="16.33203125" style="1" customWidth="1"/>
    <col min="3324" max="3554" width="10.33203125" style="1"/>
    <col min="3555" max="3555" width="4.44140625" style="1" customWidth="1"/>
    <col min="3556" max="3556" width="21.6640625" style="1" customWidth="1"/>
    <col min="3557" max="3557" width="15" style="1" customWidth="1"/>
    <col min="3558" max="3558" width="15.44140625" style="1" customWidth="1"/>
    <col min="3559" max="3559" width="11.5546875" style="1" customWidth="1"/>
    <col min="3560" max="3560" width="7.44140625" style="1" customWidth="1"/>
    <col min="3561" max="3561" width="14.109375" style="1" customWidth="1"/>
    <col min="3562" max="3562" width="10.6640625" style="1" customWidth="1"/>
    <col min="3563" max="3563" width="13.44140625" style="1" customWidth="1"/>
    <col min="3564" max="3564" width="11.44140625" style="1" customWidth="1"/>
    <col min="3565" max="3565" width="15" style="1" customWidth="1"/>
    <col min="3566" max="3566" width="14.5546875" style="1" customWidth="1"/>
    <col min="3567" max="3567" width="10.33203125" style="1"/>
    <col min="3568" max="3568" width="7.44140625" style="1" customWidth="1"/>
    <col min="3569" max="3569" width="12.88671875" style="1" customWidth="1"/>
    <col min="3570" max="3570" width="11.109375" style="1" customWidth="1"/>
    <col min="3571" max="3571" width="14" style="1" customWidth="1"/>
    <col min="3572" max="3572" width="33" style="1" customWidth="1"/>
    <col min="3573" max="3573" width="6.6640625" style="1" customWidth="1"/>
    <col min="3574" max="3574" width="19" style="1" customWidth="1"/>
    <col min="3575" max="3575" width="19.109375" style="1" customWidth="1"/>
    <col min="3576" max="3576" width="21.33203125" style="1" customWidth="1"/>
    <col min="3577" max="3577" width="32.5546875" style="1" customWidth="1"/>
    <col min="3578" max="3578" width="16.88671875" style="1" customWidth="1"/>
    <col min="3579" max="3579" width="16.33203125" style="1" customWidth="1"/>
    <col min="3580" max="3810" width="10.33203125" style="1"/>
    <col min="3811" max="3811" width="4.44140625" style="1" customWidth="1"/>
    <col min="3812" max="3812" width="21.6640625" style="1" customWidth="1"/>
    <col min="3813" max="3813" width="15" style="1" customWidth="1"/>
    <col min="3814" max="3814" width="15.44140625" style="1" customWidth="1"/>
    <col min="3815" max="3815" width="11.5546875" style="1" customWidth="1"/>
    <col min="3816" max="3816" width="7.44140625" style="1" customWidth="1"/>
    <col min="3817" max="3817" width="14.109375" style="1" customWidth="1"/>
    <col min="3818" max="3818" width="10.6640625" style="1" customWidth="1"/>
    <col min="3819" max="3819" width="13.44140625" style="1" customWidth="1"/>
    <col min="3820" max="3820" width="11.44140625" style="1" customWidth="1"/>
    <col min="3821" max="3821" width="15" style="1" customWidth="1"/>
    <col min="3822" max="3822" width="14.5546875" style="1" customWidth="1"/>
    <col min="3823" max="3823" width="10.33203125" style="1"/>
    <col min="3824" max="3824" width="7.44140625" style="1" customWidth="1"/>
    <col min="3825" max="3825" width="12.88671875" style="1" customWidth="1"/>
    <col min="3826" max="3826" width="11.109375" style="1" customWidth="1"/>
    <col min="3827" max="3827" width="14" style="1" customWidth="1"/>
    <col min="3828" max="3828" width="33" style="1" customWidth="1"/>
    <col min="3829" max="3829" width="6.6640625" style="1" customWidth="1"/>
    <col min="3830" max="3830" width="19" style="1" customWidth="1"/>
    <col min="3831" max="3831" width="19.109375" style="1" customWidth="1"/>
    <col min="3832" max="3832" width="21.33203125" style="1" customWidth="1"/>
    <col min="3833" max="3833" width="32.5546875" style="1" customWidth="1"/>
    <col min="3834" max="3834" width="16.88671875" style="1" customWidth="1"/>
    <col min="3835" max="3835" width="16.33203125" style="1" customWidth="1"/>
    <col min="3836" max="4066" width="10.33203125" style="1"/>
    <col min="4067" max="4067" width="4.44140625" style="1" customWidth="1"/>
    <col min="4068" max="4068" width="21.6640625" style="1" customWidth="1"/>
    <col min="4069" max="4069" width="15" style="1" customWidth="1"/>
    <col min="4070" max="4070" width="15.44140625" style="1" customWidth="1"/>
    <col min="4071" max="4071" width="11.5546875" style="1" customWidth="1"/>
    <col min="4072" max="4072" width="7.44140625" style="1" customWidth="1"/>
    <col min="4073" max="4073" width="14.109375" style="1" customWidth="1"/>
    <col min="4074" max="4074" width="10.6640625" style="1" customWidth="1"/>
    <col min="4075" max="4075" width="13.44140625" style="1" customWidth="1"/>
    <col min="4076" max="4076" width="11.44140625" style="1" customWidth="1"/>
    <col min="4077" max="4077" width="15" style="1" customWidth="1"/>
    <col min="4078" max="4078" width="14.5546875" style="1" customWidth="1"/>
    <col min="4079" max="4079" width="10.33203125" style="1"/>
    <col min="4080" max="4080" width="7.44140625" style="1" customWidth="1"/>
    <col min="4081" max="4081" width="12.88671875" style="1" customWidth="1"/>
    <col min="4082" max="4082" width="11.109375" style="1" customWidth="1"/>
    <col min="4083" max="4083" width="14" style="1" customWidth="1"/>
    <col min="4084" max="4084" width="33" style="1" customWidth="1"/>
    <col min="4085" max="4085" width="6.6640625" style="1" customWidth="1"/>
    <col min="4086" max="4086" width="19" style="1" customWidth="1"/>
    <col min="4087" max="4087" width="19.109375" style="1" customWidth="1"/>
    <col min="4088" max="4088" width="21.33203125" style="1" customWidth="1"/>
    <col min="4089" max="4089" width="32.5546875" style="1" customWidth="1"/>
    <col min="4090" max="4090" width="16.88671875" style="1" customWidth="1"/>
    <col min="4091" max="4091" width="16.33203125" style="1" customWidth="1"/>
    <col min="4092" max="4322" width="10.33203125" style="1"/>
    <col min="4323" max="4323" width="4.44140625" style="1" customWidth="1"/>
    <col min="4324" max="4324" width="21.6640625" style="1" customWidth="1"/>
    <col min="4325" max="4325" width="15" style="1" customWidth="1"/>
    <col min="4326" max="4326" width="15.44140625" style="1" customWidth="1"/>
    <col min="4327" max="4327" width="11.5546875" style="1" customWidth="1"/>
    <col min="4328" max="4328" width="7.44140625" style="1" customWidth="1"/>
    <col min="4329" max="4329" width="14.109375" style="1" customWidth="1"/>
    <col min="4330" max="4330" width="10.6640625" style="1" customWidth="1"/>
    <col min="4331" max="4331" width="13.44140625" style="1" customWidth="1"/>
    <col min="4332" max="4332" width="11.44140625" style="1" customWidth="1"/>
    <col min="4333" max="4333" width="15" style="1" customWidth="1"/>
    <col min="4334" max="4334" width="14.5546875" style="1" customWidth="1"/>
    <col min="4335" max="4335" width="10.33203125" style="1"/>
    <col min="4336" max="4336" width="7.44140625" style="1" customWidth="1"/>
    <col min="4337" max="4337" width="12.88671875" style="1" customWidth="1"/>
    <col min="4338" max="4338" width="11.109375" style="1" customWidth="1"/>
    <col min="4339" max="4339" width="14" style="1" customWidth="1"/>
    <col min="4340" max="4340" width="33" style="1" customWidth="1"/>
    <col min="4341" max="4341" width="6.6640625" style="1" customWidth="1"/>
    <col min="4342" max="4342" width="19" style="1" customWidth="1"/>
    <col min="4343" max="4343" width="19.109375" style="1" customWidth="1"/>
    <col min="4344" max="4344" width="21.33203125" style="1" customWidth="1"/>
    <col min="4345" max="4345" width="32.5546875" style="1" customWidth="1"/>
    <col min="4346" max="4346" width="16.88671875" style="1" customWidth="1"/>
    <col min="4347" max="4347" width="16.33203125" style="1" customWidth="1"/>
    <col min="4348" max="4578" width="10.33203125" style="1"/>
    <col min="4579" max="4579" width="4.44140625" style="1" customWidth="1"/>
    <col min="4580" max="4580" width="21.6640625" style="1" customWidth="1"/>
    <col min="4581" max="4581" width="15" style="1" customWidth="1"/>
    <col min="4582" max="4582" width="15.44140625" style="1" customWidth="1"/>
    <col min="4583" max="4583" width="11.5546875" style="1" customWidth="1"/>
    <col min="4584" max="4584" width="7.44140625" style="1" customWidth="1"/>
    <col min="4585" max="4585" width="14.109375" style="1" customWidth="1"/>
    <col min="4586" max="4586" width="10.6640625" style="1" customWidth="1"/>
    <col min="4587" max="4587" width="13.44140625" style="1" customWidth="1"/>
    <col min="4588" max="4588" width="11.44140625" style="1" customWidth="1"/>
    <col min="4589" max="4589" width="15" style="1" customWidth="1"/>
    <col min="4590" max="4590" width="14.5546875" style="1" customWidth="1"/>
    <col min="4591" max="4591" width="10.33203125" style="1"/>
    <col min="4592" max="4592" width="7.44140625" style="1" customWidth="1"/>
    <col min="4593" max="4593" width="12.88671875" style="1" customWidth="1"/>
    <col min="4594" max="4594" width="11.109375" style="1" customWidth="1"/>
    <col min="4595" max="4595" width="14" style="1" customWidth="1"/>
    <col min="4596" max="4596" width="33" style="1" customWidth="1"/>
    <col min="4597" max="4597" width="6.6640625" style="1" customWidth="1"/>
    <col min="4598" max="4598" width="19" style="1" customWidth="1"/>
    <col min="4599" max="4599" width="19.109375" style="1" customWidth="1"/>
    <col min="4600" max="4600" width="21.33203125" style="1" customWidth="1"/>
    <col min="4601" max="4601" width="32.5546875" style="1" customWidth="1"/>
    <col min="4602" max="4602" width="16.88671875" style="1" customWidth="1"/>
    <col min="4603" max="4603" width="16.33203125" style="1" customWidth="1"/>
    <col min="4604" max="4834" width="10.33203125" style="1"/>
    <col min="4835" max="4835" width="4.44140625" style="1" customWidth="1"/>
    <col min="4836" max="4836" width="21.6640625" style="1" customWidth="1"/>
    <col min="4837" max="4837" width="15" style="1" customWidth="1"/>
    <col min="4838" max="4838" width="15.44140625" style="1" customWidth="1"/>
    <col min="4839" max="4839" width="11.5546875" style="1" customWidth="1"/>
    <col min="4840" max="4840" width="7.44140625" style="1" customWidth="1"/>
    <col min="4841" max="4841" width="14.109375" style="1" customWidth="1"/>
    <col min="4842" max="4842" width="10.6640625" style="1" customWidth="1"/>
    <col min="4843" max="4843" width="13.44140625" style="1" customWidth="1"/>
    <col min="4844" max="4844" width="11.44140625" style="1" customWidth="1"/>
    <col min="4845" max="4845" width="15" style="1" customWidth="1"/>
    <col min="4846" max="4846" width="14.5546875" style="1" customWidth="1"/>
    <col min="4847" max="4847" width="10.33203125" style="1"/>
    <col min="4848" max="4848" width="7.44140625" style="1" customWidth="1"/>
    <col min="4849" max="4849" width="12.88671875" style="1" customWidth="1"/>
    <col min="4850" max="4850" width="11.109375" style="1" customWidth="1"/>
    <col min="4851" max="4851" width="14" style="1" customWidth="1"/>
    <col min="4852" max="4852" width="33" style="1" customWidth="1"/>
    <col min="4853" max="4853" width="6.6640625" style="1" customWidth="1"/>
    <col min="4854" max="4854" width="19" style="1" customWidth="1"/>
    <col min="4855" max="4855" width="19.109375" style="1" customWidth="1"/>
    <col min="4856" max="4856" width="21.33203125" style="1" customWidth="1"/>
    <col min="4857" max="4857" width="32.5546875" style="1" customWidth="1"/>
    <col min="4858" max="4858" width="16.88671875" style="1" customWidth="1"/>
    <col min="4859" max="4859" width="16.33203125" style="1" customWidth="1"/>
    <col min="4860" max="5090" width="10.33203125" style="1"/>
    <col min="5091" max="5091" width="4.44140625" style="1" customWidth="1"/>
    <col min="5092" max="5092" width="21.6640625" style="1" customWidth="1"/>
    <col min="5093" max="5093" width="15" style="1" customWidth="1"/>
    <col min="5094" max="5094" width="15.44140625" style="1" customWidth="1"/>
    <col min="5095" max="5095" width="11.5546875" style="1" customWidth="1"/>
    <col min="5096" max="5096" width="7.44140625" style="1" customWidth="1"/>
    <col min="5097" max="5097" width="14.109375" style="1" customWidth="1"/>
    <col min="5098" max="5098" width="10.6640625" style="1" customWidth="1"/>
    <col min="5099" max="5099" width="13.44140625" style="1" customWidth="1"/>
    <col min="5100" max="5100" width="11.44140625" style="1" customWidth="1"/>
    <col min="5101" max="5101" width="15" style="1" customWidth="1"/>
    <col min="5102" max="5102" width="14.5546875" style="1" customWidth="1"/>
    <col min="5103" max="5103" width="10.33203125" style="1"/>
    <col min="5104" max="5104" width="7.44140625" style="1" customWidth="1"/>
    <col min="5105" max="5105" width="12.88671875" style="1" customWidth="1"/>
    <col min="5106" max="5106" width="11.109375" style="1" customWidth="1"/>
    <col min="5107" max="5107" width="14" style="1" customWidth="1"/>
    <col min="5108" max="5108" width="33" style="1" customWidth="1"/>
    <col min="5109" max="5109" width="6.6640625" style="1" customWidth="1"/>
    <col min="5110" max="5110" width="19" style="1" customWidth="1"/>
    <col min="5111" max="5111" width="19.109375" style="1" customWidth="1"/>
    <col min="5112" max="5112" width="21.33203125" style="1" customWidth="1"/>
    <col min="5113" max="5113" width="32.5546875" style="1" customWidth="1"/>
    <col min="5114" max="5114" width="16.88671875" style="1" customWidth="1"/>
    <col min="5115" max="5115" width="16.33203125" style="1" customWidth="1"/>
    <col min="5116" max="5346" width="10.33203125" style="1"/>
    <col min="5347" max="5347" width="4.44140625" style="1" customWidth="1"/>
    <col min="5348" max="5348" width="21.6640625" style="1" customWidth="1"/>
    <col min="5349" max="5349" width="15" style="1" customWidth="1"/>
    <col min="5350" max="5350" width="15.44140625" style="1" customWidth="1"/>
    <col min="5351" max="5351" width="11.5546875" style="1" customWidth="1"/>
    <col min="5352" max="5352" width="7.44140625" style="1" customWidth="1"/>
    <col min="5353" max="5353" width="14.109375" style="1" customWidth="1"/>
    <col min="5354" max="5354" width="10.6640625" style="1" customWidth="1"/>
    <col min="5355" max="5355" width="13.44140625" style="1" customWidth="1"/>
    <col min="5356" max="5356" width="11.44140625" style="1" customWidth="1"/>
    <col min="5357" max="5357" width="15" style="1" customWidth="1"/>
    <col min="5358" max="5358" width="14.5546875" style="1" customWidth="1"/>
    <col min="5359" max="5359" width="10.33203125" style="1"/>
    <col min="5360" max="5360" width="7.44140625" style="1" customWidth="1"/>
    <col min="5361" max="5361" width="12.88671875" style="1" customWidth="1"/>
    <col min="5362" max="5362" width="11.109375" style="1" customWidth="1"/>
    <col min="5363" max="5363" width="14" style="1" customWidth="1"/>
    <col min="5364" max="5364" width="33" style="1" customWidth="1"/>
    <col min="5365" max="5365" width="6.6640625" style="1" customWidth="1"/>
    <col min="5366" max="5366" width="19" style="1" customWidth="1"/>
    <col min="5367" max="5367" width="19.109375" style="1" customWidth="1"/>
    <col min="5368" max="5368" width="21.33203125" style="1" customWidth="1"/>
    <col min="5369" max="5369" width="32.5546875" style="1" customWidth="1"/>
    <col min="5370" max="5370" width="16.88671875" style="1" customWidth="1"/>
    <col min="5371" max="5371" width="16.33203125" style="1" customWidth="1"/>
    <col min="5372" max="5602" width="10.33203125" style="1"/>
    <col min="5603" max="5603" width="4.44140625" style="1" customWidth="1"/>
    <col min="5604" max="5604" width="21.6640625" style="1" customWidth="1"/>
    <col min="5605" max="5605" width="15" style="1" customWidth="1"/>
    <col min="5606" max="5606" width="15.44140625" style="1" customWidth="1"/>
    <col min="5607" max="5607" width="11.5546875" style="1" customWidth="1"/>
    <col min="5608" max="5608" width="7.44140625" style="1" customWidth="1"/>
    <col min="5609" max="5609" width="14.109375" style="1" customWidth="1"/>
    <col min="5610" max="5610" width="10.6640625" style="1" customWidth="1"/>
    <col min="5611" max="5611" width="13.44140625" style="1" customWidth="1"/>
    <col min="5612" max="5612" width="11.44140625" style="1" customWidth="1"/>
    <col min="5613" max="5613" width="15" style="1" customWidth="1"/>
    <col min="5614" max="5614" width="14.5546875" style="1" customWidth="1"/>
    <col min="5615" max="5615" width="10.33203125" style="1"/>
    <col min="5616" max="5616" width="7.44140625" style="1" customWidth="1"/>
    <col min="5617" max="5617" width="12.88671875" style="1" customWidth="1"/>
    <col min="5618" max="5618" width="11.109375" style="1" customWidth="1"/>
    <col min="5619" max="5619" width="14" style="1" customWidth="1"/>
    <col min="5620" max="5620" width="33" style="1" customWidth="1"/>
    <col min="5621" max="5621" width="6.6640625" style="1" customWidth="1"/>
    <col min="5622" max="5622" width="19" style="1" customWidth="1"/>
    <col min="5623" max="5623" width="19.109375" style="1" customWidth="1"/>
    <col min="5624" max="5624" width="21.33203125" style="1" customWidth="1"/>
    <col min="5625" max="5625" width="32.5546875" style="1" customWidth="1"/>
    <col min="5626" max="5626" width="16.88671875" style="1" customWidth="1"/>
    <col min="5627" max="5627" width="16.33203125" style="1" customWidth="1"/>
    <col min="5628" max="5858" width="10.33203125" style="1"/>
    <col min="5859" max="5859" width="4.44140625" style="1" customWidth="1"/>
    <col min="5860" max="5860" width="21.6640625" style="1" customWidth="1"/>
    <col min="5861" max="5861" width="15" style="1" customWidth="1"/>
    <col min="5862" max="5862" width="15.44140625" style="1" customWidth="1"/>
    <col min="5863" max="5863" width="11.5546875" style="1" customWidth="1"/>
    <col min="5864" max="5864" width="7.44140625" style="1" customWidth="1"/>
    <col min="5865" max="5865" width="14.109375" style="1" customWidth="1"/>
    <col min="5866" max="5866" width="10.6640625" style="1" customWidth="1"/>
    <col min="5867" max="5867" width="13.44140625" style="1" customWidth="1"/>
    <col min="5868" max="5868" width="11.44140625" style="1" customWidth="1"/>
    <col min="5869" max="5869" width="15" style="1" customWidth="1"/>
    <col min="5870" max="5870" width="14.5546875" style="1" customWidth="1"/>
    <col min="5871" max="5871" width="10.33203125" style="1"/>
    <col min="5872" max="5872" width="7.44140625" style="1" customWidth="1"/>
    <col min="5873" max="5873" width="12.88671875" style="1" customWidth="1"/>
    <col min="5874" max="5874" width="11.109375" style="1" customWidth="1"/>
    <col min="5875" max="5875" width="14" style="1" customWidth="1"/>
    <col min="5876" max="5876" width="33" style="1" customWidth="1"/>
    <col min="5877" max="5877" width="6.6640625" style="1" customWidth="1"/>
    <col min="5878" max="5878" width="19" style="1" customWidth="1"/>
    <col min="5879" max="5879" width="19.109375" style="1" customWidth="1"/>
    <col min="5880" max="5880" width="21.33203125" style="1" customWidth="1"/>
    <col min="5881" max="5881" width="32.5546875" style="1" customWidth="1"/>
    <col min="5882" max="5882" width="16.88671875" style="1" customWidth="1"/>
    <col min="5883" max="5883" width="16.33203125" style="1" customWidth="1"/>
    <col min="5884" max="6114" width="10.33203125" style="1"/>
    <col min="6115" max="6115" width="4.44140625" style="1" customWidth="1"/>
    <col min="6116" max="6116" width="21.6640625" style="1" customWidth="1"/>
    <col min="6117" max="6117" width="15" style="1" customWidth="1"/>
    <col min="6118" max="6118" width="15.44140625" style="1" customWidth="1"/>
    <col min="6119" max="6119" width="11.5546875" style="1" customWidth="1"/>
    <col min="6120" max="6120" width="7.44140625" style="1" customWidth="1"/>
    <col min="6121" max="6121" width="14.109375" style="1" customWidth="1"/>
    <col min="6122" max="6122" width="10.6640625" style="1" customWidth="1"/>
    <col min="6123" max="6123" width="13.44140625" style="1" customWidth="1"/>
    <col min="6124" max="6124" width="11.44140625" style="1" customWidth="1"/>
    <col min="6125" max="6125" width="15" style="1" customWidth="1"/>
    <col min="6126" max="6126" width="14.5546875" style="1" customWidth="1"/>
    <col min="6127" max="6127" width="10.33203125" style="1"/>
    <col min="6128" max="6128" width="7.44140625" style="1" customWidth="1"/>
    <col min="6129" max="6129" width="12.88671875" style="1" customWidth="1"/>
    <col min="6130" max="6130" width="11.109375" style="1" customWidth="1"/>
    <col min="6131" max="6131" width="14" style="1" customWidth="1"/>
    <col min="6132" max="6132" width="33" style="1" customWidth="1"/>
    <col min="6133" max="6133" width="6.6640625" style="1" customWidth="1"/>
    <col min="6134" max="6134" width="19" style="1" customWidth="1"/>
    <col min="6135" max="6135" width="19.109375" style="1" customWidth="1"/>
    <col min="6136" max="6136" width="21.33203125" style="1" customWidth="1"/>
    <col min="6137" max="6137" width="32.5546875" style="1" customWidth="1"/>
    <col min="6138" max="6138" width="16.88671875" style="1" customWidth="1"/>
    <col min="6139" max="6139" width="16.33203125" style="1" customWidth="1"/>
    <col min="6140" max="6370" width="10.33203125" style="1"/>
    <col min="6371" max="6371" width="4.44140625" style="1" customWidth="1"/>
    <col min="6372" max="6372" width="21.6640625" style="1" customWidth="1"/>
    <col min="6373" max="6373" width="15" style="1" customWidth="1"/>
    <col min="6374" max="6374" width="15.44140625" style="1" customWidth="1"/>
    <col min="6375" max="6375" width="11.5546875" style="1" customWidth="1"/>
    <col min="6376" max="6376" width="7.44140625" style="1" customWidth="1"/>
    <col min="6377" max="6377" width="14.109375" style="1" customWidth="1"/>
    <col min="6378" max="6378" width="10.6640625" style="1" customWidth="1"/>
    <col min="6379" max="6379" width="13.44140625" style="1" customWidth="1"/>
    <col min="6380" max="6380" width="11.44140625" style="1" customWidth="1"/>
    <col min="6381" max="6381" width="15" style="1" customWidth="1"/>
    <col min="6382" max="6382" width="14.5546875" style="1" customWidth="1"/>
    <col min="6383" max="6383" width="10.33203125" style="1"/>
    <col min="6384" max="6384" width="7.44140625" style="1" customWidth="1"/>
    <col min="6385" max="6385" width="12.88671875" style="1" customWidth="1"/>
    <col min="6386" max="6386" width="11.109375" style="1" customWidth="1"/>
    <col min="6387" max="6387" width="14" style="1" customWidth="1"/>
    <col min="6388" max="6388" width="33" style="1" customWidth="1"/>
    <col min="6389" max="6389" width="6.6640625" style="1" customWidth="1"/>
    <col min="6390" max="6390" width="19" style="1" customWidth="1"/>
    <col min="6391" max="6391" width="19.109375" style="1" customWidth="1"/>
    <col min="6392" max="6392" width="21.33203125" style="1" customWidth="1"/>
    <col min="6393" max="6393" width="32.5546875" style="1" customWidth="1"/>
    <col min="6394" max="6394" width="16.88671875" style="1" customWidth="1"/>
    <col min="6395" max="6395" width="16.33203125" style="1" customWidth="1"/>
    <col min="6396" max="6626" width="10.33203125" style="1"/>
    <col min="6627" max="6627" width="4.44140625" style="1" customWidth="1"/>
    <col min="6628" max="6628" width="21.6640625" style="1" customWidth="1"/>
    <col min="6629" max="6629" width="15" style="1" customWidth="1"/>
    <col min="6630" max="6630" width="15.44140625" style="1" customWidth="1"/>
    <col min="6631" max="6631" width="11.5546875" style="1" customWidth="1"/>
    <col min="6632" max="6632" width="7.44140625" style="1" customWidth="1"/>
    <col min="6633" max="6633" width="14.109375" style="1" customWidth="1"/>
    <col min="6634" max="6634" width="10.6640625" style="1" customWidth="1"/>
    <col min="6635" max="6635" width="13.44140625" style="1" customWidth="1"/>
    <col min="6636" max="6636" width="11.44140625" style="1" customWidth="1"/>
    <col min="6637" max="6637" width="15" style="1" customWidth="1"/>
    <col min="6638" max="6638" width="14.5546875" style="1" customWidth="1"/>
    <col min="6639" max="6639" width="10.33203125" style="1"/>
    <col min="6640" max="6640" width="7.44140625" style="1" customWidth="1"/>
    <col min="6641" max="6641" width="12.88671875" style="1" customWidth="1"/>
    <col min="6642" max="6642" width="11.109375" style="1" customWidth="1"/>
    <col min="6643" max="6643" width="14" style="1" customWidth="1"/>
    <col min="6644" max="6644" width="33" style="1" customWidth="1"/>
    <col min="6645" max="6645" width="6.6640625" style="1" customWidth="1"/>
    <col min="6646" max="6646" width="19" style="1" customWidth="1"/>
    <col min="6647" max="6647" width="19.109375" style="1" customWidth="1"/>
    <col min="6648" max="6648" width="21.33203125" style="1" customWidth="1"/>
    <col min="6649" max="6649" width="32.5546875" style="1" customWidth="1"/>
    <col min="6650" max="6650" width="16.88671875" style="1" customWidth="1"/>
    <col min="6651" max="6651" width="16.33203125" style="1" customWidth="1"/>
    <col min="6652" max="6882" width="10.33203125" style="1"/>
    <col min="6883" max="6883" width="4.44140625" style="1" customWidth="1"/>
    <col min="6884" max="6884" width="21.6640625" style="1" customWidth="1"/>
    <col min="6885" max="6885" width="15" style="1" customWidth="1"/>
    <col min="6886" max="6886" width="15.44140625" style="1" customWidth="1"/>
    <col min="6887" max="6887" width="11.5546875" style="1" customWidth="1"/>
    <col min="6888" max="6888" width="7.44140625" style="1" customWidth="1"/>
    <col min="6889" max="6889" width="14.109375" style="1" customWidth="1"/>
    <col min="6890" max="6890" width="10.6640625" style="1" customWidth="1"/>
    <col min="6891" max="6891" width="13.44140625" style="1" customWidth="1"/>
    <col min="6892" max="6892" width="11.44140625" style="1" customWidth="1"/>
    <col min="6893" max="6893" width="15" style="1" customWidth="1"/>
    <col min="6894" max="6894" width="14.5546875" style="1" customWidth="1"/>
    <col min="6895" max="6895" width="10.33203125" style="1"/>
    <col min="6896" max="6896" width="7.44140625" style="1" customWidth="1"/>
    <col min="6897" max="6897" width="12.88671875" style="1" customWidth="1"/>
    <col min="6898" max="6898" width="11.109375" style="1" customWidth="1"/>
    <col min="6899" max="6899" width="14" style="1" customWidth="1"/>
    <col min="6900" max="6900" width="33" style="1" customWidth="1"/>
    <col min="6901" max="6901" width="6.6640625" style="1" customWidth="1"/>
    <col min="6902" max="6902" width="19" style="1" customWidth="1"/>
    <col min="6903" max="6903" width="19.109375" style="1" customWidth="1"/>
    <col min="6904" max="6904" width="21.33203125" style="1" customWidth="1"/>
    <col min="6905" max="6905" width="32.5546875" style="1" customWidth="1"/>
    <col min="6906" max="6906" width="16.88671875" style="1" customWidth="1"/>
    <col min="6907" max="6907" width="16.33203125" style="1" customWidth="1"/>
    <col min="6908" max="7138" width="10.33203125" style="1"/>
    <col min="7139" max="7139" width="4.44140625" style="1" customWidth="1"/>
    <col min="7140" max="7140" width="21.6640625" style="1" customWidth="1"/>
    <col min="7141" max="7141" width="15" style="1" customWidth="1"/>
    <col min="7142" max="7142" width="15.44140625" style="1" customWidth="1"/>
    <col min="7143" max="7143" width="11.5546875" style="1" customWidth="1"/>
    <col min="7144" max="7144" width="7.44140625" style="1" customWidth="1"/>
    <col min="7145" max="7145" width="14.109375" style="1" customWidth="1"/>
    <col min="7146" max="7146" width="10.6640625" style="1" customWidth="1"/>
    <col min="7147" max="7147" width="13.44140625" style="1" customWidth="1"/>
    <col min="7148" max="7148" width="11.44140625" style="1" customWidth="1"/>
    <col min="7149" max="7149" width="15" style="1" customWidth="1"/>
    <col min="7150" max="7150" width="14.5546875" style="1" customWidth="1"/>
    <col min="7151" max="7151" width="10.33203125" style="1"/>
    <col min="7152" max="7152" width="7.44140625" style="1" customWidth="1"/>
    <col min="7153" max="7153" width="12.88671875" style="1" customWidth="1"/>
    <col min="7154" max="7154" width="11.109375" style="1" customWidth="1"/>
    <col min="7155" max="7155" width="14" style="1" customWidth="1"/>
    <col min="7156" max="7156" width="33" style="1" customWidth="1"/>
    <col min="7157" max="7157" width="6.6640625" style="1" customWidth="1"/>
    <col min="7158" max="7158" width="19" style="1" customWidth="1"/>
    <col min="7159" max="7159" width="19.109375" style="1" customWidth="1"/>
    <col min="7160" max="7160" width="21.33203125" style="1" customWidth="1"/>
    <col min="7161" max="7161" width="32.5546875" style="1" customWidth="1"/>
    <col min="7162" max="7162" width="16.88671875" style="1" customWidth="1"/>
    <col min="7163" max="7163" width="16.33203125" style="1" customWidth="1"/>
    <col min="7164" max="7394" width="10.33203125" style="1"/>
    <col min="7395" max="7395" width="4.44140625" style="1" customWidth="1"/>
    <col min="7396" max="7396" width="21.6640625" style="1" customWidth="1"/>
    <col min="7397" max="7397" width="15" style="1" customWidth="1"/>
    <col min="7398" max="7398" width="15.44140625" style="1" customWidth="1"/>
    <col min="7399" max="7399" width="11.5546875" style="1" customWidth="1"/>
    <col min="7400" max="7400" width="7.44140625" style="1" customWidth="1"/>
    <col min="7401" max="7401" width="14.109375" style="1" customWidth="1"/>
    <col min="7402" max="7402" width="10.6640625" style="1" customWidth="1"/>
    <col min="7403" max="7403" width="13.44140625" style="1" customWidth="1"/>
    <col min="7404" max="7404" width="11.44140625" style="1" customWidth="1"/>
    <col min="7405" max="7405" width="15" style="1" customWidth="1"/>
    <col min="7406" max="7406" width="14.5546875" style="1" customWidth="1"/>
    <col min="7407" max="7407" width="10.33203125" style="1"/>
    <col min="7408" max="7408" width="7.44140625" style="1" customWidth="1"/>
    <col min="7409" max="7409" width="12.88671875" style="1" customWidth="1"/>
    <col min="7410" max="7410" width="11.109375" style="1" customWidth="1"/>
    <col min="7411" max="7411" width="14" style="1" customWidth="1"/>
    <col min="7412" max="7412" width="33" style="1" customWidth="1"/>
    <col min="7413" max="7413" width="6.6640625" style="1" customWidth="1"/>
    <col min="7414" max="7414" width="19" style="1" customWidth="1"/>
    <col min="7415" max="7415" width="19.109375" style="1" customWidth="1"/>
    <col min="7416" max="7416" width="21.33203125" style="1" customWidth="1"/>
    <col min="7417" max="7417" width="32.5546875" style="1" customWidth="1"/>
    <col min="7418" max="7418" width="16.88671875" style="1" customWidth="1"/>
    <col min="7419" max="7419" width="16.33203125" style="1" customWidth="1"/>
    <col min="7420" max="7650" width="10.33203125" style="1"/>
    <col min="7651" max="7651" width="4.44140625" style="1" customWidth="1"/>
    <col min="7652" max="7652" width="21.6640625" style="1" customWidth="1"/>
    <col min="7653" max="7653" width="15" style="1" customWidth="1"/>
    <col min="7654" max="7654" width="15.44140625" style="1" customWidth="1"/>
    <col min="7655" max="7655" width="11.5546875" style="1" customWidth="1"/>
    <col min="7656" max="7656" width="7.44140625" style="1" customWidth="1"/>
    <col min="7657" max="7657" width="14.109375" style="1" customWidth="1"/>
    <col min="7658" max="7658" width="10.6640625" style="1" customWidth="1"/>
    <col min="7659" max="7659" width="13.44140625" style="1" customWidth="1"/>
    <col min="7660" max="7660" width="11.44140625" style="1" customWidth="1"/>
    <col min="7661" max="7661" width="15" style="1" customWidth="1"/>
    <col min="7662" max="7662" width="14.5546875" style="1" customWidth="1"/>
    <col min="7663" max="7663" width="10.33203125" style="1"/>
    <col min="7664" max="7664" width="7.44140625" style="1" customWidth="1"/>
    <col min="7665" max="7665" width="12.88671875" style="1" customWidth="1"/>
    <col min="7666" max="7666" width="11.109375" style="1" customWidth="1"/>
    <col min="7667" max="7667" width="14" style="1" customWidth="1"/>
    <col min="7668" max="7668" width="33" style="1" customWidth="1"/>
    <col min="7669" max="7669" width="6.6640625" style="1" customWidth="1"/>
    <col min="7670" max="7670" width="19" style="1" customWidth="1"/>
    <col min="7671" max="7671" width="19.109375" style="1" customWidth="1"/>
    <col min="7672" max="7672" width="21.33203125" style="1" customWidth="1"/>
    <col min="7673" max="7673" width="32.5546875" style="1" customWidth="1"/>
    <col min="7674" max="7674" width="16.88671875" style="1" customWidth="1"/>
    <col min="7675" max="7675" width="16.33203125" style="1" customWidth="1"/>
    <col min="7676" max="7906" width="10.33203125" style="1"/>
    <col min="7907" max="7907" width="4.44140625" style="1" customWidth="1"/>
    <col min="7908" max="7908" width="21.6640625" style="1" customWidth="1"/>
    <col min="7909" max="7909" width="15" style="1" customWidth="1"/>
    <col min="7910" max="7910" width="15.44140625" style="1" customWidth="1"/>
    <col min="7911" max="7911" width="11.5546875" style="1" customWidth="1"/>
    <col min="7912" max="7912" width="7.44140625" style="1" customWidth="1"/>
    <col min="7913" max="7913" width="14.109375" style="1" customWidth="1"/>
    <col min="7914" max="7914" width="10.6640625" style="1" customWidth="1"/>
    <col min="7915" max="7915" width="13.44140625" style="1" customWidth="1"/>
    <col min="7916" max="7916" width="11.44140625" style="1" customWidth="1"/>
    <col min="7917" max="7917" width="15" style="1" customWidth="1"/>
    <col min="7918" max="7918" width="14.5546875" style="1" customWidth="1"/>
    <col min="7919" max="7919" width="10.33203125" style="1"/>
    <col min="7920" max="7920" width="7.44140625" style="1" customWidth="1"/>
    <col min="7921" max="7921" width="12.88671875" style="1" customWidth="1"/>
    <col min="7922" max="7922" width="11.109375" style="1" customWidth="1"/>
    <col min="7923" max="7923" width="14" style="1" customWidth="1"/>
    <col min="7924" max="7924" width="33" style="1" customWidth="1"/>
    <col min="7925" max="7925" width="6.6640625" style="1" customWidth="1"/>
    <col min="7926" max="7926" width="19" style="1" customWidth="1"/>
    <col min="7927" max="7927" width="19.109375" style="1" customWidth="1"/>
    <col min="7928" max="7928" width="21.33203125" style="1" customWidth="1"/>
    <col min="7929" max="7929" width="32.5546875" style="1" customWidth="1"/>
    <col min="7930" max="7930" width="16.88671875" style="1" customWidth="1"/>
    <col min="7931" max="7931" width="16.33203125" style="1" customWidth="1"/>
    <col min="7932" max="8162" width="10.33203125" style="1"/>
    <col min="8163" max="8163" width="4.44140625" style="1" customWidth="1"/>
    <col min="8164" max="8164" width="21.6640625" style="1" customWidth="1"/>
    <col min="8165" max="8165" width="15" style="1" customWidth="1"/>
    <col min="8166" max="8166" width="15.44140625" style="1" customWidth="1"/>
    <col min="8167" max="8167" width="11.5546875" style="1" customWidth="1"/>
    <col min="8168" max="8168" width="7.44140625" style="1" customWidth="1"/>
    <col min="8169" max="8169" width="14.109375" style="1" customWidth="1"/>
    <col min="8170" max="8170" width="10.6640625" style="1" customWidth="1"/>
    <col min="8171" max="8171" width="13.44140625" style="1" customWidth="1"/>
    <col min="8172" max="8172" width="11.44140625" style="1" customWidth="1"/>
    <col min="8173" max="8173" width="15" style="1" customWidth="1"/>
    <col min="8174" max="8174" width="14.5546875" style="1" customWidth="1"/>
    <col min="8175" max="8175" width="10.33203125" style="1"/>
    <col min="8176" max="8176" width="7.44140625" style="1" customWidth="1"/>
    <col min="8177" max="8177" width="12.88671875" style="1" customWidth="1"/>
    <col min="8178" max="8178" width="11.109375" style="1" customWidth="1"/>
    <col min="8179" max="8179" width="14" style="1" customWidth="1"/>
    <col min="8180" max="8180" width="33" style="1" customWidth="1"/>
    <col min="8181" max="8181" width="6.6640625" style="1" customWidth="1"/>
    <col min="8182" max="8182" width="19" style="1" customWidth="1"/>
    <col min="8183" max="8183" width="19.109375" style="1" customWidth="1"/>
    <col min="8184" max="8184" width="21.33203125" style="1" customWidth="1"/>
    <col min="8185" max="8185" width="32.5546875" style="1" customWidth="1"/>
    <col min="8186" max="8186" width="16.88671875" style="1" customWidth="1"/>
    <col min="8187" max="8187" width="16.33203125" style="1" customWidth="1"/>
    <col min="8188" max="8418" width="10.33203125" style="1"/>
    <col min="8419" max="8419" width="4.44140625" style="1" customWidth="1"/>
    <col min="8420" max="8420" width="21.6640625" style="1" customWidth="1"/>
    <col min="8421" max="8421" width="15" style="1" customWidth="1"/>
    <col min="8422" max="8422" width="15.44140625" style="1" customWidth="1"/>
    <col min="8423" max="8423" width="11.5546875" style="1" customWidth="1"/>
    <col min="8424" max="8424" width="7.44140625" style="1" customWidth="1"/>
    <col min="8425" max="8425" width="14.109375" style="1" customWidth="1"/>
    <col min="8426" max="8426" width="10.6640625" style="1" customWidth="1"/>
    <col min="8427" max="8427" width="13.44140625" style="1" customWidth="1"/>
    <col min="8428" max="8428" width="11.44140625" style="1" customWidth="1"/>
    <col min="8429" max="8429" width="15" style="1" customWidth="1"/>
    <col min="8430" max="8430" width="14.5546875" style="1" customWidth="1"/>
    <col min="8431" max="8431" width="10.33203125" style="1"/>
    <col min="8432" max="8432" width="7.44140625" style="1" customWidth="1"/>
    <col min="8433" max="8433" width="12.88671875" style="1" customWidth="1"/>
    <col min="8434" max="8434" width="11.109375" style="1" customWidth="1"/>
    <col min="8435" max="8435" width="14" style="1" customWidth="1"/>
    <col min="8436" max="8436" width="33" style="1" customWidth="1"/>
    <col min="8437" max="8437" width="6.6640625" style="1" customWidth="1"/>
    <col min="8438" max="8438" width="19" style="1" customWidth="1"/>
    <col min="8439" max="8439" width="19.109375" style="1" customWidth="1"/>
    <col min="8440" max="8440" width="21.33203125" style="1" customWidth="1"/>
    <col min="8441" max="8441" width="32.5546875" style="1" customWidth="1"/>
    <col min="8442" max="8442" width="16.88671875" style="1" customWidth="1"/>
    <col min="8443" max="8443" width="16.33203125" style="1" customWidth="1"/>
    <col min="8444" max="8674" width="10.33203125" style="1"/>
    <col min="8675" max="8675" width="4.44140625" style="1" customWidth="1"/>
    <col min="8676" max="8676" width="21.6640625" style="1" customWidth="1"/>
    <col min="8677" max="8677" width="15" style="1" customWidth="1"/>
    <col min="8678" max="8678" width="15.44140625" style="1" customWidth="1"/>
    <col min="8679" max="8679" width="11.5546875" style="1" customWidth="1"/>
    <col min="8680" max="8680" width="7.44140625" style="1" customWidth="1"/>
    <col min="8681" max="8681" width="14.109375" style="1" customWidth="1"/>
    <col min="8682" max="8682" width="10.6640625" style="1" customWidth="1"/>
    <col min="8683" max="8683" width="13.44140625" style="1" customWidth="1"/>
    <col min="8684" max="8684" width="11.44140625" style="1" customWidth="1"/>
    <col min="8685" max="8685" width="15" style="1" customWidth="1"/>
    <col min="8686" max="8686" width="14.5546875" style="1" customWidth="1"/>
    <col min="8687" max="8687" width="10.33203125" style="1"/>
    <col min="8688" max="8688" width="7.44140625" style="1" customWidth="1"/>
    <col min="8689" max="8689" width="12.88671875" style="1" customWidth="1"/>
    <col min="8690" max="8690" width="11.109375" style="1" customWidth="1"/>
    <col min="8691" max="8691" width="14" style="1" customWidth="1"/>
    <col min="8692" max="8692" width="33" style="1" customWidth="1"/>
    <col min="8693" max="8693" width="6.6640625" style="1" customWidth="1"/>
    <col min="8694" max="8694" width="19" style="1" customWidth="1"/>
    <col min="8695" max="8695" width="19.109375" style="1" customWidth="1"/>
    <col min="8696" max="8696" width="21.33203125" style="1" customWidth="1"/>
    <col min="8697" max="8697" width="32.5546875" style="1" customWidth="1"/>
    <col min="8698" max="8698" width="16.88671875" style="1" customWidth="1"/>
    <col min="8699" max="8699" width="16.33203125" style="1" customWidth="1"/>
    <col min="8700" max="8930" width="10.33203125" style="1"/>
    <col min="8931" max="8931" width="4.44140625" style="1" customWidth="1"/>
    <col min="8932" max="8932" width="21.6640625" style="1" customWidth="1"/>
    <col min="8933" max="8933" width="15" style="1" customWidth="1"/>
    <col min="8934" max="8934" width="15.44140625" style="1" customWidth="1"/>
    <col min="8935" max="8935" width="11.5546875" style="1" customWidth="1"/>
    <col min="8936" max="8936" width="7.44140625" style="1" customWidth="1"/>
    <col min="8937" max="8937" width="14.109375" style="1" customWidth="1"/>
    <col min="8938" max="8938" width="10.6640625" style="1" customWidth="1"/>
    <col min="8939" max="8939" width="13.44140625" style="1" customWidth="1"/>
    <col min="8940" max="8940" width="11.44140625" style="1" customWidth="1"/>
    <col min="8941" max="8941" width="15" style="1" customWidth="1"/>
    <col min="8942" max="8942" width="14.5546875" style="1" customWidth="1"/>
    <col min="8943" max="8943" width="10.33203125" style="1"/>
    <col min="8944" max="8944" width="7.44140625" style="1" customWidth="1"/>
    <col min="8945" max="8945" width="12.88671875" style="1" customWidth="1"/>
    <col min="8946" max="8946" width="11.109375" style="1" customWidth="1"/>
    <col min="8947" max="8947" width="14" style="1" customWidth="1"/>
    <col min="8948" max="8948" width="33" style="1" customWidth="1"/>
    <col min="8949" max="8949" width="6.6640625" style="1" customWidth="1"/>
    <col min="8950" max="8950" width="19" style="1" customWidth="1"/>
    <col min="8951" max="8951" width="19.109375" style="1" customWidth="1"/>
    <col min="8952" max="8952" width="21.33203125" style="1" customWidth="1"/>
    <col min="8953" max="8953" width="32.5546875" style="1" customWidth="1"/>
    <col min="8954" max="8954" width="16.88671875" style="1" customWidth="1"/>
    <col min="8955" max="8955" width="16.33203125" style="1" customWidth="1"/>
    <col min="8956" max="9186" width="10.33203125" style="1"/>
    <col min="9187" max="9187" width="4.44140625" style="1" customWidth="1"/>
    <col min="9188" max="9188" width="21.6640625" style="1" customWidth="1"/>
    <col min="9189" max="9189" width="15" style="1" customWidth="1"/>
    <col min="9190" max="9190" width="15.44140625" style="1" customWidth="1"/>
    <col min="9191" max="9191" width="11.5546875" style="1" customWidth="1"/>
    <col min="9192" max="9192" width="7.44140625" style="1" customWidth="1"/>
    <col min="9193" max="9193" width="14.109375" style="1" customWidth="1"/>
    <col min="9194" max="9194" width="10.6640625" style="1" customWidth="1"/>
    <col min="9195" max="9195" width="13.44140625" style="1" customWidth="1"/>
    <col min="9196" max="9196" width="11.44140625" style="1" customWidth="1"/>
    <col min="9197" max="9197" width="15" style="1" customWidth="1"/>
    <col min="9198" max="9198" width="14.5546875" style="1" customWidth="1"/>
    <col min="9199" max="9199" width="10.33203125" style="1"/>
    <col min="9200" max="9200" width="7.44140625" style="1" customWidth="1"/>
    <col min="9201" max="9201" width="12.88671875" style="1" customWidth="1"/>
    <col min="9202" max="9202" width="11.109375" style="1" customWidth="1"/>
    <col min="9203" max="9203" width="14" style="1" customWidth="1"/>
    <col min="9204" max="9204" width="33" style="1" customWidth="1"/>
    <col min="9205" max="9205" width="6.6640625" style="1" customWidth="1"/>
    <col min="9206" max="9206" width="19" style="1" customWidth="1"/>
    <col min="9207" max="9207" width="19.109375" style="1" customWidth="1"/>
    <col min="9208" max="9208" width="21.33203125" style="1" customWidth="1"/>
    <col min="9209" max="9209" width="32.5546875" style="1" customWidth="1"/>
    <col min="9210" max="9210" width="16.88671875" style="1" customWidth="1"/>
    <col min="9211" max="9211" width="16.33203125" style="1" customWidth="1"/>
    <col min="9212" max="9442" width="10.33203125" style="1"/>
    <col min="9443" max="9443" width="4.44140625" style="1" customWidth="1"/>
    <col min="9444" max="9444" width="21.6640625" style="1" customWidth="1"/>
    <col min="9445" max="9445" width="15" style="1" customWidth="1"/>
    <col min="9446" max="9446" width="15.44140625" style="1" customWidth="1"/>
    <col min="9447" max="9447" width="11.5546875" style="1" customWidth="1"/>
    <col min="9448" max="9448" width="7.44140625" style="1" customWidth="1"/>
    <col min="9449" max="9449" width="14.109375" style="1" customWidth="1"/>
    <col min="9450" max="9450" width="10.6640625" style="1" customWidth="1"/>
    <col min="9451" max="9451" width="13.44140625" style="1" customWidth="1"/>
    <col min="9452" max="9452" width="11.44140625" style="1" customWidth="1"/>
    <col min="9453" max="9453" width="15" style="1" customWidth="1"/>
    <col min="9454" max="9454" width="14.5546875" style="1" customWidth="1"/>
    <col min="9455" max="9455" width="10.33203125" style="1"/>
    <col min="9456" max="9456" width="7.44140625" style="1" customWidth="1"/>
    <col min="9457" max="9457" width="12.88671875" style="1" customWidth="1"/>
    <col min="9458" max="9458" width="11.109375" style="1" customWidth="1"/>
    <col min="9459" max="9459" width="14" style="1" customWidth="1"/>
    <col min="9460" max="9460" width="33" style="1" customWidth="1"/>
    <col min="9461" max="9461" width="6.6640625" style="1" customWidth="1"/>
    <col min="9462" max="9462" width="19" style="1" customWidth="1"/>
    <col min="9463" max="9463" width="19.109375" style="1" customWidth="1"/>
    <col min="9464" max="9464" width="21.33203125" style="1" customWidth="1"/>
    <col min="9465" max="9465" width="32.5546875" style="1" customWidth="1"/>
    <col min="9466" max="9466" width="16.88671875" style="1" customWidth="1"/>
    <col min="9467" max="9467" width="16.33203125" style="1" customWidth="1"/>
    <col min="9468" max="9698" width="10.33203125" style="1"/>
    <col min="9699" max="9699" width="4.44140625" style="1" customWidth="1"/>
    <col min="9700" max="9700" width="21.6640625" style="1" customWidth="1"/>
    <col min="9701" max="9701" width="15" style="1" customWidth="1"/>
    <col min="9702" max="9702" width="15.44140625" style="1" customWidth="1"/>
    <col min="9703" max="9703" width="11.5546875" style="1" customWidth="1"/>
    <col min="9704" max="9704" width="7.44140625" style="1" customWidth="1"/>
    <col min="9705" max="9705" width="14.109375" style="1" customWidth="1"/>
    <col min="9706" max="9706" width="10.6640625" style="1" customWidth="1"/>
    <col min="9707" max="9707" width="13.44140625" style="1" customWidth="1"/>
    <col min="9708" max="9708" width="11.44140625" style="1" customWidth="1"/>
    <col min="9709" max="9709" width="15" style="1" customWidth="1"/>
    <col min="9710" max="9710" width="14.5546875" style="1" customWidth="1"/>
    <col min="9711" max="9711" width="10.33203125" style="1"/>
    <col min="9712" max="9712" width="7.44140625" style="1" customWidth="1"/>
    <col min="9713" max="9713" width="12.88671875" style="1" customWidth="1"/>
    <col min="9714" max="9714" width="11.109375" style="1" customWidth="1"/>
    <col min="9715" max="9715" width="14" style="1" customWidth="1"/>
    <col min="9716" max="9716" width="33" style="1" customWidth="1"/>
    <col min="9717" max="9717" width="6.6640625" style="1" customWidth="1"/>
    <col min="9718" max="9718" width="19" style="1" customWidth="1"/>
    <col min="9719" max="9719" width="19.109375" style="1" customWidth="1"/>
    <col min="9720" max="9720" width="21.33203125" style="1" customWidth="1"/>
    <col min="9721" max="9721" width="32.5546875" style="1" customWidth="1"/>
    <col min="9722" max="9722" width="16.88671875" style="1" customWidth="1"/>
    <col min="9723" max="9723" width="16.33203125" style="1" customWidth="1"/>
    <col min="9724" max="9954" width="10.33203125" style="1"/>
    <col min="9955" max="9955" width="4.44140625" style="1" customWidth="1"/>
    <col min="9956" max="9956" width="21.6640625" style="1" customWidth="1"/>
    <col min="9957" max="9957" width="15" style="1" customWidth="1"/>
    <col min="9958" max="9958" width="15.44140625" style="1" customWidth="1"/>
    <col min="9959" max="9959" width="11.5546875" style="1" customWidth="1"/>
    <col min="9960" max="9960" width="7.44140625" style="1" customWidth="1"/>
    <col min="9961" max="9961" width="14.109375" style="1" customWidth="1"/>
    <col min="9962" max="9962" width="10.6640625" style="1" customWidth="1"/>
    <col min="9963" max="9963" width="13.44140625" style="1" customWidth="1"/>
    <col min="9964" max="9964" width="11.44140625" style="1" customWidth="1"/>
    <col min="9965" max="9965" width="15" style="1" customWidth="1"/>
    <col min="9966" max="9966" width="14.5546875" style="1" customWidth="1"/>
    <col min="9967" max="9967" width="10.33203125" style="1"/>
    <col min="9968" max="9968" width="7.44140625" style="1" customWidth="1"/>
    <col min="9969" max="9969" width="12.88671875" style="1" customWidth="1"/>
    <col min="9970" max="9970" width="11.109375" style="1" customWidth="1"/>
    <col min="9971" max="9971" width="14" style="1" customWidth="1"/>
    <col min="9972" max="9972" width="33" style="1" customWidth="1"/>
    <col min="9973" max="9973" width="6.6640625" style="1" customWidth="1"/>
    <col min="9974" max="9974" width="19" style="1" customWidth="1"/>
    <col min="9975" max="9975" width="19.109375" style="1" customWidth="1"/>
    <col min="9976" max="9976" width="21.33203125" style="1" customWidth="1"/>
    <col min="9977" max="9977" width="32.5546875" style="1" customWidth="1"/>
    <col min="9978" max="9978" width="16.88671875" style="1" customWidth="1"/>
    <col min="9979" max="9979" width="16.33203125" style="1" customWidth="1"/>
    <col min="9980" max="10210" width="10.33203125" style="1"/>
    <col min="10211" max="10211" width="4.44140625" style="1" customWidth="1"/>
    <col min="10212" max="10212" width="21.6640625" style="1" customWidth="1"/>
    <col min="10213" max="10213" width="15" style="1" customWidth="1"/>
    <col min="10214" max="10214" width="15.44140625" style="1" customWidth="1"/>
    <col min="10215" max="10215" width="11.5546875" style="1" customWidth="1"/>
    <col min="10216" max="10216" width="7.44140625" style="1" customWidth="1"/>
    <col min="10217" max="10217" width="14.109375" style="1" customWidth="1"/>
    <col min="10218" max="10218" width="10.6640625" style="1" customWidth="1"/>
    <col min="10219" max="10219" width="13.44140625" style="1" customWidth="1"/>
    <col min="10220" max="10220" width="11.44140625" style="1" customWidth="1"/>
    <col min="10221" max="10221" width="15" style="1" customWidth="1"/>
    <col min="10222" max="10222" width="14.5546875" style="1" customWidth="1"/>
    <col min="10223" max="10223" width="10.33203125" style="1"/>
    <col min="10224" max="10224" width="7.44140625" style="1" customWidth="1"/>
    <col min="10225" max="10225" width="12.88671875" style="1" customWidth="1"/>
    <col min="10226" max="10226" width="11.109375" style="1" customWidth="1"/>
    <col min="10227" max="10227" width="14" style="1" customWidth="1"/>
    <col min="10228" max="10228" width="33" style="1" customWidth="1"/>
    <col min="10229" max="10229" width="6.6640625" style="1" customWidth="1"/>
    <col min="10230" max="10230" width="19" style="1" customWidth="1"/>
    <col min="10231" max="10231" width="19.109375" style="1" customWidth="1"/>
    <col min="10232" max="10232" width="21.33203125" style="1" customWidth="1"/>
    <col min="10233" max="10233" width="32.5546875" style="1" customWidth="1"/>
    <col min="10234" max="10234" width="16.88671875" style="1" customWidth="1"/>
    <col min="10235" max="10235" width="16.33203125" style="1" customWidth="1"/>
    <col min="10236" max="10466" width="10.33203125" style="1"/>
    <col min="10467" max="10467" width="4.44140625" style="1" customWidth="1"/>
    <col min="10468" max="10468" width="21.6640625" style="1" customWidth="1"/>
    <col min="10469" max="10469" width="15" style="1" customWidth="1"/>
    <col min="10470" max="10470" width="15.44140625" style="1" customWidth="1"/>
    <col min="10471" max="10471" width="11.5546875" style="1" customWidth="1"/>
    <col min="10472" max="10472" width="7.44140625" style="1" customWidth="1"/>
    <col min="10473" max="10473" width="14.109375" style="1" customWidth="1"/>
    <col min="10474" max="10474" width="10.6640625" style="1" customWidth="1"/>
    <col min="10475" max="10475" width="13.44140625" style="1" customWidth="1"/>
    <col min="10476" max="10476" width="11.44140625" style="1" customWidth="1"/>
    <col min="10477" max="10477" width="15" style="1" customWidth="1"/>
    <col min="10478" max="10478" width="14.5546875" style="1" customWidth="1"/>
    <col min="10479" max="10479" width="10.33203125" style="1"/>
    <col min="10480" max="10480" width="7.44140625" style="1" customWidth="1"/>
    <col min="10481" max="10481" width="12.88671875" style="1" customWidth="1"/>
    <col min="10482" max="10482" width="11.109375" style="1" customWidth="1"/>
    <col min="10483" max="10483" width="14" style="1" customWidth="1"/>
    <col min="10484" max="10484" width="33" style="1" customWidth="1"/>
    <col min="10485" max="10485" width="6.6640625" style="1" customWidth="1"/>
    <col min="10486" max="10486" width="19" style="1" customWidth="1"/>
    <col min="10487" max="10487" width="19.109375" style="1" customWidth="1"/>
    <col min="10488" max="10488" width="21.33203125" style="1" customWidth="1"/>
    <col min="10489" max="10489" width="32.5546875" style="1" customWidth="1"/>
    <col min="10490" max="10490" width="16.88671875" style="1" customWidth="1"/>
    <col min="10491" max="10491" width="16.33203125" style="1" customWidth="1"/>
    <col min="10492" max="10722" width="10.33203125" style="1"/>
    <col min="10723" max="10723" width="4.44140625" style="1" customWidth="1"/>
    <col min="10724" max="10724" width="21.6640625" style="1" customWidth="1"/>
    <col min="10725" max="10725" width="15" style="1" customWidth="1"/>
    <col min="10726" max="10726" width="15.44140625" style="1" customWidth="1"/>
    <col min="10727" max="10727" width="11.5546875" style="1" customWidth="1"/>
    <col min="10728" max="10728" width="7.44140625" style="1" customWidth="1"/>
    <col min="10729" max="10729" width="14.109375" style="1" customWidth="1"/>
    <col min="10730" max="10730" width="10.6640625" style="1" customWidth="1"/>
    <col min="10731" max="10731" width="13.44140625" style="1" customWidth="1"/>
    <col min="10732" max="10732" width="11.44140625" style="1" customWidth="1"/>
    <col min="10733" max="10733" width="15" style="1" customWidth="1"/>
    <col min="10734" max="10734" width="14.5546875" style="1" customWidth="1"/>
    <col min="10735" max="10735" width="10.33203125" style="1"/>
    <col min="10736" max="10736" width="7.44140625" style="1" customWidth="1"/>
    <col min="10737" max="10737" width="12.88671875" style="1" customWidth="1"/>
    <col min="10738" max="10738" width="11.109375" style="1" customWidth="1"/>
    <col min="10739" max="10739" width="14" style="1" customWidth="1"/>
    <col min="10740" max="10740" width="33" style="1" customWidth="1"/>
    <col min="10741" max="10741" width="6.6640625" style="1" customWidth="1"/>
    <col min="10742" max="10742" width="19" style="1" customWidth="1"/>
    <col min="10743" max="10743" width="19.109375" style="1" customWidth="1"/>
    <col min="10744" max="10744" width="21.33203125" style="1" customWidth="1"/>
    <col min="10745" max="10745" width="32.5546875" style="1" customWidth="1"/>
    <col min="10746" max="10746" width="16.88671875" style="1" customWidth="1"/>
    <col min="10747" max="10747" width="16.33203125" style="1" customWidth="1"/>
    <col min="10748" max="10978" width="10.33203125" style="1"/>
    <col min="10979" max="10979" width="4.44140625" style="1" customWidth="1"/>
    <col min="10980" max="10980" width="21.6640625" style="1" customWidth="1"/>
    <col min="10981" max="10981" width="15" style="1" customWidth="1"/>
    <col min="10982" max="10982" width="15.44140625" style="1" customWidth="1"/>
    <col min="10983" max="10983" width="11.5546875" style="1" customWidth="1"/>
    <col min="10984" max="10984" width="7.44140625" style="1" customWidth="1"/>
    <col min="10985" max="10985" width="14.109375" style="1" customWidth="1"/>
    <col min="10986" max="10986" width="10.6640625" style="1" customWidth="1"/>
    <col min="10987" max="10987" width="13.44140625" style="1" customWidth="1"/>
    <col min="10988" max="10988" width="11.44140625" style="1" customWidth="1"/>
    <col min="10989" max="10989" width="15" style="1" customWidth="1"/>
    <col min="10990" max="10990" width="14.5546875" style="1" customWidth="1"/>
    <col min="10991" max="10991" width="10.33203125" style="1"/>
    <col min="10992" max="10992" width="7.44140625" style="1" customWidth="1"/>
    <col min="10993" max="10993" width="12.88671875" style="1" customWidth="1"/>
    <col min="10994" max="10994" width="11.109375" style="1" customWidth="1"/>
    <col min="10995" max="10995" width="14" style="1" customWidth="1"/>
    <col min="10996" max="10996" width="33" style="1" customWidth="1"/>
    <col min="10997" max="10997" width="6.6640625" style="1" customWidth="1"/>
    <col min="10998" max="10998" width="19" style="1" customWidth="1"/>
    <col min="10999" max="10999" width="19.109375" style="1" customWidth="1"/>
    <col min="11000" max="11000" width="21.33203125" style="1" customWidth="1"/>
    <col min="11001" max="11001" width="32.5546875" style="1" customWidth="1"/>
    <col min="11002" max="11002" width="16.88671875" style="1" customWidth="1"/>
    <col min="11003" max="11003" width="16.33203125" style="1" customWidth="1"/>
    <col min="11004" max="11234" width="10.33203125" style="1"/>
    <col min="11235" max="11235" width="4.44140625" style="1" customWidth="1"/>
    <col min="11236" max="11236" width="21.6640625" style="1" customWidth="1"/>
    <col min="11237" max="11237" width="15" style="1" customWidth="1"/>
    <col min="11238" max="11238" width="15.44140625" style="1" customWidth="1"/>
    <col min="11239" max="11239" width="11.5546875" style="1" customWidth="1"/>
    <col min="11240" max="11240" width="7.44140625" style="1" customWidth="1"/>
    <col min="11241" max="11241" width="14.109375" style="1" customWidth="1"/>
    <col min="11242" max="11242" width="10.6640625" style="1" customWidth="1"/>
    <col min="11243" max="11243" width="13.44140625" style="1" customWidth="1"/>
    <col min="11244" max="11244" width="11.44140625" style="1" customWidth="1"/>
    <col min="11245" max="11245" width="15" style="1" customWidth="1"/>
    <col min="11246" max="11246" width="14.5546875" style="1" customWidth="1"/>
    <col min="11247" max="11247" width="10.33203125" style="1"/>
    <col min="11248" max="11248" width="7.44140625" style="1" customWidth="1"/>
    <col min="11249" max="11249" width="12.88671875" style="1" customWidth="1"/>
    <col min="11250" max="11250" width="11.109375" style="1" customWidth="1"/>
    <col min="11251" max="11251" width="14" style="1" customWidth="1"/>
    <col min="11252" max="11252" width="33" style="1" customWidth="1"/>
    <col min="11253" max="11253" width="6.6640625" style="1" customWidth="1"/>
    <col min="11254" max="11254" width="19" style="1" customWidth="1"/>
    <col min="11255" max="11255" width="19.109375" style="1" customWidth="1"/>
    <col min="11256" max="11256" width="21.33203125" style="1" customWidth="1"/>
    <col min="11257" max="11257" width="32.5546875" style="1" customWidth="1"/>
    <col min="11258" max="11258" width="16.88671875" style="1" customWidth="1"/>
    <col min="11259" max="11259" width="16.33203125" style="1" customWidth="1"/>
    <col min="11260" max="11490" width="10.33203125" style="1"/>
    <col min="11491" max="11491" width="4.44140625" style="1" customWidth="1"/>
    <col min="11492" max="11492" width="21.6640625" style="1" customWidth="1"/>
    <col min="11493" max="11493" width="15" style="1" customWidth="1"/>
    <col min="11494" max="11494" width="15.44140625" style="1" customWidth="1"/>
    <col min="11495" max="11495" width="11.5546875" style="1" customWidth="1"/>
    <col min="11496" max="11496" width="7.44140625" style="1" customWidth="1"/>
    <col min="11497" max="11497" width="14.109375" style="1" customWidth="1"/>
    <col min="11498" max="11498" width="10.6640625" style="1" customWidth="1"/>
    <col min="11499" max="11499" width="13.44140625" style="1" customWidth="1"/>
    <col min="11500" max="11500" width="11.44140625" style="1" customWidth="1"/>
    <col min="11501" max="11501" width="15" style="1" customWidth="1"/>
    <col min="11502" max="11502" width="14.5546875" style="1" customWidth="1"/>
    <col min="11503" max="11503" width="10.33203125" style="1"/>
    <col min="11504" max="11504" width="7.44140625" style="1" customWidth="1"/>
    <col min="11505" max="11505" width="12.88671875" style="1" customWidth="1"/>
    <col min="11506" max="11506" width="11.109375" style="1" customWidth="1"/>
    <col min="11507" max="11507" width="14" style="1" customWidth="1"/>
    <col min="11508" max="11508" width="33" style="1" customWidth="1"/>
    <col min="11509" max="11509" width="6.6640625" style="1" customWidth="1"/>
    <col min="11510" max="11510" width="19" style="1" customWidth="1"/>
    <col min="11511" max="11511" width="19.109375" style="1" customWidth="1"/>
    <col min="11512" max="11512" width="21.33203125" style="1" customWidth="1"/>
    <col min="11513" max="11513" width="32.5546875" style="1" customWidth="1"/>
    <col min="11514" max="11514" width="16.88671875" style="1" customWidth="1"/>
    <col min="11515" max="11515" width="16.33203125" style="1" customWidth="1"/>
    <col min="11516" max="11746" width="10.33203125" style="1"/>
    <col min="11747" max="11747" width="4.44140625" style="1" customWidth="1"/>
    <col min="11748" max="11748" width="21.6640625" style="1" customWidth="1"/>
    <col min="11749" max="11749" width="15" style="1" customWidth="1"/>
    <col min="11750" max="11750" width="15.44140625" style="1" customWidth="1"/>
    <col min="11751" max="11751" width="11.5546875" style="1" customWidth="1"/>
    <col min="11752" max="11752" width="7.44140625" style="1" customWidth="1"/>
    <col min="11753" max="11753" width="14.109375" style="1" customWidth="1"/>
    <col min="11754" max="11754" width="10.6640625" style="1" customWidth="1"/>
    <col min="11755" max="11755" width="13.44140625" style="1" customWidth="1"/>
    <col min="11756" max="11756" width="11.44140625" style="1" customWidth="1"/>
    <col min="11757" max="11757" width="15" style="1" customWidth="1"/>
    <col min="11758" max="11758" width="14.5546875" style="1" customWidth="1"/>
    <col min="11759" max="11759" width="10.33203125" style="1"/>
    <col min="11760" max="11760" width="7.44140625" style="1" customWidth="1"/>
    <col min="11761" max="11761" width="12.88671875" style="1" customWidth="1"/>
    <col min="11762" max="11762" width="11.109375" style="1" customWidth="1"/>
    <col min="11763" max="11763" width="14" style="1" customWidth="1"/>
    <col min="11764" max="11764" width="33" style="1" customWidth="1"/>
    <col min="11765" max="11765" width="6.6640625" style="1" customWidth="1"/>
    <col min="11766" max="11766" width="19" style="1" customWidth="1"/>
    <col min="11767" max="11767" width="19.109375" style="1" customWidth="1"/>
    <col min="11768" max="11768" width="21.33203125" style="1" customWidth="1"/>
    <col min="11769" max="11769" width="32.5546875" style="1" customWidth="1"/>
    <col min="11770" max="11770" width="16.88671875" style="1" customWidth="1"/>
    <col min="11771" max="11771" width="16.33203125" style="1" customWidth="1"/>
    <col min="11772" max="12002" width="10.33203125" style="1"/>
    <col min="12003" max="12003" width="4.44140625" style="1" customWidth="1"/>
    <col min="12004" max="12004" width="21.6640625" style="1" customWidth="1"/>
    <col min="12005" max="12005" width="15" style="1" customWidth="1"/>
    <col min="12006" max="12006" width="15.44140625" style="1" customWidth="1"/>
    <col min="12007" max="12007" width="11.5546875" style="1" customWidth="1"/>
    <col min="12008" max="12008" width="7.44140625" style="1" customWidth="1"/>
    <col min="12009" max="12009" width="14.109375" style="1" customWidth="1"/>
    <col min="12010" max="12010" width="10.6640625" style="1" customWidth="1"/>
    <col min="12011" max="12011" width="13.44140625" style="1" customWidth="1"/>
    <col min="12012" max="12012" width="11.44140625" style="1" customWidth="1"/>
    <col min="12013" max="12013" width="15" style="1" customWidth="1"/>
    <col min="12014" max="12014" width="14.5546875" style="1" customWidth="1"/>
    <col min="12015" max="12015" width="10.33203125" style="1"/>
    <col min="12016" max="12016" width="7.44140625" style="1" customWidth="1"/>
    <col min="12017" max="12017" width="12.88671875" style="1" customWidth="1"/>
    <col min="12018" max="12018" width="11.109375" style="1" customWidth="1"/>
    <col min="12019" max="12019" width="14" style="1" customWidth="1"/>
    <col min="12020" max="12020" width="33" style="1" customWidth="1"/>
    <col min="12021" max="12021" width="6.6640625" style="1" customWidth="1"/>
    <col min="12022" max="12022" width="19" style="1" customWidth="1"/>
    <col min="12023" max="12023" width="19.109375" style="1" customWidth="1"/>
    <col min="12024" max="12024" width="21.33203125" style="1" customWidth="1"/>
    <col min="12025" max="12025" width="32.5546875" style="1" customWidth="1"/>
    <col min="12026" max="12026" width="16.88671875" style="1" customWidth="1"/>
    <col min="12027" max="12027" width="16.33203125" style="1" customWidth="1"/>
    <col min="12028" max="12258" width="10.33203125" style="1"/>
    <col min="12259" max="12259" width="4.44140625" style="1" customWidth="1"/>
    <col min="12260" max="12260" width="21.6640625" style="1" customWidth="1"/>
    <col min="12261" max="12261" width="15" style="1" customWidth="1"/>
    <col min="12262" max="12262" width="15.44140625" style="1" customWidth="1"/>
    <col min="12263" max="12263" width="11.5546875" style="1" customWidth="1"/>
    <col min="12264" max="12264" width="7.44140625" style="1" customWidth="1"/>
    <col min="12265" max="12265" width="14.109375" style="1" customWidth="1"/>
    <col min="12266" max="12266" width="10.6640625" style="1" customWidth="1"/>
    <col min="12267" max="12267" width="13.44140625" style="1" customWidth="1"/>
    <col min="12268" max="12268" width="11.44140625" style="1" customWidth="1"/>
    <col min="12269" max="12269" width="15" style="1" customWidth="1"/>
    <col min="12270" max="12270" width="14.5546875" style="1" customWidth="1"/>
    <col min="12271" max="12271" width="10.33203125" style="1"/>
    <col min="12272" max="12272" width="7.44140625" style="1" customWidth="1"/>
    <col min="12273" max="12273" width="12.88671875" style="1" customWidth="1"/>
    <col min="12274" max="12274" width="11.109375" style="1" customWidth="1"/>
    <col min="12275" max="12275" width="14" style="1" customWidth="1"/>
    <col min="12276" max="12276" width="33" style="1" customWidth="1"/>
    <col min="12277" max="12277" width="6.6640625" style="1" customWidth="1"/>
    <col min="12278" max="12278" width="19" style="1" customWidth="1"/>
    <col min="12279" max="12279" width="19.109375" style="1" customWidth="1"/>
    <col min="12280" max="12280" width="21.33203125" style="1" customWidth="1"/>
    <col min="12281" max="12281" width="32.5546875" style="1" customWidth="1"/>
    <col min="12282" max="12282" width="16.88671875" style="1" customWidth="1"/>
    <col min="12283" max="12283" width="16.33203125" style="1" customWidth="1"/>
    <col min="12284" max="12514" width="10.33203125" style="1"/>
    <col min="12515" max="12515" width="4.44140625" style="1" customWidth="1"/>
    <col min="12516" max="12516" width="21.6640625" style="1" customWidth="1"/>
    <col min="12517" max="12517" width="15" style="1" customWidth="1"/>
    <col min="12518" max="12518" width="15.44140625" style="1" customWidth="1"/>
    <col min="12519" max="12519" width="11.5546875" style="1" customWidth="1"/>
    <col min="12520" max="12520" width="7.44140625" style="1" customWidth="1"/>
    <col min="12521" max="12521" width="14.109375" style="1" customWidth="1"/>
    <col min="12522" max="12522" width="10.6640625" style="1" customWidth="1"/>
    <col min="12523" max="12523" width="13.44140625" style="1" customWidth="1"/>
    <col min="12524" max="12524" width="11.44140625" style="1" customWidth="1"/>
    <col min="12525" max="12525" width="15" style="1" customWidth="1"/>
    <col min="12526" max="12526" width="14.5546875" style="1" customWidth="1"/>
    <col min="12527" max="12527" width="10.33203125" style="1"/>
    <col min="12528" max="12528" width="7.44140625" style="1" customWidth="1"/>
    <col min="12529" max="12529" width="12.88671875" style="1" customWidth="1"/>
    <col min="12530" max="12530" width="11.109375" style="1" customWidth="1"/>
    <col min="12531" max="12531" width="14" style="1" customWidth="1"/>
    <col min="12532" max="12532" width="33" style="1" customWidth="1"/>
    <col min="12533" max="12533" width="6.6640625" style="1" customWidth="1"/>
    <col min="12534" max="12534" width="19" style="1" customWidth="1"/>
    <col min="12535" max="12535" width="19.109375" style="1" customWidth="1"/>
    <col min="12536" max="12536" width="21.33203125" style="1" customWidth="1"/>
    <col min="12537" max="12537" width="32.5546875" style="1" customWidth="1"/>
    <col min="12538" max="12538" width="16.88671875" style="1" customWidth="1"/>
    <col min="12539" max="12539" width="16.33203125" style="1" customWidth="1"/>
    <col min="12540" max="12770" width="10.33203125" style="1"/>
    <col min="12771" max="12771" width="4.44140625" style="1" customWidth="1"/>
    <col min="12772" max="12772" width="21.6640625" style="1" customWidth="1"/>
    <col min="12773" max="12773" width="15" style="1" customWidth="1"/>
    <col min="12774" max="12774" width="15.44140625" style="1" customWidth="1"/>
    <col min="12775" max="12775" width="11.5546875" style="1" customWidth="1"/>
    <col min="12776" max="12776" width="7.44140625" style="1" customWidth="1"/>
    <col min="12777" max="12777" width="14.109375" style="1" customWidth="1"/>
    <col min="12778" max="12778" width="10.6640625" style="1" customWidth="1"/>
    <col min="12779" max="12779" width="13.44140625" style="1" customWidth="1"/>
    <col min="12780" max="12780" width="11.44140625" style="1" customWidth="1"/>
    <col min="12781" max="12781" width="15" style="1" customWidth="1"/>
    <col min="12782" max="12782" width="14.5546875" style="1" customWidth="1"/>
    <col min="12783" max="12783" width="10.33203125" style="1"/>
    <col min="12784" max="12784" width="7.44140625" style="1" customWidth="1"/>
    <col min="12785" max="12785" width="12.88671875" style="1" customWidth="1"/>
    <col min="12786" max="12786" width="11.109375" style="1" customWidth="1"/>
    <col min="12787" max="12787" width="14" style="1" customWidth="1"/>
    <col min="12788" max="12788" width="33" style="1" customWidth="1"/>
    <col min="12789" max="12789" width="6.6640625" style="1" customWidth="1"/>
    <col min="12790" max="12790" width="19" style="1" customWidth="1"/>
    <col min="12791" max="12791" width="19.109375" style="1" customWidth="1"/>
    <col min="12792" max="12792" width="21.33203125" style="1" customWidth="1"/>
    <col min="12793" max="12793" width="32.5546875" style="1" customWidth="1"/>
    <col min="12794" max="12794" width="16.88671875" style="1" customWidth="1"/>
    <col min="12795" max="12795" width="16.33203125" style="1" customWidth="1"/>
    <col min="12796" max="13026" width="10.33203125" style="1"/>
    <col min="13027" max="13027" width="4.44140625" style="1" customWidth="1"/>
    <col min="13028" max="13028" width="21.6640625" style="1" customWidth="1"/>
    <col min="13029" max="13029" width="15" style="1" customWidth="1"/>
    <col min="13030" max="13030" width="15.44140625" style="1" customWidth="1"/>
    <col min="13031" max="13031" width="11.5546875" style="1" customWidth="1"/>
    <col min="13032" max="13032" width="7.44140625" style="1" customWidth="1"/>
    <col min="13033" max="13033" width="14.109375" style="1" customWidth="1"/>
    <col min="13034" max="13034" width="10.6640625" style="1" customWidth="1"/>
    <col min="13035" max="13035" width="13.44140625" style="1" customWidth="1"/>
    <col min="13036" max="13036" width="11.44140625" style="1" customWidth="1"/>
    <col min="13037" max="13037" width="15" style="1" customWidth="1"/>
    <col min="13038" max="13038" width="14.5546875" style="1" customWidth="1"/>
    <col min="13039" max="13039" width="10.33203125" style="1"/>
    <col min="13040" max="13040" width="7.44140625" style="1" customWidth="1"/>
    <col min="13041" max="13041" width="12.88671875" style="1" customWidth="1"/>
    <col min="13042" max="13042" width="11.109375" style="1" customWidth="1"/>
    <col min="13043" max="13043" width="14" style="1" customWidth="1"/>
    <col min="13044" max="13044" width="33" style="1" customWidth="1"/>
    <col min="13045" max="13045" width="6.6640625" style="1" customWidth="1"/>
    <col min="13046" max="13046" width="19" style="1" customWidth="1"/>
    <col min="13047" max="13047" width="19.109375" style="1" customWidth="1"/>
    <col min="13048" max="13048" width="21.33203125" style="1" customWidth="1"/>
    <col min="13049" max="13049" width="32.5546875" style="1" customWidth="1"/>
    <col min="13050" max="13050" width="16.88671875" style="1" customWidth="1"/>
    <col min="13051" max="13051" width="16.33203125" style="1" customWidth="1"/>
    <col min="13052" max="13282" width="10.33203125" style="1"/>
    <col min="13283" max="13283" width="4.44140625" style="1" customWidth="1"/>
    <col min="13284" max="13284" width="21.6640625" style="1" customWidth="1"/>
    <col min="13285" max="13285" width="15" style="1" customWidth="1"/>
    <col min="13286" max="13286" width="15.44140625" style="1" customWidth="1"/>
    <col min="13287" max="13287" width="11.5546875" style="1" customWidth="1"/>
    <col min="13288" max="13288" width="7.44140625" style="1" customWidth="1"/>
    <col min="13289" max="13289" width="14.109375" style="1" customWidth="1"/>
    <col min="13290" max="13290" width="10.6640625" style="1" customWidth="1"/>
    <col min="13291" max="13291" width="13.44140625" style="1" customWidth="1"/>
    <col min="13292" max="13292" width="11.44140625" style="1" customWidth="1"/>
    <col min="13293" max="13293" width="15" style="1" customWidth="1"/>
    <col min="13294" max="13294" width="14.5546875" style="1" customWidth="1"/>
    <col min="13295" max="13295" width="10.33203125" style="1"/>
    <col min="13296" max="13296" width="7.44140625" style="1" customWidth="1"/>
    <col min="13297" max="13297" width="12.88671875" style="1" customWidth="1"/>
    <col min="13298" max="13298" width="11.109375" style="1" customWidth="1"/>
    <col min="13299" max="13299" width="14" style="1" customWidth="1"/>
    <col min="13300" max="13300" width="33" style="1" customWidth="1"/>
    <col min="13301" max="13301" width="6.6640625" style="1" customWidth="1"/>
    <col min="13302" max="13302" width="19" style="1" customWidth="1"/>
    <col min="13303" max="13303" width="19.109375" style="1" customWidth="1"/>
    <col min="13304" max="13304" width="21.33203125" style="1" customWidth="1"/>
    <col min="13305" max="13305" width="32.5546875" style="1" customWidth="1"/>
    <col min="13306" max="13306" width="16.88671875" style="1" customWidth="1"/>
    <col min="13307" max="13307" width="16.33203125" style="1" customWidth="1"/>
    <col min="13308" max="13538" width="10.33203125" style="1"/>
    <col min="13539" max="13539" width="4.44140625" style="1" customWidth="1"/>
    <col min="13540" max="13540" width="21.6640625" style="1" customWidth="1"/>
    <col min="13541" max="13541" width="15" style="1" customWidth="1"/>
    <col min="13542" max="13542" width="15.44140625" style="1" customWidth="1"/>
    <col min="13543" max="13543" width="11.5546875" style="1" customWidth="1"/>
    <col min="13544" max="13544" width="7.44140625" style="1" customWidth="1"/>
    <col min="13545" max="13545" width="14.109375" style="1" customWidth="1"/>
    <col min="13546" max="13546" width="10.6640625" style="1" customWidth="1"/>
    <col min="13547" max="13547" width="13.44140625" style="1" customWidth="1"/>
    <col min="13548" max="13548" width="11.44140625" style="1" customWidth="1"/>
    <col min="13549" max="13549" width="15" style="1" customWidth="1"/>
    <col min="13550" max="13550" width="14.5546875" style="1" customWidth="1"/>
    <col min="13551" max="13551" width="10.33203125" style="1"/>
    <col min="13552" max="13552" width="7.44140625" style="1" customWidth="1"/>
    <col min="13553" max="13553" width="12.88671875" style="1" customWidth="1"/>
    <col min="13554" max="13554" width="11.109375" style="1" customWidth="1"/>
    <col min="13555" max="13555" width="14" style="1" customWidth="1"/>
    <col min="13556" max="13556" width="33" style="1" customWidth="1"/>
    <col min="13557" max="13557" width="6.6640625" style="1" customWidth="1"/>
    <col min="13558" max="13558" width="19" style="1" customWidth="1"/>
    <col min="13559" max="13559" width="19.109375" style="1" customWidth="1"/>
    <col min="13560" max="13560" width="21.33203125" style="1" customWidth="1"/>
    <col min="13561" max="13561" width="32.5546875" style="1" customWidth="1"/>
    <col min="13562" max="13562" width="16.88671875" style="1" customWidth="1"/>
    <col min="13563" max="13563" width="16.33203125" style="1" customWidth="1"/>
    <col min="13564" max="13794" width="10.33203125" style="1"/>
    <col min="13795" max="13795" width="4.44140625" style="1" customWidth="1"/>
    <col min="13796" max="13796" width="21.6640625" style="1" customWidth="1"/>
    <col min="13797" max="13797" width="15" style="1" customWidth="1"/>
    <col min="13798" max="13798" width="15.44140625" style="1" customWidth="1"/>
    <col min="13799" max="13799" width="11.5546875" style="1" customWidth="1"/>
    <col min="13800" max="13800" width="7.44140625" style="1" customWidth="1"/>
    <col min="13801" max="13801" width="14.109375" style="1" customWidth="1"/>
    <col min="13802" max="13802" width="10.6640625" style="1" customWidth="1"/>
    <col min="13803" max="13803" width="13.44140625" style="1" customWidth="1"/>
    <col min="13804" max="13804" width="11.44140625" style="1" customWidth="1"/>
    <col min="13805" max="13805" width="15" style="1" customWidth="1"/>
    <col min="13806" max="13806" width="14.5546875" style="1" customWidth="1"/>
    <col min="13807" max="13807" width="10.33203125" style="1"/>
    <col min="13808" max="13808" width="7.44140625" style="1" customWidth="1"/>
    <col min="13809" max="13809" width="12.88671875" style="1" customWidth="1"/>
    <col min="13810" max="13810" width="11.109375" style="1" customWidth="1"/>
    <col min="13811" max="13811" width="14" style="1" customWidth="1"/>
    <col min="13812" max="13812" width="33" style="1" customWidth="1"/>
    <col min="13813" max="13813" width="6.6640625" style="1" customWidth="1"/>
    <col min="13814" max="13814" width="19" style="1" customWidth="1"/>
    <col min="13815" max="13815" width="19.109375" style="1" customWidth="1"/>
    <col min="13816" max="13816" width="21.33203125" style="1" customWidth="1"/>
    <col min="13817" max="13817" width="32.5546875" style="1" customWidth="1"/>
    <col min="13818" max="13818" width="16.88671875" style="1" customWidth="1"/>
    <col min="13819" max="13819" width="16.33203125" style="1" customWidth="1"/>
    <col min="13820" max="14050" width="10.33203125" style="1"/>
    <col min="14051" max="14051" width="4.44140625" style="1" customWidth="1"/>
    <col min="14052" max="14052" width="21.6640625" style="1" customWidth="1"/>
    <col min="14053" max="14053" width="15" style="1" customWidth="1"/>
    <col min="14054" max="14054" width="15.44140625" style="1" customWidth="1"/>
    <col min="14055" max="14055" width="11.5546875" style="1" customWidth="1"/>
    <col min="14056" max="14056" width="7.44140625" style="1" customWidth="1"/>
    <col min="14057" max="14057" width="14.109375" style="1" customWidth="1"/>
    <col min="14058" max="14058" width="10.6640625" style="1" customWidth="1"/>
    <col min="14059" max="14059" width="13.44140625" style="1" customWidth="1"/>
    <col min="14060" max="14060" width="11.44140625" style="1" customWidth="1"/>
    <col min="14061" max="14061" width="15" style="1" customWidth="1"/>
    <col min="14062" max="14062" width="14.5546875" style="1" customWidth="1"/>
    <col min="14063" max="14063" width="10.33203125" style="1"/>
    <col min="14064" max="14064" width="7.44140625" style="1" customWidth="1"/>
    <col min="14065" max="14065" width="12.88671875" style="1" customWidth="1"/>
    <col min="14066" max="14066" width="11.109375" style="1" customWidth="1"/>
    <col min="14067" max="14067" width="14" style="1" customWidth="1"/>
    <col min="14068" max="14068" width="33" style="1" customWidth="1"/>
    <col min="14069" max="14069" width="6.6640625" style="1" customWidth="1"/>
    <col min="14070" max="14070" width="19" style="1" customWidth="1"/>
    <col min="14071" max="14071" width="19.109375" style="1" customWidth="1"/>
    <col min="14072" max="14072" width="21.33203125" style="1" customWidth="1"/>
    <col min="14073" max="14073" width="32.5546875" style="1" customWidth="1"/>
    <col min="14074" max="14074" width="16.88671875" style="1" customWidth="1"/>
    <col min="14075" max="14075" width="16.33203125" style="1" customWidth="1"/>
    <col min="14076" max="14306" width="10.33203125" style="1"/>
    <col min="14307" max="14307" width="4.44140625" style="1" customWidth="1"/>
    <col min="14308" max="14308" width="21.6640625" style="1" customWidth="1"/>
    <col min="14309" max="14309" width="15" style="1" customWidth="1"/>
    <col min="14310" max="14310" width="15.44140625" style="1" customWidth="1"/>
    <col min="14311" max="14311" width="11.5546875" style="1" customWidth="1"/>
    <col min="14312" max="14312" width="7.44140625" style="1" customWidth="1"/>
    <col min="14313" max="14313" width="14.109375" style="1" customWidth="1"/>
    <col min="14314" max="14314" width="10.6640625" style="1" customWidth="1"/>
    <col min="14315" max="14315" width="13.44140625" style="1" customWidth="1"/>
    <col min="14316" max="14316" width="11.44140625" style="1" customWidth="1"/>
    <col min="14317" max="14317" width="15" style="1" customWidth="1"/>
    <col min="14318" max="14318" width="14.5546875" style="1" customWidth="1"/>
    <col min="14319" max="14319" width="10.33203125" style="1"/>
    <col min="14320" max="14320" width="7.44140625" style="1" customWidth="1"/>
    <col min="14321" max="14321" width="12.88671875" style="1" customWidth="1"/>
    <col min="14322" max="14322" width="11.109375" style="1" customWidth="1"/>
    <col min="14323" max="14323" width="14" style="1" customWidth="1"/>
    <col min="14324" max="14324" width="33" style="1" customWidth="1"/>
    <col min="14325" max="14325" width="6.6640625" style="1" customWidth="1"/>
    <col min="14326" max="14326" width="19" style="1" customWidth="1"/>
    <col min="14327" max="14327" width="19.109375" style="1" customWidth="1"/>
    <col min="14328" max="14328" width="21.33203125" style="1" customWidth="1"/>
    <col min="14329" max="14329" width="32.5546875" style="1" customWidth="1"/>
    <col min="14330" max="14330" width="16.88671875" style="1" customWidth="1"/>
    <col min="14331" max="14331" width="16.33203125" style="1" customWidth="1"/>
    <col min="14332" max="14562" width="10.33203125" style="1"/>
    <col min="14563" max="14563" width="4.44140625" style="1" customWidth="1"/>
    <col min="14564" max="14564" width="21.6640625" style="1" customWidth="1"/>
    <col min="14565" max="14565" width="15" style="1" customWidth="1"/>
    <col min="14566" max="14566" width="15.44140625" style="1" customWidth="1"/>
    <col min="14567" max="14567" width="11.5546875" style="1" customWidth="1"/>
    <col min="14568" max="14568" width="7.44140625" style="1" customWidth="1"/>
    <col min="14569" max="14569" width="14.109375" style="1" customWidth="1"/>
    <col min="14570" max="14570" width="10.6640625" style="1" customWidth="1"/>
    <col min="14571" max="14571" width="13.44140625" style="1" customWidth="1"/>
    <col min="14572" max="14572" width="11.44140625" style="1" customWidth="1"/>
    <col min="14573" max="14573" width="15" style="1" customWidth="1"/>
    <col min="14574" max="14574" width="14.5546875" style="1" customWidth="1"/>
    <col min="14575" max="14575" width="10.33203125" style="1"/>
    <col min="14576" max="14576" width="7.44140625" style="1" customWidth="1"/>
    <col min="14577" max="14577" width="12.88671875" style="1" customWidth="1"/>
    <col min="14578" max="14578" width="11.109375" style="1" customWidth="1"/>
    <col min="14579" max="14579" width="14" style="1" customWidth="1"/>
    <col min="14580" max="14580" width="33" style="1" customWidth="1"/>
    <col min="14581" max="14581" width="6.6640625" style="1" customWidth="1"/>
    <col min="14582" max="14582" width="19" style="1" customWidth="1"/>
    <col min="14583" max="14583" width="19.109375" style="1" customWidth="1"/>
    <col min="14584" max="14584" width="21.33203125" style="1" customWidth="1"/>
    <col min="14585" max="14585" width="32.5546875" style="1" customWidth="1"/>
    <col min="14586" max="14586" width="16.88671875" style="1" customWidth="1"/>
    <col min="14587" max="14587" width="16.33203125" style="1" customWidth="1"/>
    <col min="14588" max="14818" width="10.33203125" style="1"/>
    <col min="14819" max="14819" width="4.44140625" style="1" customWidth="1"/>
    <col min="14820" max="14820" width="21.6640625" style="1" customWidth="1"/>
    <col min="14821" max="14821" width="15" style="1" customWidth="1"/>
    <col min="14822" max="14822" width="15.44140625" style="1" customWidth="1"/>
    <col min="14823" max="14823" width="11.5546875" style="1" customWidth="1"/>
    <col min="14824" max="14824" width="7.44140625" style="1" customWidth="1"/>
    <col min="14825" max="14825" width="14.109375" style="1" customWidth="1"/>
    <col min="14826" max="14826" width="10.6640625" style="1" customWidth="1"/>
    <col min="14827" max="14827" width="13.44140625" style="1" customWidth="1"/>
    <col min="14828" max="14828" width="11.44140625" style="1" customWidth="1"/>
    <col min="14829" max="14829" width="15" style="1" customWidth="1"/>
    <col min="14830" max="14830" width="14.5546875" style="1" customWidth="1"/>
    <col min="14831" max="14831" width="10.33203125" style="1"/>
    <col min="14832" max="14832" width="7.44140625" style="1" customWidth="1"/>
    <col min="14833" max="14833" width="12.88671875" style="1" customWidth="1"/>
    <col min="14834" max="14834" width="11.109375" style="1" customWidth="1"/>
    <col min="14835" max="14835" width="14" style="1" customWidth="1"/>
    <col min="14836" max="14836" width="33" style="1" customWidth="1"/>
    <col min="14837" max="14837" width="6.6640625" style="1" customWidth="1"/>
    <col min="14838" max="14838" width="19" style="1" customWidth="1"/>
    <col min="14839" max="14839" width="19.109375" style="1" customWidth="1"/>
    <col min="14840" max="14840" width="21.33203125" style="1" customWidth="1"/>
    <col min="14841" max="14841" width="32.5546875" style="1" customWidth="1"/>
    <col min="14842" max="14842" width="16.88671875" style="1" customWidth="1"/>
    <col min="14843" max="14843" width="16.33203125" style="1" customWidth="1"/>
    <col min="14844" max="15074" width="10.33203125" style="1"/>
    <col min="15075" max="15075" width="4.44140625" style="1" customWidth="1"/>
    <col min="15076" max="15076" width="21.6640625" style="1" customWidth="1"/>
    <col min="15077" max="15077" width="15" style="1" customWidth="1"/>
    <col min="15078" max="15078" width="15.44140625" style="1" customWidth="1"/>
    <col min="15079" max="15079" width="11.5546875" style="1" customWidth="1"/>
    <col min="15080" max="15080" width="7.44140625" style="1" customWidth="1"/>
    <col min="15081" max="15081" width="14.109375" style="1" customWidth="1"/>
    <col min="15082" max="15082" width="10.6640625" style="1" customWidth="1"/>
    <col min="15083" max="15083" width="13.44140625" style="1" customWidth="1"/>
    <col min="15084" max="15084" width="11.44140625" style="1" customWidth="1"/>
    <col min="15085" max="15085" width="15" style="1" customWidth="1"/>
    <col min="15086" max="15086" width="14.5546875" style="1" customWidth="1"/>
    <col min="15087" max="15087" width="10.33203125" style="1"/>
    <col min="15088" max="15088" width="7.44140625" style="1" customWidth="1"/>
    <col min="15089" max="15089" width="12.88671875" style="1" customWidth="1"/>
    <col min="15090" max="15090" width="11.109375" style="1" customWidth="1"/>
    <col min="15091" max="15091" width="14" style="1" customWidth="1"/>
    <col min="15092" max="15092" width="33" style="1" customWidth="1"/>
    <col min="15093" max="15093" width="6.6640625" style="1" customWidth="1"/>
    <col min="15094" max="15094" width="19" style="1" customWidth="1"/>
    <col min="15095" max="15095" width="19.109375" style="1" customWidth="1"/>
    <col min="15096" max="15096" width="21.33203125" style="1" customWidth="1"/>
    <col min="15097" max="15097" width="32.5546875" style="1" customWidth="1"/>
    <col min="15098" max="15098" width="16.88671875" style="1" customWidth="1"/>
    <col min="15099" max="15099" width="16.33203125" style="1" customWidth="1"/>
    <col min="15100" max="15330" width="10.33203125" style="1"/>
    <col min="15331" max="15331" width="4.44140625" style="1" customWidth="1"/>
    <col min="15332" max="15332" width="21.6640625" style="1" customWidth="1"/>
    <col min="15333" max="15333" width="15" style="1" customWidth="1"/>
    <col min="15334" max="15334" width="15.44140625" style="1" customWidth="1"/>
    <col min="15335" max="15335" width="11.5546875" style="1" customWidth="1"/>
    <col min="15336" max="15336" width="7.44140625" style="1" customWidth="1"/>
    <col min="15337" max="15337" width="14.109375" style="1" customWidth="1"/>
    <col min="15338" max="15338" width="10.6640625" style="1" customWidth="1"/>
    <col min="15339" max="15339" width="13.44140625" style="1" customWidth="1"/>
    <col min="15340" max="15340" width="11.44140625" style="1" customWidth="1"/>
    <col min="15341" max="15341" width="15" style="1" customWidth="1"/>
    <col min="15342" max="15342" width="14.5546875" style="1" customWidth="1"/>
    <col min="15343" max="15343" width="10.33203125" style="1"/>
    <col min="15344" max="15344" width="7.44140625" style="1" customWidth="1"/>
    <col min="15345" max="15345" width="12.88671875" style="1" customWidth="1"/>
    <col min="15346" max="15346" width="11.109375" style="1" customWidth="1"/>
    <col min="15347" max="15347" width="14" style="1" customWidth="1"/>
    <col min="15348" max="15348" width="33" style="1" customWidth="1"/>
    <col min="15349" max="15349" width="6.6640625" style="1" customWidth="1"/>
    <col min="15350" max="15350" width="19" style="1" customWidth="1"/>
    <col min="15351" max="15351" width="19.109375" style="1" customWidth="1"/>
    <col min="15352" max="15352" width="21.33203125" style="1" customWidth="1"/>
    <col min="15353" max="15353" width="32.5546875" style="1" customWidth="1"/>
    <col min="15354" max="15354" width="16.88671875" style="1" customWidth="1"/>
    <col min="15355" max="15355" width="16.33203125" style="1" customWidth="1"/>
    <col min="15356" max="15586" width="10.33203125" style="1"/>
    <col min="15587" max="15587" width="4.44140625" style="1" customWidth="1"/>
    <col min="15588" max="15588" width="21.6640625" style="1" customWidth="1"/>
    <col min="15589" max="15589" width="15" style="1" customWidth="1"/>
    <col min="15590" max="15590" width="15.44140625" style="1" customWidth="1"/>
    <col min="15591" max="15591" width="11.5546875" style="1" customWidth="1"/>
    <col min="15592" max="15592" width="7.44140625" style="1" customWidth="1"/>
    <col min="15593" max="15593" width="14.109375" style="1" customWidth="1"/>
    <col min="15594" max="15594" width="10.6640625" style="1" customWidth="1"/>
    <col min="15595" max="15595" width="13.44140625" style="1" customWidth="1"/>
    <col min="15596" max="15596" width="11.44140625" style="1" customWidth="1"/>
    <col min="15597" max="15597" width="15" style="1" customWidth="1"/>
    <col min="15598" max="15598" width="14.5546875" style="1" customWidth="1"/>
    <col min="15599" max="15599" width="10.33203125" style="1"/>
    <col min="15600" max="15600" width="7.44140625" style="1" customWidth="1"/>
    <col min="15601" max="15601" width="12.88671875" style="1" customWidth="1"/>
    <col min="15602" max="15602" width="11.109375" style="1" customWidth="1"/>
    <col min="15603" max="15603" width="14" style="1" customWidth="1"/>
    <col min="15604" max="15604" width="33" style="1" customWidth="1"/>
    <col min="15605" max="15605" width="6.6640625" style="1" customWidth="1"/>
    <col min="15606" max="15606" width="19" style="1" customWidth="1"/>
    <col min="15607" max="15607" width="19.109375" style="1" customWidth="1"/>
    <col min="15608" max="15608" width="21.33203125" style="1" customWidth="1"/>
    <col min="15609" max="15609" width="32.5546875" style="1" customWidth="1"/>
    <col min="15610" max="15610" width="16.88671875" style="1" customWidth="1"/>
    <col min="15611" max="15611" width="16.33203125" style="1" customWidth="1"/>
    <col min="15612" max="15842" width="10.33203125" style="1"/>
    <col min="15843" max="15843" width="4.44140625" style="1" customWidth="1"/>
    <col min="15844" max="15844" width="21.6640625" style="1" customWidth="1"/>
    <col min="15845" max="15845" width="15" style="1" customWidth="1"/>
    <col min="15846" max="15846" width="15.44140625" style="1" customWidth="1"/>
    <col min="15847" max="15847" width="11.5546875" style="1" customWidth="1"/>
    <col min="15848" max="15848" width="7.44140625" style="1" customWidth="1"/>
    <col min="15849" max="15849" width="14.109375" style="1" customWidth="1"/>
    <col min="15850" max="15850" width="10.6640625" style="1" customWidth="1"/>
    <col min="15851" max="15851" width="13.44140625" style="1" customWidth="1"/>
    <col min="15852" max="15852" width="11.44140625" style="1" customWidth="1"/>
    <col min="15853" max="15853" width="15" style="1" customWidth="1"/>
    <col min="15854" max="15854" width="14.5546875" style="1" customWidth="1"/>
    <col min="15855" max="15855" width="10.33203125" style="1"/>
    <col min="15856" max="15856" width="7.44140625" style="1" customWidth="1"/>
    <col min="15857" max="15857" width="12.88671875" style="1" customWidth="1"/>
    <col min="15858" max="15858" width="11.109375" style="1" customWidth="1"/>
    <col min="15859" max="15859" width="14" style="1" customWidth="1"/>
    <col min="15860" max="15860" width="33" style="1" customWidth="1"/>
    <col min="15861" max="15861" width="6.6640625" style="1" customWidth="1"/>
    <col min="15862" max="15862" width="19" style="1" customWidth="1"/>
    <col min="15863" max="15863" width="19.109375" style="1" customWidth="1"/>
    <col min="15864" max="15864" width="21.33203125" style="1" customWidth="1"/>
    <col min="15865" max="15865" width="32.5546875" style="1" customWidth="1"/>
    <col min="15866" max="15866" width="16.88671875" style="1" customWidth="1"/>
    <col min="15867" max="15867" width="16.33203125" style="1" customWidth="1"/>
    <col min="15868" max="16098" width="10.33203125" style="1"/>
    <col min="16099" max="16099" width="4.44140625" style="1" customWidth="1"/>
    <col min="16100" max="16100" width="21.6640625" style="1" customWidth="1"/>
    <col min="16101" max="16101" width="15" style="1" customWidth="1"/>
    <col min="16102" max="16102" width="15.44140625" style="1" customWidth="1"/>
    <col min="16103" max="16103" width="11.5546875" style="1" customWidth="1"/>
    <col min="16104" max="16104" width="7.44140625" style="1" customWidth="1"/>
    <col min="16105" max="16105" width="14.109375" style="1" customWidth="1"/>
    <col min="16106" max="16106" width="10.6640625" style="1" customWidth="1"/>
    <col min="16107" max="16107" width="13.44140625" style="1" customWidth="1"/>
    <col min="16108" max="16108" width="11.44140625" style="1" customWidth="1"/>
    <col min="16109" max="16109" width="15" style="1" customWidth="1"/>
    <col min="16110" max="16110" width="14.5546875" style="1" customWidth="1"/>
    <col min="16111" max="16111" width="10.33203125" style="1"/>
    <col min="16112" max="16112" width="7.44140625" style="1" customWidth="1"/>
    <col min="16113" max="16113" width="12.88671875" style="1" customWidth="1"/>
    <col min="16114" max="16114" width="11.109375" style="1" customWidth="1"/>
    <col min="16115" max="16115" width="14" style="1" customWidth="1"/>
    <col min="16116" max="16116" width="33" style="1" customWidth="1"/>
    <col min="16117" max="16117" width="6.6640625" style="1" customWidth="1"/>
    <col min="16118" max="16118" width="19" style="1" customWidth="1"/>
    <col min="16119" max="16119" width="19.109375" style="1" customWidth="1"/>
    <col min="16120" max="16120" width="21.33203125" style="1" customWidth="1"/>
    <col min="16121" max="16121" width="32.5546875" style="1" customWidth="1"/>
    <col min="16122" max="16122" width="16.88671875" style="1" customWidth="1"/>
    <col min="16123" max="16123" width="16.33203125" style="1" customWidth="1"/>
    <col min="16124" max="16384" width="10.33203125" style="1"/>
  </cols>
  <sheetData>
    <row r="1" spans="1:6" ht="25.8" thickTop="1" thickBot="1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349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6" ht="24.6">
      <c r="A5" s="3"/>
      <c r="B5" s="13"/>
      <c r="C5" s="3"/>
      <c r="D5" s="15"/>
      <c r="E5" s="16"/>
      <c r="F5" s="8"/>
    </row>
    <row r="6" spans="1:6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6" ht="24.6" hidden="1">
      <c r="A7" s="3"/>
      <c r="B7" s="30" t="s">
        <v>30</v>
      </c>
      <c r="C7" s="3"/>
      <c r="D7" s="26"/>
      <c r="E7" s="16"/>
      <c r="F7" s="8"/>
    </row>
    <row r="8" spans="1:6" ht="15.75" hidden="1" customHeight="1" thickBot="1">
      <c r="A8" s="3">
        <v>1</v>
      </c>
      <c r="B8" s="30"/>
      <c r="C8" s="3"/>
      <c r="D8" s="35"/>
      <c r="E8" s="36"/>
      <c r="F8" s="37"/>
    </row>
    <row r="9" spans="1:6" ht="20.25" hidden="1" customHeight="1">
      <c r="A9" s="3"/>
      <c r="B9" s="3" t="s">
        <v>26</v>
      </c>
      <c r="C9" s="3"/>
      <c r="D9" s="42"/>
      <c r="E9" s="43"/>
      <c r="F9" s="44"/>
    </row>
    <row r="10" spans="1:6" ht="24.6" hidden="1">
      <c r="A10" s="29"/>
      <c r="B10" s="45" t="s">
        <v>31</v>
      </c>
      <c r="C10" s="29"/>
      <c r="D10" s="47"/>
      <c r="E10" s="48"/>
      <c r="F10" s="48"/>
    </row>
    <row r="11" spans="1:6" ht="24.6" hidden="1">
      <c r="A11" s="25">
        <v>1</v>
      </c>
      <c r="B11" s="29" t="s">
        <v>32</v>
      </c>
      <c r="C11" s="29"/>
      <c r="D11" s="26"/>
      <c r="E11" s="50"/>
      <c r="F11" s="51"/>
    </row>
    <row r="12" spans="1:6" ht="25.2" hidden="1" thickTop="1">
      <c r="A12" s="29"/>
      <c r="B12" s="45" t="s">
        <v>37</v>
      </c>
      <c r="C12" s="29"/>
      <c r="D12" s="47"/>
      <c r="E12" s="48"/>
      <c r="F12" s="58"/>
    </row>
    <row r="13" spans="1:6" ht="25.8" hidden="1" thickTop="1" thickBot="1">
      <c r="A13" s="25">
        <v>1</v>
      </c>
      <c r="B13" s="25"/>
      <c r="C13" s="29"/>
      <c r="D13" s="75"/>
      <c r="E13" s="76"/>
      <c r="F13" s="77"/>
    </row>
    <row r="14" spans="1:6" ht="25.8" hidden="1" thickTop="1" thickBot="1">
      <c r="A14" s="25"/>
      <c r="B14" s="25" t="s">
        <v>26</v>
      </c>
      <c r="C14" s="29"/>
      <c r="D14" s="80"/>
      <c r="E14" s="81"/>
      <c r="F14" s="55"/>
    </row>
    <row r="15" spans="1:6" ht="25.2" hidden="1" thickTop="1">
      <c r="A15" s="25"/>
      <c r="B15" s="45" t="s">
        <v>38</v>
      </c>
      <c r="C15" s="29"/>
      <c r="D15" s="47"/>
      <c r="E15" s="48"/>
      <c r="F15" s="58"/>
    </row>
    <row r="16" spans="1:6" ht="25.8" hidden="1" thickTop="1" thickBot="1">
      <c r="A16" s="25">
        <v>1</v>
      </c>
      <c r="B16" s="25"/>
      <c r="C16" s="29"/>
      <c r="D16" s="75"/>
      <c r="E16" s="76"/>
      <c r="F16" s="77"/>
    </row>
    <row r="17" spans="1:8" ht="25.8" hidden="1" thickTop="1" thickBot="1">
      <c r="A17" s="25"/>
      <c r="B17" s="25" t="s">
        <v>26</v>
      </c>
      <c r="C17" s="29"/>
      <c r="D17" s="65"/>
      <c r="E17" s="66"/>
      <c r="F17" s="67"/>
    </row>
    <row r="18" spans="1:8" ht="24.6">
      <c r="A18" s="29"/>
      <c r="B18" s="45" t="s">
        <v>39</v>
      </c>
      <c r="C18" s="29"/>
      <c r="D18" s="47"/>
      <c r="E18" s="48"/>
      <c r="F18" s="48"/>
    </row>
    <row r="19" spans="1:8" ht="24.6">
      <c r="A19" s="25">
        <v>1</v>
      </c>
      <c r="B19" s="29" t="s">
        <v>277</v>
      </c>
      <c r="C19" s="29"/>
      <c r="D19" s="69">
        <v>25238</v>
      </c>
      <c r="E19" s="84" t="s">
        <v>351</v>
      </c>
      <c r="F19" s="85">
        <v>535</v>
      </c>
    </row>
    <row r="20" spans="1:8" s="96" customFormat="1" ht="24.6">
      <c r="A20" s="86">
        <v>2</v>
      </c>
      <c r="B20" s="87" t="s">
        <v>44</v>
      </c>
      <c r="C20" s="88"/>
      <c r="D20" s="93">
        <v>25261</v>
      </c>
      <c r="E20" s="94" t="s">
        <v>352</v>
      </c>
      <c r="F20" s="95">
        <v>1070</v>
      </c>
    </row>
    <row r="21" spans="1:8" ht="24.6">
      <c r="A21" s="25">
        <v>3</v>
      </c>
      <c r="B21" s="29" t="s">
        <v>46</v>
      </c>
      <c r="C21" s="29"/>
      <c r="D21" s="69">
        <v>25261</v>
      </c>
      <c r="E21" s="70" t="s">
        <v>353</v>
      </c>
      <c r="F21" s="100">
        <v>535</v>
      </c>
    </row>
    <row r="22" spans="1:8" ht="25.2" thickBot="1">
      <c r="A22" s="29"/>
      <c r="B22" s="25" t="s">
        <v>26</v>
      </c>
      <c r="C22" s="29"/>
      <c r="D22" s="67"/>
      <c r="E22" s="67"/>
      <c r="F22" s="104">
        <v>2140</v>
      </c>
      <c r="H22" s="175">
        <f>SUM(F19:F21)</f>
        <v>2140</v>
      </c>
    </row>
    <row r="23" spans="1:8" ht="25.2" hidden="1" thickTop="1">
      <c r="A23" s="29"/>
      <c r="B23" s="45" t="s">
        <v>49</v>
      </c>
      <c r="C23" s="29"/>
      <c r="D23" s="47"/>
      <c r="E23" s="48"/>
      <c r="F23" s="58"/>
    </row>
    <row r="24" spans="1:8" ht="16.5" hidden="1" customHeight="1" thickTop="1">
      <c r="A24" s="25">
        <v>1</v>
      </c>
      <c r="B24" s="25"/>
      <c r="C24" s="29"/>
      <c r="D24" s="75"/>
      <c r="E24" s="76"/>
      <c r="F24" s="77"/>
    </row>
    <row r="25" spans="1:8" ht="25.8" hidden="1" thickTop="1" thickBot="1">
      <c r="A25" s="25"/>
      <c r="B25" s="25" t="s">
        <v>26</v>
      </c>
      <c r="C25" s="29"/>
      <c r="D25" s="80"/>
      <c r="E25" s="81"/>
      <c r="F25" s="55"/>
    </row>
    <row r="26" spans="1:8" ht="25.2" hidden="1" thickTop="1">
      <c r="A26" s="25"/>
      <c r="B26" s="45" t="s">
        <v>50</v>
      </c>
      <c r="C26" s="29"/>
      <c r="D26" s="47"/>
      <c r="E26" s="48"/>
      <c r="F26" s="58"/>
    </row>
    <row r="27" spans="1:8" ht="25.8" hidden="1" thickTop="1" thickBot="1">
      <c r="A27" s="25"/>
      <c r="B27" s="25"/>
      <c r="C27" s="29"/>
      <c r="D27" s="75"/>
      <c r="E27" s="76"/>
      <c r="F27" s="77"/>
    </row>
    <row r="28" spans="1:8" ht="25.2" hidden="1" thickTop="1">
      <c r="A28" s="25"/>
      <c r="B28" s="25" t="s">
        <v>26</v>
      </c>
      <c r="C28" s="29"/>
      <c r="D28" s="112"/>
      <c r="E28" s="113"/>
      <c r="F28" s="114"/>
    </row>
    <row r="29" spans="1:8" ht="25.2" hidden="1" thickTop="1">
      <c r="A29" s="25"/>
      <c r="B29" s="45" t="s">
        <v>51</v>
      </c>
      <c r="C29" s="29"/>
      <c r="D29" s="60"/>
      <c r="E29" s="61"/>
      <c r="F29" s="62"/>
    </row>
    <row r="30" spans="1:8" ht="25.8" hidden="1" thickTop="1" thickBot="1">
      <c r="A30" s="25">
        <v>1</v>
      </c>
      <c r="B30" s="25"/>
      <c r="C30" s="29"/>
      <c r="D30" s="75"/>
      <c r="E30" s="76"/>
      <c r="F30" s="77"/>
    </row>
    <row r="31" spans="1:8" ht="25.8" hidden="1" thickTop="1" thickBot="1">
      <c r="A31" s="25"/>
      <c r="B31" s="25" t="s">
        <v>26</v>
      </c>
      <c r="C31" s="29"/>
      <c r="D31" s="65"/>
      <c r="E31" s="66"/>
      <c r="F31" s="67"/>
    </row>
    <row r="32" spans="1:8" ht="25.2" thickTop="1">
      <c r="A32" s="29"/>
      <c r="B32" s="45" t="s">
        <v>52</v>
      </c>
      <c r="C32" s="29"/>
      <c r="D32" s="47"/>
      <c r="E32" s="48"/>
      <c r="F32" s="58"/>
    </row>
    <row r="33" spans="1:8" ht="24.6">
      <c r="A33" s="25">
        <v>1</v>
      </c>
      <c r="B33" s="29" t="s">
        <v>65</v>
      </c>
      <c r="C33" s="25">
        <v>267</v>
      </c>
      <c r="D33" s="69">
        <v>25243</v>
      </c>
      <c r="E33" s="70" t="s">
        <v>354</v>
      </c>
      <c r="F33" s="83">
        <v>1215</v>
      </c>
    </row>
    <row r="34" spans="1:8" ht="24.6">
      <c r="A34" s="25">
        <v>2</v>
      </c>
      <c r="B34" s="29" t="s">
        <v>70</v>
      </c>
      <c r="C34" s="25" t="s">
        <v>71</v>
      </c>
      <c r="D34" s="69">
        <v>25250</v>
      </c>
      <c r="E34" s="70" t="s">
        <v>355</v>
      </c>
      <c r="F34" s="83">
        <v>2430</v>
      </c>
    </row>
    <row r="35" spans="1:8" ht="24.6">
      <c r="A35" s="25">
        <v>3</v>
      </c>
      <c r="B35" s="29" t="s">
        <v>73</v>
      </c>
      <c r="C35" s="120">
        <v>84282</v>
      </c>
      <c r="D35" s="69">
        <v>25243</v>
      </c>
      <c r="E35" s="70" t="s">
        <v>356</v>
      </c>
      <c r="F35" s="83">
        <v>4860</v>
      </c>
    </row>
    <row r="36" spans="1:8" ht="24.6">
      <c r="A36" s="25">
        <v>4</v>
      </c>
      <c r="B36" s="29" t="s">
        <v>78</v>
      </c>
      <c r="C36" s="25" t="s">
        <v>79</v>
      </c>
      <c r="D36" s="69">
        <v>25239</v>
      </c>
      <c r="E36" s="70" t="s">
        <v>357</v>
      </c>
      <c r="F36" s="83">
        <v>2430</v>
      </c>
    </row>
    <row r="37" spans="1:8" ht="24.6">
      <c r="A37" s="25">
        <v>5</v>
      </c>
      <c r="B37" s="29" t="s">
        <v>83</v>
      </c>
      <c r="C37" s="25">
        <v>277</v>
      </c>
      <c r="D37" s="69">
        <v>25261</v>
      </c>
      <c r="E37" s="70" t="s">
        <v>357</v>
      </c>
      <c r="F37" s="83">
        <v>1215</v>
      </c>
    </row>
    <row r="38" spans="1:8" ht="24.6">
      <c r="A38" s="25">
        <v>6</v>
      </c>
      <c r="B38" s="29" t="s">
        <v>105</v>
      </c>
      <c r="C38" s="29"/>
      <c r="D38" s="69">
        <v>25238</v>
      </c>
      <c r="E38" s="84" t="s">
        <v>358</v>
      </c>
      <c r="F38" s="83">
        <v>5000</v>
      </c>
    </row>
    <row r="39" spans="1:8" ht="24.6">
      <c r="A39" s="25">
        <v>7</v>
      </c>
      <c r="B39" s="29" t="s">
        <v>105</v>
      </c>
      <c r="C39" s="29"/>
      <c r="D39" s="69">
        <v>25238</v>
      </c>
      <c r="E39" s="70" t="s">
        <v>360</v>
      </c>
      <c r="F39" s="83">
        <v>4650</v>
      </c>
    </row>
    <row r="40" spans="1:8" ht="24.6">
      <c r="A40" s="25">
        <v>8</v>
      </c>
      <c r="B40" s="29" t="s">
        <v>109</v>
      </c>
      <c r="C40" s="53"/>
      <c r="D40" s="69">
        <v>25239</v>
      </c>
      <c r="E40" s="70" t="s">
        <v>361</v>
      </c>
      <c r="F40" s="83">
        <v>3450</v>
      </c>
    </row>
    <row r="41" spans="1:8" ht="24.6">
      <c r="A41" s="25">
        <v>9</v>
      </c>
      <c r="B41" s="29" t="s">
        <v>112</v>
      </c>
      <c r="C41" s="29"/>
      <c r="D41" s="128">
        <v>25244</v>
      </c>
      <c r="E41" s="129" t="s">
        <v>362</v>
      </c>
      <c r="F41" s="130">
        <v>3795</v>
      </c>
    </row>
    <row r="42" spans="1:8" ht="25.5" customHeight="1">
      <c r="A42" s="25">
        <v>10</v>
      </c>
      <c r="B42" s="132" t="s">
        <v>115</v>
      </c>
      <c r="C42" s="132"/>
      <c r="D42" s="128">
        <v>25239</v>
      </c>
      <c r="E42" s="129" t="s">
        <v>363</v>
      </c>
      <c r="F42" s="130">
        <v>8000</v>
      </c>
    </row>
    <row r="43" spans="1:8" ht="25.2" thickBot="1">
      <c r="A43" s="29"/>
      <c r="B43" s="25" t="s">
        <v>26</v>
      </c>
      <c r="C43" s="74"/>
      <c r="D43" s="77"/>
      <c r="E43" s="77"/>
      <c r="F43" s="77">
        <v>37045</v>
      </c>
      <c r="H43" s="175">
        <f>SUM(F33:F42)</f>
        <v>37045</v>
      </c>
    </row>
    <row r="44" spans="1:8" ht="25.2" thickTop="1">
      <c r="A44" s="29"/>
      <c r="B44" s="116" t="s">
        <v>117</v>
      </c>
      <c r="C44" s="46"/>
      <c r="D44" s="137"/>
      <c r="E44" s="138"/>
      <c r="F44" s="139"/>
    </row>
    <row r="45" spans="1:8" ht="24.6">
      <c r="A45" s="25">
        <v>1</v>
      </c>
      <c r="B45" s="119" t="s">
        <v>121</v>
      </c>
      <c r="C45" s="46"/>
      <c r="D45" s="69">
        <v>25239</v>
      </c>
      <c r="E45" s="70" t="s">
        <v>364</v>
      </c>
      <c r="F45" s="83">
        <v>6000</v>
      </c>
    </row>
    <row r="46" spans="1:8" ht="24.6">
      <c r="A46" s="25">
        <v>2</v>
      </c>
      <c r="B46" s="29" t="s">
        <v>124</v>
      </c>
      <c r="C46" s="29"/>
      <c r="D46" s="69">
        <v>25255</v>
      </c>
      <c r="E46" s="70" t="s">
        <v>365</v>
      </c>
      <c r="F46" s="83">
        <v>600</v>
      </c>
    </row>
    <row r="47" spans="1:8" ht="24.6">
      <c r="A47" s="25">
        <v>3</v>
      </c>
      <c r="B47" s="29" t="s">
        <v>130</v>
      </c>
      <c r="C47" s="29"/>
      <c r="D47" s="69">
        <v>25262</v>
      </c>
      <c r="E47" s="70" t="s">
        <v>366</v>
      </c>
      <c r="F47" s="83">
        <v>550</v>
      </c>
    </row>
    <row r="48" spans="1:8" ht="24.6">
      <c r="A48" s="25">
        <v>4</v>
      </c>
      <c r="B48" s="29" t="s">
        <v>132</v>
      </c>
      <c r="C48" s="29"/>
      <c r="D48" s="69">
        <v>25259</v>
      </c>
      <c r="E48" s="70" t="s">
        <v>367</v>
      </c>
      <c r="F48" s="83">
        <v>1100</v>
      </c>
    </row>
    <row r="49" spans="1:9" ht="24.6">
      <c r="A49" s="25">
        <v>5</v>
      </c>
      <c r="B49" s="29" t="s">
        <v>134</v>
      </c>
      <c r="C49" s="29"/>
      <c r="D49" s="69">
        <v>25262</v>
      </c>
      <c r="E49" s="84" t="s">
        <v>368</v>
      </c>
      <c r="F49" s="83">
        <v>1650</v>
      </c>
    </row>
    <row r="50" spans="1:9" ht="24.6">
      <c r="A50" s="25">
        <v>6</v>
      </c>
      <c r="B50" s="29" t="s">
        <v>137</v>
      </c>
      <c r="C50" s="29"/>
      <c r="D50" s="69">
        <v>25262</v>
      </c>
      <c r="E50" s="70" t="s">
        <v>369</v>
      </c>
      <c r="F50" s="83">
        <v>5000</v>
      </c>
    </row>
    <row r="51" spans="1:9" ht="25.2" thickBot="1">
      <c r="A51" s="29"/>
      <c r="B51" s="25" t="s">
        <v>26</v>
      </c>
      <c r="C51" s="64"/>
      <c r="D51" s="67"/>
      <c r="E51" s="67"/>
      <c r="F51" s="67">
        <v>14900</v>
      </c>
      <c r="H51" s="175">
        <f>SUM(F45:F50)</f>
        <v>14900</v>
      </c>
    </row>
    <row r="52" spans="1:9" ht="25.8" thickTop="1" thickBot="1">
      <c r="A52" s="29"/>
      <c r="B52" s="25" t="s">
        <v>248</v>
      </c>
      <c r="C52" s="64"/>
      <c r="D52" s="67"/>
      <c r="E52" s="67"/>
      <c r="F52" s="67">
        <v>54085</v>
      </c>
      <c r="I52" s="175">
        <f>SUM(H22:H51)</f>
        <v>54085</v>
      </c>
    </row>
    <row r="53" spans="1:9" ht="25.2" thickTop="1"/>
    <row r="54" spans="1:9" ht="24.6">
      <c r="E54" s="250"/>
    </row>
    <row r="55" spans="1:9" ht="24.6">
      <c r="E55" s="251"/>
    </row>
    <row r="56" spans="1:9" ht="24.6">
      <c r="E56" s="250"/>
    </row>
    <row r="57" spans="1:9" ht="24.6">
      <c r="E57" s="250"/>
      <c r="F57" s="252"/>
    </row>
    <row r="58" spans="1:9" ht="24.6">
      <c r="E58" s="250"/>
    </row>
    <row r="59" spans="1:9" ht="24.6"/>
    <row r="60" spans="1:9" ht="24.6"/>
    <row r="61" spans="1:9" ht="24.6"/>
    <row r="62" spans="1:9" ht="24.6"/>
    <row r="63" spans="1:9" ht="24.6"/>
    <row r="64" spans="1:9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9B53-E39A-4E26-AE00-BEB7E3CEBE7D}">
  <sheetPr>
    <tabColor rgb="FF00B0F0"/>
  </sheetPr>
  <dimension ref="A1:L815"/>
  <sheetViews>
    <sheetView zoomScale="90" zoomScaleNormal="90" zoomScaleSheetLayoutView="87" workbookViewId="0">
      <pane ySplit="6" topLeftCell="A21" activePane="bottomLeft" state="frozen"/>
      <selection activeCell="I147" sqref="I147"/>
      <selection pane="bottomLeft" activeCell="C36" sqref="C3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4" width="15" style="1" customWidth="1"/>
    <col min="5" max="5" width="10.33203125" style="1" customWidth="1"/>
    <col min="6" max="6" width="7.44140625" style="173" customWidth="1"/>
    <col min="7" max="7" width="14" style="1" customWidth="1"/>
    <col min="8" max="8" width="10.33203125" style="1"/>
    <col min="9" max="9" width="12.109375" style="1" bestFit="1" customWidth="1"/>
    <col min="10" max="10" width="10.33203125" style="1"/>
    <col min="11" max="11" width="11.88671875" style="1" bestFit="1" customWidth="1"/>
    <col min="12" max="233" width="10.33203125" style="1"/>
    <col min="234" max="234" width="4.44140625" style="1" customWidth="1"/>
    <col min="235" max="235" width="21.6640625" style="1" customWidth="1"/>
    <col min="236" max="236" width="15" style="1" customWidth="1"/>
    <col min="237" max="237" width="15.44140625" style="1" customWidth="1"/>
    <col min="238" max="238" width="11.5546875" style="1" customWidth="1"/>
    <col min="239" max="239" width="7.44140625" style="1" customWidth="1"/>
    <col min="240" max="240" width="14.109375" style="1" customWidth="1"/>
    <col min="241" max="241" width="10.6640625" style="1" customWidth="1"/>
    <col min="242" max="242" width="13.44140625" style="1" customWidth="1"/>
    <col min="243" max="243" width="11.44140625" style="1" customWidth="1"/>
    <col min="244" max="244" width="15" style="1" customWidth="1"/>
    <col min="245" max="245" width="14.5546875" style="1" customWidth="1"/>
    <col min="246" max="246" width="10.33203125" style="1"/>
    <col min="247" max="247" width="7.44140625" style="1" customWidth="1"/>
    <col min="248" max="248" width="12.88671875" style="1" customWidth="1"/>
    <col min="249" max="249" width="11.109375" style="1" customWidth="1"/>
    <col min="250" max="250" width="14" style="1" customWidth="1"/>
    <col min="251" max="251" width="33" style="1" customWidth="1"/>
    <col min="252" max="252" width="6.6640625" style="1" customWidth="1"/>
    <col min="253" max="253" width="19" style="1" customWidth="1"/>
    <col min="254" max="254" width="19.109375" style="1" customWidth="1"/>
    <col min="255" max="255" width="21.33203125" style="1" customWidth="1"/>
    <col min="256" max="256" width="32.5546875" style="1" customWidth="1"/>
    <col min="257" max="257" width="16.88671875" style="1" customWidth="1"/>
    <col min="258" max="258" width="16.33203125" style="1" customWidth="1"/>
    <col min="259" max="489" width="10.33203125" style="1"/>
    <col min="490" max="490" width="4.44140625" style="1" customWidth="1"/>
    <col min="491" max="491" width="21.6640625" style="1" customWidth="1"/>
    <col min="492" max="492" width="15" style="1" customWidth="1"/>
    <col min="493" max="493" width="15.44140625" style="1" customWidth="1"/>
    <col min="494" max="494" width="11.5546875" style="1" customWidth="1"/>
    <col min="495" max="495" width="7.44140625" style="1" customWidth="1"/>
    <col min="496" max="496" width="14.109375" style="1" customWidth="1"/>
    <col min="497" max="497" width="10.6640625" style="1" customWidth="1"/>
    <col min="498" max="498" width="13.44140625" style="1" customWidth="1"/>
    <col min="499" max="499" width="11.44140625" style="1" customWidth="1"/>
    <col min="500" max="500" width="15" style="1" customWidth="1"/>
    <col min="501" max="501" width="14.5546875" style="1" customWidth="1"/>
    <col min="502" max="502" width="10.33203125" style="1"/>
    <col min="503" max="503" width="7.44140625" style="1" customWidth="1"/>
    <col min="504" max="504" width="12.88671875" style="1" customWidth="1"/>
    <col min="505" max="505" width="11.109375" style="1" customWidth="1"/>
    <col min="506" max="506" width="14" style="1" customWidth="1"/>
    <col min="507" max="507" width="33" style="1" customWidth="1"/>
    <col min="508" max="508" width="6.6640625" style="1" customWidth="1"/>
    <col min="509" max="509" width="19" style="1" customWidth="1"/>
    <col min="510" max="510" width="19.109375" style="1" customWidth="1"/>
    <col min="511" max="511" width="21.33203125" style="1" customWidth="1"/>
    <col min="512" max="512" width="32.5546875" style="1" customWidth="1"/>
    <col min="513" max="513" width="16.88671875" style="1" customWidth="1"/>
    <col min="514" max="514" width="16.33203125" style="1" customWidth="1"/>
    <col min="515" max="745" width="10.33203125" style="1"/>
    <col min="746" max="746" width="4.44140625" style="1" customWidth="1"/>
    <col min="747" max="747" width="21.6640625" style="1" customWidth="1"/>
    <col min="748" max="748" width="15" style="1" customWidth="1"/>
    <col min="749" max="749" width="15.44140625" style="1" customWidth="1"/>
    <col min="750" max="750" width="11.5546875" style="1" customWidth="1"/>
    <col min="751" max="751" width="7.44140625" style="1" customWidth="1"/>
    <col min="752" max="752" width="14.109375" style="1" customWidth="1"/>
    <col min="753" max="753" width="10.6640625" style="1" customWidth="1"/>
    <col min="754" max="754" width="13.44140625" style="1" customWidth="1"/>
    <col min="755" max="755" width="11.44140625" style="1" customWidth="1"/>
    <col min="756" max="756" width="15" style="1" customWidth="1"/>
    <col min="757" max="757" width="14.5546875" style="1" customWidth="1"/>
    <col min="758" max="758" width="10.33203125" style="1"/>
    <col min="759" max="759" width="7.44140625" style="1" customWidth="1"/>
    <col min="760" max="760" width="12.88671875" style="1" customWidth="1"/>
    <col min="761" max="761" width="11.109375" style="1" customWidth="1"/>
    <col min="762" max="762" width="14" style="1" customWidth="1"/>
    <col min="763" max="763" width="33" style="1" customWidth="1"/>
    <col min="764" max="764" width="6.6640625" style="1" customWidth="1"/>
    <col min="765" max="765" width="19" style="1" customWidth="1"/>
    <col min="766" max="766" width="19.109375" style="1" customWidth="1"/>
    <col min="767" max="767" width="21.33203125" style="1" customWidth="1"/>
    <col min="768" max="768" width="32.5546875" style="1" customWidth="1"/>
    <col min="769" max="769" width="16.88671875" style="1" customWidth="1"/>
    <col min="770" max="770" width="16.33203125" style="1" customWidth="1"/>
    <col min="771" max="1001" width="10.33203125" style="1"/>
    <col min="1002" max="1002" width="4.44140625" style="1" customWidth="1"/>
    <col min="1003" max="1003" width="21.6640625" style="1" customWidth="1"/>
    <col min="1004" max="1004" width="15" style="1" customWidth="1"/>
    <col min="1005" max="1005" width="15.44140625" style="1" customWidth="1"/>
    <col min="1006" max="1006" width="11.5546875" style="1" customWidth="1"/>
    <col min="1007" max="1007" width="7.44140625" style="1" customWidth="1"/>
    <col min="1008" max="1008" width="14.109375" style="1" customWidth="1"/>
    <col min="1009" max="1009" width="10.6640625" style="1" customWidth="1"/>
    <col min="1010" max="1010" width="13.44140625" style="1" customWidth="1"/>
    <col min="1011" max="1011" width="11.44140625" style="1" customWidth="1"/>
    <col min="1012" max="1012" width="15" style="1" customWidth="1"/>
    <col min="1013" max="1013" width="14.5546875" style="1" customWidth="1"/>
    <col min="1014" max="1014" width="10.33203125" style="1"/>
    <col min="1015" max="1015" width="7.44140625" style="1" customWidth="1"/>
    <col min="1016" max="1016" width="12.88671875" style="1" customWidth="1"/>
    <col min="1017" max="1017" width="11.109375" style="1" customWidth="1"/>
    <col min="1018" max="1018" width="14" style="1" customWidth="1"/>
    <col min="1019" max="1019" width="33" style="1" customWidth="1"/>
    <col min="1020" max="1020" width="6.6640625" style="1" customWidth="1"/>
    <col min="1021" max="1021" width="19" style="1" customWidth="1"/>
    <col min="1022" max="1022" width="19.109375" style="1" customWidth="1"/>
    <col min="1023" max="1023" width="21.33203125" style="1" customWidth="1"/>
    <col min="1024" max="1024" width="32.5546875" style="1" customWidth="1"/>
    <col min="1025" max="1025" width="16.88671875" style="1" customWidth="1"/>
    <col min="1026" max="1026" width="16.33203125" style="1" customWidth="1"/>
    <col min="1027" max="1257" width="10.33203125" style="1"/>
    <col min="1258" max="1258" width="4.44140625" style="1" customWidth="1"/>
    <col min="1259" max="1259" width="21.6640625" style="1" customWidth="1"/>
    <col min="1260" max="1260" width="15" style="1" customWidth="1"/>
    <col min="1261" max="1261" width="15.44140625" style="1" customWidth="1"/>
    <col min="1262" max="1262" width="11.5546875" style="1" customWidth="1"/>
    <col min="1263" max="1263" width="7.44140625" style="1" customWidth="1"/>
    <col min="1264" max="1264" width="14.109375" style="1" customWidth="1"/>
    <col min="1265" max="1265" width="10.6640625" style="1" customWidth="1"/>
    <col min="1266" max="1266" width="13.44140625" style="1" customWidth="1"/>
    <col min="1267" max="1267" width="11.44140625" style="1" customWidth="1"/>
    <col min="1268" max="1268" width="15" style="1" customWidth="1"/>
    <col min="1269" max="1269" width="14.5546875" style="1" customWidth="1"/>
    <col min="1270" max="1270" width="10.33203125" style="1"/>
    <col min="1271" max="1271" width="7.44140625" style="1" customWidth="1"/>
    <col min="1272" max="1272" width="12.88671875" style="1" customWidth="1"/>
    <col min="1273" max="1273" width="11.109375" style="1" customWidth="1"/>
    <col min="1274" max="1274" width="14" style="1" customWidth="1"/>
    <col min="1275" max="1275" width="33" style="1" customWidth="1"/>
    <col min="1276" max="1276" width="6.6640625" style="1" customWidth="1"/>
    <col min="1277" max="1277" width="19" style="1" customWidth="1"/>
    <col min="1278" max="1278" width="19.109375" style="1" customWidth="1"/>
    <col min="1279" max="1279" width="21.33203125" style="1" customWidth="1"/>
    <col min="1280" max="1280" width="32.5546875" style="1" customWidth="1"/>
    <col min="1281" max="1281" width="16.88671875" style="1" customWidth="1"/>
    <col min="1282" max="1282" width="16.33203125" style="1" customWidth="1"/>
    <col min="1283" max="1513" width="10.33203125" style="1"/>
    <col min="1514" max="1514" width="4.44140625" style="1" customWidth="1"/>
    <col min="1515" max="1515" width="21.6640625" style="1" customWidth="1"/>
    <col min="1516" max="1516" width="15" style="1" customWidth="1"/>
    <col min="1517" max="1517" width="15.44140625" style="1" customWidth="1"/>
    <col min="1518" max="1518" width="11.5546875" style="1" customWidth="1"/>
    <col min="1519" max="1519" width="7.44140625" style="1" customWidth="1"/>
    <col min="1520" max="1520" width="14.109375" style="1" customWidth="1"/>
    <col min="1521" max="1521" width="10.6640625" style="1" customWidth="1"/>
    <col min="1522" max="1522" width="13.44140625" style="1" customWidth="1"/>
    <col min="1523" max="1523" width="11.44140625" style="1" customWidth="1"/>
    <col min="1524" max="1524" width="15" style="1" customWidth="1"/>
    <col min="1525" max="1525" width="14.5546875" style="1" customWidth="1"/>
    <col min="1526" max="1526" width="10.33203125" style="1"/>
    <col min="1527" max="1527" width="7.44140625" style="1" customWidth="1"/>
    <col min="1528" max="1528" width="12.88671875" style="1" customWidth="1"/>
    <col min="1529" max="1529" width="11.109375" style="1" customWidth="1"/>
    <col min="1530" max="1530" width="14" style="1" customWidth="1"/>
    <col min="1531" max="1531" width="33" style="1" customWidth="1"/>
    <col min="1532" max="1532" width="6.6640625" style="1" customWidth="1"/>
    <col min="1533" max="1533" width="19" style="1" customWidth="1"/>
    <col min="1534" max="1534" width="19.109375" style="1" customWidth="1"/>
    <col min="1535" max="1535" width="21.33203125" style="1" customWidth="1"/>
    <col min="1536" max="1536" width="32.5546875" style="1" customWidth="1"/>
    <col min="1537" max="1537" width="16.88671875" style="1" customWidth="1"/>
    <col min="1538" max="1538" width="16.33203125" style="1" customWidth="1"/>
    <col min="1539" max="1769" width="10.33203125" style="1"/>
    <col min="1770" max="1770" width="4.44140625" style="1" customWidth="1"/>
    <col min="1771" max="1771" width="21.6640625" style="1" customWidth="1"/>
    <col min="1772" max="1772" width="15" style="1" customWidth="1"/>
    <col min="1773" max="1773" width="15.44140625" style="1" customWidth="1"/>
    <col min="1774" max="1774" width="11.5546875" style="1" customWidth="1"/>
    <col min="1775" max="1775" width="7.44140625" style="1" customWidth="1"/>
    <col min="1776" max="1776" width="14.109375" style="1" customWidth="1"/>
    <col min="1777" max="1777" width="10.6640625" style="1" customWidth="1"/>
    <col min="1778" max="1778" width="13.44140625" style="1" customWidth="1"/>
    <col min="1779" max="1779" width="11.44140625" style="1" customWidth="1"/>
    <col min="1780" max="1780" width="15" style="1" customWidth="1"/>
    <col min="1781" max="1781" width="14.5546875" style="1" customWidth="1"/>
    <col min="1782" max="1782" width="10.33203125" style="1"/>
    <col min="1783" max="1783" width="7.44140625" style="1" customWidth="1"/>
    <col min="1784" max="1784" width="12.88671875" style="1" customWidth="1"/>
    <col min="1785" max="1785" width="11.109375" style="1" customWidth="1"/>
    <col min="1786" max="1786" width="14" style="1" customWidth="1"/>
    <col min="1787" max="1787" width="33" style="1" customWidth="1"/>
    <col min="1788" max="1788" width="6.6640625" style="1" customWidth="1"/>
    <col min="1789" max="1789" width="19" style="1" customWidth="1"/>
    <col min="1790" max="1790" width="19.109375" style="1" customWidth="1"/>
    <col min="1791" max="1791" width="21.33203125" style="1" customWidth="1"/>
    <col min="1792" max="1792" width="32.5546875" style="1" customWidth="1"/>
    <col min="1793" max="1793" width="16.88671875" style="1" customWidth="1"/>
    <col min="1794" max="1794" width="16.33203125" style="1" customWidth="1"/>
    <col min="1795" max="2025" width="10.33203125" style="1"/>
    <col min="2026" max="2026" width="4.44140625" style="1" customWidth="1"/>
    <col min="2027" max="2027" width="21.6640625" style="1" customWidth="1"/>
    <col min="2028" max="2028" width="15" style="1" customWidth="1"/>
    <col min="2029" max="2029" width="15.44140625" style="1" customWidth="1"/>
    <col min="2030" max="2030" width="11.5546875" style="1" customWidth="1"/>
    <col min="2031" max="2031" width="7.44140625" style="1" customWidth="1"/>
    <col min="2032" max="2032" width="14.109375" style="1" customWidth="1"/>
    <col min="2033" max="2033" width="10.6640625" style="1" customWidth="1"/>
    <col min="2034" max="2034" width="13.44140625" style="1" customWidth="1"/>
    <col min="2035" max="2035" width="11.44140625" style="1" customWidth="1"/>
    <col min="2036" max="2036" width="15" style="1" customWidth="1"/>
    <col min="2037" max="2037" width="14.5546875" style="1" customWidth="1"/>
    <col min="2038" max="2038" width="10.33203125" style="1"/>
    <col min="2039" max="2039" width="7.44140625" style="1" customWidth="1"/>
    <col min="2040" max="2040" width="12.88671875" style="1" customWidth="1"/>
    <col min="2041" max="2041" width="11.109375" style="1" customWidth="1"/>
    <col min="2042" max="2042" width="14" style="1" customWidth="1"/>
    <col min="2043" max="2043" width="33" style="1" customWidth="1"/>
    <col min="2044" max="2044" width="6.6640625" style="1" customWidth="1"/>
    <col min="2045" max="2045" width="19" style="1" customWidth="1"/>
    <col min="2046" max="2046" width="19.109375" style="1" customWidth="1"/>
    <col min="2047" max="2047" width="21.33203125" style="1" customWidth="1"/>
    <col min="2048" max="2048" width="32.5546875" style="1" customWidth="1"/>
    <col min="2049" max="2049" width="16.88671875" style="1" customWidth="1"/>
    <col min="2050" max="2050" width="16.33203125" style="1" customWidth="1"/>
    <col min="2051" max="2281" width="10.33203125" style="1"/>
    <col min="2282" max="2282" width="4.44140625" style="1" customWidth="1"/>
    <col min="2283" max="2283" width="21.6640625" style="1" customWidth="1"/>
    <col min="2284" max="2284" width="15" style="1" customWidth="1"/>
    <col min="2285" max="2285" width="15.44140625" style="1" customWidth="1"/>
    <col min="2286" max="2286" width="11.5546875" style="1" customWidth="1"/>
    <col min="2287" max="2287" width="7.44140625" style="1" customWidth="1"/>
    <col min="2288" max="2288" width="14.109375" style="1" customWidth="1"/>
    <col min="2289" max="2289" width="10.6640625" style="1" customWidth="1"/>
    <col min="2290" max="2290" width="13.44140625" style="1" customWidth="1"/>
    <col min="2291" max="2291" width="11.44140625" style="1" customWidth="1"/>
    <col min="2292" max="2292" width="15" style="1" customWidth="1"/>
    <col min="2293" max="2293" width="14.5546875" style="1" customWidth="1"/>
    <col min="2294" max="2294" width="10.33203125" style="1"/>
    <col min="2295" max="2295" width="7.44140625" style="1" customWidth="1"/>
    <col min="2296" max="2296" width="12.88671875" style="1" customWidth="1"/>
    <col min="2297" max="2297" width="11.109375" style="1" customWidth="1"/>
    <col min="2298" max="2298" width="14" style="1" customWidth="1"/>
    <col min="2299" max="2299" width="33" style="1" customWidth="1"/>
    <col min="2300" max="2300" width="6.6640625" style="1" customWidth="1"/>
    <col min="2301" max="2301" width="19" style="1" customWidth="1"/>
    <col min="2302" max="2302" width="19.109375" style="1" customWidth="1"/>
    <col min="2303" max="2303" width="21.33203125" style="1" customWidth="1"/>
    <col min="2304" max="2304" width="32.5546875" style="1" customWidth="1"/>
    <col min="2305" max="2305" width="16.88671875" style="1" customWidth="1"/>
    <col min="2306" max="2306" width="16.33203125" style="1" customWidth="1"/>
    <col min="2307" max="2537" width="10.33203125" style="1"/>
    <col min="2538" max="2538" width="4.44140625" style="1" customWidth="1"/>
    <col min="2539" max="2539" width="21.6640625" style="1" customWidth="1"/>
    <col min="2540" max="2540" width="15" style="1" customWidth="1"/>
    <col min="2541" max="2541" width="15.44140625" style="1" customWidth="1"/>
    <col min="2542" max="2542" width="11.5546875" style="1" customWidth="1"/>
    <col min="2543" max="2543" width="7.44140625" style="1" customWidth="1"/>
    <col min="2544" max="2544" width="14.109375" style="1" customWidth="1"/>
    <col min="2545" max="2545" width="10.6640625" style="1" customWidth="1"/>
    <col min="2546" max="2546" width="13.44140625" style="1" customWidth="1"/>
    <col min="2547" max="2547" width="11.44140625" style="1" customWidth="1"/>
    <col min="2548" max="2548" width="15" style="1" customWidth="1"/>
    <col min="2549" max="2549" width="14.5546875" style="1" customWidth="1"/>
    <col min="2550" max="2550" width="10.33203125" style="1"/>
    <col min="2551" max="2551" width="7.44140625" style="1" customWidth="1"/>
    <col min="2552" max="2552" width="12.88671875" style="1" customWidth="1"/>
    <col min="2553" max="2553" width="11.109375" style="1" customWidth="1"/>
    <col min="2554" max="2554" width="14" style="1" customWidth="1"/>
    <col min="2555" max="2555" width="33" style="1" customWidth="1"/>
    <col min="2556" max="2556" width="6.6640625" style="1" customWidth="1"/>
    <col min="2557" max="2557" width="19" style="1" customWidth="1"/>
    <col min="2558" max="2558" width="19.109375" style="1" customWidth="1"/>
    <col min="2559" max="2559" width="21.33203125" style="1" customWidth="1"/>
    <col min="2560" max="2560" width="32.5546875" style="1" customWidth="1"/>
    <col min="2561" max="2561" width="16.88671875" style="1" customWidth="1"/>
    <col min="2562" max="2562" width="16.33203125" style="1" customWidth="1"/>
    <col min="2563" max="2793" width="10.33203125" style="1"/>
    <col min="2794" max="2794" width="4.44140625" style="1" customWidth="1"/>
    <col min="2795" max="2795" width="21.6640625" style="1" customWidth="1"/>
    <col min="2796" max="2796" width="15" style="1" customWidth="1"/>
    <col min="2797" max="2797" width="15.44140625" style="1" customWidth="1"/>
    <col min="2798" max="2798" width="11.5546875" style="1" customWidth="1"/>
    <col min="2799" max="2799" width="7.44140625" style="1" customWidth="1"/>
    <col min="2800" max="2800" width="14.109375" style="1" customWidth="1"/>
    <col min="2801" max="2801" width="10.6640625" style="1" customWidth="1"/>
    <col min="2802" max="2802" width="13.44140625" style="1" customWidth="1"/>
    <col min="2803" max="2803" width="11.44140625" style="1" customWidth="1"/>
    <col min="2804" max="2804" width="15" style="1" customWidth="1"/>
    <col min="2805" max="2805" width="14.5546875" style="1" customWidth="1"/>
    <col min="2806" max="2806" width="10.33203125" style="1"/>
    <col min="2807" max="2807" width="7.44140625" style="1" customWidth="1"/>
    <col min="2808" max="2808" width="12.88671875" style="1" customWidth="1"/>
    <col min="2809" max="2809" width="11.109375" style="1" customWidth="1"/>
    <col min="2810" max="2810" width="14" style="1" customWidth="1"/>
    <col min="2811" max="2811" width="33" style="1" customWidth="1"/>
    <col min="2812" max="2812" width="6.6640625" style="1" customWidth="1"/>
    <col min="2813" max="2813" width="19" style="1" customWidth="1"/>
    <col min="2814" max="2814" width="19.109375" style="1" customWidth="1"/>
    <col min="2815" max="2815" width="21.33203125" style="1" customWidth="1"/>
    <col min="2816" max="2816" width="32.5546875" style="1" customWidth="1"/>
    <col min="2817" max="2817" width="16.88671875" style="1" customWidth="1"/>
    <col min="2818" max="2818" width="16.33203125" style="1" customWidth="1"/>
    <col min="2819" max="3049" width="10.33203125" style="1"/>
    <col min="3050" max="3050" width="4.44140625" style="1" customWidth="1"/>
    <col min="3051" max="3051" width="21.6640625" style="1" customWidth="1"/>
    <col min="3052" max="3052" width="15" style="1" customWidth="1"/>
    <col min="3053" max="3053" width="15.44140625" style="1" customWidth="1"/>
    <col min="3054" max="3054" width="11.5546875" style="1" customWidth="1"/>
    <col min="3055" max="3055" width="7.44140625" style="1" customWidth="1"/>
    <col min="3056" max="3056" width="14.109375" style="1" customWidth="1"/>
    <col min="3057" max="3057" width="10.6640625" style="1" customWidth="1"/>
    <col min="3058" max="3058" width="13.44140625" style="1" customWidth="1"/>
    <col min="3059" max="3059" width="11.44140625" style="1" customWidth="1"/>
    <col min="3060" max="3060" width="15" style="1" customWidth="1"/>
    <col min="3061" max="3061" width="14.5546875" style="1" customWidth="1"/>
    <col min="3062" max="3062" width="10.33203125" style="1"/>
    <col min="3063" max="3063" width="7.44140625" style="1" customWidth="1"/>
    <col min="3064" max="3064" width="12.88671875" style="1" customWidth="1"/>
    <col min="3065" max="3065" width="11.109375" style="1" customWidth="1"/>
    <col min="3066" max="3066" width="14" style="1" customWidth="1"/>
    <col min="3067" max="3067" width="33" style="1" customWidth="1"/>
    <col min="3068" max="3068" width="6.6640625" style="1" customWidth="1"/>
    <col min="3069" max="3069" width="19" style="1" customWidth="1"/>
    <col min="3070" max="3070" width="19.109375" style="1" customWidth="1"/>
    <col min="3071" max="3071" width="21.33203125" style="1" customWidth="1"/>
    <col min="3072" max="3072" width="32.5546875" style="1" customWidth="1"/>
    <col min="3073" max="3073" width="16.88671875" style="1" customWidth="1"/>
    <col min="3074" max="3074" width="16.33203125" style="1" customWidth="1"/>
    <col min="3075" max="3305" width="10.33203125" style="1"/>
    <col min="3306" max="3306" width="4.44140625" style="1" customWidth="1"/>
    <col min="3307" max="3307" width="21.6640625" style="1" customWidth="1"/>
    <col min="3308" max="3308" width="15" style="1" customWidth="1"/>
    <col min="3309" max="3309" width="15.44140625" style="1" customWidth="1"/>
    <col min="3310" max="3310" width="11.5546875" style="1" customWidth="1"/>
    <col min="3311" max="3311" width="7.44140625" style="1" customWidth="1"/>
    <col min="3312" max="3312" width="14.109375" style="1" customWidth="1"/>
    <col min="3313" max="3313" width="10.6640625" style="1" customWidth="1"/>
    <col min="3314" max="3314" width="13.44140625" style="1" customWidth="1"/>
    <col min="3315" max="3315" width="11.44140625" style="1" customWidth="1"/>
    <col min="3316" max="3316" width="15" style="1" customWidth="1"/>
    <col min="3317" max="3317" width="14.5546875" style="1" customWidth="1"/>
    <col min="3318" max="3318" width="10.33203125" style="1"/>
    <col min="3319" max="3319" width="7.44140625" style="1" customWidth="1"/>
    <col min="3320" max="3320" width="12.88671875" style="1" customWidth="1"/>
    <col min="3321" max="3321" width="11.109375" style="1" customWidth="1"/>
    <col min="3322" max="3322" width="14" style="1" customWidth="1"/>
    <col min="3323" max="3323" width="33" style="1" customWidth="1"/>
    <col min="3324" max="3324" width="6.6640625" style="1" customWidth="1"/>
    <col min="3325" max="3325" width="19" style="1" customWidth="1"/>
    <col min="3326" max="3326" width="19.109375" style="1" customWidth="1"/>
    <col min="3327" max="3327" width="21.33203125" style="1" customWidth="1"/>
    <col min="3328" max="3328" width="32.5546875" style="1" customWidth="1"/>
    <col min="3329" max="3329" width="16.88671875" style="1" customWidth="1"/>
    <col min="3330" max="3330" width="16.33203125" style="1" customWidth="1"/>
    <col min="3331" max="3561" width="10.33203125" style="1"/>
    <col min="3562" max="3562" width="4.44140625" style="1" customWidth="1"/>
    <col min="3563" max="3563" width="21.6640625" style="1" customWidth="1"/>
    <col min="3564" max="3564" width="15" style="1" customWidth="1"/>
    <col min="3565" max="3565" width="15.44140625" style="1" customWidth="1"/>
    <col min="3566" max="3566" width="11.5546875" style="1" customWidth="1"/>
    <col min="3567" max="3567" width="7.44140625" style="1" customWidth="1"/>
    <col min="3568" max="3568" width="14.109375" style="1" customWidth="1"/>
    <col min="3569" max="3569" width="10.6640625" style="1" customWidth="1"/>
    <col min="3570" max="3570" width="13.44140625" style="1" customWidth="1"/>
    <col min="3571" max="3571" width="11.44140625" style="1" customWidth="1"/>
    <col min="3572" max="3572" width="15" style="1" customWidth="1"/>
    <col min="3573" max="3573" width="14.5546875" style="1" customWidth="1"/>
    <col min="3574" max="3574" width="10.33203125" style="1"/>
    <col min="3575" max="3575" width="7.44140625" style="1" customWidth="1"/>
    <col min="3576" max="3576" width="12.88671875" style="1" customWidth="1"/>
    <col min="3577" max="3577" width="11.109375" style="1" customWidth="1"/>
    <col min="3578" max="3578" width="14" style="1" customWidth="1"/>
    <col min="3579" max="3579" width="33" style="1" customWidth="1"/>
    <col min="3580" max="3580" width="6.6640625" style="1" customWidth="1"/>
    <col min="3581" max="3581" width="19" style="1" customWidth="1"/>
    <col min="3582" max="3582" width="19.109375" style="1" customWidth="1"/>
    <col min="3583" max="3583" width="21.33203125" style="1" customWidth="1"/>
    <col min="3584" max="3584" width="32.5546875" style="1" customWidth="1"/>
    <col min="3585" max="3585" width="16.88671875" style="1" customWidth="1"/>
    <col min="3586" max="3586" width="16.33203125" style="1" customWidth="1"/>
    <col min="3587" max="3817" width="10.33203125" style="1"/>
    <col min="3818" max="3818" width="4.44140625" style="1" customWidth="1"/>
    <col min="3819" max="3819" width="21.6640625" style="1" customWidth="1"/>
    <col min="3820" max="3820" width="15" style="1" customWidth="1"/>
    <col min="3821" max="3821" width="15.44140625" style="1" customWidth="1"/>
    <col min="3822" max="3822" width="11.5546875" style="1" customWidth="1"/>
    <col min="3823" max="3823" width="7.44140625" style="1" customWidth="1"/>
    <col min="3824" max="3824" width="14.109375" style="1" customWidth="1"/>
    <col min="3825" max="3825" width="10.6640625" style="1" customWidth="1"/>
    <col min="3826" max="3826" width="13.44140625" style="1" customWidth="1"/>
    <col min="3827" max="3827" width="11.44140625" style="1" customWidth="1"/>
    <col min="3828" max="3828" width="15" style="1" customWidth="1"/>
    <col min="3829" max="3829" width="14.5546875" style="1" customWidth="1"/>
    <col min="3830" max="3830" width="10.33203125" style="1"/>
    <col min="3831" max="3831" width="7.44140625" style="1" customWidth="1"/>
    <col min="3832" max="3832" width="12.88671875" style="1" customWidth="1"/>
    <col min="3833" max="3833" width="11.109375" style="1" customWidth="1"/>
    <col min="3834" max="3834" width="14" style="1" customWidth="1"/>
    <col min="3835" max="3835" width="33" style="1" customWidth="1"/>
    <col min="3836" max="3836" width="6.6640625" style="1" customWidth="1"/>
    <col min="3837" max="3837" width="19" style="1" customWidth="1"/>
    <col min="3838" max="3838" width="19.109375" style="1" customWidth="1"/>
    <col min="3839" max="3839" width="21.33203125" style="1" customWidth="1"/>
    <col min="3840" max="3840" width="32.5546875" style="1" customWidth="1"/>
    <col min="3841" max="3841" width="16.88671875" style="1" customWidth="1"/>
    <col min="3842" max="3842" width="16.33203125" style="1" customWidth="1"/>
    <col min="3843" max="4073" width="10.33203125" style="1"/>
    <col min="4074" max="4074" width="4.44140625" style="1" customWidth="1"/>
    <col min="4075" max="4075" width="21.6640625" style="1" customWidth="1"/>
    <col min="4076" max="4076" width="15" style="1" customWidth="1"/>
    <col min="4077" max="4077" width="15.44140625" style="1" customWidth="1"/>
    <col min="4078" max="4078" width="11.5546875" style="1" customWidth="1"/>
    <col min="4079" max="4079" width="7.44140625" style="1" customWidth="1"/>
    <col min="4080" max="4080" width="14.109375" style="1" customWidth="1"/>
    <col min="4081" max="4081" width="10.6640625" style="1" customWidth="1"/>
    <col min="4082" max="4082" width="13.44140625" style="1" customWidth="1"/>
    <col min="4083" max="4083" width="11.44140625" style="1" customWidth="1"/>
    <col min="4084" max="4084" width="15" style="1" customWidth="1"/>
    <col min="4085" max="4085" width="14.5546875" style="1" customWidth="1"/>
    <col min="4086" max="4086" width="10.33203125" style="1"/>
    <col min="4087" max="4087" width="7.44140625" style="1" customWidth="1"/>
    <col min="4088" max="4088" width="12.88671875" style="1" customWidth="1"/>
    <col min="4089" max="4089" width="11.109375" style="1" customWidth="1"/>
    <col min="4090" max="4090" width="14" style="1" customWidth="1"/>
    <col min="4091" max="4091" width="33" style="1" customWidth="1"/>
    <col min="4092" max="4092" width="6.6640625" style="1" customWidth="1"/>
    <col min="4093" max="4093" width="19" style="1" customWidth="1"/>
    <col min="4094" max="4094" width="19.109375" style="1" customWidth="1"/>
    <col min="4095" max="4095" width="21.33203125" style="1" customWidth="1"/>
    <col min="4096" max="4096" width="32.5546875" style="1" customWidth="1"/>
    <col min="4097" max="4097" width="16.88671875" style="1" customWidth="1"/>
    <col min="4098" max="4098" width="16.33203125" style="1" customWidth="1"/>
    <col min="4099" max="4329" width="10.33203125" style="1"/>
    <col min="4330" max="4330" width="4.44140625" style="1" customWidth="1"/>
    <col min="4331" max="4331" width="21.6640625" style="1" customWidth="1"/>
    <col min="4332" max="4332" width="15" style="1" customWidth="1"/>
    <col min="4333" max="4333" width="15.44140625" style="1" customWidth="1"/>
    <col min="4334" max="4334" width="11.5546875" style="1" customWidth="1"/>
    <col min="4335" max="4335" width="7.44140625" style="1" customWidth="1"/>
    <col min="4336" max="4336" width="14.109375" style="1" customWidth="1"/>
    <col min="4337" max="4337" width="10.6640625" style="1" customWidth="1"/>
    <col min="4338" max="4338" width="13.44140625" style="1" customWidth="1"/>
    <col min="4339" max="4339" width="11.44140625" style="1" customWidth="1"/>
    <col min="4340" max="4340" width="15" style="1" customWidth="1"/>
    <col min="4341" max="4341" width="14.5546875" style="1" customWidth="1"/>
    <col min="4342" max="4342" width="10.33203125" style="1"/>
    <col min="4343" max="4343" width="7.44140625" style="1" customWidth="1"/>
    <col min="4344" max="4344" width="12.88671875" style="1" customWidth="1"/>
    <col min="4345" max="4345" width="11.109375" style="1" customWidth="1"/>
    <col min="4346" max="4346" width="14" style="1" customWidth="1"/>
    <col min="4347" max="4347" width="33" style="1" customWidth="1"/>
    <col min="4348" max="4348" width="6.6640625" style="1" customWidth="1"/>
    <col min="4349" max="4349" width="19" style="1" customWidth="1"/>
    <col min="4350" max="4350" width="19.109375" style="1" customWidth="1"/>
    <col min="4351" max="4351" width="21.33203125" style="1" customWidth="1"/>
    <col min="4352" max="4352" width="32.5546875" style="1" customWidth="1"/>
    <col min="4353" max="4353" width="16.88671875" style="1" customWidth="1"/>
    <col min="4354" max="4354" width="16.33203125" style="1" customWidth="1"/>
    <col min="4355" max="4585" width="10.33203125" style="1"/>
    <col min="4586" max="4586" width="4.44140625" style="1" customWidth="1"/>
    <col min="4587" max="4587" width="21.6640625" style="1" customWidth="1"/>
    <col min="4588" max="4588" width="15" style="1" customWidth="1"/>
    <col min="4589" max="4589" width="15.44140625" style="1" customWidth="1"/>
    <col min="4590" max="4590" width="11.5546875" style="1" customWidth="1"/>
    <col min="4591" max="4591" width="7.44140625" style="1" customWidth="1"/>
    <col min="4592" max="4592" width="14.109375" style="1" customWidth="1"/>
    <col min="4593" max="4593" width="10.6640625" style="1" customWidth="1"/>
    <col min="4594" max="4594" width="13.44140625" style="1" customWidth="1"/>
    <col min="4595" max="4595" width="11.44140625" style="1" customWidth="1"/>
    <col min="4596" max="4596" width="15" style="1" customWidth="1"/>
    <col min="4597" max="4597" width="14.5546875" style="1" customWidth="1"/>
    <col min="4598" max="4598" width="10.33203125" style="1"/>
    <col min="4599" max="4599" width="7.44140625" style="1" customWidth="1"/>
    <col min="4600" max="4600" width="12.88671875" style="1" customWidth="1"/>
    <col min="4601" max="4601" width="11.109375" style="1" customWidth="1"/>
    <col min="4602" max="4602" width="14" style="1" customWidth="1"/>
    <col min="4603" max="4603" width="33" style="1" customWidth="1"/>
    <col min="4604" max="4604" width="6.6640625" style="1" customWidth="1"/>
    <col min="4605" max="4605" width="19" style="1" customWidth="1"/>
    <col min="4606" max="4606" width="19.109375" style="1" customWidth="1"/>
    <col min="4607" max="4607" width="21.33203125" style="1" customWidth="1"/>
    <col min="4608" max="4608" width="32.5546875" style="1" customWidth="1"/>
    <col min="4609" max="4609" width="16.88671875" style="1" customWidth="1"/>
    <col min="4610" max="4610" width="16.33203125" style="1" customWidth="1"/>
    <col min="4611" max="4841" width="10.33203125" style="1"/>
    <col min="4842" max="4842" width="4.44140625" style="1" customWidth="1"/>
    <col min="4843" max="4843" width="21.6640625" style="1" customWidth="1"/>
    <col min="4844" max="4844" width="15" style="1" customWidth="1"/>
    <col min="4845" max="4845" width="15.44140625" style="1" customWidth="1"/>
    <col min="4846" max="4846" width="11.5546875" style="1" customWidth="1"/>
    <col min="4847" max="4847" width="7.44140625" style="1" customWidth="1"/>
    <col min="4848" max="4848" width="14.109375" style="1" customWidth="1"/>
    <col min="4849" max="4849" width="10.6640625" style="1" customWidth="1"/>
    <col min="4850" max="4850" width="13.44140625" style="1" customWidth="1"/>
    <col min="4851" max="4851" width="11.44140625" style="1" customWidth="1"/>
    <col min="4852" max="4852" width="15" style="1" customWidth="1"/>
    <col min="4853" max="4853" width="14.5546875" style="1" customWidth="1"/>
    <col min="4854" max="4854" width="10.33203125" style="1"/>
    <col min="4855" max="4855" width="7.44140625" style="1" customWidth="1"/>
    <col min="4856" max="4856" width="12.88671875" style="1" customWidth="1"/>
    <col min="4857" max="4857" width="11.109375" style="1" customWidth="1"/>
    <col min="4858" max="4858" width="14" style="1" customWidth="1"/>
    <col min="4859" max="4859" width="33" style="1" customWidth="1"/>
    <col min="4860" max="4860" width="6.6640625" style="1" customWidth="1"/>
    <col min="4861" max="4861" width="19" style="1" customWidth="1"/>
    <col min="4862" max="4862" width="19.109375" style="1" customWidth="1"/>
    <col min="4863" max="4863" width="21.33203125" style="1" customWidth="1"/>
    <col min="4864" max="4864" width="32.5546875" style="1" customWidth="1"/>
    <col min="4865" max="4865" width="16.88671875" style="1" customWidth="1"/>
    <col min="4866" max="4866" width="16.33203125" style="1" customWidth="1"/>
    <col min="4867" max="5097" width="10.33203125" style="1"/>
    <col min="5098" max="5098" width="4.44140625" style="1" customWidth="1"/>
    <col min="5099" max="5099" width="21.6640625" style="1" customWidth="1"/>
    <col min="5100" max="5100" width="15" style="1" customWidth="1"/>
    <col min="5101" max="5101" width="15.44140625" style="1" customWidth="1"/>
    <col min="5102" max="5102" width="11.5546875" style="1" customWidth="1"/>
    <col min="5103" max="5103" width="7.44140625" style="1" customWidth="1"/>
    <col min="5104" max="5104" width="14.109375" style="1" customWidth="1"/>
    <col min="5105" max="5105" width="10.6640625" style="1" customWidth="1"/>
    <col min="5106" max="5106" width="13.44140625" style="1" customWidth="1"/>
    <col min="5107" max="5107" width="11.44140625" style="1" customWidth="1"/>
    <col min="5108" max="5108" width="15" style="1" customWidth="1"/>
    <col min="5109" max="5109" width="14.5546875" style="1" customWidth="1"/>
    <col min="5110" max="5110" width="10.33203125" style="1"/>
    <col min="5111" max="5111" width="7.44140625" style="1" customWidth="1"/>
    <col min="5112" max="5112" width="12.88671875" style="1" customWidth="1"/>
    <col min="5113" max="5113" width="11.109375" style="1" customWidth="1"/>
    <col min="5114" max="5114" width="14" style="1" customWidth="1"/>
    <col min="5115" max="5115" width="33" style="1" customWidth="1"/>
    <col min="5116" max="5116" width="6.6640625" style="1" customWidth="1"/>
    <col min="5117" max="5117" width="19" style="1" customWidth="1"/>
    <col min="5118" max="5118" width="19.109375" style="1" customWidth="1"/>
    <col min="5119" max="5119" width="21.33203125" style="1" customWidth="1"/>
    <col min="5120" max="5120" width="32.5546875" style="1" customWidth="1"/>
    <col min="5121" max="5121" width="16.88671875" style="1" customWidth="1"/>
    <col min="5122" max="5122" width="16.33203125" style="1" customWidth="1"/>
    <col min="5123" max="5353" width="10.33203125" style="1"/>
    <col min="5354" max="5354" width="4.44140625" style="1" customWidth="1"/>
    <col min="5355" max="5355" width="21.6640625" style="1" customWidth="1"/>
    <col min="5356" max="5356" width="15" style="1" customWidth="1"/>
    <col min="5357" max="5357" width="15.44140625" style="1" customWidth="1"/>
    <col min="5358" max="5358" width="11.5546875" style="1" customWidth="1"/>
    <col min="5359" max="5359" width="7.44140625" style="1" customWidth="1"/>
    <col min="5360" max="5360" width="14.109375" style="1" customWidth="1"/>
    <col min="5361" max="5361" width="10.6640625" style="1" customWidth="1"/>
    <col min="5362" max="5362" width="13.44140625" style="1" customWidth="1"/>
    <col min="5363" max="5363" width="11.44140625" style="1" customWidth="1"/>
    <col min="5364" max="5364" width="15" style="1" customWidth="1"/>
    <col min="5365" max="5365" width="14.5546875" style="1" customWidth="1"/>
    <col min="5366" max="5366" width="10.33203125" style="1"/>
    <col min="5367" max="5367" width="7.44140625" style="1" customWidth="1"/>
    <col min="5368" max="5368" width="12.88671875" style="1" customWidth="1"/>
    <col min="5369" max="5369" width="11.109375" style="1" customWidth="1"/>
    <col min="5370" max="5370" width="14" style="1" customWidth="1"/>
    <col min="5371" max="5371" width="33" style="1" customWidth="1"/>
    <col min="5372" max="5372" width="6.6640625" style="1" customWidth="1"/>
    <col min="5373" max="5373" width="19" style="1" customWidth="1"/>
    <col min="5374" max="5374" width="19.109375" style="1" customWidth="1"/>
    <col min="5375" max="5375" width="21.33203125" style="1" customWidth="1"/>
    <col min="5376" max="5376" width="32.5546875" style="1" customWidth="1"/>
    <col min="5377" max="5377" width="16.88671875" style="1" customWidth="1"/>
    <col min="5378" max="5378" width="16.33203125" style="1" customWidth="1"/>
    <col min="5379" max="5609" width="10.33203125" style="1"/>
    <col min="5610" max="5610" width="4.44140625" style="1" customWidth="1"/>
    <col min="5611" max="5611" width="21.6640625" style="1" customWidth="1"/>
    <col min="5612" max="5612" width="15" style="1" customWidth="1"/>
    <col min="5613" max="5613" width="15.44140625" style="1" customWidth="1"/>
    <col min="5614" max="5614" width="11.5546875" style="1" customWidth="1"/>
    <col min="5615" max="5615" width="7.44140625" style="1" customWidth="1"/>
    <col min="5616" max="5616" width="14.109375" style="1" customWidth="1"/>
    <col min="5617" max="5617" width="10.6640625" style="1" customWidth="1"/>
    <col min="5618" max="5618" width="13.44140625" style="1" customWidth="1"/>
    <col min="5619" max="5619" width="11.44140625" style="1" customWidth="1"/>
    <col min="5620" max="5620" width="15" style="1" customWidth="1"/>
    <col min="5621" max="5621" width="14.5546875" style="1" customWidth="1"/>
    <col min="5622" max="5622" width="10.33203125" style="1"/>
    <col min="5623" max="5623" width="7.44140625" style="1" customWidth="1"/>
    <col min="5624" max="5624" width="12.88671875" style="1" customWidth="1"/>
    <col min="5625" max="5625" width="11.109375" style="1" customWidth="1"/>
    <col min="5626" max="5626" width="14" style="1" customWidth="1"/>
    <col min="5627" max="5627" width="33" style="1" customWidth="1"/>
    <col min="5628" max="5628" width="6.6640625" style="1" customWidth="1"/>
    <col min="5629" max="5629" width="19" style="1" customWidth="1"/>
    <col min="5630" max="5630" width="19.109375" style="1" customWidth="1"/>
    <col min="5631" max="5631" width="21.33203125" style="1" customWidth="1"/>
    <col min="5632" max="5632" width="32.5546875" style="1" customWidth="1"/>
    <col min="5633" max="5633" width="16.88671875" style="1" customWidth="1"/>
    <col min="5634" max="5634" width="16.33203125" style="1" customWidth="1"/>
    <col min="5635" max="5865" width="10.33203125" style="1"/>
    <col min="5866" max="5866" width="4.44140625" style="1" customWidth="1"/>
    <col min="5867" max="5867" width="21.6640625" style="1" customWidth="1"/>
    <col min="5868" max="5868" width="15" style="1" customWidth="1"/>
    <col min="5869" max="5869" width="15.44140625" style="1" customWidth="1"/>
    <col min="5870" max="5870" width="11.5546875" style="1" customWidth="1"/>
    <col min="5871" max="5871" width="7.44140625" style="1" customWidth="1"/>
    <col min="5872" max="5872" width="14.109375" style="1" customWidth="1"/>
    <col min="5873" max="5873" width="10.6640625" style="1" customWidth="1"/>
    <col min="5874" max="5874" width="13.44140625" style="1" customWidth="1"/>
    <col min="5875" max="5875" width="11.44140625" style="1" customWidth="1"/>
    <col min="5876" max="5876" width="15" style="1" customWidth="1"/>
    <col min="5877" max="5877" width="14.5546875" style="1" customWidth="1"/>
    <col min="5878" max="5878" width="10.33203125" style="1"/>
    <col min="5879" max="5879" width="7.44140625" style="1" customWidth="1"/>
    <col min="5880" max="5880" width="12.88671875" style="1" customWidth="1"/>
    <col min="5881" max="5881" width="11.109375" style="1" customWidth="1"/>
    <col min="5882" max="5882" width="14" style="1" customWidth="1"/>
    <col min="5883" max="5883" width="33" style="1" customWidth="1"/>
    <col min="5884" max="5884" width="6.6640625" style="1" customWidth="1"/>
    <col min="5885" max="5885" width="19" style="1" customWidth="1"/>
    <col min="5886" max="5886" width="19.109375" style="1" customWidth="1"/>
    <col min="5887" max="5887" width="21.33203125" style="1" customWidth="1"/>
    <col min="5888" max="5888" width="32.5546875" style="1" customWidth="1"/>
    <col min="5889" max="5889" width="16.88671875" style="1" customWidth="1"/>
    <col min="5890" max="5890" width="16.33203125" style="1" customWidth="1"/>
    <col min="5891" max="6121" width="10.33203125" style="1"/>
    <col min="6122" max="6122" width="4.44140625" style="1" customWidth="1"/>
    <col min="6123" max="6123" width="21.6640625" style="1" customWidth="1"/>
    <col min="6124" max="6124" width="15" style="1" customWidth="1"/>
    <col min="6125" max="6125" width="15.44140625" style="1" customWidth="1"/>
    <col min="6126" max="6126" width="11.5546875" style="1" customWidth="1"/>
    <col min="6127" max="6127" width="7.44140625" style="1" customWidth="1"/>
    <col min="6128" max="6128" width="14.109375" style="1" customWidth="1"/>
    <col min="6129" max="6129" width="10.6640625" style="1" customWidth="1"/>
    <col min="6130" max="6130" width="13.44140625" style="1" customWidth="1"/>
    <col min="6131" max="6131" width="11.44140625" style="1" customWidth="1"/>
    <col min="6132" max="6132" width="15" style="1" customWidth="1"/>
    <col min="6133" max="6133" width="14.5546875" style="1" customWidth="1"/>
    <col min="6134" max="6134" width="10.33203125" style="1"/>
    <col min="6135" max="6135" width="7.44140625" style="1" customWidth="1"/>
    <col min="6136" max="6136" width="12.88671875" style="1" customWidth="1"/>
    <col min="6137" max="6137" width="11.109375" style="1" customWidth="1"/>
    <col min="6138" max="6138" width="14" style="1" customWidth="1"/>
    <col min="6139" max="6139" width="33" style="1" customWidth="1"/>
    <col min="6140" max="6140" width="6.6640625" style="1" customWidth="1"/>
    <col min="6141" max="6141" width="19" style="1" customWidth="1"/>
    <col min="6142" max="6142" width="19.109375" style="1" customWidth="1"/>
    <col min="6143" max="6143" width="21.33203125" style="1" customWidth="1"/>
    <col min="6144" max="6144" width="32.5546875" style="1" customWidth="1"/>
    <col min="6145" max="6145" width="16.88671875" style="1" customWidth="1"/>
    <col min="6146" max="6146" width="16.33203125" style="1" customWidth="1"/>
    <col min="6147" max="6377" width="10.33203125" style="1"/>
    <col min="6378" max="6378" width="4.44140625" style="1" customWidth="1"/>
    <col min="6379" max="6379" width="21.6640625" style="1" customWidth="1"/>
    <col min="6380" max="6380" width="15" style="1" customWidth="1"/>
    <col min="6381" max="6381" width="15.44140625" style="1" customWidth="1"/>
    <col min="6382" max="6382" width="11.5546875" style="1" customWidth="1"/>
    <col min="6383" max="6383" width="7.44140625" style="1" customWidth="1"/>
    <col min="6384" max="6384" width="14.109375" style="1" customWidth="1"/>
    <col min="6385" max="6385" width="10.6640625" style="1" customWidth="1"/>
    <col min="6386" max="6386" width="13.44140625" style="1" customWidth="1"/>
    <col min="6387" max="6387" width="11.44140625" style="1" customWidth="1"/>
    <col min="6388" max="6388" width="15" style="1" customWidth="1"/>
    <col min="6389" max="6389" width="14.5546875" style="1" customWidth="1"/>
    <col min="6390" max="6390" width="10.33203125" style="1"/>
    <col min="6391" max="6391" width="7.44140625" style="1" customWidth="1"/>
    <col min="6392" max="6392" width="12.88671875" style="1" customWidth="1"/>
    <col min="6393" max="6393" width="11.109375" style="1" customWidth="1"/>
    <col min="6394" max="6394" width="14" style="1" customWidth="1"/>
    <col min="6395" max="6395" width="33" style="1" customWidth="1"/>
    <col min="6396" max="6396" width="6.6640625" style="1" customWidth="1"/>
    <col min="6397" max="6397" width="19" style="1" customWidth="1"/>
    <col min="6398" max="6398" width="19.109375" style="1" customWidth="1"/>
    <col min="6399" max="6399" width="21.33203125" style="1" customWidth="1"/>
    <col min="6400" max="6400" width="32.5546875" style="1" customWidth="1"/>
    <col min="6401" max="6401" width="16.88671875" style="1" customWidth="1"/>
    <col min="6402" max="6402" width="16.33203125" style="1" customWidth="1"/>
    <col min="6403" max="6633" width="10.33203125" style="1"/>
    <col min="6634" max="6634" width="4.44140625" style="1" customWidth="1"/>
    <col min="6635" max="6635" width="21.6640625" style="1" customWidth="1"/>
    <col min="6636" max="6636" width="15" style="1" customWidth="1"/>
    <col min="6637" max="6637" width="15.44140625" style="1" customWidth="1"/>
    <col min="6638" max="6638" width="11.5546875" style="1" customWidth="1"/>
    <col min="6639" max="6639" width="7.44140625" style="1" customWidth="1"/>
    <col min="6640" max="6640" width="14.109375" style="1" customWidth="1"/>
    <col min="6641" max="6641" width="10.6640625" style="1" customWidth="1"/>
    <col min="6642" max="6642" width="13.44140625" style="1" customWidth="1"/>
    <col min="6643" max="6643" width="11.44140625" style="1" customWidth="1"/>
    <col min="6644" max="6644" width="15" style="1" customWidth="1"/>
    <col min="6645" max="6645" width="14.5546875" style="1" customWidth="1"/>
    <col min="6646" max="6646" width="10.33203125" style="1"/>
    <col min="6647" max="6647" width="7.44140625" style="1" customWidth="1"/>
    <col min="6648" max="6648" width="12.88671875" style="1" customWidth="1"/>
    <col min="6649" max="6649" width="11.109375" style="1" customWidth="1"/>
    <col min="6650" max="6650" width="14" style="1" customWidth="1"/>
    <col min="6651" max="6651" width="33" style="1" customWidth="1"/>
    <col min="6652" max="6652" width="6.6640625" style="1" customWidth="1"/>
    <col min="6653" max="6653" width="19" style="1" customWidth="1"/>
    <col min="6654" max="6654" width="19.109375" style="1" customWidth="1"/>
    <col min="6655" max="6655" width="21.33203125" style="1" customWidth="1"/>
    <col min="6656" max="6656" width="32.5546875" style="1" customWidth="1"/>
    <col min="6657" max="6657" width="16.88671875" style="1" customWidth="1"/>
    <col min="6658" max="6658" width="16.33203125" style="1" customWidth="1"/>
    <col min="6659" max="6889" width="10.33203125" style="1"/>
    <col min="6890" max="6890" width="4.44140625" style="1" customWidth="1"/>
    <col min="6891" max="6891" width="21.6640625" style="1" customWidth="1"/>
    <col min="6892" max="6892" width="15" style="1" customWidth="1"/>
    <col min="6893" max="6893" width="15.44140625" style="1" customWidth="1"/>
    <col min="6894" max="6894" width="11.5546875" style="1" customWidth="1"/>
    <col min="6895" max="6895" width="7.44140625" style="1" customWidth="1"/>
    <col min="6896" max="6896" width="14.109375" style="1" customWidth="1"/>
    <col min="6897" max="6897" width="10.6640625" style="1" customWidth="1"/>
    <col min="6898" max="6898" width="13.44140625" style="1" customWidth="1"/>
    <col min="6899" max="6899" width="11.44140625" style="1" customWidth="1"/>
    <col min="6900" max="6900" width="15" style="1" customWidth="1"/>
    <col min="6901" max="6901" width="14.5546875" style="1" customWidth="1"/>
    <col min="6902" max="6902" width="10.33203125" style="1"/>
    <col min="6903" max="6903" width="7.44140625" style="1" customWidth="1"/>
    <col min="6904" max="6904" width="12.88671875" style="1" customWidth="1"/>
    <col min="6905" max="6905" width="11.109375" style="1" customWidth="1"/>
    <col min="6906" max="6906" width="14" style="1" customWidth="1"/>
    <col min="6907" max="6907" width="33" style="1" customWidth="1"/>
    <col min="6908" max="6908" width="6.6640625" style="1" customWidth="1"/>
    <col min="6909" max="6909" width="19" style="1" customWidth="1"/>
    <col min="6910" max="6910" width="19.109375" style="1" customWidth="1"/>
    <col min="6911" max="6911" width="21.33203125" style="1" customWidth="1"/>
    <col min="6912" max="6912" width="32.5546875" style="1" customWidth="1"/>
    <col min="6913" max="6913" width="16.88671875" style="1" customWidth="1"/>
    <col min="6914" max="6914" width="16.33203125" style="1" customWidth="1"/>
    <col min="6915" max="7145" width="10.33203125" style="1"/>
    <col min="7146" max="7146" width="4.44140625" style="1" customWidth="1"/>
    <col min="7147" max="7147" width="21.6640625" style="1" customWidth="1"/>
    <col min="7148" max="7148" width="15" style="1" customWidth="1"/>
    <col min="7149" max="7149" width="15.44140625" style="1" customWidth="1"/>
    <col min="7150" max="7150" width="11.5546875" style="1" customWidth="1"/>
    <col min="7151" max="7151" width="7.44140625" style="1" customWidth="1"/>
    <col min="7152" max="7152" width="14.109375" style="1" customWidth="1"/>
    <col min="7153" max="7153" width="10.6640625" style="1" customWidth="1"/>
    <col min="7154" max="7154" width="13.44140625" style="1" customWidth="1"/>
    <col min="7155" max="7155" width="11.44140625" style="1" customWidth="1"/>
    <col min="7156" max="7156" width="15" style="1" customWidth="1"/>
    <col min="7157" max="7157" width="14.5546875" style="1" customWidth="1"/>
    <col min="7158" max="7158" width="10.33203125" style="1"/>
    <col min="7159" max="7159" width="7.44140625" style="1" customWidth="1"/>
    <col min="7160" max="7160" width="12.88671875" style="1" customWidth="1"/>
    <col min="7161" max="7161" width="11.109375" style="1" customWidth="1"/>
    <col min="7162" max="7162" width="14" style="1" customWidth="1"/>
    <col min="7163" max="7163" width="33" style="1" customWidth="1"/>
    <col min="7164" max="7164" width="6.6640625" style="1" customWidth="1"/>
    <col min="7165" max="7165" width="19" style="1" customWidth="1"/>
    <col min="7166" max="7166" width="19.109375" style="1" customWidth="1"/>
    <col min="7167" max="7167" width="21.33203125" style="1" customWidth="1"/>
    <col min="7168" max="7168" width="32.5546875" style="1" customWidth="1"/>
    <col min="7169" max="7169" width="16.88671875" style="1" customWidth="1"/>
    <col min="7170" max="7170" width="16.33203125" style="1" customWidth="1"/>
    <col min="7171" max="7401" width="10.33203125" style="1"/>
    <col min="7402" max="7402" width="4.44140625" style="1" customWidth="1"/>
    <col min="7403" max="7403" width="21.6640625" style="1" customWidth="1"/>
    <col min="7404" max="7404" width="15" style="1" customWidth="1"/>
    <col min="7405" max="7405" width="15.44140625" style="1" customWidth="1"/>
    <col min="7406" max="7406" width="11.5546875" style="1" customWidth="1"/>
    <col min="7407" max="7407" width="7.44140625" style="1" customWidth="1"/>
    <col min="7408" max="7408" width="14.109375" style="1" customWidth="1"/>
    <col min="7409" max="7409" width="10.6640625" style="1" customWidth="1"/>
    <col min="7410" max="7410" width="13.44140625" style="1" customWidth="1"/>
    <col min="7411" max="7411" width="11.44140625" style="1" customWidth="1"/>
    <col min="7412" max="7412" width="15" style="1" customWidth="1"/>
    <col min="7413" max="7413" width="14.5546875" style="1" customWidth="1"/>
    <col min="7414" max="7414" width="10.33203125" style="1"/>
    <col min="7415" max="7415" width="7.44140625" style="1" customWidth="1"/>
    <col min="7416" max="7416" width="12.88671875" style="1" customWidth="1"/>
    <col min="7417" max="7417" width="11.109375" style="1" customWidth="1"/>
    <col min="7418" max="7418" width="14" style="1" customWidth="1"/>
    <col min="7419" max="7419" width="33" style="1" customWidth="1"/>
    <col min="7420" max="7420" width="6.6640625" style="1" customWidth="1"/>
    <col min="7421" max="7421" width="19" style="1" customWidth="1"/>
    <col min="7422" max="7422" width="19.109375" style="1" customWidth="1"/>
    <col min="7423" max="7423" width="21.33203125" style="1" customWidth="1"/>
    <col min="7424" max="7424" width="32.5546875" style="1" customWidth="1"/>
    <col min="7425" max="7425" width="16.88671875" style="1" customWidth="1"/>
    <col min="7426" max="7426" width="16.33203125" style="1" customWidth="1"/>
    <col min="7427" max="7657" width="10.33203125" style="1"/>
    <col min="7658" max="7658" width="4.44140625" style="1" customWidth="1"/>
    <col min="7659" max="7659" width="21.6640625" style="1" customWidth="1"/>
    <col min="7660" max="7660" width="15" style="1" customWidth="1"/>
    <col min="7661" max="7661" width="15.44140625" style="1" customWidth="1"/>
    <col min="7662" max="7662" width="11.5546875" style="1" customWidth="1"/>
    <col min="7663" max="7663" width="7.44140625" style="1" customWidth="1"/>
    <col min="7664" max="7664" width="14.109375" style="1" customWidth="1"/>
    <col min="7665" max="7665" width="10.6640625" style="1" customWidth="1"/>
    <col min="7666" max="7666" width="13.44140625" style="1" customWidth="1"/>
    <col min="7667" max="7667" width="11.44140625" style="1" customWidth="1"/>
    <col min="7668" max="7668" width="15" style="1" customWidth="1"/>
    <col min="7669" max="7669" width="14.5546875" style="1" customWidth="1"/>
    <col min="7670" max="7670" width="10.33203125" style="1"/>
    <col min="7671" max="7671" width="7.44140625" style="1" customWidth="1"/>
    <col min="7672" max="7672" width="12.88671875" style="1" customWidth="1"/>
    <col min="7673" max="7673" width="11.109375" style="1" customWidth="1"/>
    <col min="7674" max="7674" width="14" style="1" customWidth="1"/>
    <col min="7675" max="7675" width="33" style="1" customWidth="1"/>
    <col min="7676" max="7676" width="6.6640625" style="1" customWidth="1"/>
    <col min="7677" max="7677" width="19" style="1" customWidth="1"/>
    <col min="7678" max="7678" width="19.109375" style="1" customWidth="1"/>
    <col min="7679" max="7679" width="21.33203125" style="1" customWidth="1"/>
    <col min="7680" max="7680" width="32.5546875" style="1" customWidth="1"/>
    <col min="7681" max="7681" width="16.88671875" style="1" customWidth="1"/>
    <col min="7682" max="7682" width="16.33203125" style="1" customWidth="1"/>
    <col min="7683" max="7913" width="10.33203125" style="1"/>
    <col min="7914" max="7914" width="4.44140625" style="1" customWidth="1"/>
    <col min="7915" max="7915" width="21.6640625" style="1" customWidth="1"/>
    <col min="7916" max="7916" width="15" style="1" customWidth="1"/>
    <col min="7917" max="7917" width="15.44140625" style="1" customWidth="1"/>
    <col min="7918" max="7918" width="11.5546875" style="1" customWidth="1"/>
    <col min="7919" max="7919" width="7.44140625" style="1" customWidth="1"/>
    <col min="7920" max="7920" width="14.109375" style="1" customWidth="1"/>
    <col min="7921" max="7921" width="10.6640625" style="1" customWidth="1"/>
    <col min="7922" max="7922" width="13.44140625" style="1" customWidth="1"/>
    <col min="7923" max="7923" width="11.44140625" style="1" customWidth="1"/>
    <col min="7924" max="7924" width="15" style="1" customWidth="1"/>
    <col min="7925" max="7925" width="14.5546875" style="1" customWidth="1"/>
    <col min="7926" max="7926" width="10.33203125" style="1"/>
    <col min="7927" max="7927" width="7.44140625" style="1" customWidth="1"/>
    <col min="7928" max="7928" width="12.88671875" style="1" customWidth="1"/>
    <col min="7929" max="7929" width="11.109375" style="1" customWidth="1"/>
    <col min="7930" max="7930" width="14" style="1" customWidth="1"/>
    <col min="7931" max="7931" width="33" style="1" customWidth="1"/>
    <col min="7932" max="7932" width="6.6640625" style="1" customWidth="1"/>
    <col min="7933" max="7933" width="19" style="1" customWidth="1"/>
    <col min="7934" max="7934" width="19.109375" style="1" customWidth="1"/>
    <col min="7935" max="7935" width="21.33203125" style="1" customWidth="1"/>
    <col min="7936" max="7936" width="32.5546875" style="1" customWidth="1"/>
    <col min="7937" max="7937" width="16.88671875" style="1" customWidth="1"/>
    <col min="7938" max="7938" width="16.33203125" style="1" customWidth="1"/>
    <col min="7939" max="8169" width="10.33203125" style="1"/>
    <col min="8170" max="8170" width="4.44140625" style="1" customWidth="1"/>
    <col min="8171" max="8171" width="21.6640625" style="1" customWidth="1"/>
    <col min="8172" max="8172" width="15" style="1" customWidth="1"/>
    <col min="8173" max="8173" width="15.44140625" style="1" customWidth="1"/>
    <col min="8174" max="8174" width="11.5546875" style="1" customWidth="1"/>
    <col min="8175" max="8175" width="7.44140625" style="1" customWidth="1"/>
    <col min="8176" max="8176" width="14.109375" style="1" customWidth="1"/>
    <col min="8177" max="8177" width="10.6640625" style="1" customWidth="1"/>
    <col min="8178" max="8178" width="13.44140625" style="1" customWidth="1"/>
    <col min="8179" max="8179" width="11.44140625" style="1" customWidth="1"/>
    <col min="8180" max="8180" width="15" style="1" customWidth="1"/>
    <col min="8181" max="8181" width="14.5546875" style="1" customWidth="1"/>
    <col min="8182" max="8182" width="10.33203125" style="1"/>
    <col min="8183" max="8183" width="7.44140625" style="1" customWidth="1"/>
    <col min="8184" max="8184" width="12.88671875" style="1" customWidth="1"/>
    <col min="8185" max="8185" width="11.109375" style="1" customWidth="1"/>
    <col min="8186" max="8186" width="14" style="1" customWidth="1"/>
    <col min="8187" max="8187" width="33" style="1" customWidth="1"/>
    <col min="8188" max="8188" width="6.6640625" style="1" customWidth="1"/>
    <col min="8189" max="8189" width="19" style="1" customWidth="1"/>
    <col min="8190" max="8190" width="19.109375" style="1" customWidth="1"/>
    <col min="8191" max="8191" width="21.33203125" style="1" customWidth="1"/>
    <col min="8192" max="8192" width="32.5546875" style="1" customWidth="1"/>
    <col min="8193" max="8193" width="16.88671875" style="1" customWidth="1"/>
    <col min="8194" max="8194" width="16.33203125" style="1" customWidth="1"/>
    <col min="8195" max="8425" width="10.33203125" style="1"/>
    <col min="8426" max="8426" width="4.44140625" style="1" customWidth="1"/>
    <col min="8427" max="8427" width="21.6640625" style="1" customWidth="1"/>
    <col min="8428" max="8428" width="15" style="1" customWidth="1"/>
    <col min="8429" max="8429" width="15.44140625" style="1" customWidth="1"/>
    <col min="8430" max="8430" width="11.5546875" style="1" customWidth="1"/>
    <col min="8431" max="8431" width="7.44140625" style="1" customWidth="1"/>
    <col min="8432" max="8432" width="14.109375" style="1" customWidth="1"/>
    <col min="8433" max="8433" width="10.6640625" style="1" customWidth="1"/>
    <col min="8434" max="8434" width="13.44140625" style="1" customWidth="1"/>
    <col min="8435" max="8435" width="11.44140625" style="1" customWidth="1"/>
    <col min="8436" max="8436" width="15" style="1" customWidth="1"/>
    <col min="8437" max="8437" width="14.5546875" style="1" customWidth="1"/>
    <col min="8438" max="8438" width="10.33203125" style="1"/>
    <col min="8439" max="8439" width="7.44140625" style="1" customWidth="1"/>
    <col min="8440" max="8440" width="12.88671875" style="1" customWidth="1"/>
    <col min="8441" max="8441" width="11.109375" style="1" customWidth="1"/>
    <col min="8442" max="8442" width="14" style="1" customWidth="1"/>
    <col min="8443" max="8443" width="33" style="1" customWidth="1"/>
    <col min="8444" max="8444" width="6.6640625" style="1" customWidth="1"/>
    <col min="8445" max="8445" width="19" style="1" customWidth="1"/>
    <col min="8446" max="8446" width="19.109375" style="1" customWidth="1"/>
    <col min="8447" max="8447" width="21.33203125" style="1" customWidth="1"/>
    <col min="8448" max="8448" width="32.5546875" style="1" customWidth="1"/>
    <col min="8449" max="8449" width="16.88671875" style="1" customWidth="1"/>
    <col min="8450" max="8450" width="16.33203125" style="1" customWidth="1"/>
    <col min="8451" max="8681" width="10.33203125" style="1"/>
    <col min="8682" max="8682" width="4.44140625" style="1" customWidth="1"/>
    <col min="8683" max="8683" width="21.6640625" style="1" customWidth="1"/>
    <col min="8684" max="8684" width="15" style="1" customWidth="1"/>
    <col min="8685" max="8685" width="15.44140625" style="1" customWidth="1"/>
    <col min="8686" max="8686" width="11.5546875" style="1" customWidth="1"/>
    <col min="8687" max="8687" width="7.44140625" style="1" customWidth="1"/>
    <col min="8688" max="8688" width="14.109375" style="1" customWidth="1"/>
    <col min="8689" max="8689" width="10.6640625" style="1" customWidth="1"/>
    <col min="8690" max="8690" width="13.44140625" style="1" customWidth="1"/>
    <col min="8691" max="8691" width="11.44140625" style="1" customWidth="1"/>
    <col min="8692" max="8692" width="15" style="1" customWidth="1"/>
    <col min="8693" max="8693" width="14.5546875" style="1" customWidth="1"/>
    <col min="8694" max="8694" width="10.33203125" style="1"/>
    <col min="8695" max="8695" width="7.44140625" style="1" customWidth="1"/>
    <col min="8696" max="8696" width="12.88671875" style="1" customWidth="1"/>
    <col min="8697" max="8697" width="11.109375" style="1" customWidth="1"/>
    <col min="8698" max="8698" width="14" style="1" customWidth="1"/>
    <col min="8699" max="8699" width="33" style="1" customWidth="1"/>
    <col min="8700" max="8700" width="6.6640625" style="1" customWidth="1"/>
    <col min="8701" max="8701" width="19" style="1" customWidth="1"/>
    <col min="8702" max="8702" width="19.109375" style="1" customWidth="1"/>
    <col min="8703" max="8703" width="21.33203125" style="1" customWidth="1"/>
    <col min="8704" max="8704" width="32.5546875" style="1" customWidth="1"/>
    <col min="8705" max="8705" width="16.88671875" style="1" customWidth="1"/>
    <col min="8706" max="8706" width="16.33203125" style="1" customWidth="1"/>
    <col min="8707" max="8937" width="10.33203125" style="1"/>
    <col min="8938" max="8938" width="4.44140625" style="1" customWidth="1"/>
    <col min="8939" max="8939" width="21.6640625" style="1" customWidth="1"/>
    <col min="8940" max="8940" width="15" style="1" customWidth="1"/>
    <col min="8941" max="8941" width="15.44140625" style="1" customWidth="1"/>
    <col min="8942" max="8942" width="11.5546875" style="1" customWidth="1"/>
    <col min="8943" max="8943" width="7.44140625" style="1" customWidth="1"/>
    <col min="8944" max="8944" width="14.109375" style="1" customWidth="1"/>
    <col min="8945" max="8945" width="10.6640625" style="1" customWidth="1"/>
    <col min="8946" max="8946" width="13.44140625" style="1" customWidth="1"/>
    <col min="8947" max="8947" width="11.44140625" style="1" customWidth="1"/>
    <col min="8948" max="8948" width="15" style="1" customWidth="1"/>
    <col min="8949" max="8949" width="14.5546875" style="1" customWidth="1"/>
    <col min="8950" max="8950" width="10.33203125" style="1"/>
    <col min="8951" max="8951" width="7.44140625" style="1" customWidth="1"/>
    <col min="8952" max="8952" width="12.88671875" style="1" customWidth="1"/>
    <col min="8953" max="8953" width="11.109375" style="1" customWidth="1"/>
    <col min="8954" max="8954" width="14" style="1" customWidth="1"/>
    <col min="8955" max="8955" width="33" style="1" customWidth="1"/>
    <col min="8956" max="8956" width="6.6640625" style="1" customWidth="1"/>
    <col min="8957" max="8957" width="19" style="1" customWidth="1"/>
    <col min="8958" max="8958" width="19.109375" style="1" customWidth="1"/>
    <col min="8959" max="8959" width="21.33203125" style="1" customWidth="1"/>
    <col min="8960" max="8960" width="32.5546875" style="1" customWidth="1"/>
    <col min="8961" max="8961" width="16.88671875" style="1" customWidth="1"/>
    <col min="8962" max="8962" width="16.33203125" style="1" customWidth="1"/>
    <col min="8963" max="9193" width="10.33203125" style="1"/>
    <col min="9194" max="9194" width="4.44140625" style="1" customWidth="1"/>
    <col min="9195" max="9195" width="21.6640625" style="1" customWidth="1"/>
    <col min="9196" max="9196" width="15" style="1" customWidth="1"/>
    <col min="9197" max="9197" width="15.44140625" style="1" customWidth="1"/>
    <col min="9198" max="9198" width="11.5546875" style="1" customWidth="1"/>
    <col min="9199" max="9199" width="7.44140625" style="1" customWidth="1"/>
    <col min="9200" max="9200" width="14.109375" style="1" customWidth="1"/>
    <col min="9201" max="9201" width="10.6640625" style="1" customWidth="1"/>
    <col min="9202" max="9202" width="13.44140625" style="1" customWidth="1"/>
    <col min="9203" max="9203" width="11.44140625" style="1" customWidth="1"/>
    <col min="9204" max="9204" width="15" style="1" customWidth="1"/>
    <col min="9205" max="9205" width="14.5546875" style="1" customWidth="1"/>
    <col min="9206" max="9206" width="10.33203125" style="1"/>
    <col min="9207" max="9207" width="7.44140625" style="1" customWidth="1"/>
    <col min="9208" max="9208" width="12.88671875" style="1" customWidth="1"/>
    <col min="9209" max="9209" width="11.109375" style="1" customWidth="1"/>
    <col min="9210" max="9210" width="14" style="1" customWidth="1"/>
    <col min="9211" max="9211" width="33" style="1" customWidth="1"/>
    <col min="9212" max="9212" width="6.6640625" style="1" customWidth="1"/>
    <col min="9213" max="9213" width="19" style="1" customWidth="1"/>
    <col min="9214" max="9214" width="19.109375" style="1" customWidth="1"/>
    <col min="9215" max="9215" width="21.33203125" style="1" customWidth="1"/>
    <col min="9216" max="9216" width="32.5546875" style="1" customWidth="1"/>
    <col min="9217" max="9217" width="16.88671875" style="1" customWidth="1"/>
    <col min="9218" max="9218" width="16.33203125" style="1" customWidth="1"/>
    <col min="9219" max="9449" width="10.33203125" style="1"/>
    <col min="9450" max="9450" width="4.44140625" style="1" customWidth="1"/>
    <col min="9451" max="9451" width="21.6640625" style="1" customWidth="1"/>
    <col min="9452" max="9452" width="15" style="1" customWidth="1"/>
    <col min="9453" max="9453" width="15.44140625" style="1" customWidth="1"/>
    <col min="9454" max="9454" width="11.5546875" style="1" customWidth="1"/>
    <col min="9455" max="9455" width="7.44140625" style="1" customWidth="1"/>
    <col min="9456" max="9456" width="14.109375" style="1" customWidth="1"/>
    <col min="9457" max="9457" width="10.6640625" style="1" customWidth="1"/>
    <col min="9458" max="9458" width="13.44140625" style="1" customWidth="1"/>
    <col min="9459" max="9459" width="11.44140625" style="1" customWidth="1"/>
    <col min="9460" max="9460" width="15" style="1" customWidth="1"/>
    <col min="9461" max="9461" width="14.5546875" style="1" customWidth="1"/>
    <col min="9462" max="9462" width="10.33203125" style="1"/>
    <col min="9463" max="9463" width="7.44140625" style="1" customWidth="1"/>
    <col min="9464" max="9464" width="12.88671875" style="1" customWidth="1"/>
    <col min="9465" max="9465" width="11.109375" style="1" customWidth="1"/>
    <col min="9466" max="9466" width="14" style="1" customWidth="1"/>
    <col min="9467" max="9467" width="33" style="1" customWidth="1"/>
    <col min="9468" max="9468" width="6.6640625" style="1" customWidth="1"/>
    <col min="9469" max="9469" width="19" style="1" customWidth="1"/>
    <col min="9470" max="9470" width="19.109375" style="1" customWidth="1"/>
    <col min="9471" max="9471" width="21.33203125" style="1" customWidth="1"/>
    <col min="9472" max="9472" width="32.5546875" style="1" customWidth="1"/>
    <col min="9473" max="9473" width="16.88671875" style="1" customWidth="1"/>
    <col min="9474" max="9474" width="16.33203125" style="1" customWidth="1"/>
    <col min="9475" max="9705" width="10.33203125" style="1"/>
    <col min="9706" max="9706" width="4.44140625" style="1" customWidth="1"/>
    <col min="9707" max="9707" width="21.6640625" style="1" customWidth="1"/>
    <col min="9708" max="9708" width="15" style="1" customWidth="1"/>
    <col min="9709" max="9709" width="15.44140625" style="1" customWidth="1"/>
    <col min="9710" max="9710" width="11.5546875" style="1" customWidth="1"/>
    <col min="9711" max="9711" width="7.44140625" style="1" customWidth="1"/>
    <col min="9712" max="9712" width="14.109375" style="1" customWidth="1"/>
    <col min="9713" max="9713" width="10.6640625" style="1" customWidth="1"/>
    <col min="9714" max="9714" width="13.44140625" style="1" customWidth="1"/>
    <col min="9715" max="9715" width="11.44140625" style="1" customWidth="1"/>
    <col min="9716" max="9716" width="15" style="1" customWidth="1"/>
    <col min="9717" max="9717" width="14.5546875" style="1" customWidth="1"/>
    <col min="9718" max="9718" width="10.33203125" style="1"/>
    <col min="9719" max="9719" width="7.44140625" style="1" customWidth="1"/>
    <col min="9720" max="9720" width="12.88671875" style="1" customWidth="1"/>
    <col min="9721" max="9721" width="11.109375" style="1" customWidth="1"/>
    <col min="9722" max="9722" width="14" style="1" customWidth="1"/>
    <col min="9723" max="9723" width="33" style="1" customWidth="1"/>
    <col min="9724" max="9724" width="6.6640625" style="1" customWidth="1"/>
    <col min="9725" max="9725" width="19" style="1" customWidth="1"/>
    <col min="9726" max="9726" width="19.109375" style="1" customWidth="1"/>
    <col min="9727" max="9727" width="21.33203125" style="1" customWidth="1"/>
    <col min="9728" max="9728" width="32.5546875" style="1" customWidth="1"/>
    <col min="9729" max="9729" width="16.88671875" style="1" customWidth="1"/>
    <col min="9730" max="9730" width="16.33203125" style="1" customWidth="1"/>
    <col min="9731" max="9961" width="10.33203125" style="1"/>
    <col min="9962" max="9962" width="4.44140625" style="1" customWidth="1"/>
    <col min="9963" max="9963" width="21.6640625" style="1" customWidth="1"/>
    <col min="9964" max="9964" width="15" style="1" customWidth="1"/>
    <col min="9965" max="9965" width="15.44140625" style="1" customWidth="1"/>
    <col min="9966" max="9966" width="11.5546875" style="1" customWidth="1"/>
    <col min="9967" max="9967" width="7.44140625" style="1" customWidth="1"/>
    <col min="9968" max="9968" width="14.109375" style="1" customWidth="1"/>
    <col min="9969" max="9969" width="10.6640625" style="1" customWidth="1"/>
    <col min="9970" max="9970" width="13.44140625" style="1" customWidth="1"/>
    <col min="9971" max="9971" width="11.44140625" style="1" customWidth="1"/>
    <col min="9972" max="9972" width="15" style="1" customWidth="1"/>
    <col min="9973" max="9973" width="14.5546875" style="1" customWidth="1"/>
    <col min="9974" max="9974" width="10.33203125" style="1"/>
    <col min="9975" max="9975" width="7.44140625" style="1" customWidth="1"/>
    <col min="9976" max="9976" width="12.88671875" style="1" customWidth="1"/>
    <col min="9977" max="9977" width="11.109375" style="1" customWidth="1"/>
    <col min="9978" max="9978" width="14" style="1" customWidth="1"/>
    <col min="9979" max="9979" width="33" style="1" customWidth="1"/>
    <col min="9980" max="9980" width="6.6640625" style="1" customWidth="1"/>
    <col min="9981" max="9981" width="19" style="1" customWidth="1"/>
    <col min="9982" max="9982" width="19.109375" style="1" customWidth="1"/>
    <col min="9983" max="9983" width="21.33203125" style="1" customWidth="1"/>
    <col min="9984" max="9984" width="32.5546875" style="1" customWidth="1"/>
    <col min="9985" max="9985" width="16.88671875" style="1" customWidth="1"/>
    <col min="9986" max="9986" width="16.33203125" style="1" customWidth="1"/>
    <col min="9987" max="10217" width="10.33203125" style="1"/>
    <col min="10218" max="10218" width="4.44140625" style="1" customWidth="1"/>
    <col min="10219" max="10219" width="21.6640625" style="1" customWidth="1"/>
    <col min="10220" max="10220" width="15" style="1" customWidth="1"/>
    <col min="10221" max="10221" width="15.44140625" style="1" customWidth="1"/>
    <col min="10222" max="10222" width="11.5546875" style="1" customWidth="1"/>
    <col min="10223" max="10223" width="7.44140625" style="1" customWidth="1"/>
    <col min="10224" max="10224" width="14.109375" style="1" customWidth="1"/>
    <col min="10225" max="10225" width="10.6640625" style="1" customWidth="1"/>
    <col min="10226" max="10226" width="13.44140625" style="1" customWidth="1"/>
    <col min="10227" max="10227" width="11.44140625" style="1" customWidth="1"/>
    <col min="10228" max="10228" width="15" style="1" customWidth="1"/>
    <col min="10229" max="10229" width="14.5546875" style="1" customWidth="1"/>
    <col min="10230" max="10230" width="10.33203125" style="1"/>
    <col min="10231" max="10231" width="7.44140625" style="1" customWidth="1"/>
    <col min="10232" max="10232" width="12.88671875" style="1" customWidth="1"/>
    <col min="10233" max="10233" width="11.109375" style="1" customWidth="1"/>
    <col min="10234" max="10234" width="14" style="1" customWidth="1"/>
    <col min="10235" max="10235" width="33" style="1" customWidth="1"/>
    <col min="10236" max="10236" width="6.6640625" style="1" customWidth="1"/>
    <col min="10237" max="10237" width="19" style="1" customWidth="1"/>
    <col min="10238" max="10238" width="19.109375" style="1" customWidth="1"/>
    <col min="10239" max="10239" width="21.33203125" style="1" customWidth="1"/>
    <col min="10240" max="10240" width="32.5546875" style="1" customWidth="1"/>
    <col min="10241" max="10241" width="16.88671875" style="1" customWidth="1"/>
    <col min="10242" max="10242" width="16.33203125" style="1" customWidth="1"/>
    <col min="10243" max="10473" width="10.33203125" style="1"/>
    <col min="10474" max="10474" width="4.44140625" style="1" customWidth="1"/>
    <col min="10475" max="10475" width="21.6640625" style="1" customWidth="1"/>
    <col min="10476" max="10476" width="15" style="1" customWidth="1"/>
    <col min="10477" max="10477" width="15.44140625" style="1" customWidth="1"/>
    <col min="10478" max="10478" width="11.5546875" style="1" customWidth="1"/>
    <col min="10479" max="10479" width="7.44140625" style="1" customWidth="1"/>
    <col min="10480" max="10480" width="14.109375" style="1" customWidth="1"/>
    <col min="10481" max="10481" width="10.6640625" style="1" customWidth="1"/>
    <col min="10482" max="10482" width="13.44140625" style="1" customWidth="1"/>
    <col min="10483" max="10483" width="11.44140625" style="1" customWidth="1"/>
    <col min="10484" max="10484" width="15" style="1" customWidth="1"/>
    <col min="10485" max="10485" width="14.5546875" style="1" customWidth="1"/>
    <col min="10486" max="10486" width="10.33203125" style="1"/>
    <col min="10487" max="10487" width="7.44140625" style="1" customWidth="1"/>
    <col min="10488" max="10488" width="12.88671875" style="1" customWidth="1"/>
    <col min="10489" max="10489" width="11.109375" style="1" customWidth="1"/>
    <col min="10490" max="10490" width="14" style="1" customWidth="1"/>
    <col min="10491" max="10491" width="33" style="1" customWidth="1"/>
    <col min="10492" max="10492" width="6.6640625" style="1" customWidth="1"/>
    <col min="10493" max="10493" width="19" style="1" customWidth="1"/>
    <col min="10494" max="10494" width="19.109375" style="1" customWidth="1"/>
    <col min="10495" max="10495" width="21.33203125" style="1" customWidth="1"/>
    <col min="10496" max="10496" width="32.5546875" style="1" customWidth="1"/>
    <col min="10497" max="10497" width="16.88671875" style="1" customWidth="1"/>
    <col min="10498" max="10498" width="16.33203125" style="1" customWidth="1"/>
    <col min="10499" max="10729" width="10.33203125" style="1"/>
    <col min="10730" max="10730" width="4.44140625" style="1" customWidth="1"/>
    <col min="10731" max="10731" width="21.6640625" style="1" customWidth="1"/>
    <col min="10732" max="10732" width="15" style="1" customWidth="1"/>
    <col min="10733" max="10733" width="15.44140625" style="1" customWidth="1"/>
    <col min="10734" max="10734" width="11.5546875" style="1" customWidth="1"/>
    <col min="10735" max="10735" width="7.44140625" style="1" customWidth="1"/>
    <col min="10736" max="10736" width="14.109375" style="1" customWidth="1"/>
    <col min="10737" max="10737" width="10.6640625" style="1" customWidth="1"/>
    <col min="10738" max="10738" width="13.44140625" style="1" customWidth="1"/>
    <col min="10739" max="10739" width="11.44140625" style="1" customWidth="1"/>
    <col min="10740" max="10740" width="15" style="1" customWidth="1"/>
    <col min="10741" max="10741" width="14.5546875" style="1" customWidth="1"/>
    <col min="10742" max="10742" width="10.33203125" style="1"/>
    <col min="10743" max="10743" width="7.44140625" style="1" customWidth="1"/>
    <col min="10744" max="10744" width="12.88671875" style="1" customWidth="1"/>
    <col min="10745" max="10745" width="11.109375" style="1" customWidth="1"/>
    <col min="10746" max="10746" width="14" style="1" customWidth="1"/>
    <col min="10747" max="10747" width="33" style="1" customWidth="1"/>
    <col min="10748" max="10748" width="6.6640625" style="1" customWidth="1"/>
    <col min="10749" max="10749" width="19" style="1" customWidth="1"/>
    <col min="10750" max="10750" width="19.109375" style="1" customWidth="1"/>
    <col min="10751" max="10751" width="21.33203125" style="1" customWidth="1"/>
    <col min="10752" max="10752" width="32.5546875" style="1" customWidth="1"/>
    <col min="10753" max="10753" width="16.88671875" style="1" customWidth="1"/>
    <col min="10754" max="10754" width="16.33203125" style="1" customWidth="1"/>
    <col min="10755" max="10985" width="10.33203125" style="1"/>
    <col min="10986" max="10986" width="4.44140625" style="1" customWidth="1"/>
    <col min="10987" max="10987" width="21.6640625" style="1" customWidth="1"/>
    <col min="10988" max="10988" width="15" style="1" customWidth="1"/>
    <col min="10989" max="10989" width="15.44140625" style="1" customWidth="1"/>
    <col min="10990" max="10990" width="11.5546875" style="1" customWidth="1"/>
    <col min="10991" max="10991" width="7.44140625" style="1" customWidth="1"/>
    <col min="10992" max="10992" width="14.109375" style="1" customWidth="1"/>
    <col min="10993" max="10993" width="10.6640625" style="1" customWidth="1"/>
    <col min="10994" max="10994" width="13.44140625" style="1" customWidth="1"/>
    <col min="10995" max="10995" width="11.44140625" style="1" customWidth="1"/>
    <col min="10996" max="10996" width="15" style="1" customWidth="1"/>
    <col min="10997" max="10997" width="14.5546875" style="1" customWidth="1"/>
    <col min="10998" max="10998" width="10.33203125" style="1"/>
    <col min="10999" max="10999" width="7.44140625" style="1" customWidth="1"/>
    <col min="11000" max="11000" width="12.88671875" style="1" customWidth="1"/>
    <col min="11001" max="11001" width="11.109375" style="1" customWidth="1"/>
    <col min="11002" max="11002" width="14" style="1" customWidth="1"/>
    <col min="11003" max="11003" width="33" style="1" customWidth="1"/>
    <col min="11004" max="11004" width="6.6640625" style="1" customWidth="1"/>
    <col min="11005" max="11005" width="19" style="1" customWidth="1"/>
    <col min="11006" max="11006" width="19.109375" style="1" customWidth="1"/>
    <col min="11007" max="11007" width="21.33203125" style="1" customWidth="1"/>
    <col min="11008" max="11008" width="32.5546875" style="1" customWidth="1"/>
    <col min="11009" max="11009" width="16.88671875" style="1" customWidth="1"/>
    <col min="11010" max="11010" width="16.33203125" style="1" customWidth="1"/>
    <col min="11011" max="11241" width="10.33203125" style="1"/>
    <col min="11242" max="11242" width="4.44140625" style="1" customWidth="1"/>
    <col min="11243" max="11243" width="21.6640625" style="1" customWidth="1"/>
    <col min="11244" max="11244" width="15" style="1" customWidth="1"/>
    <col min="11245" max="11245" width="15.44140625" style="1" customWidth="1"/>
    <col min="11246" max="11246" width="11.5546875" style="1" customWidth="1"/>
    <col min="11247" max="11247" width="7.44140625" style="1" customWidth="1"/>
    <col min="11248" max="11248" width="14.109375" style="1" customWidth="1"/>
    <col min="11249" max="11249" width="10.6640625" style="1" customWidth="1"/>
    <col min="11250" max="11250" width="13.44140625" style="1" customWidth="1"/>
    <col min="11251" max="11251" width="11.44140625" style="1" customWidth="1"/>
    <col min="11252" max="11252" width="15" style="1" customWidth="1"/>
    <col min="11253" max="11253" width="14.5546875" style="1" customWidth="1"/>
    <col min="11254" max="11254" width="10.33203125" style="1"/>
    <col min="11255" max="11255" width="7.44140625" style="1" customWidth="1"/>
    <col min="11256" max="11256" width="12.88671875" style="1" customWidth="1"/>
    <col min="11257" max="11257" width="11.109375" style="1" customWidth="1"/>
    <col min="11258" max="11258" width="14" style="1" customWidth="1"/>
    <col min="11259" max="11259" width="33" style="1" customWidth="1"/>
    <col min="11260" max="11260" width="6.6640625" style="1" customWidth="1"/>
    <col min="11261" max="11261" width="19" style="1" customWidth="1"/>
    <col min="11262" max="11262" width="19.109375" style="1" customWidth="1"/>
    <col min="11263" max="11263" width="21.33203125" style="1" customWidth="1"/>
    <col min="11264" max="11264" width="32.5546875" style="1" customWidth="1"/>
    <col min="11265" max="11265" width="16.88671875" style="1" customWidth="1"/>
    <col min="11266" max="11266" width="16.33203125" style="1" customWidth="1"/>
    <col min="11267" max="11497" width="10.33203125" style="1"/>
    <col min="11498" max="11498" width="4.44140625" style="1" customWidth="1"/>
    <col min="11499" max="11499" width="21.6640625" style="1" customWidth="1"/>
    <col min="11500" max="11500" width="15" style="1" customWidth="1"/>
    <col min="11501" max="11501" width="15.44140625" style="1" customWidth="1"/>
    <col min="11502" max="11502" width="11.5546875" style="1" customWidth="1"/>
    <col min="11503" max="11503" width="7.44140625" style="1" customWidth="1"/>
    <col min="11504" max="11504" width="14.109375" style="1" customWidth="1"/>
    <col min="11505" max="11505" width="10.6640625" style="1" customWidth="1"/>
    <col min="11506" max="11506" width="13.44140625" style="1" customWidth="1"/>
    <col min="11507" max="11507" width="11.44140625" style="1" customWidth="1"/>
    <col min="11508" max="11508" width="15" style="1" customWidth="1"/>
    <col min="11509" max="11509" width="14.5546875" style="1" customWidth="1"/>
    <col min="11510" max="11510" width="10.33203125" style="1"/>
    <col min="11511" max="11511" width="7.44140625" style="1" customWidth="1"/>
    <col min="11512" max="11512" width="12.88671875" style="1" customWidth="1"/>
    <col min="11513" max="11513" width="11.109375" style="1" customWidth="1"/>
    <col min="11514" max="11514" width="14" style="1" customWidth="1"/>
    <col min="11515" max="11515" width="33" style="1" customWidth="1"/>
    <col min="11516" max="11516" width="6.6640625" style="1" customWidth="1"/>
    <col min="11517" max="11517" width="19" style="1" customWidth="1"/>
    <col min="11518" max="11518" width="19.109375" style="1" customWidth="1"/>
    <col min="11519" max="11519" width="21.33203125" style="1" customWidth="1"/>
    <col min="11520" max="11520" width="32.5546875" style="1" customWidth="1"/>
    <col min="11521" max="11521" width="16.88671875" style="1" customWidth="1"/>
    <col min="11522" max="11522" width="16.33203125" style="1" customWidth="1"/>
    <col min="11523" max="11753" width="10.33203125" style="1"/>
    <col min="11754" max="11754" width="4.44140625" style="1" customWidth="1"/>
    <col min="11755" max="11755" width="21.6640625" style="1" customWidth="1"/>
    <col min="11756" max="11756" width="15" style="1" customWidth="1"/>
    <col min="11757" max="11757" width="15.44140625" style="1" customWidth="1"/>
    <col min="11758" max="11758" width="11.5546875" style="1" customWidth="1"/>
    <col min="11759" max="11759" width="7.44140625" style="1" customWidth="1"/>
    <col min="11760" max="11760" width="14.109375" style="1" customWidth="1"/>
    <col min="11761" max="11761" width="10.6640625" style="1" customWidth="1"/>
    <col min="11762" max="11762" width="13.44140625" style="1" customWidth="1"/>
    <col min="11763" max="11763" width="11.44140625" style="1" customWidth="1"/>
    <col min="11764" max="11764" width="15" style="1" customWidth="1"/>
    <col min="11765" max="11765" width="14.5546875" style="1" customWidth="1"/>
    <col min="11766" max="11766" width="10.33203125" style="1"/>
    <col min="11767" max="11767" width="7.44140625" style="1" customWidth="1"/>
    <col min="11768" max="11768" width="12.88671875" style="1" customWidth="1"/>
    <col min="11769" max="11769" width="11.109375" style="1" customWidth="1"/>
    <col min="11770" max="11770" width="14" style="1" customWidth="1"/>
    <col min="11771" max="11771" width="33" style="1" customWidth="1"/>
    <col min="11772" max="11772" width="6.6640625" style="1" customWidth="1"/>
    <col min="11773" max="11773" width="19" style="1" customWidth="1"/>
    <col min="11774" max="11774" width="19.109375" style="1" customWidth="1"/>
    <col min="11775" max="11775" width="21.33203125" style="1" customWidth="1"/>
    <col min="11776" max="11776" width="32.5546875" style="1" customWidth="1"/>
    <col min="11777" max="11777" width="16.88671875" style="1" customWidth="1"/>
    <col min="11778" max="11778" width="16.33203125" style="1" customWidth="1"/>
    <col min="11779" max="12009" width="10.33203125" style="1"/>
    <col min="12010" max="12010" width="4.44140625" style="1" customWidth="1"/>
    <col min="12011" max="12011" width="21.6640625" style="1" customWidth="1"/>
    <col min="12012" max="12012" width="15" style="1" customWidth="1"/>
    <col min="12013" max="12013" width="15.44140625" style="1" customWidth="1"/>
    <col min="12014" max="12014" width="11.5546875" style="1" customWidth="1"/>
    <col min="12015" max="12015" width="7.44140625" style="1" customWidth="1"/>
    <col min="12016" max="12016" width="14.109375" style="1" customWidth="1"/>
    <col min="12017" max="12017" width="10.6640625" style="1" customWidth="1"/>
    <col min="12018" max="12018" width="13.44140625" style="1" customWidth="1"/>
    <col min="12019" max="12019" width="11.44140625" style="1" customWidth="1"/>
    <col min="12020" max="12020" width="15" style="1" customWidth="1"/>
    <col min="12021" max="12021" width="14.5546875" style="1" customWidth="1"/>
    <col min="12022" max="12022" width="10.33203125" style="1"/>
    <col min="12023" max="12023" width="7.44140625" style="1" customWidth="1"/>
    <col min="12024" max="12024" width="12.88671875" style="1" customWidth="1"/>
    <col min="12025" max="12025" width="11.109375" style="1" customWidth="1"/>
    <col min="12026" max="12026" width="14" style="1" customWidth="1"/>
    <col min="12027" max="12027" width="33" style="1" customWidth="1"/>
    <col min="12028" max="12028" width="6.6640625" style="1" customWidth="1"/>
    <col min="12029" max="12029" width="19" style="1" customWidth="1"/>
    <col min="12030" max="12030" width="19.109375" style="1" customWidth="1"/>
    <col min="12031" max="12031" width="21.33203125" style="1" customWidth="1"/>
    <col min="12032" max="12032" width="32.5546875" style="1" customWidth="1"/>
    <col min="12033" max="12033" width="16.88671875" style="1" customWidth="1"/>
    <col min="12034" max="12034" width="16.33203125" style="1" customWidth="1"/>
    <col min="12035" max="12265" width="10.33203125" style="1"/>
    <col min="12266" max="12266" width="4.44140625" style="1" customWidth="1"/>
    <col min="12267" max="12267" width="21.6640625" style="1" customWidth="1"/>
    <col min="12268" max="12268" width="15" style="1" customWidth="1"/>
    <col min="12269" max="12269" width="15.44140625" style="1" customWidth="1"/>
    <col min="12270" max="12270" width="11.5546875" style="1" customWidth="1"/>
    <col min="12271" max="12271" width="7.44140625" style="1" customWidth="1"/>
    <col min="12272" max="12272" width="14.109375" style="1" customWidth="1"/>
    <col min="12273" max="12273" width="10.6640625" style="1" customWidth="1"/>
    <col min="12274" max="12274" width="13.44140625" style="1" customWidth="1"/>
    <col min="12275" max="12275" width="11.44140625" style="1" customWidth="1"/>
    <col min="12276" max="12276" width="15" style="1" customWidth="1"/>
    <col min="12277" max="12277" width="14.5546875" style="1" customWidth="1"/>
    <col min="12278" max="12278" width="10.33203125" style="1"/>
    <col min="12279" max="12279" width="7.44140625" style="1" customWidth="1"/>
    <col min="12280" max="12280" width="12.88671875" style="1" customWidth="1"/>
    <col min="12281" max="12281" width="11.109375" style="1" customWidth="1"/>
    <col min="12282" max="12282" width="14" style="1" customWidth="1"/>
    <col min="12283" max="12283" width="33" style="1" customWidth="1"/>
    <col min="12284" max="12284" width="6.6640625" style="1" customWidth="1"/>
    <col min="12285" max="12285" width="19" style="1" customWidth="1"/>
    <col min="12286" max="12286" width="19.109375" style="1" customWidth="1"/>
    <col min="12287" max="12287" width="21.33203125" style="1" customWidth="1"/>
    <col min="12288" max="12288" width="32.5546875" style="1" customWidth="1"/>
    <col min="12289" max="12289" width="16.88671875" style="1" customWidth="1"/>
    <col min="12290" max="12290" width="16.33203125" style="1" customWidth="1"/>
    <col min="12291" max="12521" width="10.33203125" style="1"/>
    <col min="12522" max="12522" width="4.44140625" style="1" customWidth="1"/>
    <col min="12523" max="12523" width="21.6640625" style="1" customWidth="1"/>
    <col min="12524" max="12524" width="15" style="1" customWidth="1"/>
    <col min="12525" max="12525" width="15.44140625" style="1" customWidth="1"/>
    <col min="12526" max="12526" width="11.5546875" style="1" customWidth="1"/>
    <col min="12527" max="12527" width="7.44140625" style="1" customWidth="1"/>
    <col min="12528" max="12528" width="14.109375" style="1" customWidth="1"/>
    <col min="12529" max="12529" width="10.6640625" style="1" customWidth="1"/>
    <col min="12530" max="12530" width="13.44140625" style="1" customWidth="1"/>
    <col min="12531" max="12531" width="11.44140625" style="1" customWidth="1"/>
    <col min="12532" max="12532" width="15" style="1" customWidth="1"/>
    <col min="12533" max="12533" width="14.5546875" style="1" customWidth="1"/>
    <col min="12534" max="12534" width="10.33203125" style="1"/>
    <col min="12535" max="12535" width="7.44140625" style="1" customWidth="1"/>
    <col min="12536" max="12536" width="12.88671875" style="1" customWidth="1"/>
    <col min="12537" max="12537" width="11.109375" style="1" customWidth="1"/>
    <col min="12538" max="12538" width="14" style="1" customWidth="1"/>
    <col min="12539" max="12539" width="33" style="1" customWidth="1"/>
    <col min="12540" max="12540" width="6.6640625" style="1" customWidth="1"/>
    <col min="12541" max="12541" width="19" style="1" customWidth="1"/>
    <col min="12542" max="12542" width="19.109375" style="1" customWidth="1"/>
    <col min="12543" max="12543" width="21.33203125" style="1" customWidth="1"/>
    <col min="12544" max="12544" width="32.5546875" style="1" customWidth="1"/>
    <col min="12545" max="12545" width="16.88671875" style="1" customWidth="1"/>
    <col min="12546" max="12546" width="16.33203125" style="1" customWidth="1"/>
    <col min="12547" max="12777" width="10.33203125" style="1"/>
    <col min="12778" max="12778" width="4.44140625" style="1" customWidth="1"/>
    <col min="12779" max="12779" width="21.6640625" style="1" customWidth="1"/>
    <col min="12780" max="12780" width="15" style="1" customWidth="1"/>
    <col min="12781" max="12781" width="15.44140625" style="1" customWidth="1"/>
    <col min="12782" max="12782" width="11.5546875" style="1" customWidth="1"/>
    <col min="12783" max="12783" width="7.44140625" style="1" customWidth="1"/>
    <col min="12784" max="12784" width="14.109375" style="1" customWidth="1"/>
    <col min="12785" max="12785" width="10.6640625" style="1" customWidth="1"/>
    <col min="12786" max="12786" width="13.44140625" style="1" customWidth="1"/>
    <col min="12787" max="12787" width="11.44140625" style="1" customWidth="1"/>
    <col min="12788" max="12788" width="15" style="1" customWidth="1"/>
    <col min="12789" max="12789" width="14.5546875" style="1" customWidth="1"/>
    <col min="12790" max="12790" width="10.33203125" style="1"/>
    <col min="12791" max="12791" width="7.44140625" style="1" customWidth="1"/>
    <col min="12792" max="12792" width="12.88671875" style="1" customWidth="1"/>
    <col min="12793" max="12793" width="11.109375" style="1" customWidth="1"/>
    <col min="12794" max="12794" width="14" style="1" customWidth="1"/>
    <col min="12795" max="12795" width="33" style="1" customWidth="1"/>
    <col min="12796" max="12796" width="6.6640625" style="1" customWidth="1"/>
    <col min="12797" max="12797" width="19" style="1" customWidth="1"/>
    <col min="12798" max="12798" width="19.109375" style="1" customWidth="1"/>
    <col min="12799" max="12799" width="21.33203125" style="1" customWidth="1"/>
    <col min="12800" max="12800" width="32.5546875" style="1" customWidth="1"/>
    <col min="12801" max="12801" width="16.88671875" style="1" customWidth="1"/>
    <col min="12802" max="12802" width="16.33203125" style="1" customWidth="1"/>
    <col min="12803" max="13033" width="10.33203125" style="1"/>
    <col min="13034" max="13034" width="4.44140625" style="1" customWidth="1"/>
    <col min="13035" max="13035" width="21.6640625" style="1" customWidth="1"/>
    <col min="13036" max="13036" width="15" style="1" customWidth="1"/>
    <col min="13037" max="13037" width="15.44140625" style="1" customWidth="1"/>
    <col min="13038" max="13038" width="11.5546875" style="1" customWidth="1"/>
    <col min="13039" max="13039" width="7.44140625" style="1" customWidth="1"/>
    <col min="13040" max="13040" width="14.109375" style="1" customWidth="1"/>
    <col min="13041" max="13041" width="10.6640625" style="1" customWidth="1"/>
    <col min="13042" max="13042" width="13.44140625" style="1" customWidth="1"/>
    <col min="13043" max="13043" width="11.44140625" style="1" customWidth="1"/>
    <col min="13044" max="13044" width="15" style="1" customWidth="1"/>
    <col min="13045" max="13045" width="14.5546875" style="1" customWidth="1"/>
    <col min="13046" max="13046" width="10.33203125" style="1"/>
    <col min="13047" max="13047" width="7.44140625" style="1" customWidth="1"/>
    <col min="13048" max="13048" width="12.88671875" style="1" customWidth="1"/>
    <col min="13049" max="13049" width="11.109375" style="1" customWidth="1"/>
    <col min="13050" max="13050" width="14" style="1" customWidth="1"/>
    <col min="13051" max="13051" width="33" style="1" customWidth="1"/>
    <col min="13052" max="13052" width="6.6640625" style="1" customWidth="1"/>
    <col min="13053" max="13053" width="19" style="1" customWidth="1"/>
    <col min="13054" max="13054" width="19.109375" style="1" customWidth="1"/>
    <col min="13055" max="13055" width="21.33203125" style="1" customWidth="1"/>
    <col min="13056" max="13056" width="32.5546875" style="1" customWidth="1"/>
    <col min="13057" max="13057" width="16.88671875" style="1" customWidth="1"/>
    <col min="13058" max="13058" width="16.33203125" style="1" customWidth="1"/>
    <col min="13059" max="13289" width="10.33203125" style="1"/>
    <col min="13290" max="13290" width="4.44140625" style="1" customWidth="1"/>
    <col min="13291" max="13291" width="21.6640625" style="1" customWidth="1"/>
    <col min="13292" max="13292" width="15" style="1" customWidth="1"/>
    <col min="13293" max="13293" width="15.44140625" style="1" customWidth="1"/>
    <col min="13294" max="13294" width="11.5546875" style="1" customWidth="1"/>
    <col min="13295" max="13295" width="7.44140625" style="1" customWidth="1"/>
    <col min="13296" max="13296" width="14.109375" style="1" customWidth="1"/>
    <col min="13297" max="13297" width="10.6640625" style="1" customWidth="1"/>
    <col min="13298" max="13298" width="13.44140625" style="1" customWidth="1"/>
    <col min="13299" max="13299" width="11.44140625" style="1" customWidth="1"/>
    <col min="13300" max="13300" width="15" style="1" customWidth="1"/>
    <col min="13301" max="13301" width="14.5546875" style="1" customWidth="1"/>
    <col min="13302" max="13302" width="10.33203125" style="1"/>
    <col min="13303" max="13303" width="7.44140625" style="1" customWidth="1"/>
    <col min="13304" max="13304" width="12.88671875" style="1" customWidth="1"/>
    <col min="13305" max="13305" width="11.109375" style="1" customWidth="1"/>
    <col min="13306" max="13306" width="14" style="1" customWidth="1"/>
    <col min="13307" max="13307" width="33" style="1" customWidth="1"/>
    <col min="13308" max="13308" width="6.6640625" style="1" customWidth="1"/>
    <col min="13309" max="13309" width="19" style="1" customWidth="1"/>
    <col min="13310" max="13310" width="19.109375" style="1" customWidth="1"/>
    <col min="13311" max="13311" width="21.33203125" style="1" customWidth="1"/>
    <col min="13312" max="13312" width="32.5546875" style="1" customWidth="1"/>
    <col min="13313" max="13313" width="16.88671875" style="1" customWidth="1"/>
    <col min="13314" max="13314" width="16.33203125" style="1" customWidth="1"/>
    <col min="13315" max="13545" width="10.33203125" style="1"/>
    <col min="13546" max="13546" width="4.44140625" style="1" customWidth="1"/>
    <col min="13547" max="13547" width="21.6640625" style="1" customWidth="1"/>
    <col min="13548" max="13548" width="15" style="1" customWidth="1"/>
    <col min="13549" max="13549" width="15.44140625" style="1" customWidth="1"/>
    <col min="13550" max="13550" width="11.5546875" style="1" customWidth="1"/>
    <col min="13551" max="13551" width="7.44140625" style="1" customWidth="1"/>
    <col min="13552" max="13552" width="14.109375" style="1" customWidth="1"/>
    <col min="13553" max="13553" width="10.6640625" style="1" customWidth="1"/>
    <col min="13554" max="13554" width="13.44140625" style="1" customWidth="1"/>
    <col min="13555" max="13555" width="11.44140625" style="1" customWidth="1"/>
    <col min="13556" max="13556" width="15" style="1" customWidth="1"/>
    <col min="13557" max="13557" width="14.5546875" style="1" customWidth="1"/>
    <col min="13558" max="13558" width="10.33203125" style="1"/>
    <col min="13559" max="13559" width="7.44140625" style="1" customWidth="1"/>
    <col min="13560" max="13560" width="12.88671875" style="1" customWidth="1"/>
    <col min="13561" max="13561" width="11.109375" style="1" customWidth="1"/>
    <col min="13562" max="13562" width="14" style="1" customWidth="1"/>
    <col min="13563" max="13563" width="33" style="1" customWidth="1"/>
    <col min="13564" max="13564" width="6.6640625" style="1" customWidth="1"/>
    <col min="13565" max="13565" width="19" style="1" customWidth="1"/>
    <col min="13566" max="13566" width="19.109375" style="1" customWidth="1"/>
    <col min="13567" max="13567" width="21.33203125" style="1" customWidth="1"/>
    <col min="13568" max="13568" width="32.5546875" style="1" customWidth="1"/>
    <col min="13569" max="13569" width="16.88671875" style="1" customWidth="1"/>
    <col min="13570" max="13570" width="16.33203125" style="1" customWidth="1"/>
    <col min="13571" max="13801" width="10.33203125" style="1"/>
    <col min="13802" max="13802" width="4.44140625" style="1" customWidth="1"/>
    <col min="13803" max="13803" width="21.6640625" style="1" customWidth="1"/>
    <col min="13804" max="13804" width="15" style="1" customWidth="1"/>
    <col min="13805" max="13805" width="15.44140625" style="1" customWidth="1"/>
    <col min="13806" max="13806" width="11.5546875" style="1" customWidth="1"/>
    <col min="13807" max="13807" width="7.44140625" style="1" customWidth="1"/>
    <col min="13808" max="13808" width="14.109375" style="1" customWidth="1"/>
    <col min="13809" max="13809" width="10.6640625" style="1" customWidth="1"/>
    <col min="13810" max="13810" width="13.44140625" style="1" customWidth="1"/>
    <col min="13811" max="13811" width="11.44140625" style="1" customWidth="1"/>
    <col min="13812" max="13812" width="15" style="1" customWidth="1"/>
    <col min="13813" max="13813" width="14.5546875" style="1" customWidth="1"/>
    <col min="13814" max="13814" width="10.33203125" style="1"/>
    <col min="13815" max="13815" width="7.44140625" style="1" customWidth="1"/>
    <col min="13816" max="13816" width="12.88671875" style="1" customWidth="1"/>
    <col min="13817" max="13817" width="11.109375" style="1" customWidth="1"/>
    <col min="13818" max="13818" width="14" style="1" customWidth="1"/>
    <col min="13819" max="13819" width="33" style="1" customWidth="1"/>
    <col min="13820" max="13820" width="6.6640625" style="1" customWidth="1"/>
    <col min="13821" max="13821" width="19" style="1" customWidth="1"/>
    <col min="13822" max="13822" width="19.109375" style="1" customWidth="1"/>
    <col min="13823" max="13823" width="21.33203125" style="1" customWidth="1"/>
    <col min="13824" max="13824" width="32.5546875" style="1" customWidth="1"/>
    <col min="13825" max="13825" width="16.88671875" style="1" customWidth="1"/>
    <col min="13826" max="13826" width="16.33203125" style="1" customWidth="1"/>
    <col min="13827" max="14057" width="10.33203125" style="1"/>
    <col min="14058" max="14058" width="4.44140625" style="1" customWidth="1"/>
    <col min="14059" max="14059" width="21.6640625" style="1" customWidth="1"/>
    <col min="14060" max="14060" width="15" style="1" customWidth="1"/>
    <col min="14061" max="14061" width="15.44140625" style="1" customWidth="1"/>
    <col min="14062" max="14062" width="11.5546875" style="1" customWidth="1"/>
    <col min="14063" max="14063" width="7.44140625" style="1" customWidth="1"/>
    <col min="14064" max="14064" width="14.109375" style="1" customWidth="1"/>
    <col min="14065" max="14065" width="10.6640625" style="1" customWidth="1"/>
    <col min="14066" max="14066" width="13.44140625" style="1" customWidth="1"/>
    <col min="14067" max="14067" width="11.44140625" style="1" customWidth="1"/>
    <col min="14068" max="14068" width="15" style="1" customWidth="1"/>
    <col min="14069" max="14069" width="14.5546875" style="1" customWidth="1"/>
    <col min="14070" max="14070" width="10.33203125" style="1"/>
    <col min="14071" max="14071" width="7.44140625" style="1" customWidth="1"/>
    <col min="14072" max="14072" width="12.88671875" style="1" customWidth="1"/>
    <col min="14073" max="14073" width="11.109375" style="1" customWidth="1"/>
    <col min="14074" max="14074" width="14" style="1" customWidth="1"/>
    <col min="14075" max="14075" width="33" style="1" customWidth="1"/>
    <col min="14076" max="14076" width="6.6640625" style="1" customWidth="1"/>
    <col min="14077" max="14077" width="19" style="1" customWidth="1"/>
    <col min="14078" max="14078" width="19.109375" style="1" customWidth="1"/>
    <col min="14079" max="14079" width="21.33203125" style="1" customWidth="1"/>
    <col min="14080" max="14080" width="32.5546875" style="1" customWidth="1"/>
    <col min="14081" max="14081" width="16.88671875" style="1" customWidth="1"/>
    <col min="14082" max="14082" width="16.33203125" style="1" customWidth="1"/>
    <col min="14083" max="14313" width="10.33203125" style="1"/>
    <col min="14314" max="14314" width="4.44140625" style="1" customWidth="1"/>
    <col min="14315" max="14315" width="21.6640625" style="1" customWidth="1"/>
    <col min="14316" max="14316" width="15" style="1" customWidth="1"/>
    <col min="14317" max="14317" width="15.44140625" style="1" customWidth="1"/>
    <col min="14318" max="14318" width="11.5546875" style="1" customWidth="1"/>
    <col min="14319" max="14319" width="7.44140625" style="1" customWidth="1"/>
    <col min="14320" max="14320" width="14.109375" style="1" customWidth="1"/>
    <col min="14321" max="14321" width="10.6640625" style="1" customWidth="1"/>
    <col min="14322" max="14322" width="13.44140625" style="1" customWidth="1"/>
    <col min="14323" max="14323" width="11.44140625" style="1" customWidth="1"/>
    <col min="14324" max="14324" width="15" style="1" customWidth="1"/>
    <col min="14325" max="14325" width="14.5546875" style="1" customWidth="1"/>
    <col min="14326" max="14326" width="10.33203125" style="1"/>
    <col min="14327" max="14327" width="7.44140625" style="1" customWidth="1"/>
    <col min="14328" max="14328" width="12.88671875" style="1" customWidth="1"/>
    <col min="14329" max="14329" width="11.109375" style="1" customWidth="1"/>
    <col min="14330" max="14330" width="14" style="1" customWidth="1"/>
    <col min="14331" max="14331" width="33" style="1" customWidth="1"/>
    <col min="14332" max="14332" width="6.6640625" style="1" customWidth="1"/>
    <col min="14333" max="14333" width="19" style="1" customWidth="1"/>
    <col min="14334" max="14334" width="19.109375" style="1" customWidth="1"/>
    <col min="14335" max="14335" width="21.33203125" style="1" customWidth="1"/>
    <col min="14336" max="14336" width="32.5546875" style="1" customWidth="1"/>
    <col min="14337" max="14337" width="16.88671875" style="1" customWidth="1"/>
    <col min="14338" max="14338" width="16.33203125" style="1" customWidth="1"/>
    <col min="14339" max="14569" width="10.33203125" style="1"/>
    <col min="14570" max="14570" width="4.44140625" style="1" customWidth="1"/>
    <col min="14571" max="14571" width="21.6640625" style="1" customWidth="1"/>
    <col min="14572" max="14572" width="15" style="1" customWidth="1"/>
    <col min="14573" max="14573" width="15.44140625" style="1" customWidth="1"/>
    <col min="14574" max="14574" width="11.5546875" style="1" customWidth="1"/>
    <col min="14575" max="14575" width="7.44140625" style="1" customWidth="1"/>
    <col min="14576" max="14576" width="14.109375" style="1" customWidth="1"/>
    <col min="14577" max="14577" width="10.6640625" style="1" customWidth="1"/>
    <col min="14578" max="14578" width="13.44140625" style="1" customWidth="1"/>
    <col min="14579" max="14579" width="11.44140625" style="1" customWidth="1"/>
    <col min="14580" max="14580" width="15" style="1" customWidth="1"/>
    <col min="14581" max="14581" width="14.5546875" style="1" customWidth="1"/>
    <col min="14582" max="14582" width="10.33203125" style="1"/>
    <col min="14583" max="14583" width="7.44140625" style="1" customWidth="1"/>
    <col min="14584" max="14584" width="12.88671875" style="1" customWidth="1"/>
    <col min="14585" max="14585" width="11.109375" style="1" customWidth="1"/>
    <col min="14586" max="14586" width="14" style="1" customWidth="1"/>
    <col min="14587" max="14587" width="33" style="1" customWidth="1"/>
    <col min="14588" max="14588" width="6.6640625" style="1" customWidth="1"/>
    <col min="14589" max="14589" width="19" style="1" customWidth="1"/>
    <col min="14590" max="14590" width="19.109375" style="1" customWidth="1"/>
    <col min="14591" max="14591" width="21.33203125" style="1" customWidth="1"/>
    <col min="14592" max="14592" width="32.5546875" style="1" customWidth="1"/>
    <col min="14593" max="14593" width="16.88671875" style="1" customWidth="1"/>
    <col min="14594" max="14594" width="16.33203125" style="1" customWidth="1"/>
    <col min="14595" max="14825" width="10.33203125" style="1"/>
    <col min="14826" max="14826" width="4.44140625" style="1" customWidth="1"/>
    <col min="14827" max="14827" width="21.6640625" style="1" customWidth="1"/>
    <col min="14828" max="14828" width="15" style="1" customWidth="1"/>
    <col min="14829" max="14829" width="15.44140625" style="1" customWidth="1"/>
    <col min="14830" max="14830" width="11.5546875" style="1" customWidth="1"/>
    <col min="14831" max="14831" width="7.44140625" style="1" customWidth="1"/>
    <col min="14832" max="14832" width="14.109375" style="1" customWidth="1"/>
    <col min="14833" max="14833" width="10.6640625" style="1" customWidth="1"/>
    <col min="14834" max="14834" width="13.44140625" style="1" customWidth="1"/>
    <col min="14835" max="14835" width="11.44140625" style="1" customWidth="1"/>
    <col min="14836" max="14836" width="15" style="1" customWidth="1"/>
    <col min="14837" max="14837" width="14.5546875" style="1" customWidth="1"/>
    <col min="14838" max="14838" width="10.33203125" style="1"/>
    <col min="14839" max="14839" width="7.44140625" style="1" customWidth="1"/>
    <col min="14840" max="14840" width="12.88671875" style="1" customWidth="1"/>
    <col min="14841" max="14841" width="11.109375" style="1" customWidth="1"/>
    <col min="14842" max="14842" width="14" style="1" customWidth="1"/>
    <col min="14843" max="14843" width="33" style="1" customWidth="1"/>
    <col min="14844" max="14844" width="6.6640625" style="1" customWidth="1"/>
    <col min="14845" max="14845" width="19" style="1" customWidth="1"/>
    <col min="14846" max="14846" width="19.109375" style="1" customWidth="1"/>
    <col min="14847" max="14847" width="21.33203125" style="1" customWidth="1"/>
    <col min="14848" max="14848" width="32.5546875" style="1" customWidth="1"/>
    <col min="14849" max="14849" width="16.88671875" style="1" customWidth="1"/>
    <col min="14850" max="14850" width="16.33203125" style="1" customWidth="1"/>
    <col min="14851" max="15081" width="10.33203125" style="1"/>
    <col min="15082" max="15082" width="4.44140625" style="1" customWidth="1"/>
    <col min="15083" max="15083" width="21.6640625" style="1" customWidth="1"/>
    <col min="15084" max="15084" width="15" style="1" customWidth="1"/>
    <col min="15085" max="15085" width="15.44140625" style="1" customWidth="1"/>
    <col min="15086" max="15086" width="11.5546875" style="1" customWidth="1"/>
    <col min="15087" max="15087" width="7.44140625" style="1" customWidth="1"/>
    <col min="15088" max="15088" width="14.109375" style="1" customWidth="1"/>
    <col min="15089" max="15089" width="10.6640625" style="1" customWidth="1"/>
    <col min="15090" max="15090" width="13.44140625" style="1" customWidth="1"/>
    <col min="15091" max="15091" width="11.44140625" style="1" customWidth="1"/>
    <col min="15092" max="15092" width="15" style="1" customWidth="1"/>
    <col min="15093" max="15093" width="14.5546875" style="1" customWidth="1"/>
    <col min="15094" max="15094" width="10.33203125" style="1"/>
    <col min="15095" max="15095" width="7.44140625" style="1" customWidth="1"/>
    <col min="15096" max="15096" width="12.88671875" style="1" customWidth="1"/>
    <col min="15097" max="15097" width="11.109375" style="1" customWidth="1"/>
    <col min="15098" max="15098" width="14" style="1" customWidth="1"/>
    <col min="15099" max="15099" width="33" style="1" customWidth="1"/>
    <col min="15100" max="15100" width="6.6640625" style="1" customWidth="1"/>
    <col min="15101" max="15101" width="19" style="1" customWidth="1"/>
    <col min="15102" max="15102" width="19.109375" style="1" customWidth="1"/>
    <col min="15103" max="15103" width="21.33203125" style="1" customWidth="1"/>
    <col min="15104" max="15104" width="32.5546875" style="1" customWidth="1"/>
    <col min="15105" max="15105" width="16.88671875" style="1" customWidth="1"/>
    <col min="15106" max="15106" width="16.33203125" style="1" customWidth="1"/>
    <col min="15107" max="15337" width="10.33203125" style="1"/>
    <col min="15338" max="15338" width="4.44140625" style="1" customWidth="1"/>
    <col min="15339" max="15339" width="21.6640625" style="1" customWidth="1"/>
    <col min="15340" max="15340" width="15" style="1" customWidth="1"/>
    <col min="15341" max="15341" width="15.44140625" style="1" customWidth="1"/>
    <col min="15342" max="15342" width="11.5546875" style="1" customWidth="1"/>
    <col min="15343" max="15343" width="7.44140625" style="1" customWidth="1"/>
    <col min="15344" max="15344" width="14.109375" style="1" customWidth="1"/>
    <col min="15345" max="15345" width="10.6640625" style="1" customWidth="1"/>
    <col min="15346" max="15346" width="13.44140625" style="1" customWidth="1"/>
    <col min="15347" max="15347" width="11.44140625" style="1" customWidth="1"/>
    <col min="15348" max="15348" width="15" style="1" customWidth="1"/>
    <col min="15349" max="15349" width="14.5546875" style="1" customWidth="1"/>
    <col min="15350" max="15350" width="10.33203125" style="1"/>
    <col min="15351" max="15351" width="7.44140625" style="1" customWidth="1"/>
    <col min="15352" max="15352" width="12.88671875" style="1" customWidth="1"/>
    <col min="15353" max="15353" width="11.109375" style="1" customWidth="1"/>
    <col min="15354" max="15354" width="14" style="1" customWidth="1"/>
    <col min="15355" max="15355" width="33" style="1" customWidth="1"/>
    <col min="15356" max="15356" width="6.6640625" style="1" customWidth="1"/>
    <col min="15357" max="15357" width="19" style="1" customWidth="1"/>
    <col min="15358" max="15358" width="19.109375" style="1" customWidth="1"/>
    <col min="15359" max="15359" width="21.33203125" style="1" customWidth="1"/>
    <col min="15360" max="15360" width="32.5546875" style="1" customWidth="1"/>
    <col min="15361" max="15361" width="16.88671875" style="1" customWidth="1"/>
    <col min="15362" max="15362" width="16.33203125" style="1" customWidth="1"/>
    <col min="15363" max="15593" width="10.33203125" style="1"/>
    <col min="15594" max="15594" width="4.44140625" style="1" customWidth="1"/>
    <col min="15595" max="15595" width="21.6640625" style="1" customWidth="1"/>
    <col min="15596" max="15596" width="15" style="1" customWidth="1"/>
    <col min="15597" max="15597" width="15.44140625" style="1" customWidth="1"/>
    <col min="15598" max="15598" width="11.5546875" style="1" customWidth="1"/>
    <col min="15599" max="15599" width="7.44140625" style="1" customWidth="1"/>
    <col min="15600" max="15600" width="14.109375" style="1" customWidth="1"/>
    <col min="15601" max="15601" width="10.6640625" style="1" customWidth="1"/>
    <col min="15602" max="15602" width="13.44140625" style="1" customWidth="1"/>
    <col min="15603" max="15603" width="11.44140625" style="1" customWidth="1"/>
    <col min="15604" max="15604" width="15" style="1" customWidth="1"/>
    <col min="15605" max="15605" width="14.5546875" style="1" customWidth="1"/>
    <col min="15606" max="15606" width="10.33203125" style="1"/>
    <col min="15607" max="15607" width="7.44140625" style="1" customWidth="1"/>
    <col min="15608" max="15608" width="12.88671875" style="1" customWidth="1"/>
    <col min="15609" max="15609" width="11.109375" style="1" customWidth="1"/>
    <col min="15610" max="15610" width="14" style="1" customWidth="1"/>
    <col min="15611" max="15611" width="33" style="1" customWidth="1"/>
    <col min="15612" max="15612" width="6.6640625" style="1" customWidth="1"/>
    <col min="15613" max="15613" width="19" style="1" customWidth="1"/>
    <col min="15614" max="15614" width="19.109375" style="1" customWidth="1"/>
    <col min="15615" max="15615" width="21.33203125" style="1" customWidth="1"/>
    <col min="15616" max="15616" width="32.5546875" style="1" customWidth="1"/>
    <col min="15617" max="15617" width="16.88671875" style="1" customWidth="1"/>
    <col min="15618" max="15618" width="16.33203125" style="1" customWidth="1"/>
    <col min="15619" max="15849" width="10.33203125" style="1"/>
    <col min="15850" max="15850" width="4.44140625" style="1" customWidth="1"/>
    <col min="15851" max="15851" width="21.6640625" style="1" customWidth="1"/>
    <col min="15852" max="15852" width="15" style="1" customWidth="1"/>
    <col min="15853" max="15853" width="15.44140625" style="1" customWidth="1"/>
    <col min="15854" max="15854" width="11.5546875" style="1" customWidth="1"/>
    <col min="15855" max="15855" width="7.44140625" style="1" customWidth="1"/>
    <col min="15856" max="15856" width="14.109375" style="1" customWidth="1"/>
    <col min="15857" max="15857" width="10.6640625" style="1" customWidth="1"/>
    <col min="15858" max="15858" width="13.44140625" style="1" customWidth="1"/>
    <col min="15859" max="15859" width="11.44140625" style="1" customWidth="1"/>
    <col min="15860" max="15860" width="15" style="1" customWidth="1"/>
    <col min="15861" max="15861" width="14.5546875" style="1" customWidth="1"/>
    <col min="15862" max="15862" width="10.33203125" style="1"/>
    <col min="15863" max="15863" width="7.44140625" style="1" customWidth="1"/>
    <col min="15864" max="15864" width="12.88671875" style="1" customWidth="1"/>
    <col min="15865" max="15865" width="11.109375" style="1" customWidth="1"/>
    <col min="15866" max="15866" width="14" style="1" customWidth="1"/>
    <col min="15867" max="15867" width="33" style="1" customWidth="1"/>
    <col min="15868" max="15868" width="6.6640625" style="1" customWidth="1"/>
    <col min="15869" max="15869" width="19" style="1" customWidth="1"/>
    <col min="15870" max="15870" width="19.109375" style="1" customWidth="1"/>
    <col min="15871" max="15871" width="21.33203125" style="1" customWidth="1"/>
    <col min="15872" max="15872" width="32.5546875" style="1" customWidth="1"/>
    <col min="15873" max="15873" width="16.88671875" style="1" customWidth="1"/>
    <col min="15874" max="15874" width="16.33203125" style="1" customWidth="1"/>
    <col min="15875" max="16105" width="10.33203125" style="1"/>
    <col min="16106" max="16106" width="4.44140625" style="1" customWidth="1"/>
    <col min="16107" max="16107" width="21.6640625" style="1" customWidth="1"/>
    <col min="16108" max="16108" width="15" style="1" customWidth="1"/>
    <col min="16109" max="16109" width="15.44140625" style="1" customWidth="1"/>
    <col min="16110" max="16110" width="11.5546875" style="1" customWidth="1"/>
    <col min="16111" max="16111" width="7.44140625" style="1" customWidth="1"/>
    <col min="16112" max="16112" width="14.109375" style="1" customWidth="1"/>
    <col min="16113" max="16113" width="10.6640625" style="1" customWidth="1"/>
    <col min="16114" max="16114" width="13.44140625" style="1" customWidth="1"/>
    <col min="16115" max="16115" width="11.44140625" style="1" customWidth="1"/>
    <col min="16116" max="16116" width="15" style="1" customWidth="1"/>
    <col min="16117" max="16117" width="14.5546875" style="1" customWidth="1"/>
    <col min="16118" max="16118" width="10.33203125" style="1"/>
    <col min="16119" max="16119" width="7.44140625" style="1" customWidth="1"/>
    <col min="16120" max="16120" width="12.88671875" style="1" customWidth="1"/>
    <col min="16121" max="16121" width="11.109375" style="1" customWidth="1"/>
    <col min="16122" max="16122" width="14" style="1" customWidth="1"/>
    <col min="16123" max="16123" width="33" style="1" customWidth="1"/>
    <col min="16124" max="16124" width="6.6640625" style="1" customWidth="1"/>
    <col min="16125" max="16125" width="19" style="1" customWidth="1"/>
    <col min="16126" max="16126" width="19.109375" style="1" customWidth="1"/>
    <col min="16127" max="16127" width="21.33203125" style="1" customWidth="1"/>
    <col min="16128" max="16128" width="32.5546875" style="1" customWidth="1"/>
    <col min="16129" max="16129" width="16.88671875" style="1" customWidth="1"/>
    <col min="16130" max="16130" width="16.33203125" style="1" customWidth="1"/>
    <col min="16131" max="16384" width="10.33203125" style="1"/>
  </cols>
  <sheetData>
    <row r="1" spans="1:12" ht="24.6">
      <c r="A1" s="726" t="s">
        <v>0</v>
      </c>
      <c r="B1" s="726"/>
      <c r="C1" s="726"/>
      <c r="D1" s="726"/>
      <c r="E1" s="726"/>
      <c r="F1" s="726"/>
      <c r="G1" s="726"/>
    </row>
    <row r="2" spans="1:12" ht="24.6">
      <c r="A2" s="726" t="s">
        <v>1</v>
      </c>
      <c r="B2" s="726"/>
      <c r="C2" s="726"/>
      <c r="D2" s="726"/>
      <c r="E2" s="726"/>
      <c r="F2" s="726"/>
      <c r="G2" s="726"/>
    </row>
    <row r="3" spans="1:12" ht="24.6">
      <c r="A3" s="727" t="s">
        <v>349</v>
      </c>
      <c r="B3" s="727"/>
      <c r="C3" s="727"/>
      <c r="D3" s="727"/>
      <c r="E3" s="727"/>
      <c r="F3" s="727"/>
      <c r="G3" s="727"/>
    </row>
    <row r="4" spans="1:12" ht="24.6">
      <c r="A4" s="3" t="s">
        <v>3</v>
      </c>
      <c r="B4" s="3" t="s">
        <v>4</v>
      </c>
      <c r="C4" s="3" t="s">
        <v>5</v>
      </c>
      <c r="D4" s="261"/>
      <c r="E4" s="728" t="s">
        <v>9</v>
      </c>
      <c r="F4" s="729"/>
      <c r="G4" s="730"/>
    </row>
    <row r="5" spans="1:12" ht="24.6">
      <c r="A5" s="3"/>
      <c r="B5" s="13"/>
      <c r="C5" s="3"/>
      <c r="D5" s="9" t="s">
        <v>296</v>
      </c>
      <c r="E5" s="9" t="s">
        <v>21</v>
      </c>
      <c r="F5" s="9" t="s">
        <v>22</v>
      </c>
      <c r="G5" s="7"/>
    </row>
    <row r="6" spans="1:12" ht="24.6">
      <c r="A6" s="3"/>
      <c r="B6" s="3"/>
      <c r="C6" s="3"/>
      <c r="D6" s="18"/>
      <c r="E6" s="18"/>
      <c r="F6" s="18"/>
      <c r="G6" s="28" t="s">
        <v>26</v>
      </c>
    </row>
    <row r="7" spans="1:12" ht="24.6">
      <c r="A7" s="3"/>
      <c r="B7" s="45" t="s">
        <v>52</v>
      </c>
      <c r="C7" s="3"/>
      <c r="D7" s="18"/>
      <c r="E7" s="18"/>
      <c r="F7" s="18"/>
      <c r="G7" s="28"/>
    </row>
    <row r="8" spans="1:12" ht="24.6">
      <c r="A8" s="25">
        <v>1</v>
      </c>
      <c r="B8" s="29" t="s">
        <v>73</v>
      </c>
      <c r="C8" s="120">
        <v>84282</v>
      </c>
      <c r="D8" s="120"/>
      <c r="E8" s="122" t="s">
        <v>359</v>
      </c>
      <c r="F8" s="123">
        <v>1</v>
      </c>
      <c r="G8" s="72">
        <v>2430</v>
      </c>
    </row>
    <row r="9" spans="1:12" ht="24.6">
      <c r="A9" s="25">
        <v>2</v>
      </c>
      <c r="B9" s="29" t="s">
        <v>105</v>
      </c>
      <c r="C9" s="29"/>
      <c r="D9" s="29"/>
      <c r="E9" s="25" t="s">
        <v>359</v>
      </c>
      <c r="F9" s="25">
        <v>1</v>
      </c>
      <c r="G9" s="73">
        <v>5000</v>
      </c>
    </row>
    <row r="10" spans="1:12" ht="24.6">
      <c r="A10" s="25">
        <v>3</v>
      </c>
      <c r="B10" s="29" t="s">
        <v>105</v>
      </c>
      <c r="C10" s="29"/>
      <c r="D10" s="29"/>
      <c r="E10" s="126" t="s">
        <v>359</v>
      </c>
      <c r="F10" s="25">
        <v>1</v>
      </c>
      <c r="G10" s="73">
        <v>4650</v>
      </c>
    </row>
    <row r="11" spans="1:12" ht="25.2" thickBot="1">
      <c r="A11" s="29"/>
      <c r="B11" s="25" t="s">
        <v>26</v>
      </c>
      <c r="C11" s="74"/>
      <c r="D11" s="74"/>
      <c r="E11" s="78"/>
      <c r="F11" s="135"/>
      <c r="G11" s="136">
        <v>12080</v>
      </c>
      <c r="I11" s="175">
        <f>SUM(G8:G10)</f>
        <v>12080</v>
      </c>
    </row>
    <row r="12" spans="1:12" ht="25.2" thickTop="1">
      <c r="A12" s="29"/>
      <c r="B12" s="116" t="s">
        <v>117</v>
      </c>
      <c r="C12" s="46"/>
      <c r="D12" s="46"/>
      <c r="E12" s="28"/>
      <c r="F12" s="28"/>
      <c r="G12" s="140">
        <v>0</v>
      </c>
    </row>
    <row r="13" spans="1:12" ht="24.6">
      <c r="A13" s="25">
        <v>1</v>
      </c>
      <c r="B13" s="29" t="s">
        <v>132</v>
      </c>
      <c r="C13" s="29"/>
      <c r="D13" s="29"/>
      <c r="E13" s="25" t="s">
        <v>359</v>
      </c>
      <c r="F13" s="25">
        <v>1</v>
      </c>
      <c r="G13" s="72">
        <v>1100</v>
      </c>
    </row>
    <row r="14" spans="1:12" ht="24.6">
      <c r="A14" s="25">
        <v>2</v>
      </c>
      <c r="B14" s="29" t="s">
        <v>137</v>
      </c>
      <c r="C14" s="29"/>
      <c r="D14" s="29"/>
      <c r="E14" s="68" t="s">
        <v>359</v>
      </c>
      <c r="F14" s="25">
        <v>1</v>
      </c>
      <c r="G14" s="72">
        <v>5000</v>
      </c>
    </row>
    <row r="15" spans="1:12" ht="25.2" thickBot="1">
      <c r="A15" s="29"/>
      <c r="B15" s="25" t="s">
        <v>26</v>
      </c>
      <c r="C15" s="64"/>
      <c r="D15" s="64"/>
      <c r="E15" s="63"/>
      <c r="F15" s="105"/>
      <c r="G15" s="106">
        <v>6100</v>
      </c>
      <c r="I15" s="175">
        <f>SUM(G13:G14)</f>
        <v>6100</v>
      </c>
    </row>
    <row r="16" spans="1:12" ht="24.75" customHeight="1" thickTop="1">
      <c r="A16" s="14"/>
      <c r="B16" s="173"/>
      <c r="G16" s="174"/>
      <c r="K16" s="175">
        <f>SUM(I11:I15)</f>
        <v>18180</v>
      </c>
      <c r="L16" s="1" t="s">
        <v>269</v>
      </c>
    </row>
    <row r="17" spans="1:12" ht="24.75" customHeight="1">
      <c r="A17" s="731" t="s">
        <v>211</v>
      </c>
      <c r="B17" s="732"/>
      <c r="C17" s="732"/>
      <c r="D17" s="732"/>
      <c r="E17" s="732"/>
      <c r="F17" s="732"/>
      <c r="G17" s="732"/>
    </row>
    <row r="18" spans="1:12" ht="24.75" customHeight="1">
      <c r="A18" s="46">
        <v>1</v>
      </c>
      <c r="B18" s="180" t="s">
        <v>32</v>
      </c>
      <c r="C18" s="46" t="s">
        <v>104</v>
      </c>
      <c r="D18" s="46"/>
      <c r="E18" s="46" t="s">
        <v>350</v>
      </c>
      <c r="F18" s="28">
        <v>8</v>
      </c>
      <c r="G18" s="57">
        <v>37200</v>
      </c>
    </row>
    <row r="19" spans="1:12" ht="24" customHeight="1">
      <c r="A19" s="25">
        <v>2</v>
      </c>
      <c r="B19" s="29" t="s">
        <v>215</v>
      </c>
      <c r="C19" s="29" t="s">
        <v>104</v>
      </c>
      <c r="D19" s="46"/>
      <c r="E19" s="46" t="s">
        <v>350</v>
      </c>
      <c r="F19" s="25">
        <v>8</v>
      </c>
      <c r="G19" s="57">
        <v>46000</v>
      </c>
    </row>
    <row r="20" spans="1:12" ht="24" customHeight="1">
      <c r="A20" s="4">
        <v>3</v>
      </c>
      <c r="B20" s="53" t="s">
        <v>68</v>
      </c>
      <c r="C20" s="53">
        <v>268</v>
      </c>
      <c r="D20" s="109"/>
      <c r="E20" s="109" t="s">
        <v>377</v>
      </c>
      <c r="F20" s="4">
        <v>23</v>
      </c>
      <c r="G20" s="111">
        <v>27945</v>
      </c>
    </row>
    <row r="21" spans="1:12" ht="24.75" customHeight="1" thickBot="1">
      <c r="A21" s="34"/>
      <c r="B21" s="34" t="s">
        <v>26</v>
      </c>
      <c r="C21" s="74"/>
      <c r="D21" s="74"/>
      <c r="E21" s="74"/>
      <c r="F21" s="34"/>
      <c r="G21" s="110">
        <f>SUM(G18:G20)</f>
        <v>111145</v>
      </c>
      <c r="I21" s="175">
        <f>SUM(G18:G20)</f>
        <v>111145</v>
      </c>
      <c r="K21" s="264">
        <f>SUM(I21+K16)</f>
        <v>129325</v>
      </c>
      <c r="L21" s="1" t="s">
        <v>371</v>
      </c>
    </row>
    <row r="22" spans="1:12" ht="24.75" customHeight="1" thickTop="1">
      <c r="A22" s="14"/>
      <c r="B22" s="173"/>
      <c r="G22" s="174"/>
    </row>
    <row r="23" spans="1:12" ht="24.75" customHeight="1">
      <c r="A23" s="4"/>
      <c r="B23" s="188" t="s">
        <v>217</v>
      </c>
      <c r="C23" s="53"/>
      <c r="D23" s="53"/>
      <c r="E23" s="53"/>
      <c r="F23" s="4"/>
      <c r="G23" s="127"/>
    </row>
    <row r="24" spans="1:12" ht="24.75" customHeight="1">
      <c r="A24" s="199">
        <v>1</v>
      </c>
      <c r="B24" s="200" t="s">
        <v>85</v>
      </c>
      <c r="C24" s="203" t="s">
        <v>86</v>
      </c>
      <c r="D24" s="203"/>
      <c r="E24" s="203" t="s">
        <v>229</v>
      </c>
      <c r="F24" s="199">
        <v>7</v>
      </c>
      <c r="G24" s="210">
        <v>30800</v>
      </c>
    </row>
    <row r="25" spans="1:12" s="96" customFormat="1" ht="24.75" customHeight="1">
      <c r="A25" s="190"/>
      <c r="B25" s="191" t="s">
        <v>232</v>
      </c>
      <c r="C25" s="192" t="s">
        <v>194</v>
      </c>
      <c r="D25" s="192"/>
      <c r="E25" s="192"/>
      <c r="F25" s="190"/>
      <c r="G25" s="210">
        <v>64400</v>
      </c>
    </row>
    <row r="26" spans="1:12" ht="24.6">
      <c r="A26" s="199">
        <v>2</v>
      </c>
      <c r="B26" s="203" t="s">
        <v>32</v>
      </c>
      <c r="C26" s="222" t="s">
        <v>104</v>
      </c>
      <c r="D26" s="222"/>
      <c r="E26" s="199" t="s">
        <v>234</v>
      </c>
      <c r="F26" s="199">
        <v>4</v>
      </c>
      <c r="G26" s="210">
        <v>18600</v>
      </c>
    </row>
    <row r="27" spans="1:12" ht="24.6">
      <c r="A27" s="199">
        <v>3</v>
      </c>
      <c r="B27" s="203" t="s">
        <v>215</v>
      </c>
      <c r="C27" s="222" t="s">
        <v>104</v>
      </c>
      <c r="D27" s="222"/>
      <c r="E27" s="199" t="s">
        <v>236</v>
      </c>
      <c r="F27" s="199">
        <v>4</v>
      </c>
      <c r="G27" s="210">
        <v>23000</v>
      </c>
    </row>
    <row r="28" spans="1:12" ht="24.75" customHeight="1" thickBot="1">
      <c r="A28" s="34"/>
      <c r="B28" s="239"/>
      <c r="C28" s="74"/>
      <c r="D28" s="74"/>
      <c r="E28" s="110"/>
      <c r="F28" s="240"/>
      <c r="G28" s="171">
        <v>136800</v>
      </c>
      <c r="I28" s="175">
        <f>SUM(G24:G27)</f>
        <v>136800</v>
      </c>
      <c r="K28" s="264">
        <f>SUM(K21+I28)</f>
        <v>266125</v>
      </c>
      <c r="L28" s="1" t="s">
        <v>372</v>
      </c>
    </row>
    <row r="29" spans="1:12" ht="25.2" thickTop="1">
      <c r="A29" s="46"/>
      <c r="B29" s="161" t="s">
        <v>238</v>
      </c>
      <c r="C29" s="46"/>
      <c r="D29" s="46"/>
      <c r="E29" s="46"/>
      <c r="F29" s="28"/>
      <c r="G29" s="46"/>
    </row>
    <row r="30" spans="1:12" ht="24.6">
      <c r="A30" s="25">
        <v>1</v>
      </c>
      <c r="B30" s="53" t="s">
        <v>239</v>
      </c>
      <c r="C30" s="109"/>
      <c r="D30" s="109"/>
      <c r="E30" s="109" t="s">
        <v>240</v>
      </c>
      <c r="F30" s="115"/>
      <c r="G30" s="162">
        <v>0</v>
      </c>
    </row>
    <row r="31" spans="1:12" ht="24.6">
      <c r="A31" s="25"/>
      <c r="B31" s="29" t="s">
        <v>241</v>
      </c>
      <c r="C31" s="29"/>
      <c r="D31" s="29"/>
      <c r="E31" s="29" t="s">
        <v>242</v>
      </c>
      <c r="F31" s="25"/>
      <c r="G31" s="73">
        <v>133707.98000000001</v>
      </c>
    </row>
    <row r="32" spans="1:12" ht="24.6">
      <c r="A32" s="25"/>
      <c r="B32" s="29" t="s">
        <v>244</v>
      </c>
      <c r="C32" s="29"/>
      <c r="D32" s="29"/>
      <c r="E32" s="29"/>
      <c r="F32" s="25"/>
      <c r="G32" s="73">
        <v>73800</v>
      </c>
    </row>
    <row r="33" spans="1:12" ht="24.6">
      <c r="A33" s="25"/>
      <c r="B33" s="29" t="s">
        <v>245</v>
      </c>
      <c r="C33" s="29"/>
      <c r="D33" s="29"/>
      <c r="E33" s="29"/>
      <c r="F33" s="25"/>
      <c r="G33" s="73">
        <v>7596.82</v>
      </c>
    </row>
    <row r="34" spans="1:12" ht="24.6">
      <c r="A34" s="25"/>
      <c r="B34" s="29" t="s">
        <v>246</v>
      </c>
      <c r="C34" s="29"/>
      <c r="D34" s="53"/>
      <c r="E34" s="53"/>
      <c r="F34" s="4"/>
      <c r="G34" s="49"/>
    </row>
    <row r="35" spans="1:12" ht="24.6">
      <c r="A35" s="4"/>
      <c r="B35" s="53"/>
      <c r="C35" s="273" t="s">
        <v>247</v>
      </c>
      <c r="D35" s="273"/>
      <c r="E35" s="53"/>
      <c r="F35" s="4"/>
      <c r="G35" s="162"/>
    </row>
    <row r="36" spans="1:12" s="96" customFormat="1" ht="24.75" customHeight="1">
      <c r="A36" s="86">
        <v>2</v>
      </c>
      <c r="B36" s="274" t="s">
        <v>68</v>
      </c>
      <c r="C36" s="87">
        <v>268</v>
      </c>
      <c r="D36" s="87"/>
      <c r="E36" s="86" t="s">
        <v>378</v>
      </c>
      <c r="F36" s="86">
        <v>80</v>
      </c>
      <c r="G36" s="277">
        <v>133752.76</v>
      </c>
    </row>
    <row r="37" spans="1:12" ht="24.75" customHeight="1">
      <c r="A37" s="25"/>
      <c r="B37" s="119" t="s">
        <v>221</v>
      </c>
      <c r="C37" s="278" t="s">
        <v>222</v>
      </c>
      <c r="D37" s="278"/>
      <c r="E37" s="29"/>
      <c r="F37" s="25" t="s">
        <v>172</v>
      </c>
      <c r="G37" s="73">
        <v>19700</v>
      </c>
    </row>
    <row r="38" spans="1:12" ht="24.75" customHeight="1">
      <c r="A38" s="25"/>
      <c r="B38" s="278"/>
      <c r="C38" s="278" t="s">
        <v>223</v>
      </c>
      <c r="D38" s="278"/>
      <c r="E38" s="29"/>
      <c r="F38" s="25" t="s">
        <v>172</v>
      </c>
      <c r="G38" s="73">
        <v>19700</v>
      </c>
    </row>
    <row r="39" spans="1:12" ht="24.75" customHeight="1">
      <c r="A39" s="25"/>
      <c r="B39" s="278"/>
      <c r="C39" s="278" t="s">
        <v>224</v>
      </c>
      <c r="D39" s="278"/>
      <c r="E39" s="29"/>
      <c r="F39" s="25" t="s">
        <v>172</v>
      </c>
      <c r="G39" s="73">
        <v>19700</v>
      </c>
    </row>
    <row r="40" spans="1:12" ht="24.75" customHeight="1">
      <c r="A40" s="25">
        <v>3</v>
      </c>
      <c r="B40" s="119" t="s">
        <v>225</v>
      </c>
      <c r="C40" s="29"/>
      <c r="D40" s="29"/>
      <c r="E40" s="25" t="s">
        <v>226</v>
      </c>
      <c r="F40" s="25">
        <v>88</v>
      </c>
      <c r="G40" s="73">
        <v>304935.7</v>
      </c>
    </row>
    <row r="41" spans="1:12" ht="25.2" thickBot="1">
      <c r="A41" s="25"/>
      <c r="B41" s="29"/>
      <c r="C41" s="29"/>
      <c r="D41" s="53"/>
      <c r="E41" s="74"/>
      <c r="F41" s="34"/>
      <c r="G41" s="171"/>
    </row>
    <row r="42" spans="1:12" s="249" customFormat="1" ht="25.8" thickTop="1" thickBot="1">
      <c r="A42" s="134"/>
      <c r="B42" s="246" t="s">
        <v>26</v>
      </c>
      <c r="C42" s="103"/>
      <c r="D42" s="103"/>
      <c r="E42" s="103"/>
      <c r="F42" s="247"/>
      <c r="G42" s="103">
        <v>712893.26</v>
      </c>
      <c r="I42" s="249">
        <f>SUM(G30:G40)</f>
        <v>712893.26</v>
      </c>
    </row>
    <row r="43" spans="1:12" ht="25.8" thickTop="1" thickBot="1">
      <c r="A43" s="29"/>
      <c r="B43" s="25" t="s">
        <v>248</v>
      </c>
      <c r="C43" s="64"/>
      <c r="D43" s="64"/>
      <c r="E43" s="63"/>
      <c r="F43" s="105"/>
      <c r="G43" s="63">
        <v>979018.26</v>
      </c>
      <c r="K43" s="264">
        <f>SUM(K28+I42)</f>
        <v>979018.26</v>
      </c>
      <c r="L43" s="1" t="s">
        <v>373</v>
      </c>
    </row>
    <row r="44" spans="1:12" ht="25.2" thickTop="1"/>
    <row r="45" spans="1:12" ht="24.6">
      <c r="G45" s="249"/>
    </row>
    <row r="46" spans="1:12" ht="24.6">
      <c r="G46" s="249"/>
    </row>
    <row r="47" spans="1:12" ht="24.6">
      <c r="G47" s="249"/>
    </row>
    <row r="48" spans="1:12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</sheetData>
  <mergeCells count="5">
    <mergeCell ref="A17:G17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A70-80C2-454A-B02C-9C4185352739}">
  <sheetPr>
    <tabColor rgb="FF00B0F0"/>
  </sheetPr>
  <dimension ref="A1:K813"/>
  <sheetViews>
    <sheetView zoomScale="90" zoomScaleNormal="90" zoomScaleSheetLayoutView="87" workbookViewId="0">
      <pane ySplit="6" topLeftCell="A28" activePane="bottomLeft" state="frozen"/>
      <selection activeCell="I147" sqref="I147"/>
      <selection pane="bottomLeft" activeCell="L34" sqref="L34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8" width="12.109375" style="1" bestFit="1" customWidth="1"/>
    <col min="9" max="9" width="10.33203125" style="1"/>
    <col min="10" max="10" width="11.88671875" style="1" bestFit="1" customWidth="1"/>
    <col min="11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11" ht="24.6">
      <c r="A1" s="726" t="s">
        <v>0</v>
      </c>
      <c r="B1" s="726"/>
      <c r="C1" s="726"/>
      <c r="D1" s="726"/>
      <c r="E1" s="726"/>
      <c r="F1" s="726"/>
    </row>
    <row r="2" spans="1:11" ht="24.6">
      <c r="A2" s="726" t="s">
        <v>1</v>
      </c>
      <c r="B2" s="726"/>
      <c r="C2" s="726"/>
      <c r="D2" s="726"/>
      <c r="E2" s="726"/>
      <c r="F2" s="726"/>
    </row>
    <row r="3" spans="1:11" ht="24.6">
      <c r="A3" s="727" t="s">
        <v>349</v>
      </c>
      <c r="B3" s="727"/>
      <c r="C3" s="727"/>
      <c r="D3" s="727"/>
      <c r="E3" s="727"/>
      <c r="F3" s="727"/>
    </row>
    <row r="4" spans="1:11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11" ht="24.6">
      <c r="A5" s="3"/>
      <c r="B5" s="13"/>
      <c r="C5" s="3"/>
      <c r="D5" s="9" t="s">
        <v>21</v>
      </c>
      <c r="E5" s="9" t="s">
        <v>22</v>
      </c>
      <c r="F5" s="7"/>
    </row>
    <row r="6" spans="1:11" ht="24.6">
      <c r="A6" s="3"/>
      <c r="B6" s="3"/>
      <c r="C6" s="3"/>
      <c r="D6" s="18"/>
      <c r="E6" s="18"/>
      <c r="F6" s="28" t="s">
        <v>26</v>
      </c>
    </row>
    <row r="7" spans="1:11" ht="24.6">
      <c r="A7" s="3"/>
      <c r="B7" s="279" t="s">
        <v>273</v>
      </c>
      <c r="C7" s="3"/>
      <c r="D7" s="18"/>
      <c r="E7" s="18"/>
      <c r="F7" s="28"/>
    </row>
    <row r="8" spans="1:11" ht="24.6">
      <c r="A8" s="25">
        <v>1</v>
      </c>
      <c r="B8" s="29" t="s">
        <v>73</v>
      </c>
      <c r="C8" s="120">
        <v>84282</v>
      </c>
      <c r="D8" s="122" t="s">
        <v>359</v>
      </c>
      <c r="E8" s="123">
        <v>1</v>
      </c>
      <c r="F8" s="72">
        <v>2430</v>
      </c>
    </row>
    <row r="9" spans="1:11" ht="24.6">
      <c r="A9" s="25">
        <v>2</v>
      </c>
      <c r="B9" s="29" t="s">
        <v>105</v>
      </c>
      <c r="C9" s="29"/>
      <c r="D9" s="25" t="s">
        <v>359</v>
      </c>
      <c r="E9" s="25">
        <v>1</v>
      </c>
      <c r="F9" s="73">
        <v>5000</v>
      </c>
    </row>
    <row r="10" spans="1:11" ht="24.6">
      <c r="A10" s="25">
        <v>3</v>
      </c>
      <c r="B10" s="29" t="s">
        <v>105</v>
      </c>
      <c r="C10" s="29"/>
      <c r="D10" s="126" t="s">
        <v>359</v>
      </c>
      <c r="E10" s="25">
        <v>1</v>
      </c>
      <c r="F10" s="73">
        <v>4650</v>
      </c>
    </row>
    <row r="11" spans="1:11" ht="24.6">
      <c r="A11" s="25">
        <v>4</v>
      </c>
      <c r="B11" s="29" t="s">
        <v>132</v>
      </c>
      <c r="C11" s="29"/>
      <c r="D11" s="25" t="s">
        <v>359</v>
      </c>
      <c r="E11" s="25">
        <v>1</v>
      </c>
      <c r="F11" s="72">
        <v>1100</v>
      </c>
    </row>
    <row r="12" spans="1:11" ht="24.6">
      <c r="A12" s="25">
        <v>5</v>
      </c>
      <c r="B12" s="29" t="s">
        <v>137</v>
      </c>
      <c r="C12" s="29"/>
      <c r="D12" s="68" t="s">
        <v>359</v>
      </c>
      <c r="E12" s="25">
        <v>1</v>
      </c>
      <c r="F12" s="72">
        <v>5000</v>
      </c>
    </row>
    <row r="13" spans="1:11" ht="25.2" thickBot="1">
      <c r="A13" s="29"/>
      <c r="B13" s="25" t="s">
        <v>26</v>
      </c>
      <c r="C13" s="64"/>
      <c r="D13" s="63"/>
      <c r="E13" s="105"/>
      <c r="F13" s="106">
        <f>SUM(F8:F12)</f>
        <v>18180</v>
      </c>
      <c r="H13" s="175"/>
    </row>
    <row r="14" spans="1:11" ht="24.75" customHeight="1" thickTop="1">
      <c r="A14" s="14"/>
      <c r="B14" s="173"/>
      <c r="F14" s="174"/>
      <c r="J14" s="175">
        <f>SUM(F8:F12)</f>
        <v>18180</v>
      </c>
      <c r="K14" s="1" t="s">
        <v>269</v>
      </c>
    </row>
    <row r="15" spans="1:11" ht="24.75" customHeight="1">
      <c r="A15" s="731" t="s">
        <v>211</v>
      </c>
      <c r="B15" s="732"/>
      <c r="C15" s="732"/>
      <c r="D15" s="732"/>
      <c r="E15" s="732"/>
      <c r="F15" s="732"/>
    </row>
    <row r="16" spans="1:11" ht="24.75" customHeight="1">
      <c r="A16" s="46">
        <v>1</v>
      </c>
      <c r="B16" s="180" t="s">
        <v>32</v>
      </c>
      <c r="C16" s="46" t="s">
        <v>104</v>
      </c>
      <c r="D16" s="46" t="s">
        <v>350</v>
      </c>
      <c r="E16" s="28">
        <v>8</v>
      </c>
      <c r="F16" s="57">
        <v>37200</v>
      </c>
    </row>
    <row r="17" spans="1:11" ht="24" customHeight="1">
      <c r="A17" s="25">
        <v>2</v>
      </c>
      <c r="B17" s="29" t="s">
        <v>215</v>
      </c>
      <c r="C17" s="29" t="s">
        <v>104</v>
      </c>
      <c r="D17" s="46" t="s">
        <v>350</v>
      </c>
      <c r="E17" s="25">
        <v>8</v>
      </c>
      <c r="F17" s="57">
        <v>46000</v>
      </c>
    </row>
    <row r="18" spans="1:11" ht="24" customHeight="1">
      <c r="A18" s="4">
        <v>3</v>
      </c>
      <c r="B18" s="53" t="s">
        <v>68</v>
      </c>
      <c r="C18" s="53">
        <v>268</v>
      </c>
      <c r="D18" s="109" t="s">
        <v>377</v>
      </c>
      <c r="E18" s="4">
        <v>23</v>
      </c>
      <c r="F18" s="111">
        <v>27945</v>
      </c>
    </row>
    <row r="19" spans="1:11" ht="24.75" customHeight="1" thickBot="1">
      <c r="A19" s="34"/>
      <c r="B19" s="34" t="s">
        <v>26</v>
      </c>
      <c r="C19" s="74"/>
      <c r="D19" s="74"/>
      <c r="E19" s="34"/>
      <c r="F19" s="110">
        <f>SUM(F16:F18)</f>
        <v>111145</v>
      </c>
      <c r="H19" s="175">
        <f>SUM(F16:F18)</f>
        <v>111145</v>
      </c>
      <c r="J19" s="264">
        <f>SUM(H19+J14)</f>
        <v>129325</v>
      </c>
      <c r="K19" s="1" t="s">
        <v>371</v>
      </c>
    </row>
    <row r="20" spans="1:11" ht="24.75" customHeight="1" thickTop="1">
      <c r="A20" s="14"/>
      <c r="B20" s="173"/>
      <c r="F20" s="174"/>
    </row>
    <row r="21" spans="1:11" ht="24.75" customHeight="1">
      <c r="A21" s="4"/>
      <c r="B21" s="188" t="s">
        <v>217</v>
      </c>
      <c r="C21" s="53"/>
      <c r="D21" s="53"/>
      <c r="E21" s="4"/>
      <c r="F21" s="127"/>
    </row>
    <row r="22" spans="1:11" ht="24.75" customHeight="1">
      <c r="A22" s="199">
        <v>1</v>
      </c>
      <c r="B22" s="200" t="s">
        <v>85</v>
      </c>
      <c r="C22" s="203" t="s">
        <v>86</v>
      </c>
      <c r="D22" s="203" t="s">
        <v>229</v>
      </c>
      <c r="E22" s="199">
        <v>7</v>
      </c>
      <c r="F22" s="210">
        <v>30800</v>
      </c>
    </row>
    <row r="23" spans="1:11" s="96" customFormat="1" ht="24.75" customHeight="1">
      <c r="A23" s="190"/>
      <c r="B23" s="191" t="s">
        <v>232</v>
      </c>
      <c r="C23" s="192" t="s">
        <v>194</v>
      </c>
      <c r="D23" s="192"/>
      <c r="E23" s="190"/>
      <c r="F23" s="210">
        <v>64400</v>
      </c>
    </row>
    <row r="24" spans="1:11" ht="24.6">
      <c r="A24" s="199">
        <v>2</v>
      </c>
      <c r="B24" s="203" t="s">
        <v>32</v>
      </c>
      <c r="C24" s="222" t="s">
        <v>104</v>
      </c>
      <c r="D24" s="199" t="s">
        <v>234</v>
      </c>
      <c r="E24" s="199">
        <v>4</v>
      </c>
      <c r="F24" s="210">
        <v>18600</v>
      </c>
    </row>
    <row r="25" spans="1:11" ht="24.6">
      <c r="A25" s="199">
        <v>3</v>
      </c>
      <c r="B25" s="203" t="s">
        <v>215</v>
      </c>
      <c r="C25" s="222" t="s">
        <v>104</v>
      </c>
      <c r="D25" s="199" t="s">
        <v>236</v>
      </c>
      <c r="E25" s="199">
        <v>4</v>
      </c>
      <c r="F25" s="210">
        <v>23000</v>
      </c>
    </row>
    <row r="26" spans="1:11" ht="24.75" customHeight="1" thickBot="1">
      <c r="A26" s="34"/>
      <c r="B26" s="239"/>
      <c r="C26" s="74"/>
      <c r="D26" s="110"/>
      <c r="E26" s="240"/>
      <c r="F26" s="171">
        <v>136800</v>
      </c>
      <c r="H26" s="175">
        <f>SUM(F22:F25)</f>
        <v>136800</v>
      </c>
      <c r="J26" s="264">
        <f>SUM(J19+H26)</f>
        <v>266125</v>
      </c>
      <c r="K26" s="1" t="s">
        <v>372</v>
      </c>
    </row>
    <row r="27" spans="1:11" ht="25.2" thickTop="1">
      <c r="A27" s="46"/>
      <c r="B27" s="161" t="s">
        <v>238</v>
      </c>
      <c r="C27" s="46"/>
      <c r="D27" s="46"/>
      <c r="E27" s="28"/>
      <c r="F27" s="46"/>
    </row>
    <row r="28" spans="1:11" ht="24.6">
      <c r="A28" s="25">
        <v>1</v>
      </c>
      <c r="B28" s="53" t="s">
        <v>239</v>
      </c>
      <c r="C28" s="109"/>
      <c r="D28" s="109" t="s">
        <v>240</v>
      </c>
      <c r="E28" s="115"/>
      <c r="F28" s="162">
        <v>0</v>
      </c>
    </row>
    <row r="29" spans="1:11" ht="24.6">
      <c r="A29" s="25"/>
      <c r="B29" s="29" t="s">
        <v>241</v>
      </c>
      <c r="C29" s="29"/>
      <c r="D29" s="29" t="s">
        <v>242</v>
      </c>
      <c r="E29" s="25"/>
      <c r="F29" s="73">
        <v>133707.98000000001</v>
      </c>
    </row>
    <row r="30" spans="1:11" ht="24.6">
      <c r="A30" s="25"/>
      <c r="B30" s="29" t="s">
        <v>244</v>
      </c>
      <c r="C30" s="29"/>
      <c r="D30" s="29"/>
      <c r="E30" s="25"/>
      <c r="F30" s="73">
        <v>73800</v>
      </c>
    </row>
    <row r="31" spans="1:11" ht="24.6">
      <c r="A31" s="25"/>
      <c r="B31" s="29" t="s">
        <v>245</v>
      </c>
      <c r="C31" s="29"/>
      <c r="D31" s="29"/>
      <c r="E31" s="25"/>
      <c r="F31" s="73">
        <v>7596.82</v>
      </c>
    </row>
    <row r="32" spans="1:11" ht="24.6">
      <c r="A32" s="25"/>
      <c r="B32" s="29" t="s">
        <v>246</v>
      </c>
      <c r="C32" s="29"/>
      <c r="D32" s="53"/>
      <c r="E32" s="4"/>
      <c r="F32" s="49"/>
    </row>
    <row r="33" spans="1:11" ht="24.6">
      <c r="A33" s="4"/>
      <c r="B33" s="53"/>
      <c r="C33" s="273" t="s">
        <v>247</v>
      </c>
      <c r="D33" s="53"/>
      <c r="E33" s="4"/>
      <c r="F33" s="162"/>
    </row>
    <row r="34" spans="1:11" s="96" customFormat="1" ht="24.75" customHeight="1">
      <c r="A34" s="86">
        <v>2</v>
      </c>
      <c r="B34" s="274" t="s">
        <v>68</v>
      </c>
      <c r="C34" s="87">
        <v>268</v>
      </c>
      <c r="D34" s="86" t="s">
        <v>378</v>
      </c>
      <c r="E34" s="86">
        <v>80</v>
      </c>
      <c r="F34" s="277">
        <v>133752.76</v>
      </c>
    </row>
    <row r="35" spans="1:11" ht="24.75" customHeight="1">
      <c r="A35" s="25"/>
      <c r="B35" s="119" t="s">
        <v>221</v>
      </c>
      <c r="C35" s="278" t="s">
        <v>222</v>
      </c>
      <c r="D35" s="29"/>
      <c r="E35" s="25" t="s">
        <v>172</v>
      </c>
      <c r="F35" s="73">
        <v>19700</v>
      </c>
    </row>
    <row r="36" spans="1:11" ht="24.75" customHeight="1">
      <c r="A36" s="25"/>
      <c r="B36" s="278"/>
      <c r="C36" s="278" t="s">
        <v>223</v>
      </c>
      <c r="D36" s="29"/>
      <c r="E36" s="25" t="s">
        <v>172</v>
      </c>
      <c r="F36" s="73">
        <v>19700</v>
      </c>
    </row>
    <row r="37" spans="1:11" ht="24.75" customHeight="1">
      <c r="A37" s="25"/>
      <c r="B37" s="278"/>
      <c r="C37" s="278" t="s">
        <v>224</v>
      </c>
      <c r="D37" s="29"/>
      <c r="E37" s="25" t="s">
        <v>172</v>
      </c>
      <c r="F37" s="73">
        <v>19700</v>
      </c>
    </row>
    <row r="38" spans="1:11" ht="24.75" customHeight="1">
      <c r="A38" s="25">
        <v>3</v>
      </c>
      <c r="B38" s="119" t="s">
        <v>225</v>
      </c>
      <c r="C38" s="29"/>
      <c r="D38" s="25" t="s">
        <v>226</v>
      </c>
      <c r="E38" s="25">
        <v>88</v>
      </c>
      <c r="F38" s="73">
        <v>304935.7</v>
      </c>
    </row>
    <row r="39" spans="1:11" ht="25.2" thickBot="1">
      <c r="A39" s="25"/>
      <c r="B39" s="29"/>
      <c r="C39" s="29"/>
      <c r="D39" s="74"/>
      <c r="E39" s="34"/>
      <c r="F39" s="171"/>
    </row>
    <row r="40" spans="1:11" s="249" customFormat="1" ht="25.8" thickTop="1" thickBot="1">
      <c r="A40" s="134"/>
      <c r="B40" s="246" t="s">
        <v>26</v>
      </c>
      <c r="C40" s="103"/>
      <c r="D40" s="103"/>
      <c r="E40" s="247"/>
      <c r="F40" s="103">
        <v>712893.26</v>
      </c>
      <c r="H40" s="249">
        <f>SUM(F28:F38)</f>
        <v>712893.26</v>
      </c>
    </row>
    <row r="41" spans="1:11" ht="25.8" thickTop="1" thickBot="1">
      <c r="A41" s="29"/>
      <c r="B41" s="25" t="s">
        <v>248</v>
      </c>
      <c r="C41" s="64"/>
      <c r="D41" s="63"/>
      <c r="E41" s="105"/>
      <c r="F41" s="63">
        <v>979018.26</v>
      </c>
      <c r="J41" s="264">
        <f>SUM(J26+H40)</f>
        <v>979018.26</v>
      </c>
      <c r="K41" s="1" t="s">
        <v>373</v>
      </c>
    </row>
    <row r="42" spans="1:11" ht="25.2" thickTop="1"/>
    <row r="43" spans="1:11" ht="24.6">
      <c r="F43" s="249"/>
    </row>
    <row r="44" spans="1:11" ht="24.6">
      <c r="F44" s="249"/>
    </row>
    <row r="45" spans="1:11" ht="24.6">
      <c r="F45" s="249"/>
    </row>
    <row r="46" spans="1:11" ht="24.6"/>
    <row r="47" spans="1:11" ht="24.6"/>
    <row r="48" spans="1:11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</sheetData>
  <mergeCells count="5">
    <mergeCell ref="A1:F1"/>
    <mergeCell ref="A2:F2"/>
    <mergeCell ref="A3:F3"/>
    <mergeCell ref="D4:F4"/>
    <mergeCell ref="A15:F15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280A-3E91-4297-B1D4-1DEBAB2271DC}">
  <sheetPr>
    <tabColor rgb="FF92D050"/>
  </sheetPr>
  <dimension ref="A1:AD983"/>
  <sheetViews>
    <sheetView zoomScale="90" zoomScaleNormal="90" zoomScaleSheetLayoutView="87" workbookViewId="0">
      <pane ySplit="6" topLeftCell="A200" activePane="bottomLeft" state="frozen"/>
      <selection activeCell="I147" sqref="I147"/>
      <selection pane="bottomLeft" activeCell="G205" sqref="G205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324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5.75" hidden="1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25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hidden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hidden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hidden="1">
      <c r="A12" s="25"/>
      <c r="B12" s="29"/>
      <c r="C12" s="29"/>
      <c r="D12" s="49"/>
      <c r="E12" s="25"/>
      <c r="F12" s="25"/>
      <c r="G12" s="49"/>
      <c r="H12" s="49"/>
      <c r="I12" s="49"/>
      <c r="J12" s="26"/>
      <c r="K12" s="16"/>
      <c r="L12" s="51"/>
      <c r="M12" s="25"/>
      <c r="N12" s="25"/>
      <c r="O12" s="52"/>
      <c r="P12" s="52"/>
      <c r="Q12" s="52"/>
      <c r="R12" s="53"/>
    </row>
    <row r="13" spans="1:30" ht="25.8" hidden="1" thickTop="1" thickBot="1">
      <c r="A13" s="29"/>
      <c r="B13" s="25" t="s">
        <v>26</v>
      </c>
      <c r="C13" s="29"/>
      <c r="D13" s="54">
        <v>0</v>
      </c>
      <c r="E13" s="54"/>
      <c r="F13" s="54"/>
      <c r="G13" s="54">
        <v>0</v>
      </c>
      <c r="H13" s="54">
        <v>0</v>
      </c>
      <c r="I13" s="54">
        <v>0</v>
      </c>
      <c r="J13" s="55"/>
      <c r="K13" s="55"/>
      <c r="L13" s="55"/>
      <c r="M13" s="54"/>
      <c r="N13" s="56"/>
      <c r="O13" s="54">
        <v>0</v>
      </c>
      <c r="P13" s="54">
        <v>0</v>
      </c>
      <c r="Q13" s="54">
        <v>0</v>
      </c>
      <c r="R13" s="29"/>
    </row>
    <row r="14" spans="1:30" ht="24.6" hidden="1">
      <c r="A14" s="29"/>
      <c r="B14" s="45" t="s">
        <v>33</v>
      </c>
      <c r="C14" s="29"/>
      <c r="D14" s="57"/>
      <c r="E14" s="46"/>
      <c r="F14" s="46"/>
      <c r="G14" s="57"/>
      <c r="H14" s="57"/>
      <c r="I14" s="57"/>
      <c r="J14" s="47"/>
      <c r="K14" s="48"/>
      <c r="L14" s="58"/>
      <c r="M14" s="46"/>
      <c r="N14" s="28"/>
      <c r="O14" s="57"/>
      <c r="P14" s="57"/>
      <c r="Q14" s="57"/>
      <c r="R14" s="46"/>
    </row>
    <row r="15" spans="1:30" ht="24.6" hidden="1">
      <c r="A15" s="25"/>
      <c r="B15" s="25"/>
      <c r="C15" s="29"/>
      <c r="D15" s="59"/>
      <c r="E15" s="29"/>
      <c r="F15" s="29"/>
      <c r="G15" s="59" t="s">
        <v>34</v>
      </c>
      <c r="H15" s="59" t="s">
        <v>34</v>
      </c>
      <c r="I15" s="59" t="s">
        <v>34</v>
      </c>
      <c r="J15" s="60"/>
      <c r="K15" s="61"/>
      <c r="L15" s="62"/>
      <c r="M15" s="29"/>
      <c r="N15" s="25"/>
      <c r="O15" s="59" t="s">
        <v>34</v>
      </c>
      <c r="P15" s="59" t="s">
        <v>34</v>
      </c>
      <c r="Q15" s="59" t="s">
        <v>34</v>
      </c>
      <c r="R15" s="29"/>
    </row>
    <row r="16" spans="1:30" ht="25.2" hidden="1" thickBot="1">
      <c r="A16" s="29"/>
      <c r="B16" s="25" t="s">
        <v>26</v>
      </c>
      <c r="C16" s="29"/>
      <c r="D16" s="63">
        <v>0</v>
      </c>
      <c r="E16" s="64"/>
      <c r="F16" s="64"/>
      <c r="G16" s="63">
        <v>0</v>
      </c>
      <c r="H16" s="63">
        <v>0</v>
      </c>
      <c r="I16" s="63">
        <v>0</v>
      </c>
      <c r="J16" s="65"/>
      <c r="K16" s="66"/>
      <c r="L16" s="67"/>
      <c r="M16" s="64"/>
      <c r="N16" s="41"/>
      <c r="O16" s="63">
        <v>0</v>
      </c>
      <c r="P16" s="63">
        <v>0</v>
      </c>
      <c r="Q16" s="63">
        <v>0</v>
      </c>
      <c r="R16" s="29"/>
      <c r="V16" s="49"/>
    </row>
    <row r="17" spans="1:20" ht="24.6">
      <c r="A17" s="29"/>
      <c r="B17" s="45" t="s">
        <v>35</v>
      </c>
      <c r="C17" s="29"/>
      <c r="D17" s="46"/>
      <c r="E17" s="46"/>
      <c r="F17" s="46"/>
      <c r="G17" s="46"/>
      <c r="H17" s="46"/>
      <c r="I17" s="46"/>
      <c r="J17" s="47"/>
      <c r="K17" s="48"/>
      <c r="L17" s="48"/>
      <c r="M17" s="46"/>
      <c r="N17" s="28"/>
      <c r="O17" s="46"/>
      <c r="P17" s="46"/>
      <c r="Q17" s="46"/>
      <c r="R17" s="46"/>
    </row>
    <row r="18" spans="1:20" ht="24.6">
      <c r="A18" s="25">
        <v>1</v>
      </c>
      <c r="B18" s="29" t="s">
        <v>36</v>
      </c>
      <c r="C18" s="29"/>
      <c r="D18" s="49">
        <v>0</v>
      </c>
      <c r="E18" s="68"/>
      <c r="F18" s="25"/>
      <c r="G18" s="59">
        <v>0</v>
      </c>
      <c r="H18" s="59">
        <v>0</v>
      </c>
      <c r="I18" s="59">
        <v>0</v>
      </c>
      <c r="J18" s="69"/>
      <c r="K18" s="70"/>
      <c r="L18" s="71"/>
      <c r="M18" s="68"/>
      <c r="N18" s="25"/>
      <c r="O18" s="72">
        <v>0</v>
      </c>
      <c r="P18" s="73">
        <v>0</v>
      </c>
      <c r="Q18" s="73">
        <v>0</v>
      </c>
      <c r="R18" s="29"/>
    </row>
    <row r="19" spans="1:20" ht="25.2" thickBot="1">
      <c r="A19" s="29"/>
      <c r="B19" s="29"/>
      <c r="C19" s="29"/>
      <c r="D19" s="74"/>
      <c r="E19" s="74"/>
      <c r="F19" s="74"/>
      <c r="G19" s="34"/>
      <c r="H19" s="74"/>
      <c r="I19" s="74"/>
      <c r="J19" s="75"/>
      <c r="K19" s="76"/>
      <c r="L19" s="77"/>
      <c r="M19" s="74"/>
      <c r="N19" s="34"/>
      <c r="O19" s="74"/>
      <c r="P19" s="74"/>
      <c r="Q19" s="74"/>
      <c r="R19" s="53"/>
    </row>
    <row r="20" spans="1:20" ht="25.8" thickTop="1" thickBot="1">
      <c r="A20" s="29"/>
      <c r="B20" s="25" t="s">
        <v>26</v>
      </c>
      <c r="C20" s="29"/>
      <c r="D20" s="54">
        <v>0</v>
      </c>
      <c r="E20" s="54"/>
      <c r="F20" s="54"/>
      <c r="G20" s="54">
        <v>0</v>
      </c>
      <c r="H20" s="54">
        <v>0</v>
      </c>
      <c r="I20" s="54">
        <v>0</v>
      </c>
      <c r="J20" s="55"/>
      <c r="K20" s="55"/>
      <c r="L20" s="55"/>
      <c r="M20" s="54"/>
      <c r="N20" s="56"/>
      <c r="O20" s="54">
        <v>0</v>
      </c>
      <c r="P20" s="54">
        <v>0</v>
      </c>
      <c r="Q20" s="54">
        <v>0</v>
      </c>
      <c r="R20" s="53"/>
    </row>
    <row r="21" spans="1:20" ht="25.2" hidden="1" thickTop="1">
      <c r="A21" s="29"/>
      <c r="B21" s="45" t="s">
        <v>37</v>
      </c>
      <c r="C21" s="29"/>
      <c r="D21" s="57"/>
      <c r="E21" s="46"/>
      <c r="F21" s="46"/>
      <c r="G21" s="57"/>
      <c r="H21" s="57"/>
      <c r="I21" s="57"/>
      <c r="J21" s="47"/>
      <c r="K21" s="48"/>
      <c r="L21" s="58"/>
      <c r="M21" s="46"/>
      <c r="N21" s="28"/>
      <c r="O21" s="57"/>
      <c r="P21" s="57"/>
      <c r="Q21" s="57"/>
      <c r="R21" s="29"/>
    </row>
    <row r="22" spans="1:20" ht="25.8" hidden="1" thickTop="1" thickBot="1">
      <c r="A22" s="25">
        <v>1</v>
      </c>
      <c r="B22" s="25"/>
      <c r="C22" s="29"/>
      <c r="D22" s="78"/>
      <c r="E22" s="74"/>
      <c r="F22" s="74"/>
      <c r="G22" s="78"/>
      <c r="H22" s="78"/>
      <c r="I22" s="78"/>
      <c r="J22" s="75"/>
      <c r="K22" s="76"/>
      <c r="L22" s="77"/>
      <c r="M22" s="74"/>
      <c r="N22" s="34"/>
      <c r="O22" s="78"/>
      <c r="P22" s="78"/>
      <c r="Q22" s="78"/>
      <c r="R22" s="29"/>
    </row>
    <row r="23" spans="1:20" ht="25.8" hidden="1" thickTop="1" thickBot="1">
      <c r="A23" s="25"/>
      <c r="B23" s="25" t="s">
        <v>26</v>
      </c>
      <c r="C23" s="29"/>
      <c r="D23" s="54"/>
      <c r="E23" s="79"/>
      <c r="F23" s="79"/>
      <c r="G23" s="54"/>
      <c r="H23" s="54"/>
      <c r="I23" s="54"/>
      <c r="J23" s="80"/>
      <c r="K23" s="81"/>
      <c r="L23" s="55"/>
      <c r="M23" s="79"/>
      <c r="N23" s="82"/>
      <c r="O23" s="54"/>
      <c r="P23" s="54"/>
      <c r="Q23" s="54"/>
      <c r="R23" s="46"/>
    </row>
    <row r="24" spans="1:20" ht="25.2" hidden="1" thickTop="1">
      <c r="A24" s="25"/>
      <c r="B24" s="45" t="s">
        <v>38</v>
      </c>
      <c r="C24" s="29"/>
      <c r="D24" s="57"/>
      <c r="E24" s="46"/>
      <c r="F24" s="46"/>
      <c r="G24" s="57"/>
      <c r="H24" s="57"/>
      <c r="I24" s="57"/>
      <c r="J24" s="47"/>
      <c r="K24" s="48"/>
      <c r="L24" s="58"/>
      <c r="M24" s="46"/>
      <c r="N24" s="28"/>
      <c r="O24" s="57"/>
      <c r="P24" s="57"/>
      <c r="Q24" s="57"/>
      <c r="R24" s="46"/>
    </row>
    <row r="25" spans="1:20" ht="25.8" hidden="1" thickTop="1" thickBot="1">
      <c r="A25" s="25">
        <v>1</v>
      </c>
      <c r="B25" s="25"/>
      <c r="C25" s="29"/>
      <c r="D25" s="78"/>
      <c r="E25" s="74"/>
      <c r="F25" s="74"/>
      <c r="G25" s="78"/>
      <c r="H25" s="78"/>
      <c r="I25" s="78"/>
      <c r="J25" s="75"/>
      <c r="K25" s="76"/>
      <c r="L25" s="77"/>
      <c r="M25" s="74"/>
      <c r="N25" s="34"/>
      <c r="O25" s="78"/>
      <c r="P25" s="78"/>
      <c r="Q25" s="78"/>
      <c r="R25" s="46"/>
    </row>
    <row r="26" spans="1:20" ht="25.8" hidden="1" thickTop="1" thickBot="1">
      <c r="A26" s="25"/>
      <c r="B26" s="25" t="s">
        <v>26</v>
      </c>
      <c r="C26" s="29"/>
      <c r="D26" s="63"/>
      <c r="E26" s="64"/>
      <c r="F26" s="64"/>
      <c r="G26" s="63"/>
      <c r="H26" s="63"/>
      <c r="I26" s="63"/>
      <c r="J26" s="65"/>
      <c r="K26" s="66"/>
      <c r="L26" s="67"/>
      <c r="M26" s="64"/>
      <c r="N26" s="41"/>
      <c r="O26" s="63"/>
      <c r="P26" s="63"/>
      <c r="Q26" s="63"/>
      <c r="R26" s="46"/>
    </row>
    <row r="27" spans="1:20" ht="25.2" thickTop="1">
      <c r="A27" s="29"/>
      <c r="B27" s="45" t="s">
        <v>39</v>
      </c>
      <c r="C27" s="29"/>
      <c r="D27" s="46"/>
      <c r="E27" s="46"/>
      <c r="F27" s="46"/>
      <c r="G27" s="46"/>
      <c r="H27" s="46"/>
      <c r="I27" s="46"/>
      <c r="J27" s="47"/>
      <c r="K27" s="48"/>
      <c r="L27" s="48"/>
      <c r="M27" s="46"/>
      <c r="N27" s="28"/>
      <c r="O27" s="46"/>
      <c r="P27" s="46"/>
      <c r="Q27" s="46"/>
      <c r="R27" s="46"/>
    </row>
    <row r="28" spans="1:20" ht="24.6">
      <c r="A28" s="25">
        <v>1</v>
      </c>
      <c r="B28" s="29" t="s">
        <v>40</v>
      </c>
      <c r="C28" s="29"/>
      <c r="D28" s="257">
        <v>0</v>
      </c>
      <c r="E28" s="68"/>
      <c r="F28" s="25"/>
      <c r="G28" s="52">
        <v>0</v>
      </c>
      <c r="H28" s="59">
        <v>0</v>
      </c>
      <c r="I28" s="52">
        <v>0</v>
      </c>
      <c r="J28" s="69"/>
      <c r="K28" s="70"/>
      <c r="L28" s="83"/>
      <c r="M28" s="68"/>
      <c r="N28" s="25"/>
      <c r="O28" s="72">
        <v>0</v>
      </c>
      <c r="P28" s="73">
        <v>0</v>
      </c>
      <c r="Q28" s="73">
        <v>0</v>
      </c>
      <c r="R28" s="29" t="s">
        <v>41</v>
      </c>
    </row>
    <row r="29" spans="1:20" ht="24.6">
      <c r="A29" s="25">
        <v>2</v>
      </c>
      <c r="B29" s="29" t="s">
        <v>277</v>
      </c>
      <c r="C29" s="29"/>
      <c r="D29" s="257">
        <v>535</v>
      </c>
      <c r="E29" s="25"/>
      <c r="F29" s="25"/>
      <c r="G29" s="52">
        <v>0</v>
      </c>
      <c r="H29" s="59">
        <v>0</v>
      </c>
      <c r="I29" s="52">
        <v>0</v>
      </c>
      <c r="J29" s="69">
        <v>25208</v>
      </c>
      <c r="K29" s="84" t="s">
        <v>327</v>
      </c>
      <c r="L29" s="85">
        <v>535</v>
      </c>
      <c r="M29" s="25"/>
      <c r="N29" s="25"/>
      <c r="O29" s="72">
        <v>0</v>
      </c>
      <c r="P29" s="73">
        <v>0</v>
      </c>
      <c r="Q29" s="73">
        <v>0</v>
      </c>
      <c r="R29" s="29"/>
    </row>
    <row r="30" spans="1:20" s="96" customFormat="1" ht="24.6">
      <c r="A30" s="86">
        <v>3</v>
      </c>
      <c r="B30" s="87" t="s">
        <v>44</v>
      </c>
      <c r="C30" s="88"/>
      <c r="D30" s="258">
        <v>1070</v>
      </c>
      <c r="E30" s="90"/>
      <c r="F30" s="86"/>
      <c r="G30" s="91">
        <v>0</v>
      </c>
      <c r="H30" s="92">
        <v>0</v>
      </c>
      <c r="I30" s="91">
        <v>0</v>
      </c>
      <c r="J30" s="93">
        <v>25233</v>
      </c>
      <c r="K30" s="94" t="s">
        <v>328</v>
      </c>
      <c r="L30" s="95">
        <v>1070</v>
      </c>
      <c r="M30" s="90"/>
      <c r="N30" s="86"/>
      <c r="O30" s="72">
        <v>0</v>
      </c>
      <c r="P30" s="73">
        <v>0</v>
      </c>
      <c r="Q30" s="73">
        <v>0</v>
      </c>
      <c r="R30" s="87"/>
      <c r="T30" s="97"/>
    </row>
    <row r="31" spans="1:20" ht="24.6">
      <c r="A31" s="25">
        <v>4</v>
      </c>
      <c r="B31" s="29" t="s">
        <v>46</v>
      </c>
      <c r="C31" s="29"/>
      <c r="D31" s="259">
        <v>535</v>
      </c>
      <c r="E31" s="28"/>
      <c r="F31" s="28"/>
      <c r="G31" s="99"/>
      <c r="H31" s="59"/>
      <c r="I31" s="52"/>
      <c r="J31" s="69">
        <v>25233</v>
      </c>
      <c r="K31" s="70" t="s">
        <v>329</v>
      </c>
      <c r="L31" s="100">
        <v>535</v>
      </c>
      <c r="M31" s="28"/>
      <c r="N31" s="28"/>
      <c r="O31" s="72">
        <v>0</v>
      </c>
      <c r="P31" s="101">
        <v>0</v>
      </c>
      <c r="Q31" s="101">
        <v>0</v>
      </c>
      <c r="R31" s="102" t="s">
        <v>48</v>
      </c>
    </row>
    <row r="32" spans="1:20" ht="25.2" thickBot="1">
      <c r="A32" s="29"/>
      <c r="B32" s="25" t="s">
        <v>26</v>
      </c>
      <c r="C32" s="29"/>
      <c r="D32" s="103">
        <f>SUM(D28:D31)</f>
        <v>2140</v>
      </c>
      <c r="E32" s="63"/>
      <c r="F32" s="63"/>
      <c r="G32" s="103">
        <v>0</v>
      </c>
      <c r="H32" s="103">
        <v>0</v>
      </c>
      <c r="I32" s="103">
        <v>0</v>
      </c>
      <c r="J32" s="67"/>
      <c r="K32" s="67"/>
      <c r="L32" s="104">
        <f>SUM(L29:L31)</f>
        <v>2140</v>
      </c>
      <c r="M32" s="63"/>
      <c r="N32" s="105"/>
      <c r="O32" s="106">
        <v>0</v>
      </c>
      <c r="P32" s="107">
        <v>0</v>
      </c>
      <c r="Q32" s="107">
        <v>0</v>
      </c>
      <c r="R32" s="53"/>
    </row>
    <row r="33" spans="1:18" ht="25.2" hidden="1" thickTop="1">
      <c r="A33" s="29"/>
      <c r="B33" s="45" t="s">
        <v>49</v>
      </c>
      <c r="C33" s="29"/>
      <c r="D33" s="57"/>
      <c r="E33" s="108"/>
      <c r="F33" s="108"/>
      <c r="G33" s="57"/>
      <c r="H33" s="57"/>
      <c r="I33" s="57"/>
      <c r="J33" s="47"/>
      <c r="K33" s="48"/>
      <c r="L33" s="58"/>
      <c r="M33" s="46"/>
      <c r="N33" s="28"/>
      <c r="O33" s="57"/>
      <c r="P33" s="57"/>
      <c r="Q33" s="57"/>
      <c r="R33" s="29"/>
    </row>
    <row r="34" spans="1:18" ht="16.5" hidden="1" customHeight="1" thickBot="1">
      <c r="A34" s="25">
        <v>1</v>
      </c>
      <c r="B34" s="25"/>
      <c r="C34" s="29"/>
      <c r="D34" s="78"/>
      <c r="E34" s="74"/>
      <c r="F34" s="74"/>
      <c r="G34" s="78"/>
      <c r="H34" s="78"/>
      <c r="I34" s="78"/>
      <c r="J34" s="75"/>
      <c r="K34" s="76"/>
      <c r="L34" s="77"/>
      <c r="M34" s="74"/>
      <c r="N34" s="34"/>
      <c r="O34" s="78"/>
      <c r="P34" s="78"/>
      <c r="Q34" s="78"/>
      <c r="R34" s="29"/>
    </row>
    <row r="35" spans="1:18" ht="25.8" hidden="1" thickTop="1" thickBot="1">
      <c r="A35" s="25"/>
      <c r="B35" s="25" t="s">
        <v>26</v>
      </c>
      <c r="C35" s="29"/>
      <c r="D35" s="54"/>
      <c r="E35" s="64"/>
      <c r="F35" s="64"/>
      <c r="G35" s="54"/>
      <c r="H35" s="54"/>
      <c r="I35" s="54"/>
      <c r="J35" s="80"/>
      <c r="K35" s="81"/>
      <c r="L35" s="55"/>
      <c r="M35" s="79"/>
      <c r="N35" s="82"/>
      <c r="O35" s="54"/>
      <c r="P35" s="54"/>
      <c r="Q35" s="54"/>
      <c r="R35" s="29"/>
    </row>
    <row r="36" spans="1:18" ht="25.2" hidden="1" thickTop="1">
      <c r="A36" s="25"/>
      <c r="B36" s="45" t="s">
        <v>50</v>
      </c>
      <c r="C36" s="29"/>
      <c r="D36" s="57"/>
      <c r="E36" s="109"/>
      <c r="F36" s="109"/>
      <c r="G36" s="57"/>
      <c r="H36" s="57"/>
      <c r="I36" s="57"/>
      <c r="J36" s="47"/>
      <c r="K36" s="48"/>
      <c r="L36" s="58"/>
      <c r="M36" s="46"/>
      <c r="N36" s="28"/>
      <c r="O36" s="57"/>
      <c r="P36" s="57"/>
      <c r="Q36" s="57"/>
      <c r="R36" s="29"/>
    </row>
    <row r="37" spans="1:18" ht="25.8" hidden="1" thickTop="1" thickBot="1">
      <c r="A37" s="25"/>
      <c r="B37" s="25"/>
      <c r="C37" s="29"/>
      <c r="D37" s="78"/>
      <c r="E37" s="74"/>
      <c r="F37" s="74"/>
      <c r="G37" s="78">
        <v>0</v>
      </c>
      <c r="H37" s="78">
        <v>0</v>
      </c>
      <c r="I37" s="78">
        <v>0</v>
      </c>
      <c r="J37" s="75"/>
      <c r="K37" s="76"/>
      <c r="L37" s="77"/>
      <c r="M37" s="74"/>
      <c r="N37" s="34"/>
      <c r="O37" s="110">
        <v>0</v>
      </c>
      <c r="P37" s="110">
        <v>0</v>
      </c>
      <c r="Q37" s="110">
        <v>0</v>
      </c>
      <c r="R37" s="29"/>
    </row>
    <row r="38" spans="1:18" ht="25.2" hidden="1" thickTop="1">
      <c r="A38" s="25"/>
      <c r="B38" s="25" t="s">
        <v>26</v>
      </c>
      <c r="C38" s="29"/>
      <c r="D38" s="111">
        <v>0</v>
      </c>
      <c r="E38" s="46"/>
      <c r="F38" s="46"/>
      <c r="G38" s="111">
        <v>0</v>
      </c>
      <c r="H38" s="111"/>
      <c r="I38" s="111">
        <v>0</v>
      </c>
      <c r="J38" s="112"/>
      <c r="K38" s="113"/>
      <c r="L38" s="114"/>
      <c r="M38" s="109"/>
      <c r="N38" s="115"/>
      <c r="O38" s="111">
        <v>0</v>
      </c>
      <c r="P38" s="111"/>
      <c r="Q38" s="111">
        <v>0</v>
      </c>
      <c r="R38" s="53"/>
    </row>
    <row r="39" spans="1:18" ht="25.2" hidden="1" thickTop="1">
      <c r="A39" s="25"/>
      <c r="B39" s="45" t="s">
        <v>51</v>
      </c>
      <c r="C39" s="29"/>
      <c r="D39" s="59"/>
      <c r="E39" s="109"/>
      <c r="F39" s="109"/>
      <c r="G39" s="59"/>
      <c r="H39" s="59"/>
      <c r="I39" s="59"/>
      <c r="J39" s="60"/>
      <c r="K39" s="61"/>
      <c r="L39" s="62"/>
      <c r="M39" s="29"/>
      <c r="N39" s="25"/>
      <c r="O39" s="59"/>
      <c r="P39" s="59"/>
      <c r="Q39" s="59"/>
      <c r="R39" s="29"/>
    </row>
    <row r="40" spans="1:18" ht="25.8" hidden="1" thickTop="1" thickBot="1">
      <c r="A40" s="25">
        <v>1</v>
      </c>
      <c r="B40" s="25"/>
      <c r="C40" s="29"/>
      <c r="D40" s="78"/>
      <c r="E40" s="74"/>
      <c r="F40" s="74"/>
      <c r="G40" s="78"/>
      <c r="H40" s="78"/>
      <c r="I40" s="78"/>
      <c r="J40" s="75"/>
      <c r="K40" s="76"/>
      <c r="L40" s="77"/>
      <c r="M40" s="74"/>
      <c r="N40" s="34"/>
      <c r="O40" s="78"/>
      <c r="P40" s="78"/>
      <c r="Q40" s="78"/>
      <c r="R40" s="29"/>
    </row>
    <row r="41" spans="1:18" ht="25.8" hidden="1" thickTop="1" thickBot="1">
      <c r="A41" s="25"/>
      <c r="B41" s="25" t="s">
        <v>26</v>
      </c>
      <c r="C41" s="29"/>
      <c r="D41" s="63"/>
      <c r="E41" s="79"/>
      <c r="F41" s="79"/>
      <c r="G41" s="63"/>
      <c r="H41" s="63"/>
      <c r="I41" s="63"/>
      <c r="J41" s="65"/>
      <c r="K41" s="66"/>
      <c r="L41" s="67"/>
      <c r="M41" s="64"/>
      <c r="N41" s="41"/>
      <c r="O41" s="63"/>
      <c r="P41" s="63"/>
      <c r="Q41" s="63"/>
      <c r="R41" s="29"/>
    </row>
    <row r="42" spans="1:18" ht="25.2" thickTop="1">
      <c r="A42" s="29"/>
      <c r="B42" s="45" t="s">
        <v>52</v>
      </c>
      <c r="C42" s="29"/>
      <c r="D42" s="57"/>
      <c r="E42" s="28"/>
      <c r="F42" s="28"/>
      <c r="G42" s="57"/>
      <c r="H42" s="57"/>
      <c r="I42" s="57"/>
      <c r="J42" s="47"/>
      <c r="K42" s="48"/>
      <c r="L42" s="58"/>
      <c r="M42" s="46"/>
      <c r="N42" s="28"/>
      <c r="O42" s="57"/>
      <c r="P42" s="57"/>
      <c r="Q42" s="57"/>
      <c r="R42" s="29"/>
    </row>
    <row r="43" spans="1:18" ht="24.6">
      <c r="A43" s="29"/>
      <c r="B43" s="116" t="s">
        <v>53</v>
      </c>
      <c r="C43" s="29"/>
      <c r="D43" s="57"/>
      <c r="E43" s="25"/>
      <c r="F43" s="25"/>
      <c r="G43" s="57"/>
      <c r="H43" s="57"/>
      <c r="I43" s="57"/>
      <c r="J43" s="47"/>
      <c r="K43" s="48"/>
      <c r="L43" s="58"/>
      <c r="M43" s="46"/>
      <c r="N43" s="28"/>
      <c r="O43" s="57"/>
      <c r="P43" s="57"/>
      <c r="Q43" s="57"/>
      <c r="R43" s="29"/>
    </row>
    <row r="44" spans="1:18" ht="24.6">
      <c r="A44" s="25">
        <v>1</v>
      </c>
      <c r="B44" s="29" t="s">
        <v>54</v>
      </c>
      <c r="C44" s="25" t="s">
        <v>55</v>
      </c>
      <c r="D44" s="49">
        <v>0</v>
      </c>
      <c r="E44" s="25"/>
      <c r="F44" s="25"/>
      <c r="G44" s="49">
        <v>0</v>
      </c>
      <c r="H44" s="49">
        <v>0</v>
      </c>
      <c r="I44" s="49">
        <v>0</v>
      </c>
      <c r="J44" s="26"/>
      <c r="K44" s="117"/>
      <c r="L44" s="118"/>
      <c r="M44" s="25"/>
      <c r="N44" s="25"/>
      <c r="O44" s="72">
        <f t="shared" ref="O44:O49" si="0">D44</f>
        <v>0</v>
      </c>
      <c r="P44" s="73">
        <v>0</v>
      </c>
      <c r="Q44" s="73">
        <f t="shared" ref="Q44:Q49" si="1">D44</f>
        <v>0</v>
      </c>
      <c r="R44" s="29" t="s">
        <v>56</v>
      </c>
    </row>
    <row r="45" spans="1:18" ht="24.6">
      <c r="A45" s="25">
        <v>2</v>
      </c>
      <c r="B45" s="119" t="s">
        <v>57</v>
      </c>
      <c r="C45" s="25">
        <v>259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58</v>
      </c>
    </row>
    <row r="46" spans="1:18" ht="24.6">
      <c r="A46" s="25">
        <v>3</v>
      </c>
      <c r="B46" s="119" t="s">
        <v>57</v>
      </c>
      <c r="C46" s="25">
        <v>260</v>
      </c>
      <c r="D46" s="49"/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3">
        <f t="shared" si="1"/>
        <v>0</v>
      </c>
      <c r="R46" s="29"/>
    </row>
    <row r="47" spans="1:18" ht="24.6">
      <c r="A47" s="25">
        <v>4</v>
      </c>
      <c r="B47" s="119" t="s">
        <v>57</v>
      </c>
      <c r="C47" s="25" t="s">
        <v>59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26"/>
      <c r="K47" s="16"/>
      <c r="L47" s="118"/>
      <c r="M47" s="25"/>
      <c r="N47" s="25"/>
      <c r="O47" s="72">
        <f t="shared" si="0"/>
        <v>0</v>
      </c>
      <c r="P47" s="73">
        <v>0</v>
      </c>
      <c r="Q47" s="73">
        <f t="shared" si="1"/>
        <v>0</v>
      </c>
      <c r="R47" s="29" t="s">
        <v>60</v>
      </c>
    </row>
    <row r="48" spans="1:18" ht="24.6">
      <c r="A48" s="25">
        <v>5</v>
      </c>
      <c r="B48" s="119" t="s">
        <v>57</v>
      </c>
      <c r="C48" s="25" t="s">
        <v>61</v>
      </c>
      <c r="D48" s="49">
        <v>0</v>
      </c>
      <c r="E48" s="25"/>
      <c r="F48" s="25"/>
      <c r="G48" s="49">
        <v>0</v>
      </c>
      <c r="H48" s="49">
        <v>0</v>
      </c>
      <c r="I48" s="49">
        <v>0</v>
      </c>
      <c r="J48" s="26"/>
      <c r="K48" s="16"/>
      <c r="L48" s="118"/>
      <c r="M48" s="25"/>
      <c r="N48" s="25"/>
      <c r="O48" s="72">
        <f t="shared" si="0"/>
        <v>0</v>
      </c>
      <c r="P48" s="73">
        <v>0</v>
      </c>
      <c r="Q48" s="73">
        <f t="shared" si="1"/>
        <v>0</v>
      </c>
      <c r="R48" s="29"/>
    </row>
    <row r="49" spans="1:18" ht="24.6">
      <c r="A49" s="25">
        <v>6</v>
      </c>
      <c r="B49" s="29" t="s">
        <v>62</v>
      </c>
      <c r="C49" s="25" t="s">
        <v>63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69"/>
      <c r="K49" s="70"/>
      <c r="L49" s="83"/>
      <c r="M49" s="25"/>
      <c r="N49" s="25"/>
      <c r="O49" s="72">
        <f t="shared" si="0"/>
        <v>0</v>
      </c>
      <c r="P49" s="73">
        <v>0</v>
      </c>
      <c r="Q49" s="73">
        <f t="shared" si="1"/>
        <v>0</v>
      </c>
      <c r="R49" s="29" t="s">
        <v>64</v>
      </c>
    </row>
    <row r="50" spans="1:18" ht="24.6">
      <c r="A50" s="25">
        <v>7</v>
      </c>
      <c r="B50" s="29" t="s">
        <v>65</v>
      </c>
      <c r="C50" s="25">
        <v>267</v>
      </c>
      <c r="D50" s="49">
        <v>1215</v>
      </c>
      <c r="E50" s="25"/>
      <c r="F50" s="25"/>
      <c r="G50" s="49">
        <v>0</v>
      </c>
      <c r="H50" s="49">
        <v>0</v>
      </c>
      <c r="I50" s="49">
        <v>0</v>
      </c>
      <c r="J50" s="69">
        <v>25209</v>
      </c>
      <c r="K50" s="70" t="s">
        <v>330</v>
      </c>
      <c r="L50" s="83">
        <v>1215</v>
      </c>
      <c r="M50" s="25"/>
      <c r="N50" s="25"/>
      <c r="O50" s="72">
        <f>D50+G50-L50</f>
        <v>0</v>
      </c>
      <c r="P50" s="72">
        <f t="shared" ref="P50:Q61" si="2">E50+H50-M50</f>
        <v>0</v>
      </c>
      <c r="Q50" s="72">
        <f t="shared" si="2"/>
        <v>0</v>
      </c>
      <c r="R50" s="29" t="s">
        <v>67</v>
      </c>
    </row>
    <row r="51" spans="1:18" ht="24.6">
      <c r="A51" s="25">
        <v>8</v>
      </c>
      <c r="B51" s="29" t="s">
        <v>68</v>
      </c>
      <c r="C51" s="120">
        <v>268</v>
      </c>
      <c r="D51" s="49">
        <v>0</v>
      </c>
      <c r="E51" s="25"/>
      <c r="F51" s="25"/>
      <c r="G51" s="49">
        <v>0</v>
      </c>
      <c r="H51" s="49">
        <v>0</v>
      </c>
      <c r="I51" s="49">
        <v>0</v>
      </c>
      <c r="J51" s="121"/>
      <c r="K51" s="121"/>
      <c r="L51" s="121"/>
      <c r="M51" s="25"/>
      <c r="N51" s="25"/>
      <c r="O51" s="72">
        <f t="shared" ref="O51:O62" si="3">D51+G51-L51</f>
        <v>0</v>
      </c>
      <c r="P51" s="73">
        <v>0</v>
      </c>
      <c r="Q51" s="72">
        <f t="shared" si="2"/>
        <v>0</v>
      </c>
      <c r="R51" s="29" t="s">
        <v>69</v>
      </c>
    </row>
    <row r="52" spans="1:18" ht="24.6">
      <c r="A52" s="25">
        <v>9</v>
      </c>
      <c r="B52" s="29" t="s">
        <v>70</v>
      </c>
      <c r="C52" s="25" t="s">
        <v>71</v>
      </c>
      <c r="D52" s="49">
        <v>2430</v>
      </c>
      <c r="E52" s="25"/>
      <c r="F52" s="25"/>
      <c r="G52" s="49">
        <v>0</v>
      </c>
      <c r="H52" s="49">
        <v>0</v>
      </c>
      <c r="I52" s="49">
        <v>0</v>
      </c>
      <c r="J52" s="69">
        <v>25215</v>
      </c>
      <c r="K52" s="70" t="s">
        <v>331</v>
      </c>
      <c r="L52" s="83">
        <v>2430</v>
      </c>
      <c r="M52" s="25"/>
      <c r="N52" s="25"/>
      <c r="O52" s="72">
        <f t="shared" si="3"/>
        <v>0</v>
      </c>
      <c r="P52" s="73">
        <v>0</v>
      </c>
      <c r="Q52" s="72">
        <f t="shared" si="2"/>
        <v>0</v>
      </c>
      <c r="R52" s="29"/>
    </row>
    <row r="53" spans="1:18" ht="24.6">
      <c r="A53" s="25">
        <v>10</v>
      </c>
      <c r="B53" s="29" t="s">
        <v>73</v>
      </c>
      <c r="C53" s="120">
        <v>84282</v>
      </c>
      <c r="D53" s="49">
        <v>2430</v>
      </c>
      <c r="E53" s="25" t="s">
        <v>321</v>
      </c>
      <c r="F53" s="25">
        <v>1</v>
      </c>
      <c r="G53" s="49">
        <v>2430</v>
      </c>
      <c r="H53" s="49">
        <v>0</v>
      </c>
      <c r="I53" s="49">
        <v>2430</v>
      </c>
      <c r="J53" s="69"/>
      <c r="K53" s="70"/>
      <c r="L53" s="83"/>
      <c r="M53" s="122" t="s">
        <v>332</v>
      </c>
      <c r="N53" s="123">
        <v>2</v>
      </c>
      <c r="O53" s="72">
        <f>D53+G53-L53</f>
        <v>4860</v>
      </c>
      <c r="P53" s="73">
        <v>0</v>
      </c>
      <c r="Q53" s="72">
        <f>D53+I53-L53</f>
        <v>4860</v>
      </c>
      <c r="R53" s="29"/>
    </row>
    <row r="54" spans="1:18" ht="24.6">
      <c r="A54" s="25">
        <v>11</v>
      </c>
      <c r="B54" s="29" t="s">
        <v>76</v>
      </c>
      <c r="C54" s="25">
        <v>281</v>
      </c>
      <c r="D54" s="49">
        <v>0</v>
      </c>
      <c r="E54" s="25"/>
      <c r="F54" s="25"/>
      <c r="G54" s="49">
        <v>0</v>
      </c>
      <c r="H54" s="49">
        <v>0</v>
      </c>
      <c r="I54" s="49">
        <v>0</v>
      </c>
      <c r="J54" s="69"/>
      <c r="K54" s="70"/>
      <c r="L54" s="83"/>
      <c r="M54" s="25"/>
      <c r="N54" s="25"/>
      <c r="O54" s="72">
        <f t="shared" si="3"/>
        <v>0</v>
      </c>
      <c r="P54" s="73">
        <v>0</v>
      </c>
      <c r="Q54" s="72">
        <f t="shared" si="2"/>
        <v>0</v>
      </c>
      <c r="R54" s="29" t="s">
        <v>77</v>
      </c>
    </row>
    <row r="55" spans="1:18" ht="24.6">
      <c r="A55" s="25">
        <v>12</v>
      </c>
      <c r="B55" s="29" t="s">
        <v>57</v>
      </c>
      <c r="C55" s="25">
        <v>280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3"/>
        <v>0</v>
      </c>
      <c r="P55" s="73">
        <v>0</v>
      </c>
      <c r="Q55" s="72">
        <f t="shared" si="2"/>
        <v>0</v>
      </c>
      <c r="R55" s="29"/>
    </row>
    <row r="56" spans="1:18" ht="24.6">
      <c r="A56" s="25">
        <v>13</v>
      </c>
      <c r="B56" s="29" t="s">
        <v>78</v>
      </c>
      <c r="C56" s="25" t="s">
        <v>79</v>
      </c>
      <c r="D56" s="49">
        <v>2430</v>
      </c>
      <c r="E56" s="25"/>
      <c r="F56" s="25"/>
      <c r="G56" s="49">
        <v>0</v>
      </c>
      <c r="H56" s="49">
        <v>0</v>
      </c>
      <c r="I56" s="49">
        <v>0</v>
      </c>
      <c r="J56" s="69">
        <v>25208</v>
      </c>
      <c r="K56" s="70" t="s">
        <v>333</v>
      </c>
      <c r="L56" s="83">
        <v>2430</v>
      </c>
      <c r="M56" s="25"/>
      <c r="N56" s="25"/>
      <c r="O56" s="72">
        <f t="shared" si="3"/>
        <v>0</v>
      </c>
      <c r="P56" s="73">
        <v>0</v>
      </c>
      <c r="Q56" s="72">
        <f t="shared" si="2"/>
        <v>0</v>
      </c>
      <c r="R56" s="29"/>
    </row>
    <row r="57" spans="1:18" ht="24.6">
      <c r="A57" s="25">
        <v>14</v>
      </c>
      <c r="B57" s="29" t="s">
        <v>81</v>
      </c>
      <c r="C57" s="25" t="s">
        <v>82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69"/>
      <c r="K57" s="70"/>
      <c r="L57" s="83"/>
      <c r="M57" s="25"/>
      <c r="N57" s="25"/>
      <c r="O57" s="72">
        <f t="shared" si="3"/>
        <v>0</v>
      </c>
      <c r="P57" s="73">
        <v>0</v>
      </c>
      <c r="Q57" s="72">
        <f t="shared" si="2"/>
        <v>0</v>
      </c>
      <c r="R57" s="29"/>
    </row>
    <row r="58" spans="1:18" ht="24.6">
      <c r="A58" s="25">
        <v>15</v>
      </c>
      <c r="B58" s="29" t="s">
        <v>83</v>
      </c>
      <c r="C58" s="25">
        <v>277</v>
      </c>
      <c r="D58" s="49">
        <v>1215</v>
      </c>
      <c r="E58" s="25"/>
      <c r="F58" s="25"/>
      <c r="G58" s="49">
        <v>0</v>
      </c>
      <c r="H58" s="49">
        <v>0</v>
      </c>
      <c r="I58" s="49">
        <v>0</v>
      </c>
      <c r="J58" s="69">
        <v>25233</v>
      </c>
      <c r="K58" s="70" t="s">
        <v>334</v>
      </c>
      <c r="L58" s="83">
        <v>1215</v>
      </c>
      <c r="M58" s="25"/>
      <c r="N58" s="25"/>
      <c r="O58" s="72">
        <f t="shared" si="3"/>
        <v>0</v>
      </c>
      <c r="P58" s="73">
        <v>0</v>
      </c>
      <c r="Q58" s="72">
        <f t="shared" si="2"/>
        <v>0</v>
      </c>
      <c r="R58" s="29"/>
    </row>
    <row r="59" spans="1:18" ht="24.6">
      <c r="A59" s="25">
        <v>16</v>
      </c>
      <c r="B59" s="29" t="s">
        <v>85</v>
      </c>
      <c r="C59" s="25" t="s">
        <v>86</v>
      </c>
      <c r="D59" s="49">
        <v>0</v>
      </c>
      <c r="E59" s="25"/>
      <c r="F59" s="25"/>
      <c r="G59" s="49">
        <v>0</v>
      </c>
      <c r="H59" s="49">
        <v>0</v>
      </c>
      <c r="I59" s="49">
        <v>0</v>
      </c>
      <c r="J59" s="26"/>
      <c r="K59" s="16"/>
      <c r="L59" s="118"/>
      <c r="M59" s="25"/>
      <c r="N59" s="25"/>
      <c r="O59" s="72">
        <f t="shared" si="3"/>
        <v>0</v>
      </c>
      <c r="P59" s="73">
        <v>0</v>
      </c>
      <c r="Q59" s="72">
        <f t="shared" si="2"/>
        <v>0</v>
      </c>
      <c r="R59" s="29" t="s">
        <v>87</v>
      </c>
    </row>
    <row r="60" spans="1:18" ht="24.6">
      <c r="A60" s="25">
        <v>17</v>
      </c>
      <c r="B60" s="29" t="s">
        <v>57</v>
      </c>
      <c r="C60" s="25" t="s">
        <v>88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3"/>
        <v>0</v>
      </c>
      <c r="P60" s="73">
        <v>0</v>
      </c>
      <c r="Q60" s="72">
        <f t="shared" si="2"/>
        <v>0</v>
      </c>
      <c r="R60" s="29"/>
    </row>
    <row r="61" spans="1:18" ht="24.6">
      <c r="A61" s="25"/>
      <c r="B61" s="116" t="s">
        <v>89</v>
      </c>
      <c r="C61" s="29"/>
      <c r="D61" s="29"/>
      <c r="E61" s="25"/>
      <c r="F61" s="25"/>
      <c r="G61" s="2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si="3"/>
        <v>0</v>
      </c>
      <c r="P61" s="49"/>
      <c r="Q61" s="72">
        <f t="shared" si="2"/>
        <v>0</v>
      </c>
      <c r="R61" s="29"/>
    </row>
    <row r="62" spans="1:18" ht="24.6">
      <c r="A62" s="25">
        <v>1</v>
      </c>
      <c r="B62" s="29" t="s">
        <v>57</v>
      </c>
      <c r="C62" s="25" t="s">
        <v>90</v>
      </c>
      <c r="D62" s="49">
        <v>0</v>
      </c>
      <c r="E62" s="25"/>
      <c r="F62" s="25"/>
      <c r="G62" s="49">
        <v>0</v>
      </c>
      <c r="H62" s="49">
        <v>0</v>
      </c>
      <c r="I62" s="49">
        <v>0</v>
      </c>
      <c r="J62" s="26"/>
      <c r="K62" s="16"/>
      <c r="L62" s="118"/>
      <c r="M62" s="25"/>
      <c r="N62" s="25"/>
      <c r="O62" s="72">
        <f t="shared" si="3"/>
        <v>0</v>
      </c>
      <c r="P62" s="73">
        <v>0</v>
      </c>
      <c r="Q62" s="73">
        <f t="shared" ref="Q62:Q71" si="4">D62+I62</f>
        <v>0</v>
      </c>
      <c r="R62" s="29" t="s">
        <v>91</v>
      </c>
    </row>
    <row r="63" spans="1:18" ht="24.6">
      <c r="A63" s="25">
        <v>2</v>
      </c>
      <c r="B63" s="119" t="s">
        <v>57</v>
      </c>
      <c r="C63" s="25" t="s">
        <v>92</v>
      </c>
      <c r="D63" s="49"/>
      <c r="E63" s="25"/>
      <c r="F63" s="25"/>
      <c r="G63" s="49">
        <v>0</v>
      </c>
      <c r="H63" s="49"/>
      <c r="I63" s="49">
        <v>0</v>
      </c>
      <c r="J63" s="26"/>
      <c r="K63" s="16"/>
      <c r="L63" s="118"/>
      <c r="M63" s="25"/>
      <c r="N63" s="25"/>
      <c r="O63" s="72">
        <f t="shared" ref="O63:O71" si="5">D63+G63</f>
        <v>0</v>
      </c>
      <c r="P63" s="49"/>
      <c r="Q63" s="73">
        <f t="shared" si="4"/>
        <v>0</v>
      </c>
      <c r="R63" s="29"/>
    </row>
    <row r="64" spans="1:18" ht="24.6">
      <c r="A64" s="25">
        <v>3</v>
      </c>
      <c r="B64" s="29" t="s">
        <v>93</v>
      </c>
      <c r="C64" s="25" t="s">
        <v>94</v>
      </c>
      <c r="D64" s="49">
        <v>0</v>
      </c>
      <c r="E64" s="25"/>
      <c r="F64" s="25"/>
      <c r="G64" s="89">
        <v>0</v>
      </c>
      <c r="H64" s="89">
        <v>0</v>
      </c>
      <c r="I64" s="89">
        <v>0</v>
      </c>
      <c r="J64" s="69"/>
      <c r="K64" s="84"/>
      <c r="L64" s="83"/>
      <c r="M64" s="25"/>
      <c r="N64" s="25"/>
      <c r="O64" s="72">
        <f t="shared" si="5"/>
        <v>0</v>
      </c>
      <c r="P64" s="73">
        <v>0</v>
      </c>
      <c r="Q64" s="73">
        <f t="shared" si="4"/>
        <v>0</v>
      </c>
      <c r="R64" s="29"/>
    </row>
    <row r="65" spans="1:20" ht="24.6">
      <c r="A65" s="25">
        <v>4</v>
      </c>
      <c r="B65" s="119" t="s">
        <v>57</v>
      </c>
      <c r="C65" s="25" t="s">
        <v>95</v>
      </c>
      <c r="D65" s="52">
        <v>0</v>
      </c>
      <c r="E65" s="25"/>
      <c r="F65" s="25"/>
      <c r="G65" s="49">
        <v>0</v>
      </c>
      <c r="H65" s="49"/>
      <c r="I65" s="49">
        <v>0</v>
      </c>
      <c r="J65" s="69"/>
      <c r="K65" s="84"/>
      <c r="L65" s="83"/>
      <c r="M65" s="25"/>
      <c r="N65" s="25"/>
      <c r="O65" s="72">
        <f t="shared" si="5"/>
        <v>0</v>
      </c>
      <c r="P65" s="49"/>
      <c r="Q65" s="73">
        <f t="shared" si="4"/>
        <v>0</v>
      </c>
      <c r="R65" s="29"/>
    </row>
    <row r="66" spans="1:20" ht="24.6">
      <c r="A66" s="25">
        <v>5</v>
      </c>
      <c r="B66" s="29" t="s">
        <v>40</v>
      </c>
      <c r="C66" s="25" t="s">
        <v>96</v>
      </c>
      <c r="D66" s="49">
        <v>0</v>
      </c>
      <c r="E66" s="25"/>
      <c r="F66" s="25"/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5"/>
        <v>0</v>
      </c>
      <c r="P66" s="73">
        <v>0</v>
      </c>
      <c r="Q66" s="73">
        <f t="shared" si="4"/>
        <v>0</v>
      </c>
      <c r="R66" s="29" t="s">
        <v>41</v>
      </c>
    </row>
    <row r="67" spans="1:20" ht="24.6">
      <c r="A67" s="25"/>
      <c r="B67" s="124" t="s">
        <v>97</v>
      </c>
      <c r="C67" s="29"/>
      <c r="D67" s="29"/>
      <c r="E67" s="25"/>
      <c r="F67" s="25"/>
      <c r="G67" s="29">
        <v>0</v>
      </c>
      <c r="H67" s="49"/>
      <c r="I67" s="49">
        <v>0</v>
      </c>
      <c r="J67" s="26" t="s">
        <v>172</v>
      </c>
      <c r="K67" s="16" t="s">
        <v>172</v>
      </c>
      <c r="L67" s="118">
        <v>0</v>
      </c>
      <c r="M67" s="25" t="s">
        <v>172</v>
      </c>
      <c r="N67" s="25" t="s">
        <v>172</v>
      </c>
      <c r="O67" s="72">
        <f t="shared" si="5"/>
        <v>0</v>
      </c>
      <c r="P67" s="49"/>
      <c r="Q67" s="73">
        <f t="shared" si="4"/>
        <v>0</v>
      </c>
      <c r="R67" s="29"/>
    </row>
    <row r="68" spans="1:20" ht="24.6">
      <c r="A68" s="25">
        <v>1</v>
      </c>
      <c r="B68" s="125" t="s">
        <v>98</v>
      </c>
      <c r="C68" s="25" t="s">
        <v>99</v>
      </c>
      <c r="D68" s="49">
        <v>0</v>
      </c>
      <c r="E68" s="68"/>
      <c r="F68" s="25"/>
      <c r="G68" s="49">
        <v>0</v>
      </c>
      <c r="H68" s="49">
        <v>0</v>
      </c>
      <c r="I68" s="49">
        <v>0</v>
      </c>
      <c r="J68" s="69"/>
      <c r="K68" s="70"/>
      <c r="L68" s="83"/>
      <c r="M68" s="25"/>
      <c r="N68" s="25"/>
      <c r="O68" s="72">
        <f t="shared" si="5"/>
        <v>0</v>
      </c>
      <c r="P68" s="73">
        <v>0</v>
      </c>
      <c r="Q68" s="73">
        <f t="shared" si="4"/>
        <v>0</v>
      </c>
      <c r="R68" s="29" t="s">
        <v>100</v>
      </c>
      <c r="T68" s="2" t="s">
        <v>101</v>
      </c>
    </row>
    <row r="69" spans="1:20" ht="24.6">
      <c r="A69" s="25"/>
      <c r="B69" s="116" t="s">
        <v>102</v>
      </c>
      <c r="C69" s="29"/>
      <c r="D69" s="29"/>
      <c r="E69" s="25"/>
      <c r="F69" s="25"/>
      <c r="G69" s="29">
        <v>0</v>
      </c>
      <c r="H69" s="49"/>
      <c r="I69" s="49">
        <v>0</v>
      </c>
      <c r="J69" s="69"/>
      <c r="K69" s="70"/>
      <c r="L69" s="83"/>
      <c r="M69" s="25"/>
      <c r="N69" s="25"/>
      <c r="O69" s="72">
        <f t="shared" si="5"/>
        <v>0</v>
      </c>
      <c r="P69" s="49"/>
      <c r="Q69" s="73">
        <f t="shared" si="4"/>
        <v>0</v>
      </c>
      <c r="R69" s="29"/>
    </row>
    <row r="70" spans="1:20" ht="20.25" customHeight="1">
      <c r="A70" s="25">
        <v>1</v>
      </c>
      <c r="B70" s="29" t="s">
        <v>36</v>
      </c>
      <c r="C70" s="29"/>
      <c r="D70" s="49">
        <v>0</v>
      </c>
      <c r="E70" s="25"/>
      <c r="F70" s="25"/>
      <c r="G70" s="49">
        <v>0</v>
      </c>
      <c r="H70" s="49">
        <v>0</v>
      </c>
      <c r="I70" s="49">
        <v>0</v>
      </c>
      <c r="J70" s="69"/>
      <c r="K70" s="84"/>
      <c r="L70" s="83"/>
      <c r="M70" s="25"/>
      <c r="N70" s="25"/>
      <c r="O70" s="72">
        <f t="shared" si="5"/>
        <v>0</v>
      </c>
      <c r="P70" s="73">
        <v>0</v>
      </c>
      <c r="Q70" s="73">
        <f t="shared" si="4"/>
        <v>0</v>
      </c>
      <c r="R70" s="29" t="s">
        <v>103</v>
      </c>
    </row>
    <row r="71" spans="1:20" ht="24.6">
      <c r="A71" s="25"/>
      <c r="B71" s="116" t="s">
        <v>104</v>
      </c>
      <c r="C71" s="29"/>
      <c r="D71" s="29"/>
      <c r="E71" s="25"/>
      <c r="F71" s="25"/>
      <c r="G71" s="49">
        <v>0</v>
      </c>
      <c r="H71" s="49"/>
      <c r="I71" s="49">
        <v>0</v>
      </c>
      <c r="J71" s="61"/>
      <c r="K71" s="61"/>
      <c r="L71" s="61"/>
      <c r="N71" s="1"/>
      <c r="O71" s="72">
        <f t="shared" si="5"/>
        <v>0</v>
      </c>
      <c r="P71" s="49"/>
      <c r="Q71" s="73">
        <f t="shared" si="4"/>
        <v>0</v>
      </c>
      <c r="R71" s="29"/>
    </row>
    <row r="72" spans="1:20" ht="24.6">
      <c r="A72" s="25">
        <v>1</v>
      </c>
      <c r="B72" s="29" t="s">
        <v>105</v>
      </c>
      <c r="C72" s="29"/>
      <c r="D72" s="49">
        <v>5000</v>
      </c>
      <c r="E72" s="126"/>
      <c r="F72" s="25"/>
      <c r="G72" s="49">
        <v>0</v>
      </c>
      <c r="H72" s="49">
        <v>0</v>
      </c>
      <c r="I72" s="49">
        <v>0</v>
      </c>
      <c r="J72" s="69"/>
      <c r="K72" s="84"/>
      <c r="L72" s="83"/>
      <c r="M72" s="25" t="s">
        <v>335</v>
      </c>
      <c r="N72" s="25">
        <v>1</v>
      </c>
      <c r="O72" s="72">
        <f>D72+G72-L72</f>
        <v>5000</v>
      </c>
      <c r="P72" s="73">
        <v>0</v>
      </c>
      <c r="Q72" s="73">
        <f>D72+I72-L72</f>
        <v>5000</v>
      </c>
      <c r="R72" s="29"/>
    </row>
    <row r="73" spans="1:20" ht="24.6">
      <c r="A73" s="25">
        <v>2</v>
      </c>
      <c r="B73" s="29" t="s">
        <v>105</v>
      </c>
      <c r="C73" s="29"/>
      <c r="D73" s="49">
        <v>4650</v>
      </c>
      <c r="E73" s="126"/>
      <c r="F73" s="25"/>
      <c r="G73" s="49">
        <v>0</v>
      </c>
      <c r="H73" s="49">
        <v>0</v>
      </c>
      <c r="I73" s="49">
        <v>0</v>
      </c>
      <c r="J73" s="69"/>
      <c r="K73" s="70"/>
      <c r="L73" s="83"/>
      <c r="M73" s="126" t="s">
        <v>335</v>
      </c>
      <c r="N73" s="25">
        <v>1</v>
      </c>
      <c r="O73" s="72">
        <f>D73+G73-L73</f>
        <v>4650</v>
      </c>
      <c r="P73" s="73">
        <v>0</v>
      </c>
      <c r="Q73" s="73">
        <f>D73+I73-L73</f>
        <v>4650</v>
      </c>
      <c r="R73" s="29" t="s">
        <v>108</v>
      </c>
    </row>
    <row r="74" spans="1:20" ht="24.6">
      <c r="A74" s="25">
        <v>3</v>
      </c>
      <c r="B74" s="29" t="s">
        <v>109</v>
      </c>
      <c r="C74" s="53"/>
      <c r="D74" s="127">
        <v>3450</v>
      </c>
      <c r="E74" s="25"/>
      <c r="F74" s="25"/>
      <c r="G74" s="127">
        <v>0</v>
      </c>
      <c r="H74" s="127">
        <v>0</v>
      </c>
      <c r="I74" s="49">
        <v>0</v>
      </c>
      <c r="J74" s="69">
        <v>25208</v>
      </c>
      <c r="K74" s="70" t="s">
        <v>336</v>
      </c>
      <c r="L74" s="83">
        <v>3450</v>
      </c>
      <c r="M74" s="126"/>
      <c r="N74" s="25"/>
      <c r="O74" s="72">
        <f>D74+G74-L74</f>
        <v>0</v>
      </c>
      <c r="P74" s="73">
        <v>0</v>
      </c>
      <c r="Q74" s="73">
        <f>D74+I74-L74</f>
        <v>0</v>
      </c>
      <c r="R74" s="29" t="s">
        <v>111</v>
      </c>
    </row>
    <row r="75" spans="1:20" ht="24.6">
      <c r="A75" s="25">
        <v>4</v>
      </c>
      <c r="B75" s="29" t="s">
        <v>112</v>
      </c>
      <c r="C75" s="29"/>
      <c r="D75" s="49">
        <v>3795</v>
      </c>
      <c r="E75" s="25"/>
      <c r="F75" s="25"/>
      <c r="G75" s="49">
        <v>0</v>
      </c>
      <c r="H75" s="49">
        <v>0</v>
      </c>
      <c r="I75" s="49">
        <v>0</v>
      </c>
      <c r="J75" s="128">
        <v>25208</v>
      </c>
      <c r="K75" s="129" t="s">
        <v>337</v>
      </c>
      <c r="L75" s="130">
        <v>3795</v>
      </c>
      <c r="M75" s="25"/>
      <c r="N75" s="25"/>
      <c r="O75" s="72">
        <f>D75+G75-L75</f>
        <v>0</v>
      </c>
      <c r="P75" s="73">
        <v>0</v>
      </c>
      <c r="Q75" s="73">
        <f>D75+I75-L75</f>
        <v>0</v>
      </c>
      <c r="R75" s="131" t="s">
        <v>114</v>
      </c>
    </row>
    <row r="76" spans="1:20" ht="25.5" customHeight="1">
      <c r="A76" s="25">
        <v>5</v>
      </c>
      <c r="B76" s="132" t="s">
        <v>115</v>
      </c>
      <c r="C76" s="132"/>
      <c r="D76" s="133">
        <v>8000</v>
      </c>
      <c r="E76" s="29"/>
      <c r="F76" s="29"/>
      <c r="G76" s="134">
        <v>0</v>
      </c>
      <c r="H76" s="134">
        <v>0</v>
      </c>
      <c r="I76" s="134">
        <v>0</v>
      </c>
      <c r="J76" s="128">
        <v>25208</v>
      </c>
      <c r="K76" s="129" t="s">
        <v>338</v>
      </c>
      <c r="L76" s="130">
        <v>8000</v>
      </c>
      <c r="M76" s="25"/>
      <c r="N76" s="25"/>
      <c r="O76" s="72">
        <v>0</v>
      </c>
      <c r="P76" s="73">
        <v>0</v>
      </c>
      <c r="Q76" s="73">
        <f>D76+I76-L76</f>
        <v>0</v>
      </c>
    </row>
    <row r="77" spans="1:20" ht="25.2" thickBot="1">
      <c r="A77" s="29"/>
      <c r="B77" s="25" t="s">
        <v>26</v>
      </c>
      <c r="C77" s="74"/>
      <c r="D77" s="78">
        <f>SUM(D44:D76)</f>
        <v>34615</v>
      </c>
      <c r="E77" s="78"/>
      <c r="F77" s="78"/>
      <c r="G77" s="78">
        <f>SUM(G44:G76)</f>
        <v>2430</v>
      </c>
      <c r="H77" s="78">
        <f>SUM(H44:H76)</f>
        <v>0</v>
      </c>
      <c r="I77" s="78">
        <f>SUM(I44:I76)</f>
        <v>2430</v>
      </c>
      <c r="J77" s="77"/>
      <c r="K77" s="77"/>
      <c r="L77" s="77">
        <f>SUM(L44:L76)</f>
        <v>22535</v>
      </c>
      <c r="M77" s="78"/>
      <c r="N77" s="135"/>
      <c r="O77" s="106">
        <f>SUM(O44:O76)</f>
        <v>14510</v>
      </c>
      <c r="P77" s="78">
        <v>0</v>
      </c>
      <c r="Q77" s="136">
        <f>SUM(Q44:Q76)</f>
        <v>14510</v>
      </c>
      <c r="R77" s="29"/>
    </row>
    <row r="78" spans="1:20" ht="25.2" thickTop="1">
      <c r="A78" s="29"/>
      <c r="B78" s="116" t="s">
        <v>117</v>
      </c>
      <c r="C78" s="46"/>
      <c r="D78" s="46"/>
      <c r="E78" s="28"/>
      <c r="F78" s="28"/>
      <c r="G78" s="46"/>
      <c r="H78" s="46"/>
      <c r="I78" s="46"/>
      <c r="J78" s="137"/>
      <c r="K78" s="138"/>
      <c r="L78" s="139"/>
      <c r="M78" s="28"/>
      <c r="N78" s="28"/>
      <c r="O78" s="72">
        <v>0</v>
      </c>
      <c r="P78" s="46"/>
      <c r="Q78" s="140">
        <v>0</v>
      </c>
      <c r="R78" s="46"/>
    </row>
    <row r="79" spans="1:20" ht="24.6">
      <c r="A79" s="29"/>
      <c r="B79" s="116" t="s">
        <v>118</v>
      </c>
      <c r="C79" s="46"/>
      <c r="D79" s="46"/>
      <c r="E79" s="25"/>
      <c r="F79" s="28"/>
      <c r="G79" s="46"/>
      <c r="H79" s="46"/>
      <c r="I79" s="46"/>
      <c r="J79" s="137"/>
      <c r="K79" s="138"/>
      <c r="L79" s="139"/>
      <c r="M79" s="28"/>
      <c r="N79" s="28"/>
      <c r="O79" s="72">
        <v>0</v>
      </c>
      <c r="P79" s="46"/>
      <c r="Q79" s="73">
        <v>0</v>
      </c>
      <c r="R79" s="29"/>
    </row>
    <row r="80" spans="1:20" ht="24.6">
      <c r="A80" s="25">
        <v>1</v>
      </c>
      <c r="B80" s="119" t="s">
        <v>119</v>
      </c>
      <c r="C80" s="46"/>
      <c r="D80" s="98">
        <v>0</v>
      </c>
      <c r="E80" s="25"/>
      <c r="F80" s="28"/>
      <c r="G80" s="49">
        <v>0</v>
      </c>
      <c r="H80" s="49">
        <v>0</v>
      </c>
      <c r="I80" s="49">
        <v>0</v>
      </c>
      <c r="J80" s="26"/>
      <c r="K80" s="16"/>
      <c r="L80" s="118"/>
      <c r="M80" s="119"/>
      <c r="N80" s="28"/>
      <c r="O80" s="72">
        <v>0</v>
      </c>
      <c r="P80" s="141">
        <v>0</v>
      </c>
      <c r="Q80" s="73">
        <v>0</v>
      </c>
      <c r="R80" s="29" t="s">
        <v>120</v>
      </c>
    </row>
    <row r="81" spans="1:18" ht="24.6">
      <c r="A81" s="25"/>
      <c r="B81" s="29" t="s">
        <v>120</v>
      </c>
      <c r="C81" s="46"/>
      <c r="D81" s="98"/>
      <c r="E81" s="25"/>
      <c r="F81" s="28"/>
      <c r="G81" s="49">
        <v>0</v>
      </c>
      <c r="H81" s="49"/>
      <c r="I81" s="49">
        <v>0</v>
      </c>
      <c r="J81" s="26"/>
      <c r="K81" s="16"/>
      <c r="L81" s="118"/>
      <c r="M81" s="25"/>
      <c r="N81" s="28"/>
      <c r="O81" s="72">
        <v>0</v>
      </c>
      <c r="P81" s="46"/>
      <c r="Q81" s="73">
        <v>0</v>
      </c>
      <c r="R81" s="29"/>
    </row>
    <row r="82" spans="1:18" ht="24.6">
      <c r="A82" s="25">
        <v>2</v>
      </c>
      <c r="B82" s="119" t="s">
        <v>121</v>
      </c>
      <c r="C82" s="46"/>
      <c r="D82" s="98">
        <v>6000</v>
      </c>
      <c r="E82" s="25"/>
      <c r="F82" s="25"/>
      <c r="G82" s="49">
        <v>0</v>
      </c>
      <c r="H82" s="49">
        <v>0</v>
      </c>
      <c r="I82" s="49">
        <v>0</v>
      </c>
      <c r="J82" s="69">
        <v>25208</v>
      </c>
      <c r="K82" s="70" t="s">
        <v>339</v>
      </c>
      <c r="L82" s="83">
        <v>6000</v>
      </c>
      <c r="M82" s="25"/>
      <c r="N82" s="25"/>
      <c r="O82" s="72">
        <v>0</v>
      </c>
      <c r="P82" s="73">
        <v>0</v>
      </c>
      <c r="Q82" s="73">
        <v>0</v>
      </c>
      <c r="R82" s="29"/>
    </row>
    <row r="83" spans="1:18" ht="24.6">
      <c r="A83" s="29"/>
      <c r="B83" s="45" t="s">
        <v>123</v>
      </c>
      <c r="C83" s="46"/>
      <c r="D83" s="46"/>
      <c r="E83" s="28"/>
      <c r="F83" s="28"/>
      <c r="G83" s="46">
        <v>0</v>
      </c>
      <c r="H83" s="46"/>
      <c r="I83" s="49">
        <v>0</v>
      </c>
      <c r="J83" s="142"/>
      <c r="K83" s="143"/>
      <c r="L83" s="144"/>
      <c r="M83" s="28"/>
      <c r="N83" s="28"/>
      <c r="O83" s="72">
        <v>0</v>
      </c>
      <c r="P83" s="46"/>
      <c r="Q83" s="73">
        <v>0</v>
      </c>
      <c r="R83" s="29"/>
    </row>
    <row r="84" spans="1:18" ht="24.6">
      <c r="A84" s="25">
        <v>1</v>
      </c>
      <c r="B84" s="29" t="s">
        <v>124</v>
      </c>
      <c r="C84" s="29"/>
      <c r="D84" s="49">
        <v>600</v>
      </c>
      <c r="E84" s="25"/>
      <c r="F84" s="25"/>
      <c r="G84" s="49">
        <v>0</v>
      </c>
      <c r="H84" s="49">
        <v>0</v>
      </c>
      <c r="I84" s="49">
        <v>0</v>
      </c>
      <c r="J84" s="69">
        <v>25231</v>
      </c>
      <c r="K84" s="70" t="s">
        <v>340</v>
      </c>
      <c r="L84" s="83">
        <v>600</v>
      </c>
      <c r="M84" s="25"/>
      <c r="N84" s="25"/>
      <c r="O84" s="72">
        <v>0</v>
      </c>
      <c r="P84" s="73">
        <v>0</v>
      </c>
      <c r="Q84" s="73">
        <v>0</v>
      </c>
      <c r="R84" s="29"/>
    </row>
    <row r="85" spans="1:18" ht="24.6">
      <c r="A85" s="25">
        <v>2</v>
      </c>
      <c r="B85" s="29" t="s">
        <v>40</v>
      </c>
      <c r="C85" s="29"/>
      <c r="D85" s="49">
        <v>0</v>
      </c>
      <c r="E85" s="25"/>
      <c r="F85" s="25"/>
      <c r="G85" s="49">
        <v>0</v>
      </c>
      <c r="H85" s="49">
        <v>0</v>
      </c>
      <c r="I85" s="49">
        <v>0</v>
      </c>
      <c r="J85" s="69"/>
      <c r="K85" s="70"/>
      <c r="L85" s="83"/>
      <c r="M85" s="25"/>
      <c r="N85" s="25"/>
      <c r="O85" s="72">
        <v>0</v>
      </c>
      <c r="P85" s="73">
        <v>0</v>
      </c>
      <c r="Q85" s="73">
        <v>0</v>
      </c>
      <c r="R85" s="29" t="s">
        <v>126</v>
      </c>
    </row>
    <row r="86" spans="1:18" ht="24.6">
      <c r="A86" s="25"/>
      <c r="B86" s="124" t="s">
        <v>127</v>
      </c>
      <c r="C86" s="29"/>
      <c r="D86" s="49"/>
      <c r="E86" s="25"/>
      <c r="F86" s="25"/>
      <c r="G86" s="49">
        <v>0</v>
      </c>
      <c r="H86" s="29"/>
      <c r="I86" s="49">
        <v>0</v>
      </c>
      <c r="J86" s="26"/>
      <c r="K86" s="16"/>
      <c r="L86" s="118"/>
      <c r="M86" s="25"/>
      <c r="N86" s="25"/>
      <c r="O86" s="72">
        <v>0</v>
      </c>
      <c r="P86" s="49"/>
      <c r="Q86" s="73">
        <v>0</v>
      </c>
      <c r="R86" s="29"/>
    </row>
    <row r="87" spans="1:18" ht="24.6">
      <c r="A87" s="25">
        <v>1</v>
      </c>
      <c r="B87" s="119" t="s">
        <v>128</v>
      </c>
      <c r="C87" s="29"/>
      <c r="D87" s="49"/>
      <c r="E87" s="25"/>
      <c r="F87" s="25"/>
      <c r="G87" s="49">
        <v>0</v>
      </c>
      <c r="H87" s="49">
        <v>0</v>
      </c>
      <c r="I87" s="49">
        <v>0</v>
      </c>
      <c r="J87" s="26"/>
      <c r="K87" s="16"/>
      <c r="L87" s="118"/>
      <c r="M87" s="25"/>
      <c r="N87" s="25"/>
      <c r="O87" s="72">
        <v>0</v>
      </c>
      <c r="P87" s="73">
        <v>0</v>
      </c>
      <c r="Q87" s="73">
        <v>0</v>
      </c>
      <c r="R87" s="29" t="s">
        <v>129</v>
      </c>
    </row>
    <row r="88" spans="1:18" ht="24.6">
      <c r="A88" s="25">
        <v>2</v>
      </c>
      <c r="B88" s="29" t="s">
        <v>130</v>
      </c>
      <c r="C88" s="29"/>
      <c r="D88" s="49">
        <v>550</v>
      </c>
      <c r="E88" s="25"/>
      <c r="F88" s="25"/>
      <c r="G88" s="49">
        <v>0</v>
      </c>
      <c r="H88" s="49">
        <v>0</v>
      </c>
      <c r="I88" s="49">
        <v>0</v>
      </c>
      <c r="J88" s="69">
        <v>25233</v>
      </c>
      <c r="K88" s="70" t="s">
        <v>341</v>
      </c>
      <c r="L88" s="83">
        <v>550</v>
      </c>
      <c r="M88" s="25"/>
      <c r="N88" s="25"/>
      <c r="O88" s="72">
        <v>0</v>
      </c>
      <c r="P88" s="73">
        <v>0</v>
      </c>
      <c r="Q88" s="73">
        <v>0</v>
      </c>
      <c r="R88" s="29"/>
    </row>
    <row r="89" spans="1:18" ht="24.6">
      <c r="A89" s="25">
        <v>3</v>
      </c>
      <c r="B89" s="29" t="s">
        <v>132</v>
      </c>
      <c r="C89" s="29"/>
      <c r="D89" s="49">
        <v>1100</v>
      </c>
      <c r="E89" s="25" t="s">
        <v>321</v>
      </c>
      <c r="F89" s="25">
        <v>1</v>
      </c>
      <c r="G89" s="89">
        <v>1100</v>
      </c>
      <c r="H89" s="49">
        <v>0</v>
      </c>
      <c r="I89" s="49">
        <v>1100</v>
      </c>
      <c r="J89" s="69">
        <v>25223</v>
      </c>
      <c r="K89" s="70" t="s">
        <v>342</v>
      </c>
      <c r="L89" s="83">
        <v>1100</v>
      </c>
      <c r="M89" s="25" t="s">
        <v>335</v>
      </c>
      <c r="N89" s="25">
        <v>1</v>
      </c>
      <c r="O89" s="72">
        <f>SUM(D89+I89-L89)</f>
        <v>1100</v>
      </c>
      <c r="P89" s="72"/>
      <c r="Q89" s="72">
        <f>SUM(D89+I89-L89)</f>
        <v>1100</v>
      </c>
      <c r="R89" s="29"/>
    </row>
    <row r="90" spans="1:18" ht="24.6">
      <c r="A90" s="25">
        <v>4</v>
      </c>
      <c r="B90" s="29" t="s">
        <v>134</v>
      </c>
      <c r="C90" s="29"/>
      <c r="D90" s="49">
        <v>1650</v>
      </c>
      <c r="E90" s="25"/>
      <c r="F90" s="25"/>
      <c r="G90" s="89">
        <v>0</v>
      </c>
      <c r="H90" s="49">
        <v>0</v>
      </c>
      <c r="I90" s="49">
        <v>0</v>
      </c>
      <c r="J90" s="69">
        <v>25233</v>
      </c>
      <c r="K90" s="84" t="s">
        <v>343</v>
      </c>
      <c r="L90" s="83">
        <v>1650</v>
      </c>
      <c r="M90" s="25"/>
      <c r="N90" s="25"/>
      <c r="O90" s="72">
        <f t="shared" ref="O90:O95" si="6">SUM(D90+I90-L90)</f>
        <v>0</v>
      </c>
      <c r="P90" s="73">
        <v>0</v>
      </c>
      <c r="Q90" s="72">
        <f t="shared" ref="Q90:Q94" si="7">SUM(D90+I90-L90)</f>
        <v>0</v>
      </c>
      <c r="R90" s="29"/>
    </row>
    <row r="91" spans="1:18" ht="24.6">
      <c r="A91" s="25"/>
      <c r="B91" s="116" t="s">
        <v>136</v>
      </c>
      <c r="C91" s="29"/>
      <c r="D91" s="49"/>
      <c r="E91" s="25"/>
      <c r="F91" s="25"/>
      <c r="G91" s="89">
        <v>0</v>
      </c>
      <c r="H91" s="29"/>
      <c r="I91" s="49">
        <v>0</v>
      </c>
      <c r="J91" s="69"/>
      <c r="K91" s="70"/>
      <c r="L91" s="83"/>
      <c r="M91" s="25"/>
      <c r="N91" s="25"/>
      <c r="O91" s="72">
        <f t="shared" si="6"/>
        <v>0</v>
      </c>
      <c r="P91" s="49"/>
      <c r="Q91" s="72">
        <f t="shared" si="7"/>
        <v>0</v>
      </c>
      <c r="R91" s="29"/>
    </row>
    <row r="92" spans="1:18" ht="24.6">
      <c r="A92" s="25">
        <v>1</v>
      </c>
      <c r="B92" s="29" t="s">
        <v>137</v>
      </c>
      <c r="C92" s="29"/>
      <c r="D92" s="49">
        <v>5000</v>
      </c>
      <c r="E92" s="25" t="s">
        <v>321</v>
      </c>
      <c r="F92" s="25">
        <v>1</v>
      </c>
      <c r="G92" s="89">
        <v>5000</v>
      </c>
      <c r="H92" s="49">
        <v>0</v>
      </c>
      <c r="I92" s="49">
        <v>5000</v>
      </c>
      <c r="J92" s="69">
        <v>25233</v>
      </c>
      <c r="K92" s="70" t="s">
        <v>344</v>
      </c>
      <c r="L92" s="83">
        <v>5000</v>
      </c>
      <c r="M92" s="68" t="s">
        <v>335</v>
      </c>
      <c r="N92" s="25">
        <v>1</v>
      </c>
      <c r="O92" s="72">
        <f t="shared" si="6"/>
        <v>5000</v>
      </c>
      <c r="P92" s="73">
        <v>0</v>
      </c>
      <c r="Q92" s="72">
        <f t="shared" si="7"/>
        <v>5000</v>
      </c>
      <c r="R92" s="29"/>
    </row>
    <row r="93" spans="1:18" ht="24.6">
      <c r="A93" s="25"/>
      <c r="B93" s="29"/>
      <c r="C93" s="29"/>
      <c r="D93" s="49"/>
      <c r="E93" s="25"/>
      <c r="F93" s="25"/>
      <c r="G93" s="49">
        <v>0</v>
      </c>
      <c r="H93" s="49"/>
      <c r="I93" s="49">
        <v>0</v>
      </c>
      <c r="J93" s="69"/>
      <c r="K93" s="70"/>
      <c r="L93" s="83"/>
      <c r="M93" s="25"/>
      <c r="N93" s="25"/>
      <c r="O93" s="72">
        <f t="shared" si="6"/>
        <v>0</v>
      </c>
      <c r="P93" s="49"/>
      <c r="Q93" s="72">
        <f t="shared" si="7"/>
        <v>0</v>
      </c>
      <c r="R93" s="29"/>
    </row>
    <row r="94" spans="1:18" ht="24.6">
      <c r="A94" s="25"/>
      <c r="B94" s="116" t="s">
        <v>140</v>
      </c>
      <c r="C94" s="29"/>
      <c r="D94" s="49"/>
      <c r="E94" s="25"/>
      <c r="F94" s="25"/>
      <c r="G94" s="49">
        <v>0</v>
      </c>
      <c r="H94" s="49"/>
      <c r="I94" s="49">
        <v>0</v>
      </c>
      <c r="J94" s="69"/>
      <c r="K94" s="84"/>
      <c r="L94" s="83"/>
      <c r="M94" s="25"/>
      <c r="N94" s="25"/>
      <c r="O94" s="72">
        <f t="shared" si="6"/>
        <v>0</v>
      </c>
      <c r="P94" s="49"/>
      <c r="Q94" s="72">
        <f t="shared" si="7"/>
        <v>0</v>
      </c>
      <c r="R94" s="29"/>
    </row>
    <row r="95" spans="1:18" ht="24.6">
      <c r="A95" s="25">
        <v>1</v>
      </c>
      <c r="B95" s="29" t="s">
        <v>141</v>
      </c>
      <c r="C95" s="29"/>
      <c r="D95" s="49">
        <v>0</v>
      </c>
      <c r="E95" s="25"/>
      <c r="F95" s="25"/>
      <c r="G95" s="49">
        <v>0</v>
      </c>
      <c r="H95" s="49">
        <v>0</v>
      </c>
      <c r="I95" s="49">
        <v>0</v>
      </c>
      <c r="J95" s="69"/>
      <c r="K95" s="70"/>
      <c r="L95" s="83"/>
      <c r="M95" s="25"/>
      <c r="N95" s="25"/>
      <c r="O95" s="72">
        <f t="shared" si="6"/>
        <v>0</v>
      </c>
      <c r="P95" s="73">
        <v>0</v>
      </c>
      <c r="Q95" s="73">
        <v>0</v>
      </c>
      <c r="R95" s="29"/>
    </row>
    <row r="96" spans="1:18" ht="24.6">
      <c r="A96" s="25"/>
      <c r="B96" s="116" t="s">
        <v>142</v>
      </c>
      <c r="C96" s="29"/>
      <c r="D96" s="49"/>
      <c r="E96" s="25"/>
      <c r="F96" s="25"/>
      <c r="G96" s="49">
        <v>0</v>
      </c>
      <c r="H96" s="29"/>
      <c r="I96" s="49">
        <v>0</v>
      </c>
      <c r="J96" s="69"/>
      <c r="K96" s="70"/>
      <c r="L96" s="83"/>
      <c r="M96" s="25"/>
      <c r="N96" s="25"/>
      <c r="O96" s="72">
        <v>0</v>
      </c>
      <c r="P96" s="49"/>
      <c r="Q96" s="73">
        <v>0</v>
      </c>
      <c r="R96" s="29"/>
    </row>
    <row r="97" spans="1:18" ht="24.6">
      <c r="A97" s="25">
        <v>1</v>
      </c>
      <c r="B97" s="29" t="s">
        <v>143</v>
      </c>
      <c r="C97" s="29"/>
      <c r="D97" s="49">
        <v>0</v>
      </c>
      <c r="E97" s="25"/>
      <c r="F97" s="25"/>
      <c r="G97" s="49">
        <v>0</v>
      </c>
      <c r="H97" s="49">
        <v>0</v>
      </c>
      <c r="I97" s="49">
        <v>0</v>
      </c>
      <c r="J97" s="69"/>
      <c r="K97" s="70"/>
      <c r="L97" s="83"/>
      <c r="M97" s="25"/>
      <c r="N97" s="25"/>
      <c r="O97" s="72">
        <v>0</v>
      </c>
      <c r="P97" s="73">
        <v>0</v>
      </c>
      <c r="Q97" s="73">
        <v>0</v>
      </c>
      <c r="R97" s="29" t="s">
        <v>64</v>
      </c>
    </row>
    <row r="98" spans="1:18" ht="24.6">
      <c r="A98" s="25"/>
      <c r="B98" s="29"/>
      <c r="C98" s="29"/>
      <c r="D98" s="49"/>
      <c r="E98" s="25"/>
      <c r="F98" s="25"/>
      <c r="G98" s="49">
        <v>0</v>
      </c>
      <c r="H98" s="49"/>
      <c r="I98" s="49">
        <v>0</v>
      </c>
      <c r="J98" s="26"/>
      <c r="K98" s="16"/>
      <c r="L98" s="118"/>
      <c r="M98" s="25"/>
      <c r="N98" s="25"/>
      <c r="O98" s="72">
        <v>0</v>
      </c>
      <c r="P98" s="49"/>
      <c r="Q98" s="73">
        <v>0</v>
      </c>
      <c r="R98" s="29"/>
    </row>
    <row r="99" spans="1:18" ht="24.6">
      <c r="A99" s="25">
        <v>2</v>
      </c>
      <c r="B99" s="29" t="s">
        <v>144</v>
      </c>
      <c r="C99" s="29"/>
      <c r="D99" s="49">
        <v>0</v>
      </c>
      <c r="E99" s="25"/>
      <c r="F99" s="25"/>
      <c r="G99" s="49">
        <v>0</v>
      </c>
      <c r="H99" s="49">
        <v>0</v>
      </c>
      <c r="I99" s="49">
        <v>0</v>
      </c>
      <c r="J99" s="145"/>
      <c r="K99" s="146"/>
      <c r="L99" s="147"/>
      <c r="M99" s="25"/>
      <c r="N99" s="25"/>
      <c r="O99" s="72">
        <v>0</v>
      </c>
      <c r="P99" s="73">
        <v>0</v>
      </c>
      <c r="Q99" s="73">
        <v>0</v>
      </c>
      <c r="R99" s="29" t="s">
        <v>145</v>
      </c>
    </row>
    <row r="100" spans="1:18" ht="24.6">
      <c r="A100" s="25"/>
      <c r="B100" s="29"/>
      <c r="C100" s="29"/>
      <c r="D100" s="49"/>
      <c r="E100" s="25"/>
      <c r="F100" s="25"/>
      <c r="G100" s="49">
        <v>0</v>
      </c>
      <c r="H100" s="49"/>
      <c r="I100" s="49">
        <v>0</v>
      </c>
      <c r="J100" s="26"/>
      <c r="K100" s="16"/>
      <c r="L100" s="118"/>
      <c r="M100" s="25"/>
      <c r="N100" s="25"/>
      <c r="O100" s="72">
        <v>0</v>
      </c>
      <c r="P100" s="49"/>
      <c r="Q100" s="73">
        <v>0</v>
      </c>
      <c r="R100" s="29"/>
    </row>
    <row r="101" spans="1:18" ht="24.6">
      <c r="A101" s="25">
        <v>3</v>
      </c>
      <c r="B101" s="29" t="s">
        <v>146</v>
      </c>
      <c r="C101" s="29"/>
      <c r="D101" s="49">
        <v>0</v>
      </c>
      <c r="E101" s="25"/>
      <c r="F101" s="25"/>
      <c r="G101" s="52">
        <v>0</v>
      </c>
      <c r="H101" s="49">
        <v>0</v>
      </c>
      <c r="I101" s="49">
        <v>0</v>
      </c>
      <c r="J101" s="69"/>
      <c r="K101" s="70"/>
      <c r="L101" s="83"/>
      <c r="M101" s="25"/>
      <c r="N101" s="25"/>
      <c r="O101" s="72">
        <v>0</v>
      </c>
      <c r="P101" s="73">
        <v>0</v>
      </c>
      <c r="Q101" s="73">
        <v>0</v>
      </c>
      <c r="R101" s="29"/>
    </row>
    <row r="102" spans="1:18" ht="24.6">
      <c r="A102" s="25"/>
      <c r="B102" s="29"/>
      <c r="C102" s="29"/>
      <c r="D102" s="49">
        <v>0</v>
      </c>
      <c r="E102" s="25"/>
      <c r="F102" s="25"/>
      <c r="G102" s="52">
        <v>0</v>
      </c>
      <c r="H102" s="49"/>
      <c r="I102" s="49">
        <v>0</v>
      </c>
      <c r="J102" s="26"/>
      <c r="K102" s="16"/>
      <c r="L102" s="118"/>
      <c r="M102" s="25"/>
      <c r="N102" s="25"/>
      <c r="O102" s="72">
        <v>0</v>
      </c>
      <c r="P102" s="49"/>
      <c r="Q102" s="73">
        <v>0</v>
      </c>
      <c r="R102" s="29"/>
    </row>
    <row r="103" spans="1:18" ht="24.6">
      <c r="A103" s="25">
        <v>4</v>
      </c>
      <c r="B103" s="29" t="s">
        <v>147</v>
      </c>
      <c r="C103" s="29"/>
      <c r="D103" s="49">
        <v>0</v>
      </c>
      <c r="E103" s="25"/>
      <c r="F103" s="25"/>
      <c r="G103" s="72">
        <v>0</v>
      </c>
      <c r="H103" s="73">
        <v>0</v>
      </c>
      <c r="I103" s="73">
        <v>0</v>
      </c>
      <c r="J103" s="69"/>
      <c r="K103" s="70"/>
      <c r="L103" s="83"/>
      <c r="M103" s="25"/>
      <c r="N103" s="25"/>
      <c r="O103" s="72">
        <v>0</v>
      </c>
      <c r="P103" s="73">
        <v>0</v>
      </c>
      <c r="Q103" s="73">
        <v>0</v>
      </c>
      <c r="R103" s="29" t="s">
        <v>148</v>
      </c>
    </row>
    <row r="104" spans="1:18" ht="24.6">
      <c r="A104" s="25">
        <v>5</v>
      </c>
      <c r="B104" s="29" t="s">
        <v>149</v>
      </c>
      <c r="C104" s="29"/>
      <c r="D104" s="49">
        <v>0</v>
      </c>
      <c r="E104" s="25"/>
      <c r="F104" s="25"/>
      <c r="G104" s="72">
        <v>0</v>
      </c>
      <c r="H104" s="73">
        <v>0</v>
      </c>
      <c r="I104" s="73">
        <v>0</v>
      </c>
      <c r="J104" s="69"/>
      <c r="K104" s="70"/>
      <c r="L104" s="83"/>
      <c r="M104" s="25"/>
      <c r="N104" s="25"/>
      <c r="O104" s="72">
        <v>0</v>
      </c>
      <c r="P104" s="73">
        <v>0</v>
      </c>
      <c r="Q104" s="73">
        <v>0</v>
      </c>
      <c r="R104" s="29" t="s">
        <v>150</v>
      </c>
    </row>
    <row r="105" spans="1:18" ht="24.6">
      <c r="A105" s="25">
        <v>6</v>
      </c>
      <c r="B105" s="29" t="s">
        <v>151</v>
      </c>
      <c r="C105" s="29"/>
      <c r="D105" s="49"/>
      <c r="E105" s="25"/>
      <c r="F105" s="25"/>
      <c r="G105" s="72">
        <v>0</v>
      </c>
      <c r="H105" s="73"/>
      <c r="I105" s="73">
        <v>0</v>
      </c>
      <c r="J105" s="69"/>
      <c r="K105" s="70"/>
      <c r="L105" s="83"/>
      <c r="M105" s="25"/>
      <c r="N105" s="25"/>
      <c r="O105" s="72">
        <v>0</v>
      </c>
      <c r="P105" s="73"/>
      <c r="Q105" s="73">
        <v>0</v>
      </c>
      <c r="R105" s="29" t="s">
        <v>152</v>
      </c>
    </row>
    <row r="106" spans="1:18" ht="24.6">
      <c r="A106" s="25">
        <v>7</v>
      </c>
      <c r="B106" s="29" t="s">
        <v>153</v>
      </c>
      <c r="C106" s="29"/>
      <c r="D106" s="49"/>
      <c r="E106" s="25"/>
      <c r="F106" s="25"/>
      <c r="G106" s="72">
        <v>0</v>
      </c>
      <c r="H106" s="73"/>
      <c r="I106" s="73">
        <v>0</v>
      </c>
      <c r="J106" s="69"/>
      <c r="K106" s="70"/>
      <c r="L106" s="83"/>
      <c r="M106" s="25"/>
      <c r="N106" s="25"/>
      <c r="O106" s="72">
        <v>0</v>
      </c>
      <c r="P106" s="73"/>
      <c r="Q106" s="73">
        <v>0</v>
      </c>
      <c r="R106" s="29" t="s">
        <v>64</v>
      </c>
    </row>
    <row r="107" spans="1:18" ht="24.6">
      <c r="A107" s="25">
        <v>8</v>
      </c>
      <c r="B107" s="29" t="s">
        <v>154</v>
      </c>
      <c r="C107" s="29"/>
      <c r="D107" s="49"/>
      <c r="E107" s="25"/>
      <c r="F107" s="25"/>
      <c r="G107" s="72">
        <v>0</v>
      </c>
      <c r="H107" s="73"/>
      <c r="I107" s="73">
        <v>0</v>
      </c>
      <c r="J107" s="69"/>
      <c r="K107" s="70"/>
      <c r="L107" s="83"/>
      <c r="M107" s="25"/>
      <c r="N107" s="25"/>
      <c r="O107" s="72">
        <v>0</v>
      </c>
      <c r="P107" s="73"/>
      <c r="Q107" s="73">
        <v>0</v>
      </c>
      <c r="R107" s="29" t="s">
        <v>155</v>
      </c>
    </row>
    <row r="108" spans="1:18" ht="24.6">
      <c r="A108" s="25">
        <v>9</v>
      </c>
      <c r="B108" s="29" t="s">
        <v>156</v>
      </c>
      <c r="C108" s="29"/>
      <c r="D108" s="49"/>
      <c r="E108" s="25"/>
      <c r="F108" s="25"/>
      <c r="G108" s="72">
        <v>0</v>
      </c>
      <c r="H108" s="73"/>
      <c r="I108" s="73">
        <v>0</v>
      </c>
      <c r="J108" s="69"/>
      <c r="K108" s="70"/>
      <c r="L108" s="83"/>
      <c r="M108" s="25"/>
      <c r="N108" s="25"/>
      <c r="O108" s="72">
        <v>0</v>
      </c>
      <c r="P108" s="73"/>
      <c r="Q108" s="73">
        <v>0</v>
      </c>
      <c r="R108" s="29" t="s">
        <v>64</v>
      </c>
    </row>
    <row r="109" spans="1:18" ht="24.6">
      <c r="A109" s="25">
        <v>10</v>
      </c>
      <c r="B109" s="29" t="s">
        <v>157</v>
      </c>
      <c r="C109" s="29"/>
      <c r="D109" s="49"/>
      <c r="E109" s="25"/>
      <c r="F109" s="25"/>
      <c r="G109" s="72">
        <v>0</v>
      </c>
      <c r="H109" s="73"/>
      <c r="I109" s="73">
        <v>0</v>
      </c>
      <c r="J109" s="69"/>
      <c r="K109" s="70"/>
      <c r="L109" s="83"/>
      <c r="M109" s="25"/>
      <c r="N109" s="25"/>
      <c r="O109" s="72">
        <v>0</v>
      </c>
      <c r="P109" s="73"/>
      <c r="Q109" s="73">
        <v>0</v>
      </c>
      <c r="R109" s="29" t="s">
        <v>158</v>
      </c>
    </row>
    <row r="110" spans="1:18" ht="24.6">
      <c r="A110" s="25">
        <v>11</v>
      </c>
      <c r="B110" s="148" t="s">
        <v>159</v>
      </c>
      <c r="C110" s="29"/>
      <c r="D110" s="49">
        <v>0</v>
      </c>
      <c r="E110" s="25"/>
      <c r="F110" s="25"/>
      <c r="G110" s="72">
        <v>0</v>
      </c>
      <c r="H110" s="73">
        <v>0</v>
      </c>
      <c r="I110" s="73">
        <v>0</v>
      </c>
      <c r="J110" s="69"/>
      <c r="K110" s="83"/>
      <c r="L110" s="83"/>
      <c r="M110" s="25"/>
      <c r="N110" s="25"/>
      <c r="O110" s="72">
        <v>0</v>
      </c>
      <c r="P110" s="73">
        <v>0</v>
      </c>
      <c r="Q110" s="73">
        <v>0</v>
      </c>
      <c r="R110" s="29"/>
    </row>
    <row r="111" spans="1:18" ht="24.6">
      <c r="A111" s="25">
        <v>12</v>
      </c>
      <c r="B111" s="29" t="s">
        <v>160</v>
      </c>
      <c r="C111" s="29"/>
      <c r="D111" s="49">
        <v>0</v>
      </c>
      <c r="E111" s="25"/>
      <c r="F111" s="25"/>
      <c r="G111" s="72">
        <v>0</v>
      </c>
      <c r="H111" s="73">
        <v>0</v>
      </c>
      <c r="I111" s="73">
        <v>0</v>
      </c>
      <c r="J111" s="69"/>
      <c r="K111" s="70"/>
      <c r="L111" s="83"/>
      <c r="M111" s="25"/>
      <c r="N111" s="25"/>
      <c r="O111" s="72">
        <v>0</v>
      </c>
      <c r="P111" s="73">
        <v>0</v>
      </c>
      <c r="Q111" s="73">
        <v>0</v>
      </c>
      <c r="R111" s="149" t="s">
        <v>161</v>
      </c>
    </row>
    <row r="112" spans="1:18" ht="24.6">
      <c r="A112" s="25">
        <v>13</v>
      </c>
      <c r="B112" s="148" t="s">
        <v>162</v>
      </c>
      <c r="C112" s="29"/>
      <c r="D112" s="49">
        <v>0</v>
      </c>
      <c r="E112" s="25"/>
      <c r="F112" s="25"/>
      <c r="G112" s="72">
        <v>0</v>
      </c>
      <c r="H112" s="73">
        <v>0</v>
      </c>
      <c r="I112" s="73">
        <v>0</v>
      </c>
      <c r="J112" s="69"/>
      <c r="K112" s="70"/>
      <c r="L112" s="150"/>
      <c r="M112" s="25"/>
      <c r="N112" s="25"/>
      <c r="O112" s="72">
        <v>0</v>
      </c>
      <c r="P112" s="73">
        <v>0</v>
      </c>
      <c r="Q112" s="73">
        <v>0</v>
      </c>
      <c r="R112" s="29" t="s">
        <v>163</v>
      </c>
    </row>
    <row r="113" spans="1:18" ht="24.6">
      <c r="A113" s="25">
        <v>14</v>
      </c>
      <c r="B113" s="148" t="s">
        <v>164</v>
      </c>
      <c r="C113" s="29"/>
      <c r="D113" s="49">
        <v>0</v>
      </c>
      <c r="E113" s="25"/>
      <c r="F113" s="25"/>
      <c r="G113" s="72">
        <v>0</v>
      </c>
      <c r="H113" s="73">
        <v>0</v>
      </c>
      <c r="I113" s="73">
        <v>0</v>
      </c>
      <c r="J113" s="69"/>
      <c r="K113" s="70"/>
      <c r="L113" s="150"/>
      <c r="M113" s="25"/>
      <c r="N113" s="25"/>
      <c r="O113" s="72">
        <v>0</v>
      </c>
      <c r="P113" s="73">
        <v>0</v>
      </c>
      <c r="Q113" s="73">
        <v>0</v>
      </c>
      <c r="R113" s="29" t="s">
        <v>165</v>
      </c>
    </row>
    <row r="114" spans="1:18" ht="24.6">
      <c r="A114" s="25">
        <v>15</v>
      </c>
      <c r="B114" s="148" t="s">
        <v>166</v>
      </c>
      <c r="C114" s="29"/>
      <c r="D114" s="49">
        <v>0</v>
      </c>
      <c r="E114" s="25"/>
      <c r="F114" s="25"/>
      <c r="G114" s="72">
        <v>0</v>
      </c>
      <c r="H114" s="73">
        <v>0</v>
      </c>
      <c r="I114" s="73">
        <v>0</v>
      </c>
      <c r="J114" s="69"/>
      <c r="K114" s="70"/>
      <c r="L114" s="150"/>
      <c r="M114" s="25"/>
      <c r="N114" s="25"/>
      <c r="O114" s="72">
        <v>0</v>
      </c>
      <c r="P114" s="73">
        <v>0</v>
      </c>
      <c r="Q114" s="73">
        <v>0</v>
      </c>
      <c r="R114" s="29" t="s">
        <v>64</v>
      </c>
    </row>
    <row r="115" spans="1:18" ht="18.75" customHeight="1">
      <c r="A115" s="3">
        <v>16</v>
      </c>
      <c r="B115" s="151" t="s">
        <v>167</v>
      </c>
      <c r="C115" s="29"/>
      <c r="D115" s="49">
        <v>0</v>
      </c>
      <c r="E115" s="25"/>
      <c r="F115" s="25"/>
      <c r="G115" s="72">
        <v>0</v>
      </c>
      <c r="H115" s="73">
        <v>0</v>
      </c>
      <c r="I115" s="73">
        <v>0</v>
      </c>
      <c r="J115" s="69"/>
      <c r="K115" s="70"/>
      <c r="L115" s="150"/>
      <c r="M115" s="25"/>
      <c r="N115" s="25"/>
      <c r="O115" s="72">
        <v>0</v>
      </c>
      <c r="P115" s="73">
        <v>0</v>
      </c>
      <c r="Q115" s="73">
        <v>0</v>
      </c>
      <c r="R115" s="29" t="s">
        <v>145</v>
      </c>
    </row>
    <row r="116" spans="1:18" ht="25.2" thickBot="1">
      <c r="A116" s="29"/>
      <c r="B116" s="25" t="s">
        <v>26</v>
      </c>
      <c r="C116" s="64"/>
      <c r="D116" s="63">
        <f>SUM(D80:D115)</f>
        <v>14900</v>
      </c>
      <c r="E116" s="63"/>
      <c r="F116" s="63"/>
      <c r="G116" s="63">
        <f>SUM(G80:G115)</f>
        <v>6100</v>
      </c>
      <c r="H116" s="63">
        <f t="shared" ref="H116:I116" si="8">SUM(H80:H115)</f>
        <v>0</v>
      </c>
      <c r="I116" s="63">
        <f t="shared" si="8"/>
        <v>6100</v>
      </c>
      <c r="J116" s="67"/>
      <c r="K116" s="67"/>
      <c r="L116" s="67">
        <f>SUM(L80:L115)</f>
        <v>14900</v>
      </c>
      <c r="M116" s="63"/>
      <c r="N116" s="105"/>
      <c r="O116" s="106">
        <f>SUM(O80:O115)</f>
        <v>6100</v>
      </c>
      <c r="P116" s="106">
        <f t="shared" ref="P116:Q116" si="9">SUM(P80:P115)</f>
        <v>0</v>
      </c>
      <c r="Q116" s="106">
        <f t="shared" si="9"/>
        <v>6100</v>
      </c>
      <c r="R116" s="29"/>
    </row>
    <row r="117" spans="1:18" ht="25.2" thickTop="1">
      <c r="A117" s="29"/>
      <c r="B117" s="25"/>
      <c r="C117" s="46"/>
      <c r="D117" s="57"/>
      <c r="E117" s="46"/>
      <c r="F117" s="46"/>
      <c r="G117" s="57"/>
      <c r="H117" s="57"/>
      <c r="I117" s="57"/>
      <c r="J117" s="137"/>
      <c r="K117" s="48"/>
      <c r="L117" s="58"/>
      <c r="M117" s="46"/>
      <c r="N117" s="28"/>
      <c r="O117" s="57"/>
      <c r="P117" s="57"/>
      <c r="Q117" s="57"/>
      <c r="R117" s="46"/>
    </row>
    <row r="118" spans="1:18" ht="24.6">
      <c r="A118" s="29"/>
      <c r="B118" s="45" t="s">
        <v>168</v>
      </c>
      <c r="C118" s="29"/>
      <c r="D118" s="59"/>
      <c r="E118" s="29"/>
      <c r="F118" s="29"/>
      <c r="G118" s="59"/>
      <c r="H118" s="59"/>
      <c r="I118" s="59"/>
      <c r="J118" s="26"/>
      <c r="K118" s="61"/>
      <c r="L118" s="62"/>
      <c r="M118" s="29"/>
      <c r="N118" s="25"/>
      <c r="O118" s="59"/>
      <c r="P118" s="59"/>
      <c r="Q118" s="59"/>
      <c r="R118" s="46"/>
    </row>
    <row r="119" spans="1:18" ht="25.2" thickBot="1">
      <c r="A119" s="25">
        <v>1</v>
      </c>
      <c r="B119" s="25"/>
      <c r="C119" s="74"/>
      <c r="D119" s="78"/>
      <c r="E119" s="74"/>
      <c r="F119" s="74"/>
      <c r="G119" s="78"/>
      <c r="H119" s="78"/>
      <c r="I119" s="78"/>
      <c r="J119" s="35"/>
      <c r="K119" s="76"/>
      <c r="L119" s="77"/>
      <c r="M119" s="74"/>
      <c r="N119" s="34"/>
      <c r="O119" s="78"/>
      <c r="P119" s="78"/>
      <c r="Q119" s="78"/>
      <c r="R119" s="46"/>
    </row>
    <row r="120" spans="1:18" ht="25.8" thickTop="1" thickBot="1">
      <c r="A120" s="29"/>
      <c r="B120" s="25" t="s">
        <v>26</v>
      </c>
      <c r="C120" s="64"/>
      <c r="D120" s="63"/>
      <c r="E120" s="64"/>
      <c r="F120" s="64"/>
      <c r="G120" s="63"/>
      <c r="H120" s="63"/>
      <c r="I120" s="63"/>
      <c r="J120" s="42"/>
      <c r="K120" s="66"/>
      <c r="L120" s="67"/>
      <c r="M120" s="64"/>
      <c r="N120" s="41"/>
      <c r="O120" s="63"/>
      <c r="P120" s="63"/>
      <c r="Q120" s="63"/>
      <c r="R120" s="46"/>
    </row>
    <row r="121" spans="1:18" ht="25.2" thickTop="1">
      <c r="A121" s="29"/>
      <c r="B121" s="45" t="s">
        <v>169</v>
      </c>
      <c r="C121" s="46"/>
      <c r="D121" s="57"/>
      <c r="E121" s="46"/>
      <c r="F121" s="46"/>
      <c r="G121" s="57"/>
      <c r="H121" s="57"/>
      <c r="I121" s="57"/>
      <c r="J121" s="137"/>
      <c r="K121" s="48"/>
      <c r="L121" s="58"/>
      <c r="M121" s="46"/>
      <c r="N121" s="28"/>
      <c r="O121" s="57"/>
      <c r="P121" s="57"/>
      <c r="Q121" s="57"/>
      <c r="R121" s="46"/>
    </row>
    <row r="122" spans="1:18" ht="25.2" thickBot="1">
      <c r="A122" s="25">
        <v>1</v>
      </c>
      <c r="B122" s="25"/>
      <c r="C122" s="74"/>
      <c r="D122" s="78"/>
      <c r="E122" s="74"/>
      <c r="F122" s="74"/>
      <c r="G122" s="78"/>
      <c r="H122" s="78"/>
      <c r="I122" s="78"/>
      <c r="J122" s="35"/>
      <c r="K122" s="76"/>
      <c r="L122" s="77"/>
      <c r="M122" s="74"/>
      <c r="N122" s="34"/>
      <c r="O122" s="78"/>
      <c r="P122" s="78"/>
      <c r="Q122" s="78"/>
      <c r="R122" s="46"/>
    </row>
    <row r="123" spans="1:18" ht="25.8" thickTop="1" thickBot="1">
      <c r="A123" s="29"/>
      <c r="B123" s="25" t="s">
        <v>26</v>
      </c>
      <c r="C123" s="79"/>
      <c r="D123" s="54"/>
      <c r="E123" s="79"/>
      <c r="F123" s="79"/>
      <c r="G123" s="54"/>
      <c r="H123" s="54"/>
      <c r="I123" s="54"/>
      <c r="J123" s="152"/>
      <c r="K123" s="81"/>
      <c r="L123" s="55"/>
      <c r="M123" s="79"/>
      <c r="N123" s="82"/>
      <c r="O123" s="54"/>
      <c r="P123" s="54"/>
      <c r="Q123" s="54"/>
      <c r="R123" s="46"/>
    </row>
    <row r="124" spans="1:18" ht="25.2" thickTop="1">
      <c r="A124" s="29"/>
      <c r="B124" s="45" t="s">
        <v>170</v>
      </c>
      <c r="C124" s="46"/>
      <c r="D124" s="57"/>
      <c r="E124" s="46"/>
      <c r="F124" s="46"/>
      <c r="G124" s="57"/>
      <c r="H124" s="57"/>
      <c r="I124" s="57"/>
      <c r="J124" s="137"/>
      <c r="K124" s="48"/>
      <c r="L124" s="58"/>
      <c r="M124" s="46"/>
      <c r="N124" s="28"/>
      <c r="O124" s="57"/>
      <c r="P124" s="57"/>
      <c r="Q124" s="57"/>
      <c r="R124" s="46"/>
    </row>
    <row r="125" spans="1:18" ht="25.2" thickBot="1">
      <c r="A125" s="25">
        <v>1</v>
      </c>
      <c r="B125" s="25"/>
      <c r="C125" s="74"/>
      <c r="D125" s="78"/>
      <c r="E125" s="74"/>
      <c r="F125" s="74"/>
      <c r="G125" s="78"/>
      <c r="H125" s="78"/>
      <c r="I125" s="78"/>
      <c r="J125" s="35"/>
      <c r="K125" s="76"/>
      <c r="L125" s="77"/>
      <c r="M125" s="74"/>
      <c r="N125" s="34"/>
      <c r="O125" s="78"/>
      <c r="P125" s="78"/>
      <c r="Q125" s="78"/>
      <c r="R125" s="46"/>
    </row>
    <row r="126" spans="1:18" ht="25.8" thickTop="1" thickBot="1">
      <c r="A126" s="29"/>
      <c r="B126" s="25" t="s">
        <v>26</v>
      </c>
      <c r="C126" s="64"/>
      <c r="D126" s="63"/>
      <c r="E126" s="64"/>
      <c r="F126" s="64"/>
      <c r="G126" s="63"/>
      <c r="H126" s="63"/>
      <c r="I126" s="63"/>
      <c r="J126" s="42"/>
      <c r="K126" s="66"/>
      <c r="L126" s="67"/>
      <c r="M126" s="64"/>
      <c r="N126" s="41"/>
      <c r="O126" s="63"/>
      <c r="P126" s="63"/>
      <c r="Q126" s="63"/>
      <c r="R126" s="46"/>
    </row>
    <row r="127" spans="1:18" ht="25.2" thickTop="1">
      <c r="A127" s="29"/>
      <c r="B127" s="116" t="s">
        <v>171</v>
      </c>
      <c r="C127" s="46"/>
      <c r="D127" s="46"/>
      <c r="E127" s="46"/>
      <c r="F127" s="46"/>
      <c r="G127" s="46"/>
      <c r="H127" s="46"/>
      <c r="I127" s="46"/>
      <c r="J127" s="137"/>
      <c r="K127" s="48"/>
      <c r="L127" s="48"/>
      <c r="M127" s="46"/>
      <c r="N127" s="28"/>
      <c r="O127" s="46"/>
      <c r="P127" s="46"/>
      <c r="Q127" s="46"/>
      <c r="R127" s="46"/>
    </row>
    <row r="128" spans="1:18" ht="24.6">
      <c r="A128" s="29"/>
      <c r="B128" s="116" t="s">
        <v>53</v>
      </c>
      <c r="C128" s="46"/>
      <c r="D128" s="46"/>
      <c r="E128" s="46"/>
      <c r="F128" s="46"/>
      <c r="G128" s="46"/>
      <c r="H128" s="46"/>
      <c r="I128" s="46"/>
      <c r="J128" s="137"/>
      <c r="K128" s="48"/>
      <c r="L128" s="48"/>
      <c r="M128" s="46"/>
      <c r="N128" s="28"/>
      <c r="O128" s="46"/>
      <c r="P128" s="46"/>
      <c r="Q128" s="46"/>
      <c r="R128" s="46"/>
    </row>
    <row r="129" spans="1:20" s="96" customFormat="1" ht="24.6">
      <c r="A129" s="86">
        <v>1</v>
      </c>
      <c r="B129" s="87" t="s">
        <v>54</v>
      </c>
      <c r="C129" s="87"/>
      <c r="D129" s="89">
        <v>0</v>
      </c>
      <c r="E129" s="87"/>
      <c r="F129" s="87" t="s">
        <v>172</v>
      </c>
      <c r="G129" s="89">
        <v>0</v>
      </c>
      <c r="H129" s="89">
        <v>0</v>
      </c>
      <c r="I129" s="89">
        <v>0</v>
      </c>
      <c r="J129" s="153"/>
      <c r="K129" s="154"/>
      <c r="L129" s="155"/>
      <c r="M129" s="87"/>
      <c r="N129" s="86" t="s">
        <v>172</v>
      </c>
      <c r="O129" s="72">
        <v>0</v>
      </c>
      <c r="P129" s="73">
        <v>0</v>
      </c>
      <c r="Q129" s="73">
        <v>0</v>
      </c>
      <c r="R129" s="87" t="s">
        <v>173</v>
      </c>
      <c r="T129" s="97"/>
    </row>
    <row r="130" spans="1:20" ht="24.6">
      <c r="A130" s="25">
        <v>2</v>
      </c>
      <c r="B130" s="29" t="s">
        <v>174</v>
      </c>
      <c r="C130" s="29"/>
      <c r="D130" s="49">
        <v>0</v>
      </c>
      <c r="E130" s="29"/>
      <c r="F130" s="156"/>
      <c r="G130" s="157">
        <v>0</v>
      </c>
      <c r="H130" s="157">
        <v>0</v>
      </c>
      <c r="I130" s="157">
        <v>0</v>
      </c>
      <c r="J130" s="26"/>
      <c r="K130" s="16"/>
      <c r="L130" s="51"/>
      <c r="M130" s="29"/>
      <c r="N130" s="25"/>
      <c r="O130" s="72">
        <v>0</v>
      </c>
      <c r="P130" s="73">
        <v>0</v>
      </c>
      <c r="Q130" s="73">
        <v>0</v>
      </c>
      <c r="R130" s="29" t="s">
        <v>173</v>
      </c>
    </row>
    <row r="131" spans="1:20" ht="24.6">
      <c r="A131" s="25">
        <v>3</v>
      </c>
      <c r="B131" s="29" t="s">
        <v>175</v>
      </c>
      <c r="C131" s="29"/>
      <c r="D131" s="49">
        <v>0</v>
      </c>
      <c r="E131" s="29"/>
      <c r="F131" s="29"/>
      <c r="G131" s="49">
        <v>0</v>
      </c>
      <c r="H131" s="49">
        <v>0</v>
      </c>
      <c r="I131" s="49">
        <v>0</v>
      </c>
      <c r="J131" s="26"/>
      <c r="K131" s="61"/>
      <c r="L131" s="51"/>
      <c r="M131" s="29"/>
      <c r="N131" s="25"/>
      <c r="O131" s="72">
        <v>0</v>
      </c>
      <c r="P131" s="73">
        <v>0</v>
      </c>
      <c r="Q131" s="73">
        <v>0</v>
      </c>
      <c r="R131" s="29" t="s">
        <v>176</v>
      </c>
    </row>
    <row r="132" spans="1:20" ht="24.6">
      <c r="A132" s="25"/>
      <c r="B132" s="29" t="s">
        <v>177</v>
      </c>
      <c r="C132" s="29"/>
      <c r="D132" s="49"/>
      <c r="E132" s="29"/>
      <c r="F132" s="29"/>
      <c r="G132" s="49">
        <v>0</v>
      </c>
      <c r="H132" s="49">
        <v>0</v>
      </c>
      <c r="I132" s="49">
        <v>0</v>
      </c>
      <c r="J132" s="26"/>
      <c r="K132" s="61"/>
      <c r="L132" s="51"/>
      <c r="M132" s="29"/>
      <c r="N132" s="25"/>
      <c r="O132" s="72">
        <v>0</v>
      </c>
      <c r="P132" s="73">
        <v>0</v>
      </c>
      <c r="Q132" s="73">
        <v>0</v>
      </c>
      <c r="R132" s="29" t="s">
        <v>178</v>
      </c>
    </row>
    <row r="133" spans="1:20" ht="24.6">
      <c r="A133" s="25"/>
      <c r="B133" s="29"/>
      <c r="C133" s="29"/>
      <c r="D133" s="49"/>
      <c r="E133" s="29"/>
      <c r="F133" s="29"/>
      <c r="G133" s="49"/>
      <c r="H133" s="49"/>
      <c r="I133" s="49"/>
      <c r="J133" s="26"/>
      <c r="K133" s="61"/>
      <c r="L133" s="51"/>
      <c r="M133" s="29"/>
      <c r="N133" s="25"/>
      <c r="O133" s="72"/>
      <c r="P133" s="73"/>
      <c r="Q133" s="73"/>
      <c r="R133" s="29" t="s">
        <v>179</v>
      </c>
    </row>
    <row r="134" spans="1:20" ht="24.6">
      <c r="A134" s="25">
        <v>4</v>
      </c>
      <c r="B134" s="29" t="s">
        <v>62</v>
      </c>
      <c r="C134" s="29"/>
      <c r="D134" s="49">
        <v>0</v>
      </c>
      <c r="E134" s="29"/>
      <c r="F134" s="29"/>
      <c r="G134" s="49">
        <v>0</v>
      </c>
      <c r="H134" s="49">
        <v>0</v>
      </c>
      <c r="I134" s="49">
        <v>0</v>
      </c>
      <c r="J134" s="26"/>
      <c r="K134" s="16"/>
      <c r="L134" s="51"/>
      <c r="M134" s="29"/>
      <c r="N134" s="25"/>
      <c r="O134" s="72">
        <v>0</v>
      </c>
      <c r="P134" s="73">
        <v>0</v>
      </c>
      <c r="Q134" s="73">
        <v>0</v>
      </c>
      <c r="R134" s="29"/>
    </row>
    <row r="135" spans="1:20" ht="24.6">
      <c r="A135" s="25">
        <v>5</v>
      </c>
      <c r="B135" s="29" t="s">
        <v>180</v>
      </c>
      <c r="C135" s="29"/>
      <c r="D135" s="49">
        <v>0</v>
      </c>
      <c r="E135" s="29"/>
      <c r="F135" s="29" t="s">
        <v>172</v>
      </c>
      <c r="G135" s="49">
        <v>0</v>
      </c>
      <c r="H135" s="49">
        <v>0</v>
      </c>
      <c r="I135" s="49">
        <v>0</v>
      </c>
      <c r="J135" s="26"/>
      <c r="K135" s="61"/>
      <c r="L135" s="51"/>
      <c r="M135" s="29"/>
      <c r="N135" s="25" t="s">
        <v>172</v>
      </c>
      <c r="O135" s="72">
        <v>0</v>
      </c>
      <c r="P135" s="73">
        <v>0</v>
      </c>
      <c r="Q135" s="73">
        <v>0</v>
      </c>
      <c r="R135" s="29" t="s">
        <v>176</v>
      </c>
    </row>
    <row r="136" spans="1:20" ht="24.6">
      <c r="A136" s="25"/>
      <c r="B136" s="29" t="s">
        <v>181</v>
      </c>
      <c r="C136" s="29"/>
      <c r="D136" s="49"/>
      <c r="E136" s="29"/>
      <c r="F136" s="29"/>
      <c r="G136" s="49"/>
      <c r="H136" s="49"/>
      <c r="I136" s="49"/>
      <c r="J136" s="26"/>
      <c r="K136" s="61"/>
      <c r="L136" s="51"/>
      <c r="M136" s="29"/>
      <c r="N136" s="25"/>
      <c r="O136" s="59"/>
      <c r="P136" s="49"/>
      <c r="Q136" s="59"/>
      <c r="R136" s="29" t="s">
        <v>178</v>
      </c>
    </row>
    <row r="137" spans="1:20" ht="24.6">
      <c r="A137" s="25"/>
      <c r="B137" s="29"/>
      <c r="C137" s="29"/>
      <c r="D137" s="49"/>
      <c r="E137" s="29"/>
      <c r="F137" s="29"/>
      <c r="G137" s="49"/>
      <c r="H137" s="49"/>
      <c r="I137" s="49"/>
      <c r="J137" s="26"/>
      <c r="K137" s="61"/>
      <c r="L137" s="51"/>
      <c r="M137" s="29"/>
      <c r="N137" s="25"/>
      <c r="O137" s="59"/>
      <c r="P137" s="49"/>
      <c r="Q137" s="59"/>
      <c r="R137" s="29" t="s">
        <v>179</v>
      </c>
    </row>
    <row r="138" spans="1:20" ht="24.6">
      <c r="A138" s="25"/>
      <c r="B138" s="29"/>
      <c r="C138" s="29"/>
      <c r="D138" s="49"/>
      <c r="E138" s="29"/>
      <c r="F138" s="29"/>
      <c r="G138" s="49"/>
      <c r="H138" s="49"/>
      <c r="I138" s="49"/>
      <c r="J138" s="26"/>
      <c r="K138" s="61"/>
      <c r="L138" s="51"/>
      <c r="M138" s="29"/>
      <c r="N138" s="25"/>
      <c r="O138" s="59"/>
      <c r="P138" s="49"/>
      <c r="Q138" s="59"/>
      <c r="R138" s="29" t="s">
        <v>182</v>
      </c>
    </row>
    <row r="139" spans="1:20" ht="24.6">
      <c r="A139" s="25">
        <v>6</v>
      </c>
      <c r="B139" s="29" t="s">
        <v>183</v>
      </c>
      <c r="C139" s="29"/>
      <c r="D139" s="158" t="s">
        <v>172</v>
      </c>
      <c r="E139" s="29"/>
      <c r="F139" s="29"/>
      <c r="G139" s="49">
        <v>0</v>
      </c>
      <c r="H139" s="49">
        <v>0</v>
      </c>
      <c r="I139" s="49">
        <v>0</v>
      </c>
      <c r="J139" s="26"/>
      <c r="K139" s="61"/>
      <c r="L139" s="51"/>
      <c r="M139" s="29"/>
      <c r="N139" s="25"/>
      <c r="O139" s="159">
        <v>0</v>
      </c>
      <c r="P139" s="73">
        <v>0</v>
      </c>
      <c r="Q139" s="73">
        <v>0</v>
      </c>
      <c r="R139" s="29" t="s">
        <v>184</v>
      </c>
    </row>
    <row r="140" spans="1:20" ht="24.6">
      <c r="A140" s="25"/>
      <c r="B140" s="29"/>
      <c r="C140" s="29"/>
      <c r="D140" s="49"/>
      <c r="E140" s="29"/>
      <c r="F140" s="29"/>
      <c r="G140" s="49"/>
      <c r="H140" s="49"/>
      <c r="I140" s="49"/>
      <c r="J140" s="26"/>
      <c r="K140" s="61"/>
      <c r="L140" s="51"/>
      <c r="M140" s="29"/>
      <c r="N140" s="25"/>
      <c r="O140" s="59"/>
      <c r="P140" s="49"/>
      <c r="Q140" s="59"/>
      <c r="R140" s="29" t="s">
        <v>185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186</v>
      </c>
    </row>
    <row r="142" spans="1:20" ht="24.6">
      <c r="A142" s="25">
        <v>7</v>
      </c>
      <c r="B142" s="29" t="s">
        <v>70</v>
      </c>
      <c r="C142" s="29"/>
      <c r="D142" s="49">
        <v>0</v>
      </c>
      <c r="E142" s="29"/>
      <c r="F142" s="29"/>
      <c r="G142" s="49">
        <v>0</v>
      </c>
      <c r="H142" s="49">
        <v>0</v>
      </c>
      <c r="I142" s="49">
        <v>0</v>
      </c>
      <c r="J142" s="26"/>
      <c r="K142" s="16"/>
      <c r="L142" s="51"/>
      <c r="M142" s="29"/>
      <c r="N142" s="25"/>
      <c r="O142" s="72">
        <v>0</v>
      </c>
      <c r="P142" s="73">
        <v>0</v>
      </c>
      <c r="Q142" s="73">
        <v>0</v>
      </c>
      <c r="R142" s="29" t="s">
        <v>187</v>
      </c>
    </row>
    <row r="143" spans="1:20" ht="24.6">
      <c r="A143" s="25">
        <v>8</v>
      </c>
      <c r="B143" s="29" t="s">
        <v>188</v>
      </c>
      <c r="C143" s="29"/>
      <c r="D143" s="49">
        <v>0</v>
      </c>
      <c r="E143" s="29"/>
      <c r="F143" s="29"/>
      <c r="G143" s="49">
        <v>0</v>
      </c>
      <c r="H143" s="49">
        <v>0</v>
      </c>
      <c r="I143" s="49">
        <v>0</v>
      </c>
      <c r="J143" s="26"/>
      <c r="K143" s="16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187</v>
      </c>
    </row>
    <row r="144" spans="1:20" ht="24.6">
      <c r="A144" s="25">
        <v>9</v>
      </c>
      <c r="B144" s="29" t="s">
        <v>189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61"/>
      <c r="L144" s="51"/>
      <c r="M144" s="29"/>
      <c r="N144" s="25"/>
      <c r="O144" s="72">
        <v>0</v>
      </c>
      <c r="P144" s="73">
        <v>0</v>
      </c>
      <c r="Q144" s="73">
        <v>0</v>
      </c>
      <c r="R144" s="29" t="s">
        <v>190</v>
      </c>
      <c r="T144" s="2" t="s">
        <v>191</v>
      </c>
    </row>
    <row r="145" spans="1:18" ht="24.6">
      <c r="A145" s="25"/>
      <c r="B145" s="29"/>
      <c r="C145" s="29"/>
      <c r="D145" s="49"/>
      <c r="E145" s="29"/>
      <c r="F145" s="29"/>
      <c r="G145" s="49"/>
      <c r="H145" s="49"/>
      <c r="I145" s="49"/>
      <c r="J145" s="26"/>
      <c r="K145" s="61"/>
      <c r="L145" s="51"/>
      <c r="M145" s="29"/>
      <c r="N145" s="25"/>
      <c r="O145" s="59"/>
      <c r="P145" s="49"/>
      <c r="Q145" s="59"/>
      <c r="R145" s="29" t="s">
        <v>192</v>
      </c>
    </row>
    <row r="146" spans="1:18" ht="24.6">
      <c r="A146" s="25"/>
      <c r="B146" s="29"/>
      <c r="C146" s="29"/>
      <c r="D146" s="49"/>
      <c r="E146" s="29"/>
      <c r="F146" s="29"/>
      <c r="G146" s="49"/>
      <c r="H146" s="49"/>
      <c r="I146" s="49"/>
      <c r="J146" s="26"/>
      <c r="K146" s="61"/>
      <c r="L146" s="51"/>
      <c r="M146" s="29"/>
      <c r="N146" s="25"/>
      <c r="O146" s="59"/>
      <c r="P146" s="49"/>
      <c r="Q146" s="59"/>
      <c r="R146" s="29" t="s">
        <v>187</v>
      </c>
    </row>
    <row r="147" spans="1:18" ht="24.6">
      <c r="A147" s="25">
        <v>10</v>
      </c>
      <c r="B147" s="29" t="s">
        <v>193</v>
      </c>
      <c r="C147" s="29"/>
      <c r="D147" s="49">
        <v>0</v>
      </c>
      <c r="E147" s="29"/>
      <c r="F147" s="29"/>
      <c r="G147" s="49">
        <v>0</v>
      </c>
      <c r="H147" s="49">
        <v>0</v>
      </c>
      <c r="I147" s="49">
        <v>0</v>
      </c>
      <c r="J147" s="26"/>
      <c r="K147" s="61"/>
      <c r="L147" s="51"/>
      <c r="M147" s="29"/>
      <c r="N147" s="25"/>
      <c r="O147" s="72">
        <v>0</v>
      </c>
      <c r="P147" s="73">
        <v>0</v>
      </c>
      <c r="Q147" s="73">
        <v>0</v>
      </c>
      <c r="R147" s="29" t="s">
        <v>194</v>
      </c>
    </row>
    <row r="148" spans="1:18" ht="24.6">
      <c r="A148" s="25">
        <v>11</v>
      </c>
      <c r="B148" s="29" t="s">
        <v>78</v>
      </c>
      <c r="C148" s="29"/>
      <c r="D148" s="49"/>
      <c r="E148" s="29"/>
      <c r="F148" s="29"/>
      <c r="G148" s="49">
        <v>0</v>
      </c>
      <c r="H148" s="49">
        <v>0</v>
      </c>
      <c r="I148" s="49">
        <v>0</v>
      </c>
      <c r="J148" s="160"/>
      <c r="K148" s="50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195</v>
      </c>
    </row>
    <row r="149" spans="1:18" ht="24.6">
      <c r="A149" s="25">
        <v>12</v>
      </c>
      <c r="B149" s="29" t="s">
        <v>196</v>
      </c>
      <c r="C149" s="29"/>
      <c r="D149" s="49">
        <v>0</v>
      </c>
      <c r="E149" s="29"/>
      <c r="F149" s="29"/>
      <c r="G149" s="49">
        <v>0</v>
      </c>
      <c r="H149" s="49">
        <v>0</v>
      </c>
      <c r="I149" s="49">
        <v>0</v>
      </c>
      <c r="J149" s="26"/>
      <c r="K149" s="16"/>
      <c r="L149" s="51"/>
      <c r="M149" s="29"/>
      <c r="N149" s="25"/>
      <c r="O149" s="72">
        <v>0</v>
      </c>
      <c r="P149" s="73">
        <v>0</v>
      </c>
      <c r="Q149" s="73">
        <v>0</v>
      </c>
      <c r="R149" s="29"/>
    </row>
    <row r="150" spans="1:18" ht="24.6">
      <c r="A150" s="25">
        <v>13</v>
      </c>
      <c r="B150" s="29" t="s">
        <v>83</v>
      </c>
      <c r="C150" s="29"/>
      <c r="D150" s="49"/>
      <c r="E150" s="29"/>
      <c r="F150" s="29"/>
      <c r="G150" s="49">
        <v>0</v>
      </c>
      <c r="H150" s="49">
        <v>0</v>
      </c>
      <c r="I150" s="49">
        <v>0</v>
      </c>
      <c r="J150" s="26"/>
      <c r="K150" s="50"/>
      <c r="L150" s="51"/>
      <c r="M150" s="29"/>
      <c r="N150" s="25"/>
      <c r="O150" s="72">
        <v>0</v>
      </c>
      <c r="P150" s="73">
        <v>0</v>
      </c>
      <c r="Q150" s="73">
        <v>0</v>
      </c>
      <c r="R150" s="29" t="s">
        <v>195</v>
      </c>
    </row>
    <row r="151" spans="1:18" ht="24.6">
      <c r="A151" s="25">
        <v>14</v>
      </c>
      <c r="B151" s="29" t="s">
        <v>85</v>
      </c>
      <c r="C151" s="29"/>
      <c r="D151" s="49">
        <v>0</v>
      </c>
      <c r="E151" s="29"/>
      <c r="F151" s="29" t="s">
        <v>172</v>
      </c>
      <c r="G151" s="49">
        <v>0</v>
      </c>
      <c r="H151" s="49">
        <v>0</v>
      </c>
      <c r="I151" s="49">
        <v>0</v>
      </c>
      <c r="J151" s="26"/>
      <c r="K151" s="61"/>
      <c r="L151" s="51"/>
      <c r="M151" s="29"/>
      <c r="N151" s="25" t="s">
        <v>172</v>
      </c>
      <c r="O151" s="72">
        <v>0</v>
      </c>
      <c r="P151" s="73">
        <v>0</v>
      </c>
      <c r="Q151" s="73">
        <v>0</v>
      </c>
      <c r="R151" s="29"/>
    </row>
    <row r="152" spans="1:18" ht="24.6">
      <c r="A152" s="25">
        <v>15</v>
      </c>
      <c r="B152" s="29" t="s">
        <v>197</v>
      </c>
      <c r="C152" s="29"/>
      <c r="D152" s="49">
        <v>0</v>
      </c>
      <c r="E152" s="29"/>
      <c r="F152" s="29"/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/>
      <c r="O152" s="72">
        <v>0</v>
      </c>
      <c r="P152" s="73">
        <v>0</v>
      </c>
      <c r="Q152" s="73">
        <v>0</v>
      </c>
      <c r="R152" s="29" t="s">
        <v>198</v>
      </c>
    </row>
    <row r="153" spans="1:18" ht="24.6">
      <c r="A153" s="25">
        <v>16</v>
      </c>
      <c r="B153" s="29" t="s">
        <v>199</v>
      </c>
      <c r="C153" s="29"/>
      <c r="D153" s="49"/>
      <c r="E153" s="29"/>
      <c r="F153" s="29"/>
      <c r="G153" s="49">
        <v>0</v>
      </c>
      <c r="H153" s="49">
        <v>0</v>
      </c>
      <c r="I153" s="49">
        <v>0</v>
      </c>
      <c r="J153" s="26"/>
      <c r="K153" s="61"/>
      <c r="L153" s="51"/>
      <c r="M153" s="29"/>
      <c r="N153" s="25"/>
      <c r="O153" s="72">
        <v>0</v>
      </c>
      <c r="P153" s="73">
        <v>0</v>
      </c>
      <c r="Q153" s="73">
        <v>0</v>
      </c>
      <c r="R153" s="29" t="s">
        <v>200</v>
      </c>
    </row>
    <row r="154" spans="1:18" ht="24.6">
      <c r="A154" s="25"/>
      <c r="B154" s="116" t="s">
        <v>89</v>
      </c>
      <c r="C154" s="29"/>
      <c r="D154" s="49"/>
      <c r="E154" s="29"/>
      <c r="F154" s="29"/>
      <c r="G154" s="49"/>
      <c r="H154" s="49"/>
      <c r="I154" s="49"/>
      <c r="J154" s="26"/>
      <c r="K154" s="61"/>
      <c r="L154" s="51"/>
      <c r="M154" s="29"/>
      <c r="N154" s="25"/>
      <c r="O154" s="59"/>
      <c r="P154" s="49"/>
      <c r="Q154" s="59"/>
      <c r="R154" s="29"/>
    </row>
    <row r="155" spans="1:18" ht="24" customHeight="1">
      <c r="A155" s="25">
        <v>16</v>
      </c>
      <c r="B155" s="29" t="s">
        <v>62</v>
      </c>
      <c r="C155" s="29"/>
      <c r="D155" s="49"/>
      <c r="E155" s="29"/>
      <c r="F155" s="29"/>
      <c r="G155" s="49">
        <v>0</v>
      </c>
      <c r="H155" s="49">
        <v>0</v>
      </c>
      <c r="I155" s="49">
        <v>0</v>
      </c>
      <c r="J155" s="26"/>
      <c r="K155" s="16"/>
      <c r="L155" s="51"/>
      <c r="M155" s="29"/>
      <c r="N155" s="25"/>
      <c r="O155" s="72">
        <v>0</v>
      </c>
      <c r="P155" s="73">
        <v>0</v>
      </c>
      <c r="Q155" s="73">
        <v>0</v>
      </c>
      <c r="R155" s="29"/>
    </row>
    <row r="156" spans="1:18" ht="22.5" customHeight="1">
      <c r="A156" s="25">
        <v>17</v>
      </c>
      <c r="B156" s="25" t="s">
        <v>57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18" ht="22.5" customHeight="1">
      <c r="A157" s="25">
        <v>18</v>
      </c>
      <c r="B157" s="29" t="s">
        <v>93</v>
      </c>
      <c r="C157" s="29"/>
      <c r="D157" s="49"/>
      <c r="E157" s="29"/>
      <c r="F157" s="29"/>
      <c r="G157" s="49">
        <v>0</v>
      </c>
      <c r="H157" s="49">
        <v>0</v>
      </c>
      <c r="I157" s="49">
        <v>0</v>
      </c>
      <c r="J157" s="26"/>
      <c r="K157" s="61"/>
      <c r="L157" s="51"/>
      <c r="M157" s="29"/>
      <c r="N157" s="25"/>
      <c r="O157" s="59">
        <v>0</v>
      </c>
      <c r="P157" s="49">
        <v>0</v>
      </c>
      <c r="Q157" s="59">
        <v>0</v>
      </c>
      <c r="R157" s="29" t="s">
        <v>201</v>
      </c>
    </row>
    <row r="158" spans="1:18" ht="24.6">
      <c r="A158" s="25"/>
      <c r="B158" s="29"/>
      <c r="C158" s="29"/>
      <c r="D158" s="49"/>
      <c r="E158" s="29"/>
      <c r="F158" s="29"/>
      <c r="G158" s="49"/>
      <c r="H158" s="49"/>
      <c r="I158" s="49"/>
      <c r="J158" s="26"/>
      <c r="K158" s="61"/>
      <c r="L158" s="51"/>
      <c r="M158" s="29"/>
      <c r="N158" s="25"/>
      <c r="O158" s="59"/>
      <c r="P158" s="49"/>
      <c r="Q158" s="59"/>
      <c r="R158" s="29" t="s">
        <v>202</v>
      </c>
    </row>
    <row r="159" spans="1:18" ht="24.6">
      <c r="A159" s="25">
        <v>19</v>
      </c>
      <c r="B159" s="25" t="s">
        <v>57</v>
      </c>
      <c r="C159" s="29"/>
      <c r="D159" s="49"/>
      <c r="E159" s="29"/>
      <c r="F159" s="29"/>
      <c r="G159" s="49"/>
      <c r="H159" s="49"/>
      <c r="I159" s="49"/>
      <c r="J159" s="26"/>
      <c r="K159" s="61"/>
      <c r="L159" s="51"/>
      <c r="M159" s="29"/>
      <c r="N159" s="25"/>
      <c r="O159" s="59"/>
      <c r="P159" s="49"/>
      <c r="Q159" s="59"/>
      <c r="R159" s="29"/>
    </row>
    <row r="160" spans="1:18" ht="24.6">
      <c r="A160" s="25">
        <v>20</v>
      </c>
      <c r="B160" s="29" t="s">
        <v>40</v>
      </c>
      <c r="C160" s="29"/>
      <c r="D160" s="49"/>
      <c r="E160" s="29"/>
      <c r="F160" s="29"/>
      <c r="G160" s="49">
        <v>0</v>
      </c>
      <c r="H160" s="49">
        <v>0</v>
      </c>
      <c r="I160" s="49">
        <v>0</v>
      </c>
      <c r="J160" s="26"/>
      <c r="K160" s="61"/>
      <c r="L160" s="51"/>
      <c r="M160" s="29"/>
      <c r="N160" s="25"/>
      <c r="O160" s="72">
        <v>0</v>
      </c>
      <c r="P160" s="73">
        <v>0</v>
      </c>
      <c r="Q160" s="73">
        <v>0</v>
      </c>
      <c r="R160" s="29" t="s">
        <v>203</v>
      </c>
    </row>
    <row r="161" spans="1:18" ht="24.6">
      <c r="A161" s="28"/>
      <c r="B161" s="124" t="s">
        <v>97</v>
      </c>
      <c r="C161" s="29"/>
      <c r="D161" s="49"/>
      <c r="E161" s="29"/>
      <c r="F161" s="29"/>
      <c r="G161" s="49"/>
      <c r="H161" s="49"/>
      <c r="I161" s="49"/>
      <c r="J161" s="26"/>
      <c r="K161" s="61"/>
      <c r="L161" s="51"/>
      <c r="M161" s="29"/>
      <c r="N161" s="25"/>
      <c r="O161" s="59"/>
      <c r="P161" s="49"/>
      <c r="Q161" s="59"/>
      <c r="R161" s="29"/>
    </row>
    <row r="162" spans="1:18" ht="24.6">
      <c r="A162" s="28">
        <v>21</v>
      </c>
      <c r="B162" s="119" t="s">
        <v>98</v>
      </c>
      <c r="C162" s="29"/>
      <c r="D162" s="49"/>
      <c r="E162" s="29"/>
      <c r="F162" s="29"/>
      <c r="G162" s="49">
        <v>0</v>
      </c>
      <c r="H162" s="49">
        <v>0</v>
      </c>
      <c r="I162" s="49">
        <v>0</v>
      </c>
      <c r="J162" s="26"/>
      <c r="K162" s="16"/>
      <c r="L162" s="51"/>
      <c r="M162" s="29"/>
      <c r="N162" s="25"/>
      <c r="O162" s="72">
        <v>0</v>
      </c>
      <c r="P162" s="73">
        <v>0</v>
      </c>
      <c r="Q162" s="73">
        <v>0</v>
      </c>
      <c r="R162" s="29"/>
    </row>
    <row r="163" spans="1:18" ht="24.6">
      <c r="A163" s="28"/>
      <c r="B163" s="161" t="s">
        <v>204</v>
      </c>
      <c r="C163" s="29"/>
      <c r="D163" s="49"/>
      <c r="E163" s="29"/>
      <c r="F163" s="29"/>
      <c r="G163" s="49"/>
      <c r="H163" s="49"/>
      <c r="I163" s="49"/>
      <c r="J163" s="26"/>
      <c r="K163" s="61"/>
      <c r="L163" s="51"/>
      <c r="M163" s="29"/>
      <c r="N163" s="25"/>
      <c r="O163" s="59"/>
      <c r="P163" s="49"/>
      <c r="Q163" s="59"/>
      <c r="R163" s="29"/>
    </row>
    <row r="164" spans="1:18" ht="24.6">
      <c r="A164" s="28">
        <v>1</v>
      </c>
      <c r="B164" s="46" t="s">
        <v>166</v>
      </c>
      <c r="C164" s="29"/>
      <c r="D164" s="49"/>
      <c r="E164" s="29"/>
      <c r="F164" s="29"/>
      <c r="G164" s="49">
        <v>0</v>
      </c>
      <c r="H164" s="49">
        <v>0</v>
      </c>
      <c r="I164" s="49">
        <v>0</v>
      </c>
      <c r="J164" s="26"/>
      <c r="K164" s="61"/>
      <c r="L164" s="51"/>
      <c r="M164" s="29"/>
      <c r="N164" s="25"/>
      <c r="O164" s="72">
        <v>0</v>
      </c>
      <c r="P164" s="73">
        <v>0</v>
      </c>
      <c r="Q164" s="73">
        <v>0</v>
      </c>
      <c r="R164" s="29"/>
    </row>
    <row r="165" spans="1:18" ht="24.6">
      <c r="A165" s="28">
        <v>2</v>
      </c>
      <c r="B165" s="46" t="s">
        <v>167</v>
      </c>
      <c r="C165" s="29"/>
      <c r="D165" s="49"/>
      <c r="E165" s="29"/>
      <c r="F165" s="29"/>
      <c r="G165" s="49">
        <v>0</v>
      </c>
      <c r="H165" s="49">
        <v>0</v>
      </c>
      <c r="I165" s="49">
        <v>0</v>
      </c>
      <c r="J165" s="26"/>
      <c r="K165" s="61"/>
      <c r="L165" s="51"/>
      <c r="M165" s="29"/>
      <c r="N165" s="25"/>
      <c r="O165" s="72">
        <v>0</v>
      </c>
      <c r="P165" s="73">
        <v>0</v>
      </c>
      <c r="Q165" s="73">
        <v>0</v>
      </c>
      <c r="R165" s="29"/>
    </row>
    <row r="166" spans="1:18" ht="24.6">
      <c r="A166" s="28"/>
      <c r="B166" s="161" t="s">
        <v>205</v>
      </c>
      <c r="C166" s="109"/>
      <c r="D166" s="162"/>
      <c r="E166" s="109"/>
      <c r="F166" s="109"/>
      <c r="G166" s="162"/>
      <c r="H166" s="162"/>
      <c r="I166" s="162"/>
      <c r="J166" s="163"/>
      <c r="K166" s="113"/>
      <c r="L166" s="164"/>
      <c r="M166" s="109"/>
      <c r="N166" s="115"/>
      <c r="O166" s="59"/>
      <c r="P166" s="162"/>
      <c r="Q166" s="111"/>
      <c r="R166" s="29"/>
    </row>
    <row r="167" spans="1:18" ht="24.6">
      <c r="A167" s="28">
        <v>1</v>
      </c>
      <c r="B167" s="46" t="s">
        <v>32</v>
      </c>
      <c r="C167" s="29"/>
      <c r="D167" s="49"/>
      <c r="E167" s="29"/>
      <c r="F167" s="29"/>
      <c r="G167" s="49">
        <v>0</v>
      </c>
      <c r="H167" s="49">
        <v>0</v>
      </c>
      <c r="I167" s="49">
        <v>0</v>
      </c>
      <c r="J167" s="26"/>
      <c r="K167" s="61"/>
      <c r="L167" s="51"/>
      <c r="M167" s="29"/>
      <c r="N167" s="25"/>
      <c r="O167" s="72">
        <v>0</v>
      </c>
      <c r="P167" s="73">
        <v>0</v>
      </c>
      <c r="Q167" s="73">
        <v>0</v>
      </c>
      <c r="R167" s="29" t="s">
        <v>206</v>
      </c>
    </row>
    <row r="168" spans="1:18" ht="25.2" thickBot="1">
      <c r="A168" s="28">
        <v>2</v>
      </c>
      <c r="B168" s="46" t="s">
        <v>207</v>
      </c>
      <c r="C168" s="109"/>
      <c r="D168" s="162"/>
      <c r="E168" s="109"/>
      <c r="F168" s="109"/>
      <c r="G168" s="49">
        <v>0</v>
      </c>
      <c r="H168" s="49">
        <v>0</v>
      </c>
      <c r="I168" s="49">
        <v>0</v>
      </c>
      <c r="J168" s="163"/>
      <c r="K168" s="113"/>
      <c r="L168" s="164"/>
      <c r="M168" s="109"/>
      <c r="N168" s="115"/>
      <c r="O168" s="72">
        <v>0</v>
      </c>
      <c r="P168" s="73">
        <v>0</v>
      </c>
      <c r="Q168" s="73">
        <v>0</v>
      </c>
      <c r="R168" s="29"/>
    </row>
    <row r="169" spans="1:18" ht="25.8" thickTop="1" thickBot="1">
      <c r="A169" s="46"/>
      <c r="B169" s="28" t="s">
        <v>26</v>
      </c>
      <c r="C169" s="79"/>
      <c r="D169" s="165"/>
      <c r="E169" s="165"/>
      <c r="F169" s="165"/>
      <c r="G169" s="165">
        <v>0</v>
      </c>
      <c r="H169" s="165">
        <v>0</v>
      </c>
      <c r="I169" s="165">
        <v>0</v>
      </c>
      <c r="J169" s="166"/>
      <c r="K169" s="166"/>
      <c r="L169" s="166"/>
      <c r="M169" s="165"/>
      <c r="N169" s="167"/>
      <c r="O169" s="165">
        <v>0</v>
      </c>
      <c r="P169" s="165">
        <v>0</v>
      </c>
      <c r="Q169" s="165">
        <v>0</v>
      </c>
      <c r="R169" s="29"/>
    </row>
    <row r="170" spans="1:18" ht="25.2" thickTop="1">
      <c r="A170" s="46"/>
      <c r="B170" s="168" t="s">
        <v>208</v>
      </c>
      <c r="C170" s="46"/>
      <c r="D170" s="98"/>
      <c r="E170" s="46"/>
      <c r="F170" s="46"/>
      <c r="G170" s="57"/>
      <c r="H170" s="57"/>
      <c r="I170" s="57"/>
      <c r="J170" s="137"/>
      <c r="K170" s="48"/>
      <c r="L170" s="169"/>
      <c r="M170" s="46"/>
      <c r="N170" s="28"/>
      <c r="O170" s="57"/>
      <c r="P170" s="57"/>
      <c r="Q170" s="57"/>
      <c r="R170" s="46"/>
    </row>
    <row r="171" spans="1:18" ht="25.2" thickBot="1">
      <c r="A171" s="28">
        <v>1</v>
      </c>
      <c r="B171" s="28"/>
      <c r="C171" s="74"/>
      <c r="D171" s="110"/>
      <c r="E171" s="74"/>
      <c r="F171" s="74"/>
      <c r="G171" s="78"/>
      <c r="H171" s="78"/>
      <c r="I171" s="78"/>
      <c r="J171" s="35"/>
      <c r="K171" s="76"/>
      <c r="L171" s="170"/>
      <c r="M171" s="74"/>
      <c r="N171" s="34"/>
      <c r="O171" s="78"/>
      <c r="P171" s="78"/>
      <c r="Q171" s="78"/>
      <c r="R171" s="46"/>
    </row>
    <row r="172" spans="1:18" ht="25.2" thickTop="1">
      <c r="A172" s="46"/>
      <c r="B172" s="28" t="s">
        <v>26</v>
      </c>
      <c r="C172" s="109"/>
      <c r="D172" s="162"/>
      <c r="E172" s="109"/>
      <c r="F172" s="109"/>
      <c r="G172" s="111"/>
      <c r="H172" s="111"/>
      <c r="I172" s="111"/>
      <c r="J172" s="163"/>
      <c r="K172" s="113"/>
      <c r="L172" s="164"/>
      <c r="M172" s="109"/>
      <c r="N172" s="115"/>
      <c r="O172" s="111"/>
      <c r="P172" s="111"/>
      <c r="Q172" s="111"/>
      <c r="R172" s="46"/>
    </row>
    <row r="173" spans="1:18" ht="24.6">
      <c r="A173" s="46"/>
      <c r="B173" s="168" t="s">
        <v>209</v>
      </c>
      <c r="C173" s="29"/>
      <c r="D173" s="49"/>
      <c r="E173" s="29"/>
      <c r="F173" s="29"/>
      <c r="G173" s="59"/>
      <c r="H173" s="59"/>
      <c r="I173" s="59"/>
      <c r="J173" s="26"/>
      <c r="K173" s="61"/>
      <c r="L173" s="51"/>
      <c r="M173" s="29"/>
      <c r="N173" s="25"/>
      <c r="O173" s="59"/>
      <c r="P173" s="59"/>
      <c r="Q173" s="59"/>
      <c r="R173" s="46"/>
    </row>
    <row r="174" spans="1:18" ht="29.25" customHeight="1" thickBot="1">
      <c r="A174" s="115">
        <v>1</v>
      </c>
      <c r="B174" s="115"/>
      <c r="C174" s="74"/>
      <c r="D174" s="110"/>
      <c r="E174" s="74"/>
      <c r="F174" s="74"/>
      <c r="G174" s="78"/>
      <c r="H174" s="78"/>
      <c r="I174" s="78"/>
      <c r="J174" s="35"/>
      <c r="K174" s="76"/>
      <c r="L174" s="170"/>
      <c r="M174" s="74"/>
      <c r="N174" s="34"/>
      <c r="O174" s="78"/>
      <c r="P174" s="78"/>
      <c r="Q174" s="78"/>
      <c r="R174" s="109"/>
    </row>
    <row r="175" spans="1:18" ht="26.25" customHeight="1" thickTop="1" thickBot="1">
      <c r="A175" s="29"/>
      <c r="B175" s="25" t="s">
        <v>26</v>
      </c>
      <c r="C175" s="64"/>
      <c r="D175" s="171"/>
      <c r="E175" s="64"/>
      <c r="F175" s="64"/>
      <c r="G175" s="63"/>
      <c r="H175" s="63"/>
      <c r="I175" s="63"/>
      <c r="J175" s="42"/>
      <c r="K175" s="66"/>
      <c r="L175" s="172"/>
      <c r="M175" s="64"/>
      <c r="N175" s="41"/>
      <c r="O175" s="63"/>
      <c r="P175" s="63"/>
      <c r="Q175" s="63"/>
      <c r="R175" s="29"/>
    </row>
    <row r="176" spans="1:18" ht="24.75" customHeight="1" thickTop="1">
      <c r="A176" s="46"/>
      <c r="B176" s="168" t="s">
        <v>210</v>
      </c>
      <c r="C176" s="46"/>
      <c r="D176" s="98"/>
      <c r="E176" s="46"/>
      <c r="F176" s="46"/>
      <c r="G176" s="46"/>
      <c r="H176" s="46"/>
      <c r="I176" s="46"/>
      <c r="J176" s="137"/>
      <c r="K176" s="48"/>
      <c r="L176" s="48"/>
      <c r="M176" s="46"/>
      <c r="N176" s="28"/>
      <c r="O176" s="46"/>
      <c r="P176" s="46"/>
      <c r="Q176" s="46"/>
      <c r="R176" s="46"/>
    </row>
    <row r="177" spans="1:23" ht="24" customHeight="1">
      <c r="A177" s="25"/>
      <c r="B177" s="29"/>
      <c r="C177" s="29"/>
      <c r="D177" s="49"/>
      <c r="E177" s="29"/>
      <c r="F177" s="29"/>
      <c r="G177" s="49">
        <v>0</v>
      </c>
      <c r="H177" s="49">
        <v>0</v>
      </c>
      <c r="I177" s="59">
        <v>0</v>
      </c>
      <c r="J177" s="26"/>
      <c r="K177" s="61"/>
      <c r="L177" s="51"/>
      <c r="M177" s="29"/>
      <c r="N177" s="25"/>
      <c r="O177" s="72">
        <v>0</v>
      </c>
      <c r="P177" s="73">
        <v>0</v>
      </c>
      <c r="Q177" s="73">
        <v>0</v>
      </c>
      <c r="R177" s="29"/>
    </row>
    <row r="178" spans="1:23" ht="24.75" customHeight="1" thickBot="1">
      <c r="A178" s="34"/>
      <c r="B178" s="34" t="s">
        <v>26</v>
      </c>
      <c r="C178" s="74"/>
      <c r="D178" s="110"/>
      <c r="E178" s="74"/>
      <c r="F178" s="74"/>
      <c r="G178" s="78">
        <v>0</v>
      </c>
      <c r="H178" s="78">
        <v>0</v>
      </c>
      <c r="I178" s="78">
        <v>0</v>
      </c>
      <c r="J178" s="75"/>
      <c r="K178" s="76"/>
      <c r="L178" s="170"/>
      <c r="M178" s="74"/>
      <c r="N178" s="34"/>
      <c r="O178" s="110">
        <v>0</v>
      </c>
      <c r="P178" s="110">
        <v>0</v>
      </c>
      <c r="Q178" s="110">
        <v>0</v>
      </c>
      <c r="R178" s="74"/>
    </row>
    <row r="179" spans="1:23" ht="24.75" customHeight="1" thickTop="1">
      <c r="A179" s="14"/>
      <c r="B179" s="173"/>
      <c r="D179" s="174"/>
      <c r="G179" s="175"/>
      <c r="H179" s="175"/>
      <c r="I179" s="175"/>
      <c r="L179" s="178"/>
      <c r="O179" s="174"/>
      <c r="P179" s="174"/>
      <c r="Q179" s="174"/>
      <c r="R179" s="179"/>
    </row>
    <row r="180" spans="1:23" ht="24.75" customHeight="1">
      <c r="A180" s="731" t="s">
        <v>211</v>
      </c>
      <c r="B180" s="732"/>
      <c r="C180" s="732"/>
      <c r="D180" s="732"/>
      <c r="E180" s="732"/>
      <c r="F180" s="732"/>
      <c r="G180" s="732"/>
      <c r="H180" s="732"/>
      <c r="I180" s="732"/>
      <c r="J180" s="732"/>
      <c r="K180" s="732"/>
      <c r="L180" s="732"/>
      <c r="M180" s="732"/>
      <c r="N180" s="732"/>
      <c r="O180" s="732"/>
      <c r="P180" s="732"/>
      <c r="Q180" s="732"/>
      <c r="R180" s="733"/>
    </row>
    <row r="181" spans="1:23" ht="24.75" customHeight="1">
      <c r="A181" s="46">
        <v>1</v>
      </c>
      <c r="B181" s="180" t="s">
        <v>32</v>
      </c>
      <c r="C181" s="46" t="s">
        <v>104</v>
      </c>
      <c r="D181" s="98">
        <v>4650</v>
      </c>
      <c r="E181" s="141" t="s">
        <v>301</v>
      </c>
      <c r="F181" s="254">
        <v>6</v>
      </c>
      <c r="G181" s="141">
        <v>27900</v>
      </c>
      <c r="H181" s="141" t="s">
        <v>172</v>
      </c>
      <c r="I181" s="141">
        <v>27900</v>
      </c>
      <c r="J181" s="137"/>
      <c r="K181" s="48"/>
      <c r="L181" s="48"/>
      <c r="M181" s="46" t="s">
        <v>325</v>
      </c>
      <c r="N181" s="28">
        <v>7</v>
      </c>
      <c r="O181" s="57">
        <f>SUM(D181+I181-L181)</f>
        <v>32550</v>
      </c>
      <c r="P181" s="28" t="s">
        <v>172</v>
      </c>
      <c r="Q181" s="57">
        <f>O181</f>
        <v>32550</v>
      </c>
      <c r="R181" s="46" t="s">
        <v>214</v>
      </c>
    </row>
    <row r="182" spans="1:23" ht="24" customHeight="1">
      <c r="A182" s="25">
        <v>2</v>
      </c>
      <c r="B182" s="29" t="s">
        <v>215</v>
      </c>
      <c r="C182" s="29" t="s">
        <v>104</v>
      </c>
      <c r="D182" s="49">
        <v>5750</v>
      </c>
      <c r="E182" s="134" t="s">
        <v>301</v>
      </c>
      <c r="F182" s="255">
        <v>6</v>
      </c>
      <c r="G182" s="134">
        <v>34500</v>
      </c>
      <c r="H182" s="134">
        <v>0</v>
      </c>
      <c r="I182" s="134">
        <v>34500</v>
      </c>
      <c r="J182" s="26"/>
      <c r="K182" s="61"/>
      <c r="L182" s="51"/>
      <c r="M182" s="46" t="s">
        <v>325</v>
      </c>
      <c r="N182" s="25">
        <v>7</v>
      </c>
      <c r="O182" s="57">
        <f>SUM(D182+I182-L182)</f>
        <v>40250</v>
      </c>
      <c r="P182" s="73">
        <v>0</v>
      </c>
      <c r="Q182" s="57">
        <f>O182</f>
        <v>40250</v>
      </c>
      <c r="R182" s="29" t="s">
        <v>214</v>
      </c>
    </row>
    <row r="183" spans="1:23" ht="24.75" customHeight="1" thickBot="1">
      <c r="A183" s="34"/>
      <c r="B183" s="34" t="s">
        <v>26</v>
      </c>
      <c r="C183" s="74"/>
      <c r="D183" s="110">
        <f>SUM(D181:D182)</f>
        <v>10400</v>
      </c>
      <c r="E183" s="74"/>
      <c r="F183" s="74"/>
      <c r="G183" s="78">
        <f>SUM(G181:G182)</f>
        <v>62400</v>
      </c>
      <c r="H183" s="78">
        <f>SUM(H181:H182)</f>
        <v>0</v>
      </c>
      <c r="I183" s="78">
        <f>SUM(I181:I182)</f>
        <v>62400</v>
      </c>
      <c r="J183" s="75"/>
      <c r="K183" s="76"/>
      <c r="L183" s="170"/>
      <c r="M183" s="74"/>
      <c r="N183" s="34"/>
      <c r="O183" s="110">
        <f>SUM(O181:O182)</f>
        <v>72800</v>
      </c>
      <c r="P183" s="110">
        <v>0</v>
      </c>
      <c r="Q183" s="110">
        <f>SUM(Q181:Q182)</f>
        <v>72800</v>
      </c>
      <c r="R183" s="74"/>
    </row>
    <row r="184" spans="1:23" ht="24.75" customHeight="1" thickTop="1">
      <c r="A184" s="14"/>
      <c r="B184" s="173"/>
      <c r="D184" s="174"/>
      <c r="G184" s="175"/>
      <c r="H184" s="175"/>
      <c r="I184" s="175"/>
      <c r="L184" s="178"/>
      <c r="O184" s="174"/>
      <c r="P184" s="174"/>
      <c r="Q184" s="174"/>
      <c r="R184" s="179"/>
    </row>
    <row r="185" spans="1:23" ht="24.6">
      <c r="A185" s="734" t="s">
        <v>216</v>
      </c>
      <c r="B185" s="735"/>
      <c r="C185" s="735"/>
      <c r="D185" s="735"/>
      <c r="E185" s="735"/>
      <c r="F185" s="735"/>
      <c r="G185" s="735"/>
      <c r="H185" s="735"/>
      <c r="I185" s="735"/>
      <c r="J185" s="735"/>
      <c r="K185" s="735"/>
      <c r="L185" s="735"/>
      <c r="M185" s="735"/>
      <c r="N185" s="735"/>
      <c r="O185" s="735"/>
      <c r="P185" s="735"/>
      <c r="Q185" s="735"/>
      <c r="R185" s="736"/>
    </row>
    <row r="186" spans="1:23" ht="29.25" customHeight="1">
      <c r="A186" s="115"/>
      <c r="B186" s="115"/>
      <c r="C186" s="181"/>
      <c r="D186" s="182"/>
      <c r="E186" s="181"/>
      <c r="F186" s="181"/>
      <c r="G186" s="183"/>
      <c r="H186" s="183"/>
      <c r="I186" s="183"/>
      <c r="J186" s="184"/>
      <c r="K186" s="185"/>
      <c r="L186" s="186"/>
      <c r="M186" s="181"/>
      <c r="N186" s="187"/>
      <c r="O186" s="183"/>
      <c r="P186" s="183"/>
      <c r="Q186" s="183"/>
      <c r="R186" s="109"/>
    </row>
    <row r="187" spans="1:23" ht="29.25" customHeight="1" thickBot="1">
      <c r="A187" s="115"/>
      <c r="B187" s="115"/>
      <c r="C187" s="64"/>
      <c r="D187" s="171"/>
      <c r="E187" s="64"/>
      <c r="F187" s="64"/>
      <c r="G187" s="63"/>
      <c r="H187" s="63"/>
      <c r="I187" s="63"/>
      <c r="J187" s="42"/>
      <c r="K187" s="66"/>
      <c r="L187" s="172"/>
      <c r="M187" s="64"/>
      <c r="N187" s="41"/>
      <c r="O187" s="63"/>
      <c r="P187" s="63"/>
      <c r="Q187" s="63"/>
      <c r="R187" s="109"/>
    </row>
    <row r="188" spans="1:23" ht="26.25" customHeight="1" thickTop="1" thickBot="1">
      <c r="A188" s="29"/>
      <c r="B188" s="25" t="s">
        <v>26</v>
      </c>
      <c r="C188" s="64"/>
      <c r="D188" s="171"/>
      <c r="E188" s="64"/>
      <c r="F188" s="64"/>
      <c r="G188" s="63">
        <f>SUM(G186:G186)</f>
        <v>0</v>
      </c>
      <c r="H188" s="63">
        <f>SUM(H186:H186)</f>
        <v>0</v>
      </c>
      <c r="I188" s="63">
        <f>SUM(I186:I186)</f>
        <v>0</v>
      </c>
      <c r="J188" s="42"/>
      <c r="K188" s="66"/>
      <c r="L188" s="172"/>
      <c r="M188" s="64"/>
      <c r="N188" s="41"/>
      <c r="O188" s="63">
        <f>SUM(O186:O186)</f>
        <v>0</v>
      </c>
      <c r="P188" s="63">
        <f>SUM(P186:P186)</f>
        <v>0</v>
      </c>
      <c r="Q188" s="63">
        <f>SUM(Q186:Q186)</f>
        <v>0</v>
      </c>
      <c r="R188" s="29"/>
    </row>
    <row r="189" spans="1:23" ht="24.75" customHeight="1" thickTop="1">
      <c r="A189" s="4"/>
      <c r="B189" s="188" t="s">
        <v>217</v>
      </c>
      <c r="C189" s="53"/>
      <c r="D189" s="127"/>
      <c r="E189" s="53"/>
      <c r="F189" s="53"/>
      <c r="G189" s="183"/>
      <c r="H189" s="183"/>
      <c r="I189" s="183"/>
      <c r="J189" s="189"/>
      <c r="K189" s="185"/>
      <c r="L189" s="186"/>
      <c r="M189" s="53"/>
      <c r="N189" s="4"/>
      <c r="O189" s="127"/>
      <c r="P189" s="127"/>
      <c r="Q189" s="127"/>
      <c r="R189" s="181"/>
    </row>
    <row r="190" spans="1:23" s="96" customFormat="1" ht="24.75" customHeight="1">
      <c r="A190" s="190">
        <v>1</v>
      </c>
      <c r="B190" s="191" t="s">
        <v>68</v>
      </c>
      <c r="C190" s="192">
        <v>268</v>
      </c>
      <c r="D190" s="193">
        <v>1215</v>
      </c>
      <c r="E190" s="190" t="s">
        <v>302</v>
      </c>
      <c r="F190" s="194">
        <v>101</v>
      </c>
      <c r="G190" s="193">
        <v>114345</v>
      </c>
      <c r="H190" s="193" t="s">
        <v>172</v>
      </c>
      <c r="I190" s="193">
        <v>114345</v>
      </c>
      <c r="J190" s="195"/>
      <c r="K190" s="196"/>
      <c r="L190" s="197"/>
      <c r="M190" s="190" t="s">
        <v>326</v>
      </c>
      <c r="N190" s="190">
        <v>102</v>
      </c>
      <c r="O190" s="198">
        <f>SUM(D190+G190)</f>
        <v>115560</v>
      </c>
      <c r="P190" s="198" t="s">
        <v>172</v>
      </c>
      <c r="Q190" s="198">
        <f>SUM(D190+I190)</f>
        <v>115560</v>
      </c>
      <c r="R190" s="192" t="s">
        <v>220</v>
      </c>
      <c r="T190" s="97">
        <v>82995</v>
      </c>
    </row>
    <row r="191" spans="1:23" ht="24.75" customHeight="1">
      <c r="A191" s="199"/>
      <c r="B191" s="200" t="s">
        <v>221</v>
      </c>
      <c r="C191" s="201" t="s">
        <v>222</v>
      </c>
      <c r="D191" s="202">
        <v>0</v>
      </c>
      <c r="E191" s="203"/>
      <c r="F191" s="204" t="s">
        <v>172</v>
      </c>
      <c r="G191" s="202">
        <v>19700</v>
      </c>
      <c r="H191" s="202">
        <v>0</v>
      </c>
      <c r="I191" s="202">
        <v>19700</v>
      </c>
      <c r="J191" s="205"/>
      <c r="K191" s="206"/>
      <c r="L191" s="207">
        <v>0</v>
      </c>
      <c r="M191" s="208"/>
      <c r="N191" s="209" t="s">
        <v>172</v>
      </c>
      <c r="O191" s="198">
        <v>19700</v>
      </c>
      <c r="P191" s="210">
        <v>0</v>
      </c>
      <c r="Q191" s="210">
        <v>19700</v>
      </c>
      <c r="R191" s="203" t="s">
        <v>184</v>
      </c>
      <c r="V191" s="211"/>
      <c r="W191" s="211"/>
    </row>
    <row r="192" spans="1:23" ht="24.75" customHeight="1">
      <c r="A192" s="199"/>
      <c r="B192" s="201"/>
      <c r="C192" s="201" t="s">
        <v>223</v>
      </c>
      <c r="D192" s="202"/>
      <c r="E192" s="203"/>
      <c r="F192" s="204" t="s">
        <v>172</v>
      </c>
      <c r="G192" s="202">
        <v>19700</v>
      </c>
      <c r="H192" s="202">
        <v>0</v>
      </c>
      <c r="I192" s="202">
        <v>19700</v>
      </c>
      <c r="J192" s="205"/>
      <c r="K192" s="206"/>
      <c r="L192" s="207">
        <v>0</v>
      </c>
      <c r="M192" s="203"/>
      <c r="N192" s="199" t="s">
        <v>172</v>
      </c>
      <c r="O192" s="198">
        <v>19700</v>
      </c>
      <c r="P192" s="210">
        <v>0</v>
      </c>
      <c r="Q192" s="210">
        <v>19700</v>
      </c>
      <c r="R192" s="203" t="s">
        <v>185</v>
      </c>
      <c r="V192" s="211"/>
    </row>
    <row r="193" spans="1:21" ht="24.75" customHeight="1">
      <c r="A193" s="199"/>
      <c r="B193" s="201"/>
      <c r="C193" s="201" t="s">
        <v>224</v>
      </c>
      <c r="D193" s="202"/>
      <c r="E193" s="203"/>
      <c r="F193" s="204" t="s">
        <v>172</v>
      </c>
      <c r="G193" s="202">
        <v>19700</v>
      </c>
      <c r="H193" s="202">
        <v>0</v>
      </c>
      <c r="I193" s="202">
        <v>19700</v>
      </c>
      <c r="J193" s="205"/>
      <c r="K193" s="206"/>
      <c r="L193" s="207">
        <v>0</v>
      </c>
      <c r="M193" s="203"/>
      <c r="N193" s="199" t="s">
        <v>172</v>
      </c>
      <c r="O193" s="198">
        <v>19700</v>
      </c>
      <c r="P193" s="210">
        <v>0</v>
      </c>
      <c r="Q193" s="210">
        <v>19700</v>
      </c>
      <c r="R193" s="203" t="s">
        <v>186</v>
      </c>
    </row>
    <row r="194" spans="1:21" ht="24.75" customHeight="1">
      <c r="A194" s="199">
        <v>2</v>
      </c>
      <c r="B194" s="200" t="s">
        <v>225</v>
      </c>
      <c r="C194" s="203"/>
      <c r="D194" s="202"/>
      <c r="E194" s="199" t="s">
        <v>226</v>
      </c>
      <c r="F194" s="204">
        <v>88</v>
      </c>
      <c r="G194" s="202">
        <v>193600</v>
      </c>
      <c r="H194" s="202">
        <v>0</v>
      </c>
      <c r="I194" s="202">
        <v>193600</v>
      </c>
      <c r="J194" s="205"/>
      <c r="K194" s="206"/>
      <c r="L194" s="207"/>
      <c r="M194" s="199" t="s">
        <v>226</v>
      </c>
      <c r="N194" s="199">
        <v>88</v>
      </c>
      <c r="O194" s="198">
        <v>193600</v>
      </c>
      <c r="P194" s="210">
        <v>0</v>
      </c>
      <c r="Q194" s="210">
        <v>193600</v>
      </c>
      <c r="R194" s="203" t="s">
        <v>227</v>
      </c>
    </row>
    <row r="195" spans="1:21" ht="24.75" customHeight="1">
      <c r="A195" s="199"/>
      <c r="B195" s="200"/>
      <c r="C195" s="203"/>
      <c r="D195" s="202"/>
      <c r="E195" s="199"/>
      <c r="F195" s="204"/>
      <c r="G195" s="202"/>
      <c r="H195" s="202"/>
      <c r="I195" s="202"/>
      <c r="J195" s="205"/>
      <c r="L195" s="207"/>
      <c r="M195" s="199"/>
      <c r="N195" s="199"/>
      <c r="O195" s="198"/>
      <c r="P195" s="210"/>
      <c r="Q195" s="210"/>
      <c r="R195" s="203" t="s">
        <v>228</v>
      </c>
    </row>
    <row r="196" spans="1:21" ht="24.75" customHeight="1">
      <c r="A196" s="199">
        <v>3</v>
      </c>
      <c r="B196" s="200" t="s">
        <v>85</v>
      </c>
      <c r="C196" s="203" t="s">
        <v>86</v>
      </c>
      <c r="D196" s="202">
        <v>0</v>
      </c>
      <c r="E196" s="199" t="s">
        <v>229</v>
      </c>
      <c r="F196" s="204">
        <v>7</v>
      </c>
      <c r="G196" s="202">
        <v>30800</v>
      </c>
      <c r="H196" s="202">
        <v>0</v>
      </c>
      <c r="I196" s="202">
        <v>30800</v>
      </c>
      <c r="J196" s="205"/>
      <c r="K196" s="206"/>
      <c r="L196" s="207"/>
      <c r="M196" s="203" t="s">
        <v>229</v>
      </c>
      <c r="N196" s="199">
        <v>7</v>
      </c>
      <c r="O196" s="198">
        <v>30800</v>
      </c>
      <c r="P196" s="210">
        <v>0</v>
      </c>
      <c r="Q196" s="210">
        <v>30800</v>
      </c>
      <c r="R196" s="203" t="s">
        <v>230</v>
      </c>
    </row>
    <row r="197" spans="1:21" ht="24.75" customHeight="1">
      <c r="A197" s="115"/>
      <c r="B197" s="212"/>
      <c r="C197" s="109"/>
      <c r="D197" s="162"/>
      <c r="E197" s="115"/>
      <c r="F197" s="213"/>
      <c r="G197" s="162"/>
      <c r="H197" s="214"/>
      <c r="I197" s="214"/>
      <c r="J197" s="215"/>
      <c r="K197" s="216"/>
      <c r="L197" s="217"/>
      <c r="M197" s="218"/>
      <c r="N197" s="219"/>
      <c r="O197" s="220"/>
      <c r="P197" s="221"/>
      <c r="Q197" s="221"/>
      <c r="R197" s="218" t="s">
        <v>231</v>
      </c>
    </row>
    <row r="198" spans="1:21" s="96" customFormat="1" ht="24.75" customHeight="1">
      <c r="A198" s="190"/>
      <c r="B198" s="191" t="s">
        <v>232</v>
      </c>
      <c r="C198" s="192" t="s">
        <v>194</v>
      </c>
      <c r="D198" s="193">
        <v>0</v>
      </c>
      <c r="E198" s="192"/>
      <c r="F198" s="192"/>
      <c r="G198" s="193">
        <v>64400</v>
      </c>
      <c r="H198" s="193">
        <v>0</v>
      </c>
      <c r="I198" s="193">
        <v>64400</v>
      </c>
      <c r="J198" s="195"/>
      <c r="K198" s="196"/>
      <c r="L198" s="197">
        <v>0</v>
      </c>
      <c r="M198" s="192"/>
      <c r="N198" s="190"/>
      <c r="O198" s="198">
        <v>64400</v>
      </c>
      <c r="P198" s="210">
        <v>0</v>
      </c>
      <c r="Q198" s="210">
        <v>64400</v>
      </c>
      <c r="R198" s="192" t="s">
        <v>233</v>
      </c>
      <c r="T198" s="97"/>
    </row>
    <row r="199" spans="1:21" ht="24.6">
      <c r="A199" s="199">
        <v>4</v>
      </c>
      <c r="B199" s="203" t="s">
        <v>32</v>
      </c>
      <c r="C199" s="222" t="s">
        <v>104</v>
      </c>
      <c r="D199" s="202"/>
      <c r="E199" s="223" t="s">
        <v>234</v>
      </c>
      <c r="F199" s="224">
        <v>4</v>
      </c>
      <c r="G199" s="225">
        <v>18600</v>
      </c>
      <c r="H199" s="225">
        <v>0</v>
      </c>
      <c r="I199" s="225">
        <v>18600</v>
      </c>
      <c r="J199" s="226"/>
      <c r="K199" s="227"/>
      <c r="L199" s="228"/>
      <c r="M199" s="199" t="s">
        <v>234</v>
      </c>
      <c r="N199" s="199">
        <v>4</v>
      </c>
      <c r="O199" s="198">
        <f>D199+G199</f>
        <v>18600</v>
      </c>
      <c r="P199" s="210">
        <v>0</v>
      </c>
      <c r="Q199" s="210">
        <f>D199+I199</f>
        <v>18600</v>
      </c>
      <c r="R199" s="203" t="s">
        <v>235</v>
      </c>
    </row>
    <row r="200" spans="1:21" ht="24.6">
      <c r="A200" s="199">
        <v>5</v>
      </c>
      <c r="B200" s="203" t="s">
        <v>215</v>
      </c>
      <c r="C200" s="222" t="s">
        <v>104</v>
      </c>
      <c r="D200" s="202"/>
      <c r="E200" s="199" t="s">
        <v>236</v>
      </c>
      <c r="F200" s="199">
        <v>4</v>
      </c>
      <c r="G200" s="202">
        <v>23000</v>
      </c>
      <c r="H200" s="202">
        <v>0</v>
      </c>
      <c r="I200" s="202">
        <v>23000</v>
      </c>
      <c r="J200" s="226"/>
      <c r="K200" s="227"/>
      <c r="L200" s="228"/>
      <c r="M200" s="199" t="s">
        <v>236</v>
      </c>
      <c r="N200" s="199">
        <v>4</v>
      </c>
      <c r="O200" s="198">
        <f>D200+G200</f>
        <v>23000</v>
      </c>
      <c r="P200" s="210">
        <v>0</v>
      </c>
      <c r="Q200" s="210">
        <f>D200+I200</f>
        <v>23000</v>
      </c>
      <c r="R200" s="203" t="s">
        <v>237</v>
      </c>
    </row>
    <row r="201" spans="1:21" s="96" customFormat="1" ht="24.75" customHeight="1">
      <c r="A201" s="229"/>
      <c r="B201" s="230"/>
      <c r="C201" s="231"/>
      <c r="D201" s="232"/>
      <c r="E201" s="231"/>
      <c r="F201" s="231"/>
      <c r="G201" s="232"/>
      <c r="H201" s="232"/>
      <c r="I201" s="232"/>
      <c r="J201" s="233"/>
      <c r="K201" s="234"/>
      <c r="L201" s="235"/>
      <c r="M201" s="231"/>
      <c r="N201" s="229"/>
      <c r="O201" s="236"/>
      <c r="P201" s="237"/>
      <c r="Q201" s="237"/>
      <c r="R201" s="238"/>
      <c r="T201" s="97"/>
    </row>
    <row r="202" spans="1:21" ht="24.75" customHeight="1" thickBot="1">
      <c r="A202" s="34"/>
      <c r="B202" s="239"/>
      <c r="C202" s="74"/>
      <c r="D202" s="110">
        <v>1215</v>
      </c>
      <c r="E202" s="110"/>
      <c r="F202" s="110"/>
      <c r="G202" s="110">
        <f>SUM(G190:G200)</f>
        <v>503845</v>
      </c>
      <c r="H202" s="110">
        <v>0</v>
      </c>
      <c r="I202" s="110">
        <f>SUM(I190:I200)</f>
        <v>503845</v>
      </c>
      <c r="J202" s="170"/>
      <c r="K202" s="170"/>
      <c r="L202" s="170">
        <v>0</v>
      </c>
      <c r="M202" s="110"/>
      <c r="N202" s="240"/>
      <c r="O202" s="171">
        <f>SUM(O190:O200)</f>
        <v>505060</v>
      </c>
      <c r="P202" s="171">
        <v>0</v>
      </c>
      <c r="Q202" s="171">
        <f>SUM(Q190:Q200)</f>
        <v>505060</v>
      </c>
      <c r="R202" s="208"/>
    </row>
    <row r="203" spans="1:21" ht="25.2" thickTop="1">
      <c r="A203" s="46"/>
      <c r="B203" s="161" t="s">
        <v>238</v>
      </c>
      <c r="C203" s="46"/>
      <c r="D203" s="46"/>
      <c r="E203" s="46"/>
      <c r="F203" s="46"/>
      <c r="G203" s="46"/>
      <c r="H203" s="46"/>
      <c r="I203" s="46"/>
      <c r="J203" s="47"/>
      <c r="K203" s="48"/>
      <c r="L203" s="48"/>
      <c r="M203" s="46"/>
      <c r="N203" s="28"/>
      <c r="O203" s="46"/>
      <c r="P203" s="46"/>
      <c r="Q203" s="46"/>
      <c r="R203" s="46"/>
    </row>
    <row r="204" spans="1:21" ht="24.6">
      <c r="A204" s="25">
        <v>1</v>
      </c>
      <c r="B204" s="53" t="s">
        <v>239</v>
      </c>
      <c r="C204" s="109"/>
      <c r="D204" s="109"/>
      <c r="E204" s="109" t="s">
        <v>240</v>
      </c>
      <c r="F204" s="109"/>
      <c r="G204" s="162"/>
      <c r="H204" s="109"/>
      <c r="I204" s="162">
        <v>0</v>
      </c>
      <c r="J204" s="112"/>
      <c r="K204" s="113"/>
      <c r="L204" s="241"/>
      <c r="M204" s="109" t="s">
        <v>240</v>
      </c>
      <c r="N204" s="115"/>
      <c r="O204" s="49"/>
      <c r="P204" s="127"/>
      <c r="Q204" s="162">
        <v>0</v>
      </c>
      <c r="R204" s="29"/>
    </row>
    <row r="205" spans="1:21" ht="24.6">
      <c r="A205" s="25"/>
      <c r="B205" s="29" t="s">
        <v>241</v>
      </c>
      <c r="C205" s="29"/>
      <c r="D205" s="29"/>
      <c r="E205" s="25" t="s">
        <v>242</v>
      </c>
      <c r="F205" s="29"/>
      <c r="G205" s="49">
        <v>133707.98000000001</v>
      </c>
      <c r="H205" s="134">
        <v>0</v>
      </c>
      <c r="I205" s="49">
        <v>133707.98000000001</v>
      </c>
      <c r="J205" s="60"/>
      <c r="K205" s="61"/>
      <c r="L205" s="242"/>
      <c r="M205" s="29" t="s">
        <v>242</v>
      </c>
      <c r="N205" s="25"/>
      <c r="O205" s="72">
        <v>133707.98000000001</v>
      </c>
      <c r="P205" s="73">
        <v>0</v>
      </c>
      <c r="Q205" s="73">
        <v>133707.98000000001</v>
      </c>
      <c r="R205" s="29" t="s">
        <v>243</v>
      </c>
    </row>
    <row r="206" spans="1:21" ht="24.6">
      <c r="A206" s="25"/>
      <c r="B206" s="29" t="s">
        <v>244</v>
      </c>
      <c r="C206" s="29"/>
      <c r="D206" s="29"/>
      <c r="E206" s="29"/>
      <c r="F206" s="29"/>
      <c r="G206" s="49">
        <v>73800</v>
      </c>
      <c r="H206" s="134">
        <v>0</v>
      </c>
      <c r="I206" s="49">
        <v>73800</v>
      </c>
      <c r="J206" s="60"/>
      <c r="K206" s="61"/>
      <c r="L206" s="242"/>
      <c r="M206" s="29"/>
      <c r="N206" s="25"/>
      <c r="O206" s="72">
        <v>73800</v>
      </c>
      <c r="P206" s="73">
        <v>0</v>
      </c>
      <c r="Q206" s="73">
        <v>73800</v>
      </c>
      <c r="R206" s="29"/>
    </row>
    <row r="207" spans="1:21" ht="24.6">
      <c r="A207" s="25"/>
      <c r="B207" s="29" t="s">
        <v>245</v>
      </c>
      <c r="C207" s="29"/>
      <c r="D207" s="29"/>
      <c r="E207" s="29"/>
      <c r="F207" s="29"/>
      <c r="G207" s="49">
        <v>7596.82</v>
      </c>
      <c r="H207" s="134">
        <v>0</v>
      </c>
      <c r="I207" s="89">
        <v>7596.82</v>
      </c>
      <c r="J207" s="60"/>
      <c r="K207" s="61"/>
      <c r="L207" s="242"/>
      <c r="M207" s="29"/>
      <c r="N207" s="25"/>
      <c r="O207" s="72">
        <v>7596.82</v>
      </c>
      <c r="P207" s="73">
        <v>0</v>
      </c>
      <c r="Q207" s="73">
        <v>7596.82</v>
      </c>
      <c r="R207" s="29" t="s">
        <v>243</v>
      </c>
    </row>
    <row r="208" spans="1:21" ht="24.6">
      <c r="A208" s="25"/>
      <c r="B208" s="29" t="s">
        <v>246</v>
      </c>
      <c r="C208" s="29"/>
      <c r="D208" s="53"/>
      <c r="E208" s="53"/>
      <c r="F208" s="53"/>
      <c r="G208" s="127"/>
      <c r="H208" s="53"/>
      <c r="I208" s="127"/>
      <c r="J208" s="243"/>
      <c r="K208" s="244"/>
      <c r="L208" s="245"/>
      <c r="M208" s="53"/>
      <c r="N208" s="4"/>
      <c r="O208" s="127"/>
      <c r="P208" s="127"/>
      <c r="Q208" s="49"/>
      <c r="R208" s="29"/>
      <c r="U208" s="1">
        <v>763210.28</v>
      </c>
    </row>
    <row r="209" spans="1:20" ht="25.2" thickBot="1">
      <c r="A209" s="25"/>
      <c r="B209" s="29"/>
      <c r="C209" s="29" t="s">
        <v>247</v>
      </c>
      <c r="D209" s="74"/>
      <c r="E209" s="74"/>
      <c r="F209" s="74"/>
      <c r="G209" s="74"/>
      <c r="H209" s="74"/>
      <c r="I209" s="74"/>
      <c r="J209" s="75"/>
      <c r="K209" s="76"/>
      <c r="L209" s="76"/>
      <c r="M209" s="74"/>
      <c r="N209" s="34"/>
      <c r="O209" s="110"/>
      <c r="P209" s="74"/>
      <c r="Q209" s="171"/>
      <c r="R209" s="29"/>
    </row>
    <row r="210" spans="1:20" s="249" customFormat="1" ht="25.8" thickTop="1" thickBot="1">
      <c r="A210" s="134"/>
      <c r="B210" s="246" t="s">
        <v>26</v>
      </c>
      <c r="C210" s="103"/>
      <c r="D210" s="103">
        <v>0</v>
      </c>
      <c r="E210" s="103"/>
      <c r="F210" s="103"/>
      <c r="G210" s="103">
        <f>SUM(G205:G209)</f>
        <v>215104.80000000002</v>
      </c>
      <c r="H210" s="103">
        <v>0</v>
      </c>
      <c r="I210" s="103">
        <v>215104.80000000002</v>
      </c>
      <c r="J210" s="104"/>
      <c r="K210" s="104"/>
      <c r="L210" s="104">
        <v>0</v>
      </c>
      <c r="M210" s="103"/>
      <c r="N210" s="247"/>
      <c r="O210" s="103">
        <v>215104.80000000002</v>
      </c>
      <c r="P210" s="103">
        <v>0</v>
      </c>
      <c r="Q210" s="103">
        <v>215104.80000000002</v>
      </c>
      <c r="R210" s="248"/>
    </row>
    <row r="211" spans="1:20" ht="25.8" thickTop="1" thickBot="1">
      <c r="A211" s="29"/>
      <c r="B211" s="25" t="s">
        <v>248</v>
      </c>
      <c r="C211" s="64"/>
      <c r="D211" s="63">
        <f>SUM(D32+D77+D116+D183+D188+D202+D210)</f>
        <v>63270</v>
      </c>
      <c r="E211" s="63"/>
      <c r="F211" s="63"/>
      <c r="G211" s="63">
        <f>SUM(G32+G77+G116+G169+G183+G188+G202+G210)</f>
        <v>789879.8</v>
      </c>
      <c r="H211" s="63">
        <v>0</v>
      </c>
      <c r="I211" s="63">
        <f>SUM(I9+I13+I16+I20+I23+I26+I32+I35+I37+I41+I77+I116+I120+I123+I126+I169+I175+I178+I183+I188+I202+I210)</f>
        <v>789879.8</v>
      </c>
      <c r="J211" s="67"/>
      <c r="K211" s="67"/>
      <c r="L211" s="67">
        <f>SUM(L32+L77+L116)</f>
        <v>39575</v>
      </c>
      <c r="M211" s="63"/>
      <c r="N211" s="105"/>
      <c r="O211" s="63">
        <f>SUM(O32+O77+O116+O183+O188+O202+O210)</f>
        <v>813574.8</v>
      </c>
      <c r="P211" s="63">
        <f>SUM(P32+P77+P116+P183+P188+P202+P210)</f>
        <v>0</v>
      </c>
      <c r="Q211" s="63">
        <f>SUM(Q32+Q77+Q116+Q183+Q188+Q202+Q210)</f>
        <v>813574.8</v>
      </c>
      <c r="R211" s="59"/>
      <c r="T211" s="63"/>
    </row>
    <row r="212" spans="1:20" ht="25.2" thickTop="1"/>
    <row r="213" spans="1:20" ht="24.6">
      <c r="K213" s="250"/>
      <c r="Q213" s="249"/>
    </row>
    <row r="214" spans="1:20" ht="24.6">
      <c r="K214" s="251"/>
      <c r="Q214" s="249"/>
    </row>
    <row r="215" spans="1:20" ht="24.6">
      <c r="F215" s="1">
        <v>1010.6000000000058</v>
      </c>
      <c r="K215" s="250"/>
      <c r="Q215" s="249"/>
    </row>
    <row r="216" spans="1:20" ht="24.6">
      <c r="K216" s="250"/>
      <c r="L216" s="252"/>
    </row>
    <row r="217" spans="1:20" ht="24.6">
      <c r="H217" s="253"/>
      <c r="K217" s="250"/>
    </row>
    <row r="218" spans="1:20" ht="24.6"/>
    <row r="219" spans="1:20" ht="24.6"/>
    <row r="220" spans="1:20" ht="24.6"/>
    <row r="221" spans="1:20" ht="24.6"/>
    <row r="222" spans="1:20" ht="24.6"/>
    <row r="223" spans="1:20" ht="24.6"/>
    <row r="224" spans="1:20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  <row r="980" ht="24.6"/>
    <row r="981" ht="24.6"/>
    <row r="982" ht="24.6"/>
    <row r="983" ht="24.6"/>
  </sheetData>
  <mergeCells count="8">
    <mergeCell ref="A180:R180"/>
    <mergeCell ref="A185:R185"/>
    <mergeCell ref="A1:R1"/>
    <mergeCell ref="A2:R2"/>
    <mergeCell ref="A3:R3"/>
    <mergeCell ref="E4:I4"/>
    <mergeCell ref="J4:L4"/>
    <mergeCell ref="M4:Q4"/>
  </mergeCells>
  <phoneticPr fontId="17" type="noConversion"/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7" max="29" man="1"/>
    <brk id="201" max="16383" man="1"/>
  </rowBreaks>
  <colBreaks count="1" manualBreakCount="1">
    <brk id="18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9ED6-F29C-4134-9EF1-DAAEB30CDB59}">
  <sheetPr>
    <tabColor rgb="FF92D050"/>
  </sheetPr>
  <dimension ref="A1:H807"/>
  <sheetViews>
    <sheetView zoomScale="90" zoomScaleNormal="90" zoomScaleSheetLayoutView="87" workbookViewId="0">
      <pane ySplit="6" topLeftCell="A29" activePane="bottomLeft" state="frozen"/>
      <selection activeCell="I147" sqref="I147"/>
      <selection pane="bottomLeft" activeCell="J35" sqref="J35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0.33203125" style="1"/>
    <col min="8" max="8" width="11" style="1" bestFit="1" customWidth="1"/>
    <col min="9" max="228" width="10.33203125" style="1"/>
    <col min="229" max="229" width="4.44140625" style="1" customWidth="1"/>
    <col min="230" max="230" width="21.6640625" style="1" customWidth="1"/>
    <col min="231" max="231" width="15" style="1" customWidth="1"/>
    <col min="232" max="232" width="15.44140625" style="1" customWidth="1"/>
    <col min="233" max="233" width="11.5546875" style="1" customWidth="1"/>
    <col min="234" max="234" width="7.44140625" style="1" customWidth="1"/>
    <col min="235" max="235" width="14.109375" style="1" customWidth="1"/>
    <col min="236" max="236" width="10.6640625" style="1" customWidth="1"/>
    <col min="237" max="237" width="13.44140625" style="1" customWidth="1"/>
    <col min="238" max="238" width="11.44140625" style="1" customWidth="1"/>
    <col min="239" max="239" width="15" style="1" customWidth="1"/>
    <col min="240" max="240" width="14.5546875" style="1" customWidth="1"/>
    <col min="241" max="241" width="10.33203125" style="1"/>
    <col min="242" max="242" width="7.44140625" style="1" customWidth="1"/>
    <col min="243" max="243" width="12.88671875" style="1" customWidth="1"/>
    <col min="244" max="244" width="11.109375" style="1" customWidth="1"/>
    <col min="245" max="245" width="14" style="1" customWidth="1"/>
    <col min="246" max="246" width="33" style="1" customWidth="1"/>
    <col min="247" max="247" width="6.6640625" style="1" customWidth="1"/>
    <col min="248" max="248" width="19" style="1" customWidth="1"/>
    <col min="249" max="249" width="19.109375" style="1" customWidth="1"/>
    <col min="250" max="250" width="21.33203125" style="1" customWidth="1"/>
    <col min="251" max="251" width="32.5546875" style="1" customWidth="1"/>
    <col min="252" max="252" width="16.88671875" style="1" customWidth="1"/>
    <col min="253" max="253" width="16.33203125" style="1" customWidth="1"/>
    <col min="254" max="484" width="10.33203125" style="1"/>
    <col min="485" max="485" width="4.44140625" style="1" customWidth="1"/>
    <col min="486" max="486" width="21.6640625" style="1" customWidth="1"/>
    <col min="487" max="487" width="15" style="1" customWidth="1"/>
    <col min="488" max="488" width="15.44140625" style="1" customWidth="1"/>
    <col min="489" max="489" width="11.5546875" style="1" customWidth="1"/>
    <col min="490" max="490" width="7.44140625" style="1" customWidth="1"/>
    <col min="491" max="491" width="14.109375" style="1" customWidth="1"/>
    <col min="492" max="492" width="10.6640625" style="1" customWidth="1"/>
    <col min="493" max="493" width="13.44140625" style="1" customWidth="1"/>
    <col min="494" max="494" width="11.44140625" style="1" customWidth="1"/>
    <col min="495" max="495" width="15" style="1" customWidth="1"/>
    <col min="496" max="496" width="14.5546875" style="1" customWidth="1"/>
    <col min="497" max="497" width="10.33203125" style="1"/>
    <col min="498" max="498" width="7.44140625" style="1" customWidth="1"/>
    <col min="499" max="499" width="12.88671875" style="1" customWidth="1"/>
    <col min="500" max="500" width="11.109375" style="1" customWidth="1"/>
    <col min="501" max="501" width="14" style="1" customWidth="1"/>
    <col min="502" max="502" width="33" style="1" customWidth="1"/>
    <col min="503" max="503" width="6.6640625" style="1" customWidth="1"/>
    <col min="504" max="504" width="19" style="1" customWidth="1"/>
    <col min="505" max="505" width="19.109375" style="1" customWidth="1"/>
    <col min="506" max="506" width="21.33203125" style="1" customWidth="1"/>
    <col min="507" max="507" width="32.5546875" style="1" customWidth="1"/>
    <col min="508" max="508" width="16.88671875" style="1" customWidth="1"/>
    <col min="509" max="509" width="16.33203125" style="1" customWidth="1"/>
    <col min="510" max="740" width="10.33203125" style="1"/>
    <col min="741" max="741" width="4.44140625" style="1" customWidth="1"/>
    <col min="742" max="742" width="21.6640625" style="1" customWidth="1"/>
    <col min="743" max="743" width="15" style="1" customWidth="1"/>
    <col min="744" max="744" width="15.44140625" style="1" customWidth="1"/>
    <col min="745" max="745" width="11.5546875" style="1" customWidth="1"/>
    <col min="746" max="746" width="7.44140625" style="1" customWidth="1"/>
    <col min="747" max="747" width="14.109375" style="1" customWidth="1"/>
    <col min="748" max="748" width="10.6640625" style="1" customWidth="1"/>
    <col min="749" max="749" width="13.44140625" style="1" customWidth="1"/>
    <col min="750" max="750" width="11.44140625" style="1" customWidth="1"/>
    <col min="751" max="751" width="15" style="1" customWidth="1"/>
    <col min="752" max="752" width="14.5546875" style="1" customWidth="1"/>
    <col min="753" max="753" width="10.33203125" style="1"/>
    <col min="754" max="754" width="7.44140625" style="1" customWidth="1"/>
    <col min="755" max="755" width="12.88671875" style="1" customWidth="1"/>
    <col min="756" max="756" width="11.109375" style="1" customWidth="1"/>
    <col min="757" max="757" width="14" style="1" customWidth="1"/>
    <col min="758" max="758" width="33" style="1" customWidth="1"/>
    <col min="759" max="759" width="6.6640625" style="1" customWidth="1"/>
    <col min="760" max="760" width="19" style="1" customWidth="1"/>
    <col min="761" max="761" width="19.109375" style="1" customWidth="1"/>
    <col min="762" max="762" width="21.33203125" style="1" customWidth="1"/>
    <col min="763" max="763" width="32.5546875" style="1" customWidth="1"/>
    <col min="764" max="764" width="16.88671875" style="1" customWidth="1"/>
    <col min="765" max="765" width="16.33203125" style="1" customWidth="1"/>
    <col min="766" max="996" width="10.33203125" style="1"/>
    <col min="997" max="997" width="4.44140625" style="1" customWidth="1"/>
    <col min="998" max="998" width="21.6640625" style="1" customWidth="1"/>
    <col min="999" max="999" width="15" style="1" customWidth="1"/>
    <col min="1000" max="1000" width="15.44140625" style="1" customWidth="1"/>
    <col min="1001" max="1001" width="11.5546875" style="1" customWidth="1"/>
    <col min="1002" max="1002" width="7.44140625" style="1" customWidth="1"/>
    <col min="1003" max="1003" width="14.109375" style="1" customWidth="1"/>
    <col min="1004" max="1004" width="10.6640625" style="1" customWidth="1"/>
    <col min="1005" max="1005" width="13.44140625" style="1" customWidth="1"/>
    <col min="1006" max="1006" width="11.44140625" style="1" customWidth="1"/>
    <col min="1007" max="1007" width="15" style="1" customWidth="1"/>
    <col min="1008" max="1008" width="14.5546875" style="1" customWidth="1"/>
    <col min="1009" max="1009" width="10.33203125" style="1"/>
    <col min="1010" max="1010" width="7.44140625" style="1" customWidth="1"/>
    <col min="1011" max="1011" width="12.88671875" style="1" customWidth="1"/>
    <col min="1012" max="1012" width="11.109375" style="1" customWidth="1"/>
    <col min="1013" max="1013" width="14" style="1" customWidth="1"/>
    <col min="1014" max="1014" width="33" style="1" customWidth="1"/>
    <col min="1015" max="1015" width="6.6640625" style="1" customWidth="1"/>
    <col min="1016" max="1016" width="19" style="1" customWidth="1"/>
    <col min="1017" max="1017" width="19.109375" style="1" customWidth="1"/>
    <col min="1018" max="1018" width="21.33203125" style="1" customWidth="1"/>
    <col min="1019" max="1019" width="32.5546875" style="1" customWidth="1"/>
    <col min="1020" max="1020" width="16.88671875" style="1" customWidth="1"/>
    <col min="1021" max="1021" width="16.33203125" style="1" customWidth="1"/>
    <col min="1022" max="1252" width="10.33203125" style="1"/>
    <col min="1253" max="1253" width="4.44140625" style="1" customWidth="1"/>
    <col min="1254" max="1254" width="21.6640625" style="1" customWidth="1"/>
    <col min="1255" max="1255" width="15" style="1" customWidth="1"/>
    <col min="1256" max="1256" width="15.44140625" style="1" customWidth="1"/>
    <col min="1257" max="1257" width="11.5546875" style="1" customWidth="1"/>
    <col min="1258" max="1258" width="7.44140625" style="1" customWidth="1"/>
    <col min="1259" max="1259" width="14.109375" style="1" customWidth="1"/>
    <col min="1260" max="1260" width="10.6640625" style="1" customWidth="1"/>
    <col min="1261" max="1261" width="13.44140625" style="1" customWidth="1"/>
    <col min="1262" max="1262" width="11.44140625" style="1" customWidth="1"/>
    <col min="1263" max="1263" width="15" style="1" customWidth="1"/>
    <col min="1264" max="1264" width="14.5546875" style="1" customWidth="1"/>
    <col min="1265" max="1265" width="10.33203125" style="1"/>
    <col min="1266" max="1266" width="7.44140625" style="1" customWidth="1"/>
    <col min="1267" max="1267" width="12.88671875" style="1" customWidth="1"/>
    <col min="1268" max="1268" width="11.109375" style="1" customWidth="1"/>
    <col min="1269" max="1269" width="14" style="1" customWidth="1"/>
    <col min="1270" max="1270" width="33" style="1" customWidth="1"/>
    <col min="1271" max="1271" width="6.6640625" style="1" customWidth="1"/>
    <col min="1272" max="1272" width="19" style="1" customWidth="1"/>
    <col min="1273" max="1273" width="19.109375" style="1" customWidth="1"/>
    <col min="1274" max="1274" width="21.33203125" style="1" customWidth="1"/>
    <col min="1275" max="1275" width="32.5546875" style="1" customWidth="1"/>
    <col min="1276" max="1276" width="16.88671875" style="1" customWidth="1"/>
    <col min="1277" max="1277" width="16.33203125" style="1" customWidth="1"/>
    <col min="1278" max="1508" width="10.33203125" style="1"/>
    <col min="1509" max="1509" width="4.44140625" style="1" customWidth="1"/>
    <col min="1510" max="1510" width="21.6640625" style="1" customWidth="1"/>
    <col min="1511" max="1511" width="15" style="1" customWidth="1"/>
    <col min="1512" max="1512" width="15.44140625" style="1" customWidth="1"/>
    <col min="1513" max="1513" width="11.5546875" style="1" customWidth="1"/>
    <col min="1514" max="1514" width="7.44140625" style="1" customWidth="1"/>
    <col min="1515" max="1515" width="14.109375" style="1" customWidth="1"/>
    <col min="1516" max="1516" width="10.6640625" style="1" customWidth="1"/>
    <col min="1517" max="1517" width="13.44140625" style="1" customWidth="1"/>
    <col min="1518" max="1518" width="11.44140625" style="1" customWidth="1"/>
    <col min="1519" max="1519" width="15" style="1" customWidth="1"/>
    <col min="1520" max="1520" width="14.5546875" style="1" customWidth="1"/>
    <col min="1521" max="1521" width="10.33203125" style="1"/>
    <col min="1522" max="1522" width="7.44140625" style="1" customWidth="1"/>
    <col min="1523" max="1523" width="12.88671875" style="1" customWidth="1"/>
    <col min="1524" max="1524" width="11.109375" style="1" customWidth="1"/>
    <col min="1525" max="1525" width="14" style="1" customWidth="1"/>
    <col min="1526" max="1526" width="33" style="1" customWidth="1"/>
    <col min="1527" max="1527" width="6.6640625" style="1" customWidth="1"/>
    <col min="1528" max="1528" width="19" style="1" customWidth="1"/>
    <col min="1529" max="1529" width="19.109375" style="1" customWidth="1"/>
    <col min="1530" max="1530" width="21.33203125" style="1" customWidth="1"/>
    <col min="1531" max="1531" width="32.5546875" style="1" customWidth="1"/>
    <col min="1532" max="1532" width="16.88671875" style="1" customWidth="1"/>
    <col min="1533" max="1533" width="16.33203125" style="1" customWidth="1"/>
    <col min="1534" max="1764" width="10.33203125" style="1"/>
    <col min="1765" max="1765" width="4.44140625" style="1" customWidth="1"/>
    <col min="1766" max="1766" width="21.6640625" style="1" customWidth="1"/>
    <col min="1767" max="1767" width="15" style="1" customWidth="1"/>
    <col min="1768" max="1768" width="15.44140625" style="1" customWidth="1"/>
    <col min="1769" max="1769" width="11.5546875" style="1" customWidth="1"/>
    <col min="1770" max="1770" width="7.44140625" style="1" customWidth="1"/>
    <col min="1771" max="1771" width="14.109375" style="1" customWidth="1"/>
    <col min="1772" max="1772" width="10.6640625" style="1" customWidth="1"/>
    <col min="1773" max="1773" width="13.44140625" style="1" customWidth="1"/>
    <col min="1774" max="1774" width="11.44140625" style="1" customWidth="1"/>
    <col min="1775" max="1775" width="15" style="1" customWidth="1"/>
    <col min="1776" max="1776" width="14.5546875" style="1" customWidth="1"/>
    <col min="1777" max="1777" width="10.33203125" style="1"/>
    <col min="1778" max="1778" width="7.44140625" style="1" customWidth="1"/>
    <col min="1779" max="1779" width="12.88671875" style="1" customWidth="1"/>
    <col min="1780" max="1780" width="11.109375" style="1" customWidth="1"/>
    <col min="1781" max="1781" width="14" style="1" customWidth="1"/>
    <col min="1782" max="1782" width="33" style="1" customWidth="1"/>
    <col min="1783" max="1783" width="6.6640625" style="1" customWidth="1"/>
    <col min="1784" max="1784" width="19" style="1" customWidth="1"/>
    <col min="1785" max="1785" width="19.109375" style="1" customWidth="1"/>
    <col min="1786" max="1786" width="21.33203125" style="1" customWidth="1"/>
    <col min="1787" max="1787" width="32.5546875" style="1" customWidth="1"/>
    <col min="1788" max="1788" width="16.88671875" style="1" customWidth="1"/>
    <col min="1789" max="1789" width="16.33203125" style="1" customWidth="1"/>
    <col min="1790" max="2020" width="10.33203125" style="1"/>
    <col min="2021" max="2021" width="4.44140625" style="1" customWidth="1"/>
    <col min="2022" max="2022" width="21.6640625" style="1" customWidth="1"/>
    <col min="2023" max="2023" width="15" style="1" customWidth="1"/>
    <col min="2024" max="2024" width="15.44140625" style="1" customWidth="1"/>
    <col min="2025" max="2025" width="11.5546875" style="1" customWidth="1"/>
    <col min="2026" max="2026" width="7.44140625" style="1" customWidth="1"/>
    <col min="2027" max="2027" width="14.109375" style="1" customWidth="1"/>
    <col min="2028" max="2028" width="10.6640625" style="1" customWidth="1"/>
    <col min="2029" max="2029" width="13.44140625" style="1" customWidth="1"/>
    <col min="2030" max="2030" width="11.44140625" style="1" customWidth="1"/>
    <col min="2031" max="2031" width="15" style="1" customWidth="1"/>
    <col min="2032" max="2032" width="14.5546875" style="1" customWidth="1"/>
    <col min="2033" max="2033" width="10.33203125" style="1"/>
    <col min="2034" max="2034" width="7.44140625" style="1" customWidth="1"/>
    <col min="2035" max="2035" width="12.88671875" style="1" customWidth="1"/>
    <col min="2036" max="2036" width="11.109375" style="1" customWidth="1"/>
    <col min="2037" max="2037" width="14" style="1" customWidth="1"/>
    <col min="2038" max="2038" width="33" style="1" customWidth="1"/>
    <col min="2039" max="2039" width="6.6640625" style="1" customWidth="1"/>
    <col min="2040" max="2040" width="19" style="1" customWidth="1"/>
    <col min="2041" max="2041" width="19.109375" style="1" customWidth="1"/>
    <col min="2042" max="2042" width="21.33203125" style="1" customWidth="1"/>
    <col min="2043" max="2043" width="32.5546875" style="1" customWidth="1"/>
    <col min="2044" max="2044" width="16.88671875" style="1" customWidth="1"/>
    <col min="2045" max="2045" width="16.33203125" style="1" customWidth="1"/>
    <col min="2046" max="2276" width="10.33203125" style="1"/>
    <col min="2277" max="2277" width="4.44140625" style="1" customWidth="1"/>
    <col min="2278" max="2278" width="21.6640625" style="1" customWidth="1"/>
    <col min="2279" max="2279" width="15" style="1" customWidth="1"/>
    <col min="2280" max="2280" width="15.44140625" style="1" customWidth="1"/>
    <col min="2281" max="2281" width="11.5546875" style="1" customWidth="1"/>
    <col min="2282" max="2282" width="7.44140625" style="1" customWidth="1"/>
    <col min="2283" max="2283" width="14.109375" style="1" customWidth="1"/>
    <col min="2284" max="2284" width="10.6640625" style="1" customWidth="1"/>
    <col min="2285" max="2285" width="13.44140625" style="1" customWidth="1"/>
    <col min="2286" max="2286" width="11.44140625" style="1" customWidth="1"/>
    <col min="2287" max="2287" width="15" style="1" customWidth="1"/>
    <col min="2288" max="2288" width="14.5546875" style="1" customWidth="1"/>
    <col min="2289" max="2289" width="10.33203125" style="1"/>
    <col min="2290" max="2290" width="7.44140625" style="1" customWidth="1"/>
    <col min="2291" max="2291" width="12.88671875" style="1" customWidth="1"/>
    <col min="2292" max="2292" width="11.109375" style="1" customWidth="1"/>
    <col min="2293" max="2293" width="14" style="1" customWidth="1"/>
    <col min="2294" max="2294" width="33" style="1" customWidth="1"/>
    <col min="2295" max="2295" width="6.6640625" style="1" customWidth="1"/>
    <col min="2296" max="2296" width="19" style="1" customWidth="1"/>
    <col min="2297" max="2297" width="19.109375" style="1" customWidth="1"/>
    <col min="2298" max="2298" width="21.33203125" style="1" customWidth="1"/>
    <col min="2299" max="2299" width="32.5546875" style="1" customWidth="1"/>
    <col min="2300" max="2300" width="16.88671875" style="1" customWidth="1"/>
    <col min="2301" max="2301" width="16.33203125" style="1" customWidth="1"/>
    <col min="2302" max="2532" width="10.33203125" style="1"/>
    <col min="2533" max="2533" width="4.44140625" style="1" customWidth="1"/>
    <col min="2534" max="2534" width="21.6640625" style="1" customWidth="1"/>
    <col min="2535" max="2535" width="15" style="1" customWidth="1"/>
    <col min="2536" max="2536" width="15.44140625" style="1" customWidth="1"/>
    <col min="2537" max="2537" width="11.5546875" style="1" customWidth="1"/>
    <col min="2538" max="2538" width="7.44140625" style="1" customWidth="1"/>
    <col min="2539" max="2539" width="14.109375" style="1" customWidth="1"/>
    <col min="2540" max="2540" width="10.6640625" style="1" customWidth="1"/>
    <col min="2541" max="2541" width="13.44140625" style="1" customWidth="1"/>
    <col min="2542" max="2542" width="11.44140625" style="1" customWidth="1"/>
    <col min="2543" max="2543" width="15" style="1" customWidth="1"/>
    <col min="2544" max="2544" width="14.5546875" style="1" customWidth="1"/>
    <col min="2545" max="2545" width="10.33203125" style="1"/>
    <col min="2546" max="2546" width="7.44140625" style="1" customWidth="1"/>
    <col min="2547" max="2547" width="12.88671875" style="1" customWidth="1"/>
    <col min="2548" max="2548" width="11.109375" style="1" customWidth="1"/>
    <col min="2549" max="2549" width="14" style="1" customWidth="1"/>
    <col min="2550" max="2550" width="33" style="1" customWidth="1"/>
    <col min="2551" max="2551" width="6.6640625" style="1" customWidth="1"/>
    <col min="2552" max="2552" width="19" style="1" customWidth="1"/>
    <col min="2553" max="2553" width="19.109375" style="1" customWidth="1"/>
    <col min="2554" max="2554" width="21.33203125" style="1" customWidth="1"/>
    <col min="2555" max="2555" width="32.5546875" style="1" customWidth="1"/>
    <col min="2556" max="2556" width="16.88671875" style="1" customWidth="1"/>
    <col min="2557" max="2557" width="16.33203125" style="1" customWidth="1"/>
    <col min="2558" max="2788" width="10.33203125" style="1"/>
    <col min="2789" max="2789" width="4.44140625" style="1" customWidth="1"/>
    <col min="2790" max="2790" width="21.6640625" style="1" customWidth="1"/>
    <col min="2791" max="2791" width="15" style="1" customWidth="1"/>
    <col min="2792" max="2792" width="15.44140625" style="1" customWidth="1"/>
    <col min="2793" max="2793" width="11.5546875" style="1" customWidth="1"/>
    <col min="2794" max="2794" width="7.44140625" style="1" customWidth="1"/>
    <col min="2795" max="2795" width="14.109375" style="1" customWidth="1"/>
    <col min="2796" max="2796" width="10.6640625" style="1" customWidth="1"/>
    <col min="2797" max="2797" width="13.44140625" style="1" customWidth="1"/>
    <col min="2798" max="2798" width="11.44140625" style="1" customWidth="1"/>
    <col min="2799" max="2799" width="15" style="1" customWidth="1"/>
    <col min="2800" max="2800" width="14.5546875" style="1" customWidth="1"/>
    <col min="2801" max="2801" width="10.33203125" style="1"/>
    <col min="2802" max="2802" width="7.44140625" style="1" customWidth="1"/>
    <col min="2803" max="2803" width="12.88671875" style="1" customWidth="1"/>
    <col min="2804" max="2804" width="11.109375" style="1" customWidth="1"/>
    <col min="2805" max="2805" width="14" style="1" customWidth="1"/>
    <col min="2806" max="2806" width="33" style="1" customWidth="1"/>
    <col min="2807" max="2807" width="6.6640625" style="1" customWidth="1"/>
    <col min="2808" max="2808" width="19" style="1" customWidth="1"/>
    <col min="2809" max="2809" width="19.109375" style="1" customWidth="1"/>
    <col min="2810" max="2810" width="21.33203125" style="1" customWidth="1"/>
    <col min="2811" max="2811" width="32.5546875" style="1" customWidth="1"/>
    <col min="2812" max="2812" width="16.88671875" style="1" customWidth="1"/>
    <col min="2813" max="2813" width="16.33203125" style="1" customWidth="1"/>
    <col min="2814" max="3044" width="10.33203125" style="1"/>
    <col min="3045" max="3045" width="4.44140625" style="1" customWidth="1"/>
    <col min="3046" max="3046" width="21.6640625" style="1" customWidth="1"/>
    <col min="3047" max="3047" width="15" style="1" customWidth="1"/>
    <col min="3048" max="3048" width="15.44140625" style="1" customWidth="1"/>
    <col min="3049" max="3049" width="11.5546875" style="1" customWidth="1"/>
    <col min="3050" max="3050" width="7.44140625" style="1" customWidth="1"/>
    <col min="3051" max="3051" width="14.109375" style="1" customWidth="1"/>
    <col min="3052" max="3052" width="10.6640625" style="1" customWidth="1"/>
    <col min="3053" max="3053" width="13.44140625" style="1" customWidth="1"/>
    <col min="3054" max="3054" width="11.44140625" style="1" customWidth="1"/>
    <col min="3055" max="3055" width="15" style="1" customWidth="1"/>
    <col min="3056" max="3056" width="14.5546875" style="1" customWidth="1"/>
    <col min="3057" max="3057" width="10.33203125" style="1"/>
    <col min="3058" max="3058" width="7.44140625" style="1" customWidth="1"/>
    <col min="3059" max="3059" width="12.88671875" style="1" customWidth="1"/>
    <col min="3060" max="3060" width="11.109375" style="1" customWidth="1"/>
    <col min="3061" max="3061" width="14" style="1" customWidth="1"/>
    <col min="3062" max="3062" width="33" style="1" customWidth="1"/>
    <col min="3063" max="3063" width="6.6640625" style="1" customWidth="1"/>
    <col min="3064" max="3064" width="19" style="1" customWidth="1"/>
    <col min="3065" max="3065" width="19.109375" style="1" customWidth="1"/>
    <col min="3066" max="3066" width="21.33203125" style="1" customWidth="1"/>
    <col min="3067" max="3067" width="32.5546875" style="1" customWidth="1"/>
    <col min="3068" max="3068" width="16.88671875" style="1" customWidth="1"/>
    <col min="3069" max="3069" width="16.33203125" style="1" customWidth="1"/>
    <col min="3070" max="3300" width="10.33203125" style="1"/>
    <col min="3301" max="3301" width="4.44140625" style="1" customWidth="1"/>
    <col min="3302" max="3302" width="21.6640625" style="1" customWidth="1"/>
    <col min="3303" max="3303" width="15" style="1" customWidth="1"/>
    <col min="3304" max="3304" width="15.44140625" style="1" customWidth="1"/>
    <col min="3305" max="3305" width="11.5546875" style="1" customWidth="1"/>
    <col min="3306" max="3306" width="7.44140625" style="1" customWidth="1"/>
    <col min="3307" max="3307" width="14.109375" style="1" customWidth="1"/>
    <col min="3308" max="3308" width="10.6640625" style="1" customWidth="1"/>
    <col min="3309" max="3309" width="13.44140625" style="1" customWidth="1"/>
    <col min="3310" max="3310" width="11.44140625" style="1" customWidth="1"/>
    <col min="3311" max="3311" width="15" style="1" customWidth="1"/>
    <col min="3312" max="3312" width="14.5546875" style="1" customWidth="1"/>
    <col min="3313" max="3313" width="10.33203125" style="1"/>
    <col min="3314" max="3314" width="7.44140625" style="1" customWidth="1"/>
    <col min="3315" max="3315" width="12.88671875" style="1" customWidth="1"/>
    <col min="3316" max="3316" width="11.109375" style="1" customWidth="1"/>
    <col min="3317" max="3317" width="14" style="1" customWidth="1"/>
    <col min="3318" max="3318" width="33" style="1" customWidth="1"/>
    <col min="3319" max="3319" width="6.6640625" style="1" customWidth="1"/>
    <col min="3320" max="3320" width="19" style="1" customWidth="1"/>
    <col min="3321" max="3321" width="19.109375" style="1" customWidth="1"/>
    <col min="3322" max="3322" width="21.33203125" style="1" customWidth="1"/>
    <col min="3323" max="3323" width="32.5546875" style="1" customWidth="1"/>
    <col min="3324" max="3324" width="16.88671875" style="1" customWidth="1"/>
    <col min="3325" max="3325" width="16.33203125" style="1" customWidth="1"/>
    <col min="3326" max="3556" width="10.33203125" style="1"/>
    <col min="3557" max="3557" width="4.44140625" style="1" customWidth="1"/>
    <col min="3558" max="3558" width="21.6640625" style="1" customWidth="1"/>
    <col min="3559" max="3559" width="15" style="1" customWidth="1"/>
    <col min="3560" max="3560" width="15.44140625" style="1" customWidth="1"/>
    <col min="3561" max="3561" width="11.5546875" style="1" customWidth="1"/>
    <col min="3562" max="3562" width="7.44140625" style="1" customWidth="1"/>
    <col min="3563" max="3563" width="14.109375" style="1" customWidth="1"/>
    <col min="3564" max="3564" width="10.6640625" style="1" customWidth="1"/>
    <col min="3565" max="3565" width="13.44140625" style="1" customWidth="1"/>
    <col min="3566" max="3566" width="11.44140625" style="1" customWidth="1"/>
    <col min="3567" max="3567" width="15" style="1" customWidth="1"/>
    <col min="3568" max="3568" width="14.5546875" style="1" customWidth="1"/>
    <col min="3569" max="3569" width="10.33203125" style="1"/>
    <col min="3570" max="3570" width="7.44140625" style="1" customWidth="1"/>
    <col min="3571" max="3571" width="12.88671875" style="1" customWidth="1"/>
    <col min="3572" max="3572" width="11.109375" style="1" customWidth="1"/>
    <col min="3573" max="3573" width="14" style="1" customWidth="1"/>
    <col min="3574" max="3574" width="33" style="1" customWidth="1"/>
    <col min="3575" max="3575" width="6.6640625" style="1" customWidth="1"/>
    <col min="3576" max="3576" width="19" style="1" customWidth="1"/>
    <col min="3577" max="3577" width="19.109375" style="1" customWidth="1"/>
    <col min="3578" max="3578" width="21.33203125" style="1" customWidth="1"/>
    <col min="3579" max="3579" width="32.5546875" style="1" customWidth="1"/>
    <col min="3580" max="3580" width="16.88671875" style="1" customWidth="1"/>
    <col min="3581" max="3581" width="16.33203125" style="1" customWidth="1"/>
    <col min="3582" max="3812" width="10.33203125" style="1"/>
    <col min="3813" max="3813" width="4.44140625" style="1" customWidth="1"/>
    <col min="3814" max="3814" width="21.6640625" style="1" customWidth="1"/>
    <col min="3815" max="3815" width="15" style="1" customWidth="1"/>
    <col min="3816" max="3816" width="15.44140625" style="1" customWidth="1"/>
    <col min="3817" max="3817" width="11.5546875" style="1" customWidth="1"/>
    <col min="3818" max="3818" width="7.44140625" style="1" customWidth="1"/>
    <col min="3819" max="3819" width="14.109375" style="1" customWidth="1"/>
    <col min="3820" max="3820" width="10.6640625" style="1" customWidth="1"/>
    <col min="3821" max="3821" width="13.44140625" style="1" customWidth="1"/>
    <col min="3822" max="3822" width="11.44140625" style="1" customWidth="1"/>
    <col min="3823" max="3823" width="15" style="1" customWidth="1"/>
    <col min="3824" max="3824" width="14.5546875" style="1" customWidth="1"/>
    <col min="3825" max="3825" width="10.33203125" style="1"/>
    <col min="3826" max="3826" width="7.44140625" style="1" customWidth="1"/>
    <col min="3827" max="3827" width="12.88671875" style="1" customWidth="1"/>
    <col min="3828" max="3828" width="11.109375" style="1" customWidth="1"/>
    <col min="3829" max="3829" width="14" style="1" customWidth="1"/>
    <col min="3830" max="3830" width="33" style="1" customWidth="1"/>
    <col min="3831" max="3831" width="6.6640625" style="1" customWidth="1"/>
    <col min="3832" max="3832" width="19" style="1" customWidth="1"/>
    <col min="3833" max="3833" width="19.109375" style="1" customWidth="1"/>
    <col min="3834" max="3834" width="21.33203125" style="1" customWidth="1"/>
    <col min="3835" max="3835" width="32.5546875" style="1" customWidth="1"/>
    <col min="3836" max="3836" width="16.88671875" style="1" customWidth="1"/>
    <col min="3837" max="3837" width="16.33203125" style="1" customWidth="1"/>
    <col min="3838" max="4068" width="10.33203125" style="1"/>
    <col min="4069" max="4069" width="4.44140625" style="1" customWidth="1"/>
    <col min="4070" max="4070" width="21.6640625" style="1" customWidth="1"/>
    <col min="4071" max="4071" width="15" style="1" customWidth="1"/>
    <col min="4072" max="4072" width="15.44140625" style="1" customWidth="1"/>
    <col min="4073" max="4073" width="11.5546875" style="1" customWidth="1"/>
    <col min="4074" max="4074" width="7.44140625" style="1" customWidth="1"/>
    <col min="4075" max="4075" width="14.109375" style="1" customWidth="1"/>
    <col min="4076" max="4076" width="10.6640625" style="1" customWidth="1"/>
    <col min="4077" max="4077" width="13.44140625" style="1" customWidth="1"/>
    <col min="4078" max="4078" width="11.44140625" style="1" customWidth="1"/>
    <col min="4079" max="4079" width="15" style="1" customWidth="1"/>
    <col min="4080" max="4080" width="14.5546875" style="1" customWidth="1"/>
    <col min="4081" max="4081" width="10.33203125" style="1"/>
    <col min="4082" max="4082" width="7.44140625" style="1" customWidth="1"/>
    <col min="4083" max="4083" width="12.88671875" style="1" customWidth="1"/>
    <col min="4084" max="4084" width="11.109375" style="1" customWidth="1"/>
    <col min="4085" max="4085" width="14" style="1" customWidth="1"/>
    <col min="4086" max="4086" width="33" style="1" customWidth="1"/>
    <col min="4087" max="4087" width="6.6640625" style="1" customWidth="1"/>
    <col min="4088" max="4088" width="19" style="1" customWidth="1"/>
    <col min="4089" max="4089" width="19.109375" style="1" customWidth="1"/>
    <col min="4090" max="4090" width="21.33203125" style="1" customWidth="1"/>
    <col min="4091" max="4091" width="32.5546875" style="1" customWidth="1"/>
    <col min="4092" max="4092" width="16.88671875" style="1" customWidth="1"/>
    <col min="4093" max="4093" width="16.33203125" style="1" customWidth="1"/>
    <col min="4094" max="4324" width="10.33203125" style="1"/>
    <col min="4325" max="4325" width="4.44140625" style="1" customWidth="1"/>
    <col min="4326" max="4326" width="21.6640625" style="1" customWidth="1"/>
    <col min="4327" max="4327" width="15" style="1" customWidth="1"/>
    <col min="4328" max="4328" width="15.44140625" style="1" customWidth="1"/>
    <col min="4329" max="4329" width="11.5546875" style="1" customWidth="1"/>
    <col min="4330" max="4330" width="7.44140625" style="1" customWidth="1"/>
    <col min="4331" max="4331" width="14.109375" style="1" customWidth="1"/>
    <col min="4332" max="4332" width="10.6640625" style="1" customWidth="1"/>
    <col min="4333" max="4333" width="13.44140625" style="1" customWidth="1"/>
    <col min="4334" max="4334" width="11.44140625" style="1" customWidth="1"/>
    <col min="4335" max="4335" width="15" style="1" customWidth="1"/>
    <col min="4336" max="4336" width="14.5546875" style="1" customWidth="1"/>
    <col min="4337" max="4337" width="10.33203125" style="1"/>
    <col min="4338" max="4338" width="7.44140625" style="1" customWidth="1"/>
    <col min="4339" max="4339" width="12.88671875" style="1" customWidth="1"/>
    <col min="4340" max="4340" width="11.109375" style="1" customWidth="1"/>
    <col min="4341" max="4341" width="14" style="1" customWidth="1"/>
    <col min="4342" max="4342" width="33" style="1" customWidth="1"/>
    <col min="4343" max="4343" width="6.6640625" style="1" customWidth="1"/>
    <col min="4344" max="4344" width="19" style="1" customWidth="1"/>
    <col min="4345" max="4345" width="19.109375" style="1" customWidth="1"/>
    <col min="4346" max="4346" width="21.33203125" style="1" customWidth="1"/>
    <col min="4347" max="4347" width="32.5546875" style="1" customWidth="1"/>
    <col min="4348" max="4348" width="16.88671875" style="1" customWidth="1"/>
    <col min="4349" max="4349" width="16.33203125" style="1" customWidth="1"/>
    <col min="4350" max="4580" width="10.33203125" style="1"/>
    <col min="4581" max="4581" width="4.44140625" style="1" customWidth="1"/>
    <col min="4582" max="4582" width="21.6640625" style="1" customWidth="1"/>
    <col min="4583" max="4583" width="15" style="1" customWidth="1"/>
    <col min="4584" max="4584" width="15.44140625" style="1" customWidth="1"/>
    <col min="4585" max="4585" width="11.5546875" style="1" customWidth="1"/>
    <col min="4586" max="4586" width="7.44140625" style="1" customWidth="1"/>
    <col min="4587" max="4587" width="14.109375" style="1" customWidth="1"/>
    <col min="4588" max="4588" width="10.6640625" style="1" customWidth="1"/>
    <col min="4589" max="4589" width="13.44140625" style="1" customWidth="1"/>
    <col min="4590" max="4590" width="11.44140625" style="1" customWidth="1"/>
    <col min="4591" max="4591" width="15" style="1" customWidth="1"/>
    <col min="4592" max="4592" width="14.5546875" style="1" customWidth="1"/>
    <col min="4593" max="4593" width="10.33203125" style="1"/>
    <col min="4594" max="4594" width="7.44140625" style="1" customWidth="1"/>
    <col min="4595" max="4595" width="12.88671875" style="1" customWidth="1"/>
    <col min="4596" max="4596" width="11.109375" style="1" customWidth="1"/>
    <col min="4597" max="4597" width="14" style="1" customWidth="1"/>
    <col min="4598" max="4598" width="33" style="1" customWidth="1"/>
    <col min="4599" max="4599" width="6.6640625" style="1" customWidth="1"/>
    <col min="4600" max="4600" width="19" style="1" customWidth="1"/>
    <col min="4601" max="4601" width="19.109375" style="1" customWidth="1"/>
    <col min="4602" max="4602" width="21.33203125" style="1" customWidth="1"/>
    <col min="4603" max="4603" width="32.5546875" style="1" customWidth="1"/>
    <col min="4604" max="4604" width="16.88671875" style="1" customWidth="1"/>
    <col min="4605" max="4605" width="16.33203125" style="1" customWidth="1"/>
    <col min="4606" max="4836" width="10.33203125" style="1"/>
    <col min="4837" max="4837" width="4.44140625" style="1" customWidth="1"/>
    <col min="4838" max="4838" width="21.6640625" style="1" customWidth="1"/>
    <col min="4839" max="4839" width="15" style="1" customWidth="1"/>
    <col min="4840" max="4840" width="15.44140625" style="1" customWidth="1"/>
    <col min="4841" max="4841" width="11.5546875" style="1" customWidth="1"/>
    <col min="4842" max="4842" width="7.44140625" style="1" customWidth="1"/>
    <col min="4843" max="4843" width="14.109375" style="1" customWidth="1"/>
    <col min="4844" max="4844" width="10.6640625" style="1" customWidth="1"/>
    <col min="4845" max="4845" width="13.44140625" style="1" customWidth="1"/>
    <col min="4846" max="4846" width="11.44140625" style="1" customWidth="1"/>
    <col min="4847" max="4847" width="15" style="1" customWidth="1"/>
    <col min="4848" max="4848" width="14.5546875" style="1" customWidth="1"/>
    <col min="4849" max="4849" width="10.33203125" style="1"/>
    <col min="4850" max="4850" width="7.44140625" style="1" customWidth="1"/>
    <col min="4851" max="4851" width="12.88671875" style="1" customWidth="1"/>
    <col min="4852" max="4852" width="11.109375" style="1" customWidth="1"/>
    <col min="4853" max="4853" width="14" style="1" customWidth="1"/>
    <col min="4854" max="4854" width="33" style="1" customWidth="1"/>
    <col min="4855" max="4855" width="6.6640625" style="1" customWidth="1"/>
    <col min="4856" max="4856" width="19" style="1" customWidth="1"/>
    <col min="4857" max="4857" width="19.109375" style="1" customWidth="1"/>
    <col min="4858" max="4858" width="21.33203125" style="1" customWidth="1"/>
    <col min="4859" max="4859" width="32.5546875" style="1" customWidth="1"/>
    <col min="4860" max="4860" width="16.88671875" style="1" customWidth="1"/>
    <col min="4861" max="4861" width="16.33203125" style="1" customWidth="1"/>
    <col min="4862" max="5092" width="10.33203125" style="1"/>
    <col min="5093" max="5093" width="4.44140625" style="1" customWidth="1"/>
    <col min="5094" max="5094" width="21.6640625" style="1" customWidth="1"/>
    <col min="5095" max="5095" width="15" style="1" customWidth="1"/>
    <col min="5096" max="5096" width="15.44140625" style="1" customWidth="1"/>
    <col min="5097" max="5097" width="11.5546875" style="1" customWidth="1"/>
    <col min="5098" max="5098" width="7.44140625" style="1" customWidth="1"/>
    <col min="5099" max="5099" width="14.109375" style="1" customWidth="1"/>
    <col min="5100" max="5100" width="10.6640625" style="1" customWidth="1"/>
    <col min="5101" max="5101" width="13.44140625" style="1" customWidth="1"/>
    <col min="5102" max="5102" width="11.44140625" style="1" customWidth="1"/>
    <col min="5103" max="5103" width="15" style="1" customWidth="1"/>
    <col min="5104" max="5104" width="14.5546875" style="1" customWidth="1"/>
    <col min="5105" max="5105" width="10.33203125" style="1"/>
    <col min="5106" max="5106" width="7.44140625" style="1" customWidth="1"/>
    <col min="5107" max="5107" width="12.88671875" style="1" customWidth="1"/>
    <col min="5108" max="5108" width="11.109375" style="1" customWidth="1"/>
    <col min="5109" max="5109" width="14" style="1" customWidth="1"/>
    <col min="5110" max="5110" width="33" style="1" customWidth="1"/>
    <col min="5111" max="5111" width="6.6640625" style="1" customWidth="1"/>
    <col min="5112" max="5112" width="19" style="1" customWidth="1"/>
    <col min="5113" max="5113" width="19.109375" style="1" customWidth="1"/>
    <col min="5114" max="5114" width="21.33203125" style="1" customWidth="1"/>
    <col min="5115" max="5115" width="32.5546875" style="1" customWidth="1"/>
    <col min="5116" max="5116" width="16.88671875" style="1" customWidth="1"/>
    <col min="5117" max="5117" width="16.33203125" style="1" customWidth="1"/>
    <col min="5118" max="5348" width="10.33203125" style="1"/>
    <col min="5349" max="5349" width="4.44140625" style="1" customWidth="1"/>
    <col min="5350" max="5350" width="21.6640625" style="1" customWidth="1"/>
    <col min="5351" max="5351" width="15" style="1" customWidth="1"/>
    <col min="5352" max="5352" width="15.44140625" style="1" customWidth="1"/>
    <col min="5353" max="5353" width="11.5546875" style="1" customWidth="1"/>
    <col min="5354" max="5354" width="7.44140625" style="1" customWidth="1"/>
    <col min="5355" max="5355" width="14.109375" style="1" customWidth="1"/>
    <col min="5356" max="5356" width="10.6640625" style="1" customWidth="1"/>
    <col min="5357" max="5357" width="13.44140625" style="1" customWidth="1"/>
    <col min="5358" max="5358" width="11.44140625" style="1" customWidth="1"/>
    <col min="5359" max="5359" width="15" style="1" customWidth="1"/>
    <col min="5360" max="5360" width="14.5546875" style="1" customWidth="1"/>
    <col min="5361" max="5361" width="10.33203125" style="1"/>
    <col min="5362" max="5362" width="7.44140625" style="1" customWidth="1"/>
    <col min="5363" max="5363" width="12.88671875" style="1" customWidth="1"/>
    <col min="5364" max="5364" width="11.109375" style="1" customWidth="1"/>
    <col min="5365" max="5365" width="14" style="1" customWidth="1"/>
    <col min="5366" max="5366" width="33" style="1" customWidth="1"/>
    <col min="5367" max="5367" width="6.6640625" style="1" customWidth="1"/>
    <col min="5368" max="5368" width="19" style="1" customWidth="1"/>
    <col min="5369" max="5369" width="19.109375" style="1" customWidth="1"/>
    <col min="5370" max="5370" width="21.33203125" style="1" customWidth="1"/>
    <col min="5371" max="5371" width="32.5546875" style="1" customWidth="1"/>
    <col min="5372" max="5372" width="16.88671875" style="1" customWidth="1"/>
    <col min="5373" max="5373" width="16.33203125" style="1" customWidth="1"/>
    <col min="5374" max="5604" width="10.33203125" style="1"/>
    <col min="5605" max="5605" width="4.44140625" style="1" customWidth="1"/>
    <col min="5606" max="5606" width="21.6640625" style="1" customWidth="1"/>
    <col min="5607" max="5607" width="15" style="1" customWidth="1"/>
    <col min="5608" max="5608" width="15.44140625" style="1" customWidth="1"/>
    <col min="5609" max="5609" width="11.5546875" style="1" customWidth="1"/>
    <col min="5610" max="5610" width="7.44140625" style="1" customWidth="1"/>
    <col min="5611" max="5611" width="14.109375" style="1" customWidth="1"/>
    <col min="5612" max="5612" width="10.6640625" style="1" customWidth="1"/>
    <col min="5613" max="5613" width="13.44140625" style="1" customWidth="1"/>
    <col min="5614" max="5614" width="11.44140625" style="1" customWidth="1"/>
    <col min="5615" max="5615" width="15" style="1" customWidth="1"/>
    <col min="5616" max="5616" width="14.5546875" style="1" customWidth="1"/>
    <col min="5617" max="5617" width="10.33203125" style="1"/>
    <col min="5618" max="5618" width="7.44140625" style="1" customWidth="1"/>
    <col min="5619" max="5619" width="12.88671875" style="1" customWidth="1"/>
    <col min="5620" max="5620" width="11.109375" style="1" customWidth="1"/>
    <col min="5621" max="5621" width="14" style="1" customWidth="1"/>
    <col min="5622" max="5622" width="33" style="1" customWidth="1"/>
    <col min="5623" max="5623" width="6.6640625" style="1" customWidth="1"/>
    <col min="5624" max="5624" width="19" style="1" customWidth="1"/>
    <col min="5625" max="5625" width="19.109375" style="1" customWidth="1"/>
    <col min="5626" max="5626" width="21.33203125" style="1" customWidth="1"/>
    <col min="5627" max="5627" width="32.5546875" style="1" customWidth="1"/>
    <col min="5628" max="5628" width="16.88671875" style="1" customWidth="1"/>
    <col min="5629" max="5629" width="16.33203125" style="1" customWidth="1"/>
    <col min="5630" max="5860" width="10.33203125" style="1"/>
    <col min="5861" max="5861" width="4.44140625" style="1" customWidth="1"/>
    <col min="5862" max="5862" width="21.6640625" style="1" customWidth="1"/>
    <col min="5863" max="5863" width="15" style="1" customWidth="1"/>
    <col min="5864" max="5864" width="15.44140625" style="1" customWidth="1"/>
    <col min="5865" max="5865" width="11.5546875" style="1" customWidth="1"/>
    <col min="5866" max="5866" width="7.44140625" style="1" customWidth="1"/>
    <col min="5867" max="5867" width="14.109375" style="1" customWidth="1"/>
    <col min="5868" max="5868" width="10.6640625" style="1" customWidth="1"/>
    <col min="5869" max="5869" width="13.44140625" style="1" customWidth="1"/>
    <col min="5870" max="5870" width="11.44140625" style="1" customWidth="1"/>
    <col min="5871" max="5871" width="15" style="1" customWidth="1"/>
    <col min="5872" max="5872" width="14.5546875" style="1" customWidth="1"/>
    <col min="5873" max="5873" width="10.33203125" style="1"/>
    <col min="5874" max="5874" width="7.44140625" style="1" customWidth="1"/>
    <col min="5875" max="5875" width="12.88671875" style="1" customWidth="1"/>
    <col min="5876" max="5876" width="11.109375" style="1" customWidth="1"/>
    <col min="5877" max="5877" width="14" style="1" customWidth="1"/>
    <col min="5878" max="5878" width="33" style="1" customWidth="1"/>
    <col min="5879" max="5879" width="6.6640625" style="1" customWidth="1"/>
    <col min="5880" max="5880" width="19" style="1" customWidth="1"/>
    <col min="5881" max="5881" width="19.109375" style="1" customWidth="1"/>
    <col min="5882" max="5882" width="21.33203125" style="1" customWidth="1"/>
    <col min="5883" max="5883" width="32.5546875" style="1" customWidth="1"/>
    <col min="5884" max="5884" width="16.88671875" style="1" customWidth="1"/>
    <col min="5885" max="5885" width="16.33203125" style="1" customWidth="1"/>
    <col min="5886" max="6116" width="10.33203125" style="1"/>
    <col min="6117" max="6117" width="4.44140625" style="1" customWidth="1"/>
    <col min="6118" max="6118" width="21.6640625" style="1" customWidth="1"/>
    <col min="6119" max="6119" width="15" style="1" customWidth="1"/>
    <col min="6120" max="6120" width="15.44140625" style="1" customWidth="1"/>
    <col min="6121" max="6121" width="11.5546875" style="1" customWidth="1"/>
    <col min="6122" max="6122" width="7.44140625" style="1" customWidth="1"/>
    <col min="6123" max="6123" width="14.109375" style="1" customWidth="1"/>
    <col min="6124" max="6124" width="10.6640625" style="1" customWidth="1"/>
    <col min="6125" max="6125" width="13.44140625" style="1" customWidth="1"/>
    <col min="6126" max="6126" width="11.44140625" style="1" customWidth="1"/>
    <col min="6127" max="6127" width="15" style="1" customWidth="1"/>
    <col min="6128" max="6128" width="14.5546875" style="1" customWidth="1"/>
    <col min="6129" max="6129" width="10.33203125" style="1"/>
    <col min="6130" max="6130" width="7.44140625" style="1" customWidth="1"/>
    <col min="6131" max="6131" width="12.88671875" style="1" customWidth="1"/>
    <col min="6132" max="6132" width="11.109375" style="1" customWidth="1"/>
    <col min="6133" max="6133" width="14" style="1" customWidth="1"/>
    <col min="6134" max="6134" width="33" style="1" customWidth="1"/>
    <col min="6135" max="6135" width="6.6640625" style="1" customWidth="1"/>
    <col min="6136" max="6136" width="19" style="1" customWidth="1"/>
    <col min="6137" max="6137" width="19.109375" style="1" customWidth="1"/>
    <col min="6138" max="6138" width="21.33203125" style="1" customWidth="1"/>
    <col min="6139" max="6139" width="32.5546875" style="1" customWidth="1"/>
    <col min="6140" max="6140" width="16.88671875" style="1" customWidth="1"/>
    <col min="6141" max="6141" width="16.33203125" style="1" customWidth="1"/>
    <col min="6142" max="6372" width="10.33203125" style="1"/>
    <col min="6373" max="6373" width="4.44140625" style="1" customWidth="1"/>
    <col min="6374" max="6374" width="21.6640625" style="1" customWidth="1"/>
    <col min="6375" max="6375" width="15" style="1" customWidth="1"/>
    <col min="6376" max="6376" width="15.44140625" style="1" customWidth="1"/>
    <col min="6377" max="6377" width="11.5546875" style="1" customWidth="1"/>
    <col min="6378" max="6378" width="7.44140625" style="1" customWidth="1"/>
    <col min="6379" max="6379" width="14.109375" style="1" customWidth="1"/>
    <col min="6380" max="6380" width="10.6640625" style="1" customWidth="1"/>
    <col min="6381" max="6381" width="13.44140625" style="1" customWidth="1"/>
    <col min="6382" max="6382" width="11.44140625" style="1" customWidth="1"/>
    <col min="6383" max="6383" width="15" style="1" customWidth="1"/>
    <col min="6384" max="6384" width="14.5546875" style="1" customWidth="1"/>
    <col min="6385" max="6385" width="10.33203125" style="1"/>
    <col min="6386" max="6386" width="7.44140625" style="1" customWidth="1"/>
    <col min="6387" max="6387" width="12.88671875" style="1" customWidth="1"/>
    <col min="6388" max="6388" width="11.109375" style="1" customWidth="1"/>
    <col min="6389" max="6389" width="14" style="1" customWidth="1"/>
    <col min="6390" max="6390" width="33" style="1" customWidth="1"/>
    <col min="6391" max="6391" width="6.6640625" style="1" customWidth="1"/>
    <col min="6392" max="6392" width="19" style="1" customWidth="1"/>
    <col min="6393" max="6393" width="19.109375" style="1" customWidth="1"/>
    <col min="6394" max="6394" width="21.33203125" style="1" customWidth="1"/>
    <col min="6395" max="6395" width="32.5546875" style="1" customWidth="1"/>
    <col min="6396" max="6396" width="16.88671875" style="1" customWidth="1"/>
    <col min="6397" max="6397" width="16.33203125" style="1" customWidth="1"/>
    <col min="6398" max="6628" width="10.33203125" style="1"/>
    <col min="6629" max="6629" width="4.44140625" style="1" customWidth="1"/>
    <col min="6630" max="6630" width="21.6640625" style="1" customWidth="1"/>
    <col min="6631" max="6631" width="15" style="1" customWidth="1"/>
    <col min="6632" max="6632" width="15.44140625" style="1" customWidth="1"/>
    <col min="6633" max="6633" width="11.5546875" style="1" customWidth="1"/>
    <col min="6634" max="6634" width="7.44140625" style="1" customWidth="1"/>
    <col min="6635" max="6635" width="14.109375" style="1" customWidth="1"/>
    <col min="6636" max="6636" width="10.6640625" style="1" customWidth="1"/>
    <col min="6637" max="6637" width="13.44140625" style="1" customWidth="1"/>
    <col min="6638" max="6638" width="11.44140625" style="1" customWidth="1"/>
    <col min="6639" max="6639" width="15" style="1" customWidth="1"/>
    <col min="6640" max="6640" width="14.5546875" style="1" customWidth="1"/>
    <col min="6641" max="6641" width="10.33203125" style="1"/>
    <col min="6642" max="6642" width="7.44140625" style="1" customWidth="1"/>
    <col min="6643" max="6643" width="12.88671875" style="1" customWidth="1"/>
    <col min="6644" max="6644" width="11.109375" style="1" customWidth="1"/>
    <col min="6645" max="6645" width="14" style="1" customWidth="1"/>
    <col min="6646" max="6646" width="33" style="1" customWidth="1"/>
    <col min="6647" max="6647" width="6.6640625" style="1" customWidth="1"/>
    <col min="6648" max="6648" width="19" style="1" customWidth="1"/>
    <col min="6649" max="6649" width="19.109375" style="1" customWidth="1"/>
    <col min="6650" max="6650" width="21.33203125" style="1" customWidth="1"/>
    <col min="6651" max="6651" width="32.5546875" style="1" customWidth="1"/>
    <col min="6652" max="6652" width="16.88671875" style="1" customWidth="1"/>
    <col min="6653" max="6653" width="16.33203125" style="1" customWidth="1"/>
    <col min="6654" max="6884" width="10.33203125" style="1"/>
    <col min="6885" max="6885" width="4.44140625" style="1" customWidth="1"/>
    <col min="6886" max="6886" width="21.6640625" style="1" customWidth="1"/>
    <col min="6887" max="6887" width="15" style="1" customWidth="1"/>
    <col min="6888" max="6888" width="15.44140625" style="1" customWidth="1"/>
    <col min="6889" max="6889" width="11.5546875" style="1" customWidth="1"/>
    <col min="6890" max="6890" width="7.44140625" style="1" customWidth="1"/>
    <col min="6891" max="6891" width="14.109375" style="1" customWidth="1"/>
    <col min="6892" max="6892" width="10.6640625" style="1" customWidth="1"/>
    <col min="6893" max="6893" width="13.44140625" style="1" customWidth="1"/>
    <col min="6894" max="6894" width="11.44140625" style="1" customWidth="1"/>
    <col min="6895" max="6895" width="15" style="1" customWidth="1"/>
    <col min="6896" max="6896" width="14.5546875" style="1" customWidth="1"/>
    <col min="6897" max="6897" width="10.33203125" style="1"/>
    <col min="6898" max="6898" width="7.44140625" style="1" customWidth="1"/>
    <col min="6899" max="6899" width="12.88671875" style="1" customWidth="1"/>
    <col min="6900" max="6900" width="11.109375" style="1" customWidth="1"/>
    <col min="6901" max="6901" width="14" style="1" customWidth="1"/>
    <col min="6902" max="6902" width="33" style="1" customWidth="1"/>
    <col min="6903" max="6903" width="6.6640625" style="1" customWidth="1"/>
    <col min="6904" max="6904" width="19" style="1" customWidth="1"/>
    <col min="6905" max="6905" width="19.109375" style="1" customWidth="1"/>
    <col min="6906" max="6906" width="21.33203125" style="1" customWidth="1"/>
    <col min="6907" max="6907" width="32.5546875" style="1" customWidth="1"/>
    <col min="6908" max="6908" width="16.88671875" style="1" customWidth="1"/>
    <col min="6909" max="6909" width="16.33203125" style="1" customWidth="1"/>
    <col min="6910" max="7140" width="10.33203125" style="1"/>
    <col min="7141" max="7141" width="4.44140625" style="1" customWidth="1"/>
    <col min="7142" max="7142" width="21.6640625" style="1" customWidth="1"/>
    <col min="7143" max="7143" width="15" style="1" customWidth="1"/>
    <col min="7144" max="7144" width="15.44140625" style="1" customWidth="1"/>
    <col min="7145" max="7145" width="11.5546875" style="1" customWidth="1"/>
    <col min="7146" max="7146" width="7.44140625" style="1" customWidth="1"/>
    <col min="7147" max="7147" width="14.109375" style="1" customWidth="1"/>
    <col min="7148" max="7148" width="10.6640625" style="1" customWidth="1"/>
    <col min="7149" max="7149" width="13.44140625" style="1" customWidth="1"/>
    <col min="7150" max="7150" width="11.44140625" style="1" customWidth="1"/>
    <col min="7151" max="7151" width="15" style="1" customWidth="1"/>
    <col min="7152" max="7152" width="14.5546875" style="1" customWidth="1"/>
    <col min="7153" max="7153" width="10.33203125" style="1"/>
    <col min="7154" max="7154" width="7.44140625" style="1" customWidth="1"/>
    <col min="7155" max="7155" width="12.88671875" style="1" customWidth="1"/>
    <col min="7156" max="7156" width="11.109375" style="1" customWidth="1"/>
    <col min="7157" max="7157" width="14" style="1" customWidth="1"/>
    <col min="7158" max="7158" width="33" style="1" customWidth="1"/>
    <col min="7159" max="7159" width="6.6640625" style="1" customWidth="1"/>
    <col min="7160" max="7160" width="19" style="1" customWidth="1"/>
    <col min="7161" max="7161" width="19.109375" style="1" customWidth="1"/>
    <col min="7162" max="7162" width="21.33203125" style="1" customWidth="1"/>
    <col min="7163" max="7163" width="32.5546875" style="1" customWidth="1"/>
    <col min="7164" max="7164" width="16.88671875" style="1" customWidth="1"/>
    <col min="7165" max="7165" width="16.33203125" style="1" customWidth="1"/>
    <col min="7166" max="7396" width="10.33203125" style="1"/>
    <col min="7397" max="7397" width="4.44140625" style="1" customWidth="1"/>
    <col min="7398" max="7398" width="21.6640625" style="1" customWidth="1"/>
    <col min="7399" max="7399" width="15" style="1" customWidth="1"/>
    <col min="7400" max="7400" width="15.44140625" style="1" customWidth="1"/>
    <col min="7401" max="7401" width="11.5546875" style="1" customWidth="1"/>
    <col min="7402" max="7402" width="7.44140625" style="1" customWidth="1"/>
    <col min="7403" max="7403" width="14.109375" style="1" customWidth="1"/>
    <col min="7404" max="7404" width="10.6640625" style="1" customWidth="1"/>
    <col min="7405" max="7405" width="13.44140625" style="1" customWidth="1"/>
    <col min="7406" max="7406" width="11.44140625" style="1" customWidth="1"/>
    <col min="7407" max="7407" width="15" style="1" customWidth="1"/>
    <col min="7408" max="7408" width="14.5546875" style="1" customWidth="1"/>
    <col min="7409" max="7409" width="10.33203125" style="1"/>
    <col min="7410" max="7410" width="7.44140625" style="1" customWidth="1"/>
    <col min="7411" max="7411" width="12.88671875" style="1" customWidth="1"/>
    <col min="7412" max="7412" width="11.109375" style="1" customWidth="1"/>
    <col min="7413" max="7413" width="14" style="1" customWidth="1"/>
    <col min="7414" max="7414" width="33" style="1" customWidth="1"/>
    <col min="7415" max="7415" width="6.6640625" style="1" customWidth="1"/>
    <col min="7416" max="7416" width="19" style="1" customWidth="1"/>
    <col min="7417" max="7417" width="19.109375" style="1" customWidth="1"/>
    <col min="7418" max="7418" width="21.33203125" style="1" customWidth="1"/>
    <col min="7419" max="7419" width="32.5546875" style="1" customWidth="1"/>
    <col min="7420" max="7420" width="16.88671875" style="1" customWidth="1"/>
    <col min="7421" max="7421" width="16.33203125" style="1" customWidth="1"/>
    <col min="7422" max="7652" width="10.33203125" style="1"/>
    <col min="7653" max="7653" width="4.44140625" style="1" customWidth="1"/>
    <col min="7654" max="7654" width="21.6640625" style="1" customWidth="1"/>
    <col min="7655" max="7655" width="15" style="1" customWidth="1"/>
    <col min="7656" max="7656" width="15.44140625" style="1" customWidth="1"/>
    <col min="7657" max="7657" width="11.5546875" style="1" customWidth="1"/>
    <col min="7658" max="7658" width="7.44140625" style="1" customWidth="1"/>
    <col min="7659" max="7659" width="14.109375" style="1" customWidth="1"/>
    <col min="7660" max="7660" width="10.6640625" style="1" customWidth="1"/>
    <col min="7661" max="7661" width="13.44140625" style="1" customWidth="1"/>
    <col min="7662" max="7662" width="11.44140625" style="1" customWidth="1"/>
    <col min="7663" max="7663" width="15" style="1" customWidth="1"/>
    <col min="7664" max="7664" width="14.5546875" style="1" customWidth="1"/>
    <col min="7665" max="7665" width="10.33203125" style="1"/>
    <col min="7666" max="7666" width="7.44140625" style="1" customWidth="1"/>
    <col min="7667" max="7667" width="12.88671875" style="1" customWidth="1"/>
    <col min="7668" max="7668" width="11.109375" style="1" customWidth="1"/>
    <col min="7669" max="7669" width="14" style="1" customWidth="1"/>
    <col min="7670" max="7670" width="33" style="1" customWidth="1"/>
    <col min="7671" max="7671" width="6.6640625" style="1" customWidth="1"/>
    <col min="7672" max="7672" width="19" style="1" customWidth="1"/>
    <col min="7673" max="7673" width="19.109375" style="1" customWidth="1"/>
    <col min="7674" max="7674" width="21.33203125" style="1" customWidth="1"/>
    <col min="7675" max="7675" width="32.5546875" style="1" customWidth="1"/>
    <col min="7676" max="7676" width="16.88671875" style="1" customWidth="1"/>
    <col min="7677" max="7677" width="16.33203125" style="1" customWidth="1"/>
    <col min="7678" max="7908" width="10.33203125" style="1"/>
    <col min="7909" max="7909" width="4.44140625" style="1" customWidth="1"/>
    <col min="7910" max="7910" width="21.6640625" style="1" customWidth="1"/>
    <col min="7911" max="7911" width="15" style="1" customWidth="1"/>
    <col min="7912" max="7912" width="15.44140625" style="1" customWidth="1"/>
    <col min="7913" max="7913" width="11.5546875" style="1" customWidth="1"/>
    <col min="7914" max="7914" width="7.44140625" style="1" customWidth="1"/>
    <col min="7915" max="7915" width="14.109375" style="1" customWidth="1"/>
    <col min="7916" max="7916" width="10.6640625" style="1" customWidth="1"/>
    <col min="7917" max="7917" width="13.44140625" style="1" customWidth="1"/>
    <col min="7918" max="7918" width="11.44140625" style="1" customWidth="1"/>
    <col min="7919" max="7919" width="15" style="1" customWidth="1"/>
    <col min="7920" max="7920" width="14.5546875" style="1" customWidth="1"/>
    <col min="7921" max="7921" width="10.33203125" style="1"/>
    <col min="7922" max="7922" width="7.44140625" style="1" customWidth="1"/>
    <col min="7923" max="7923" width="12.88671875" style="1" customWidth="1"/>
    <col min="7924" max="7924" width="11.109375" style="1" customWidth="1"/>
    <col min="7925" max="7925" width="14" style="1" customWidth="1"/>
    <col min="7926" max="7926" width="33" style="1" customWidth="1"/>
    <col min="7927" max="7927" width="6.6640625" style="1" customWidth="1"/>
    <col min="7928" max="7928" width="19" style="1" customWidth="1"/>
    <col min="7929" max="7929" width="19.109375" style="1" customWidth="1"/>
    <col min="7930" max="7930" width="21.33203125" style="1" customWidth="1"/>
    <col min="7931" max="7931" width="32.5546875" style="1" customWidth="1"/>
    <col min="7932" max="7932" width="16.88671875" style="1" customWidth="1"/>
    <col min="7933" max="7933" width="16.33203125" style="1" customWidth="1"/>
    <col min="7934" max="8164" width="10.33203125" style="1"/>
    <col min="8165" max="8165" width="4.44140625" style="1" customWidth="1"/>
    <col min="8166" max="8166" width="21.6640625" style="1" customWidth="1"/>
    <col min="8167" max="8167" width="15" style="1" customWidth="1"/>
    <col min="8168" max="8168" width="15.44140625" style="1" customWidth="1"/>
    <col min="8169" max="8169" width="11.5546875" style="1" customWidth="1"/>
    <col min="8170" max="8170" width="7.44140625" style="1" customWidth="1"/>
    <col min="8171" max="8171" width="14.109375" style="1" customWidth="1"/>
    <col min="8172" max="8172" width="10.6640625" style="1" customWidth="1"/>
    <col min="8173" max="8173" width="13.44140625" style="1" customWidth="1"/>
    <col min="8174" max="8174" width="11.44140625" style="1" customWidth="1"/>
    <col min="8175" max="8175" width="15" style="1" customWidth="1"/>
    <col min="8176" max="8176" width="14.5546875" style="1" customWidth="1"/>
    <col min="8177" max="8177" width="10.33203125" style="1"/>
    <col min="8178" max="8178" width="7.44140625" style="1" customWidth="1"/>
    <col min="8179" max="8179" width="12.88671875" style="1" customWidth="1"/>
    <col min="8180" max="8180" width="11.109375" style="1" customWidth="1"/>
    <col min="8181" max="8181" width="14" style="1" customWidth="1"/>
    <col min="8182" max="8182" width="33" style="1" customWidth="1"/>
    <col min="8183" max="8183" width="6.6640625" style="1" customWidth="1"/>
    <col min="8184" max="8184" width="19" style="1" customWidth="1"/>
    <col min="8185" max="8185" width="19.109375" style="1" customWidth="1"/>
    <col min="8186" max="8186" width="21.33203125" style="1" customWidth="1"/>
    <col min="8187" max="8187" width="32.5546875" style="1" customWidth="1"/>
    <col min="8188" max="8188" width="16.88671875" style="1" customWidth="1"/>
    <col min="8189" max="8189" width="16.33203125" style="1" customWidth="1"/>
    <col min="8190" max="8420" width="10.33203125" style="1"/>
    <col min="8421" max="8421" width="4.44140625" style="1" customWidth="1"/>
    <col min="8422" max="8422" width="21.6640625" style="1" customWidth="1"/>
    <col min="8423" max="8423" width="15" style="1" customWidth="1"/>
    <col min="8424" max="8424" width="15.44140625" style="1" customWidth="1"/>
    <col min="8425" max="8425" width="11.5546875" style="1" customWidth="1"/>
    <col min="8426" max="8426" width="7.44140625" style="1" customWidth="1"/>
    <col min="8427" max="8427" width="14.109375" style="1" customWidth="1"/>
    <col min="8428" max="8428" width="10.6640625" style="1" customWidth="1"/>
    <col min="8429" max="8429" width="13.44140625" style="1" customWidth="1"/>
    <col min="8430" max="8430" width="11.44140625" style="1" customWidth="1"/>
    <col min="8431" max="8431" width="15" style="1" customWidth="1"/>
    <col min="8432" max="8432" width="14.5546875" style="1" customWidth="1"/>
    <col min="8433" max="8433" width="10.33203125" style="1"/>
    <col min="8434" max="8434" width="7.44140625" style="1" customWidth="1"/>
    <col min="8435" max="8435" width="12.88671875" style="1" customWidth="1"/>
    <col min="8436" max="8436" width="11.109375" style="1" customWidth="1"/>
    <col min="8437" max="8437" width="14" style="1" customWidth="1"/>
    <col min="8438" max="8438" width="33" style="1" customWidth="1"/>
    <col min="8439" max="8439" width="6.6640625" style="1" customWidth="1"/>
    <col min="8440" max="8440" width="19" style="1" customWidth="1"/>
    <col min="8441" max="8441" width="19.109375" style="1" customWidth="1"/>
    <col min="8442" max="8442" width="21.33203125" style="1" customWidth="1"/>
    <col min="8443" max="8443" width="32.5546875" style="1" customWidth="1"/>
    <col min="8444" max="8444" width="16.88671875" style="1" customWidth="1"/>
    <col min="8445" max="8445" width="16.33203125" style="1" customWidth="1"/>
    <col min="8446" max="8676" width="10.33203125" style="1"/>
    <col min="8677" max="8677" width="4.44140625" style="1" customWidth="1"/>
    <col min="8678" max="8678" width="21.6640625" style="1" customWidth="1"/>
    <col min="8679" max="8679" width="15" style="1" customWidth="1"/>
    <col min="8680" max="8680" width="15.44140625" style="1" customWidth="1"/>
    <col min="8681" max="8681" width="11.5546875" style="1" customWidth="1"/>
    <col min="8682" max="8682" width="7.44140625" style="1" customWidth="1"/>
    <col min="8683" max="8683" width="14.109375" style="1" customWidth="1"/>
    <col min="8684" max="8684" width="10.6640625" style="1" customWidth="1"/>
    <col min="8685" max="8685" width="13.44140625" style="1" customWidth="1"/>
    <col min="8686" max="8686" width="11.44140625" style="1" customWidth="1"/>
    <col min="8687" max="8687" width="15" style="1" customWidth="1"/>
    <col min="8688" max="8688" width="14.5546875" style="1" customWidth="1"/>
    <col min="8689" max="8689" width="10.33203125" style="1"/>
    <col min="8690" max="8690" width="7.44140625" style="1" customWidth="1"/>
    <col min="8691" max="8691" width="12.88671875" style="1" customWidth="1"/>
    <col min="8692" max="8692" width="11.109375" style="1" customWidth="1"/>
    <col min="8693" max="8693" width="14" style="1" customWidth="1"/>
    <col min="8694" max="8694" width="33" style="1" customWidth="1"/>
    <col min="8695" max="8695" width="6.6640625" style="1" customWidth="1"/>
    <col min="8696" max="8696" width="19" style="1" customWidth="1"/>
    <col min="8697" max="8697" width="19.109375" style="1" customWidth="1"/>
    <col min="8698" max="8698" width="21.33203125" style="1" customWidth="1"/>
    <col min="8699" max="8699" width="32.5546875" style="1" customWidth="1"/>
    <col min="8700" max="8700" width="16.88671875" style="1" customWidth="1"/>
    <col min="8701" max="8701" width="16.33203125" style="1" customWidth="1"/>
    <col min="8702" max="8932" width="10.33203125" style="1"/>
    <col min="8933" max="8933" width="4.44140625" style="1" customWidth="1"/>
    <col min="8934" max="8934" width="21.6640625" style="1" customWidth="1"/>
    <col min="8935" max="8935" width="15" style="1" customWidth="1"/>
    <col min="8936" max="8936" width="15.44140625" style="1" customWidth="1"/>
    <col min="8937" max="8937" width="11.5546875" style="1" customWidth="1"/>
    <col min="8938" max="8938" width="7.44140625" style="1" customWidth="1"/>
    <col min="8939" max="8939" width="14.109375" style="1" customWidth="1"/>
    <col min="8940" max="8940" width="10.6640625" style="1" customWidth="1"/>
    <col min="8941" max="8941" width="13.44140625" style="1" customWidth="1"/>
    <col min="8942" max="8942" width="11.44140625" style="1" customWidth="1"/>
    <col min="8943" max="8943" width="15" style="1" customWidth="1"/>
    <col min="8944" max="8944" width="14.5546875" style="1" customWidth="1"/>
    <col min="8945" max="8945" width="10.33203125" style="1"/>
    <col min="8946" max="8946" width="7.44140625" style="1" customWidth="1"/>
    <col min="8947" max="8947" width="12.88671875" style="1" customWidth="1"/>
    <col min="8948" max="8948" width="11.109375" style="1" customWidth="1"/>
    <col min="8949" max="8949" width="14" style="1" customWidth="1"/>
    <col min="8950" max="8950" width="33" style="1" customWidth="1"/>
    <col min="8951" max="8951" width="6.6640625" style="1" customWidth="1"/>
    <col min="8952" max="8952" width="19" style="1" customWidth="1"/>
    <col min="8953" max="8953" width="19.109375" style="1" customWidth="1"/>
    <col min="8954" max="8954" width="21.33203125" style="1" customWidth="1"/>
    <col min="8955" max="8955" width="32.5546875" style="1" customWidth="1"/>
    <col min="8956" max="8956" width="16.88671875" style="1" customWidth="1"/>
    <col min="8957" max="8957" width="16.33203125" style="1" customWidth="1"/>
    <col min="8958" max="9188" width="10.33203125" style="1"/>
    <col min="9189" max="9189" width="4.44140625" style="1" customWidth="1"/>
    <col min="9190" max="9190" width="21.6640625" style="1" customWidth="1"/>
    <col min="9191" max="9191" width="15" style="1" customWidth="1"/>
    <col min="9192" max="9192" width="15.44140625" style="1" customWidth="1"/>
    <col min="9193" max="9193" width="11.5546875" style="1" customWidth="1"/>
    <col min="9194" max="9194" width="7.44140625" style="1" customWidth="1"/>
    <col min="9195" max="9195" width="14.109375" style="1" customWidth="1"/>
    <col min="9196" max="9196" width="10.6640625" style="1" customWidth="1"/>
    <col min="9197" max="9197" width="13.44140625" style="1" customWidth="1"/>
    <col min="9198" max="9198" width="11.44140625" style="1" customWidth="1"/>
    <col min="9199" max="9199" width="15" style="1" customWidth="1"/>
    <col min="9200" max="9200" width="14.5546875" style="1" customWidth="1"/>
    <col min="9201" max="9201" width="10.33203125" style="1"/>
    <col min="9202" max="9202" width="7.44140625" style="1" customWidth="1"/>
    <col min="9203" max="9203" width="12.88671875" style="1" customWidth="1"/>
    <col min="9204" max="9204" width="11.109375" style="1" customWidth="1"/>
    <col min="9205" max="9205" width="14" style="1" customWidth="1"/>
    <col min="9206" max="9206" width="33" style="1" customWidth="1"/>
    <col min="9207" max="9207" width="6.6640625" style="1" customWidth="1"/>
    <col min="9208" max="9208" width="19" style="1" customWidth="1"/>
    <col min="9209" max="9209" width="19.109375" style="1" customWidth="1"/>
    <col min="9210" max="9210" width="21.33203125" style="1" customWidth="1"/>
    <col min="9211" max="9211" width="32.5546875" style="1" customWidth="1"/>
    <col min="9212" max="9212" width="16.88671875" style="1" customWidth="1"/>
    <col min="9213" max="9213" width="16.33203125" style="1" customWidth="1"/>
    <col min="9214" max="9444" width="10.33203125" style="1"/>
    <col min="9445" max="9445" width="4.44140625" style="1" customWidth="1"/>
    <col min="9446" max="9446" width="21.6640625" style="1" customWidth="1"/>
    <col min="9447" max="9447" width="15" style="1" customWidth="1"/>
    <col min="9448" max="9448" width="15.44140625" style="1" customWidth="1"/>
    <col min="9449" max="9449" width="11.5546875" style="1" customWidth="1"/>
    <col min="9450" max="9450" width="7.44140625" style="1" customWidth="1"/>
    <col min="9451" max="9451" width="14.109375" style="1" customWidth="1"/>
    <col min="9452" max="9452" width="10.6640625" style="1" customWidth="1"/>
    <col min="9453" max="9453" width="13.44140625" style="1" customWidth="1"/>
    <col min="9454" max="9454" width="11.44140625" style="1" customWidth="1"/>
    <col min="9455" max="9455" width="15" style="1" customWidth="1"/>
    <col min="9456" max="9456" width="14.5546875" style="1" customWidth="1"/>
    <col min="9457" max="9457" width="10.33203125" style="1"/>
    <col min="9458" max="9458" width="7.44140625" style="1" customWidth="1"/>
    <col min="9459" max="9459" width="12.88671875" style="1" customWidth="1"/>
    <col min="9460" max="9460" width="11.109375" style="1" customWidth="1"/>
    <col min="9461" max="9461" width="14" style="1" customWidth="1"/>
    <col min="9462" max="9462" width="33" style="1" customWidth="1"/>
    <col min="9463" max="9463" width="6.6640625" style="1" customWidth="1"/>
    <col min="9464" max="9464" width="19" style="1" customWidth="1"/>
    <col min="9465" max="9465" width="19.109375" style="1" customWidth="1"/>
    <col min="9466" max="9466" width="21.33203125" style="1" customWidth="1"/>
    <col min="9467" max="9467" width="32.5546875" style="1" customWidth="1"/>
    <col min="9468" max="9468" width="16.88671875" style="1" customWidth="1"/>
    <col min="9469" max="9469" width="16.33203125" style="1" customWidth="1"/>
    <col min="9470" max="9700" width="10.33203125" style="1"/>
    <col min="9701" max="9701" width="4.44140625" style="1" customWidth="1"/>
    <col min="9702" max="9702" width="21.6640625" style="1" customWidth="1"/>
    <col min="9703" max="9703" width="15" style="1" customWidth="1"/>
    <col min="9704" max="9704" width="15.44140625" style="1" customWidth="1"/>
    <col min="9705" max="9705" width="11.5546875" style="1" customWidth="1"/>
    <col min="9706" max="9706" width="7.44140625" style="1" customWidth="1"/>
    <col min="9707" max="9707" width="14.109375" style="1" customWidth="1"/>
    <col min="9708" max="9708" width="10.6640625" style="1" customWidth="1"/>
    <col min="9709" max="9709" width="13.44140625" style="1" customWidth="1"/>
    <col min="9710" max="9710" width="11.44140625" style="1" customWidth="1"/>
    <col min="9711" max="9711" width="15" style="1" customWidth="1"/>
    <col min="9712" max="9712" width="14.5546875" style="1" customWidth="1"/>
    <col min="9713" max="9713" width="10.33203125" style="1"/>
    <col min="9714" max="9714" width="7.44140625" style="1" customWidth="1"/>
    <col min="9715" max="9715" width="12.88671875" style="1" customWidth="1"/>
    <col min="9716" max="9716" width="11.109375" style="1" customWidth="1"/>
    <col min="9717" max="9717" width="14" style="1" customWidth="1"/>
    <col min="9718" max="9718" width="33" style="1" customWidth="1"/>
    <col min="9719" max="9719" width="6.6640625" style="1" customWidth="1"/>
    <col min="9720" max="9720" width="19" style="1" customWidth="1"/>
    <col min="9721" max="9721" width="19.109375" style="1" customWidth="1"/>
    <col min="9722" max="9722" width="21.33203125" style="1" customWidth="1"/>
    <col min="9723" max="9723" width="32.5546875" style="1" customWidth="1"/>
    <col min="9724" max="9724" width="16.88671875" style="1" customWidth="1"/>
    <col min="9725" max="9725" width="16.33203125" style="1" customWidth="1"/>
    <col min="9726" max="9956" width="10.33203125" style="1"/>
    <col min="9957" max="9957" width="4.44140625" style="1" customWidth="1"/>
    <col min="9958" max="9958" width="21.6640625" style="1" customWidth="1"/>
    <col min="9959" max="9959" width="15" style="1" customWidth="1"/>
    <col min="9960" max="9960" width="15.44140625" style="1" customWidth="1"/>
    <col min="9961" max="9961" width="11.5546875" style="1" customWidth="1"/>
    <col min="9962" max="9962" width="7.44140625" style="1" customWidth="1"/>
    <col min="9963" max="9963" width="14.109375" style="1" customWidth="1"/>
    <col min="9964" max="9964" width="10.6640625" style="1" customWidth="1"/>
    <col min="9965" max="9965" width="13.44140625" style="1" customWidth="1"/>
    <col min="9966" max="9966" width="11.44140625" style="1" customWidth="1"/>
    <col min="9967" max="9967" width="15" style="1" customWidth="1"/>
    <col min="9968" max="9968" width="14.5546875" style="1" customWidth="1"/>
    <col min="9969" max="9969" width="10.33203125" style="1"/>
    <col min="9970" max="9970" width="7.44140625" style="1" customWidth="1"/>
    <col min="9971" max="9971" width="12.88671875" style="1" customWidth="1"/>
    <col min="9972" max="9972" width="11.109375" style="1" customWidth="1"/>
    <col min="9973" max="9973" width="14" style="1" customWidth="1"/>
    <col min="9974" max="9974" width="33" style="1" customWidth="1"/>
    <col min="9975" max="9975" width="6.6640625" style="1" customWidth="1"/>
    <col min="9976" max="9976" width="19" style="1" customWidth="1"/>
    <col min="9977" max="9977" width="19.109375" style="1" customWidth="1"/>
    <col min="9978" max="9978" width="21.33203125" style="1" customWidth="1"/>
    <col min="9979" max="9979" width="32.5546875" style="1" customWidth="1"/>
    <col min="9980" max="9980" width="16.88671875" style="1" customWidth="1"/>
    <col min="9981" max="9981" width="16.33203125" style="1" customWidth="1"/>
    <col min="9982" max="10212" width="10.33203125" style="1"/>
    <col min="10213" max="10213" width="4.44140625" style="1" customWidth="1"/>
    <col min="10214" max="10214" width="21.6640625" style="1" customWidth="1"/>
    <col min="10215" max="10215" width="15" style="1" customWidth="1"/>
    <col min="10216" max="10216" width="15.44140625" style="1" customWidth="1"/>
    <col min="10217" max="10217" width="11.5546875" style="1" customWidth="1"/>
    <col min="10218" max="10218" width="7.44140625" style="1" customWidth="1"/>
    <col min="10219" max="10219" width="14.109375" style="1" customWidth="1"/>
    <col min="10220" max="10220" width="10.6640625" style="1" customWidth="1"/>
    <col min="10221" max="10221" width="13.44140625" style="1" customWidth="1"/>
    <col min="10222" max="10222" width="11.44140625" style="1" customWidth="1"/>
    <col min="10223" max="10223" width="15" style="1" customWidth="1"/>
    <col min="10224" max="10224" width="14.5546875" style="1" customWidth="1"/>
    <col min="10225" max="10225" width="10.33203125" style="1"/>
    <col min="10226" max="10226" width="7.44140625" style="1" customWidth="1"/>
    <col min="10227" max="10227" width="12.88671875" style="1" customWidth="1"/>
    <col min="10228" max="10228" width="11.109375" style="1" customWidth="1"/>
    <col min="10229" max="10229" width="14" style="1" customWidth="1"/>
    <col min="10230" max="10230" width="33" style="1" customWidth="1"/>
    <col min="10231" max="10231" width="6.6640625" style="1" customWidth="1"/>
    <col min="10232" max="10232" width="19" style="1" customWidth="1"/>
    <col min="10233" max="10233" width="19.109375" style="1" customWidth="1"/>
    <col min="10234" max="10234" width="21.33203125" style="1" customWidth="1"/>
    <col min="10235" max="10235" width="32.5546875" style="1" customWidth="1"/>
    <col min="10236" max="10236" width="16.88671875" style="1" customWidth="1"/>
    <col min="10237" max="10237" width="16.33203125" style="1" customWidth="1"/>
    <col min="10238" max="10468" width="10.33203125" style="1"/>
    <col min="10469" max="10469" width="4.44140625" style="1" customWidth="1"/>
    <col min="10470" max="10470" width="21.6640625" style="1" customWidth="1"/>
    <col min="10471" max="10471" width="15" style="1" customWidth="1"/>
    <col min="10472" max="10472" width="15.44140625" style="1" customWidth="1"/>
    <col min="10473" max="10473" width="11.5546875" style="1" customWidth="1"/>
    <col min="10474" max="10474" width="7.44140625" style="1" customWidth="1"/>
    <col min="10475" max="10475" width="14.109375" style="1" customWidth="1"/>
    <col min="10476" max="10476" width="10.6640625" style="1" customWidth="1"/>
    <col min="10477" max="10477" width="13.44140625" style="1" customWidth="1"/>
    <col min="10478" max="10478" width="11.44140625" style="1" customWidth="1"/>
    <col min="10479" max="10479" width="15" style="1" customWidth="1"/>
    <col min="10480" max="10480" width="14.5546875" style="1" customWidth="1"/>
    <col min="10481" max="10481" width="10.33203125" style="1"/>
    <col min="10482" max="10482" width="7.44140625" style="1" customWidth="1"/>
    <col min="10483" max="10483" width="12.88671875" style="1" customWidth="1"/>
    <col min="10484" max="10484" width="11.109375" style="1" customWidth="1"/>
    <col min="10485" max="10485" width="14" style="1" customWidth="1"/>
    <col min="10486" max="10486" width="33" style="1" customWidth="1"/>
    <col min="10487" max="10487" width="6.6640625" style="1" customWidth="1"/>
    <col min="10488" max="10488" width="19" style="1" customWidth="1"/>
    <col min="10489" max="10489" width="19.109375" style="1" customWidth="1"/>
    <col min="10490" max="10490" width="21.33203125" style="1" customWidth="1"/>
    <col min="10491" max="10491" width="32.5546875" style="1" customWidth="1"/>
    <col min="10492" max="10492" width="16.88671875" style="1" customWidth="1"/>
    <col min="10493" max="10493" width="16.33203125" style="1" customWidth="1"/>
    <col min="10494" max="10724" width="10.33203125" style="1"/>
    <col min="10725" max="10725" width="4.44140625" style="1" customWidth="1"/>
    <col min="10726" max="10726" width="21.6640625" style="1" customWidth="1"/>
    <col min="10727" max="10727" width="15" style="1" customWidth="1"/>
    <col min="10728" max="10728" width="15.44140625" style="1" customWidth="1"/>
    <col min="10729" max="10729" width="11.5546875" style="1" customWidth="1"/>
    <col min="10730" max="10730" width="7.44140625" style="1" customWidth="1"/>
    <col min="10731" max="10731" width="14.109375" style="1" customWidth="1"/>
    <col min="10732" max="10732" width="10.6640625" style="1" customWidth="1"/>
    <col min="10733" max="10733" width="13.44140625" style="1" customWidth="1"/>
    <col min="10734" max="10734" width="11.44140625" style="1" customWidth="1"/>
    <col min="10735" max="10735" width="15" style="1" customWidth="1"/>
    <col min="10736" max="10736" width="14.5546875" style="1" customWidth="1"/>
    <col min="10737" max="10737" width="10.33203125" style="1"/>
    <col min="10738" max="10738" width="7.44140625" style="1" customWidth="1"/>
    <col min="10739" max="10739" width="12.88671875" style="1" customWidth="1"/>
    <col min="10740" max="10740" width="11.109375" style="1" customWidth="1"/>
    <col min="10741" max="10741" width="14" style="1" customWidth="1"/>
    <col min="10742" max="10742" width="33" style="1" customWidth="1"/>
    <col min="10743" max="10743" width="6.6640625" style="1" customWidth="1"/>
    <col min="10744" max="10744" width="19" style="1" customWidth="1"/>
    <col min="10745" max="10745" width="19.109375" style="1" customWidth="1"/>
    <col min="10746" max="10746" width="21.33203125" style="1" customWidth="1"/>
    <col min="10747" max="10747" width="32.5546875" style="1" customWidth="1"/>
    <col min="10748" max="10748" width="16.88671875" style="1" customWidth="1"/>
    <col min="10749" max="10749" width="16.33203125" style="1" customWidth="1"/>
    <col min="10750" max="10980" width="10.33203125" style="1"/>
    <col min="10981" max="10981" width="4.44140625" style="1" customWidth="1"/>
    <col min="10982" max="10982" width="21.6640625" style="1" customWidth="1"/>
    <col min="10983" max="10983" width="15" style="1" customWidth="1"/>
    <col min="10984" max="10984" width="15.44140625" style="1" customWidth="1"/>
    <col min="10985" max="10985" width="11.5546875" style="1" customWidth="1"/>
    <col min="10986" max="10986" width="7.44140625" style="1" customWidth="1"/>
    <col min="10987" max="10987" width="14.109375" style="1" customWidth="1"/>
    <col min="10988" max="10988" width="10.6640625" style="1" customWidth="1"/>
    <col min="10989" max="10989" width="13.44140625" style="1" customWidth="1"/>
    <col min="10990" max="10990" width="11.44140625" style="1" customWidth="1"/>
    <col min="10991" max="10991" width="15" style="1" customWidth="1"/>
    <col min="10992" max="10992" width="14.5546875" style="1" customWidth="1"/>
    <col min="10993" max="10993" width="10.33203125" style="1"/>
    <col min="10994" max="10994" width="7.44140625" style="1" customWidth="1"/>
    <col min="10995" max="10995" width="12.88671875" style="1" customWidth="1"/>
    <col min="10996" max="10996" width="11.109375" style="1" customWidth="1"/>
    <col min="10997" max="10997" width="14" style="1" customWidth="1"/>
    <col min="10998" max="10998" width="33" style="1" customWidth="1"/>
    <col min="10999" max="10999" width="6.6640625" style="1" customWidth="1"/>
    <col min="11000" max="11000" width="19" style="1" customWidth="1"/>
    <col min="11001" max="11001" width="19.109375" style="1" customWidth="1"/>
    <col min="11002" max="11002" width="21.33203125" style="1" customWidth="1"/>
    <col min="11003" max="11003" width="32.5546875" style="1" customWidth="1"/>
    <col min="11004" max="11004" width="16.88671875" style="1" customWidth="1"/>
    <col min="11005" max="11005" width="16.33203125" style="1" customWidth="1"/>
    <col min="11006" max="11236" width="10.33203125" style="1"/>
    <col min="11237" max="11237" width="4.44140625" style="1" customWidth="1"/>
    <col min="11238" max="11238" width="21.6640625" style="1" customWidth="1"/>
    <col min="11239" max="11239" width="15" style="1" customWidth="1"/>
    <col min="11240" max="11240" width="15.44140625" style="1" customWidth="1"/>
    <col min="11241" max="11241" width="11.5546875" style="1" customWidth="1"/>
    <col min="11242" max="11242" width="7.44140625" style="1" customWidth="1"/>
    <col min="11243" max="11243" width="14.109375" style="1" customWidth="1"/>
    <col min="11244" max="11244" width="10.6640625" style="1" customWidth="1"/>
    <col min="11245" max="11245" width="13.44140625" style="1" customWidth="1"/>
    <col min="11246" max="11246" width="11.44140625" style="1" customWidth="1"/>
    <col min="11247" max="11247" width="15" style="1" customWidth="1"/>
    <col min="11248" max="11248" width="14.5546875" style="1" customWidth="1"/>
    <col min="11249" max="11249" width="10.33203125" style="1"/>
    <col min="11250" max="11250" width="7.44140625" style="1" customWidth="1"/>
    <col min="11251" max="11251" width="12.88671875" style="1" customWidth="1"/>
    <col min="11252" max="11252" width="11.109375" style="1" customWidth="1"/>
    <col min="11253" max="11253" width="14" style="1" customWidth="1"/>
    <col min="11254" max="11254" width="33" style="1" customWidth="1"/>
    <col min="11255" max="11255" width="6.6640625" style="1" customWidth="1"/>
    <col min="11256" max="11256" width="19" style="1" customWidth="1"/>
    <col min="11257" max="11257" width="19.109375" style="1" customWidth="1"/>
    <col min="11258" max="11258" width="21.33203125" style="1" customWidth="1"/>
    <col min="11259" max="11259" width="32.5546875" style="1" customWidth="1"/>
    <col min="11260" max="11260" width="16.88671875" style="1" customWidth="1"/>
    <col min="11261" max="11261" width="16.33203125" style="1" customWidth="1"/>
    <col min="11262" max="11492" width="10.33203125" style="1"/>
    <col min="11493" max="11493" width="4.44140625" style="1" customWidth="1"/>
    <col min="11494" max="11494" width="21.6640625" style="1" customWidth="1"/>
    <col min="11495" max="11495" width="15" style="1" customWidth="1"/>
    <col min="11496" max="11496" width="15.44140625" style="1" customWidth="1"/>
    <col min="11497" max="11497" width="11.5546875" style="1" customWidth="1"/>
    <col min="11498" max="11498" width="7.44140625" style="1" customWidth="1"/>
    <col min="11499" max="11499" width="14.109375" style="1" customWidth="1"/>
    <col min="11500" max="11500" width="10.6640625" style="1" customWidth="1"/>
    <col min="11501" max="11501" width="13.44140625" style="1" customWidth="1"/>
    <col min="11502" max="11502" width="11.44140625" style="1" customWidth="1"/>
    <col min="11503" max="11503" width="15" style="1" customWidth="1"/>
    <col min="11504" max="11504" width="14.5546875" style="1" customWidth="1"/>
    <col min="11505" max="11505" width="10.33203125" style="1"/>
    <col min="11506" max="11506" width="7.44140625" style="1" customWidth="1"/>
    <col min="11507" max="11507" width="12.88671875" style="1" customWidth="1"/>
    <col min="11508" max="11508" width="11.109375" style="1" customWidth="1"/>
    <col min="11509" max="11509" width="14" style="1" customWidth="1"/>
    <col min="11510" max="11510" width="33" style="1" customWidth="1"/>
    <col min="11511" max="11511" width="6.6640625" style="1" customWidth="1"/>
    <col min="11512" max="11512" width="19" style="1" customWidth="1"/>
    <col min="11513" max="11513" width="19.109375" style="1" customWidth="1"/>
    <col min="11514" max="11514" width="21.33203125" style="1" customWidth="1"/>
    <col min="11515" max="11515" width="32.5546875" style="1" customWidth="1"/>
    <col min="11516" max="11516" width="16.88671875" style="1" customWidth="1"/>
    <col min="11517" max="11517" width="16.33203125" style="1" customWidth="1"/>
    <col min="11518" max="11748" width="10.33203125" style="1"/>
    <col min="11749" max="11749" width="4.44140625" style="1" customWidth="1"/>
    <col min="11750" max="11750" width="21.6640625" style="1" customWidth="1"/>
    <col min="11751" max="11751" width="15" style="1" customWidth="1"/>
    <col min="11752" max="11752" width="15.44140625" style="1" customWidth="1"/>
    <col min="11753" max="11753" width="11.5546875" style="1" customWidth="1"/>
    <col min="11754" max="11754" width="7.44140625" style="1" customWidth="1"/>
    <col min="11755" max="11755" width="14.109375" style="1" customWidth="1"/>
    <col min="11756" max="11756" width="10.6640625" style="1" customWidth="1"/>
    <col min="11757" max="11757" width="13.44140625" style="1" customWidth="1"/>
    <col min="11758" max="11758" width="11.44140625" style="1" customWidth="1"/>
    <col min="11759" max="11759" width="15" style="1" customWidth="1"/>
    <col min="11760" max="11760" width="14.5546875" style="1" customWidth="1"/>
    <col min="11761" max="11761" width="10.33203125" style="1"/>
    <col min="11762" max="11762" width="7.44140625" style="1" customWidth="1"/>
    <col min="11763" max="11763" width="12.88671875" style="1" customWidth="1"/>
    <col min="11764" max="11764" width="11.109375" style="1" customWidth="1"/>
    <col min="11765" max="11765" width="14" style="1" customWidth="1"/>
    <col min="11766" max="11766" width="33" style="1" customWidth="1"/>
    <col min="11767" max="11767" width="6.6640625" style="1" customWidth="1"/>
    <col min="11768" max="11768" width="19" style="1" customWidth="1"/>
    <col min="11769" max="11769" width="19.109375" style="1" customWidth="1"/>
    <col min="11770" max="11770" width="21.33203125" style="1" customWidth="1"/>
    <col min="11771" max="11771" width="32.5546875" style="1" customWidth="1"/>
    <col min="11772" max="11772" width="16.88671875" style="1" customWidth="1"/>
    <col min="11773" max="11773" width="16.33203125" style="1" customWidth="1"/>
    <col min="11774" max="12004" width="10.33203125" style="1"/>
    <col min="12005" max="12005" width="4.44140625" style="1" customWidth="1"/>
    <col min="12006" max="12006" width="21.6640625" style="1" customWidth="1"/>
    <col min="12007" max="12007" width="15" style="1" customWidth="1"/>
    <col min="12008" max="12008" width="15.44140625" style="1" customWidth="1"/>
    <col min="12009" max="12009" width="11.5546875" style="1" customWidth="1"/>
    <col min="12010" max="12010" width="7.44140625" style="1" customWidth="1"/>
    <col min="12011" max="12011" width="14.109375" style="1" customWidth="1"/>
    <col min="12012" max="12012" width="10.6640625" style="1" customWidth="1"/>
    <col min="12013" max="12013" width="13.44140625" style="1" customWidth="1"/>
    <col min="12014" max="12014" width="11.44140625" style="1" customWidth="1"/>
    <col min="12015" max="12015" width="15" style="1" customWidth="1"/>
    <col min="12016" max="12016" width="14.5546875" style="1" customWidth="1"/>
    <col min="12017" max="12017" width="10.33203125" style="1"/>
    <col min="12018" max="12018" width="7.44140625" style="1" customWidth="1"/>
    <col min="12019" max="12019" width="12.88671875" style="1" customWidth="1"/>
    <col min="12020" max="12020" width="11.109375" style="1" customWidth="1"/>
    <col min="12021" max="12021" width="14" style="1" customWidth="1"/>
    <col min="12022" max="12022" width="33" style="1" customWidth="1"/>
    <col min="12023" max="12023" width="6.6640625" style="1" customWidth="1"/>
    <col min="12024" max="12024" width="19" style="1" customWidth="1"/>
    <col min="12025" max="12025" width="19.109375" style="1" customWidth="1"/>
    <col min="12026" max="12026" width="21.33203125" style="1" customWidth="1"/>
    <col min="12027" max="12027" width="32.5546875" style="1" customWidth="1"/>
    <col min="12028" max="12028" width="16.88671875" style="1" customWidth="1"/>
    <col min="12029" max="12029" width="16.33203125" style="1" customWidth="1"/>
    <col min="12030" max="12260" width="10.33203125" style="1"/>
    <col min="12261" max="12261" width="4.44140625" style="1" customWidth="1"/>
    <col min="12262" max="12262" width="21.6640625" style="1" customWidth="1"/>
    <col min="12263" max="12263" width="15" style="1" customWidth="1"/>
    <col min="12264" max="12264" width="15.44140625" style="1" customWidth="1"/>
    <col min="12265" max="12265" width="11.5546875" style="1" customWidth="1"/>
    <col min="12266" max="12266" width="7.44140625" style="1" customWidth="1"/>
    <col min="12267" max="12267" width="14.109375" style="1" customWidth="1"/>
    <col min="12268" max="12268" width="10.6640625" style="1" customWidth="1"/>
    <col min="12269" max="12269" width="13.44140625" style="1" customWidth="1"/>
    <col min="12270" max="12270" width="11.44140625" style="1" customWidth="1"/>
    <col min="12271" max="12271" width="15" style="1" customWidth="1"/>
    <col min="12272" max="12272" width="14.5546875" style="1" customWidth="1"/>
    <col min="12273" max="12273" width="10.33203125" style="1"/>
    <col min="12274" max="12274" width="7.44140625" style="1" customWidth="1"/>
    <col min="12275" max="12275" width="12.88671875" style="1" customWidth="1"/>
    <col min="12276" max="12276" width="11.109375" style="1" customWidth="1"/>
    <col min="12277" max="12277" width="14" style="1" customWidth="1"/>
    <col min="12278" max="12278" width="33" style="1" customWidth="1"/>
    <col min="12279" max="12279" width="6.6640625" style="1" customWidth="1"/>
    <col min="12280" max="12280" width="19" style="1" customWidth="1"/>
    <col min="12281" max="12281" width="19.109375" style="1" customWidth="1"/>
    <col min="12282" max="12282" width="21.33203125" style="1" customWidth="1"/>
    <col min="12283" max="12283" width="32.5546875" style="1" customWidth="1"/>
    <col min="12284" max="12284" width="16.88671875" style="1" customWidth="1"/>
    <col min="12285" max="12285" width="16.33203125" style="1" customWidth="1"/>
    <col min="12286" max="12516" width="10.33203125" style="1"/>
    <col min="12517" max="12517" width="4.44140625" style="1" customWidth="1"/>
    <col min="12518" max="12518" width="21.6640625" style="1" customWidth="1"/>
    <col min="12519" max="12519" width="15" style="1" customWidth="1"/>
    <col min="12520" max="12520" width="15.44140625" style="1" customWidth="1"/>
    <col min="12521" max="12521" width="11.5546875" style="1" customWidth="1"/>
    <col min="12522" max="12522" width="7.44140625" style="1" customWidth="1"/>
    <col min="12523" max="12523" width="14.109375" style="1" customWidth="1"/>
    <col min="12524" max="12524" width="10.6640625" style="1" customWidth="1"/>
    <col min="12525" max="12525" width="13.44140625" style="1" customWidth="1"/>
    <col min="12526" max="12526" width="11.44140625" style="1" customWidth="1"/>
    <col min="12527" max="12527" width="15" style="1" customWidth="1"/>
    <col min="12528" max="12528" width="14.5546875" style="1" customWidth="1"/>
    <col min="12529" max="12529" width="10.33203125" style="1"/>
    <col min="12530" max="12530" width="7.44140625" style="1" customWidth="1"/>
    <col min="12531" max="12531" width="12.88671875" style="1" customWidth="1"/>
    <col min="12532" max="12532" width="11.109375" style="1" customWidth="1"/>
    <col min="12533" max="12533" width="14" style="1" customWidth="1"/>
    <col min="12534" max="12534" width="33" style="1" customWidth="1"/>
    <col min="12535" max="12535" width="6.6640625" style="1" customWidth="1"/>
    <col min="12536" max="12536" width="19" style="1" customWidth="1"/>
    <col min="12537" max="12537" width="19.109375" style="1" customWidth="1"/>
    <col min="12538" max="12538" width="21.33203125" style="1" customWidth="1"/>
    <col min="12539" max="12539" width="32.5546875" style="1" customWidth="1"/>
    <col min="12540" max="12540" width="16.88671875" style="1" customWidth="1"/>
    <col min="12541" max="12541" width="16.33203125" style="1" customWidth="1"/>
    <col min="12542" max="12772" width="10.33203125" style="1"/>
    <col min="12773" max="12773" width="4.44140625" style="1" customWidth="1"/>
    <col min="12774" max="12774" width="21.6640625" style="1" customWidth="1"/>
    <col min="12775" max="12775" width="15" style="1" customWidth="1"/>
    <col min="12776" max="12776" width="15.44140625" style="1" customWidth="1"/>
    <col min="12777" max="12777" width="11.5546875" style="1" customWidth="1"/>
    <col min="12778" max="12778" width="7.44140625" style="1" customWidth="1"/>
    <col min="12779" max="12779" width="14.109375" style="1" customWidth="1"/>
    <col min="12780" max="12780" width="10.6640625" style="1" customWidth="1"/>
    <col min="12781" max="12781" width="13.44140625" style="1" customWidth="1"/>
    <col min="12782" max="12782" width="11.44140625" style="1" customWidth="1"/>
    <col min="12783" max="12783" width="15" style="1" customWidth="1"/>
    <col min="12784" max="12784" width="14.5546875" style="1" customWidth="1"/>
    <col min="12785" max="12785" width="10.33203125" style="1"/>
    <col min="12786" max="12786" width="7.44140625" style="1" customWidth="1"/>
    <col min="12787" max="12787" width="12.88671875" style="1" customWidth="1"/>
    <col min="12788" max="12788" width="11.109375" style="1" customWidth="1"/>
    <col min="12789" max="12789" width="14" style="1" customWidth="1"/>
    <col min="12790" max="12790" width="33" style="1" customWidth="1"/>
    <col min="12791" max="12791" width="6.6640625" style="1" customWidth="1"/>
    <col min="12792" max="12792" width="19" style="1" customWidth="1"/>
    <col min="12793" max="12793" width="19.109375" style="1" customWidth="1"/>
    <col min="12794" max="12794" width="21.33203125" style="1" customWidth="1"/>
    <col min="12795" max="12795" width="32.5546875" style="1" customWidth="1"/>
    <col min="12796" max="12796" width="16.88671875" style="1" customWidth="1"/>
    <col min="12797" max="12797" width="16.33203125" style="1" customWidth="1"/>
    <col min="12798" max="13028" width="10.33203125" style="1"/>
    <col min="13029" max="13029" width="4.44140625" style="1" customWidth="1"/>
    <col min="13030" max="13030" width="21.6640625" style="1" customWidth="1"/>
    <col min="13031" max="13031" width="15" style="1" customWidth="1"/>
    <col min="13032" max="13032" width="15.44140625" style="1" customWidth="1"/>
    <col min="13033" max="13033" width="11.5546875" style="1" customWidth="1"/>
    <col min="13034" max="13034" width="7.44140625" style="1" customWidth="1"/>
    <col min="13035" max="13035" width="14.109375" style="1" customWidth="1"/>
    <col min="13036" max="13036" width="10.6640625" style="1" customWidth="1"/>
    <col min="13037" max="13037" width="13.44140625" style="1" customWidth="1"/>
    <col min="13038" max="13038" width="11.44140625" style="1" customWidth="1"/>
    <col min="13039" max="13039" width="15" style="1" customWidth="1"/>
    <col min="13040" max="13040" width="14.5546875" style="1" customWidth="1"/>
    <col min="13041" max="13041" width="10.33203125" style="1"/>
    <col min="13042" max="13042" width="7.44140625" style="1" customWidth="1"/>
    <col min="13043" max="13043" width="12.88671875" style="1" customWidth="1"/>
    <col min="13044" max="13044" width="11.109375" style="1" customWidth="1"/>
    <col min="13045" max="13045" width="14" style="1" customWidth="1"/>
    <col min="13046" max="13046" width="33" style="1" customWidth="1"/>
    <col min="13047" max="13047" width="6.6640625" style="1" customWidth="1"/>
    <col min="13048" max="13048" width="19" style="1" customWidth="1"/>
    <col min="13049" max="13049" width="19.109375" style="1" customWidth="1"/>
    <col min="13050" max="13050" width="21.33203125" style="1" customWidth="1"/>
    <col min="13051" max="13051" width="32.5546875" style="1" customWidth="1"/>
    <col min="13052" max="13052" width="16.88671875" style="1" customWidth="1"/>
    <col min="13053" max="13053" width="16.33203125" style="1" customWidth="1"/>
    <col min="13054" max="13284" width="10.33203125" style="1"/>
    <col min="13285" max="13285" width="4.44140625" style="1" customWidth="1"/>
    <col min="13286" max="13286" width="21.6640625" style="1" customWidth="1"/>
    <col min="13287" max="13287" width="15" style="1" customWidth="1"/>
    <col min="13288" max="13288" width="15.44140625" style="1" customWidth="1"/>
    <col min="13289" max="13289" width="11.5546875" style="1" customWidth="1"/>
    <col min="13290" max="13290" width="7.44140625" style="1" customWidth="1"/>
    <col min="13291" max="13291" width="14.109375" style="1" customWidth="1"/>
    <col min="13292" max="13292" width="10.6640625" style="1" customWidth="1"/>
    <col min="13293" max="13293" width="13.44140625" style="1" customWidth="1"/>
    <col min="13294" max="13294" width="11.44140625" style="1" customWidth="1"/>
    <col min="13295" max="13295" width="15" style="1" customWidth="1"/>
    <col min="13296" max="13296" width="14.5546875" style="1" customWidth="1"/>
    <col min="13297" max="13297" width="10.33203125" style="1"/>
    <col min="13298" max="13298" width="7.44140625" style="1" customWidth="1"/>
    <col min="13299" max="13299" width="12.88671875" style="1" customWidth="1"/>
    <col min="13300" max="13300" width="11.109375" style="1" customWidth="1"/>
    <col min="13301" max="13301" width="14" style="1" customWidth="1"/>
    <col min="13302" max="13302" width="33" style="1" customWidth="1"/>
    <col min="13303" max="13303" width="6.6640625" style="1" customWidth="1"/>
    <col min="13304" max="13304" width="19" style="1" customWidth="1"/>
    <col min="13305" max="13305" width="19.109375" style="1" customWidth="1"/>
    <col min="13306" max="13306" width="21.33203125" style="1" customWidth="1"/>
    <col min="13307" max="13307" width="32.5546875" style="1" customWidth="1"/>
    <col min="13308" max="13308" width="16.88671875" style="1" customWidth="1"/>
    <col min="13309" max="13309" width="16.33203125" style="1" customWidth="1"/>
    <col min="13310" max="13540" width="10.33203125" style="1"/>
    <col min="13541" max="13541" width="4.44140625" style="1" customWidth="1"/>
    <col min="13542" max="13542" width="21.6640625" style="1" customWidth="1"/>
    <col min="13543" max="13543" width="15" style="1" customWidth="1"/>
    <col min="13544" max="13544" width="15.44140625" style="1" customWidth="1"/>
    <col min="13545" max="13545" width="11.5546875" style="1" customWidth="1"/>
    <col min="13546" max="13546" width="7.44140625" style="1" customWidth="1"/>
    <col min="13547" max="13547" width="14.109375" style="1" customWidth="1"/>
    <col min="13548" max="13548" width="10.6640625" style="1" customWidth="1"/>
    <col min="13549" max="13549" width="13.44140625" style="1" customWidth="1"/>
    <col min="13550" max="13550" width="11.44140625" style="1" customWidth="1"/>
    <col min="13551" max="13551" width="15" style="1" customWidth="1"/>
    <col min="13552" max="13552" width="14.5546875" style="1" customWidth="1"/>
    <col min="13553" max="13553" width="10.33203125" style="1"/>
    <col min="13554" max="13554" width="7.44140625" style="1" customWidth="1"/>
    <col min="13555" max="13555" width="12.88671875" style="1" customWidth="1"/>
    <col min="13556" max="13556" width="11.109375" style="1" customWidth="1"/>
    <col min="13557" max="13557" width="14" style="1" customWidth="1"/>
    <col min="13558" max="13558" width="33" style="1" customWidth="1"/>
    <col min="13559" max="13559" width="6.6640625" style="1" customWidth="1"/>
    <col min="13560" max="13560" width="19" style="1" customWidth="1"/>
    <col min="13561" max="13561" width="19.109375" style="1" customWidth="1"/>
    <col min="13562" max="13562" width="21.33203125" style="1" customWidth="1"/>
    <col min="13563" max="13563" width="32.5546875" style="1" customWidth="1"/>
    <col min="13564" max="13564" width="16.88671875" style="1" customWidth="1"/>
    <col min="13565" max="13565" width="16.33203125" style="1" customWidth="1"/>
    <col min="13566" max="13796" width="10.33203125" style="1"/>
    <col min="13797" max="13797" width="4.44140625" style="1" customWidth="1"/>
    <col min="13798" max="13798" width="21.6640625" style="1" customWidth="1"/>
    <col min="13799" max="13799" width="15" style="1" customWidth="1"/>
    <col min="13800" max="13800" width="15.44140625" style="1" customWidth="1"/>
    <col min="13801" max="13801" width="11.5546875" style="1" customWidth="1"/>
    <col min="13802" max="13802" width="7.44140625" style="1" customWidth="1"/>
    <col min="13803" max="13803" width="14.109375" style="1" customWidth="1"/>
    <col min="13804" max="13804" width="10.6640625" style="1" customWidth="1"/>
    <col min="13805" max="13805" width="13.44140625" style="1" customWidth="1"/>
    <col min="13806" max="13806" width="11.44140625" style="1" customWidth="1"/>
    <col min="13807" max="13807" width="15" style="1" customWidth="1"/>
    <col min="13808" max="13808" width="14.5546875" style="1" customWidth="1"/>
    <col min="13809" max="13809" width="10.33203125" style="1"/>
    <col min="13810" max="13810" width="7.44140625" style="1" customWidth="1"/>
    <col min="13811" max="13811" width="12.88671875" style="1" customWidth="1"/>
    <col min="13812" max="13812" width="11.109375" style="1" customWidth="1"/>
    <col min="13813" max="13813" width="14" style="1" customWidth="1"/>
    <col min="13814" max="13814" width="33" style="1" customWidth="1"/>
    <col min="13815" max="13815" width="6.6640625" style="1" customWidth="1"/>
    <col min="13816" max="13816" width="19" style="1" customWidth="1"/>
    <col min="13817" max="13817" width="19.109375" style="1" customWidth="1"/>
    <col min="13818" max="13818" width="21.33203125" style="1" customWidth="1"/>
    <col min="13819" max="13819" width="32.5546875" style="1" customWidth="1"/>
    <col min="13820" max="13820" width="16.88671875" style="1" customWidth="1"/>
    <col min="13821" max="13821" width="16.33203125" style="1" customWidth="1"/>
    <col min="13822" max="14052" width="10.33203125" style="1"/>
    <col min="14053" max="14053" width="4.44140625" style="1" customWidth="1"/>
    <col min="14054" max="14054" width="21.6640625" style="1" customWidth="1"/>
    <col min="14055" max="14055" width="15" style="1" customWidth="1"/>
    <col min="14056" max="14056" width="15.44140625" style="1" customWidth="1"/>
    <col min="14057" max="14057" width="11.5546875" style="1" customWidth="1"/>
    <col min="14058" max="14058" width="7.44140625" style="1" customWidth="1"/>
    <col min="14059" max="14059" width="14.109375" style="1" customWidth="1"/>
    <col min="14060" max="14060" width="10.6640625" style="1" customWidth="1"/>
    <col min="14061" max="14061" width="13.44140625" style="1" customWidth="1"/>
    <col min="14062" max="14062" width="11.44140625" style="1" customWidth="1"/>
    <col min="14063" max="14063" width="15" style="1" customWidth="1"/>
    <col min="14064" max="14064" width="14.5546875" style="1" customWidth="1"/>
    <col min="14065" max="14065" width="10.33203125" style="1"/>
    <col min="14066" max="14066" width="7.44140625" style="1" customWidth="1"/>
    <col min="14067" max="14067" width="12.88671875" style="1" customWidth="1"/>
    <col min="14068" max="14068" width="11.109375" style="1" customWidth="1"/>
    <col min="14069" max="14069" width="14" style="1" customWidth="1"/>
    <col min="14070" max="14070" width="33" style="1" customWidth="1"/>
    <col min="14071" max="14071" width="6.6640625" style="1" customWidth="1"/>
    <col min="14072" max="14072" width="19" style="1" customWidth="1"/>
    <col min="14073" max="14073" width="19.109375" style="1" customWidth="1"/>
    <col min="14074" max="14074" width="21.33203125" style="1" customWidth="1"/>
    <col min="14075" max="14075" width="32.5546875" style="1" customWidth="1"/>
    <col min="14076" max="14076" width="16.88671875" style="1" customWidth="1"/>
    <col min="14077" max="14077" width="16.33203125" style="1" customWidth="1"/>
    <col min="14078" max="14308" width="10.33203125" style="1"/>
    <col min="14309" max="14309" width="4.44140625" style="1" customWidth="1"/>
    <col min="14310" max="14310" width="21.6640625" style="1" customWidth="1"/>
    <col min="14311" max="14311" width="15" style="1" customWidth="1"/>
    <col min="14312" max="14312" width="15.44140625" style="1" customWidth="1"/>
    <col min="14313" max="14313" width="11.5546875" style="1" customWidth="1"/>
    <col min="14314" max="14314" width="7.44140625" style="1" customWidth="1"/>
    <col min="14315" max="14315" width="14.109375" style="1" customWidth="1"/>
    <col min="14316" max="14316" width="10.6640625" style="1" customWidth="1"/>
    <col min="14317" max="14317" width="13.44140625" style="1" customWidth="1"/>
    <col min="14318" max="14318" width="11.44140625" style="1" customWidth="1"/>
    <col min="14319" max="14319" width="15" style="1" customWidth="1"/>
    <col min="14320" max="14320" width="14.5546875" style="1" customWidth="1"/>
    <col min="14321" max="14321" width="10.33203125" style="1"/>
    <col min="14322" max="14322" width="7.44140625" style="1" customWidth="1"/>
    <col min="14323" max="14323" width="12.88671875" style="1" customWidth="1"/>
    <col min="14324" max="14324" width="11.109375" style="1" customWidth="1"/>
    <col min="14325" max="14325" width="14" style="1" customWidth="1"/>
    <col min="14326" max="14326" width="33" style="1" customWidth="1"/>
    <col min="14327" max="14327" width="6.6640625" style="1" customWidth="1"/>
    <col min="14328" max="14328" width="19" style="1" customWidth="1"/>
    <col min="14329" max="14329" width="19.109375" style="1" customWidth="1"/>
    <col min="14330" max="14330" width="21.33203125" style="1" customWidth="1"/>
    <col min="14331" max="14331" width="32.5546875" style="1" customWidth="1"/>
    <col min="14332" max="14332" width="16.88671875" style="1" customWidth="1"/>
    <col min="14333" max="14333" width="16.33203125" style="1" customWidth="1"/>
    <col min="14334" max="14564" width="10.33203125" style="1"/>
    <col min="14565" max="14565" width="4.44140625" style="1" customWidth="1"/>
    <col min="14566" max="14566" width="21.6640625" style="1" customWidth="1"/>
    <col min="14567" max="14567" width="15" style="1" customWidth="1"/>
    <col min="14568" max="14568" width="15.44140625" style="1" customWidth="1"/>
    <col min="14569" max="14569" width="11.5546875" style="1" customWidth="1"/>
    <col min="14570" max="14570" width="7.44140625" style="1" customWidth="1"/>
    <col min="14571" max="14571" width="14.109375" style="1" customWidth="1"/>
    <col min="14572" max="14572" width="10.6640625" style="1" customWidth="1"/>
    <col min="14573" max="14573" width="13.44140625" style="1" customWidth="1"/>
    <col min="14574" max="14574" width="11.44140625" style="1" customWidth="1"/>
    <col min="14575" max="14575" width="15" style="1" customWidth="1"/>
    <col min="14576" max="14576" width="14.5546875" style="1" customWidth="1"/>
    <col min="14577" max="14577" width="10.33203125" style="1"/>
    <col min="14578" max="14578" width="7.44140625" style="1" customWidth="1"/>
    <col min="14579" max="14579" width="12.88671875" style="1" customWidth="1"/>
    <col min="14580" max="14580" width="11.109375" style="1" customWidth="1"/>
    <col min="14581" max="14581" width="14" style="1" customWidth="1"/>
    <col min="14582" max="14582" width="33" style="1" customWidth="1"/>
    <col min="14583" max="14583" width="6.6640625" style="1" customWidth="1"/>
    <col min="14584" max="14584" width="19" style="1" customWidth="1"/>
    <col min="14585" max="14585" width="19.109375" style="1" customWidth="1"/>
    <col min="14586" max="14586" width="21.33203125" style="1" customWidth="1"/>
    <col min="14587" max="14587" width="32.5546875" style="1" customWidth="1"/>
    <col min="14588" max="14588" width="16.88671875" style="1" customWidth="1"/>
    <col min="14589" max="14589" width="16.33203125" style="1" customWidth="1"/>
    <col min="14590" max="14820" width="10.33203125" style="1"/>
    <col min="14821" max="14821" width="4.44140625" style="1" customWidth="1"/>
    <col min="14822" max="14822" width="21.6640625" style="1" customWidth="1"/>
    <col min="14823" max="14823" width="15" style="1" customWidth="1"/>
    <col min="14824" max="14824" width="15.44140625" style="1" customWidth="1"/>
    <col min="14825" max="14825" width="11.5546875" style="1" customWidth="1"/>
    <col min="14826" max="14826" width="7.44140625" style="1" customWidth="1"/>
    <col min="14827" max="14827" width="14.109375" style="1" customWidth="1"/>
    <col min="14828" max="14828" width="10.6640625" style="1" customWidth="1"/>
    <col min="14829" max="14829" width="13.44140625" style="1" customWidth="1"/>
    <col min="14830" max="14830" width="11.44140625" style="1" customWidth="1"/>
    <col min="14831" max="14831" width="15" style="1" customWidth="1"/>
    <col min="14832" max="14832" width="14.5546875" style="1" customWidth="1"/>
    <col min="14833" max="14833" width="10.33203125" style="1"/>
    <col min="14834" max="14834" width="7.44140625" style="1" customWidth="1"/>
    <col min="14835" max="14835" width="12.88671875" style="1" customWidth="1"/>
    <col min="14836" max="14836" width="11.109375" style="1" customWidth="1"/>
    <col min="14837" max="14837" width="14" style="1" customWidth="1"/>
    <col min="14838" max="14838" width="33" style="1" customWidth="1"/>
    <col min="14839" max="14839" width="6.6640625" style="1" customWidth="1"/>
    <col min="14840" max="14840" width="19" style="1" customWidth="1"/>
    <col min="14841" max="14841" width="19.109375" style="1" customWidth="1"/>
    <col min="14842" max="14842" width="21.33203125" style="1" customWidth="1"/>
    <col min="14843" max="14843" width="32.5546875" style="1" customWidth="1"/>
    <col min="14844" max="14844" width="16.88671875" style="1" customWidth="1"/>
    <col min="14845" max="14845" width="16.33203125" style="1" customWidth="1"/>
    <col min="14846" max="15076" width="10.33203125" style="1"/>
    <col min="15077" max="15077" width="4.44140625" style="1" customWidth="1"/>
    <col min="15078" max="15078" width="21.6640625" style="1" customWidth="1"/>
    <col min="15079" max="15079" width="15" style="1" customWidth="1"/>
    <col min="15080" max="15080" width="15.44140625" style="1" customWidth="1"/>
    <col min="15081" max="15081" width="11.5546875" style="1" customWidth="1"/>
    <col min="15082" max="15082" width="7.44140625" style="1" customWidth="1"/>
    <col min="15083" max="15083" width="14.109375" style="1" customWidth="1"/>
    <col min="15084" max="15084" width="10.6640625" style="1" customWidth="1"/>
    <col min="15085" max="15085" width="13.44140625" style="1" customWidth="1"/>
    <col min="15086" max="15086" width="11.44140625" style="1" customWidth="1"/>
    <col min="15087" max="15087" width="15" style="1" customWidth="1"/>
    <col min="15088" max="15088" width="14.5546875" style="1" customWidth="1"/>
    <col min="15089" max="15089" width="10.33203125" style="1"/>
    <col min="15090" max="15090" width="7.44140625" style="1" customWidth="1"/>
    <col min="15091" max="15091" width="12.88671875" style="1" customWidth="1"/>
    <col min="15092" max="15092" width="11.109375" style="1" customWidth="1"/>
    <col min="15093" max="15093" width="14" style="1" customWidth="1"/>
    <col min="15094" max="15094" width="33" style="1" customWidth="1"/>
    <col min="15095" max="15095" width="6.6640625" style="1" customWidth="1"/>
    <col min="15096" max="15096" width="19" style="1" customWidth="1"/>
    <col min="15097" max="15097" width="19.109375" style="1" customWidth="1"/>
    <col min="15098" max="15098" width="21.33203125" style="1" customWidth="1"/>
    <col min="15099" max="15099" width="32.5546875" style="1" customWidth="1"/>
    <col min="15100" max="15100" width="16.88671875" style="1" customWidth="1"/>
    <col min="15101" max="15101" width="16.33203125" style="1" customWidth="1"/>
    <col min="15102" max="15332" width="10.33203125" style="1"/>
    <col min="15333" max="15333" width="4.44140625" style="1" customWidth="1"/>
    <col min="15334" max="15334" width="21.6640625" style="1" customWidth="1"/>
    <col min="15335" max="15335" width="15" style="1" customWidth="1"/>
    <col min="15336" max="15336" width="15.44140625" style="1" customWidth="1"/>
    <col min="15337" max="15337" width="11.5546875" style="1" customWidth="1"/>
    <col min="15338" max="15338" width="7.44140625" style="1" customWidth="1"/>
    <col min="15339" max="15339" width="14.109375" style="1" customWidth="1"/>
    <col min="15340" max="15340" width="10.6640625" style="1" customWidth="1"/>
    <col min="15341" max="15341" width="13.44140625" style="1" customWidth="1"/>
    <col min="15342" max="15342" width="11.44140625" style="1" customWidth="1"/>
    <col min="15343" max="15343" width="15" style="1" customWidth="1"/>
    <col min="15344" max="15344" width="14.5546875" style="1" customWidth="1"/>
    <col min="15345" max="15345" width="10.33203125" style="1"/>
    <col min="15346" max="15346" width="7.44140625" style="1" customWidth="1"/>
    <col min="15347" max="15347" width="12.88671875" style="1" customWidth="1"/>
    <col min="15348" max="15348" width="11.109375" style="1" customWidth="1"/>
    <col min="15349" max="15349" width="14" style="1" customWidth="1"/>
    <col min="15350" max="15350" width="33" style="1" customWidth="1"/>
    <col min="15351" max="15351" width="6.6640625" style="1" customWidth="1"/>
    <col min="15352" max="15352" width="19" style="1" customWidth="1"/>
    <col min="15353" max="15353" width="19.109375" style="1" customWidth="1"/>
    <col min="15354" max="15354" width="21.33203125" style="1" customWidth="1"/>
    <col min="15355" max="15355" width="32.5546875" style="1" customWidth="1"/>
    <col min="15356" max="15356" width="16.88671875" style="1" customWidth="1"/>
    <col min="15357" max="15357" width="16.33203125" style="1" customWidth="1"/>
    <col min="15358" max="15588" width="10.33203125" style="1"/>
    <col min="15589" max="15589" width="4.44140625" style="1" customWidth="1"/>
    <col min="15590" max="15590" width="21.6640625" style="1" customWidth="1"/>
    <col min="15591" max="15591" width="15" style="1" customWidth="1"/>
    <col min="15592" max="15592" width="15.44140625" style="1" customWidth="1"/>
    <col min="15593" max="15593" width="11.5546875" style="1" customWidth="1"/>
    <col min="15594" max="15594" width="7.44140625" style="1" customWidth="1"/>
    <col min="15595" max="15595" width="14.109375" style="1" customWidth="1"/>
    <col min="15596" max="15596" width="10.6640625" style="1" customWidth="1"/>
    <col min="15597" max="15597" width="13.44140625" style="1" customWidth="1"/>
    <col min="15598" max="15598" width="11.44140625" style="1" customWidth="1"/>
    <col min="15599" max="15599" width="15" style="1" customWidth="1"/>
    <col min="15600" max="15600" width="14.5546875" style="1" customWidth="1"/>
    <col min="15601" max="15601" width="10.33203125" style="1"/>
    <col min="15602" max="15602" width="7.44140625" style="1" customWidth="1"/>
    <col min="15603" max="15603" width="12.88671875" style="1" customWidth="1"/>
    <col min="15604" max="15604" width="11.109375" style="1" customWidth="1"/>
    <col min="15605" max="15605" width="14" style="1" customWidth="1"/>
    <col min="15606" max="15606" width="33" style="1" customWidth="1"/>
    <col min="15607" max="15607" width="6.6640625" style="1" customWidth="1"/>
    <col min="15608" max="15608" width="19" style="1" customWidth="1"/>
    <col min="15609" max="15609" width="19.109375" style="1" customWidth="1"/>
    <col min="15610" max="15610" width="21.33203125" style="1" customWidth="1"/>
    <col min="15611" max="15611" width="32.5546875" style="1" customWidth="1"/>
    <col min="15612" max="15612" width="16.88671875" style="1" customWidth="1"/>
    <col min="15613" max="15613" width="16.33203125" style="1" customWidth="1"/>
    <col min="15614" max="15844" width="10.33203125" style="1"/>
    <col min="15845" max="15845" width="4.44140625" style="1" customWidth="1"/>
    <col min="15846" max="15846" width="21.6640625" style="1" customWidth="1"/>
    <col min="15847" max="15847" width="15" style="1" customWidth="1"/>
    <col min="15848" max="15848" width="15.44140625" style="1" customWidth="1"/>
    <col min="15849" max="15849" width="11.5546875" style="1" customWidth="1"/>
    <col min="15850" max="15850" width="7.44140625" style="1" customWidth="1"/>
    <col min="15851" max="15851" width="14.109375" style="1" customWidth="1"/>
    <col min="15852" max="15852" width="10.6640625" style="1" customWidth="1"/>
    <col min="15853" max="15853" width="13.44140625" style="1" customWidth="1"/>
    <col min="15854" max="15854" width="11.44140625" style="1" customWidth="1"/>
    <col min="15855" max="15855" width="15" style="1" customWidth="1"/>
    <col min="15856" max="15856" width="14.5546875" style="1" customWidth="1"/>
    <col min="15857" max="15857" width="10.33203125" style="1"/>
    <col min="15858" max="15858" width="7.44140625" style="1" customWidth="1"/>
    <col min="15859" max="15859" width="12.88671875" style="1" customWidth="1"/>
    <col min="15860" max="15860" width="11.109375" style="1" customWidth="1"/>
    <col min="15861" max="15861" width="14" style="1" customWidth="1"/>
    <col min="15862" max="15862" width="33" style="1" customWidth="1"/>
    <col min="15863" max="15863" width="6.6640625" style="1" customWidth="1"/>
    <col min="15864" max="15864" width="19" style="1" customWidth="1"/>
    <col min="15865" max="15865" width="19.109375" style="1" customWidth="1"/>
    <col min="15866" max="15866" width="21.33203125" style="1" customWidth="1"/>
    <col min="15867" max="15867" width="32.5546875" style="1" customWidth="1"/>
    <col min="15868" max="15868" width="16.88671875" style="1" customWidth="1"/>
    <col min="15869" max="15869" width="16.33203125" style="1" customWidth="1"/>
    <col min="15870" max="16100" width="10.33203125" style="1"/>
    <col min="16101" max="16101" width="4.44140625" style="1" customWidth="1"/>
    <col min="16102" max="16102" width="21.6640625" style="1" customWidth="1"/>
    <col min="16103" max="16103" width="15" style="1" customWidth="1"/>
    <col min="16104" max="16104" width="15.44140625" style="1" customWidth="1"/>
    <col min="16105" max="16105" width="11.5546875" style="1" customWidth="1"/>
    <col min="16106" max="16106" width="7.44140625" style="1" customWidth="1"/>
    <col min="16107" max="16107" width="14.109375" style="1" customWidth="1"/>
    <col min="16108" max="16108" width="10.6640625" style="1" customWidth="1"/>
    <col min="16109" max="16109" width="13.44140625" style="1" customWidth="1"/>
    <col min="16110" max="16110" width="11.44140625" style="1" customWidth="1"/>
    <col min="16111" max="16111" width="15" style="1" customWidth="1"/>
    <col min="16112" max="16112" width="14.5546875" style="1" customWidth="1"/>
    <col min="16113" max="16113" width="10.33203125" style="1"/>
    <col min="16114" max="16114" width="7.44140625" style="1" customWidth="1"/>
    <col min="16115" max="16115" width="12.88671875" style="1" customWidth="1"/>
    <col min="16116" max="16116" width="11.109375" style="1" customWidth="1"/>
    <col min="16117" max="16117" width="14" style="1" customWidth="1"/>
    <col min="16118" max="16118" width="33" style="1" customWidth="1"/>
    <col min="16119" max="16119" width="6.6640625" style="1" customWidth="1"/>
    <col min="16120" max="16120" width="19" style="1" customWidth="1"/>
    <col min="16121" max="16121" width="19.109375" style="1" customWidth="1"/>
    <col min="16122" max="16122" width="21.33203125" style="1" customWidth="1"/>
    <col min="16123" max="16123" width="32.5546875" style="1" customWidth="1"/>
    <col min="16124" max="16124" width="16.88671875" style="1" customWidth="1"/>
    <col min="16125" max="16125" width="16.33203125" style="1" customWidth="1"/>
    <col min="16126" max="16384" width="10.33203125" style="1"/>
  </cols>
  <sheetData>
    <row r="1" spans="1:6" ht="25.8" thickTop="1" thickBot="1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324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6" ht="24.6">
      <c r="A5" s="3"/>
      <c r="B5" s="13"/>
      <c r="C5" s="3"/>
      <c r="D5" s="15"/>
      <c r="E5" s="16"/>
      <c r="F5" s="8"/>
    </row>
    <row r="6" spans="1:6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6" ht="25.2" hidden="1" thickTop="1">
      <c r="A7" s="29"/>
      <c r="B7" s="45" t="s">
        <v>37</v>
      </c>
      <c r="C7" s="29"/>
      <c r="D7" s="47"/>
      <c r="E7" s="48"/>
      <c r="F7" s="58"/>
    </row>
    <row r="8" spans="1:6" ht="25.8" hidden="1" thickTop="1" thickBot="1">
      <c r="A8" s="25">
        <v>1</v>
      </c>
      <c r="B8" s="25"/>
      <c r="C8" s="29"/>
      <c r="D8" s="75"/>
      <c r="E8" s="76"/>
      <c r="F8" s="77"/>
    </row>
    <row r="9" spans="1:6" ht="25.8" hidden="1" thickTop="1" thickBot="1">
      <c r="A9" s="25"/>
      <c r="B9" s="25" t="s">
        <v>26</v>
      </c>
      <c r="C9" s="29"/>
      <c r="D9" s="80"/>
      <c r="E9" s="81"/>
      <c r="F9" s="55"/>
    </row>
    <row r="10" spans="1:6" ht="25.2" hidden="1" thickTop="1">
      <c r="A10" s="25"/>
      <c r="B10" s="45" t="s">
        <v>38</v>
      </c>
      <c r="C10" s="29"/>
      <c r="D10" s="47"/>
      <c r="E10" s="48"/>
      <c r="F10" s="58"/>
    </row>
    <row r="11" spans="1:6" ht="25.8" hidden="1" thickTop="1" thickBot="1">
      <c r="A11" s="25">
        <v>1</v>
      </c>
      <c r="B11" s="25"/>
      <c r="C11" s="29"/>
      <c r="D11" s="75"/>
      <c r="E11" s="76"/>
      <c r="F11" s="77"/>
    </row>
    <row r="12" spans="1:6" ht="25.8" hidden="1" thickTop="1" thickBot="1">
      <c r="A12" s="25"/>
      <c r="B12" s="25" t="s">
        <v>26</v>
      </c>
      <c r="C12" s="29"/>
      <c r="D12" s="65"/>
      <c r="E12" s="66"/>
      <c r="F12" s="67"/>
    </row>
    <row r="13" spans="1:6" ht="24.6">
      <c r="A13" s="29"/>
      <c r="B13" s="45" t="s">
        <v>39</v>
      </c>
      <c r="C13" s="29"/>
      <c r="D13" s="47"/>
      <c r="E13" s="48"/>
      <c r="F13" s="48"/>
    </row>
    <row r="14" spans="1:6" ht="24.6">
      <c r="A14" s="25">
        <v>1</v>
      </c>
      <c r="B14" s="29" t="s">
        <v>277</v>
      </c>
      <c r="C14" s="29"/>
      <c r="D14" s="69">
        <v>25208</v>
      </c>
      <c r="E14" s="84" t="s">
        <v>327</v>
      </c>
      <c r="F14" s="85">
        <v>535</v>
      </c>
    </row>
    <row r="15" spans="1:6" s="96" customFormat="1" ht="24.6">
      <c r="A15" s="86">
        <v>2</v>
      </c>
      <c r="B15" s="87" t="s">
        <v>44</v>
      </c>
      <c r="C15" s="88"/>
      <c r="D15" s="93">
        <v>25233</v>
      </c>
      <c r="E15" s="94" t="s">
        <v>328</v>
      </c>
      <c r="F15" s="95">
        <v>1070</v>
      </c>
    </row>
    <row r="16" spans="1:6" ht="24.6">
      <c r="A16" s="25">
        <v>3</v>
      </c>
      <c r="B16" s="29" t="s">
        <v>46</v>
      </c>
      <c r="C16" s="29"/>
      <c r="D16" s="69">
        <v>25233</v>
      </c>
      <c r="E16" s="70" t="s">
        <v>329</v>
      </c>
      <c r="F16" s="100">
        <v>535</v>
      </c>
    </row>
    <row r="17" spans="1:8" ht="25.2" thickBot="1">
      <c r="A17" s="29"/>
      <c r="B17" s="25" t="s">
        <v>26</v>
      </c>
      <c r="C17" s="29"/>
      <c r="D17" s="67"/>
      <c r="E17" s="67"/>
      <c r="F17" s="104">
        <v>2140</v>
      </c>
      <c r="H17" s="175">
        <f>SUM(F14:F16)</f>
        <v>2140</v>
      </c>
    </row>
    <row r="18" spans="1:8" ht="25.2" thickTop="1">
      <c r="A18" s="29"/>
      <c r="B18" s="116" t="s">
        <v>53</v>
      </c>
      <c r="C18" s="29"/>
      <c r="D18" s="47"/>
      <c r="E18" s="48"/>
      <c r="F18" s="58"/>
    </row>
    <row r="19" spans="1:8" ht="24.6">
      <c r="A19" s="25">
        <v>1</v>
      </c>
      <c r="B19" s="29" t="s">
        <v>65</v>
      </c>
      <c r="C19" s="25">
        <v>267</v>
      </c>
      <c r="D19" s="69">
        <v>25209</v>
      </c>
      <c r="E19" s="70" t="s">
        <v>330</v>
      </c>
      <c r="F19" s="83">
        <v>1215</v>
      </c>
    </row>
    <row r="20" spans="1:8" ht="24.6">
      <c r="A20" s="25">
        <v>2</v>
      </c>
      <c r="B20" s="29" t="s">
        <v>70</v>
      </c>
      <c r="C20" s="25" t="s">
        <v>71</v>
      </c>
      <c r="D20" s="69">
        <v>25215</v>
      </c>
      <c r="E20" s="70" t="s">
        <v>331</v>
      </c>
      <c r="F20" s="83">
        <v>2430</v>
      </c>
    </row>
    <row r="21" spans="1:8" ht="24.6">
      <c r="A21" s="25">
        <v>3</v>
      </c>
      <c r="B21" s="29" t="s">
        <v>78</v>
      </c>
      <c r="C21" s="25" t="s">
        <v>79</v>
      </c>
      <c r="D21" s="69">
        <v>25208</v>
      </c>
      <c r="E21" s="70" t="s">
        <v>333</v>
      </c>
      <c r="F21" s="83">
        <v>2430</v>
      </c>
    </row>
    <row r="22" spans="1:8" ht="24.6">
      <c r="A22" s="25">
        <v>4</v>
      </c>
      <c r="B22" s="29" t="s">
        <v>83</v>
      </c>
      <c r="C22" s="25">
        <v>277</v>
      </c>
      <c r="D22" s="69">
        <v>25233</v>
      </c>
      <c r="E22" s="70" t="s">
        <v>334</v>
      </c>
      <c r="F22" s="83">
        <v>1215</v>
      </c>
    </row>
    <row r="23" spans="1:8" ht="24.6">
      <c r="A23" s="25">
        <v>5</v>
      </c>
      <c r="B23" s="29" t="s">
        <v>109</v>
      </c>
      <c r="C23" s="53"/>
      <c r="D23" s="69">
        <v>25208</v>
      </c>
      <c r="E23" s="70" t="s">
        <v>336</v>
      </c>
      <c r="F23" s="83">
        <v>3450</v>
      </c>
    </row>
    <row r="24" spans="1:8" ht="24.6">
      <c r="A24" s="25">
        <v>6</v>
      </c>
      <c r="B24" s="29" t="s">
        <v>112</v>
      </c>
      <c r="C24" s="29"/>
      <c r="D24" s="128">
        <v>25208</v>
      </c>
      <c r="E24" s="129" t="s">
        <v>337</v>
      </c>
      <c r="F24" s="130">
        <v>3795</v>
      </c>
    </row>
    <row r="25" spans="1:8" ht="25.5" customHeight="1">
      <c r="A25" s="25">
        <v>7</v>
      </c>
      <c r="B25" s="132" t="s">
        <v>115</v>
      </c>
      <c r="C25" s="132"/>
      <c r="D25" s="128">
        <v>25208</v>
      </c>
      <c r="E25" s="129" t="s">
        <v>338</v>
      </c>
      <c r="F25" s="130">
        <v>8000</v>
      </c>
    </row>
    <row r="26" spans="1:8" ht="25.2" thickBot="1">
      <c r="A26" s="29"/>
      <c r="B26" s="25" t="s">
        <v>26</v>
      </c>
      <c r="C26" s="74"/>
      <c r="D26" s="77"/>
      <c r="E26" s="77"/>
      <c r="F26" s="77">
        <v>22535</v>
      </c>
      <c r="H26" s="175">
        <f>SUM(F19:F25)</f>
        <v>22535</v>
      </c>
    </row>
    <row r="27" spans="1:8" ht="25.2" thickTop="1">
      <c r="A27" s="29"/>
      <c r="B27" s="116" t="s">
        <v>117</v>
      </c>
      <c r="C27" s="46"/>
      <c r="D27" s="137"/>
      <c r="E27" s="138"/>
      <c r="F27" s="139"/>
    </row>
    <row r="28" spans="1:8" ht="24.6">
      <c r="A28" s="25">
        <v>1</v>
      </c>
      <c r="B28" s="119" t="s">
        <v>121</v>
      </c>
      <c r="C28" s="46"/>
      <c r="D28" s="69">
        <v>25208</v>
      </c>
      <c r="E28" s="70" t="s">
        <v>339</v>
      </c>
      <c r="F28" s="83">
        <v>6000</v>
      </c>
    </row>
    <row r="29" spans="1:8" ht="24.6">
      <c r="A29" s="25">
        <v>2</v>
      </c>
      <c r="B29" s="29" t="s">
        <v>124</v>
      </c>
      <c r="C29" s="29"/>
      <c r="D29" s="69">
        <v>25231</v>
      </c>
      <c r="E29" s="70" t="s">
        <v>340</v>
      </c>
      <c r="F29" s="83">
        <v>600</v>
      </c>
    </row>
    <row r="30" spans="1:8" ht="24.6">
      <c r="A30" s="25">
        <v>3</v>
      </c>
      <c r="B30" s="29" t="s">
        <v>130</v>
      </c>
      <c r="C30" s="29"/>
      <c r="D30" s="69">
        <v>25233</v>
      </c>
      <c r="E30" s="70" t="s">
        <v>341</v>
      </c>
      <c r="F30" s="83">
        <v>550</v>
      </c>
    </row>
    <row r="31" spans="1:8" ht="24.6">
      <c r="A31" s="25">
        <v>4</v>
      </c>
      <c r="B31" s="29" t="s">
        <v>132</v>
      </c>
      <c r="C31" s="29"/>
      <c r="D31" s="69">
        <v>25223</v>
      </c>
      <c r="E31" s="70" t="s">
        <v>342</v>
      </c>
      <c r="F31" s="83">
        <v>1100</v>
      </c>
    </row>
    <row r="32" spans="1:8" ht="24.6">
      <c r="A32" s="25">
        <v>5</v>
      </c>
      <c r="B32" s="29" t="s">
        <v>134</v>
      </c>
      <c r="C32" s="29"/>
      <c r="D32" s="69">
        <v>25233</v>
      </c>
      <c r="E32" s="84" t="s">
        <v>343</v>
      </c>
      <c r="F32" s="83">
        <v>1650</v>
      </c>
    </row>
    <row r="33" spans="1:8" ht="24.6">
      <c r="A33" s="25">
        <v>6</v>
      </c>
      <c r="B33" s="29" t="s">
        <v>137</v>
      </c>
      <c r="C33" s="29"/>
      <c r="D33" s="69">
        <v>25233</v>
      </c>
      <c r="E33" s="70" t="s">
        <v>344</v>
      </c>
      <c r="F33" s="83">
        <v>5000</v>
      </c>
    </row>
    <row r="34" spans="1:8" ht="25.2" thickBot="1">
      <c r="A34" s="29"/>
      <c r="B34" s="25" t="s">
        <v>26</v>
      </c>
      <c r="C34" s="64"/>
      <c r="D34" s="67"/>
      <c r="E34" s="67"/>
      <c r="F34" s="67">
        <v>14900</v>
      </c>
      <c r="H34" s="175">
        <f>SUM(F28:F33)</f>
        <v>14900</v>
      </c>
    </row>
    <row r="35" spans="1:8" ht="25.8" thickTop="1" thickBot="1">
      <c r="A35" s="29"/>
      <c r="B35" s="25" t="s">
        <v>248</v>
      </c>
      <c r="C35" s="64"/>
      <c r="D35" s="67"/>
      <c r="E35" s="67"/>
      <c r="F35" s="67">
        <v>39575</v>
      </c>
      <c r="H35" s="256">
        <f>SUM(H17:H34)</f>
        <v>39575</v>
      </c>
    </row>
    <row r="36" spans="1:8" ht="25.2" thickTop="1"/>
    <row r="37" spans="1:8" ht="24.6">
      <c r="E37" s="250"/>
    </row>
    <row r="38" spans="1:8" ht="24.6">
      <c r="E38" s="251"/>
    </row>
    <row r="39" spans="1:8" ht="24.6">
      <c r="E39" s="250"/>
    </row>
    <row r="40" spans="1:8" ht="24.6">
      <c r="E40" s="250"/>
      <c r="F40" s="252"/>
    </row>
    <row r="41" spans="1:8" ht="24.6">
      <c r="E41" s="250"/>
    </row>
    <row r="42" spans="1:8" ht="24.6"/>
    <row r="43" spans="1:8" ht="24.6"/>
    <row r="44" spans="1:8" ht="24.6"/>
    <row r="45" spans="1:8" ht="24.6"/>
    <row r="46" spans="1:8" ht="24.6"/>
    <row r="47" spans="1:8" ht="24.6"/>
    <row r="48" spans="1:8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D51E-61A5-4D9B-A4BD-3A6683D9DB63}">
  <sheetPr>
    <tabColor rgb="FF92D050"/>
  </sheetPr>
  <dimension ref="A1:L825"/>
  <sheetViews>
    <sheetView zoomScale="90" zoomScaleNormal="90" zoomScaleSheetLayoutView="87" workbookViewId="0">
      <pane ySplit="6" topLeftCell="A40" activePane="bottomLeft" state="frozen"/>
      <selection activeCell="I147" sqref="I147"/>
      <selection pane="bottomLeft" activeCell="J53" sqref="J53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4" width="15" style="1" customWidth="1"/>
    <col min="5" max="5" width="10.33203125" style="1" customWidth="1"/>
    <col min="6" max="6" width="7.44140625" style="173" customWidth="1"/>
    <col min="7" max="7" width="14" style="1" customWidth="1"/>
    <col min="8" max="8" width="10.33203125" style="1"/>
    <col min="9" max="9" width="12.109375" style="1" bestFit="1" customWidth="1"/>
    <col min="10" max="10" width="10.33203125" style="1"/>
    <col min="11" max="11" width="12.109375" style="1" bestFit="1" customWidth="1"/>
    <col min="12" max="233" width="10.33203125" style="1"/>
    <col min="234" max="234" width="4.44140625" style="1" customWidth="1"/>
    <col min="235" max="235" width="21.6640625" style="1" customWidth="1"/>
    <col min="236" max="236" width="15" style="1" customWidth="1"/>
    <col min="237" max="237" width="15.44140625" style="1" customWidth="1"/>
    <col min="238" max="238" width="11.5546875" style="1" customWidth="1"/>
    <col min="239" max="239" width="7.44140625" style="1" customWidth="1"/>
    <col min="240" max="240" width="14.109375" style="1" customWidth="1"/>
    <col min="241" max="241" width="10.6640625" style="1" customWidth="1"/>
    <col min="242" max="242" width="13.44140625" style="1" customWidth="1"/>
    <col min="243" max="243" width="11.44140625" style="1" customWidth="1"/>
    <col min="244" max="244" width="15" style="1" customWidth="1"/>
    <col min="245" max="245" width="14.5546875" style="1" customWidth="1"/>
    <col min="246" max="246" width="10.33203125" style="1"/>
    <col min="247" max="247" width="7.44140625" style="1" customWidth="1"/>
    <col min="248" max="248" width="12.88671875" style="1" customWidth="1"/>
    <col min="249" max="249" width="11.109375" style="1" customWidth="1"/>
    <col min="250" max="250" width="14" style="1" customWidth="1"/>
    <col min="251" max="251" width="33" style="1" customWidth="1"/>
    <col min="252" max="252" width="6.6640625" style="1" customWidth="1"/>
    <col min="253" max="253" width="19" style="1" customWidth="1"/>
    <col min="254" max="254" width="19.109375" style="1" customWidth="1"/>
    <col min="255" max="255" width="21.33203125" style="1" customWidth="1"/>
    <col min="256" max="256" width="32.5546875" style="1" customWidth="1"/>
    <col min="257" max="257" width="16.88671875" style="1" customWidth="1"/>
    <col min="258" max="258" width="16.33203125" style="1" customWidth="1"/>
    <col min="259" max="489" width="10.33203125" style="1"/>
    <col min="490" max="490" width="4.44140625" style="1" customWidth="1"/>
    <col min="491" max="491" width="21.6640625" style="1" customWidth="1"/>
    <col min="492" max="492" width="15" style="1" customWidth="1"/>
    <col min="493" max="493" width="15.44140625" style="1" customWidth="1"/>
    <col min="494" max="494" width="11.5546875" style="1" customWidth="1"/>
    <col min="495" max="495" width="7.44140625" style="1" customWidth="1"/>
    <col min="496" max="496" width="14.109375" style="1" customWidth="1"/>
    <col min="497" max="497" width="10.6640625" style="1" customWidth="1"/>
    <col min="498" max="498" width="13.44140625" style="1" customWidth="1"/>
    <col min="499" max="499" width="11.44140625" style="1" customWidth="1"/>
    <col min="500" max="500" width="15" style="1" customWidth="1"/>
    <col min="501" max="501" width="14.5546875" style="1" customWidth="1"/>
    <col min="502" max="502" width="10.33203125" style="1"/>
    <col min="503" max="503" width="7.44140625" style="1" customWidth="1"/>
    <col min="504" max="504" width="12.88671875" style="1" customWidth="1"/>
    <col min="505" max="505" width="11.109375" style="1" customWidth="1"/>
    <col min="506" max="506" width="14" style="1" customWidth="1"/>
    <col min="507" max="507" width="33" style="1" customWidth="1"/>
    <col min="508" max="508" width="6.6640625" style="1" customWidth="1"/>
    <col min="509" max="509" width="19" style="1" customWidth="1"/>
    <col min="510" max="510" width="19.109375" style="1" customWidth="1"/>
    <col min="511" max="511" width="21.33203125" style="1" customWidth="1"/>
    <col min="512" max="512" width="32.5546875" style="1" customWidth="1"/>
    <col min="513" max="513" width="16.88671875" style="1" customWidth="1"/>
    <col min="514" max="514" width="16.33203125" style="1" customWidth="1"/>
    <col min="515" max="745" width="10.33203125" style="1"/>
    <col min="746" max="746" width="4.44140625" style="1" customWidth="1"/>
    <col min="747" max="747" width="21.6640625" style="1" customWidth="1"/>
    <col min="748" max="748" width="15" style="1" customWidth="1"/>
    <col min="749" max="749" width="15.44140625" style="1" customWidth="1"/>
    <col min="750" max="750" width="11.5546875" style="1" customWidth="1"/>
    <col min="751" max="751" width="7.44140625" style="1" customWidth="1"/>
    <col min="752" max="752" width="14.109375" style="1" customWidth="1"/>
    <col min="753" max="753" width="10.6640625" style="1" customWidth="1"/>
    <col min="754" max="754" width="13.44140625" style="1" customWidth="1"/>
    <col min="755" max="755" width="11.44140625" style="1" customWidth="1"/>
    <col min="756" max="756" width="15" style="1" customWidth="1"/>
    <col min="757" max="757" width="14.5546875" style="1" customWidth="1"/>
    <col min="758" max="758" width="10.33203125" style="1"/>
    <col min="759" max="759" width="7.44140625" style="1" customWidth="1"/>
    <col min="760" max="760" width="12.88671875" style="1" customWidth="1"/>
    <col min="761" max="761" width="11.109375" style="1" customWidth="1"/>
    <col min="762" max="762" width="14" style="1" customWidth="1"/>
    <col min="763" max="763" width="33" style="1" customWidth="1"/>
    <col min="764" max="764" width="6.6640625" style="1" customWidth="1"/>
    <col min="765" max="765" width="19" style="1" customWidth="1"/>
    <col min="766" max="766" width="19.109375" style="1" customWidth="1"/>
    <col min="767" max="767" width="21.33203125" style="1" customWidth="1"/>
    <col min="768" max="768" width="32.5546875" style="1" customWidth="1"/>
    <col min="769" max="769" width="16.88671875" style="1" customWidth="1"/>
    <col min="770" max="770" width="16.33203125" style="1" customWidth="1"/>
    <col min="771" max="1001" width="10.33203125" style="1"/>
    <col min="1002" max="1002" width="4.44140625" style="1" customWidth="1"/>
    <col min="1003" max="1003" width="21.6640625" style="1" customWidth="1"/>
    <col min="1004" max="1004" width="15" style="1" customWidth="1"/>
    <col min="1005" max="1005" width="15.44140625" style="1" customWidth="1"/>
    <col min="1006" max="1006" width="11.5546875" style="1" customWidth="1"/>
    <col min="1007" max="1007" width="7.44140625" style="1" customWidth="1"/>
    <col min="1008" max="1008" width="14.109375" style="1" customWidth="1"/>
    <col min="1009" max="1009" width="10.6640625" style="1" customWidth="1"/>
    <col min="1010" max="1010" width="13.44140625" style="1" customWidth="1"/>
    <col min="1011" max="1011" width="11.44140625" style="1" customWidth="1"/>
    <col min="1012" max="1012" width="15" style="1" customWidth="1"/>
    <col min="1013" max="1013" width="14.5546875" style="1" customWidth="1"/>
    <col min="1014" max="1014" width="10.33203125" style="1"/>
    <col min="1015" max="1015" width="7.44140625" style="1" customWidth="1"/>
    <col min="1016" max="1016" width="12.88671875" style="1" customWidth="1"/>
    <col min="1017" max="1017" width="11.109375" style="1" customWidth="1"/>
    <col min="1018" max="1018" width="14" style="1" customWidth="1"/>
    <col min="1019" max="1019" width="33" style="1" customWidth="1"/>
    <col min="1020" max="1020" width="6.6640625" style="1" customWidth="1"/>
    <col min="1021" max="1021" width="19" style="1" customWidth="1"/>
    <col min="1022" max="1022" width="19.109375" style="1" customWidth="1"/>
    <col min="1023" max="1023" width="21.33203125" style="1" customWidth="1"/>
    <col min="1024" max="1024" width="32.5546875" style="1" customWidth="1"/>
    <col min="1025" max="1025" width="16.88671875" style="1" customWidth="1"/>
    <col min="1026" max="1026" width="16.33203125" style="1" customWidth="1"/>
    <col min="1027" max="1257" width="10.33203125" style="1"/>
    <col min="1258" max="1258" width="4.44140625" style="1" customWidth="1"/>
    <col min="1259" max="1259" width="21.6640625" style="1" customWidth="1"/>
    <col min="1260" max="1260" width="15" style="1" customWidth="1"/>
    <col min="1261" max="1261" width="15.44140625" style="1" customWidth="1"/>
    <col min="1262" max="1262" width="11.5546875" style="1" customWidth="1"/>
    <col min="1263" max="1263" width="7.44140625" style="1" customWidth="1"/>
    <col min="1264" max="1264" width="14.109375" style="1" customWidth="1"/>
    <col min="1265" max="1265" width="10.6640625" style="1" customWidth="1"/>
    <col min="1266" max="1266" width="13.44140625" style="1" customWidth="1"/>
    <col min="1267" max="1267" width="11.44140625" style="1" customWidth="1"/>
    <col min="1268" max="1268" width="15" style="1" customWidth="1"/>
    <col min="1269" max="1269" width="14.5546875" style="1" customWidth="1"/>
    <col min="1270" max="1270" width="10.33203125" style="1"/>
    <col min="1271" max="1271" width="7.44140625" style="1" customWidth="1"/>
    <col min="1272" max="1272" width="12.88671875" style="1" customWidth="1"/>
    <col min="1273" max="1273" width="11.109375" style="1" customWidth="1"/>
    <col min="1274" max="1274" width="14" style="1" customWidth="1"/>
    <col min="1275" max="1275" width="33" style="1" customWidth="1"/>
    <col min="1276" max="1276" width="6.6640625" style="1" customWidth="1"/>
    <col min="1277" max="1277" width="19" style="1" customWidth="1"/>
    <col min="1278" max="1278" width="19.109375" style="1" customWidth="1"/>
    <col min="1279" max="1279" width="21.33203125" style="1" customWidth="1"/>
    <col min="1280" max="1280" width="32.5546875" style="1" customWidth="1"/>
    <col min="1281" max="1281" width="16.88671875" style="1" customWidth="1"/>
    <col min="1282" max="1282" width="16.33203125" style="1" customWidth="1"/>
    <col min="1283" max="1513" width="10.33203125" style="1"/>
    <col min="1514" max="1514" width="4.44140625" style="1" customWidth="1"/>
    <col min="1515" max="1515" width="21.6640625" style="1" customWidth="1"/>
    <col min="1516" max="1516" width="15" style="1" customWidth="1"/>
    <col min="1517" max="1517" width="15.44140625" style="1" customWidth="1"/>
    <col min="1518" max="1518" width="11.5546875" style="1" customWidth="1"/>
    <col min="1519" max="1519" width="7.44140625" style="1" customWidth="1"/>
    <col min="1520" max="1520" width="14.109375" style="1" customWidth="1"/>
    <col min="1521" max="1521" width="10.6640625" style="1" customWidth="1"/>
    <col min="1522" max="1522" width="13.44140625" style="1" customWidth="1"/>
    <col min="1523" max="1523" width="11.44140625" style="1" customWidth="1"/>
    <col min="1524" max="1524" width="15" style="1" customWidth="1"/>
    <col min="1525" max="1525" width="14.5546875" style="1" customWidth="1"/>
    <col min="1526" max="1526" width="10.33203125" style="1"/>
    <col min="1527" max="1527" width="7.44140625" style="1" customWidth="1"/>
    <col min="1528" max="1528" width="12.88671875" style="1" customWidth="1"/>
    <col min="1529" max="1529" width="11.109375" style="1" customWidth="1"/>
    <col min="1530" max="1530" width="14" style="1" customWidth="1"/>
    <col min="1531" max="1531" width="33" style="1" customWidth="1"/>
    <col min="1532" max="1532" width="6.6640625" style="1" customWidth="1"/>
    <col min="1533" max="1533" width="19" style="1" customWidth="1"/>
    <col min="1534" max="1534" width="19.109375" style="1" customWidth="1"/>
    <col min="1535" max="1535" width="21.33203125" style="1" customWidth="1"/>
    <col min="1536" max="1536" width="32.5546875" style="1" customWidth="1"/>
    <col min="1537" max="1537" width="16.88671875" style="1" customWidth="1"/>
    <col min="1538" max="1538" width="16.33203125" style="1" customWidth="1"/>
    <col min="1539" max="1769" width="10.33203125" style="1"/>
    <col min="1770" max="1770" width="4.44140625" style="1" customWidth="1"/>
    <col min="1771" max="1771" width="21.6640625" style="1" customWidth="1"/>
    <col min="1772" max="1772" width="15" style="1" customWidth="1"/>
    <col min="1773" max="1773" width="15.44140625" style="1" customWidth="1"/>
    <col min="1774" max="1774" width="11.5546875" style="1" customWidth="1"/>
    <col min="1775" max="1775" width="7.44140625" style="1" customWidth="1"/>
    <col min="1776" max="1776" width="14.109375" style="1" customWidth="1"/>
    <col min="1777" max="1777" width="10.6640625" style="1" customWidth="1"/>
    <col min="1778" max="1778" width="13.44140625" style="1" customWidth="1"/>
    <col min="1779" max="1779" width="11.44140625" style="1" customWidth="1"/>
    <col min="1780" max="1780" width="15" style="1" customWidth="1"/>
    <col min="1781" max="1781" width="14.5546875" style="1" customWidth="1"/>
    <col min="1782" max="1782" width="10.33203125" style="1"/>
    <col min="1783" max="1783" width="7.44140625" style="1" customWidth="1"/>
    <col min="1784" max="1784" width="12.88671875" style="1" customWidth="1"/>
    <col min="1785" max="1785" width="11.109375" style="1" customWidth="1"/>
    <col min="1786" max="1786" width="14" style="1" customWidth="1"/>
    <col min="1787" max="1787" width="33" style="1" customWidth="1"/>
    <col min="1788" max="1788" width="6.6640625" style="1" customWidth="1"/>
    <col min="1789" max="1789" width="19" style="1" customWidth="1"/>
    <col min="1790" max="1790" width="19.109375" style="1" customWidth="1"/>
    <col min="1791" max="1791" width="21.33203125" style="1" customWidth="1"/>
    <col min="1792" max="1792" width="32.5546875" style="1" customWidth="1"/>
    <col min="1793" max="1793" width="16.88671875" style="1" customWidth="1"/>
    <col min="1794" max="1794" width="16.33203125" style="1" customWidth="1"/>
    <col min="1795" max="2025" width="10.33203125" style="1"/>
    <col min="2026" max="2026" width="4.44140625" style="1" customWidth="1"/>
    <col min="2027" max="2027" width="21.6640625" style="1" customWidth="1"/>
    <col min="2028" max="2028" width="15" style="1" customWidth="1"/>
    <col min="2029" max="2029" width="15.44140625" style="1" customWidth="1"/>
    <col min="2030" max="2030" width="11.5546875" style="1" customWidth="1"/>
    <col min="2031" max="2031" width="7.44140625" style="1" customWidth="1"/>
    <col min="2032" max="2032" width="14.109375" style="1" customWidth="1"/>
    <col min="2033" max="2033" width="10.6640625" style="1" customWidth="1"/>
    <col min="2034" max="2034" width="13.44140625" style="1" customWidth="1"/>
    <col min="2035" max="2035" width="11.44140625" style="1" customWidth="1"/>
    <col min="2036" max="2036" width="15" style="1" customWidth="1"/>
    <col min="2037" max="2037" width="14.5546875" style="1" customWidth="1"/>
    <col min="2038" max="2038" width="10.33203125" style="1"/>
    <col min="2039" max="2039" width="7.44140625" style="1" customWidth="1"/>
    <col min="2040" max="2040" width="12.88671875" style="1" customWidth="1"/>
    <col min="2041" max="2041" width="11.109375" style="1" customWidth="1"/>
    <col min="2042" max="2042" width="14" style="1" customWidth="1"/>
    <col min="2043" max="2043" width="33" style="1" customWidth="1"/>
    <col min="2044" max="2044" width="6.6640625" style="1" customWidth="1"/>
    <col min="2045" max="2045" width="19" style="1" customWidth="1"/>
    <col min="2046" max="2046" width="19.109375" style="1" customWidth="1"/>
    <col min="2047" max="2047" width="21.33203125" style="1" customWidth="1"/>
    <col min="2048" max="2048" width="32.5546875" style="1" customWidth="1"/>
    <col min="2049" max="2049" width="16.88671875" style="1" customWidth="1"/>
    <col min="2050" max="2050" width="16.33203125" style="1" customWidth="1"/>
    <col min="2051" max="2281" width="10.33203125" style="1"/>
    <col min="2282" max="2282" width="4.44140625" style="1" customWidth="1"/>
    <col min="2283" max="2283" width="21.6640625" style="1" customWidth="1"/>
    <col min="2284" max="2284" width="15" style="1" customWidth="1"/>
    <col min="2285" max="2285" width="15.44140625" style="1" customWidth="1"/>
    <col min="2286" max="2286" width="11.5546875" style="1" customWidth="1"/>
    <col min="2287" max="2287" width="7.44140625" style="1" customWidth="1"/>
    <col min="2288" max="2288" width="14.109375" style="1" customWidth="1"/>
    <col min="2289" max="2289" width="10.6640625" style="1" customWidth="1"/>
    <col min="2290" max="2290" width="13.44140625" style="1" customWidth="1"/>
    <col min="2291" max="2291" width="11.44140625" style="1" customWidth="1"/>
    <col min="2292" max="2292" width="15" style="1" customWidth="1"/>
    <col min="2293" max="2293" width="14.5546875" style="1" customWidth="1"/>
    <col min="2294" max="2294" width="10.33203125" style="1"/>
    <col min="2295" max="2295" width="7.44140625" style="1" customWidth="1"/>
    <col min="2296" max="2296" width="12.88671875" style="1" customWidth="1"/>
    <col min="2297" max="2297" width="11.109375" style="1" customWidth="1"/>
    <col min="2298" max="2298" width="14" style="1" customWidth="1"/>
    <col min="2299" max="2299" width="33" style="1" customWidth="1"/>
    <col min="2300" max="2300" width="6.6640625" style="1" customWidth="1"/>
    <col min="2301" max="2301" width="19" style="1" customWidth="1"/>
    <col min="2302" max="2302" width="19.109375" style="1" customWidth="1"/>
    <col min="2303" max="2303" width="21.33203125" style="1" customWidth="1"/>
    <col min="2304" max="2304" width="32.5546875" style="1" customWidth="1"/>
    <col min="2305" max="2305" width="16.88671875" style="1" customWidth="1"/>
    <col min="2306" max="2306" width="16.33203125" style="1" customWidth="1"/>
    <col min="2307" max="2537" width="10.33203125" style="1"/>
    <col min="2538" max="2538" width="4.44140625" style="1" customWidth="1"/>
    <col min="2539" max="2539" width="21.6640625" style="1" customWidth="1"/>
    <col min="2540" max="2540" width="15" style="1" customWidth="1"/>
    <col min="2541" max="2541" width="15.44140625" style="1" customWidth="1"/>
    <col min="2542" max="2542" width="11.5546875" style="1" customWidth="1"/>
    <col min="2543" max="2543" width="7.44140625" style="1" customWidth="1"/>
    <col min="2544" max="2544" width="14.109375" style="1" customWidth="1"/>
    <col min="2545" max="2545" width="10.6640625" style="1" customWidth="1"/>
    <col min="2546" max="2546" width="13.44140625" style="1" customWidth="1"/>
    <col min="2547" max="2547" width="11.44140625" style="1" customWidth="1"/>
    <col min="2548" max="2548" width="15" style="1" customWidth="1"/>
    <col min="2549" max="2549" width="14.5546875" style="1" customWidth="1"/>
    <col min="2550" max="2550" width="10.33203125" style="1"/>
    <col min="2551" max="2551" width="7.44140625" style="1" customWidth="1"/>
    <col min="2552" max="2552" width="12.88671875" style="1" customWidth="1"/>
    <col min="2553" max="2553" width="11.109375" style="1" customWidth="1"/>
    <col min="2554" max="2554" width="14" style="1" customWidth="1"/>
    <col min="2555" max="2555" width="33" style="1" customWidth="1"/>
    <col min="2556" max="2556" width="6.6640625" style="1" customWidth="1"/>
    <col min="2557" max="2557" width="19" style="1" customWidth="1"/>
    <col min="2558" max="2558" width="19.109375" style="1" customWidth="1"/>
    <col min="2559" max="2559" width="21.33203125" style="1" customWidth="1"/>
    <col min="2560" max="2560" width="32.5546875" style="1" customWidth="1"/>
    <col min="2561" max="2561" width="16.88671875" style="1" customWidth="1"/>
    <col min="2562" max="2562" width="16.33203125" style="1" customWidth="1"/>
    <col min="2563" max="2793" width="10.33203125" style="1"/>
    <col min="2794" max="2794" width="4.44140625" style="1" customWidth="1"/>
    <col min="2795" max="2795" width="21.6640625" style="1" customWidth="1"/>
    <col min="2796" max="2796" width="15" style="1" customWidth="1"/>
    <col min="2797" max="2797" width="15.44140625" style="1" customWidth="1"/>
    <col min="2798" max="2798" width="11.5546875" style="1" customWidth="1"/>
    <col min="2799" max="2799" width="7.44140625" style="1" customWidth="1"/>
    <col min="2800" max="2800" width="14.109375" style="1" customWidth="1"/>
    <col min="2801" max="2801" width="10.6640625" style="1" customWidth="1"/>
    <col min="2802" max="2802" width="13.44140625" style="1" customWidth="1"/>
    <col min="2803" max="2803" width="11.44140625" style="1" customWidth="1"/>
    <col min="2804" max="2804" width="15" style="1" customWidth="1"/>
    <col min="2805" max="2805" width="14.5546875" style="1" customWidth="1"/>
    <col min="2806" max="2806" width="10.33203125" style="1"/>
    <col min="2807" max="2807" width="7.44140625" style="1" customWidth="1"/>
    <col min="2808" max="2808" width="12.88671875" style="1" customWidth="1"/>
    <col min="2809" max="2809" width="11.109375" style="1" customWidth="1"/>
    <col min="2810" max="2810" width="14" style="1" customWidth="1"/>
    <col min="2811" max="2811" width="33" style="1" customWidth="1"/>
    <col min="2812" max="2812" width="6.6640625" style="1" customWidth="1"/>
    <col min="2813" max="2813" width="19" style="1" customWidth="1"/>
    <col min="2814" max="2814" width="19.109375" style="1" customWidth="1"/>
    <col min="2815" max="2815" width="21.33203125" style="1" customWidth="1"/>
    <col min="2816" max="2816" width="32.5546875" style="1" customWidth="1"/>
    <col min="2817" max="2817" width="16.88671875" style="1" customWidth="1"/>
    <col min="2818" max="2818" width="16.33203125" style="1" customWidth="1"/>
    <col min="2819" max="3049" width="10.33203125" style="1"/>
    <col min="3050" max="3050" width="4.44140625" style="1" customWidth="1"/>
    <col min="3051" max="3051" width="21.6640625" style="1" customWidth="1"/>
    <col min="3052" max="3052" width="15" style="1" customWidth="1"/>
    <col min="3053" max="3053" width="15.44140625" style="1" customWidth="1"/>
    <col min="3054" max="3054" width="11.5546875" style="1" customWidth="1"/>
    <col min="3055" max="3055" width="7.44140625" style="1" customWidth="1"/>
    <col min="3056" max="3056" width="14.109375" style="1" customWidth="1"/>
    <col min="3057" max="3057" width="10.6640625" style="1" customWidth="1"/>
    <col min="3058" max="3058" width="13.44140625" style="1" customWidth="1"/>
    <col min="3059" max="3059" width="11.44140625" style="1" customWidth="1"/>
    <col min="3060" max="3060" width="15" style="1" customWidth="1"/>
    <col min="3061" max="3061" width="14.5546875" style="1" customWidth="1"/>
    <col min="3062" max="3062" width="10.33203125" style="1"/>
    <col min="3063" max="3063" width="7.44140625" style="1" customWidth="1"/>
    <col min="3064" max="3064" width="12.88671875" style="1" customWidth="1"/>
    <col min="3065" max="3065" width="11.109375" style="1" customWidth="1"/>
    <col min="3066" max="3066" width="14" style="1" customWidth="1"/>
    <col min="3067" max="3067" width="33" style="1" customWidth="1"/>
    <col min="3068" max="3068" width="6.6640625" style="1" customWidth="1"/>
    <col min="3069" max="3069" width="19" style="1" customWidth="1"/>
    <col min="3070" max="3070" width="19.109375" style="1" customWidth="1"/>
    <col min="3071" max="3071" width="21.33203125" style="1" customWidth="1"/>
    <col min="3072" max="3072" width="32.5546875" style="1" customWidth="1"/>
    <col min="3073" max="3073" width="16.88671875" style="1" customWidth="1"/>
    <col min="3074" max="3074" width="16.33203125" style="1" customWidth="1"/>
    <col min="3075" max="3305" width="10.33203125" style="1"/>
    <col min="3306" max="3306" width="4.44140625" style="1" customWidth="1"/>
    <col min="3307" max="3307" width="21.6640625" style="1" customWidth="1"/>
    <col min="3308" max="3308" width="15" style="1" customWidth="1"/>
    <col min="3309" max="3309" width="15.44140625" style="1" customWidth="1"/>
    <col min="3310" max="3310" width="11.5546875" style="1" customWidth="1"/>
    <col min="3311" max="3311" width="7.44140625" style="1" customWidth="1"/>
    <col min="3312" max="3312" width="14.109375" style="1" customWidth="1"/>
    <col min="3313" max="3313" width="10.6640625" style="1" customWidth="1"/>
    <col min="3314" max="3314" width="13.44140625" style="1" customWidth="1"/>
    <col min="3315" max="3315" width="11.44140625" style="1" customWidth="1"/>
    <col min="3316" max="3316" width="15" style="1" customWidth="1"/>
    <col min="3317" max="3317" width="14.5546875" style="1" customWidth="1"/>
    <col min="3318" max="3318" width="10.33203125" style="1"/>
    <col min="3319" max="3319" width="7.44140625" style="1" customWidth="1"/>
    <col min="3320" max="3320" width="12.88671875" style="1" customWidth="1"/>
    <col min="3321" max="3321" width="11.109375" style="1" customWidth="1"/>
    <col min="3322" max="3322" width="14" style="1" customWidth="1"/>
    <col min="3323" max="3323" width="33" style="1" customWidth="1"/>
    <col min="3324" max="3324" width="6.6640625" style="1" customWidth="1"/>
    <col min="3325" max="3325" width="19" style="1" customWidth="1"/>
    <col min="3326" max="3326" width="19.109375" style="1" customWidth="1"/>
    <col min="3327" max="3327" width="21.33203125" style="1" customWidth="1"/>
    <col min="3328" max="3328" width="32.5546875" style="1" customWidth="1"/>
    <col min="3329" max="3329" width="16.88671875" style="1" customWidth="1"/>
    <col min="3330" max="3330" width="16.33203125" style="1" customWidth="1"/>
    <col min="3331" max="3561" width="10.33203125" style="1"/>
    <col min="3562" max="3562" width="4.44140625" style="1" customWidth="1"/>
    <col min="3563" max="3563" width="21.6640625" style="1" customWidth="1"/>
    <col min="3564" max="3564" width="15" style="1" customWidth="1"/>
    <col min="3565" max="3565" width="15.44140625" style="1" customWidth="1"/>
    <col min="3566" max="3566" width="11.5546875" style="1" customWidth="1"/>
    <col min="3567" max="3567" width="7.44140625" style="1" customWidth="1"/>
    <col min="3568" max="3568" width="14.109375" style="1" customWidth="1"/>
    <col min="3569" max="3569" width="10.6640625" style="1" customWidth="1"/>
    <col min="3570" max="3570" width="13.44140625" style="1" customWidth="1"/>
    <col min="3571" max="3571" width="11.44140625" style="1" customWidth="1"/>
    <col min="3572" max="3572" width="15" style="1" customWidth="1"/>
    <col min="3573" max="3573" width="14.5546875" style="1" customWidth="1"/>
    <col min="3574" max="3574" width="10.33203125" style="1"/>
    <col min="3575" max="3575" width="7.44140625" style="1" customWidth="1"/>
    <col min="3576" max="3576" width="12.88671875" style="1" customWidth="1"/>
    <col min="3577" max="3577" width="11.109375" style="1" customWidth="1"/>
    <col min="3578" max="3578" width="14" style="1" customWidth="1"/>
    <col min="3579" max="3579" width="33" style="1" customWidth="1"/>
    <col min="3580" max="3580" width="6.6640625" style="1" customWidth="1"/>
    <col min="3581" max="3581" width="19" style="1" customWidth="1"/>
    <col min="3582" max="3582" width="19.109375" style="1" customWidth="1"/>
    <col min="3583" max="3583" width="21.33203125" style="1" customWidth="1"/>
    <col min="3584" max="3584" width="32.5546875" style="1" customWidth="1"/>
    <col min="3585" max="3585" width="16.88671875" style="1" customWidth="1"/>
    <col min="3586" max="3586" width="16.33203125" style="1" customWidth="1"/>
    <col min="3587" max="3817" width="10.33203125" style="1"/>
    <col min="3818" max="3818" width="4.44140625" style="1" customWidth="1"/>
    <col min="3819" max="3819" width="21.6640625" style="1" customWidth="1"/>
    <col min="3820" max="3820" width="15" style="1" customWidth="1"/>
    <col min="3821" max="3821" width="15.44140625" style="1" customWidth="1"/>
    <col min="3822" max="3822" width="11.5546875" style="1" customWidth="1"/>
    <col min="3823" max="3823" width="7.44140625" style="1" customWidth="1"/>
    <col min="3824" max="3824" width="14.109375" style="1" customWidth="1"/>
    <col min="3825" max="3825" width="10.6640625" style="1" customWidth="1"/>
    <col min="3826" max="3826" width="13.44140625" style="1" customWidth="1"/>
    <col min="3827" max="3827" width="11.44140625" style="1" customWidth="1"/>
    <col min="3828" max="3828" width="15" style="1" customWidth="1"/>
    <col min="3829" max="3829" width="14.5546875" style="1" customWidth="1"/>
    <col min="3830" max="3830" width="10.33203125" style="1"/>
    <col min="3831" max="3831" width="7.44140625" style="1" customWidth="1"/>
    <col min="3832" max="3832" width="12.88671875" style="1" customWidth="1"/>
    <col min="3833" max="3833" width="11.109375" style="1" customWidth="1"/>
    <col min="3834" max="3834" width="14" style="1" customWidth="1"/>
    <col min="3835" max="3835" width="33" style="1" customWidth="1"/>
    <col min="3836" max="3836" width="6.6640625" style="1" customWidth="1"/>
    <col min="3837" max="3837" width="19" style="1" customWidth="1"/>
    <col min="3838" max="3838" width="19.109375" style="1" customWidth="1"/>
    <col min="3839" max="3839" width="21.33203125" style="1" customWidth="1"/>
    <col min="3840" max="3840" width="32.5546875" style="1" customWidth="1"/>
    <col min="3841" max="3841" width="16.88671875" style="1" customWidth="1"/>
    <col min="3842" max="3842" width="16.33203125" style="1" customWidth="1"/>
    <col min="3843" max="4073" width="10.33203125" style="1"/>
    <col min="4074" max="4074" width="4.44140625" style="1" customWidth="1"/>
    <col min="4075" max="4075" width="21.6640625" style="1" customWidth="1"/>
    <col min="4076" max="4076" width="15" style="1" customWidth="1"/>
    <col min="4077" max="4077" width="15.44140625" style="1" customWidth="1"/>
    <col min="4078" max="4078" width="11.5546875" style="1" customWidth="1"/>
    <col min="4079" max="4079" width="7.44140625" style="1" customWidth="1"/>
    <col min="4080" max="4080" width="14.109375" style="1" customWidth="1"/>
    <col min="4081" max="4081" width="10.6640625" style="1" customWidth="1"/>
    <col min="4082" max="4082" width="13.44140625" style="1" customWidth="1"/>
    <col min="4083" max="4083" width="11.44140625" style="1" customWidth="1"/>
    <col min="4084" max="4084" width="15" style="1" customWidth="1"/>
    <col min="4085" max="4085" width="14.5546875" style="1" customWidth="1"/>
    <col min="4086" max="4086" width="10.33203125" style="1"/>
    <col min="4087" max="4087" width="7.44140625" style="1" customWidth="1"/>
    <col min="4088" max="4088" width="12.88671875" style="1" customWidth="1"/>
    <col min="4089" max="4089" width="11.109375" style="1" customWidth="1"/>
    <col min="4090" max="4090" width="14" style="1" customWidth="1"/>
    <col min="4091" max="4091" width="33" style="1" customWidth="1"/>
    <col min="4092" max="4092" width="6.6640625" style="1" customWidth="1"/>
    <col min="4093" max="4093" width="19" style="1" customWidth="1"/>
    <col min="4094" max="4094" width="19.109375" style="1" customWidth="1"/>
    <col min="4095" max="4095" width="21.33203125" style="1" customWidth="1"/>
    <col min="4096" max="4096" width="32.5546875" style="1" customWidth="1"/>
    <col min="4097" max="4097" width="16.88671875" style="1" customWidth="1"/>
    <col min="4098" max="4098" width="16.33203125" style="1" customWidth="1"/>
    <col min="4099" max="4329" width="10.33203125" style="1"/>
    <col min="4330" max="4330" width="4.44140625" style="1" customWidth="1"/>
    <col min="4331" max="4331" width="21.6640625" style="1" customWidth="1"/>
    <col min="4332" max="4332" width="15" style="1" customWidth="1"/>
    <col min="4333" max="4333" width="15.44140625" style="1" customWidth="1"/>
    <col min="4334" max="4334" width="11.5546875" style="1" customWidth="1"/>
    <col min="4335" max="4335" width="7.44140625" style="1" customWidth="1"/>
    <col min="4336" max="4336" width="14.109375" style="1" customWidth="1"/>
    <col min="4337" max="4337" width="10.6640625" style="1" customWidth="1"/>
    <col min="4338" max="4338" width="13.44140625" style="1" customWidth="1"/>
    <col min="4339" max="4339" width="11.44140625" style="1" customWidth="1"/>
    <col min="4340" max="4340" width="15" style="1" customWidth="1"/>
    <col min="4341" max="4341" width="14.5546875" style="1" customWidth="1"/>
    <col min="4342" max="4342" width="10.33203125" style="1"/>
    <col min="4343" max="4343" width="7.44140625" style="1" customWidth="1"/>
    <col min="4344" max="4344" width="12.88671875" style="1" customWidth="1"/>
    <col min="4345" max="4345" width="11.109375" style="1" customWidth="1"/>
    <col min="4346" max="4346" width="14" style="1" customWidth="1"/>
    <col min="4347" max="4347" width="33" style="1" customWidth="1"/>
    <col min="4348" max="4348" width="6.6640625" style="1" customWidth="1"/>
    <col min="4349" max="4349" width="19" style="1" customWidth="1"/>
    <col min="4350" max="4350" width="19.109375" style="1" customWidth="1"/>
    <col min="4351" max="4351" width="21.33203125" style="1" customWidth="1"/>
    <col min="4352" max="4352" width="32.5546875" style="1" customWidth="1"/>
    <col min="4353" max="4353" width="16.88671875" style="1" customWidth="1"/>
    <col min="4354" max="4354" width="16.33203125" style="1" customWidth="1"/>
    <col min="4355" max="4585" width="10.33203125" style="1"/>
    <col min="4586" max="4586" width="4.44140625" style="1" customWidth="1"/>
    <col min="4587" max="4587" width="21.6640625" style="1" customWidth="1"/>
    <col min="4588" max="4588" width="15" style="1" customWidth="1"/>
    <col min="4589" max="4589" width="15.44140625" style="1" customWidth="1"/>
    <col min="4590" max="4590" width="11.5546875" style="1" customWidth="1"/>
    <col min="4591" max="4591" width="7.44140625" style="1" customWidth="1"/>
    <col min="4592" max="4592" width="14.109375" style="1" customWidth="1"/>
    <col min="4593" max="4593" width="10.6640625" style="1" customWidth="1"/>
    <col min="4594" max="4594" width="13.44140625" style="1" customWidth="1"/>
    <col min="4595" max="4595" width="11.44140625" style="1" customWidth="1"/>
    <col min="4596" max="4596" width="15" style="1" customWidth="1"/>
    <col min="4597" max="4597" width="14.5546875" style="1" customWidth="1"/>
    <col min="4598" max="4598" width="10.33203125" style="1"/>
    <col min="4599" max="4599" width="7.44140625" style="1" customWidth="1"/>
    <col min="4600" max="4600" width="12.88671875" style="1" customWidth="1"/>
    <col min="4601" max="4601" width="11.109375" style="1" customWidth="1"/>
    <col min="4602" max="4602" width="14" style="1" customWidth="1"/>
    <col min="4603" max="4603" width="33" style="1" customWidth="1"/>
    <col min="4604" max="4604" width="6.6640625" style="1" customWidth="1"/>
    <col min="4605" max="4605" width="19" style="1" customWidth="1"/>
    <col min="4606" max="4606" width="19.109375" style="1" customWidth="1"/>
    <col min="4607" max="4607" width="21.33203125" style="1" customWidth="1"/>
    <col min="4608" max="4608" width="32.5546875" style="1" customWidth="1"/>
    <col min="4609" max="4609" width="16.88671875" style="1" customWidth="1"/>
    <col min="4610" max="4610" width="16.33203125" style="1" customWidth="1"/>
    <col min="4611" max="4841" width="10.33203125" style="1"/>
    <col min="4842" max="4842" width="4.44140625" style="1" customWidth="1"/>
    <col min="4843" max="4843" width="21.6640625" style="1" customWidth="1"/>
    <col min="4844" max="4844" width="15" style="1" customWidth="1"/>
    <col min="4845" max="4845" width="15.44140625" style="1" customWidth="1"/>
    <col min="4846" max="4846" width="11.5546875" style="1" customWidth="1"/>
    <col min="4847" max="4847" width="7.44140625" style="1" customWidth="1"/>
    <col min="4848" max="4848" width="14.109375" style="1" customWidth="1"/>
    <col min="4849" max="4849" width="10.6640625" style="1" customWidth="1"/>
    <col min="4850" max="4850" width="13.44140625" style="1" customWidth="1"/>
    <col min="4851" max="4851" width="11.44140625" style="1" customWidth="1"/>
    <col min="4852" max="4852" width="15" style="1" customWidth="1"/>
    <col min="4853" max="4853" width="14.5546875" style="1" customWidth="1"/>
    <col min="4854" max="4854" width="10.33203125" style="1"/>
    <col min="4855" max="4855" width="7.44140625" style="1" customWidth="1"/>
    <col min="4856" max="4856" width="12.88671875" style="1" customWidth="1"/>
    <col min="4857" max="4857" width="11.109375" style="1" customWidth="1"/>
    <col min="4858" max="4858" width="14" style="1" customWidth="1"/>
    <col min="4859" max="4859" width="33" style="1" customWidth="1"/>
    <col min="4860" max="4860" width="6.6640625" style="1" customWidth="1"/>
    <col min="4861" max="4861" width="19" style="1" customWidth="1"/>
    <col min="4862" max="4862" width="19.109375" style="1" customWidth="1"/>
    <col min="4863" max="4863" width="21.33203125" style="1" customWidth="1"/>
    <col min="4864" max="4864" width="32.5546875" style="1" customWidth="1"/>
    <col min="4865" max="4865" width="16.88671875" style="1" customWidth="1"/>
    <col min="4866" max="4866" width="16.33203125" style="1" customWidth="1"/>
    <col min="4867" max="5097" width="10.33203125" style="1"/>
    <col min="5098" max="5098" width="4.44140625" style="1" customWidth="1"/>
    <col min="5099" max="5099" width="21.6640625" style="1" customWidth="1"/>
    <col min="5100" max="5100" width="15" style="1" customWidth="1"/>
    <col min="5101" max="5101" width="15.44140625" style="1" customWidth="1"/>
    <col min="5102" max="5102" width="11.5546875" style="1" customWidth="1"/>
    <col min="5103" max="5103" width="7.44140625" style="1" customWidth="1"/>
    <col min="5104" max="5104" width="14.109375" style="1" customWidth="1"/>
    <col min="5105" max="5105" width="10.6640625" style="1" customWidth="1"/>
    <col min="5106" max="5106" width="13.44140625" style="1" customWidth="1"/>
    <col min="5107" max="5107" width="11.44140625" style="1" customWidth="1"/>
    <col min="5108" max="5108" width="15" style="1" customWidth="1"/>
    <col min="5109" max="5109" width="14.5546875" style="1" customWidth="1"/>
    <col min="5110" max="5110" width="10.33203125" style="1"/>
    <col min="5111" max="5111" width="7.44140625" style="1" customWidth="1"/>
    <col min="5112" max="5112" width="12.88671875" style="1" customWidth="1"/>
    <col min="5113" max="5113" width="11.109375" style="1" customWidth="1"/>
    <col min="5114" max="5114" width="14" style="1" customWidth="1"/>
    <col min="5115" max="5115" width="33" style="1" customWidth="1"/>
    <col min="5116" max="5116" width="6.6640625" style="1" customWidth="1"/>
    <col min="5117" max="5117" width="19" style="1" customWidth="1"/>
    <col min="5118" max="5118" width="19.109375" style="1" customWidth="1"/>
    <col min="5119" max="5119" width="21.33203125" style="1" customWidth="1"/>
    <col min="5120" max="5120" width="32.5546875" style="1" customWidth="1"/>
    <col min="5121" max="5121" width="16.88671875" style="1" customWidth="1"/>
    <col min="5122" max="5122" width="16.33203125" style="1" customWidth="1"/>
    <col min="5123" max="5353" width="10.33203125" style="1"/>
    <col min="5354" max="5354" width="4.44140625" style="1" customWidth="1"/>
    <col min="5355" max="5355" width="21.6640625" style="1" customWidth="1"/>
    <col min="5356" max="5356" width="15" style="1" customWidth="1"/>
    <col min="5357" max="5357" width="15.44140625" style="1" customWidth="1"/>
    <col min="5358" max="5358" width="11.5546875" style="1" customWidth="1"/>
    <col min="5359" max="5359" width="7.44140625" style="1" customWidth="1"/>
    <col min="5360" max="5360" width="14.109375" style="1" customWidth="1"/>
    <col min="5361" max="5361" width="10.6640625" style="1" customWidth="1"/>
    <col min="5362" max="5362" width="13.44140625" style="1" customWidth="1"/>
    <col min="5363" max="5363" width="11.44140625" style="1" customWidth="1"/>
    <col min="5364" max="5364" width="15" style="1" customWidth="1"/>
    <col min="5365" max="5365" width="14.5546875" style="1" customWidth="1"/>
    <col min="5366" max="5366" width="10.33203125" style="1"/>
    <col min="5367" max="5367" width="7.44140625" style="1" customWidth="1"/>
    <col min="5368" max="5368" width="12.88671875" style="1" customWidth="1"/>
    <col min="5369" max="5369" width="11.109375" style="1" customWidth="1"/>
    <col min="5370" max="5370" width="14" style="1" customWidth="1"/>
    <col min="5371" max="5371" width="33" style="1" customWidth="1"/>
    <col min="5372" max="5372" width="6.6640625" style="1" customWidth="1"/>
    <col min="5373" max="5373" width="19" style="1" customWidth="1"/>
    <col min="5374" max="5374" width="19.109375" style="1" customWidth="1"/>
    <col min="5375" max="5375" width="21.33203125" style="1" customWidth="1"/>
    <col min="5376" max="5376" width="32.5546875" style="1" customWidth="1"/>
    <col min="5377" max="5377" width="16.88671875" style="1" customWidth="1"/>
    <col min="5378" max="5378" width="16.33203125" style="1" customWidth="1"/>
    <col min="5379" max="5609" width="10.33203125" style="1"/>
    <col min="5610" max="5610" width="4.44140625" style="1" customWidth="1"/>
    <col min="5611" max="5611" width="21.6640625" style="1" customWidth="1"/>
    <col min="5612" max="5612" width="15" style="1" customWidth="1"/>
    <col min="5613" max="5613" width="15.44140625" style="1" customWidth="1"/>
    <col min="5614" max="5614" width="11.5546875" style="1" customWidth="1"/>
    <col min="5615" max="5615" width="7.44140625" style="1" customWidth="1"/>
    <col min="5616" max="5616" width="14.109375" style="1" customWidth="1"/>
    <col min="5617" max="5617" width="10.6640625" style="1" customWidth="1"/>
    <col min="5618" max="5618" width="13.44140625" style="1" customWidth="1"/>
    <col min="5619" max="5619" width="11.44140625" style="1" customWidth="1"/>
    <col min="5620" max="5620" width="15" style="1" customWidth="1"/>
    <col min="5621" max="5621" width="14.5546875" style="1" customWidth="1"/>
    <col min="5622" max="5622" width="10.33203125" style="1"/>
    <col min="5623" max="5623" width="7.44140625" style="1" customWidth="1"/>
    <col min="5624" max="5624" width="12.88671875" style="1" customWidth="1"/>
    <col min="5625" max="5625" width="11.109375" style="1" customWidth="1"/>
    <col min="5626" max="5626" width="14" style="1" customWidth="1"/>
    <col min="5627" max="5627" width="33" style="1" customWidth="1"/>
    <col min="5628" max="5628" width="6.6640625" style="1" customWidth="1"/>
    <col min="5629" max="5629" width="19" style="1" customWidth="1"/>
    <col min="5630" max="5630" width="19.109375" style="1" customWidth="1"/>
    <col min="5631" max="5631" width="21.33203125" style="1" customWidth="1"/>
    <col min="5632" max="5632" width="32.5546875" style="1" customWidth="1"/>
    <col min="5633" max="5633" width="16.88671875" style="1" customWidth="1"/>
    <col min="5634" max="5634" width="16.33203125" style="1" customWidth="1"/>
    <col min="5635" max="5865" width="10.33203125" style="1"/>
    <col min="5866" max="5866" width="4.44140625" style="1" customWidth="1"/>
    <col min="5867" max="5867" width="21.6640625" style="1" customWidth="1"/>
    <col min="5868" max="5868" width="15" style="1" customWidth="1"/>
    <col min="5869" max="5869" width="15.44140625" style="1" customWidth="1"/>
    <col min="5870" max="5870" width="11.5546875" style="1" customWidth="1"/>
    <col min="5871" max="5871" width="7.44140625" style="1" customWidth="1"/>
    <col min="5872" max="5872" width="14.109375" style="1" customWidth="1"/>
    <col min="5873" max="5873" width="10.6640625" style="1" customWidth="1"/>
    <col min="5874" max="5874" width="13.44140625" style="1" customWidth="1"/>
    <col min="5875" max="5875" width="11.44140625" style="1" customWidth="1"/>
    <col min="5876" max="5876" width="15" style="1" customWidth="1"/>
    <col min="5877" max="5877" width="14.5546875" style="1" customWidth="1"/>
    <col min="5878" max="5878" width="10.33203125" style="1"/>
    <col min="5879" max="5879" width="7.44140625" style="1" customWidth="1"/>
    <col min="5880" max="5880" width="12.88671875" style="1" customWidth="1"/>
    <col min="5881" max="5881" width="11.109375" style="1" customWidth="1"/>
    <col min="5882" max="5882" width="14" style="1" customWidth="1"/>
    <col min="5883" max="5883" width="33" style="1" customWidth="1"/>
    <col min="5884" max="5884" width="6.6640625" style="1" customWidth="1"/>
    <col min="5885" max="5885" width="19" style="1" customWidth="1"/>
    <col min="5886" max="5886" width="19.109375" style="1" customWidth="1"/>
    <col min="5887" max="5887" width="21.33203125" style="1" customWidth="1"/>
    <col min="5888" max="5888" width="32.5546875" style="1" customWidth="1"/>
    <col min="5889" max="5889" width="16.88671875" style="1" customWidth="1"/>
    <col min="5890" max="5890" width="16.33203125" style="1" customWidth="1"/>
    <col min="5891" max="6121" width="10.33203125" style="1"/>
    <col min="6122" max="6122" width="4.44140625" style="1" customWidth="1"/>
    <col min="6123" max="6123" width="21.6640625" style="1" customWidth="1"/>
    <col min="6124" max="6124" width="15" style="1" customWidth="1"/>
    <col min="6125" max="6125" width="15.44140625" style="1" customWidth="1"/>
    <col min="6126" max="6126" width="11.5546875" style="1" customWidth="1"/>
    <col min="6127" max="6127" width="7.44140625" style="1" customWidth="1"/>
    <col min="6128" max="6128" width="14.109375" style="1" customWidth="1"/>
    <col min="6129" max="6129" width="10.6640625" style="1" customWidth="1"/>
    <col min="6130" max="6130" width="13.44140625" style="1" customWidth="1"/>
    <col min="6131" max="6131" width="11.44140625" style="1" customWidth="1"/>
    <col min="6132" max="6132" width="15" style="1" customWidth="1"/>
    <col min="6133" max="6133" width="14.5546875" style="1" customWidth="1"/>
    <col min="6134" max="6134" width="10.33203125" style="1"/>
    <col min="6135" max="6135" width="7.44140625" style="1" customWidth="1"/>
    <col min="6136" max="6136" width="12.88671875" style="1" customWidth="1"/>
    <col min="6137" max="6137" width="11.109375" style="1" customWidth="1"/>
    <col min="6138" max="6138" width="14" style="1" customWidth="1"/>
    <col min="6139" max="6139" width="33" style="1" customWidth="1"/>
    <col min="6140" max="6140" width="6.6640625" style="1" customWidth="1"/>
    <col min="6141" max="6141" width="19" style="1" customWidth="1"/>
    <col min="6142" max="6142" width="19.109375" style="1" customWidth="1"/>
    <col min="6143" max="6143" width="21.33203125" style="1" customWidth="1"/>
    <col min="6144" max="6144" width="32.5546875" style="1" customWidth="1"/>
    <col min="6145" max="6145" width="16.88671875" style="1" customWidth="1"/>
    <col min="6146" max="6146" width="16.33203125" style="1" customWidth="1"/>
    <col min="6147" max="6377" width="10.33203125" style="1"/>
    <col min="6378" max="6378" width="4.44140625" style="1" customWidth="1"/>
    <col min="6379" max="6379" width="21.6640625" style="1" customWidth="1"/>
    <col min="6380" max="6380" width="15" style="1" customWidth="1"/>
    <col min="6381" max="6381" width="15.44140625" style="1" customWidth="1"/>
    <col min="6382" max="6382" width="11.5546875" style="1" customWidth="1"/>
    <col min="6383" max="6383" width="7.44140625" style="1" customWidth="1"/>
    <col min="6384" max="6384" width="14.109375" style="1" customWidth="1"/>
    <col min="6385" max="6385" width="10.6640625" style="1" customWidth="1"/>
    <col min="6386" max="6386" width="13.44140625" style="1" customWidth="1"/>
    <col min="6387" max="6387" width="11.44140625" style="1" customWidth="1"/>
    <col min="6388" max="6388" width="15" style="1" customWidth="1"/>
    <col min="6389" max="6389" width="14.5546875" style="1" customWidth="1"/>
    <col min="6390" max="6390" width="10.33203125" style="1"/>
    <col min="6391" max="6391" width="7.44140625" style="1" customWidth="1"/>
    <col min="6392" max="6392" width="12.88671875" style="1" customWidth="1"/>
    <col min="6393" max="6393" width="11.109375" style="1" customWidth="1"/>
    <col min="6394" max="6394" width="14" style="1" customWidth="1"/>
    <col min="6395" max="6395" width="33" style="1" customWidth="1"/>
    <col min="6396" max="6396" width="6.6640625" style="1" customWidth="1"/>
    <col min="6397" max="6397" width="19" style="1" customWidth="1"/>
    <col min="6398" max="6398" width="19.109375" style="1" customWidth="1"/>
    <col min="6399" max="6399" width="21.33203125" style="1" customWidth="1"/>
    <col min="6400" max="6400" width="32.5546875" style="1" customWidth="1"/>
    <col min="6401" max="6401" width="16.88671875" style="1" customWidth="1"/>
    <col min="6402" max="6402" width="16.33203125" style="1" customWidth="1"/>
    <col min="6403" max="6633" width="10.33203125" style="1"/>
    <col min="6634" max="6634" width="4.44140625" style="1" customWidth="1"/>
    <col min="6635" max="6635" width="21.6640625" style="1" customWidth="1"/>
    <col min="6636" max="6636" width="15" style="1" customWidth="1"/>
    <col min="6637" max="6637" width="15.44140625" style="1" customWidth="1"/>
    <col min="6638" max="6638" width="11.5546875" style="1" customWidth="1"/>
    <col min="6639" max="6639" width="7.44140625" style="1" customWidth="1"/>
    <col min="6640" max="6640" width="14.109375" style="1" customWidth="1"/>
    <col min="6641" max="6641" width="10.6640625" style="1" customWidth="1"/>
    <col min="6642" max="6642" width="13.44140625" style="1" customWidth="1"/>
    <col min="6643" max="6643" width="11.44140625" style="1" customWidth="1"/>
    <col min="6644" max="6644" width="15" style="1" customWidth="1"/>
    <col min="6645" max="6645" width="14.5546875" style="1" customWidth="1"/>
    <col min="6646" max="6646" width="10.33203125" style="1"/>
    <col min="6647" max="6647" width="7.44140625" style="1" customWidth="1"/>
    <col min="6648" max="6648" width="12.88671875" style="1" customWidth="1"/>
    <col min="6649" max="6649" width="11.109375" style="1" customWidth="1"/>
    <col min="6650" max="6650" width="14" style="1" customWidth="1"/>
    <col min="6651" max="6651" width="33" style="1" customWidth="1"/>
    <col min="6652" max="6652" width="6.6640625" style="1" customWidth="1"/>
    <col min="6653" max="6653" width="19" style="1" customWidth="1"/>
    <col min="6654" max="6654" width="19.109375" style="1" customWidth="1"/>
    <col min="6655" max="6655" width="21.33203125" style="1" customWidth="1"/>
    <col min="6656" max="6656" width="32.5546875" style="1" customWidth="1"/>
    <col min="6657" max="6657" width="16.88671875" style="1" customWidth="1"/>
    <col min="6658" max="6658" width="16.33203125" style="1" customWidth="1"/>
    <col min="6659" max="6889" width="10.33203125" style="1"/>
    <col min="6890" max="6890" width="4.44140625" style="1" customWidth="1"/>
    <col min="6891" max="6891" width="21.6640625" style="1" customWidth="1"/>
    <col min="6892" max="6892" width="15" style="1" customWidth="1"/>
    <col min="6893" max="6893" width="15.44140625" style="1" customWidth="1"/>
    <col min="6894" max="6894" width="11.5546875" style="1" customWidth="1"/>
    <col min="6895" max="6895" width="7.44140625" style="1" customWidth="1"/>
    <col min="6896" max="6896" width="14.109375" style="1" customWidth="1"/>
    <col min="6897" max="6897" width="10.6640625" style="1" customWidth="1"/>
    <col min="6898" max="6898" width="13.44140625" style="1" customWidth="1"/>
    <col min="6899" max="6899" width="11.44140625" style="1" customWidth="1"/>
    <col min="6900" max="6900" width="15" style="1" customWidth="1"/>
    <col min="6901" max="6901" width="14.5546875" style="1" customWidth="1"/>
    <col min="6902" max="6902" width="10.33203125" style="1"/>
    <col min="6903" max="6903" width="7.44140625" style="1" customWidth="1"/>
    <col min="6904" max="6904" width="12.88671875" style="1" customWidth="1"/>
    <col min="6905" max="6905" width="11.109375" style="1" customWidth="1"/>
    <col min="6906" max="6906" width="14" style="1" customWidth="1"/>
    <col min="6907" max="6907" width="33" style="1" customWidth="1"/>
    <col min="6908" max="6908" width="6.6640625" style="1" customWidth="1"/>
    <col min="6909" max="6909" width="19" style="1" customWidth="1"/>
    <col min="6910" max="6910" width="19.109375" style="1" customWidth="1"/>
    <col min="6911" max="6911" width="21.33203125" style="1" customWidth="1"/>
    <col min="6912" max="6912" width="32.5546875" style="1" customWidth="1"/>
    <col min="6913" max="6913" width="16.88671875" style="1" customWidth="1"/>
    <col min="6914" max="6914" width="16.33203125" style="1" customWidth="1"/>
    <col min="6915" max="7145" width="10.33203125" style="1"/>
    <col min="7146" max="7146" width="4.44140625" style="1" customWidth="1"/>
    <col min="7147" max="7147" width="21.6640625" style="1" customWidth="1"/>
    <col min="7148" max="7148" width="15" style="1" customWidth="1"/>
    <col min="7149" max="7149" width="15.44140625" style="1" customWidth="1"/>
    <col min="7150" max="7150" width="11.5546875" style="1" customWidth="1"/>
    <col min="7151" max="7151" width="7.44140625" style="1" customWidth="1"/>
    <col min="7152" max="7152" width="14.109375" style="1" customWidth="1"/>
    <col min="7153" max="7153" width="10.6640625" style="1" customWidth="1"/>
    <col min="7154" max="7154" width="13.44140625" style="1" customWidth="1"/>
    <col min="7155" max="7155" width="11.44140625" style="1" customWidth="1"/>
    <col min="7156" max="7156" width="15" style="1" customWidth="1"/>
    <col min="7157" max="7157" width="14.5546875" style="1" customWidth="1"/>
    <col min="7158" max="7158" width="10.33203125" style="1"/>
    <col min="7159" max="7159" width="7.44140625" style="1" customWidth="1"/>
    <col min="7160" max="7160" width="12.88671875" style="1" customWidth="1"/>
    <col min="7161" max="7161" width="11.109375" style="1" customWidth="1"/>
    <col min="7162" max="7162" width="14" style="1" customWidth="1"/>
    <col min="7163" max="7163" width="33" style="1" customWidth="1"/>
    <col min="7164" max="7164" width="6.6640625" style="1" customWidth="1"/>
    <col min="7165" max="7165" width="19" style="1" customWidth="1"/>
    <col min="7166" max="7166" width="19.109375" style="1" customWidth="1"/>
    <col min="7167" max="7167" width="21.33203125" style="1" customWidth="1"/>
    <col min="7168" max="7168" width="32.5546875" style="1" customWidth="1"/>
    <col min="7169" max="7169" width="16.88671875" style="1" customWidth="1"/>
    <col min="7170" max="7170" width="16.33203125" style="1" customWidth="1"/>
    <col min="7171" max="7401" width="10.33203125" style="1"/>
    <col min="7402" max="7402" width="4.44140625" style="1" customWidth="1"/>
    <col min="7403" max="7403" width="21.6640625" style="1" customWidth="1"/>
    <col min="7404" max="7404" width="15" style="1" customWidth="1"/>
    <col min="7405" max="7405" width="15.44140625" style="1" customWidth="1"/>
    <col min="7406" max="7406" width="11.5546875" style="1" customWidth="1"/>
    <col min="7407" max="7407" width="7.44140625" style="1" customWidth="1"/>
    <col min="7408" max="7408" width="14.109375" style="1" customWidth="1"/>
    <col min="7409" max="7409" width="10.6640625" style="1" customWidth="1"/>
    <col min="7410" max="7410" width="13.44140625" style="1" customWidth="1"/>
    <col min="7411" max="7411" width="11.44140625" style="1" customWidth="1"/>
    <col min="7412" max="7412" width="15" style="1" customWidth="1"/>
    <col min="7413" max="7413" width="14.5546875" style="1" customWidth="1"/>
    <col min="7414" max="7414" width="10.33203125" style="1"/>
    <col min="7415" max="7415" width="7.44140625" style="1" customWidth="1"/>
    <col min="7416" max="7416" width="12.88671875" style="1" customWidth="1"/>
    <col min="7417" max="7417" width="11.109375" style="1" customWidth="1"/>
    <col min="7418" max="7418" width="14" style="1" customWidth="1"/>
    <col min="7419" max="7419" width="33" style="1" customWidth="1"/>
    <col min="7420" max="7420" width="6.6640625" style="1" customWidth="1"/>
    <col min="7421" max="7421" width="19" style="1" customWidth="1"/>
    <col min="7422" max="7422" width="19.109375" style="1" customWidth="1"/>
    <col min="7423" max="7423" width="21.33203125" style="1" customWidth="1"/>
    <col min="7424" max="7424" width="32.5546875" style="1" customWidth="1"/>
    <col min="7425" max="7425" width="16.88671875" style="1" customWidth="1"/>
    <col min="7426" max="7426" width="16.33203125" style="1" customWidth="1"/>
    <col min="7427" max="7657" width="10.33203125" style="1"/>
    <col min="7658" max="7658" width="4.44140625" style="1" customWidth="1"/>
    <col min="7659" max="7659" width="21.6640625" style="1" customWidth="1"/>
    <col min="7660" max="7660" width="15" style="1" customWidth="1"/>
    <col min="7661" max="7661" width="15.44140625" style="1" customWidth="1"/>
    <col min="7662" max="7662" width="11.5546875" style="1" customWidth="1"/>
    <col min="7663" max="7663" width="7.44140625" style="1" customWidth="1"/>
    <col min="7664" max="7664" width="14.109375" style="1" customWidth="1"/>
    <col min="7665" max="7665" width="10.6640625" style="1" customWidth="1"/>
    <col min="7666" max="7666" width="13.44140625" style="1" customWidth="1"/>
    <col min="7667" max="7667" width="11.44140625" style="1" customWidth="1"/>
    <col min="7668" max="7668" width="15" style="1" customWidth="1"/>
    <col min="7669" max="7669" width="14.5546875" style="1" customWidth="1"/>
    <col min="7670" max="7670" width="10.33203125" style="1"/>
    <col min="7671" max="7671" width="7.44140625" style="1" customWidth="1"/>
    <col min="7672" max="7672" width="12.88671875" style="1" customWidth="1"/>
    <col min="7673" max="7673" width="11.109375" style="1" customWidth="1"/>
    <col min="7674" max="7674" width="14" style="1" customWidth="1"/>
    <col min="7675" max="7675" width="33" style="1" customWidth="1"/>
    <col min="7676" max="7676" width="6.6640625" style="1" customWidth="1"/>
    <col min="7677" max="7677" width="19" style="1" customWidth="1"/>
    <col min="7678" max="7678" width="19.109375" style="1" customWidth="1"/>
    <col min="7679" max="7679" width="21.33203125" style="1" customWidth="1"/>
    <col min="7680" max="7680" width="32.5546875" style="1" customWidth="1"/>
    <col min="7681" max="7681" width="16.88671875" style="1" customWidth="1"/>
    <col min="7682" max="7682" width="16.33203125" style="1" customWidth="1"/>
    <col min="7683" max="7913" width="10.33203125" style="1"/>
    <col min="7914" max="7914" width="4.44140625" style="1" customWidth="1"/>
    <col min="7915" max="7915" width="21.6640625" style="1" customWidth="1"/>
    <col min="7916" max="7916" width="15" style="1" customWidth="1"/>
    <col min="7917" max="7917" width="15.44140625" style="1" customWidth="1"/>
    <col min="7918" max="7918" width="11.5546875" style="1" customWidth="1"/>
    <col min="7919" max="7919" width="7.44140625" style="1" customWidth="1"/>
    <col min="7920" max="7920" width="14.109375" style="1" customWidth="1"/>
    <col min="7921" max="7921" width="10.6640625" style="1" customWidth="1"/>
    <col min="7922" max="7922" width="13.44140625" style="1" customWidth="1"/>
    <col min="7923" max="7923" width="11.44140625" style="1" customWidth="1"/>
    <col min="7924" max="7924" width="15" style="1" customWidth="1"/>
    <col min="7925" max="7925" width="14.5546875" style="1" customWidth="1"/>
    <col min="7926" max="7926" width="10.33203125" style="1"/>
    <col min="7927" max="7927" width="7.44140625" style="1" customWidth="1"/>
    <col min="7928" max="7928" width="12.88671875" style="1" customWidth="1"/>
    <col min="7929" max="7929" width="11.109375" style="1" customWidth="1"/>
    <col min="7930" max="7930" width="14" style="1" customWidth="1"/>
    <col min="7931" max="7931" width="33" style="1" customWidth="1"/>
    <col min="7932" max="7932" width="6.6640625" style="1" customWidth="1"/>
    <col min="7933" max="7933" width="19" style="1" customWidth="1"/>
    <col min="7934" max="7934" width="19.109375" style="1" customWidth="1"/>
    <col min="7935" max="7935" width="21.33203125" style="1" customWidth="1"/>
    <col min="7936" max="7936" width="32.5546875" style="1" customWidth="1"/>
    <col min="7937" max="7937" width="16.88671875" style="1" customWidth="1"/>
    <col min="7938" max="7938" width="16.33203125" style="1" customWidth="1"/>
    <col min="7939" max="8169" width="10.33203125" style="1"/>
    <col min="8170" max="8170" width="4.44140625" style="1" customWidth="1"/>
    <col min="8171" max="8171" width="21.6640625" style="1" customWidth="1"/>
    <col min="8172" max="8172" width="15" style="1" customWidth="1"/>
    <col min="8173" max="8173" width="15.44140625" style="1" customWidth="1"/>
    <col min="8174" max="8174" width="11.5546875" style="1" customWidth="1"/>
    <col min="8175" max="8175" width="7.44140625" style="1" customWidth="1"/>
    <col min="8176" max="8176" width="14.109375" style="1" customWidth="1"/>
    <col min="8177" max="8177" width="10.6640625" style="1" customWidth="1"/>
    <col min="8178" max="8178" width="13.44140625" style="1" customWidth="1"/>
    <col min="8179" max="8179" width="11.44140625" style="1" customWidth="1"/>
    <col min="8180" max="8180" width="15" style="1" customWidth="1"/>
    <col min="8181" max="8181" width="14.5546875" style="1" customWidth="1"/>
    <col min="8182" max="8182" width="10.33203125" style="1"/>
    <col min="8183" max="8183" width="7.44140625" style="1" customWidth="1"/>
    <col min="8184" max="8184" width="12.88671875" style="1" customWidth="1"/>
    <col min="8185" max="8185" width="11.109375" style="1" customWidth="1"/>
    <col min="8186" max="8186" width="14" style="1" customWidth="1"/>
    <col min="8187" max="8187" width="33" style="1" customWidth="1"/>
    <col min="8188" max="8188" width="6.6640625" style="1" customWidth="1"/>
    <col min="8189" max="8189" width="19" style="1" customWidth="1"/>
    <col min="8190" max="8190" width="19.109375" style="1" customWidth="1"/>
    <col min="8191" max="8191" width="21.33203125" style="1" customWidth="1"/>
    <col min="8192" max="8192" width="32.5546875" style="1" customWidth="1"/>
    <col min="8193" max="8193" width="16.88671875" style="1" customWidth="1"/>
    <col min="8194" max="8194" width="16.33203125" style="1" customWidth="1"/>
    <col min="8195" max="8425" width="10.33203125" style="1"/>
    <col min="8426" max="8426" width="4.44140625" style="1" customWidth="1"/>
    <col min="8427" max="8427" width="21.6640625" style="1" customWidth="1"/>
    <col min="8428" max="8428" width="15" style="1" customWidth="1"/>
    <col min="8429" max="8429" width="15.44140625" style="1" customWidth="1"/>
    <col min="8430" max="8430" width="11.5546875" style="1" customWidth="1"/>
    <col min="8431" max="8431" width="7.44140625" style="1" customWidth="1"/>
    <col min="8432" max="8432" width="14.109375" style="1" customWidth="1"/>
    <col min="8433" max="8433" width="10.6640625" style="1" customWidth="1"/>
    <col min="8434" max="8434" width="13.44140625" style="1" customWidth="1"/>
    <col min="8435" max="8435" width="11.44140625" style="1" customWidth="1"/>
    <col min="8436" max="8436" width="15" style="1" customWidth="1"/>
    <col min="8437" max="8437" width="14.5546875" style="1" customWidth="1"/>
    <col min="8438" max="8438" width="10.33203125" style="1"/>
    <col min="8439" max="8439" width="7.44140625" style="1" customWidth="1"/>
    <col min="8440" max="8440" width="12.88671875" style="1" customWidth="1"/>
    <col min="8441" max="8441" width="11.109375" style="1" customWidth="1"/>
    <col min="8442" max="8442" width="14" style="1" customWidth="1"/>
    <col min="8443" max="8443" width="33" style="1" customWidth="1"/>
    <col min="8444" max="8444" width="6.6640625" style="1" customWidth="1"/>
    <col min="8445" max="8445" width="19" style="1" customWidth="1"/>
    <col min="8446" max="8446" width="19.109375" style="1" customWidth="1"/>
    <col min="8447" max="8447" width="21.33203125" style="1" customWidth="1"/>
    <col min="8448" max="8448" width="32.5546875" style="1" customWidth="1"/>
    <col min="8449" max="8449" width="16.88671875" style="1" customWidth="1"/>
    <col min="8450" max="8450" width="16.33203125" style="1" customWidth="1"/>
    <col min="8451" max="8681" width="10.33203125" style="1"/>
    <col min="8682" max="8682" width="4.44140625" style="1" customWidth="1"/>
    <col min="8683" max="8683" width="21.6640625" style="1" customWidth="1"/>
    <col min="8684" max="8684" width="15" style="1" customWidth="1"/>
    <col min="8685" max="8685" width="15.44140625" style="1" customWidth="1"/>
    <col min="8686" max="8686" width="11.5546875" style="1" customWidth="1"/>
    <col min="8687" max="8687" width="7.44140625" style="1" customWidth="1"/>
    <col min="8688" max="8688" width="14.109375" style="1" customWidth="1"/>
    <col min="8689" max="8689" width="10.6640625" style="1" customWidth="1"/>
    <col min="8690" max="8690" width="13.44140625" style="1" customWidth="1"/>
    <col min="8691" max="8691" width="11.44140625" style="1" customWidth="1"/>
    <col min="8692" max="8692" width="15" style="1" customWidth="1"/>
    <col min="8693" max="8693" width="14.5546875" style="1" customWidth="1"/>
    <col min="8694" max="8694" width="10.33203125" style="1"/>
    <col min="8695" max="8695" width="7.44140625" style="1" customWidth="1"/>
    <col min="8696" max="8696" width="12.88671875" style="1" customWidth="1"/>
    <col min="8697" max="8697" width="11.109375" style="1" customWidth="1"/>
    <col min="8698" max="8698" width="14" style="1" customWidth="1"/>
    <col min="8699" max="8699" width="33" style="1" customWidth="1"/>
    <col min="8700" max="8700" width="6.6640625" style="1" customWidth="1"/>
    <col min="8701" max="8701" width="19" style="1" customWidth="1"/>
    <col min="8702" max="8702" width="19.109375" style="1" customWidth="1"/>
    <col min="8703" max="8703" width="21.33203125" style="1" customWidth="1"/>
    <col min="8704" max="8704" width="32.5546875" style="1" customWidth="1"/>
    <col min="8705" max="8705" width="16.88671875" style="1" customWidth="1"/>
    <col min="8706" max="8706" width="16.33203125" style="1" customWidth="1"/>
    <col min="8707" max="8937" width="10.33203125" style="1"/>
    <col min="8938" max="8938" width="4.44140625" style="1" customWidth="1"/>
    <col min="8939" max="8939" width="21.6640625" style="1" customWidth="1"/>
    <col min="8940" max="8940" width="15" style="1" customWidth="1"/>
    <col min="8941" max="8941" width="15.44140625" style="1" customWidth="1"/>
    <col min="8942" max="8942" width="11.5546875" style="1" customWidth="1"/>
    <col min="8943" max="8943" width="7.44140625" style="1" customWidth="1"/>
    <col min="8944" max="8944" width="14.109375" style="1" customWidth="1"/>
    <col min="8945" max="8945" width="10.6640625" style="1" customWidth="1"/>
    <col min="8946" max="8946" width="13.44140625" style="1" customWidth="1"/>
    <col min="8947" max="8947" width="11.44140625" style="1" customWidth="1"/>
    <col min="8948" max="8948" width="15" style="1" customWidth="1"/>
    <col min="8949" max="8949" width="14.5546875" style="1" customWidth="1"/>
    <col min="8950" max="8950" width="10.33203125" style="1"/>
    <col min="8951" max="8951" width="7.44140625" style="1" customWidth="1"/>
    <col min="8952" max="8952" width="12.88671875" style="1" customWidth="1"/>
    <col min="8953" max="8953" width="11.109375" style="1" customWidth="1"/>
    <col min="8954" max="8954" width="14" style="1" customWidth="1"/>
    <col min="8955" max="8955" width="33" style="1" customWidth="1"/>
    <col min="8956" max="8956" width="6.6640625" style="1" customWidth="1"/>
    <col min="8957" max="8957" width="19" style="1" customWidth="1"/>
    <col min="8958" max="8958" width="19.109375" style="1" customWidth="1"/>
    <col min="8959" max="8959" width="21.33203125" style="1" customWidth="1"/>
    <col min="8960" max="8960" width="32.5546875" style="1" customWidth="1"/>
    <col min="8961" max="8961" width="16.88671875" style="1" customWidth="1"/>
    <col min="8962" max="8962" width="16.33203125" style="1" customWidth="1"/>
    <col min="8963" max="9193" width="10.33203125" style="1"/>
    <col min="9194" max="9194" width="4.44140625" style="1" customWidth="1"/>
    <col min="9195" max="9195" width="21.6640625" style="1" customWidth="1"/>
    <col min="9196" max="9196" width="15" style="1" customWidth="1"/>
    <col min="9197" max="9197" width="15.44140625" style="1" customWidth="1"/>
    <col min="9198" max="9198" width="11.5546875" style="1" customWidth="1"/>
    <col min="9199" max="9199" width="7.44140625" style="1" customWidth="1"/>
    <col min="9200" max="9200" width="14.109375" style="1" customWidth="1"/>
    <col min="9201" max="9201" width="10.6640625" style="1" customWidth="1"/>
    <col min="9202" max="9202" width="13.44140625" style="1" customWidth="1"/>
    <col min="9203" max="9203" width="11.44140625" style="1" customWidth="1"/>
    <col min="9204" max="9204" width="15" style="1" customWidth="1"/>
    <col min="9205" max="9205" width="14.5546875" style="1" customWidth="1"/>
    <col min="9206" max="9206" width="10.33203125" style="1"/>
    <col min="9207" max="9207" width="7.44140625" style="1" customWidth="1"/>
    <col min="9208" max="9208" width="12.88671875" style="1" customWidth="1"/>
    <col min="9209" max="9209" width="11.109375" style="1" customWidth="1"/>
    <col min="9210" max="9210" width="14" style="1" customWidth="1"/>
    <col min="9211" max="9211" width="33" style="1" customWidth="1"/>
    <col min="9212" max="9212" width="6.6640625" style="1" customWidth="1"/>
    <col min="9213" max="9213" width="19" style="1" customWidth="1"/>
    <col min="9214" max="9214" width="19.109375" style="1" customWidth="1"/>
    <col min="9215" max="9215" width="21.33203125" style="1" customWidth="1"/>
    <col min="9216" max="9216" width="32.5546875" style="1" customWidth="1"/>
    <col min="9217" max="9217" width="16.88671875" style="1" customWidth="1"/>
    <col min="9218" max="9218" width="16.33203125" style="1" customWidth="1"/>
    <col min="9219" max="9449" width="10.33203125" style="1"/>
    <col min="9450" max="9450" width="4.44140625" style="1" customWidth="1"/>
    <col min="9451" max="9451" width="21.6640625" style="1" customWidth="1"/>
    <col min="9452" max="9452" width="15" style="1" customWidth="1"/>
    <col min="9453" max="9453" width="15.44140625" style="1" customWidth="1"/>
    <col min="9454" max="9454" width="11.5546875" style="1" customWidth="1"/>
    <col min="9455" max="9455" width="7.44140625" style="1" customWidth="1"/>
    <col min="9456" max="9456" width="14.109375" style="1" customWidth="1"/>
    <col min="9457" max="9457" width="10.6640625" style="1" customWidth="1"/>
    <col min="9458" max="9458" width="13.44140625" style="1" customWidth="1"/>
    <col min="9459" max="9459" width="11.44140625" style="1" customWidth="1"/>
    <col min="9460" max="9460" width="15" style="1" customWidth="1"/>
    <col min="9461" max="9461" width="14.5546875" style="1" customWidth="1"/>
    <col min="9462" max="9462" width="10.33203125" style="1"/>
    <col min="9463" max="9463" width="7.44140625" style="1" customWidth="1"/>
    <col min="9464" max="9464" width="12.88671875" style="1" customWidth="1"/>
    <col min="9465" max="9465" width="11.109375" style="1" customWidth="1"/>
    <col min="9466" max="9466" width="14" style="1" customWidth="1"/>
    <col min="9467" max="9467" width="33" style="1" customWidth="1"/>
    <col min="9468" max="9468" width="6.6640625" style="1" customWidth="1"/>
    <col min="9469" max="9469" width="19" style="1" customWidth="1"/>
    <col min="9470" max="9470" width="19.109375" style="1" customWidth="1"/>
    <col min="9471" max="9471" width="21.33203125" style="1" customWidth="1"/>
    <col min="9472" max="9472" width="32.5546875" style="1" customWidth="1"/>
    <col min="9473" max="9473" width="16.88671875" style="1" customWidth="1"/>
    <col min="9474" max="9474" width="16.33203125" style="1" customWidth="1"/>
    <col min="9475" max="9705" width="10.33203125" style="1"/>
    <col min="9706" max="9706" width="4.44140625" style="1" customWidth="1"/>
    <col min="9707" max="9707" width="21.6640625" style="1" customWidth="1"/>
    <col min="9708" max="9708" width="15" style="1" customWidth="1"/>
    <col min="9709" max="9709" width="15.44140625" style="1" customWidth="1"/>
    <col min="9710" max="9710" width="11.5546875" style="1" customWidth="1"/>
    <col min="9711" max="9711" width="7.44140625" style="1" customWidth="1"/>
    <col min="9712" max="9712" width="14.109375" style="1" customWidth="1"/>
    <col min="9713" max="9713" width="10.6640625" style="1" customWidth="1"/>
    <col min="9714" max="9714" width="13.44140625" style="1" customWidth="1"/>
    <col min="9715" max="9715" width="11.44140625" style="1" customWidth="1"/>
    <col min="9716" max="9716" width="15" style="1" customWidth="1"/>
    <col min="9717" max="9717" width="14.5546875" style="1" customWidth="1"/>
    <col min="9718" max="9718" width="10.33203125" style="1"/>
    <col min="9719" max="9719" width="7.44140625" style="1" customWidth="1"/>
    <col min="9720" max="9720" width="12.88671875" style="1" customWidth="1"/>
    <col min="9721" max="9721" width="11.109375" style="1" customWidth="1"/>
    <col min="9722" max="9722" width="14" style="1" customWidth="1"/>
    <col min="9723" max="9723" width="33" style="1" customWidth="1"/>
    <col min="9724" max="9724" width="6.6640625" style="1" customWidth="1"/>
    <col min="9725" max="9725" width="19" style="1" customWidth="1"/>
    <col min="9726" max="9726" width="19.109375" style="1" customWidth="1"/>
    <col min="9727" max="9727" width="21.33203125" style="1" customWidth="1"/>
    <col min="9728" max="9728" width="32.5546875" style="1" customWidth="1"/>
    <col min="9729" max="9729" width="16.88671875" style="1" customWidth="1"/>
    <col min="9730" max="9730" width="16.33203125" style="1" customWidth="1"/>
    <col min="9731" max="9961" width="10.33203125" style="1"/>
    <col min="9962" max="9962" width="4.44140625" style="1" customWidth="1"/>
    <col min="9963" max="9963" width="21.6640625" style="1" customWidth="1"/>
    <col min="9964" max="9964" width="15" style="1" customWidth="1"/>
    <col min="9965" max="9965" width="15.44140625" style="1" customWidth="1"/>
    <col min="9966" max="9966" width="11.5546875" style="1" customWidth="1"/>
    <col min="9967" max="9967" width="7.44140625" style="1" customWidth="1"/>
    <col min="9968" max="9968" width="14.109375" style="1" customWidth="1"/>
    <col min="9969" max="9969" width="10.6640625" style="1" customWidth="1"/>
    <col min="9970" max="9970" width="13.44140625" style="1" customWidth="1"/>
    <col min="9971" max="9971" width="11.44140625" style="1" customWidth="1"/>
    <col min="9972" max="9972" width="15" style="1" customWidth="1"/>
    <col min="9973" max="9973" width="14.5546875" style="1" customWidth="1"/>
    <col min="9974" max="9974" width="10.33203125" style="1"/>
    <col min="9975" max="9975" width="7.44140625" style="1" customWidth="1"/>
    <col min="9976" max="9976" width="12.88671875" style="1" customWidth="1"/>
    <col min="9977" max="9977" width="11.109375" style="1" customWidth="1"/>
    <col min="9978" max="9978" width="14" style="1" customWidth="1"/>
    <col min="9979" max="9979" width="33" style="1" customWidth="1"/>
    <col min="9980" max="9980" width="6.6640625" style="1" customWidth="1"/>
    <col min="9981" max="9981" width="19" style="1" customWidth="1"/>
    <col min="9982" max="9982" width="19.109375" style="1" customWidth="1"/>
    <col min="9983" max="9983" width="21.33203125" style="1" customWidth="1"/>
    <col min="9984" max="9984" width="32.5546875" style="1" customWidth="1"/>
    <col min="9985" max="9985" width="16.88671875" style="1" customWidth="1"/>
    <col min="9986" max="9986" width="16.33203125" style="1" customWidth="1"/>
    <col min="9987" max="10217" width="10.33203125" style="1"/>
    <col min="10218" max="10218" width="4.44140625" style="1" customWidth="1"/>
    <col min="10219" max="10219" width="21.6640625" style="1" customWidth="1"/>
    <col min="10220" max="10220" width="15" style="1" customWidth="1"/>
    <col min="10221" max="10221" width="15.44140625" style="1" customWidth="1"/>
    <col min="10222" max="10222" width="11.5546875" style="1" customWidth="1"/>
    <col min="10223" max="10223" width="7.44140625" style="1" customWidth="1"/>
    <col min="10224" max="10224" width="14.109375" style="1" customWidth="1"/>
    <col min="10225" max="10225" width="10.6640625" style="1" customWidth="1"/>
    <col min="10226" max="10226" width="13.44140625" style="1" customWidth="1"/>
    <col min="10227" max="10227" width="11.44140625" style="1" customWidth="1"/>
    <col min="10228" max="10228" width="15" style="1" customWidth="1"/>
    <col min="10229" max="10229" width="14.5546875" style="1" customWidth="1"/>
    <col min="10230" max="10230" width="10.33203125" style="1"/>
    <col min="10231" max="10231" width="7.44140625" style="1" customWidth="1"/>
    <col min="10232" max="10232" width="12.88671875" style="1" customWidth="1"/>
    <col min="10233" max="10233" width="11.109375" style="1" customWidth="1"/>
    <col min="10234" max="10234" width="14" style="1" customWidth="1"/>
    <col min="10235" max="10235" width="33" style="1" customWidth="1"/>
    <col min="10236" max="10236" width="6.6640625" style="1" customWidth="1"/>
    <col min="10237" max="10237" width="19" style="1" customWidth="1"/>
    <col min="10238" max="10238" width="19.109375" style="1" customWidth="1"/>
    <col min="10239" max="10239" width="21.33203125" style="1" customWidth="1"/>
    <col min="10240" max="10240" width="32.5546875" style="1" customWidth="1"/>
    <col min="10241" max="10241" width="16.88671875" style="1" customWidth="1"/>
    <col min="10242" max="10242" width="16.33203125" style="1" customWidth="1"/>
    <col min="10243" max="10473" width="10.33203125" style="1"/>
    <col min="10474" max="10474" width="4.44140625" style="1" customWidth="1"/>
    <col min="10475" max="10475" width="21.6640625" style="1" customWidth="1"/>
    <col min="10476" max="10476" width="15" style="1" customWidth="1"/>
    <col min="10477" max="10477" width="15.44140625" style="1" customWidth="1"/>
    <col min="10478" max="10478" width="11.5546875" style="1" customWidth="1"/>
    <col min="10479" max="10479" width="7.44140625" style="1" customWidth="1"/>
    <col min="10480" max="10480" width="14.109375" style="1" customWidth="1"/>
    <col min="10481" max="10481" width="10.6640625" style="1" customWidth="1"/>
    <col min="10482" max="10482" width="13.44140625" style="1" customWidth="1"/>
    <col min="10483" max="10483" width="11.44140625" style="1" customWidth="1"/>
    <col min="10484" max="10484" width="15" style="1" customWidth="1"/>
    <col min="10485" max="10485" width="14.5546875" style="1" customWidth="1"/>
    <col min="10486" max="10486" width="10.33203125" style="1"/>
    <col min="10487" max="10487" width="7.44140625" style="1" customWidth="1"/>
    <col min="10488" max="10488" width="12.88671875" style="1" customWidth="1"/>
    <col min="10489" max="10489" width="11.109375" style="1" customWidth="1"/>
    <col min="10490" max="10490" width="14" style="1" customWidth="1"/>
    <col min="10491" max="10491" width="33" style="1" customWidth="1"/>
    <col min="10492" max="10492" width="6.6640625" style="1" customWidth="1"/>
    <col min="10493" max="10493" width="19" style="1" customWidth="1"/>
    <col min="10494" max="10494" width="19.109375" style="1" customWidth="1"/>
    <col min="10495" max="10495" width="21.33203125" style="1" customWidth="1"/>
    <col min="10496" max="10496" width="32.5546875" style="1" customWidth="1"/>
    <col min="10497" max="10497" width="16.88671875" style="1" customWidth="1"/>
    <col min="10498" max="10498" width="16.33203125" style="1" customWidth="1"/>
    <col min="10499" max="10729" width="10.33203125" style="1"/>
    <col min="10730" max="10730" width="4.44140625" style="1" customWidth="1"/>
    <col min="10731" max="10731" width="21.6640625" style="1" customWidth="1"/>
    <col min="10732" max="10732" width="15" style="1" customWidth="1"/>
    <col min="10733" max="10733" width="15.44140625" style="1" customWidth="1"/>
    <col min="10734" max="10734" width="11.5546875" style="1" customWidth="1"/>
    <col min="10735" max="10735" width="7.44140625" style="1" customWidth="1"/>
    <col min="10736" max="10736" width="14.109375" style="1" customWidth="1"/>
    <col min="10737" max="10737" width="10.6640625" style="1" customWidth="1"/>
    <col min="10738" max="10738" width="13.44140625" style="1" customWidth="1"/>
    <col min="10739" max="10739" width="11.44140625" style="1" customWidth="1"/>
    <col min="10740" max="10740" width="15" style="1" customWidth="1"/>
    <col min="10741" max="10741" width="14.5546875" style="1" customWidth="1"/>
    <col min="10742" max="10742" width="10.33203125" style="1"/>
    <col min="10743" max="10743" width="7.44140625" style="1" customWidth="1"/>
    <col min="10744" max="10744" width="12.88671875" style="1" customWidth="1"/>
    <col min="10745" max="10745" width="11.109375" style="1" customWidth="1"/>
    <col min="10746" max="10746" width="14" style="1" customWidth="1"/>
    <col min="10747" max="10747" width="33" style="1" customWidth="1"/>
    <col min="10748" max="10748" width="6.6640625" style="1" customWidth="1"/>
    <col min="10749" max="10749" width="19" style="1" customWidth="1"/>
    <col min="10750" max="10750" width="19.109375" style="1" customWidth="1"/>
    <col min="10751" max="10751" width="21.33203125" style="1" customWidth="1"/>
    <col min="10752" max="10752" width="32.5546875" style="1" customWidth="1"/>
    <col min="10753" max="10753" width="16.88671875" style="1" customWidth="1"/>
    <col min="10754" max="10754" width="16.33203125" style="1" customWidth="1"/>
    <col min="10755" max="10985" width="10.33203125" style="1"/>
    <col min="10986" max="10986" width="4.44140625" style="1" customWidth="1"/>
    <col min="10987" max="10987" width="21.6640625" style="1" customWidth="1"/>
    <col min="10988" max="10988" width="15" style="1" customWidth="1"/>
    <col min="10989" max="10989" width="15.44140625" style="1" customWidth="1"/>
    <col min="10990" max="10990" width="11.5546875" style="1" customWidth="1"/>
    <col min="10991" max="10991" width="7.44140625" style="1" customWidth="1"/>
    <col min="10992" max="10992" width="14.109375" style="1" customWidth="1"/>
    <col min="10993" max="10993" width="10.6640625" style="1" customWidth="1"/>
    <col min="10994" max="10994" width="13.44140625" style="1" customWidth="1"/>
    <col min="10995" max="10995" width="11.44140625" style="1" customWidth="1"/>
    <col min="10996" max="10996" width="15" style="1" customWidth="1"/>
    <col min="10997" max="10997" width="14.5546875" style="1" customWidth="1"/>
    <col min="10998" max="10998" width="10.33203125" style="1"/>
    <col min="10999" max="10999" width="7.44140625" style="1" customWidth="1"/>
    <col min="11000" max="11000" width="12.88671875" style="1" customWidth="1"/>
    <col min="11001" max="11001" width="11.109375" style="1" customWidth="1"/>
    <col min="11002" max="11002" width="14" style="1" customWidth="1"/>
    <col min="11003" max="11003" width="33" style="1" customWidth="1"/>
    <col min="11004" max="11004" width="6.6640625" style="1" customWidth="1"/>
    <col min="11005" max="11005" width="19" style="1" customWidth="1"/>
    <col min="11006" max="11006" width="19.109375" style="1" customWidth="1"/>
    <col min="11007" max="11007" width="21.33203125" style="1" customWidth="1"/>
    <col min="11008" max="11008" width="32.5546875" style="1" customWidth="1"/>
    <col min="11009" max="11009" width="16.88671875" style="1" customWidth="1"/>
    <col min="11010" max="11010" width="16.33203125" style="1" customWidth="1"/>
    <col min="11011" max="11241" width="10.33203125" style="1"/>
    <col min="11242" max="11242" width="4.44140625" style="1" customWidth="1"/>
    <col min="11243" max="11243" width="21.6640625" style="1" customWidth="1"/>
    <col min="11244" max="11244" width="15" style="1" customWidth="1"/>
    <col min="11245" max="11245" width="15.44140625" style="1" customWidth="1"/>
    <col min="11246" max="11246" width="11.5546875" style="1" customWidth="1"/>
    <col min="11247" max="11247" width="7.44140625" style="1" customWidth="1"/>
    <col min="11248" max="11248" width="14.109375" style="1" customWidth="1"/>
    <col min="11249" max="11249" width="10.6640625" style="1" customWidth="1"/>
    <col min="11250" max="11250" width="13.44140625" style="1" customWidth="1"/>
    <col min="11251" max="11251" width="11.44140625" style="1" customWidth="1"/>
    <col min="11252" max="11252" width="15" style="1" customWidth="1"/>
    <col min="11253" max="11253" width="14.5546875" style="1" customWidth="1"/>
    <col min="11254" max="11254" width="10.33203125" style="1"/>
    <col min="11255" max="11255" width="7.44140625" style="1" customWidth="1"/>
    <col min="11256" max="11256" width="12.88671875" style="1" customWidth="1"/>
    <col min="11257" max="11257" width="11.109375" style="1" customWidth="1"/>
    <col min="11258" max="11258" width="14" style="1" customWidth="1"/>
    <col min="11259" max="11259" width="33" style="1" customWidth="1"/>
    <col min="11260" max="11260" width="6.6640625" style="1" customWidth="1"/>
    <col min="11261" max="11261" width="19" style="1" customWidth="1"/>
    <col min="11262" max="11262" width="19.109375" style="1" customWidth="1"/>
    <col min="11263" max="11263" width="21.33203125" style="1" customWidth="1"/>
    <col min="11264" max="11264" width="32.5546875" style="1" customWidth="1"/>
    <col min="11265" max="11265" width="16.88671875" style="1" customWidth="1"/>
    <col min="11266" max="11266" width="16.33203125" style="1" customWidth="1"/>
    <col min="11267" max="11497" width="10.33203125" style="1"/>
    <col min="11498" max="11498" width="4.44140625" style="1" customWidth="1"/>
    <col min="11499" max="11499" width="21.6640625" style="1" customWidth="1"/>
    <col min="11500" max="11500" width="15" style="1" customWidth="1"/>
    <col min="11501" max="11501" width="15.44140625" style="1" customWidth="1"/>
    <col min="11502" max="11502" width="11.5546875" style="1" customWidth="1"/>
    <col min="11503" max="11503" width="7.44140625" style="1" customWidth="1"/>
    <col min="11504" max="11504" width="14.109375" style="1" customWidth="1"/>
    <col min="11505" max="11505" width="10.6640625" style="1" customWidth="1"/>
    <col min="11506" max="11506" width="13.44140625" style="1" customWidth="1"/>
    <col min="11507" max="11507" width="11.44140625" style="1" customWidth="1"/>
    <col min="11508" max="11508" width="15" style="1" customWidth="1"/>
    <col min="11509" max="11509" width="14.5546875" style="1" customWidth="1"/>
    <col min="11510" max="11510" width="10.33203125" style="1"/>
    <col min="11511" max="11511" width="7.44140625" style="1" customWidth="1"/>
    <col min="11512" max="11512" width="12.88671875" style="1" customWidth="1"/>
    <col min="11513" max="11513" width="11.109375" style="1" customWidth="1"/>
    <col min="11514" max="11514" width="14" style="1" customWidth="1"/>
    <col min="11515" max="11515" width="33" style="1" customWidth="1"/>
    <col min="11516" max="11516" width="6.6640625" style="1" customWidth="1"/>
    <col min="11517" max="11517" width="19" style="1" customWidth="1"/>
    <col min="11518" max="11518" width="19.109375" style="1" customWidth="1"/>
    <col min="11519" max="11519" width="21.33203125" style="1" customWidth="1"/>
    <col min="11520" max="11520" width="32.5546875" style="1" customWidth="1"/>
    <col min="11521" max="11521" width="16.88671875" style="1" customWidth="1"/>
    <col min="11522" max="11522" width="16.33203125" style="1" customWidth="1"/>
    <col min="11523" max="11753" width="10.33203125" style="1"/>
    <col min="11754" max="11754" width="4.44140625" style="1" customWidth="1"/>
    <col min="11755" max="11755" width="21.6640625" style="1" customWidth="1"/>
    <col min="11756" max="11756" width="15" style="1" customWidth="1"/>
    <col min="11757" max="11757" width="15.44140625" style="1" customWidth="1"/>
    <col min="11758" max="11758" width="11.5546875" style="1" customWidth="1"/>
    <col min="11759" max="11759" width="7.44140625" style="1" customWidth="1"/>
    <col min="11760" max="11760" width="14.109375" style="1" customWidth="1"/>
    <col min="11761" max="11761" width="10.6640625" style="1" customWidth="1"/>
    <col min="11762" max="11762" width="13.44140625" style="1" customWidth="1"/>
    <col min="11763" max="11763" width="11.44140625" style="1" customWidth="1"/>
    <col min="11764" max="11764" width="15" style="1" customWidth="1"/>
    <col min="11765" max="11765" width="14.5546875" style="1" customWidth="1"/>
    <col min="11766" max="11766" width="10.33203125" style="1"/>
    <col min="11767" max="11767" width="7.44140625" style="1" customWidth="1"/>
    <col min="11768" max="11768" width="12.88671875" style="1" customWidth="1"/>
    <col min="11769" max="11769" width="11.109375" style="1" customWidth="1"/>
    <col min="11770" max="11770" width="14" style="1" customWidth="1"/>
    <col min="11771" max="11771" width="33" style="1" customWidth="1"/>
    <col min="11772" max="11772" width="6.6640625" style="1" customWidth="1"/>
    <col min="11773" max="11773" width="19" style="1" customWidth="1"/>
    <col min="11774" max="11774" width="19.109375" style="1" customWidth="1"/>
    <col min="11775" max="11775" width="21.33203125" style="1" customWidth="1"/>
    <col min="11776" max="11776" width="32.5546875" style="1" customWidth="1"/>
    <col min="11777" max="11777" width="16.88671875" style="1" customWidth="1"/>
    <col min="11778" max="11778" width="16.33203125" style="1" customWidth="1"/>
    <col min="11779" max="12009" width="10.33203125" style="1"/>
    <col min="12010" max="12010" width="4.44140625" style="1" customWidth="1"/>
    <col min="12011" max="12011" width="21.6640625" style="1" customWidth="1"/>
    <col min="12012" max="12012" width="15" style="1" customWidth="1"/>
    <col min="12013" max="12013" width="15.44140625" style="1" customWidth="1"/>
    <col min="12014" max="12014" width="11.5546875" style="1" customWidth="1"/>
    <col min="12015" max="12015" width="7.44140625" style="1" customWidth="1"/>
    <col min="12016" max="12016" width="14.109375" style="1" customWidth="1"/>
    <col min="12017" max="12017" width="10.6640625" style="1" customWidth="1"/>
    <col min="12018" max="12018" width="13.44140625" style="1" customWidth="1"/>
    <col min="12019" max="12019" width="11.44140625" style="1" customWidth="1"/>
    <col min="12020" max="12020" width="15" style="1" customWidth="1"/>
    <col min="12021" max="12021" width="14.5546875" style="1" customWidth="1"/>
    <col min="12022" max="12022" width="10.33203125" style="1"/>
    <col min="12023" max="12023" width="7.44140625" style="1" customWidth="1"/>
    <col min="12024" max="12024" width="12.88671875" style="1" customWidth="1"/>
    <col min="12025" max="12025" width="11.109375" style="1" customWidth="1"/>
    <col min="12026" max="12026" width="14" style="1" customWidth="1"/>
    <col min="12027" max="12027" width="33" style="1" customWidth="1"/>
    <col min="12028" max="12028" width="6.6640625" style="1" customWidth="1"/>
    <col min="12029" max="12029" width="19" style="1" customWidth="1"/>
    <col min="12030" max="12030" width="19.109375" style="1" customWidth="1"/>
    <col min="12031" max="12031" width="21.33203125" style="1" customWidth="1"/>
    <col min="12032" max="12032" width="32.5546875" style="1" customWidth="1"/>
    <col min="12033" max="12033" width="16.88671875" style="1" customWidth="1"/>
    <col min="12034" max="12034" width="16.33203125" style="1" customWidth="1"/>
    <col min="12035" max="12265" width="10.33203125" style="1"/>
    <col min="12266" max="12266" width="4.44140625" style="1" customWidth="1"/>
    <col min="12267" max="12267" width="21.6640625" style="1" customWidth="1"/>
    <col min="12268" max="12268" width="15" style="1" customWidth="1"/>
    <col min="12269" max="12269" width="15.44140625" style="1" customWidth="1"/>
    <col min="12270" max="12270" width="11.5546875" style="1" customWidth="1"/>
    <col min="12271" max="12271" width="7.44140625" style="1" customWidth="1"/>
    <col min="12272" max="12272" width="14.109375" style="1" customWidth="1"/>
    <col min="12273" max="12273" width="10.6640625" style="1" customWidth="1"/>
    <col min="12274" max="12274" width="13.44140625" style="1" customWidth="1"/>
    <col min="12275" max="12275" width="11.44140625" style="1" customWidth="1"/>
    <col min="12276" max="12276" width="15" style="1" customWidth="1"/>
    <col min="12277" max="12277" width="14.5546875" style="1" customWidth="1"/>
    <col min="12278" max="12278" width="10.33203125" style="1"/>
    <col min="12279" max="12279" width="7.44140625" style="1" customWidth="1"/>
    <col min="12280" max="12280" width="12.88671875" style="1" customWidth="1"/>
    <col min="12281" max="12281" width="11.109375" style="1" customWidth="1"/>
    <col min="12282" max="12282" width="14" style="1" customWidth="1"/>
    <col min="12283" max="12283" width="33" style="1" customWidth="1"/>
    <col min="12284" max="12284" width="6.6640625" style="1" customWidth="1"/>
    <col min="12285" max="12285" width="19" style="1" customWidth="1"/>
    <col min="12286" max="12286" width="19.109375" style="1" customWidth="1"/>
    <col min="12287" max="12287" width="21.33203125" style="1" customWidth="1"/>
    <col min="12288" max="12288" width="32.5546875" style="1" customWidth="1"/>
    <col min="12289" max="12289" width="16.88671875" style="1" customWidth="1"/>
    <col min="12290" max="12290" width="16.33203125" style="1" customWidth="1"/>
    <col min="12291" max="12521" width="10.33203125" style="1"/>
    <col min="12522" max="12522" width="4.44140625" style="1" customWidth="1"/>
    <col min="12523" max="12523" width="21.6640625" style="1" customWidth="1"/>
    <col min="12524" max="12524" width="15" style="1" customWidth="1"/>
    <col min="12525" max="12525" width="15.44140625" style="1" customWidth="1"/>
    <col min="12526" max="12526" width="11.5546875" style="1" customWidth="1"/>
    <col min="12527" max="12527" width="7.44140625" style="1" customWidth="1"/>
    <col min="12528" max="12528" width="14.109375" style="1" customWidth="1"/>
    <col min="12529" max="12529" width="10.6640625" style="1" customWidth="1"/>
    <col min="12530" max="12530" width="13.44140625" style="1" customWidth="1"/>
    <col min="12531" max="12531" width="11.44140625" style="1" customWidth="1"/>
    <col min="12532" max="12532" width="15" style="1" customWidth="1"/>
    <col min="12533" max="12533" width="14.5546875" style="1" customWidth="1"/>
    <col min="12534" max="12534" width="10.33203125" style="1"/>
    <col min="12535" max="12535" width="7.44140625" style="1" customWidth="1"/>
    <col min="12536" max="12536" width="12.88671875" style="1" customWidth="1"/>
    <col min="12537" max="12537" width="11.109375" style="1" customWidth="1"/>
    <col min="12538" max="12538" width="14" style="1" customWidth="1"/>
    <col min="12539" max="12539" width="33" style="1" customWidth="1"/>
    <col min="12540" max="12540" width="6.6640625" style="1" customWidth="1"/>
    <col min="12541" max="12541" width="19" style="1" customWidth="1"/>
    <col min="12542" max="12542" width="19.109375" style="1" customWidth="1"/>
    <col min="12543" max="12543" width="21.33203125" style="1" customWidth="1"/>
    <col min="12544" max="12544" width="32.5546875" style="1" customWidth="1"/>
    <col min="12545" max="12545" width="16.88671875" style="1" customWidth="1"/>
    <col min="12546" max="12546" width="16.33203125" style="1" customWidth="1"/>
    <col min="12547" max="12777" width="10.33203125" style="1"/>
    <col min="12778" max="12778" width="4.44140625" style="1" customWidth="1"/>
    <col min="12779" max="12779" width="21.6640625" style="1" customWidth="1"/>
    <col min="12780" max="12780" width="15" style="1" customWidth="1"/>
    <col min="12781" max="12781" width="15.44140625" style="1" customWidth="1"/>
    <col min="12782" max="12782" width="11.5546875" style="1" customWidth="1"/>
    <col min="12783" max="12783" width="7.44140625" style="1" customWidth="1"/>
    <col min="12784" max="12784" width="14.109375" style="1" customWidth="1"/>
    <col min="12785" max="12785" width="10.6640625" style="1" customWidth="1"/>
    <col min="12786" max="12786" width="13.44140625" style="1" customWidth="1"/>
    <col min="12787" max="12787" width="11.44140625" style="1" customWidth="1"/>
    <col min="12788" max="12788" width="15" style="1" customWidth="1"/>
    <col min="12789" max="12789" width="14.5546875" style="1" customWidth="1"/>
    <col min="12790" max="12790" width="10.33203125" style="1"/>
    <col min="12791" max="12791" width="7.44140625" style="1" customWidth="1"/>
    <col min="12792" max="12792" width="12.88671875" style="1" customWidth="1"/>
    <col min="12793" max="12793" width="11.109375" style="1" customWidth="1"/>
    <col min="12794" max="12794" width="14" style="1" customWidth="1"/>
    <col min="12795" max="12795" width="33" style="1" customWidth="1"/>
    <col min="12796" max="12796" width="6.6640625" style="1" customWidth="1"/>
    <col min="12797" max="12797" width="19" style="1" customWidth="1"/>
    <col min="12798" max="12798" width="19.109375" style="1" customWidth="1"/>
    <col min="12799" max="12799" width="21.33203125" style="1" customWidth="1"/>
    <col min="12800" max="12800" width="32.5546875" style="1" customWidth="1"/>
    <col min="12801" max="12801" width="16.88671875" style="1" customWidth="1"/>
    <col min="12802" max="12802" width="16.33203125" style="1" customWidth="1"/>
    <col min="12803" max="13033" width="10.33203125" style="1"/>
    <col min="13034" max="13034" width="4.44140625" style="1" customWidth="1"/>
    <col min="13035" max="13035" width="21.6640625" style="1" customWidth="1"/>
    <col min="13036" max="13036" width="15" style="1" customWidth="1"/>
    <col min="13037" max="13037" width="15.44140625" style="1" customWidth="1"/>
    <col min="13038" max="13038" width="11.5546875" style="1" customWidth="1"/>
    <col min="13039" max="13039" width="7.44140625" style="1" customWidth="1"/>
    <col min="13040" max="13040" width="14.109375" style="1" customWidth="1"/>
    <col min="13041" max="13041" width="10.6640625" style="1" customWidth="1"/>
    <col min="13042" max="13042" width="13.44140625" style="1" customWidth="1"/>
    <col min="13043" max="13043" width="11.44140625" style="1" customWidth="1"/>
    <col min="13044" max="13044" width="15" style="1" customWidth="1"/>
    <col min="13045" max="13045" width="14.5546875" style="1" customWidth="1"/>
    <col min="13046" max="13046" width="10.33203125" style="1"/>
    <col min="13047" max="13047" width="7.44140625" style="1" customWidth="1"/>
    <col min="13048" max="13048" width="12.88671875" style="1" customWidth="1"/>
    <col min="13049" max="13049" width="11.109375" style="1" customWidth="1"/>
    <col min="13050" max="13050" width="14" style="1" customWidth="1"/>
    <col min="13051" max="13051" width="33" style="1" customWidth="1"/>
    <col min="13052" max="13052" width="6.6640625" style="1" customWidth="1"/>
    <col min="13053" max="13053" width="19" style="1" customWidth="1"/>
    <col min="13054" max="13054" width="19.109375" style="1" customWidth="1"/>
    <col min="13055" max="13055" width="21.33203125" style="1" customWidth="1"/>
    <col min="13056" max="13056" width="32.5546875" style="1" customWidth="1"/>
    <col min="13057" max="13057" width="16.88671875" style="1" customWidth="1"/>
    <col min="13058" max="13058" width="16.33203125" style="1" customWidth="1"/>
    <col min="13059" max="13289" width="10.33203125" style="1"/>
    <col min="13290" max="13290" width="4.44140625" style="1" customWidth="1"/>
    <col min="13291" max="13291" width="21.6640625" style="1" customWidth="1"/>
    <col min="13292" max="13292" width="15" style="1" customWidth="1"/>
    <col min="13293" max="13293" width="15.44140625" style="1" customWidth="1"/>
    <col min="13294" max="13294" width="11.5546875" style="1" customWidth="1"/>
    <col min="13295" max="13295" width="7.44140625" style="1" customWidth="1"/>
    <col min="13296" max="13296" width="14.109375" style="1" customWidth="1"/>
    <col min="13297" max="13297" width="10.6640625" style="1" customWidth="1"/>
    <col min="13298" max="13298" width="13.44140625" style="1" customWidth="1"/>
    <col min="13299" max="13299" width="11.44140625" style="1" customWidth="1"/>
    <col min="13300" max="13300" width="15" style="1" customWidth="1"/>
    <col min="13301" max="13301" width="14.5546875" style="1" customWidth="1"/>
    <col min="13302" max="13302" width="10.33203125" style="1"/>
    <col min="13303" max="13303" width="7.44140625" style="1" customWidth="1"/>
    <col min="13304" max="13304" width="12.88671875" style="1" customWidth="1"/>
    <col min="13305" max="13305" width="11.109375" style="1" customWidth="1"/>
    <col min="13306" max="13306" width="14" style="1" customWidth="1"/>
    <col min="13307" max="13307" width="33" style="1" customWidth="1"/>
    <col min="13308" max="13308" width="6.6640625" style="1" customWidth="1"/>
    <col min="13309" max="13309" width="19" style="1" customWidth="1"/>
    <col min="13310" max="13310" width="19.109375" style="1" customWidth="1"/>
    <col min="13311" max="13311" width="21.33203125" style="1" customWidth="1"/>
    <col min="13312" max="13312" width="32.5546875" style="1" customWidth="1"/>
    <col min="13313" max="13313" width="16.88671875" style="1" customWidth="1"/>
    <col min="13314" max="13314" width="16.33203125" style="1" customWidth="1"/>
    <col min="13315" max="13545" width="10.33203125" style="1"/>
    <col min="13546" max="13546" width="4.44140625" style="1" customWidth="1"/>
    <col min="13547" max="13547" width="21.6640625" style="1" customWidth="1"/>
    <col min="13548" max="13548" width="15" style="1" customWidth="1"/>
    <col min="13549" max="13549" width="15.44140625" style="1" customWidth="1"/>
    <col min="13550" max="13550" width="11.5546875" style="1" customWidth="1"/>
    <col min="13551" max="13551" width="7.44140625" style="1" customWidth="1"/>
    <col min="13552" max="13552" width="14.109375" style="1" customWidth="1"/>
    <col min="13553" max="13553" width="10.6640625" style="1" customWidth="1"/>
    <col min="13554" max="13554" width="13.44140625" style="1" customWidth="1"/>
    <col min="13555" max="13555" width="11.44140625" style="1" customWidth="1"/>
    <col min="13556" max="13556" width="15" style="1" customWidth="1"/>
    <col min="13557" max="13557" width="14.5546875" style="1" customWidth="1"/>
    <col min="13558" max="13558" width="10.33203125" style="1"/>
    <col min="13559" max="13559" width="7.44140625" style="1" customWidth="1"/>
    <col min="13560" max="13560" width="12.88671875" style="1" customWidth="1"/>
    <col min="13561" max="13561" width="11.109375" style="1" customWidth="1"/>
    <col min="13562" max="13562" width="14" style="1" customWidth="1"/>
    <col min="13563" max="13563" width="33" style="1" customWidth="1"/>
    <col min="13564" max="13564" width="6.6640625" style="1" customWidth="1"/>
    <col min="13565" max="13565" width="19" style="1" customWidth="1"/>
    <col min="13566" max="13566" width="19.109375" style="1" customWidth="1"/>
    <col min="13567" max="13567" width="21.33203125" style="1" customWidth="1"/>
    <col min="13568" max="13568" width="32.5546875" style="1" customWidth="1"/>
    <col min="13569" max="13569" width="16.88671875" style="1" customWidth="1"/>
    <col min="13570" max="13570" width="16.33203125" style="1" customWidth="1"/>
    <col min="13571" max="13801" width="10.33203125" style="1"/>
    <col min="13802" max="13802" width="4.44140625" style="1" customWidth="1"/>
    <col min="13803" max="13803" width="21.6640625" style="1" customWidth="1"/>
    <col min="13804" max="13804" width="15" style="1" customWidth="1"/>
    <col min="13805" max="13805" width="15.44140625" style="1" customWidth="1"/>
    <col min="13806" max="13806" width="11.5546875" style="1" customWidth="1"/>
    <col min="13807" max="13807" width="7.44140625" style="1" customWidth="1"/>
    <col min="13808" max="13808" width="14.109375" style="1" customWidth="1"/>
    <col min="13809" max="13809" width="10.6640625" style="1" customWidth="1"/>
    <col min="13810" max="13810" width="13.44140625" style="1" customWidth="1"/>
    <col min="13811" max="13811" width="11.44140625" style="1" customWidth="1"/>
    <col min="13812" max="13812" width="15" style="1" customWidth="1"/>
    <col min="13813" max="13813" width="14.5546875" style="1" customWidth="1"/>
    <col min="13814" max="13814" width="10.33203125" style="1"/>
    <col min="13815" max="13815" width="7.44140625" style="1" customWidth="1"/>
    <col min="13816" max="13816" width="12.88671875" style="1" customWidth="1"/>
    <col min="13817" max="13817" width="11.109375" style="1" customWidth="1"/>
    <col min="13818" max="13818" width="14" style="1" customWidth="1"/>
    <col min="13819" max="13819" width="33" style="1" customWidth="1"/>
    <col min="13820" max="13820" width="6.6640625" style="1" customWidth="1"/>
    <col min="13821" max="13821" width="19" style="1" customWidth="1"/>
    <col min="13822" max="13822" width="19.109375" style="1" customWidth="1"/>
    <col min="13823" max="13823" width="21.33203125" style="1" customWidth="1"/>
    <col min="13824" max="13824" width="32.5546875" style="1" customWidth="1"/>
    <col min="13825" max="13825" width="16.88671875" style="1" customWidth="1"/>
    <col min="13826" max="13826" width="16.33203125" style="1" customWidth="1"/>
    <col min="13827" max="14057" width="10.33203125" style="1"/>
    <col min="14058" max="14058" width="4.44140625" style="1" customWidth="1"/>
    <col min="14059" max="14059" width="21.6640625" style="1" customWidth="1"/>
    <col min="14060" max="14060" width="15" style="1" customWidth="1"/>
    <col min="14061" max="14061" width="15.44140625" style="1" customWidth="1"/>
    <col min="14062" max="14062" width="11.5546875" style="1" customWidth="1"/>
    <col min="14063" max="14063" width="7.44140625" style="1" customWidth="1"/>
    <col min="14064" max="14064" width="14.109375" style="1" customWidth="1"/>
    <col min="14065" max="14065" width="10.6640625" style="1" customWidth="1"/>
    <col min="14066" max="14066" width="13.44140625" style="1" customWidth="1"/>
    <col min="14067" max="14067" width="11.44140625" style="1" customWidth="1"/>
    <col min="14068" max="14068" width="15" style="1" customWidth="1"/>
    <col min="14069" max="14069" width="14.5546875" style="1" customWidth="1"/>
    <col min="14070" max="14070" width="10.33203125" style="1"/>
    <col min="14071" max="14071" width="7.44140625" style="1" customWidth="1"/>
    <col min="14072" max="14072" width="12.88671875" style="1" customWidth="1"/>
    <col min="14073" max="14073" width="11.109375" style="1" customWidth="1"/>
    <col min="14074" max="14074" width="14" style="1" customWidth="1"/>
    <col min="14075" max="14075" width="33" style="1" customWidth="1"/>
    <col min="14076" max="14076" width="6.6640625" style="1" customWidth="1"/>
    <col min="14077" max="14077" width="19" style="1" customWidth="1"/>
    <col min="14078" max="14078" width="19.109375" style="1" customWidth="1"/>
    <col min="14079" max="14079" width="21.33203125" style="1" customWidth="1"/>
    <col min="14080" max="14080" width="32.5546875" style="1" customWidth="1"/>
    <col min="14081" max="14081" width="16.88671875" style="1" customWidth="1"/>
    <col min="14082" max="14082" width="16.33203125" style="1" customWidth="1"/>
    <col min="14083" max="14313" width="10.33203125" style="1"/>
    <col min="14314" max="14314" width="4.44140625" style="1" customWidth="1"/>
    <col min="14315" max="14315" width="21.6640625" style="1" customWidth="1"/>
    <col min="14316" max="14316" width="15" style="1" customWidth="1"/>
    <col min="14317" max="14317" width="15.44140625" style="1" customWidth="1"/>
    <col min="14318" max="14318" width="11.5546875" style="1" customWidth="1"/>
    <col min="14319" max="14319" width="7.44140625" style="1" customWidth="1"/>
    <col min="14320" max="14320" width="14.109375" style="1" customWidth="1"/>
    <col min="14321" max="14321" width="10.6640625" style="1" customWidth="1"/>
    <col min="14322" max="14322" width="13.44140625" style="1" customWidth="1"/>
    <col min="14323" max="14323" width="11.44140625" style="1" customWidth="1"/>
    <col min="14324" max="14324" width="15" style="1" customWidth="1"/>
    <col min="14325" max="14325" width="14.5546875" style="1" customWidth="1"/>
    <col min="14326" max="14326" width="10.33203125" style="1"/>
    <col min="14327" max="14327" width="7.44140625" style="1" customWidth="1"/>
    <col min="14328" max="14328" width="12.88671875" style="1" customWidth="1"/>
    <col min="14329" max="14329" width="11.109375" style="1" customWidth="1"/>
    <col min="14330" max="14330" width="14" style="1" customWidth="1"/>
    <col min="14331" max="14331" width="33" style="1" customWidth="1"/>
    <col min="14332" max="14332" width="6.6640625" style="1" customWidth="1"/>
    <col min="14333" max="14333" width="19" style="1" customWidth="1"/>
    <col min="14334" max="14334" width="19.109375" style="1" customWidth="1"/>
    <col min="14335" max="14335" width="21.33203125" style="1" customWidth="1"/>
    <col min="14336" max="14336" width="32.5546875" style="1" customWidth="1"/>
    <col min="14337" max="14337" width="16.88671875" style="1" customWidth="1"/>
    <col min="14338" max="14338" width="16.33203125" style="1" customWidth="1"/>
    <col min="14339" max="14569" width="10.33203125" style="1"/>
    <col min="14570" max="14570" width="4.44140625" style="1" customWidth="1"/>
    <col min="14571" max="14571" width="21.6640625" style="1" customWidth="1"/>
    <col min="14572" max="14572" width="15" style="1" customWidth="1"/>
    <col min="14573" max="14573" width="15.44140625" style="1" customWidth="1"/>
    <col min="14574" max="14574" width="11.5546875" style="1" customWidth="1"/>
    <col min="14575" max="14575" width="7.44140625" style="1" customWidth="1"/>
    <col min="14576" max="14576" width="14.109375" style="1" customWidth="1"/>
    <col min="14577" max="14577" width="10.6640625" style="1" customWidth="1"/>
    <col min="14578" max="14578" width="13.44140625" style="1" customWidth="1"/>
    <col min="14579" max="14579" width="11.44140625" style="1" customWidth="1"/>
    <col min="14580" max="14580" width="15" style="1" customWidth="1"/>
    <col min="14581" max="14581" width="14.5546875" style="1" customWidth="1"/>
    <col min="14582" max="14582" width="10.33203125" style="1"/>
    <col min="14583" max="14583" width="7.44140625" style="1" customWidth="1"/>
    <col min="14584" max="14584" width="12.88671875" style="1" customWidth="1"/>
    <col min="14585" max="14585" width="11.109375" style="1" customWidth="1"/>
    <col min="14586" max="14586" width="14" style="1" customWidth="1"/>
    <col min="14587" max="14587" width="33" style="1" customWidth="1"/>
    <col min="14588" max="14588" width="6.6640625" style="1" customWidth="1"/>
    <col min="14589" max="14589" width="19" style="1" customWidth="1"/>
    <col min="14590" max="14590" width="19.109375" style="1" customWidth="1"/>
    <col min="14591" max="14591" width="21.33203125" style="1" customWidth="1"/>
    <col min="14592" max="14592" width="32.5546875" style="1" customWidth="1"/>
    <col min="14593" max="14593" width="16.88671875" style="1" customWidth="1"/>
    <col min="14594" max="14594" width="16.33203125" style="1" customWidth="1"/>
    <col min="14595" max="14825" width="10.33203125" style="1"/>
    <col min="14826" max="14826" width="4.44140625" style="1" customWidth="1"/>
    <col min="14827" max="14827" width="21.6640625" style="1" customWidth="1"/>
    <col min="14828" max="14828" width="15" style="1" customWidth="1"/>
    <col min="14829" max="14829" width="15.44140625" style="1" customWidth="1"/>
    <col min="14830" max="14830" width="11.5546875" style="1" customWidth="1"/>
    <col min="14831" max="14831" width="7.44140625" style="1" customWidth="1"/>
    <col min="14832" max="14832" width="14.109375" style="1" customWidth="1"/>
    <col min="14833" max="14833" width="10.6640625" style="1" customWidth="1"/>
    <col min="14834" max="14834" width="13.44140625" style="1" customWidth="1"/>
    <col min="14835" max="14835" width="11.44140625" style="1" customWidth="1"/>
    <col min="14836" max="14836" width="15" style="1" customWidth="1"/>
    <col min="14837" max="14837" width="14.5546875" style="1" customWidth="1"/>
    <col min="14838" max="14838" width="10.33203125" style="1"/>
    <col min="14839" max="14839" width="7.44140625" style="1" customWidth="1"/>
    <col min="14840" max="14840" width="12.88671875" style="1" customWidth="1"/>
    <col min="14841" max="14841" width="11.109375" style="1" customWidth="1"/>
    <col min="14842" max="14842" width="14" style="1" customWidth="1"/>
    <col min="14843" max="14843" width="33" style="1" customWidth="1"/>
    <col min="14844" max="14844" width="6.6640625" style="1" customWidth="1"/>
    <col min="14845" max="14845" width="19" style="1" customWidth="1"/>
    <col min="14846" max="14846" width="19.109375" style="1" customWidth="1"/>
    <col min="14847" max="14847" width="21.33203125" style="1" customWidth="1"/>
    <col min="14848" max="14848" width="32.5546875" style="1" customWidth="1"/>
    <col min="14849" max="14849" width="16.88671875" style="1" customWidth="1"/>
    <col min="14850" max="14850" width="16.33203125" style="1" customWidth="1"/>
    <col min="14851" max="15081" width="10.33203125" style="1"/>
    <col min="15082" max="15082" width="4.44140625" style="1" customWidth="1"/>
    <col min="15083" max="15083" width="21.6640625" style="1" customWidth="1"/>
    <col min="15084" max="15084" width="15" style="1" customWidth="1"/>
    <col min="15085" max="15085" width="15.44140625" style="1" customWidth="1"/>
    <col min="15086" max="15086" width="11.5546875" style="1" customWidth="1"/>
    <col min="15087" max="15087" width="7.44140625" style="1" customWidth="1"/>
    <col min="15088" max="15088" width="14.109375" style="1" customWidth="1"/>
    <col min="15089" max="15089" width="10.6640625" style="1" customWidth="1"/>
    <col min="15090" max="15090" width="13.44140625" style="1" customWidth="1"/>
    <col min="15091" max="15091" width="11.44140625" style="1" customWidth="1"/>
    <col min="15092" max="15092" width="15" style="1" customWidth="1"/>
    <col min="15093" max="15093" width="14.5546875" style="1" customWidth="1"/>
    <col min="15094" max="15094" width="10.33203125" style="1"/>
    <col min="15095" max="15095" width="7.44140625" style="1" customWidth="1"/>
    <col min="15096" max="15096" width="12.88671875" style="1" customWidth="1"/>
    <col min="15097" max="15097" width="11.109375" style="1" customWidth="1"/>
    <col min="15098" max="15098" width="14" style="1" customWidth="1"/>
    <col min="15099" max="15099" width="33" style="1" customWidth="1"/>
    <col min="15100" max="15100" width="6.6640625" style="1" customWidth="1"/>
    <col min="15101" max="15101" width="19" style="1" customWidth="1"/>
    <col min="15102" max="15102" width="19.109375" style="1" customWidth="1"/>
    <col min="15103" max="15103" width="21.33203125" style="1" customWidth="1"/>
    <col min="15104" max="15104" width="32.5546875" style="1" customWidth="1"/>
    <col min="15105" max="15105" width="16.88671875" style="1" customWidth="1"/>
    <col min="15106" max="15106" width="16.33203125" style="1" customWidth="1"/>
    <col min="15107" max="15337" width="10.33203125" style="1"/>
    <col min="15338" max="15338" width="4.44140625" style="1" customWidth="1"/>
    <col min="15339" max="15339" width="21.6640625" style="1" customWidth="1"/>
    <col min="15340" max="15340" width="15" style="1" customWidth="1"/>
    <col min="15341" max="15341" width="15.44140625" style="1" customWidth="1"/>
    <col min="15342" max="15342" width="11.5546875" style="1" customWidth="1"/>
    <col min="15343" max="15343" width="7.44140625" style="1" customWidth="1"/>
    <col min="15344" max="15344" width="14.109375" style="1" customWidth="1"/>
    <col min="15345" max="15345" width="10.6640625" style="1" customWidth="1"/>
    <col min="15346" max="15346" width="13.44140625" style="1" customWidth="1"/>
    <col min="15347" max="15347" width="11.44140625" style="1" customWidth="1"/>
    <col min="15348" max="15348" width="15" style="1" customWidth="1"/>
    <col min="15349" max="15349" width="14.5546875" style="1" customWidth="1"/>
    <col min="15350" max="15350" width="10.33203125" style="1"/>
    <col min="15351" max="15351" width="7.44140625" style="1" customWidth="1"/>
    <col min="15352" max="15352" width="12.88671875" style="1" customWidth="1"/>
    <col min="15353" max="15353" width="11.109375" style="1" customWidth="1"/>
    <col min="15354" max="15354" width="14" style="1" customWidth="1"/>
    <col min="15355" max="15355" width="33" style="1" customWidth="1"/>
    <col min="15356" max="15356" width="6.6640625" style="1" customWidth="1"/>
    <col min="15357" max="15357" width="19" style="1" customWidth="1"/>
    <col min="15358" max="15358" width="19.109375" style="1" customWidth="1"/>
    <col min="15359" max="15359" width="21.33203125" style="1" customWidth="1"/>
    <col min="15360" max="15360" width="32.5546875" style="1" customWidth="1"/>
    <col min="15361" max="15361" width="16.88671875" style="1" customWidth="1"/>
    <col min="15362" max="15362" width="16.33203125" style="1" customWidth="1"/>
    <col min="15363" max="15593" width="10.33203125" style="1"/>
    <col min="15594" max="15594" width="4.44140625" style="1" customWidth="1"/>
    <col min="15595" max="15595" width="21.6640625" style="1" customWidth="1"/>
    <col min="15596" max="15596" width="15" style="1" customWidth="1"/>
    <col min="15597" max="15597" width="15.44140625" style="1" customWidth="1"/>
    <col min="15598" max="15598" width="11.5546875" style="1" customWidth="1"/>
    <col min="15599" max="15599" width="7.44140625" style="1" customWidth="1"/>
    <col min="15600" max="15600" width="14.109375" style="1" customWidth="1"/>
    <col min="15601" max="15601" width="10.6640625" style="1" customWidth="1"/>
    <col min="15602" max="15602" width="13.44140625" style="1" customWidth="1"/>
    <col min="15603" max="15603" width="11.44140625" style="1" customWidth="1"/>
    <col min="15604" max="15604" width="15" style="1" customWidth="1"/>
    <col min="15605" max="15605" width="14.5546875" style="1" customWidth="1"/>
    <col min="15606" max="15606" width="10.33203125" style="1"/>
    <col min="15607" max="15607" width="7.44140625" style="1" customWidth="1"/>
    <col min="15608" max="15608" width="12.88671875" style="1" customWidth="1"/>
    <col min="15609" max="15609" width="11.109375" style="1" customWidth="1"/>
    <col min="15610" max="15610" width="14" style="1" customWidth="1"/>
    <col min="15611" max="15611" width="33" style="1" customWidth="1"/>
    <col min="15612" max="15612" width="6.6640625" style="1" customWidth="1"/>
    <col min="15613" max="15613" width="19" style="1" customWidth="1"/>
    <col min="15614" max="15614" width="19.109375" style="1" customWidth="1"/>
    <col min="15615" max="15615" width="21.33203125" style="1" customWidth="1"/>
    <col min="15616" max="15616" width="32.5546875" style="1" customWidth="1"/>
    <col min="15617" max="15617" width="16.88671875" style="1" customWidth="1"/>
    <col min="15618" max="15618" width="16.33203125" style="1" customWidth="1"/>
    <col min="15619" max="15849" width="10.33203125" style="1"/>
    <col min="15850" max="15850" width="4.44140625" style="1" customWidth="1"/>
    <col min="15851" max="15851" width="21.6640625" style="1" customWidth="1"/>
    <col min="15852" max="15852" width="15" style="1" customWidth="1"/>
    <col min="15853" max="15853" width="15.44140625" style="1" customWidth="1"/>
    <col min="15854" max="15854" width="11.5546875" style="1" customWidth="1"/>
    <col min="15855" max="15855" width="7.44140625" style="1" customWidth="1"/>
    <col min="15856" max="15856" width="14.109375" style="1" customWidth="1"/>
    <col min="15857" max="15857" width="10.6640625" style="1" customWidth="1"/>
    <col min="15858" max="15858" width="13.44140625" style="1" customWidth="1"/>
    <col min="15859" max="15859" width="11.44140625" style="1" customWidth="1"/>
    <col min="15860" max="15860" width="15" style="1" customWidth="1"/>
    <col min="15861" max="15861" width="14.5546875" style="1" customWidth="1"/>
    <col min="15862" max="15862" width="10.33203125" style="1"/>
    <col min="15863" max="15863" width="7.44140625" style="1" customWidth="1"/>
    <col min="15864" max="15864" width="12.88671875" style="1" customWidth="1"/>
    <col min="15865" max="15865" width="11.109375" style="1" customWidth="1"/>
    <col min="15866" max="15866" width="14" style="1" customWidth="1"/>
    <col min="15867" max="15867" width="33" style="1" customWidth="1"/>
    <col min="15868" max="15868" width="6.6640625" style="1" customWidth="1"/>
    <col min="15869" max="15869" width="19" style="1" customWidth="1"/>
    <col min="15870" max="15870" width="19.109375" style="1" customWidth="1"/>
    <col min="15871" max="15871" width="21.33203125" style="1" customWidth="1"/>
    <col min="15872" max="15872" width="32.5546875" style="1" customWidth="1"/>
    <col min="15873" max="15873" width="16.88671875" style="1" customWidth="1"/>
    <col min="15874" max="15874" width="16.33203125" style="1" customWidth="1"/>
    <col min="15875" max="16105" width="10.33203125" style="1"/>
    <col min="16106" max="16106" width="4.44140625" style="1" customWidth="1"/>
    <col min="16107" max="16107" width="21.6640625" style="1" customWidth="1"/>
    <col min="16108" max="16108" width="15" style="1" customWidth="1"/>
    <col min="16109" max="16109" width="15.44140625" style="1" customWidth="1"/>
    <col min="16110" max="16110" width="11.5546875" style="1" customWidth="1"/>
    <col min="16111" max="16111" width="7.44140625" style="1" customWidth="1"/>
    <col min="16112" max="16112" width="14.109375" style="1" customWidth="1"/>
    <col min="16113" max="16113" width="10.6640625" style="1" customWidth="1"/>
    <col min="16114" max="16114" width="13.44140625" style="1" customWidth="1"/>
    <col min="16115" max="16115" width="11.44140625" style="1" customWidth="1"/>
    <col min="16116" max="16116" width="15" style="1" customWidth="1"/>
    <col min="16117" max="16117" width="14.5546875" style="1" customWidth="1"/>
    <col min="16118" max="16118" width="10.33203125" style="1"/>
    <col min="16119" max="16119" width="7.44140625" style="1" customWidth="1"/>
    <col min="16120" max="16120" width="12.88671875" style="1" customWidth="1"/>
    <col min="16121" max="16121" width="11.109375" style="1" customWidth="1"/>
    <col min="16122" max="16122" width="14" style="1" customWidth="1"/>
    <col min="16123" max="16123" width="33" style="1" customWidth="1"/>
    <col min="16124" max="16124" width="6.6640625" style="1" customWidth="1"/>
    <col min="16125" max="16125" width="19" style="1" customWidth="1"/>
    <col min="16126" max="16126" width="19.109375" style="1" customWidth="1"/>
    <col min="16127" max="16127" width="21.33203125" style="1" customWidth="1"/>
    <col min="16128" max="16128" width="32.5546875" style="1" customWidth="1"/>
    <col min="16129" max="16129" width="16.88671875" style="1" customWidth="1"/>
    <col min="16130" max="16130" width="16.33203125" style="1" customWidth="1"/>
    <col min="16131" max="16384" width="10.33203125" style="1"/>
  </cols>
  <sheetData>
    <row r="1" spans="1:7" ht="24.6">
      <c r="A1" s="726" t="s">
        <v>0</v>
      </c>
      <c r="B1" s="726"/>
      <c r="C1" s="726"/>
      <c r="D1" s="726"/>
      <c r="E1" s="726"/>
      <c r="F1" s="726"/>
      <c r="G1" s="726"/>
    </row>
    <row r="2" spans="1:7" ht="24.6">
      <c r="A2" s="726" t="s">
        <v>1</v>
      </c>
      <c r="B2" s="726"/>
      <c r="C2" s="726"/>
      <c r="D2" s="726"/>
      <c r="E2" s="726"/>
      <c r="F2" s="726"/>
      <c r="G2" s="726"/>
    </row>
    <row r="3" spans="1:7" ht="24.6">
      <c r="A3" s="727" t="s">
        <v>324</v>
      </c>
      <c r="B3" s="727"/>
      <c r="C3" s="727"/>
      <c r="D3" s="727"/>
      <c r="E3" s="727"/>
      <c r="F3" s="727"/>
      <c r="G3" s="727"/>
    </row>
    <row r="4" spans="1:7" ht="24.6">
      <c r="A4" s="3" t="s">
        <v>3</v>
      </c>
      <c r="B4" s="3" t="s">
        <v>4</v>
      </c>
      <c r="C4" s="3" t="s">
        <v>5</v>
      </c>
      <c r="D4" s="261" t="s">
        <v>296</v>
      </c>
      <c r="E4" s="728" t="s">
        <v>9</v>
      </c>
      <c r="F4" s="729"/>
      <c r="G4" s="730"/>
    </row>
    <row r="5" spans="1:7" ht="24.6">
      <c r="A5" s="3"/>
      <c r="B5" s="13"/>
      <c r="C5" s="3"/>
      <c r="D5" s="9"/>
      <c r="E5" s="9" t="s">
        <v>21</v>
      </c>
      <c r="F5" s="9" t="s">
        <v>22</v>
      </c>
      <c r="G5" s="7"/>
    </row>
    <row r="6" spans="1:7" ht="24.6">
      <c r="A6" s="3"/>
      <c r="B6" s="3"/>
      <c r="C6" s="3"/>
      <c r="D6" s="18"/>
      <c r="E6" s="18"/>
      <c r="F6" s="18"/>
      <c r="G6" s="28" t="s">
        <v>26</v>
      </c>
    </row>
    <row r="7" spans="1:7" ht="25.2" hidden="1" thickTop="1">
      <c r="A7" s="29"/>
      <c r="B7" s="45" t="s">
        <v>49</v>
      </c>
      <c r="C7" s="29"/>
      <c r="D7" s="46"/>
      <c r="E7" s="46"/>
      <c r="F7" s="28"/>
      <c r="G7" s="57"/>
    </row>
    <row r="8" spans="1:7" ht="16.5" hidden="1" customHeight="1" thickTop="1">
      <c r="A8" s="25">
        <v>1</v>
      </c>
      <c r="B8" s="25"/>
      <c r="C8" s="29"/>
      <c r="D8" s="53"/>
      <c r="E8" s="74"/>
      <c r="F8" s="34"/>
      <c r="G8" s="78"/>
    </row>
    <row r="9" spans="1:7" ht="25.8" hidden="1" thickTop="1" thickBot="1">
      <c r="A9" s="25"/>
      <c r="B9" s="25" t="s">
        <v>26</v>
      </c>
      <c r="C9" s="29"/>
      <c r="D9" s="109"/>
      <c r="E9" s="79"/>
      <c r="F9" s="82"/>
      <c r="G9" s="54"/>
    </row>
    <row r="10" spans="1:7" ht="25.2" hidden="1" thickTop="1">
      <c r="A10" s="25"/>
      <c r="B10" s="45" t="s">
        <v>50</v>
      </c>
      <c r="C10" s="29"/>
      <c r="D10" s="46"/>
      <c r="E10" s="46"/>
      <c r="F10" s="28"/>
      <c r="G10" s="57"/>
    </row>
    <row r="11" spans="1:7" ht="25.8" hidden="1" thickTop="1" thickBot="1">
      <c r="A11" s="25"/>
      <c r="B11" s="25"/>
      <c r="C11" s="29"/>
      <c r="D11" s="53"/>
      <c r="E11" s="74"/>
      <c r="F11" s="34"/>
      <c r="G11" s="110">
        <v>0</v>
      </c>
    </row>
    <row r="12" spans="1:7" ht="25.2" hidden="1" thickTop="1">
      <c r="A12" s="25"/>
      <c r="B12" s="25" t="s">
        <v>26</v>
      </c>
      <c r="C12" s="29"/>
      <c r="D12" s="109"/>
      <c r="E12" s="109"/>
      <c r="F12" s="115"/>
      <c r="G12" s="111">
        <v>0</v>
      </c>
    </row>
    <row r="13" spans="1:7" ht="25.2" hidden="1" thickTop="1">
      <c r="A13" s="25"/>
      <c r="B13" s="45" t="s">
        <v>51</v>
      </c>
      <c r="C13" s="29"/>
      <c r="D13" s="29"/>
      <c r="E13" s="29"/>
      <c r="F13" s="25"/>
      <c r="G13" s="59"/>
    </row>
    <row r="14" spans="1:7" ht="25.8" hidden="1" thickTop="1" thickBot="1">
      <c r="A14" s="25">
        <v>1</v>
      </c>
      <c r="B14" s="25"/>
      <c r="C14" s="29"/>
      <c r="D14" s="53"/>
      <c r="E14" s="74"/>
      <c r="F14" s="34"/>
      <c r="G14" s="78"/>
    </row>
    <row r="15" spans="1:7" ht="25.8" hidden="1" thickTop="1" thickBot="1">
      <c r="A15" s="25"/>
      <c r="B15" s="25" t="s">
        <v>26</v>
      </c>
      <c r="C15" s="29"/>
      <c r="D15" s="109"/>
      <c r="E15" s="64"/>
      <c r="F15" s="41"/>
      <c r="G15" s="63"/>
    </row>
    <row r="16" spans="1:7" ht="24.6">
      <c r="A16" s="29"/>
      <c r="B16" s="45" t="s">
        <v>52</v>
      </c>
      <c r="C16" s="29"/>
      <c r="D16" s="46"/>
      <c r="E16" s="46"/>
      <c r="F16" s="28"/>
      <c r="G16" s="57"/>
    </row>
    <row r="17" spans="1:12" ht="24.6">
      <c r="A17" s="25">
        <v>10</v>
      </c>
      <c r="B17" s="29" t="s">
        <v>73</v>
      </c>
      <c r="C17" s="120">
        <v>84282</v>
      </c>
      <c r="D17" s="120"/>
      <c r="E17" s="122" t="s">
        <v>332</v>
      </c>
      <c r="F17" s="123">
        <v>2</v>
      </c>
      <c r="G17" s="72">
        <v>4860</v>
      </c>
    </row>
    <row r="18" spans="1:12" ht="24.6">
      <c r="A18" s="25">
        <v>1</v>
      </c>
      <c r="B18" s="29" t="s">
        <v>105</v>
      </c>
      <c r="C18" s="29"/>
      <c r="D18" s="29"/>
      <c r="E18" s="25" t="s">
        <v>335</v>
      </c>
      <c r="F18" s="25">
        <v>1</v>
      </c>
      <c r="G18" s="73">
        <v>5000</v>
      </c>
    </row>
    <row r="19" spans="1:12" ht="24.6">
      <c r="A19" s="25">
        <v>2</v>
      </c>
      <c r="B19" s="29" t="s">
        <v>105</v>
      </c>
      <c r="C19" s="29"/>
      <c r="D19" s="29"/>
      <c r="E19" s="126" t="s">
        <v>335</v>
      </c>
      <c r="F19" s="25">
        <v>1</v>
      </c>
      <c r="G19" s="73">
        <v>4650</v>
      </c>
    </row>
    <row r="20" spans="1:12" ht="25.2" thickBot="1">
      <c r="A20" s="29"/>
      <c r="B20" s="25" t="s">
        <v>26</v>
      </c>
      <c r="C20" s="74"/>
      <c r="D20" s="74"/>
      <c r="E20" s="78"/>
      <c r="F20" s="135"/>
      <c r="G20" s="136">
        <v>14510</v>
      </c>
      <c r="I20" s="175">
        <f>SUM(G17:G19)</f>
        <v>14510</v>
      </c>
    </row>
    <row r="21" spans="1:12" ht="25.2" thickTop="1">
      <c r="A21" s="29"/>
      <c r="B21" s="116" t="s">
        <v>117</v>
      </c>
      <c r="C21" s="46"/>
      <c r="D21" s="46"/>
      <c r="E21" s="28"/>
      <c r="F21" s="28"/>
      <c r="G21" s="140">
        <v>0</v>
      </c>
    </row>
    <row r="22" spans="1:12" ht="24.6">
      <c r="A22" s="25">
        <v>3</v>
      </c>
      <c r="B22" s="29" t="s">
        <v>132</v>
      </c>
      <c r="C22" s="29"/>
      <c r="D22" s="29"/>
      <c r="E22" s="25" t="s">
        <v>335</v>
      </c>
      <c r="F22" s="25">
        <v>1</v>
      </c>
      <c r="G22" s="72">
        <v>1100</v>
      </c>
    </row>
    <row r="23" spans="1:12" ht="24.6">
      <c r="A23" s="25">
        <v>1</v>
      </c>
      <c r="B23" s="29" t="s">
        <v>137</v>
      </c>
      <c r="C23" s="29"/>
      <c r="D23" s="29"/>
      <c r="E23" s="68" t="s">
        <v>335</v>
      </c>
      <c r="F23" s="25">
        <v>1</v>
      </c>
      <c r="G23" s="72">
        <v>5000</v>
      </c>
    </row>
    <row r="24" spans="1:12" ht="25.2" thickBot="1">
      <c r="A24" s="29"/>
      <c r="B24" s="25" t="s">
        <v>26</v>
      </c>
      <c r="C24" s="64"/>
      <c r="D24" s="64"/>
      <c r="E24" s="63"/>
      <c r="F24" s="105"/>
      <c r="G24" s="106">
        <v>6100</v>
      </c>
      <c r="I24" s="175">
        <f>SUM(G22:G23)</f>
        <v>6100</v>
      </c>
      <c r="K24" s="256">
        <f>SUM(I20:I24)</f>
        <v>20610</v>
      </c>
      <c r="L24" s="1" t="s">
        <v>345</v>
      </c>
    </row>
    <row r="25" spans="1:12" ht="24.75" customHeight="1" thickTop="1">
      <c r="A25" s="14"/>
      <c r="B25" s="173"/>
      <c r="G25" s="174"/>
    </row>
    <row r="26" spans="1:12" ht="24.75" customHeight="1">
      <c r="A26" s="731" t="s">
        <v>211</v>
      </c>
      <c r="B26" s="732"/>
      <c r="C26" s="732"/>
      <c r="D26" s="732"/>
      <c r="E26" s="732"/>
      <c r="F26" s="732"/>
      <c r="G26" s="732"/>
    </row>
    <row r="27" spans="1:12" ht="24.75" customHeight="1">
      <c r="A27" s="46">
        <v>1</v>
      </c>
      <c r="B27" s="180" t="s">
        <v>32</v>
      </c>
      <c r="C27" s="46" t="s">
        <v>104</v>
      </c>
      <c r="D27" s="46"/>
      <c r="E27" s="46" t="s">
        <v>325</v>
      </c>
      <c r="F27" s="28">
        <v>7</v>
      </c>
      <c r="G27" s="57">
        <v>32550</v>
      </c>
    </row>
    <row r="28" spans="1:12" ht="24" customHeight="1">
      <c r="A28" s="25">
        <v>2</v>
      </c>
      <c r="B28" s="29" t="s">
        <v>215</v>
      </c>
      <c r="C28" s="29" t="s">
        <v>104</v>
      </c>
      <c r="D28" s="46"/>
      <c r="E28" s="46" t="s">
        <v>325</v>
      </c>
      <c r="F28" s="25">
        <v>7</v>
      </c>
      <c r="G28" s="57">
        <v>40250</v>
      </c>
    </row>
    <row r="29" spans="1:12" ht="24.75" customHeight="1" thickBot="1">
      <c r="A29" s="34"/>
      <c r="B29" s="34" t="s">
        <v>26</v>
      </c>
      <c r="C29" s="74"/>
      <c r="D29" s="74"/>
      <c r="E29" s="74"/>
      <c r="F29" s="34"/>
      <c r="G29" s="110">
        <v>72800</v>
      </c>
      <c r="I29" s="175">
        <f>SUM(G27:G28)</f>
        <v>72800</v>
      </c>
    </row>
    <row r="30" spans="1:12" ht="24.75" customHeight="1" thickTop="1">
      <c r="A30" s="14"/>
      <c r="B30" s="173"/>
      <c r="G30" s="174"/>
    </row>
    <row r="31" spans="1:12" ht="24.75" customHeight="1">
      <c r="A31" s="4"/>
      <c r="B31" s="188" t="s">
        <v>217</v>
      </c>
      <c r="C31" s="53"/>
      <c r="D31" s="53"/>
      <c r="E31" s="53"/>
      <c r="F31" s="4"/>
      <c r="G31" s="127"/>
    </row>
    <row r="32" spans="1:12" s="96" customFormat="1" ht="24.75" customHeight="1">
      <c r="A32" s="190">
        <v>1</v>
      </c>
      <c r="B32" s="191" t="s">
        <v>68</v>
      </c>
      <c r="C32" s="192">
        <v>268</v>
      </c>
      <c r="D32" s="192"/>
      <c r="E32" s="190" t="s">
        <v>326</v>
      </c>
      <c r="F32" s="190">
        <v>102</v>
      </c>
      <c r="G32" s="198">
        <v>115560</v>
      </c>
    </row>
    <row r="33" spans="1:9" ht="24.75" customHeight="1">
      <c r="A33" s="199"/>
      <c r="B33" s="200" t="s">
        <v>221</v>
      </c>
      <c r="C33" s="201" t="s">
        <v>222</v>
      </c>
      <c r="D33" s="262"/>
      <c r="E33" s="208"/>
      <c r="F33" s="209" t="s">
        <v>172</v>
      </c>
      <c r="G33" s="210">
        <v>19700</v>
      </c>
    </row>
    <row r="34" spans="1:9" ht="24.75" customHeight="1">
      <c r="A34" s="199"/>
      <c r="B34" s="201"/>
      <c r="C34" s="201" t="s">
        <v>223</v>
      </c>
      <c r="D34" s="201"/>
      <c r="E34" s="203"/>
      <c r="F34" s="199" t="s">
        <v>172</v>
      </c>
      <c r="G34" s="210">
        <v>19700</v>
      </c>
    </row>
    <row r="35" spans="1:9" ht="24.75" customHeight="1">
      <c r="A35" s="199"/>
      <c r="B35" s="201"/>
      <c r="C35" s="201" t="s">
        <v>224</v>
      </c>
      <c r="D35" s="201"/>
      <c r="E35" s="203"/>
      <c r="F35" s="199" t="s">
        <v>172</v>
      </c>
      <c r="G35" s="210">
        <v>19700</v>
      </c>
    </row>
    <row r="36" spans="1:9" ht="24.75" customHeight="1">
      <c r="A36" s="199">
        <v>2</v>
      </c>
      <c r="B36" s="200" t="s">
        <v>225</v>
      </c>
      <c r="C36" s="203"/>
      <c r="D36" s="203"/>
      <c r="E36" s="199" t="s">
        <v>226</v>
      </c>
      <c r="F36" s="199">
        <v>88</v>
      </c>
      <c r="G36" s="210">
        <v>193600</v>
      </c>
    </row>
    <row r="37" spans="1:9" ht="24.75" customHeight="1">
      <c r="A37" s="199"/>
      <c r="B37" s="200"/>
      <c r="C37" s="203"/>
      <c r="D37" s="203"/>
      <c r="E37" s="199"/>
      <c r="F37" s="199"/>
      <c r="G37" s="210"/>
    </row>
    <row r="38" spans="1:9" ht="24.75" customHeight="1">
      <c r="A38" s="199">
        <v>3</v>
      </c>
      <c r="B38" s="200" t="s">
        <v>85</v>
      </c>
      <c r="C38" s="203" t="s">
        <v>86</v>
      </c>
      <c r="D38" s="203"/>
      <c r="E38" s="203" t="s">
        <v>229</v>
      </c>
      <c r="F38" s="199">
        <v>7</v>
      </c>
      <c r="G38" s="210">
        <v>30800</v>
      </c>
    </row>
    <row r="39" spans="1:9" ht="24.75" customHeight="1">
      <c r="A39" s="115"/>
      <c r="B39" s="212"/>
      <c r="C39" s="109"/>
      <c r="D39" s="109"/>
      <c r="E39" s="218"/>
      <c r="F39" s="219"/>
      <c r="G39" s="221"/>
    </row>
    <row r="40" spans="1:9" s="96" customFormat="1" ht="24.75" customHeight="1">
      <c r="A40" s="190"/>
      <c r="B40" s="191" t="s">
        <v>232</v>
      </c>
      <c r="C40" s="192" t="s">
        <v>194</v>
      </c>
      <c r="D40" s="192"/>
      <c r="E40" s="192"/>
      <c r="F40" s="190"/>
      <c r="G40" s="210">
        <v>64400</v>
      </c>
    </row>
    <row r="41" spans="1:9" ht="24.6">
      <c r="A41" s="199">
        <v>4</v>
      </c>
      <c r="B41" s="203" t="s">
        <v>32</v>
      </c>
      <c r="C41" s="222" t="s">
        <v>104</v>
      </c>
      <c r="D41" s="222"/>
      <c r="E41" s="199" t="s">
        <v>234</v>
      </c>
      <c r="F41" s="199">
        <v>4</v>
      </c>
      <c r="G41" s="210">
        <v>18600</v>
      </c>
    </row>
    <row r="42" spans="1:9" ht="24.6">
      <c r="A42" s="199">
        <v>5</v>
      </c>
      <c r="B42" s="203" t="s">
        <v>215</v>
      </c>
      <c r="C42" s="222" t="s">
        <v>104</v>
      </c>
      <c r="D42" s="222"/>
      <c r="E42" s="199" t="s">
        <v>236</v>
      </c>
      <c r="F42" s="199">
        <v>4</v>
      </c>
      <c r="G42" s="210">
        <v>23000</v>
      </c>
    </row>
    <row r="43" spans="1:9" s="96" customFormat="1" ht="24.75" customHeight="1">
      <c r="A43" s="229"/>
      <c r="B43" s="230"/>
      <c r="C43" s="231"/>
      <c r="D43" s="231"/>
      <c r="E43" s="231"/>
      <c r="F43" s="229"/>
      <c r="G43" s="237"/>
    </row>
    <row r="44" spans="1:9" ht="24.75" customHeight="1" thickBot="1">
      <c r="A44" s="34"/>
      <c r="B44" s="239"/>
      <c r="C44" s="74"/>
      <c r="D44" s="74"/>
      <c r="E44" s="110"/>
      <c r="F44" s="240"/>
      <c r="G44" s="171">
        <v>505060</v>
      </c>
      <c r="I44" s="175">
        <f>SUM(G32:G42)</f>
        <v>505060</v>
      </c>
    </row>
    <row r="45" spans="1:9" ht="25.2" thickTop="1">
      <c r="A45" s="46"/>
      <c r="B45" s="161" t="s">
        <v>238</v>
      </c>
      <c r="C45" s="46"/>
      <c r="D45" s="46"/>
      <c r="E45" s="46"/>
      <c r="F45" s="28"/>
      <c r="G45" s="46"/>
    </row>
    <row r="46" spans="1:9" ht="24.6">
      <c r="A46" s="25">
        <v>1</v>
      </c>
      <c r="B46" s="53" t="s">
        <v>239</v>
      </c>
      <c r="C46" s="109"/>
      <c r="D46" s="109"/>
      <c r="E46" s="109" t="s">
        <v>240</v>
      </c>
      <c r="F46" s="115"/>
      <c r="G46" s="162">
        <v>0</v>
      </c>
    </row>
    <row r="47" spans="1:9" ht="24.6">
      <c r="A47" s="25"/>
      <c r="B47" s="29" t="s">
        <v>241</v>
      </c>
      <c r="C47" s="29"/>
      <c r="D47" s="29"/>
      <c r="E47" s="29" t="s">
        <v>242</v>
      </c>
      <c r="F47" s="25"/>
      <c r="G47" s="73">
        <v>133707.98000000001</v>
      </c>
    </row>
    <row r="48" spans="1:9" ht="24.6">
      <c r="A48" s="25"/>
      <c r="B48" s="29" t="s">
        <v>244</v>
      </c>
      <c r="C48" s="29"/>
      <c r="D48" s="29"/>
      <c r="E48" s="29"/>
      <c r="F48" s="25"/>
      <c r="G48" s="73">
        <v>73800</v>
      </c>
    </row>
    <row r="49" spans="1:12" ht="24.6">
      <c r="A49" s="25"/>
      <c r="B49" s="29" t="s">
        <v>245</v>
      </c>
      <c r="C49" s="29"/>
      <c r="D49" s="29"/>
      <c r="E49" s="29"/>
      <c r="F49" s="25"/>
      <c r="G49" s="73">
        <v>7596.82</v>
      </c>
    </row>
    <row r="50" spans="1:12" ht="24.6">
      <c r="A50" s="25"/>
      <c r="B50" s="29" t="s">
        <v>246</v>
      </c>
      <c r="C50" s="29"/>
      <c r="D50" s="53"/>
      <c r="E50" s="53"/>
      <c r="F50" s="4"/>
      <c r="G50" s="49"/>
    </row>
    <row r="51" spans="1:12" ht="25.2" thickBot="1">
      <c r="A51" s="25"/>
      <c r="B51" s="29"/>
      <c r="C51" s="29" t="s">
        <v>247</v>
      </c>
      <c r="D51" s="53"/>
      <c r="E51" s="74"/>
      <c r="F51" s="34"/>
      <c r="G51" s="171"/>
    </row>
    <row r="52" spans="1:12" s="249" customFormat="1" ht="25.8" thickTop="1" thickBot="1">
      <c r="A52" s="134"/>
      <c r="B52" s="246" t="s">
        <v>26</v>
      </c>
      <c r="C52" s="103"/>
      <c r="D52" s="103"/>
      <c r="E52" s="103"/>
      <c r="F52" s="247"/>
      <c r="G52" s="103">
        <v>215104.80000000002</v>
      </c>
      <c r="I52" s="249">
        <f>SUM(G46:G51)</f>
        <v>215104.80000000002</v>
      </c>
      <c r="K52" s="263">
        <f>SUM(I44:I52)</f>
        <v>720164.8</v>
      </c>
      <c r="L52" s="249" t="s">
        <v>347</v>
      </c>
    </row>
    <row r="53" spans="1:12" ht="25.8" thickTop="1" thickBot="1">
      <c r="A53" s="29"/>
      <c r="B53" s="25" t="s">
        <v>248</v>
      </c>
      <c r="C53" s="64"/>
      <c r="D53" s="64"/>
      <c r="E53" s="63"/>
      <c r="F53" s="105"/>
      <c r="G53" s="63">
        <v>813574.8</v>
      </c>
      <c r="K53" s="266">
        <f>SUM(K24+I29+I44+I52)</f>
        <v>813574.8</v>
      </c>
      <c r="L53" s="1" t="s">
        <v>346</v>
      </c>
    </row>
    <row r="54" spans="1:12" ht="25.2" thickTop="1"/>
    <row r="55" spans="1:12" ht="24.6">
      <c r="G55" s="249"/>
    </row>
    <row r="56" spans="1:12" ht="24.6">
      <c r="G56" s="249"/>
    </row>
    <row r="57" spans="1:12" ht="24.6">
      <c r="G57" s="249"/>
    </row>
    <row r="58" spans="1:12" ht="24.6"/>
    <row r="59" spans="1:12" ht="24.6"/>
    <row r="60" spans="1:12" ht="24.6"/>
    <row r="61" spans="1:12" ht="24.6"/>
    <row r="62" spans="1:12" ht="24.6"/>
    <row r="63" spans="1:12" ht="24.6"/>
    <row r="64" spans="1:12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</sheetData>
  <mergeCells count="5">
    <mergeCell ref="A26:G26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A1D7-70FE-4A5A-A54B-3B8CF0FACEDD}">
  <sheetPr>
    <tabColor rgb="FF92D050"/>
  </sheetPr>
  <dimension ref="A1:H719"/>
  <sheetViews>
    <sheetView zoomScale="90" zoomScaleNormal="90" zoomScaleSheetLayoutView="87" workbookViewId="0">
      <pane ySplit="6" topLeftCell="A7" activePane="bottomLeft" state="frozen"/>
      <selection activeCell="I147" sqref="I147"/>
      <selection pane="bottomLeft" activeCell="H17" sqref="H17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8" width="12.109375" style="1" bestFit="1" customWidth="1"/>
    <col min="9" max="9" width="10.33203125" style="1"/>
    <col min="10" max="10" width="12.109375" style="1" bestFit="1" customWidth="1"/>
    <col min="11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8" ht="24.6">
      <c r="A1" s="726" t="s">
        <v>0</v>
      </c>
      <c r="B1" s="726"/>
      <c r="C1" s="726"/>
      <c r="D1" s="726"/>
      <c r="E1" s="726"/>
      <c r="F1" s="726"/>
    </row>
    <row r="2" spans="1:8" ht="24.6">
      <c r="A2" s="726" t="s">
        <v>1</v>
      </c>
      <c r="B2" s="726"/>
      <c r="C2" s="726"/>
      <c r="D2" s="726"/>
      <c r="E2" s="726"/>
      <c r="F2" s="726"/>
    </row>
    <row r="3" spans="1:8" ht="24.6">
      <c r="A3" s="727" t="s">
        <v>324</v>
      </c>
      <c r="B3" s="727"/>
      <c r="C3" s="727"/>
      <c r="D3" s="727"/>
      <c r="E3" s="727"/>
      <c r="F3" s="727"/>
    </row>
    <row r="4" spans="1:8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8" ht="24.6">
      <c r="A5" s="3"/>
      <c r="B5" s="13"/>
      <c r="C5" s="3"/>
      <c r="D5" s="9" t="s">
        <v>21</v>
      </c>
      <c r="E5" s="9" t="s">
        <v>22</v>
      </c>
      <c r="F5" s="7"/>
    </row>
    <row r="6" spans="1:8" ht="24.6">
      <c r="A6" s="3"/>
      <c r="B6" s="3"/>
      <c r="C6" s="3"/>
      <c r="D6" s="18"/>
      <c r="E6" s="18"/>
      <c r="F6" s="28" t="s">
        <v>26</v>
      </c>
    </row>
    <row r="7" spans="1:8" ht="24.6">
      <c r="A7" s="3"/>
      <c r="B7" s="271" t="s">
        <v>273</v>
      </c>
      <c r="C7" s="3"/>
      <c r="D7" s="18"/>
      <c r="E7" s="18"/>
      <c r="F7" s="28"/>
    </row>
    <row r="8" spans="1:8" ht="24.6">
      <c r="A8" s="25">
        <v>1</v>
      </c>
      <c r="B8" s="29" t="s">
        <v>105</v>
      </c>
      <c r="C8" s="29"/>
      <c r="D8" s="25" t="s">
        <v>335</v>
      </c>
      <c r="E8" s="25">
        <v>1</v>
      </c>
      <c r="F8" s="73">
        <v>5000</v>
      </c>
    </row>
    <row r="9" spans="1:8" ht="24.6">
      <c r="A9" s="25">
        <v>2</v>
      </c>
      <c r="B9" s="29" t="s">
        <v>105</v>
      </c>
      <c r="C9" s="29"/>
      <c r="D9" s="126" t="s">
        <v>335</v>
      </c>
      <c r="E9" s="25">
        <v>1</v>
      </c>
      <c r="F9" s="73">
        <v>4650</v>
      </c>
    </row>
    <row r="10" spans="1:8" ht="24.6">
      <c r="A10" s="25">
        <v>3</v>
      </c>
      <c r="B10" s="29" t="s">
        <v>132</v>
      </c>
      <c r="C10" s="29"/>
      <c r="D10" s="25" t="s">
        <v>335</v>
      </c>
      <c r="E10" s="25">
        <v>1</v>
      </c>
      <c r="F10" s="72">
        <v>1100</v>
      </c>
    </row>
    <row r="11" spans="1:8" ht="24.6">
      <c r="A11" s="25">
        <v>4</v>
      </c>
      <c r="B11" s="29" t="s">
        <v>137</v>
      </c>
      <c r="C11" s="29"/>
      <c r="D11" s="68" t="s">
        <v>335</v>
      </c>
      <c r="E11" s="25">
        <v>1</v>
      </c>
      <c r="F11" s="72">
        <v>5000</v>
      </c>
    </row>
    <row r="12" spans="1:8" ht="25.2" thickBot="1">
      <c r="A12" s="34"/>
      <c r="B12" s="74"/>
      <c r="C12" s="74"/>
      <c r="D12" s="270"/>
      <c r="E12" s="34"/>
      <c r="F12" s="106">
        <f>SUM(F8:F11)</f>
        <v>15750</v>
      </c>
    </row>
    <row r="13" spans="1:8" ht="25.2" thickTop="1">
      <c r="A13" s="46"/>
      <c r="B13" s="272" t="s">
        <v>348</v>
      </c>
      <c r="C13" s="46"/>
      <c r="D13" s="46"/>
      <c r="E13" s="28"/>
      <c r="F13" s="46"/>
    </row>
    <row r="14" spans="1:8" ht="24.6">
      <c r="A14" s="28">
        <v>1</v>
      </c>
      <c r="B14" s="46" t="s">
        <v>73</v>
      </c>
      <c r="C14" s="267">
        <v>84282</v>
      </c>
      <c r="D14" s="268" t="s">
        <v>332</v>
      </c>
      <c r="E14" s="269">
        <v>2</v>
      </c>
      <c r="F14" s="72">
        <v>4860</v>
      </c>
    </row>
    <row r="15" spans="1:8" ht="25.2" thickBot="1">
      <c r="A15" s="74"/>
      <c r="B15" s="74"/>
      <c r="C15" s="74"/>
      <c r="D15" s="74"/>
      <c r="E15" s="34"/>
      <c r="F15" s="78">
        <f>SUM(F14)</f>
        <v>4860</v>
      </c>
    </row>
    <row r="16" spans="1:8" ht="25.2" thickTop="1">
      <c r="H16" s="264">
        <f>SUM(F12+F15)</f>
        <v>20610</v>
      </c>
    </row>
    <row r="17" ht="24.6"/>
    <row r="18" ht="24.6"/>
    <row r="19" ht="24.6"/>
    <row r="20" ht="24.6"/>
    <row r="21" ht="24.6"/>
    <row r="22" ht="24.6"/>
    <row r="23" ht="24.6"/>
    <row r="24" ht="24.6"/>
    <row r="25" ht="24.6"/>
    <row r="26" ht="24.6"/>
    <row r="27" ht="24.6"/>
    <row r="28" ht="24.6"/>
    <row r="29" ht="24.6"/>
    <row r="30" ht="24.6"/>
    <row r="31" ht="24.6"/>
    <row r="32" ht="24.6"/>
    <row r="33" ht="24.6"/>
    <row r="34" ht="24.6"/>
    <row r="35" ht="24.6"/>
    <row r="36" ht="24.6"/>
    <row r="37" ht="24.6"/>
    <row r="38" ht="24.6"/>
    <row r="39" ht="24.6"/>
    <row r="40" ht="24.6"/>
    <row r="41" ht="24.6"/>
    <row r="42" ht="24.6"/>
    <row r="43" ht="24.6"/>
    <row r="44" ht="24.6"/>
    <row r="45" ht="24.6"/>
    <row r="46" ht="24.6"/>
    <row r="47" ht="24.6"/>
    <row r="48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7DD8-3BE2-4F79-95ED-A98C5C4219C1}">
  <sheetPr codeName="Sheet1">
    <tabColor rgb="FFFFFF00"/>
  </sheetPr>
  <dimension ref="A1:AD984"/>
  <sheetViews>
    <sheetView zoomScale="90" zoomScaleNormal="90" zoomScaleSheetLayoutView="87" workbookViewId="0">
      <pane ySplit="6" topLeftCell="A198" activePane="bottomLeft" state="frozen"/>
      <selection activeCell="I147" sqref="I147"/>
      <selection pane="bottomLeft" activeCell="M213" sqref="M213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300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5.75" hidden="1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25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hidden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hidden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hidden="1">
      <c r="A12" s="25"/>
      <c r="B12" s="29"/>
      <c r="C12" s="29"/>
      <c r="D12" s="49"/>
      <c r="E12" s="25"/>
      <c r="F12" s="25"/>
      <c r="G12" s="49"/>
      <c r="H12" s="49"/>
      <c r="I12" s="49"/>
      <c r="J12" s="26"/>
      <c r="K12" s="16"/>
      <c r="L12" s="51"/>
      <c r="M12" s="25"/>
      <c r="N12" s="25"/>
      <c r="O12" s="52"/>
      <c r="P12" s="52"/>
      <c r="Q12" s="52"/>
      <c r="R12" s="53"/>
    </row>
    <row r="13" spans="1:30" ht="25.8" hidden="1" thickTop="1" thickBot="1">
      <c r="A13" s="29"/>
      <c r="B13" s="25" t="s">
        <v>26</v>
      </c>
      <c r="C13" s="29"/>
      <c r="D13" s="54">
        <v>0</v>
      </c>
      <c r="E13" s="54"/>
      <c r="F13" s="54"/>
      <c r="G13" s="54">
        <v>0</v>
      </c>
      <c r="H13" s="54">
        <v>0</v>
      </c>
      <c r="I13" s="54">
        <v>0</v>
      </c>
      <c r="J13" s="55"/>
      <c r="K13" s="55"/>
      <c r="L13" s="55"/>
      <c r="M13" s="54"/>
      <c r="N13" s="56"/>
      <c r="O13" s="54">
        <v>0</v>
      </c>
      <c r="P13" s="54">
        <v>0</v>
      </c>
      <c r="Q13" s="54">
        <v>0</v>
      </c>
      <c r="R13" s="29"/>
    </row>
    <row r="14" spans="1:30" ht="24.6" hidden="1">
      <c r="A14" s="29"/>
      <c r="B14" s="45" t="s">
        <v>33</v>
      </c>
      <c r="C14" s="29"/>
      <c r="D14" s="57"/>
      <c r="E14" s="46"/>
      <c r="F14" s="46"/>
      <c r="G14" s="57"/>
      <c r="H14" s="57"/>
      <c r="I14" s="57"/>
      <c r="J14" s="47"/>
      <c r="K14" s="48"/>
      <c r="L14" s="58"/>
      <c r="M14" s="46"/>
      <c r="N14" s="28"/>
      <c r="O14" s="57"/>
      <c r="P14" s="57"/>
      <c r="Q14" s="57"/>
      <c r="R14" s="46"/>
    </row>
    <row r="15" spans="1:30" ht="24.6" hidden="1">
      <c r="A15" s="25"/>
      <c r="B15" s="25"/>
      <c r="C15" s="29"/>
      <c r="D15" s="59"/>
      <c r="E15" s="29"/>
      <c r="F15" s="29"/>
      <c r="G15" s="59" t="s">
        <v>34</v>
      </c>
      <c r="H15" s="59" t="s">
        <v>34</v>
      </c>
      <c r="I15" s="59" t="s">
        <v>34</v>
      </c>
      <c r="J15" s="60"/>
      <c r="K15" s="61"/>
      <c r="L15" s="62"/>
      <c r="M15" s="29"/>
      <c r="N15" s="25"/>
      <c r="O15" s="59" t="s">
        <v>34</v>
      </c>
      <c r="P15" s="59" t="s">
        <v>34</v>
      </c>
      <c r="Q15" s="59" t="s">
        <v>34</v>
      </c>
      <c r="R15" s="29"/>
    </row>
    <row r="16" spans="1:30" ht="25.2" hidden="1" thickBot="1">
      <c r="A16" s="29"/>
      <c r="B16" s="25" t="s">
        <v>26</v>
      </c>
      <c r="C16" s="29"/>
      <c r="D16" s="63">
        <v>0</v>
      </c>
      <c r="E16" s="64"/>
      <c r="F16" s="64"/>
      <c r="G16" s="63">
        <v>0</v>
      </c>
      <c r="H16" s="63">
        <v>0</v>
      </c>
      <c r="I16" s="63">
        <v>0</v>
      </c>
      <c r="J16" s="65"/>
      <c r="K16" s="66"/>
      <c r="L16" s="67"/>
      <c r="M16" s="64"/>
      <c r="N16" s="41"/>
      <c r="O16" s="63">
        <v>0</v>
      </c>
      <c r="P16" s="63">
        <v>0</v>
      </c>
      <c r="Q16" s="63">
        <v>0</v>
      </c>
      <c r="R16" s="29"/>
      <c r="V16" s="49"/>
    </row>
    <row r="17" spans="1:20" ht="24.6">
      <c r="A17" s="29"/>
      <c r="B17" s="45" t="s">
        <v>35</v>
      </c>
      <c r="C17" s="29"/>
      <c r="D17" s="46"/>
      <c r="E17" s="46"/>
      <c r="F17" s="46"/>
      <c r="G17" s="46"/>
      <c r="H17" s="46"/>
      <c r="I17" s="46"/>
      <c r="J17" s="47"/>
      <c r="K17" s="48"/>
      <c r="L17" s="48"/>
      <c r="M17" s="46"/>
      <c r="N17" s="28"/>
      <c r="O17" s="46"/>
      <c r="P17" s="46"/>
      <c r="Q17" s="46"/>
      <c r="R17" s="46"/>
    </row>
    <row r="18" spans="1:20" ht="24.6">
      <c r="A18" s="25">
        <v>1</v>
      </c>
      <c r="B18" s="29" t="s">
        <v>36</v>
      </c>
      <c r="C18" s="29"/>
      <c r="D18" s="49">
        <v>0</v>
      </c>
      <c r="E18" s="68"/>
      <c r="F18" s="25"/>
      <c r="G18" s="59">
        <v>0</v>
      </c>
      <c r="H18" s="59">
        <v>0</v>
      </c>
      <c r="I18" s="59">
        <v>0</v>
      </c>
      <c r="J18" s="69"/>
      <c r="K18" s="70"/>
      <c r="L18" s="71"/>
      <c r="M18" s="68"/>
      <c r="N18" s="25"/>
      <c r="O18" s="72">
        <v>0</v>
      </c>
      <c r="P18" s="73">
        <v>0</v>
      </c>
      <c r="Q18" s="73">
        <v>0</v>
      </c>
      <c r="R18" s="29"/>
    </row>
    <row r="19" spans="1:20" ht="25.2" thickBot="1">
      <c r="A19" s="29"/>
      <c r="B19" s="29"/>
      <c r="C19" s="29"/>
      <c r="D19" s="74"/>
      <c r="E19" s="74"/>
      <c r="F19" s="74"/>
      <c r="G19" s="34"/>
      <c r="H19" s="74"/>
      <c r="I19" s="74"/>
      <c r="J19" s="75"/>
      <c r="K19" s="76"/>
      <c r="L19" s="77"/>
      <c r="M19" s="74"/>
      <c r="N19" s="34"/>
      <c r="O19" s="74"/>
      <c r="P19" s="74"/>
      <c r="Q19" s="74"/>
      <c r="R19" s="53"/>
    </row>
    <row r="20" spans="1:20" ht="25.8" thickTop="1" thickBot="1">
      <c r="A20" s="29"/>
      <c r="B20" s="25" t="s">
        <v>26</v>
      </c>
      <c r="C20" s="29"/>
      <c r="D20" s="54">
        <v>0</v>
      </c>
      <c r="E20" s="54"/>
      <c r="F20" s="54"/>
      <c r="G20" s="54">
        <v>0</v>
      </c>
      <c r="H20" s="54">
        <v>0</v>
      </c>
      <c r="I20" s="54">
        <v>0</v>
      </c>
      <c r="J20" s="55"/>
      <c r="K20" s="55"/>
      <c r="L20" s="55"/>
      <c r="M20" s="54"/>
      <c r="N20" s="56"/>
      <c r="O20" s="54">
        <v>0</v>
      </c>
      <c r="P20" s="54">
        <v>0</v>
      </c>
      <c r="Q20" s="54">
        <v>0</v>
      </c>
      <c r="R20" s="53"/>
    </row>
    <row r="21" spans="1:20" ht="25.2" hidden="1" thickTop="1">
      <c r="A21" s="29"/>
      <c r="B21" s="45" t="s">
        <v>37</v>
      </c>
      <c r="C21" s="29"/>
      <c r="D21" s="57"/>
      <c r="E21" s="46"/>
      <c r="F21" s="46"/>
      <c r="G21" s="57"/>
      <c r="H21" s="57"/>
      <c r="I21" s="57"/>
      <c r="J21" s="47"/>
      <c r="K21" s="48"/>
      <c r="L21" s="58"/>
      <c r="M21" s="46"/>
      <c r="N21" s="28"/>
      <c r="O21" s="57"/>
      <c r="P21" s="57"/>
      <c r="Q21" s="57"/>
      <c r="R21" s="29"/>
    </row>
    <row r="22" spans="1:20" ht="25.8" hidden="1" thickTop="1" thickBot="1">
      <c r="A22" s="25">
        <v>1</v>
      </c>
      <c r="B22" s="25"/>
      <c r="C22" s="29"/>
      <c r="D22" s="78"/>
      <c r="E22" s="74"/>
      <c r="F22" s="74"/>
      <c r="G22" s="78"/>
      <c r="H22" s="78"/>
      <c r="I22" s="78"/>
      <c r="J22" s="75"/>
      <c r="K22" s="76"/>
      <c r="L22" s="77"/>
      <c r="M22" s="74"/>
      <c r="N22" s="34"/>
      <c r="O22" s="78"/>
      <c r="P22" s="78"/>
      <c r="Q22" s="78"/>
      <c r="R22" s="29"/>
    </row>
    <row r="23" spans="1:20" ht="25.8" hidden="1" thickTop="1" thickBot="1">
      <c r="A23" s="25"/>
      <c r="B23" s="25" t="s">
        <v>26</v>
      </c>
      <c r="C23" s="29"/>
      <c r="D23" s="54"/>
      <c r="E23" s="79"/>
      <c r="F23" s="79"/>
      <c r="G23" s="54"/>
      <c r="H23" s="54"/>
      <c r="I23" s="54"/>
      <c r="J23" s="80"/>
      <c r="K23" s="81"/>
      <c r="L23" s="55"/>
      <c r="M23" s="79"/>
      <c r="N23" s="82"/>
      <c r="O23" s="54"/>
      <c r="P23" s="54"/>
      <c r="Q23" s="54"/>
      <c r="R23" s="46"/>
    </row>
    <row r="24" spans="1:20" ht="25.2" hidden="1" thickTop="1">
      <c r="A24" s="25"/>
      <c r="B24" s="45" t="s">
        <v>38</v>
      </c>
      <c r="C24" s="29"/>
      <c r="D24" s="57"/>
      <c r="E24" s="46"/>
      <c r="F24" s="46"/>
      <c r="G24" s="57"/>
      <c r="H24" s="57"/>
      <c r="I24" s="57"/>
      <c r="J24" s="47"/>
      <c r="K24" s="48"/>
      <c r="L24" s="58"/>
      <c r="M24" s="46"/>
      <c r="N24" s="28"/>
      <c r="O24" s="57"/>
      <c r="P24" s="57"/>
      <c r="Q24" s="57"/>
      <c r="R24" s="46"/>
    </row>
    <row r="25" spans="1:20" ht="25.8" hidden="1" thickTop="1" thickBot="1">
      <c r="A25" s="25">
        <v>1</v>
      </c>
      <c r="B25" s="25"/>
      <c r="C25" s="29"/>
      <c r="D25" s="78"/>
      <c r="E25" s="74"/>
      <c r="F25" s="74"/>
      <c r="G25" s="78"/>
      <c r="H25" s="78"/>
      <c r="I25" s="78"/>
      <c r="J25" s="75"/>
      <c r="K25" s="76"/>
      <c r="L25" s="77"/>
      <c r="M25" s="74"/>
      <c r="N25" s="34"/>
      <c r="O25" s="78"/>
      <c r="P25" s="78"/>
      <c r="Q25" s="78"/>
      <c r="R25" s="46"/>
    </row>
    <row r="26" spans="1:20" ht="25.8" hidden="1" thickTop="1" thickBot="1">
      <c r="A26" s="25"/>
      <c r="B26" s="25" t="s">
        <v>26</v>
      </c>
      <c r="C26" s="29"/>
      <c r="D26" s="63"/>
      <c r="E26" s="64"/>
      <c r="F26" s="64"/>
      <c r="G26" s="63"/>
      <c r="H26" s="63"/>
      <c r="I26" s="63"/>
      <c r="J26" s="65"/>
      <c r="K26" s="66"/>
      <c r="L26" s="67"/>
      <c r="M26" s="64"/>
      <c r="N26" s="41"/>
      <c r="O26" s="63"/>
      <c r="P26" s="63"/>
      <c r="Q26" s="63"/>
      <c r="R26" s="46"/>
    </row>
    <row r="27" spans="1:20" ht="25.2" thickTop="1">
      <c r="A27" s="29"/>
      <c r="B27" s="45" t="s">
        <v>39</v>
      </c>
      <c r="C27" s="29"/>
      <c r="D27" s="46"/>
      <c r="E27" s="46"/>
      <c r="F27" s="46"/>
      <c r="G27" s="46"/>
      <c r="H27" s="46"/>
      <c r="I27" s="46"/>
      <c r="J27" s="47"/>
      <c r="K27" s="48"/>
      <c r="L27" s="48"/>
      <c r="M27" s="46"/>
      <c r="N27" s="28"/>
      <c r="O27" s="46"/>
      <c r="P27" s="46"/>
      <c r="Q27" s="46"/>
      <c r="R27" s="46"/>
    </row>
    <row r="28" spans="1:20" ht="24.6">
      <c r="A28" s="25">
        <v>1</v>
      </c>
      <c r="B28" s="29" t="s">
        <v>40</v>
      </c>
      <c r="C28" s="29"/>
      <c r="D28" s="257">
        <v>0</v>
      </c>
      <c r="E28" s="68"/>
      <c r="F28" s="25"/>
      <c r="G28" s="52">
        <v>0</v>
      </c>
      <c r="H28" s="59">
        <v>0</v>
      </c>
      <c r="I28" s="52">
        <v>0</v>
      </c>
      <c r="J28" s="69"/>
      <c r="K28" s="70"/>
      <c r="L28" s="83"/>
      <c r="M28" s="68"/>
      <c r="N28" s="25"/>
      <c r="O28" s="72">
        <v>0</v>
      </c>
      <c r="P28" s="73">
        <v>0</v>
      </c>
      <c r="Q28" s="73">
        <v>0</v>
      </c>
      <c r="R28" s="29" t="s">
        <v>41</v>
      </c>
    </row>
    <row r="29" spans="1:20" ht="24.6">
      <c r="A29" s="25">
        <v>2</v>
      </c>
      <c r="B29" s="29" t="s">
        <v>277</v>
      </c>
      <c r="C29" s="29"/>
      <c r="D29" s="257">
        <v>535</v>
      </c>
      <c r="E29" s="25"/>
      <c r="F29" s="25"/>
      <c r="G29" s="52">
        <v>0</v>
      </c>
      <c r="H29" s="59">
        <v>0</v>
      </c>
      <c r="I29" s="52">
        <v>0</v>
      </c>
      <c r="J29" s="69">
        <v>25176</v>
      </c>
      <c r="K29" s="84" t="s">
        <v>303</v>
      </c>
      <c r="L29" s="85">
        <v>535</v>
      </c>
      <c r="M29" s="25"/>
      <c r="N29" s="25"/>
      <c r="O29" s="72">
        <v>0</v>
      </c>
      <c r="P29" s="73">
        <v>0</v>
      </c>
      <c r="Q29" s="73">
        <v>0</v>
      </c>
      <c r="R29" s="29"/>
    </row>
    <row r="30" spans="1:20" s="96" customFormat="1" ht="24.6">
      <c r="A30" s="86">
        <v>3</v>
      </c>
      <c r="B30" s="87" t="s">
        <v>44</v>
      </c>
      <c r="C30" s="88"/>
      <c r="D30" s="258">
        <v>1070</v>
      </c>
      <c r="E30" s="90"/>
      <c r="F30" s="86"/>
      <c r="G30" s="91">
        <v>0</v>
      </c>
      <c r="H30" s="92">
        <v>0</v>
      </c>
      <c r="I30" s="91">
        <v>0</v>
      </c>
      <c r="J30" s="93">
        <v>25202</v>
      </c>
      <c r="K30" s="94" t="s">
        <v>304</v>
      </c>
      <c r="L30" s="95">
        <v>1070</v>
      </c>
      <c r="M30" s="90"/>
      <c r="N30" s="86"/>
      <c r="O30" s="72">
        <v>0</v>
      </c>
      <c r="P30" s="73">
        <v>0</v>
      </c>
      <c r="Q30" s="73">
        <v>0</v>
      </c>
      <c r="R30" s="87"/>
      <c r="T30" s="97"/>
    </row>
    <row r="31" spans="1:20" ht="24.6">
      <c r="A31" s="25">
        <v>4</v>
      </c>
      <c r="B31" s="29" t="s">
        <v>46</v>
      </c>
      <c r="C31" s="29"/>
      <c r="D31" s="259">
        <v>535</v>
      </c>
      <c r="E31" s="28"/>
      <c r="F31" s="28"/>
      <c r="G31" s="99"/>
      <c r="H31" s="59"/>
      <c r="I31" s="52"/>
      <c r="J31" s="69">
        <v>25202</v>
      </c>
      <c r="K31" s="70" t="s">
        <v>305</v>
      </c>
      <c r="L31" s="100">
        <v>535</v>
      </c>
      <c r="M31" s="28"/>
      <c r="N31" s="28"/>
      <c r="O31" s="72">
        <v>0</v>
      </c>
      <c r="P31" s="101">
        <v>0</v>
      </c>
      <c r="Q31" s="101">
        <v>0</v>
      </c>
      <c r="R31" s="102" t="s">
        <v>48</v>
      </c>
    </row>
    <row r="32" spans="1:20" ht="25.2" thickBot="1">
      <c r="A32" s="29"/>
      <c r="B32" s="25" t="s">
        <v>26</v>
      </c>
      <c r="C32" s="29"/>
      <c r="D32" s="103">
        <f>SUM(D28:D31)</f>
        <v>2140</v>
      </c>
      <c r="E32" s="63"/>
      <c r="F32" s="63"/>
      <c r="G32" s="103">
        <v>0</v>
      </c>
      <c r="H32" s="103">
        <v>0</v>
      </c>
      <c r="I32" s="103">
        <v>0</v>
      </c>
      <c r="J32" s="67"/>
      <c r="K32" s="67"/>
      <c r="L32" s="104">
        <f>SUM(L29:L31)</f>
        <v>2140</v>
      </c>
      <c r="M32" s="63"/>
      <c r="N32" s="105"/>
      <c r="O32" s="106">
        <v>0</v>
      </c>
      <c r="P32" s="107">
        <v>0</v>
      </c>
      <c r="Q32" s="107">
        <v>0</v>
      </c>
      <c r="R32" s="53"/>
    </row>
    <row r="33" spans="1:18" ht="25.2" hidden="1" thickTop="1">
      <c r="A33" s="29"/>
      <c r="B33" s="45" t="s">
        <v>49</v>
      </c>
      <c r="C33" s="29"/>
      <c r="D33" s="57"/>
      <c r="E33" s="108"/>
      <c r="F33" s="108"/>
      <c r="G33" s="57"/>
      <c r="H33" s="57"/>
      <c r="I33" s="57"/>
      <c r="J33" s="47"/>
      <c r="K33" s="48"/>
      <c r="L33" s="58"/>
      <c r="M33" s="46"/>
      <c r="N33" s="28"/>
      <c r="O33" s="57"/>
      <c r="P33" s="57"/>
      <c r="Q33" s="57"/>
      <c r="R33" s="29"/>
    </row>
    <row r="34" spans="1:18" ht="16.5" hidden="1" customHeight="1" thickBot="1">
      <c r="A34" s="25">
        <v>1</v>
      </c>
      <c r="B34" s="25"/>
      <c r="C34" s="29"/>
      <c r="D34" s="78"/>
      <c r="E34" s="74"/>
      <c r="F34" s="74"/>
      <c r="G34" s="78"/>
      <c r="H34" s="78"/>
      <c r="I34" s="78"/>
      <c r="J34" s="75"/>
      <c r="K34" s="76"/>
      <c r="L34" s="77"/>
      <c r="M34" s="74"/>
      <c r="N34" s="34"/>
      <c r="O34" s="78"/>
      <c r="P34" s="78"/>
      <c r="Q34" s="78"/>
      <c r="R34" s="29"/>
    </row>
    <row r="35" spans="1:18" ht="25.8" hidden="1" thickTop="1" thickBot="1">
      <c r="A35" s="25"/>
      <c r="B35" s="25" t="s">
        <v>26</v>
      </c>
      <c r="C35" s="29"/>
      <c r="D35" s="54"/>
      <c r="E35" s="64"/>
      <c r="F35" s="64"/>
      <c r="G35" s="54"/>
      <c r="H35" s="54"/>
      <c r="I35" s="54"/>
      <c r="J35" s="80"/>
      <c r="K35" s="81"/>
      <c r="L35" s="55"/>
      <c r="M35" s="79"/>
      <c r="N35" s="82"/>
      <c r="O35" s="54"/>
      <c r="P35" s="54"/>
      <c r="Q35" s="54"/>
      <c r="R35" s="29"/>
    </row>
    <row r="36" spans="1:18" ht="25.2" hidden="1" thickTop="1">
      <c r="A36" s="25"/>
      <c r="B36" s="45" t="s">
        <v>50</v>
      </c>
      <c r="C36" s="29"/>
      <c r="D36" s="57"/>
      <c r="E36" s="109"/>
      <c r="F36" s="109"/>
      <c r="G36" s="57"/>
      <c r="H36" s="57"/>
      <c r="I36" s="57"/>
      <c r="J36" s="47"/>
      <c r="K36" s="48"/>
      <c r="L36" s="58"/>
      <c r="M36" s="46"/>
      <c r="N36" s="28"/>
      <c r="O36" s="57"/>
      <c r="P36" s="57"/>
      <c r="Q36" s="57"/>
      <c r="R36" s="29"/>
    </row>
    <row r="37" spans="1:18" ht="25.8" hidden="1" thickTop="1" thickBot="1">
      <c r="A37" s="25"/>
      <c r="B37" s="25"/>
      <c r="C37" s="29"/>
      <c r="D37" s="78"/>
      <c r="E37" s="74"/>
      <c r="F37" s="74"/>
      <c r="G37" s="78">
        <v>0</v>
      </c>
      <c r="H37" s="78">
        <v>0</v>
      </c>
      <c r="I37" s="78">
        <v>0</v>
      </c>
      <c r="J37" s="75"/>
      <c r="K37" s="76"/>
      <c r="L37" s="77"/>
      <c r="M37" s="74"/>
      <c r="N37" s="34"/>
      <c r="O37" s="110">
        <v>0</v>
      </c>
      <c r="P37" s="110">
        <v>0</v>
      </c>
      <c r="Q37" s="110">
        <v>0</v>
      </c>
      <c r="R37" s="29"/>
    </row>
    <row r="38" spans="1:18" ht="25.2" hidden="1" thickTop="1">
      <c r="A38" s="25"/>
      <c r="B38" s="25" t="s">
        <v>26</v>
      </c>
      <c r="C38" s="29"/>
      <c r="D38" s="111">
        <v>0</v>
      </c>
      <c r="E38" s="46"/>
      <c r="F38" s="46"/>
      <c r="G38" s="111">
        <v>0</v>
      </c>
      <c r="H38" s="111"/>
      <c r="I38" s="111">
        <v>0</v>
      </c>
      <c r="J38" s="112"/>
      <c r="K38" s="113"/>
      <c r="L38" s="114"/>
      <c r="M38" s="109"/>
      <c r="N38" s="115"/>
      <c r="O38" s="111">
        <v>0</v>
      </c>
      <c r="P38" s="111"/>
      <c r="Q38" s="111">
        <v>0</v>
      </c>
      <c r="R38" s="53"/>
    </row>
    <row r="39" spans="1:18" ht="25.2" hidden="1" thickTop="1">
      <c r="A39" s="25"/>
      <c r="B39" s="45" t="s">
        <v>51</v>
      </c>
      <c r="C39" s="29"/>
      <c r="D39" s="59"/>
      <c r="E39" s="109"/>
      <c r="F39" s="109"/>
      <c r="G39" s="59"/>
      <c r="H39" s="59"/>
      <c r="I39" s="59"/>
      <c r="J39" s="60"/>
      <c r="K39" s="61"/>
      <c r="L39" s="62"/>
      <c r="M39" s="29"/>
      <c r="N39" s="25"/>
      <c r="O39" s="59"/>
      <c r="P39" s="59"/>
      <c r="Q39" s="59"/>
      <c r="R39" s="29"/>
    </row>
    <row r="40" spans="1:18" ht="25.8" hidden="1" thickTop="1" thickBot="1">
      <c r="A40" s="25">
        <v>1</v>
      </c>
      <c r="B40" s="25"/>
      <c r="C40" s="29"/>
      <c r="D40" s="78"/>
      <c r="E40" s="74"/>
      <c r="F40" s="74"/>
      <c r="G40" s="78"/>
      <c r="H40" s="78"/>
      <c r="I40" s="78"/>
      <c r="J40" s="75"/>
      <c r="K40" s="76"/>
      <c r="L40" s="77"/>
      <c r="M40" s="74"/>
      <c r="N40" s="34"/>
      <c r="O40" s="78"/>
      <c r="P40" s="78"/>
      <c r="Q40" s="78"/>
      <c r="R40" s="29"/>
    </row>
    <row r="41" spans="1:18" ht="25.8" hidden="1" thickTop="1" thickBot="1">
      <c r="A41" s="25"/>
      <c r="B41" s="25" t="s">
        <v>26</v>
      </c>
      <c r="C41" s="29"/>
      <c r="D41" s="63"/>
      <c r="E41" s="79"/>
      <c r="F41" s="79"/>
      <c r="G41" s="63"/>
      <c r="H41" s="63"/>
      <c r="I41" s="63"/>
      <c r="J41" s="65"/>
      <c r="K41" s="66"/>
      <c r="L41" s="67"/>
      <c r="M41" s="64"/>
      <c r="N41" s="41"/>
      <c r="O41" s="63"/>
      <c r="P41" s="63"/>
      <c r="Q41" s="63"/>
      <c r="R41" s="29"/>
    </row>
    <row r="42" spans="1:18" ht="25.2" thickTop="1">
      <c r="A42" s="29"/>
      <c r="B42" s="45" t="s">
        <v>52</v>
      </c>
      <c r="C42" s="29"/>
      <c r="D42" s="57"/>
      <c r="E42" s="28"/>
      <c r="F42" s="28"/>
      <c r="G42" s="57"/>
      <c r="H42" s="57"/>
      <c r="I42" s="57"/>
      <c r="J42" s="47"/>
      <c r="K42" s="48"/>
      <c r="L42" s="58"/>
      <c r="M42" s="46"/>
      <c r="N42" s="28"/>
      <c r="O42" s="57"/>
      <c r="P42" s="57"/>
      <c r="Q42" s="57"/>
      <c r="R42" s="29"/>
    </row>
    <row r="43" spans="1:18" ht="24.6">
      <c r="A43" s="29"/>
      <c r="B43" s="116" t="s">
        <v>53</v>
      </c>
      <c r="C43" s="29"/>
      <c r="D43" s="57"/>
      <c r="E43" s="25"/>
      <c r="F43" s="25"/>
      <c r="G43" s="57"/>
      <c r="H43" s="57"/>
      <c r="I43" s="57"/>
      <c r="J43" s="47"/>
      <c r="K43" s="48"/>
      <c r="L43" s="58"/>
      <c r="M43" s="46"/>
      <c r="N43" s="28"/>
      <c r="O43" s="57"/>
      <c r="P43" s="57"/>
      <c r="Q43" s="57"/>
      <c r="R43" s="29"/>
    </row>
    <row r="44" spans="1:18" ht="24.6">
      <c r="A44" s="25">
        <v>1</v>
      </c>
      <c r="B44" s="29" t="s">
        <v>54</v>
      </c>
      <c r="C44" s="25" t="s">
        <v>55</v>
      </c>
      <c r="D44" s="49">
        <v>0</v>
      </c>
      <c r="E44" s="25"/>
      <c r="F44" s="25"/>
      <c r="G44" s="49">
        <v>0</v>
      </c>
      <c r="H44" s="49">
        <v>0</v>
      </c>
      <c r="I44" s="49">
        <v>0</v>
      </c>
      <c r="J44" s="26"/>
      <c r="K44" s="117"/>
      <c r="L44" s="118"/>
      <c r="M44" s="25"/>
      <c r="N44" s="25"/>
      <c r="O44" s="72">
        <f t="shared" ref="O44:O49" si="0">D44</f>
        <v>0</v>
      </c>
      <c r="P44" s="73">
        <v>0</v>
      </c>
      <c r="Q44" s="73">
        <f t="shared" ref="Q44:Q49" si="1">D44</f>
        <v>0</v>
      </c>
      <c r="R44" s="29" t="s">
        <v>56</v>
      </c>
    </row>
    <row r="45" spans="1:18" ht="24.6">
      <c r="A45" s="25">
        <v>2</v>
      </c>
      <c r="B45" s="119" t="s">
        <v>57</v>
      </c>
      <c r="C45" s="25">
        <v>259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58</v>
      </c>
    </row>
    <row r="46" spans="1:18" ht="24.6">
      <c r="A46" s="25">
        <v>3</v>
      </c>
      <c r="B46" s="119" t="s">
        <v>57</v>
      </c>
      <c r="C46" s="25">
        <v>260</v>
      </c>
      <c r="D46" s="49"/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3">
        <f t="shared" si="1"/>
        <v>0</v>
      </c>
      <c r="R46" s="29"/>
    </row>
    <row r="47" spans="1:18" ht="24.6">
      <c r="A47" s="25">
        <v>4</v>
      </c>
      <c r="B47" s="119" t="s">
        <v>57</v>
      </c>
      <c r="C47" s="25" t="s">
        <v>59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26"/>
      <c r="K47" s="16"/>
      <c r="L47" s="118"/>
      <c r="M47" s="25"/>
      <c r="N47" s="25"/>
      <c r="O47" s="72">
        <f t="shared" si="0"/>
        <v>0</v>
      </c>
      <c r="P47" s="73">
        <v>0</v>
      </c>
      <c r="Q47" s="73">
        <f t="shared" si="1"/>
        <v>0</v>
      </c>
      <c r="R47" s="29" t="s">
        <v>60</v>
      </c>
    </row>
    <row r="48" spans="1:18" ht="24.6">
      <c r="A48" s="25">
        <v>5</v>
      </c>
      <c r="B48" s="119" t="s">
        <v>57</v>
      </c>
      <c r="C48" s="25" t="s">
        <v>61</v>
      </c>
      <c r="D48" s="49">
        <v>0</v>
      </c>
      <c r="E48" s="25"/>
      <c r="F48" s="25"/>
      <c r="G48" s="49">
        <v>0</v>
      </c>
      <c r="H48" s="49">
        <v>0</v>
      </c>
      <c r="I48" s="49">
        <v>0</v>
      </c>
      <c r="J48" s="26"/>
      <c r="K48" s="16"/>
      <c r="L48" s="118"/>
      <c r="M48" s="25"/>
      <c r="N48" s="25"/>
      <c r="O48" s="72">
        <f t="shared" si="0"/>
        <v>0</v>
      </c>
      <c r="P48" s="73">
        <v>0</v>
      </c>
      <c r="Q48" s="73">
        <f t="shared" si="1"/>
        <v>0</v>
      </c>
      <c r="R48" s="29"/>
    </row>
    <row r="49" spans="1:18" ht="24.6">
      <c r="A49" s="25">
        <v>6</v>
      </c>
      <c r="B49" s="29" t="s">
        <v>62</v>
      </c>
      <c r="C49" s="25" t="s">
        <v>63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69"/>
      <c r="K49" s="70"/>
      <c r="L49" s="83"/>
      <c r="M49" s="25"/>
      <c r="N49" s="25"/>
      <c r="O49" s="72">
        <f t="shared" si="0"/>
        <v>0</v>
      </c>
      <c r="P49" s="73">
        <v>0</v>
      </c>
      <c r="Q49" s="73">
        <f t="shared" si="1"/>
        <v>0</v>
      </c>
      <c r="R49" s="29" t="s">
        <v>64</v>
      </c>
    </row>
    <row r="50" spans="1:18" ht="24.6">
      <c r="A50" s="25">
        <v>7</v>
      </c>
      <c r="B50" s="29" t="s">
        <v>65</v>
      </c>
      <c r="C50" s="25">
        <v>267</v>
      </c>
      <c r="D50" s="49">
        <v>1215</v>
      </c>
      <c r="E50" s="25"/>
      <c r="F50" s="25"/>
      <c r="G50" s="49">
        <v>0</v>
      </c>
      <c r="H50" s="49">
        <v>0</v>
      </c>
      <c r="I50" s="49">
        <v>0</v>
      </c>
      <c r="J50" s="69">
        <v>25180</v>
      </c>
      <c r="K50" s="70" t="s">
        <v>306</v>
      </c>
      <c r="L50" s="83">
        <v>1215</v>
      </c>
      <c r="M50" s="25"/>
      <c r="N50" s="25"/>
      <c r="O50" s="72">
        <f>D50+G50-L50</f>
        <v>0</v>
      </c>
      <c r="P50" s="72">
        <f t="shared" ref="P50:Q61" si="2">E50+H50-M50</f>
        <v>0</v>
      </c>
      <c r="Q50" s="72">
        <f t="shared" si="2"/>
        <v>0</v>
      </c>
      <c r="R50" s="29" t="s">
        <v>67</v>
      </c>
    </row>
    <row r="51" spans="1:18" ht="24.6">
      <c r="A51" s="25">
        <v>8</v>
      </c>
      <c r="B51" s="29" t="s">
        <v>68</v>
      </c>
      <c r="C51" s="120">
        <v>268</v>
      </c>
      <c r="D51" s="49">
        <v>0</v>
      </c>
      <c r="E51" s="25"/>
      <c r="F51" s="25"/>
      <c r="G51" s="49">
        <v>0</v>
      </c>
      <c r="H51" s="49">
        <v>0</v>
      </c>
      <c r="I51" s="49">
        <v>0</v>
      </c>
      <c r="J51" s="121"/>
      <c r="K51" s="121"/>
      <c r="L51" s="121"/>
      <c r="M51" s="25"/>
      <c r="N51" s="25"/>
      <c r="O51" s="72">
        <f t="shared" ref="O51:O62" si="3">D51+G51-L51</f>
        <v>0</v>
      </c>
      <c r="P51" s="73">
        <v>0</v>
      </c>
      <c r="Q51" s="72">
        <f t="shared" si="2"/>
        <v>0</v>
      </c>
      <c r="R51" s="29" t="s">
        <v>69</v>
      </c>
    </row>
    <row r="52" spans="1:18" ht="24.6">
      <c r="A52" s="25">
        <v>9</v>
      </c>
      <c r="B52" s="29" t="s">
        <v>70</v>
      </c>
      <c r="C52" s="25" t="s">
        <v>71</v>
      </c>
      <c r="D52" s="49">
        <v>2430</v>
      </c>
      <c r="E52" s="25"/>
      <c r="F52" s="25"/>
      <c r="G52" s="49">
        <v>0</v>
      </c>
      <c r="H52" s="49">
        <v>0</v>
      </c>
      <c r="I52" s="49">
        <v>0</v>
      </c>
      <c r="J52" s="69">
        <v>25181</v>
      </c>
      <c r="K52" s="70" t="s">
        <v>307</v>
      </c>
      <c r="L52" s="83">
        <v>2430</v>
      </c>
      <c r="M52" s="25"/>
      <c r="N52" s="25"/>
      <c r="O52" s="72">
        <f t="shared" si="3"/>
        <v>0</v>
      </c>
      <c r="P52" s="73">
        <v>0</v>
      </c>
      <c r="Q52" s="72">
        <f t="shared" si="2"/>
        <v>0</v>
      </c>
      <c r="R52" s="29"/>
    </row>
    <row r="53" spans="1:18" ht="24.6">
      <c r="A53" s="25">
        <v>10</v>
      </c>
      <c r="B53" s="29" t="s">
        <v>73</v>
      </c>
      <c r="C53" s="120">
        <v>84282</v>
      </c>
      <c r="D53" s="49">
        <v>2430</v>
      </c>
      <c r="E53" s="25">
        <v>25143</v>
      </c>
      <c r="F53" s="25">
        <v>1</v>
      </c>
      <c r="G53" s="49">
        <v>2430</v>
      </c>
      <c r="H53" s="49">
        <v>0</v>
      </c>
      <c r="I53" s="49">
        <v>2430</v>
      </c>
      <c r="J53" s="69">
        <v>25198</v>
      </c>
      <c r="K53" s="70" t="s">
        <v>308</v>
      </c>
      <c r="L53" s="83">
        <v>2430</v>
      </c>
      <c r="M53" s="122">
        <v>25173</v>
      </c>
      <c r="N53" s="123">
        <v>1</v>
      </c>
      <c r="O53" s="72">
        <f>D53+G53-L53</f>
        <v>2430</v>
      </c>
      <c r="P53" s="73">
        <v>0</v>
      </c>
      <c r="Q53" s="72">
        <f>D53+I53-L53</f>
        <v>2430</v>
      </c>
      <c r="R53" s="29"/>
    </row>
    <row r="54" spans="1:18" ht="24.6">
      <c r="A54" s="25">
        <v>11</v>
      </c>
      <c r="B54" s="29" t="s">
        <v>76</v>
      </c>
      <c r="C54" s="25">
        <v>281</v>
      </c>
      <c r="D54" s="49">
        <v>0</v>
      </c>
      <c r="E54" s="25"/>
      <c r="F54" s="25"/>
      <c r="G54" s="49">
        <v>0</v>
      </c>
      <c r="H54" s="49">
        <v>0</v>
      </c>
      <c r="I54" s="49">
        <v>0</v>
      </c>
      <c r="J54" s="69"/>
      <c r="K54" s="70"/>
      <c r="L54" s="83"/>
      <c r="M54" s="25"/>
      <c r="N54" s="25"/>
      <c r="O54" s="72">
        <f t="shared" si="3"/>
        <v>0</v>
      </c>
      <c r="P54" s="73">
        <v>0</v>
      </c>
      <c r="Q54" s="72">
        <f t="shared" si="2"/>
        <v>0</v>
      </c>
      <c r="R54" s="29" t="s">
        <v>77</v>
      </c>
    </row>
    <row r="55" spans="1:18" ht="24.6">
      <c r="A55" s="25">
        <v>12</v>
      </c>
      <c r="B55" s="29" t="s">
        <v>57</v>
      </c>
      <c r="C55" s="25">
        <v>280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3"/>
        <v>0</v>
      </c>
      <c r="P55" s="73">
        <v>0</v>
      </c>
      <c r="Q55" s="72">
        <f t="shared" si="2"/>
        <v>0</v>
      </c>
      <c r="R55" s="29"/>
    </row>
    <row r="56" spans="1:18" ht="24.6">
      <c r="A56" s="25">
        <v>13</v>
      </c>
      <c r="B56" s="29" t="s">
        <v>78</v>
      </c>
      <c r="C56" s="25" t="s">
        <v>79</v>
      </c>
      <c r="D56" s="49">
        <v>2430</v>
      </c>
      <c r="E56" s="25"/>
      <c r="F56" s="25"/>
      <c r="G56" s="49">
        <v>0</v>
      </c>
      <c r="H56" s="49">
        <v>0</v>
      </c>
      <c r="I56" s="49">
        <v>0</v>
      </c>
      <c r="J56" s="69">
        <v>25181</v>
      </c>
      <c r="K56" s="70" t="s">
        <v>309</v>
      </c>
      <c r="L56" s="83">
        <v>2430</v>
      </c>
      <c r="M56" s="25"/>
      <c r="N56" s="25"/>
      <c r="O56" s="72">
        <f t="shared" si="3"/>
        <v>0</v>
      </c>
      <c r="P56" s="73">
        <v>0</v>
      </c>
      <c r="Q56" s="72">
        <f t="shared" si="2"/>
        <v>0</v>
      </c>
      <c r="R56" s="29"/>
    </row>
    <row r="57" spans="1:18" ht="24.6">
      <c r="A57" s="25">
        <v>14</v>
      </c>
      <c r="B57" s="29" t="s">
        <v>81</v>
      </c>
      <c r="C57" s="25" t="s">
        <v>82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69"/>
      <c r="K57" s="70"/>
      <c r="L57" s="83"/>
      <c r="M57" s="25"/>
      <c r="N57" s="25"/>
      <c r="O57" s="72">
        <f t="shared" si="3"/>
        <v>0</v>
      </c>
      <c r="P57" s="73">
        <v>0</v>
      </c>
      <c r="Q57" s="72">
        <f t="shared" si="2"/>
        <v>0</v>
      </c>
      <c r="R57" s="29"/>
    </row>
    <row r="58" spans="1:18" ht="24.6">
      <c r="A58" s="25">
        <v>15</v>
      </c>
      <c r="B58" s="29" t="s">
        <v>83</v>
      </c>
      <c r="C58" s="25">
        <v>277</v>
      </c>
      <c r="D58" s="49">
        <v>1215</v>
      </c>
      <c r="E58" s="25"/>
      <c r="F58" s="25"/>
      <c r="G58" s="49">
        <v>0</v>
      </c>
      <c r="H58" s="49">
        <v>0</v>
      </c>
      <c r="I58" s="49">
        <v>0</v>
      </c>
      <c r="J58" s="69">
        <v>25202</v>
      </c>
      <c r="K58" s="70" t="s">
        <v>310</v>
      </c>
      <c r="L58" s="83">
        <v>1215</v>
      </c>
      <c r="M58" s="25"/>
      <c r="N58" s="25"/>
      <c r="O58" s="72">
        <f t="shared" si="3"/>
        <v>0</v>
      </c>
      <c r="P58" s="73">
        <v>0</v>
      </c>
      <c r="Q58" s="72">
        <f t="shared" si="2"/>
        <v>0</v>
      </c>
      <c r="R58" s="29"/>
    </row>
    <row r="59" spans="1:18" ht="24.6">
      <c r="A59" s="25">
        <v>16</v>
      </c>
      <c r="B59" s="29" t="s">
        <v>85</v>
      </c>
      <c r="C59" s="25" t="s">
        <v>86</v>
      </c>
      <c r="D59" s="49">
        <v>0</v>
      </c>
      <c r="E59" s="25"/>
      <c r="F59" s="25"/>
      <c r="G59" s="49">
        <v>0</v>
      </c>
      <c r="H59" s="49">
        <v>0</v>
      </c>
      <c r="I59" s="49">
        <v>0</v>
      </c>
      <c r="J59" s="26"/>
      <c r="K59" s="16"/>
      <c r="L59" s="118"/>
      <c r="M59" s="25"/>
      <c r="N59" s="25"/>
      <c r="O59" s="72">
        <f t="shared" si="3"/>
        <v>0</v>
      </c>
      <c r="P59" s="73">
        <v>0</v>
      </c>
      <c r="Q59" s="72">
        <f t="shared" si="2"/>
        <v>0</v>
      </c>
      <c r="R59" s="29" t="s">
        <v>87</v>
      </c>
    </row>
    <row r="60" spans="1:18" ht="24.6">
      <c r="A60" s="25">
        <v>17</v>
      </c>
      <c r="B60" s="29" t="s">
        <v>57</v>
      </c>
      <c r="C60" s="25" t="s">
        <v>88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3"/>
        <v>0</v>
      </c>
      <c r="P60" s="73">
        <v>0</v>
      </c>
      <c r="Q60" s="72">
        <f t="shared" si="2"/>
        <v>0</v>
      </c>
      <c r="R60" s="29"/>
    </row>
    <row r="61" spans="1:18" ht="24.6">
      <c r="A61" s="25"/>
      <c r="B61" s="116" t="s">
        <v>89</v>
      </c>
      <c r="C61" s="29"/>
      <c r="D61" s="29"/>
      <c r="E61" s="25"/>
      <c r="F61" s="25"/>
      <c r="G61" s="2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si="3"/>
        <v>0</v>
      </c>
      <c r="P61" s="49"/>
      <c r="Q61" s="72">
        <f t="shared" si="2"/>
        <v>0</v>
      </c>
      <c r="R61" s="29"/>
    </row>
    <row r="62" spans="1:18" ht="24.6">
      <c r="A62" s="25">
        <v>1</v>
      </c>
      <c r="B62" s="29" t="s">
        <v>57</v>
      </c>
      <c r="C62" s="25" t="s">
        <v>90</v>
      </c>
      <c r="D62" s="49">
        <v>0</v>
      </c>
      <c r="E62" s="25"/>
      <c r="F62" s="25"/>
      <c r="G62" s="49">
        <v>0</v>
      </c>
      <c r="H62" s="49">
        <v>0</v>
      </c>
      <c r="I62" s="49">
        <v>0</v>
      </c>
      <c r="J62" s="26"/>
      <c r="K62" s="16"/>
      <c r="L62" s="118"/>
      <c r="M62" s="25"/>
      <c r="N62" s="25"/>
      <c r="O62" s="72">
        <f t="shared" si="3"/>
        <v>0</v>
      </c>
      <c r="P62" s="73">
        <v>0</v>
      </c>
      <c r="Q62" s="73">
        <f t="shared" ref="Q62:Q72" si="4">D62+I62</f>
        <v>0</v>
      </c>
      <c r="R62" s="29" t="s">
        <v>91</v>
      </c>
    </row>
    <row r="63" spans="1:18" ht="24.6">
      <c r="A63" s="25">
        <v>2</v>
      </c>
      <c r="B63" s="119" t="s">
        <v>57</v>
      </c>
      <c r="C63" s="25" t="s">
        <v>92</v>
      </c>
      <c r="D63" s="49"/>
      <c r="E63" s="25"/>
      <c r="F63" s="25"/>
      <c r="G63" s="49">
        <v>0</v>
      </c>
      <c r="H63" s="49"/>
      <c r="I63" s="49">
        <v>0</v>
      </c>
      <c r="J63" s="26"/>
      <c r="K63" s="16"/>
      <c r="L63" s="118"/>
      <c r="M63" s="25"/>
      <c r="N63" s="25"/>
      <c r="O63" s="72">
        <f t="shared" ref="O63:O72" si="5">D63+G63</f>
        <v>0</v>
      </c>
      <c r="P63" s="49"/>
      <c r="Q63" s="73">
        <f t="shared" si="4"/>
        <v>0</v>
      </c>
      <c r="R63" s="29"/>
    </row>
    <row r="64" spans="1:18" ht="24.6">
      <c r="A64" s="25">
        <v>3</v>
      </c>
      <c r="B64" s="29" t="s">
        <v>93</v>
      </c>
      <c r="C64" s="25" t="s">
        <v>94</v>
      </c>
      <c r="D64" s="49">
        <v>0</v>
      </c>
      <c r="E64" s="25"/>
      <c r="F64" s="25"/>
      <c r="G64" s="89">
        <v>0</v>
      </c>
      <c r="H64" s="89">
        <v>0</v>
      </c>
      <c r="I64" s="89">
        <v>0</v>
      </c>
      <c r="J64" s="69"/>
      <c r="K64" s="84"/>
      <c r="L64" s="83"/>
      <c r="M64" s="25"/>
      <c r="N64" s="25"/>
      <c r="O64" s="72">
        <f t="shared" si="5"/>
        <v>0</v>
      </c>
      <c r="P64" s="73">
        <v>0</v>
      </c>
      <c r="Q64" s="73">
        <f t="shared" si="4"/>
        <v>0</v>
      </c>
      <c r="R64" s="29"/>
    </row>
    <row r="65" spans="1:20" ht="24.6">
      <c r="A65" s="25">
        <v>4</v>
      </c>
      <c r="B65" s="119" t="s">
        <v>57</v>
      </c>
      <c r="C65" s="25" t="s">
        <v>95</v>
      </c>
      <c r="D65" s="52">
        <v>0</v>
      </c>
      <c r="E65" s="25"/>
      <c r="F65" s="25"/>
      <c r="G65" s="49">
        <v>0</v>
      </c>
      <c r="H65" s="49"/>
      <c r="I65" s="49">
        <v>0</v>
      </c>
      <c r="J65" s="69"/>
      <c r="K65" s="84"/>
      <c r="L65" s="83"/>
      <c r="M65" s="25"/>
      <c r="N65" s="25"/>
      <c r="O65" s="72">
        <f t="shared" si="5"/>
        <v>0</v>
      </c>
      <c r="P65" s="49"/>
      <c r="Q65" s="73">
        <f t="shared" si="4"/>
        <v>0</v>
      </c>
      <c r="R65" s="29"/>
    </row>
    <row r="66" spans="1:20" ht="24.6">
      <c r="A66" s="25">
        <v>5</v>
      </c>
      <c r="B66" s="29" t="s">
        <v>40</v>
      </c>
      <c r="C66" s="25" t="s">
        <v>96</v>
      </c>
      <c r="D66" s="49">
        <v>0</v>
      </c>
      <c r="E66" s="25"/>
      <c r="F66" s="25"/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5"/>
        <v>0</v>
      </c>
      <c r="P66" s="73">
        <v>0</v>
      </c>
      <c r="Q66" s="73">
        <f t="shared" si="4"/>
        <v>0</v>
      </c>
      <c r="R66" s="29" t="s">
        <v>41</v>
      </c>
    </row>
    <row r="67" spans="1:20" ht="24.6">
      <c r="A67" s="25"/>
      <c r="B67" s="53"/>
      <c r="C67" s="25"/>
      <c r="D67" s="49"/>
      <c r="E67" s="25"/>
      <c r="F67" s="25"/>
      <c r="G67" s="4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5"/>
        <v>0</v>
      </c>
      <c r="P67" s="49"/>
      <c r="Q67" s="73">
        <f t="shared" si="4"/>
        <v>0</v>
      </c>
      <c r="R67" s="29"/>
    </row>
    <row r="68" spans="1:20" ht="24.6">
      <c r="A68" s="25"/>
      <c r="B68" s="124" t="s">
        <v>97</v>
      </c>
      <c r="C68" s="29"/>
      <c r="D68" s="29"/>
      <c r="E68" s="25"/>
      <c r="F68" s="25"/>
      <c r="G68" s="29">
        <v>0</v>
      </c>
      <c r="H68" s="49"/>
      <c r="I68" s="49">
        <v>0</v>
      </c>
      <c r="J68" s="26"/>
      <c r="K68" s="16"/>
      <c r="L68" s="118"/>
      <c r="M68" s="25"/>
      <c r="N68" s="25"/>
      <c r="O68" s="72">
        <f t="shared" si="5"/>
        <v>0</v>
      </c>
      <c r="P68" s="49"/>
      <c r="Q68" s="73">
        <f t="shared" si="4"/>
        <v>0</v>
      </c>
      <c r="R68" s="29"/>
    </row>
    <row r="69" spans="1:20" ht="24.6">
      <c r="A69" s="25">
        <v>1</v>
      </c>
      <c r="B69" s="125" t="s">
        <v>98</v>
      </c>
      <c r="C69" s="25" t="s">
        <v>99</v>
      </c>
      <c r="D69" s="49">
        <v>0</v>
      </c>
      <c r="E69" s="68"/>
      <c r="F69" s="25"/>
      <c r="G69" s="49">
        <v>0</v>
      </c>
      <c r="H69" s="49">
        <v>0</v>
      </c>
      <c r="I69" s="49">
        <v>0</v>
      </c>
      <c r="J69" s="69"/>
      <c r="K69" s="70"/>
      <c r="L69" s="83"/>
      <c r="M69" s="25"/>
      <c r="N69" s="25"/>
      <c r="O69" s="72">
        <f t="shared" si="5"/>
        <v>0</v>
      </c>
      <c r="P69" s="73">
        <v>0</v>
      </c>
      <c r="Q69" s="73">
        <f t="shared" si="4"/>
        <v>0</v>
      </c>
      <c r="R69" s="29" t="s">
        <v>100</v>
      </c>
      <c r="T69" s="2" t="s">
        <v>101</v>
      </c>
    </row>
    <row r="70" spans="1:20" ht="24.6">
      <c r="A70" s="25"/>
      <c r="B70" s="116" t="s">
        <v>102</v>
      </c>
      <c r="C70" s="29"/>
      <c r="D70" s="29"/>
      <c r="E70" s="25"/>
      <c r="F70" s="25"/>
      <c r="G70" s="29">
        <v>0</v>
      </c>
      <c r="H70" s="49"/>
      <c r="I70" s="49">
        <v>0</v>
      </c>
      <c r="J70" s="69"/>
      <c r="K70" s="70"/>
      <c r="L70" s="83"/>
      <c r="M70" s="25"/>
      <c r="N70" s="25"/>
      <c r="O70" s="72">
        <f t="shared" si="5"/>
        <v>0</v>
      </c>
      <c r="P70" s="49"/>
      <c r="Q70" s="73">
        <f t="shared" si="4"/>
        <v>0</v>
      </c>
      <c r="R70" s="29"/>
    </row>
    <row r="71" spans="1:20" ht="20.25" customHeight="1">
      <c r="A71" s="25">
        <v>1</v>
      </c>
      <c r="B71" s="29" t="s">
        <v>36</v>
      </c>
      <c r="C71" s="29"/>
      <c r="D71" s="49">
        <v>0</v>
      </c>
      <c r="E71" s="25"/>
      <c r="F71" s="25"/>
      <c r="G71" s="49">
        <v>0</v>
      </c>
      <c r="H71" s="49">
        <v>0</v>
      </c>
      <c r="I71" s="49">
        <v>0</v>
      </c>
      <c r="J71" s="69"/>
      <c r="K71" s="84"/>
      <c r="L71" s="83"/>
      <c r="M71" s="25"/>
      <c r="N71" s="25"/>
      <c r="O71" s="72">
        <f t="shared" si="5"/>
        <v>0</v>
      </c>
      <c r="P71" s="73">
        <v>0</v>
      </c>
      <c r="Q71" s="73">
        <f t="shared" si="4"/>
        <v>0</v>
      </c>
      <c r="R71" s="29" t="s">
        <v>103</v>
      </c>
    </row>
    <row r="72" spans="1:20" ht="24.6">
      <c r="A72" s="25"/>
      <c r="B72" s="116" t="s">
        <v>104</v>
      </c>
      <c r="C72" s="29"/>
      <c r="D72" s="29"/>
      <c r="E72" s="25"/>
      <c r="F72" s="25"/>
      <c r="G72" s="49">
        <v>0</v>
      </c>
      <c r="H72" s="49"/>
      <c r="I72" s="49">
        <v>0</v>
      </c>
      <c r="J72" s="69"/>
      <c r="K72" s="84"/>
      <c r="L72" s="83"/>
      <c r="M72" s="25"/>
      <c r="N72" s="25"/>
      <c r="O72" s="72">
        <f t="shared" si="5"/>
        <v>0</v>
      </c>
      <c r="P72" s="49"/>
      <c r="Q72" s="73">
        <f t="shared" si="4"/>
        <v>0</v>
      </c>
      <c r="R72" s="29"/>
    </row>
    <row r="73" spans="1:20" ht="24.6">
      <c r="A73" s="25">
        <v>1</v>
      </c>
      <c r="B73" s="29" t="s">
        <v>105</v>
      </c>
      <c r="C73" s="29"/>
      <c r="D73" s="49">
        <v>5000</v>
      </c>
      <c r="E73" s="126">
        <v>25143</v>
      </c>
      <c r="F73" s="25">
        <v>1</v>
      </c>
      <c r="G73" s="49">
        <v>5000</v>
      </c>
      <c r="H73" s="49">
        <v>0</v>
      </c>
      <c r="I73" s="49">
        <v>5000</v>
      </c>
      <c r="J73" s="69">
        <v>25181</v>
      </c>
      <c r="K73" s="70" t="s">
        <v>311</v>
      </c>
      <c r="L73" s="83">
        <v>10000</v>
      </c>
      <c r="M73" s="126"/>
      <c r="N73" s="25"/>
      <c r="O73" s="72">
        <f>D73+G73-L73</f>
        <v>0</v>
      </c>
      <c r="P73" s="73">
        <v>0</v>
      </c>
      <c r="Q73" s="73">
        <f>D73+I73-L73</f>
        <v>0</v>
      </c>
      <c r="R73" s="29"/>
    </row>
    <row r="74" spans="1:20" ht="24.6">
      <c r="A74" s="25">
        <v>2</v>
      </c>
      <c r="B74" s="29" t="s">
        <v>105</v>
      </c>
      <c r="C74" s="29"/>
      <c r="D74" s="49">
        <v>4650</v>
      </c>
      <c r="E74" s="126">
        <v>25143</v>
      </c>
      <c r="F74" s="25">
        <v>1</v>
      </c>
      <c r="G74" s="49">
        <v>4650</v>
      </c>
      <c r="H74" s="49">
        <v>0</v>
      </c>
      <c r="I74" s="49">
        <v>4650</v>
      </c>
      <c r="J74" s="69">
        <v>25181</v>
      </c>
      <c r="K74" s="70" t="s">
        <v>312</v>
      </c>
      <c r="L74" s="83">
        <v>9300</v>
      </c>
      <c r="M74" s="126"/>
      <c r="N74" s="25"/>
      <c r="O74" s="72">
        <f>D74+G74-L74</f>
        <v>0</v>
      </c>
      <c r="P74" s="73">
        <v>0</v>
      </c>
      <c r="Q74" s="73">
        <f>D74+I74-L74</f>
        <v>0</v>
      </c>
      <c r="R74" s="29" t="s">
        <v>108</v>
      </c>
    </row>
    <row r="75" spans="1:20" ht="24.6">
      <c r="A75" s="25">
        <v>3</v>
      </c>
      <c r="B75" s="29" t="s">
        <v>109</v>
      </c>
      <c r="C75" s="53"/>
      <c r="D75" s="127">
        <v>3450</v>
      </c>
      <c r="E75" s="25"/>
      <c r="F75" s="25"/>
      <c r="G75" s="127">
        <v>0</v>
      </c>
      <c r="H75" s="127">
        <v>0</v>
      </c>
      <c r="I75" s="49">
        <v>0</v>
      </c>
      <c r="J75" s="128">
        <v>25177</v>
      </c>
      <c r="K75" s="129" t="s">
        <v>313</v>
      </c>
      <c r="L75" s="130">
        <v>3450</v>
      </c>
      <c r="M75" s="25"/>
      <c r="N75" s="25"/>
      <c r="O75" s="72">
        <f>D75+G75-L75</f>
        <v>0</v>
      </c>
      <c r="P75" s="73">
        <v>0</v>
      </c>
      <c r="Q75" s="73">
        <f>D75+I75-L75</f>
        <v>0</v>
      </c>
      <c r="R75" s="29" t="s">
        <v>111</v>
      </c>
    </row>
    <row r="76" spans="1:20" ht="24.6">
      <c r="A76" s="25">
        <v>4</v>
      </c>
      <c r="B76" s="29" t="s">
        <v>112</v>
      </c>
      <c r="C76" s="29"/>
      <c r="D76" s="49">
        <v>3795</v>
      </c>
      <c r="E76" s="25"/>
      <c r="F76" s="25"/>
      <c r="G76" s="49">
        <v>0</v>
      </c>
      <c r="H76" s="49">
        <v>0</v>
      </c>
      <c r="I76" s="49">
        <v>0</v>
      </c>
      <c r="J76" s="128">
        <v>25177</v>
      </c>
      <c r="K76" s="129" t="s">
        <v>314</v>
      </c>
      <c r="L76" s="130">
        <v>3795</v>
      </c>
      <c r="M76" s="25"/>
      <c r="N76" s="25"/>
      <c r="O76" s="72">
        <f>D76+G76-L76</f>
        <v>0</v>
      </c>
      <c r="P76" s="73">
        <v>0</v>
      </c>
      <c r="Q76" s="73">
        <f>D76+I76-L76</f>
        <v>0</v>
      </c>
      <c r="R76" s="131" t="s">
        <v>114</v>
      </c>
    </row>
    <row r="77" spans="1:20" ht="25.5" customHeight="1">
      <c r="A77" s="25">
        <v>5</v>
      </c>
      <c r="B77" s="132" t="s">
        <v>115</v>
      </c>
      <c r="C77" s="132"/>
      <c r="D77" s="133">
        <v>8000</v>
      </c>
      <c r="E77" s="29"/>
      <c r="F77" s="29"/>
      <c r="G77" s="134">
        <v>0</v>
      </c>
      <c r="H77" s="134">
        <v>0</v>
      </c>
      <c r="I77" s="134">
        <v>0</v>
      </c>
      <c r="J77" s="128">
        <v>25177</v>
      </c>
      <c r="K77" s="129" t="s">
        <v>315</v>
      </c>
      <c r="L77" s="130">
        <v>8000</v>
      </c>
      <c r="M77" s="29"/>
      <c r="N77" s="25"/>
      <c r="O77" s="72">
        <f>D77+G77-L77</f>
        <v>0</v>
      </c>
      <c r="P77" s="73">
        <v>0</v>
      </c>
      <c r="Q77" s="73">
        <f>D77+I77-L77</f>
        <v>0</v>
      </c>
    </row>
    <row r="78" spans="1:20" ht="25.2" thickBot="1">
      <c r="A78" s="29"/>
      <c r="B78" s="25" t="s">
        <v>26</v>
      </c>
      <c r="C78" s="74"/>
      <c r="D78" s="78">
        <f>SUM(D44:D77)</f>
        <v>34615</v>
      </c>
      <c r="E78" s="78"/>
      <c r="F78" s="78"/>
      <c r="G78" s="78">
        <f>SUM(G44:G77)</f>
        <v>12080</v>
      </c>
      <c r="H78" s="78">
        <f>SUM(H44:H77)</f>
        <v>0</v>
      </c>
      <c r="I78" s="78">
        <f>SUM(I44:I77)</f>
        <v>12080</v>
      </c>
      <c r="J78" s="77"/>
      <c r="K78" s="77"/>
      <c r="L78" s="77">
        <f>SUM(L44:L77)</f>
        <v>44265</v>
      </c>
      <c r="M78" s="78"/>
      <c r="N78" s="135"/>
      <c r="O78" s="106">
        <f>SUM(O44:O77)</f>
        <v>2430</v>
      </c>
      <c r="P78" s="78">
        <v>0</v>
      </c>
      <c r="Q78" s="136">
        <f>SUM(Q44:Q77)</f>
        <v>2430</v>
      </c>
      <c r="R78" s="29"/>
    </row>
    <row r="79" spans="1:20" ht="25.2" thickTop="1">
      <c r="A79" s="29"/>
      <c r="B79" s="116" t="s">
        <v>117</v>
      </c>
      <c r="C79" s="46"/>
      <c r="D79" s="46"/>
      <c r="E79" s="28"/>
      <c r="F79" s="28"/>
      <c r="G79" s="46"/>
      <c r="H79" s="46"/>
      <c r="I79" s="46"/>
      <c r="J79" s="137"/>
      <c r="K79" s="138"/>
      <c r="L79" s="139"/>
      <c r="M79" s="28"/>
      <c r="N79" s="28"/>
      <c r="O79" s="72">
        <v>0</v>
      </c>
      <c r="P79" s="46"/>
      <c r="Q79" s="140">
        <v>0</v>
      </c>
      <c r="R79" s="46"/>
    </row>
    <row r="80" spans="1:20" ht="24.6">
      <c r="A80" s="29"/>
      <c r="B80" s="116" t="s">
        <v>118</v>
      </c>
      <c r="C80" s="46"/>
      <c r="D80" s="46"/>
      <c r="E80" s="25"/>
      <c r="F80" s="28"/>
      <c r="G80" s="46"/>
      <c r="H80" s="46"/>
      <c r="I80" s="46"/>
      <c r="J80" s="137"/>
      <c r="K80" s="138"/>
      <c r="L80" s="139"/>
      <c r="M80" s="28"/>
      <c r="N80" s="28"/>
      <c r="O80" s="72">
        <v>0</v>
      </c>
      <c r="P80" s="46"/>
      <c r="Q80" s="73">
        <v>0</v>
      </c>
      <c r="R80" s="29"/>
    </row>
    <row r="81" spans="1:18" ht="24.6">
      <c r="A81" s="25">
        <v>1</v>
      </c>
      <c r="B81" s="119" t="s">
        <v>119</v>
      </c>
      <c r="C81" s="46"/>
      <c r="D81" s="98">
        <v>0</v>
      </c>
      <c r="E81" s="25"/>
      <c r="F81" s="28"/>
      <c r="G81" s="49">
        <v>0</v>
      </c>
      <c r="H81" s="49">
        <v>0</v>
      </c>
      <c r="I81" s="49">
        <v>0</v>
      </c>
      <c r="J81" s="26"/>
      <c r="K81" s="16"/>
      <c r="L81" s="118">
        <v>0</v>
      </c>
      <c r="M81" s="119"/>
      <c r="N81" s="28"/>
      <c r="O81" s="72">
        <v>0</v>
      </c>
      <c r="P81" s="141">
        <v>0</v>
      </c>
      <c r="Q81" s="73">
        <v>0</v>
      </c>
      <c r="R81" s="29" t="s">
        <v>120</v>
      </c>
    </row>
    <row r="82" spans="1:18" ht="24.6">
      <c r="A82" s="25"/>
      <c r="B82" s="29" t="s">
        <v>120</v>
      </c>
      <c r="C82" s="46"/>
      <c r="D82" s="98"/>
      <c r="E82" s="25"/>
      <c r="F82" s="28"/>
      <c r="G82" s="49"/>
      <c r="H82" s="49"/>
      <c r="I82" s="49"/>
      <c r="J82" s="26"/>
      <c r="K82" s="16"/>
      <c r="L82" s="118"/>
      <c r="M82" s="25"/>
      <c r="N82" s="28"/>
      <c r="O82" s="72">
        <v>0</v>
      </c>
      <c r="P82" s="46"/>
      <c r="Q82" s="73">
        <v>0</v>
      </c>
      <c r="R82" s="29"/>
    </row>
    <row r="83" spans="1:18" ht="24.6">
      <c r="A83" s="25">
        <v>2</v>
      </c>
      <c r="B83" s="119" t="s">
        <v>121</v>
      </c>
      <c r="C83" s="46"/>
      <c r="D83" s="98">
        <v>6000</v>
      </c>
      <c r="E83" s="25"/>
      <c r="F83" s="25"/>
      <c r="G83" s="49">
        <v>0</v>
      </c>
      <c r="H83" s="49">
        <v>0</v>
      </c>
      <c r="I83" s="49">
        <v>0</v>
      </c>
      <c r="J83" s="69">
        <v>25180</v>
      </c>
      <c r="K83" s="70" t="s">
        <v>316</v>
      </c>
      <c r="L83" s="83">
        <v>6000</v>
      </c>
      <c r="M83" s="25"/>
      <c r="N83" s="25"/>
      <c r="O83" s="72">
        <v>0</v>
      </c>
      <c r="P83" s="73">
        <v>0</v>
      </c>
      <c r="Q83" s="73">
        <v>0</v>
      </c>
      <c r="R83" s="29"/>
    </row>
    <row r="84" spans="1:18" ht="24.6">
      <c r="A84" s="29"/>
      <c r="B84" s="45" t="s">
        <v>123</v>
      </c>
      <c r="C84" s="46"/>
      <c r="D84" s="46"/>
      <c r="E84" s="28"/>
      <c r="F84" s="28"/>
      <c r="G84" s="46"/>
      <c r="H84" s="46"/>
      <c r="I84" s="49"/>
      <c r="J84" s="142"/>
      <c r="K84" s="143"/>
      <c r="L84" s="144"/>
      <c r="M84" s="28"/>
      <c r="N84" s="28"/>
      <c r="O84" s="72">
        <v>0</v>
      </c>
      <c r="P84" s="46"/>
      <c r="Q84" s="73">
        <v>0</v>
      </c>
      <c r="R84" s="29"/>
    </row>
    <row r="85" spans="1:18" ht="24.6">
      <c r="A85" s="25">
        <v>1</v>
      </c>
      <c r="B85" s="29" t="s">
        <v>124</v>
      </c>
      <c r="C85" s="29"/>
      <c r="D85" s="49">
        <v>600</v>
      </c>
      <c r="E85" s="25"/>
      <c r="F85" s="25"/>
      <c r="G85" s="49">
        <v>0</v>
      </c>
      <c r="H85" s="49">
        <v>0</v>
      </c>
      <c r="I85" s="49">
        <v>0</v>
      </c>
      <c r="J85" s="69">
        <v>25194</v>
      </c>
      <c r="K85" s="70" t="s">
        <v>317</v>
      </c>
      <c r="L85" s="83">
        <v>600</v>
      </c>
      <c r="M85" s="25"/>
      <c r="N85" s="25"/>
      <c r="O85" s="72">
        <v>0</v>
      </c>
      <c r="P85" s="73">
        <v>0</v>
      </c>
      <c r="Q85" s="73">
        <v>0</v>
      </c>
      <c r="R85" s="29"/>
    </row>
    <row r="86" spans="1:18" ht="24.6">
      <c r="A86" s="25">
        <v>2</v>
      </c>
      <c r="B86" s="29" t="s">
        <v>40</v>
      </c>
      <c r="C86" s="29"/>
      <c r="D86" s="49">
        <v>0</v>
      </c>
      <c r="E86" s="25"/>
      <c r="F86" s="25"/>
      <c r="G86" s="49">
        <v>0</v>
      </c>
      <c r="H86" s="49">
        <v>0</v>
      </c>
      <c r="I86" s="49">
        <v>0</v>
      </c>
      <c r="J86" s="69"/>
      <c r="K86" s="70"/>
      <c r="L86" s="83"/>
      <c r="M86" s="25"/>
      <c r="N86" s="25"/>
      <c r="O86" s="72">
        <v>0</v>
      </c>
      <c r="P86" s="73">
        <v>0</v>
      </c>
      <c r="Q86" s="73">
        <v>0</v>
      </c>
      <c r="R86" s="29" t="s">
        <v>126</v>
      </c>
    </row>
    <row r="87" spans="1:18" ht="24.6">
      <c r="A87" s="25"/>
      <c r="B87" s="124" t="s">
        <v>127</v>
      </c>
      <c r="C87" s="29"/>
      <c r="D87" s="49"/>
      <c r="E87" s="25"/>
      <c r="F87" s="25"/>
      <c r="G87" s="49"/>
      <c r="H87" s="29"/>
      <c r="I87" s="49"/>
      <c r="J87" s="26"/>
      <c r="K87" s="16"/>
      <c r="L87" s="118"/>
      <c r="M87" s="25"/>
      <c r="N87" s="25"/>
      <c r="O87" s="72">
        <v>0</v>
      </c>
      <c r="P87" s="49"/>
      <c r="Q87" s="73">
        <v>0</v>
      </c>
      <c r="R87" s="29"/>
    </row>
    <row r="88" spans="1:18" ht="24.6">
      <c r="A88" s="25">
        <v>1</v>
      </c>
      <c r="B88" s="119" t="s">
        <v>128</v>
      </c>
      <c r="C88" s="29"/>
      <c r="D88" s="49"/>
      <c r="E88" s="25"/>
      <c r="F88" s="25"/>
      <c r="G88" s="49">
        <v>0</v>
      </c>
      <c r="H88" s="49">
        <v>0</v>
      </c>
      <c r="I88" s="49">
        <v>0</v>
      </c>
      <c r="J88" s="26"/>
      <c r="K88" s="16"/>
      <c r="L88" s="118"/>
      <c r="M88" s="25"/>
      <c r="N88" s="25"/>
      <c r="O88" s="72">
        <v>0</v>
      </c>
      <c r="P88" s="73">
        <v>0</v>
      </c>
      <c r="Q88" s="73">
        <v>0</v>
      </c>
      <c r="R88" s="29" t="s">
        <v>129</v>
      </c>
    </row>
    <row r="89" spans="1:18" ht="24.6">
      <c r="A89" s="25">
        <v>2</v>
      </c>
      <c r="B89" s="29" t="s">
        <v>130</v>
      </c>
      <c r="C89" s="29"/>
      <c r="D89" s="49">
        <v>550</v>
      </c>
      <c r="E89" s="25"/>
      <c r="F89" s="25"/>
      <c r="G89" s="49">
        <v>0</v>
      </c>
      <c r="H89" s="49">
        <v>0</v>
      </c>
      <c r="I89" s="49">
        <v>0</v>
      </c>
      <c r="J89" s="69">
        <v>25201</v>
      </c>
      <c r="K89" s="70" t="s">
        <v>318</v>
      </c>
      <c r="L89" s="83">
        <v>550</v>
      </c>
      <c r="M89" s="25"/>
      <c r="N89" s="25"/>
      <c r="O89" s="72">
        <v>0</v>
      </c>
      <c r="P89" s="73">
        <v>0</v>
      </c>
      <c r="Q89" s="73">
        <v>0</v>
      </c>
      <c r="R89" s="29"/>
    </row>
    <row r="90" spans="1:18" ht="24.6">
      <c r="A90" s="25">
        <v>3</v>
      </c>
      <c r="B90" s="29" t="s">
        <v>132</v>
      </c>
      <c r="C90" s="29"/>
      <c r="D90" s="49">
        <v>1100</v>
      </c>
      <c r="E90" s="25"/>
      <c r="F90" s="25"/>
      <c r="G90" s="89">
        <v>0</v>
      </c>
      <c r="H90" s="49">
        <v>0</v>
      </c>
      <c r="I90" s="49">
        <v>0</v>
      </c>
      <c r="J90" s="69"/>
      <c r="K90" s="70"/>
      <c r="L90" s="83"/>
      <c r="M90" s="25" t="s">
        <v>321</v>
      </c>
      <c r="N90" s="25">
        <v>1</v>
      </c>
      <c r="O90" s="72">
        <v>1100</v>
      </c>
      <c r="P90" s="73">
        <v>0</v>
      </c>
      <c r="Q90" s="73">
        <v>1100</v>
      </c>
      <c r="R90" s="29"/>
    </row>
    <row r="91" spans="1:18" ht="24.6">
      <c r="A91" s="25">
        <v>4</v>
      </c>
      <c r="B91" s="29" t="s">
        <v>134</v>
      </c>
      <c r="C91" s="29"/>
      <c r="D91" s="49">
        <v>1650</v>
      </c>
      <c r="E91" s="25"/>
      <c r="F91" s="25"/>
      <c r="G91" s="89">
        <v>0</v>
      </c>
      <c r="H91" s="49">
        <v>0</v>
      </c>
      <c r="I91" s="49">
        <v>0</v>
      </c>
      <c r="J91" s="69">
        <v>25201</v>
      </c>
      <c r="K91" s="84" t="s">
        <v>319</v>
      </c>
      <c r="L91" s="83">
        <v>1650</v>
      </c>
      <c r="M91" s="25"/>
      <c r="N91" s="25"/>
      <c r="O91" s="72">
        <v>0</v>
      </c>
      <c r="P91" s="73">
        <v>0</v>
      </c>
      <c r="Q91" s="73">
        <v>0</v>
      </c>
      <c r="R91" s="29"/>
    </row>
    <row r="92" spans="1:18" ht="24.6">
      <c r="A92" s="25"/>
      <c r="B92" s="116" t="s">
        <v>136</v>
      </c>
      <c r="C92" s="29"/>
      <c r="D92" s="49"/>
      <c r="E92" s="25"/>
      <c r="F92" s="25"/>
      <c r="G92" s="89"/>
      <c r="H92" s="29"/>
      <c r="I92" s="49"/>
      <c r="J92" s="69"/>
      <c r="K92" s="70"/>
      <c r="L92" s="83"/>
      <c r="M92" s="25"/>
      <c r="N92" s="25"/>
      <c r="O92" s="72">
        <v>0</v>
      </c>
      <c r="P92" s="49"/>
      <c r="Q92" s="73">
        <v>0</v>
      </c>
      <c r="R92" s="29"/>
    </row>
    <row r="93" spans="1:18" ht="24.6">
      <c r="A93" s="25">
        <v>1</v>
      </c>
      <c r="B93" s="29" t="s">
        <v>137</v>
      </c>
      <c r="C93" s="29"/>
      <c r="D93" s="49">
        <v>5000</v>
      </c>
      <c r="E93" s="25" t="s">
        <v>295</v>
      </c>
      <c r="F93" s="25">
        <v>1</v>
      </c>
      <c r="G93" s="89">
        <v>5000</v>
      </c>
      <c r="H93" s="49">
        <v>0</v>
      </c>
      <c r="I93" s="49">
        <v>5000</v>
      </c>
      <c r="J93" s="69">
        <v>25202</v>
      </c>
      <c r="K93" s="70" t="s">
        <v>320</v>
      </c>
      <c r="L93" s="83">
        <v>5000</v>
      </c>
      <c r="M93" s="68">
        <v>25173</v>
      </c>
      <c r="N93" s="25">
        <v>1</v>
      </c>
      <c r="O93" s="72">
        <f>SUM(D93+I93-L93)</f>
        <v>5000</v>
      </c>
      <c r="P93" s="73">
        <v>0</v>
      </c>
      <c r="Q93" s="73">
        <f>SUM(O93)</f>
        <v>5000</v>
      </c>
      <c r="R93" s="29"/>
    </row>
    <row r="94" spans="1:18" ht="24.6">
      <c r="A94" s="25"/>
      <c r="B94" s="29"/>
      <c r="C94" s="29"/>
      <c r="D94" s="49"/>
      <c r="E94" s="25"/>
      <c r="F94" s="25"/>
      <c r="G94" s="49"/>
      <c r="H94" s="49"/>
      <c r="I94" s="49"/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/>
      <c r="B95" s="116" t="s">
        <v>140</v>
      </c>
      <c r="C95" s="29"/>
      <c r="D95" s="49"/>
      <c r="E95" s="25"/>
      <c r="F95" s="25"/>
      <c r="G95" s="49"/>
      <c r="H95" s="49"/>
      <c r="I95" s="49"/>
      <c r="J95" s="69"/>
      <c r="K95" s="84"/>
      <c r="L95" s="83"/>
      <c r="M95" s="25"/>
      <c r="N95" s="25"/>
      <c r="O95" s="72">
        <v>0</v>
      </c>
      <c r="P95" s="49"/>
      <c r="Q95" s="73">
        <v>0</v>
      </c>
      <c r="R95" s="29"/>
    </row>
    <row r="96" spans="1:18" ht="24.6">
      <c r="A96" s="25">
        <v>1</v>
      </c>
      <c r="B96" s="29" t="s">
        <v>141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69"/>
      <c r="K96" s="70"/>
      <c r="L96" s="83"/>
      <c r="M96" s="25"/>
      <c r="N96" s="25"/>
      <c r="O96" s="72">
        <v>0</v>
      </c>
      <c r="P96" s="73">
        <v>0</v>
      </c>
      <c r="Q96" s="73">
        <v>0</v>
      </c>
      <c r="R96" s="29"/>
    </row>
    <row r="97" spans="1:18" ht="24.6">
      <c r="A97" s="25"/>
      <c r="B97" s="116" t="s">
        <v>142</v>
      </c>
      <c r="C97" s="29"/>
      <c r="D97" s="49"/>
      <c r="E97" s="25"/>
      <c r="F97" s="25"/>
      <c r="G97" s="49"/>
      <c r="H97" s="29"/>
      <c r="I97" s="49">
        <v>0</v>
      </c>
      <c r="J97" s="69"/>
      <c r="K97" s="70"/>
      <c r="L97" s="83"/>
      <c r="M97" s="25"/>
      <c r="N97" s="25"/>
      <c r="O97" s="72">
        <v>0</v>
      </c>
      <c r="P97" s="49"/>
      <c r="Q97" s="73">
        <v>0</v>
      </c>
      <c r="R97" s="29"/>
    </row>
    <row r="98" spans="1:18" ht="24.6">
      <c r="A98" s="25">
        <v>1</v>
      </c>
      <c r="B98" s="29" t="s">
        <v>143</v>
      </c>
      <c r="C98" s="29"/>
      <c r="D98" s="49">
        <v>0</v>
      </c>
      <c r="E98" s="25"/>
      <c r="F98" s="25"/>
      <c r="G98" s="49">
        <v>0</v>
      </c>
      <c r="H98" s="49">
        <v>0</v>
      </c>
      <c r="I98" s="49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64</v>
      </c>
    </row>
    <row r="99" spans="1:18" ht="24.6">
      <c r="A99" s="25"/>
      <c r="B99" s="29"/>
      <c r="C99" s="29"/>
      <c r="D99" s="49"/>
      <c r="E99" s="25"/>
      <c r="F99" s="25"/>
      <c r="G99" s="49"/>
      <c r="H99" s="49"/>
      <c r="I99" s="49"/>
      <c r="J99" s="26"/>
      <c r="K99" s="16"/>
      <c r="L99" s="118"/>
      <c r="M99" s="25"/>
      <c r="N99" s="25"/>
      <c r="O99" s="72">
        <v>0</v>
      </c>
      <c r="P99" s="49"/>
      <c r="Q99" s="73">
        <v>0</v>
      </c>
      <c r="R99" s="29"/>
    </row>
    <row r="100" spans="1:18" ht="24.6">
      <c r="A100" s="25">
        <v>2</v>
      </c>
      <c r="B100" s="29" t="s">
        <v>144</v>
      </c>
      <c r="C100" s="29"/>
      <c r="D100" s="49">
        <v>0</v>
      </c>
      <c r="E100" s="25"/>
      <c r="F100" s="25"/>
      <c r="G100" s="49">
        <v>0</v>
      </c>
      <c r="H100" s="49">
        <v>0</v>
      </c>
      <c r="I100" s="49">
        <v>0</v>
      </c>
      <c r="J100" s="145"/>
      <c r="K100" s="146"/>
      <c r="L100" s="147"/>
      <c r="M100" s="25"/>
      <c r="N100" s="25"/>
      <c r="O100" s="72">
        <v>0</v>
      </c>
      <c r="P100" s="73">
        <v>0</v>
      </c>
      <c r="Q100" s="73">
        <v>0</v>
      </c>
      <c r="R100" s="29" t="s">
        <v>145</v>
      </c>
    </row>
    <row r="101" spans="1:18" ht="24.6">
      <c r="A101" s="25"/>
      <c r="B101" s="29"/>
      <c r="C101" s="29"/>
      <c r="D101" s="49"/>
      <c r="E101" s="25"/>
      <c r="F101" s="25"/>
      <c r="G101" s="49"/>
      <c r="H101" s="49"/>
      <c r="I101" s="49"/>
      <c r="J101" s="26"/>
      <c r="K101" s="16"/>
      <c r="L101" s="118"/>
      <c r="M101" s="25"/>
      <c r="N101" s="25"/>
      <c r="O101" s="72">
        <v>0</v>
      </c>
      <c r="P101" s="49"/>
      <c r="Q101" s="73">
        <v>0</v>
      </c>
      <c r="R101" s="29"/>
    </row>
    <row r="102" spans="1:18" ht="24.6">
      <c r="A102" s="25">
        <v>3</v>
      </c>
      <c r="B102" s="29" t="s">
        <v>146</v>
      </c>
      <c r="C102" s="29"/>
      <c r="D102" s="49">
        <v>0</v>
      </c>
      <c r="E102" s="25"/>
      <c r="F102" s="25"/>
      <c r="G102" s="52">
        <v>0</v>
      </c>
      <c r="H102" s="49">
        <v>0</v>
      </c>
      <c r="I102" s="49">
        <v>0</v>
      </c>
      <c r="J102" s="69"/>
      <c r="K102" s="70"/>
      <c r="L102" s="83"/>
      <c r="M102" s="25"/>
      <c r="N102" s="25"/>
      <c r="O102" s="72">
        <v>0</v>
      </c>
      <c r="P102" s="73">
        <v>0</v>
      </c>
      <c r="Q102" s="73">
        <v>0</v>
      </c>
      <c r="R102" s="29"/>
    </row>
    <row r="103" spans="1:18" ht="24.6">
      <c r="A103" s="25"/>
      <c r="B103" s="29"/>
      <c r="C103" s="29"/>
      <c r="D103" s="49">
        <v>0</v>
      </c>
      <c r="E103" s="25"/>
      <c r="F103" s="25"/>
      <c r="G103" s="52"/>
      <c r="H103" s="49"/>
      <c r="I103" s="49"/>
      <c r="J103" s="26"/>
      <c r="K103" s="16"/>
      <c r="L103" s="118"/>
      <c r="M103" s="25"/>
      <c r="N103" s="25"/>
      <c r="O103" s="72">
        <v>0</v>
      </c>
      <c r="P103" s="49"/>
      <c r="Q103" s="73">
        <v>0</v>
      </c>
      <c r="R103" s="29"/>
    </row>
    <row r="104" spans="1:18" ht="24.6">
      <c r="A104" s="25">
        <v>4</v>
      </c>
      <c r="B104" s="29" t="s">
        <v>147</v>
      </c>
      <c r="C104" s="29"/>
      <c r="D104" s="49">
        <v>0</v>
      </c>
      <c r="E104" s="25"/>
      <c r="F104" s="25"/>
      <c r="G104" s="72">
        <v>0</v>
      </c>
      <c r="H104" s="73">
        <v>0</v>
      </c>
      <c r="I104" s="73">
        <v>0</v>
      </c>
      <c r="J104" s="69"/>
      <c r="K104" s="70"/>
      <c r="L104" s="83"/>
      <c r="M104" s="25"/>
      <c r="N104" s="25"/>
      <c r="O104" s="72">
        <v>0</v>
      </c>
      <c r="P104" s="73">
        <v>0</v>
      </c>
      <c r="Q104" s="73">
        <v>0</v>
      </c>
      <c r="R104" s="29" t="s">
        <v>148</v>
      </c>
    </row>
    <row r="105" spans="1:18" ht="24.6">
      <c r="A105" s="25">
        <v>5</v>
      </c>
      <c r="B105" s="29" t="s">
        <v>149</v>
      </c>
      <c r="C105" s="29"/>
      <c r="D105" s="49">
        <v>0</v>
      </c>
      <c r="E105" s="25"/>
      <c r="F105" s="25"/>
      <c r="G105" s="72"/>
      <c r="H105" s="73"/>
      <c r="I105" s="73"/>
      <c r="J105" s="69"/>
      <c r="K105" s="70"/>
      <c r="L105" s="83"/>
      <c r="M105" s="25"/>
      <c r="N105" s="25"/>
      <c r="O105" s="72">
        <v>0</v>
      </c>
      <c r="P105" s="73">
        <v>0</v>
      </c>
      <c r="Q105" s="73">
        <v>0</v>
      </c>
      <c r="R105" s="29" t="s">
        <v>150</v>
      </c>
    </row>
    <row r="106" spans="1:18" ht="24.6">
      <c r="A106" s="25">
        <v>6</v>
      </c>
      <c r="B106" s="29" t="s">
        <v>151</v>
      </c>
      <c r="C106" s="29"/>
      <c r="D106" s="49"/>
      <c r="E106" s="25"/>
      <c r="F106" s="25"/>
      <c r="G106" s="72"/>
      <c r="H106" s="73"/>
      <c r="I106" s="73"/>
      <c r="J106" s="69"/>
      <c r="K106" s="70"/>
      <c r="L106" s="83"/>
      <c r="M106" s="25"/>
      <c r="N106" s="25"/>
      <c r="O106" s="72">
        <v>0</v>
      </c>
      <c r="P106" s="73"/>
      <c r="Q106" s="73">
        <v>0</v>
      </c>
      <c r="R106" s="29" t="s">
        <v>152</v>
      </c>
    </row>
    <row r="107" spans="1:18" ht="24.6">
      <c r="A107" s="25">
        <v>7</v>
      </c>
      <c r="B107" s="29" t="s">
        <v>153</v>
      </c>
      <c r="C107" s="29"/>
      <c r="D107" s="49"/>
      <c r="E107" s="25"/>
      <c r="F107" s="25"/>
      <c r="G107" s="72"/>
      <c r="H107" s="73"/>
      <c r="I107" s="73"/>
      <c r="J107" s="69"/>
      <c r="K107" s="70"/>
      <c r="L107" s="83"/>
      <c r="M107" s="25"/>
      <c r="N107" s="25"/>
      <c r="O107" s="72">
        <v>0</v>
      </c>
      <c r="P107" s="73"/>
      <c r="Q107" s="73">
        <v>0</v>
      </c>
      <c r="R107" s="29" t="s">
        <v>64</v>
      </c>
    </row>
    <row r="108" spans="1:18" ht="24.6">
      <c r="A108" s="25">
        <v>8</v>
      </c>
      <c r="B108" s="29" t="s">
        <v>154</v>
      </c>
      <c r="C108" s="29"/>
      <c r="D108" s="49"/>
      <c r="E108" s="25"/>
      <c r="F108" s="25"/>
      <c r="G108" s="72"/>
      <c r="H108" s="73"/>
      <c r="I108" s="73"/>
      <c r="J108" s="69"/>
      <c r="K108" s="70"/>
      <c r="L108" s="83"/>
      <c r="M108" s="25"/>
      <c r="N108" s="25"/>
      <c r="O108" s="72">
        <v>0</v>
      </c>
      <c r="P108" s="73"/>
      <c r="Q108" s="73">
        <v>0</v>
      </c>
      <c r="R108" s="29" t="s">
        <v>155</v>
      </c>
    </row>
    <row r="109" spans="1:18" ht="24.6">
      <c r="A109" s="25">
        <v>9</v>
      </c>
      <c r="B109" s="29" t="s">
        <v>156</v>
      </c>
      <c r="C109" s="29"/>
      <c r="D109" s="49"/>
      <c r="E109" s="25"/>
      <c r="F109" s="25"/>
      <c r="G109" s="72"/>
      <c r="H109" s="73"/>
      <c r="I109" s="73"/>
      <c r="J109" s="69"/>
      <c r="K109" s="70"/>
      <c r="L109" s="83"/>
      <c r="M109" s="25"/>
      <c r="N109" s="25"/>
      <c r="O109" s="72">
        <v>0</v>
      </c>
      <c r="P109" s="73"/>
      <c r="Q109" s="73">
        <v>0</v>
      </c>
      <c r="R109" s="29" t="s">
        <v>64</v>
      </c>
    </row>
    <row r="110" spans="1:18" ht="24.6">
      <c r="A110" s="25">
        <v>10</v>
      </c>
      <c r="B110" s="29" t="s">
        <v>157</v>
      </c>
      <c r="C110" s="29"/>
      <c r="D110" s="49"/>
      <c r="E110" s="25"/>
      <c r="F110" s="25"/>
      <c r="G110" s="72"/>
      <c r="H110" s="73"/>
      <c r="I110" s="73"/>
      <c r="J110" s="69"/>
      <c r="K110" s="70"/>
      <c r="L110" s="83"/>
      <c r="M110" s="25"/>
      <c r="N110" s="25"/>
      <c r="O110" s="72">
        <v>0</v>
      </c>
      <c r="P110" s="73"/>
      <c r="Q110" s="73">
        <v>0</v>
      </c>
      <c r="R110" s="29" t="s">
        <v>158</v>
      </c>
    </row>
    <row r="111" spans="1:18" ht="24.6">
      <c r="A111" s="25">
        <v>11</v>
      </c>
      <c r="B111" s="148" t="s">
        <v>159</v>
      </c>
      <c r="C111" s="29"/>
      <c r="D111" s="49">
        <v>0</v>
      </c>
      <c r="E111" s="25"/>
      <c r="F111" s="25"/>
      <c r="G111" s="72">
        <v>0</v>
      </c>
      <c r="H111" s="73">
        <v>0</v>
      </c>
      <c r="I111" s="73">
        <v>0</v>
      </c>
      <c r="J111" s="69"/>
      <c r="K111" s="83"/>
      <c r="L111" s="83"/>
      <c r="M111" s="25"/>
      <c r="N111" s="25"/>
      <c r="O111" s="72">
        <v>0</v>
      </c>
      <c r="P111" s="73">
        <v>0</v>
      </c>
      <c r="Q111" s="73">
        <v>0</v>
      </c>
      <c r="R111" s="29"/>
    </row>
    <row r="112" spans="1:18" ht="24.6">
      <c r="A112" s="25">
        <v>12</v>
      </c>
      <c r="B112" s="29" t="s">
        <v>160</v>
      </c>
      <c r="C112" s="29"/>
      <c r="D112" s="49">
        <v>0</v>
      </c>
      <c r="E112" s="25"/>
      <c r="F112" s="25"/>
      <c r="G112" s="72">
        <v>0</v>
      </c>
      <c r="H112" s="73">
        <v>0</v>
      </c>
      <c r="I112" s="73">
        <v>0</v>
      </c>
      <c r="J112" s="69"/>
      <c r="K112" s="70"/>
      <c r="L112" s="83"/>
      <c r="M112" s="25"/>
      <c r="N112" s="25"/>
      <c r="O112" s="72">
        <v>0</v>
      </c>
      <c r="P112" s="73">
        <v>0</v>
      </c>
      <c r="Q112" s="73">
        <v>0</v>
      </c>
      <c r="R112" s="149" t="s">
        <v>161</v>
      </c>
    </row>
    <row r="113" spans="1:18" ht="24.6">
      <c r="A113" s="25">
        <v>13</v>
      </c>
      <c r="B113" s="148" t="s">
        <v>162</v>
      </c>
      <c r="C113" s="29"/>
      <c r="D113" s="49">
        <v>0</v>
      </c>
      <c r="E113" s="25"/>
      <c r="F113" s="25"/>
      <c r="G113" s="72">
        <v>0</v>
      </c>
      <c r="H113" s="73">
        <v>0</v>
      </c>
      <c r="I113" s="73">
        <v>0</v>
      </c>
      <c r="J113" s="69"/>
      <c r="K113" s="70"/>
      <c r="L113" s="150"/>
      <c r="M113" s="25"/>
      <c r="N113" s="25"/>
      <c r="O113" s="72">
        <v>0</v>
      </c>
      <c r="P113" s="73">
        <v>0</v>
      </c>
      <c r="Q113" s="73">
        <v>0</v>
      </c>
      <c r="R113" s="29" t="s">
        <v>163</v>
      </c>
    </row>
    <row r="114" spans="1:18" ht="24.6">
      <c r="A114" s="25">
        <v>14</v>
      </c>
      <c r="B114" s="148" t="s">
        <v>164</v>
      </c>
      <c r="C114" s="29"/>
      <c r="D114" s="49">
        <v>0</v>
      </c>
      <c r="E114" s="25"/>
      <c r="F114" s="25"/>
      <c r="G114" s="72">
        <v>0</v>
      </c>
      <c r="H114" s="73">
        <v>0</v>
      </c>
      <c r="I114" s="73">
        <v>0</v>
      </c>
      <c r="J114" s="69"/>
      <c r="K114" s="70"/>
      <c r="L114" s="150"/>
      <c r="M114" s="25"/>
      <c r="N114" s="25"/>
      <c r="O114" s="72">
        <v>0</v>
      </c>
      <c r="P114" s="73">
        <v>0</v>
      </c>
      <c r="Q114" s="73">
        <v>0</v>
      </c>
      <c r="R114" s="29" t="s">
        <v>165</v>
      </c>
    </row>
    <row r="115" spans="1:18" ht="24.6">
      <c r="A115" s="25">
        <v>15</v>
      </c>
      <c r="B115" s="148" t="s">
        <v>166</v>
      </c>
      <c r="C115" s="29"/>
      <c r="D115" s="49">
        <v>0</v>
      </c>
      <c r="E115" s="25"/>
      <c r="F115" s="25"/>
      <c r="G115" s="72">
        <v>0</v>
      </c>
      <c r="H115" s="73">
        <v>0</v>
      </c>
      <c r="I115" s="73">
        <v>0</v>
      </c>
      <c r="J115" s="69"/>
      <c r="K115" s="70"/>
      <c r="L115" s="150"/>
      <c r="M115" s="25"/>
      <c r="N115" s="25"/>
      <c r="O115" s="72">
        <v>0</v>
      </c>
      <c r="P115" s="73">
        <v>0</v>
      </c>
      <c r="Q115" s="73">
        <v>0</v>
      </c>
      <c r="R115" s="29" t="s">
        <v>64</v>
      </c>
    </row>
    <row r="116" spans="1:18" ht="18.75" customHeight="1">
      <c r="A116" s="3">
        <v>16</v>
      </c>
      <c r="B116" s="151" t="s">
        <v>167</v>
      </c>
      <c r="C116" s="29"/>
      <c r="D116" s="49">
        <v>0</v>
      </c>
      <c r="E116" s="25"/>
      <c r="F116" s="25"/>
      <c r="G116" s="72">
        <v>0</v>
      </c>
      <c r="H116" s="73">
        <v>0</v>
      </c>
      <c r="I116" s="73">
        <v>0</v>
      </c>
      <c r="J116" s="69"/>
      <c r="K116" s="70"/>
      <c r="L116" s="150"/>
      <c r="M116" s="25"/>
      <c r="N116" s="25"/>
      <c r="O116" s="72">
        <v>0</v>
      </c>
      <c r="P116" s="73">
        <v>0</v>
      </c>
      <c r="Q116" s="73">
        <v>0</v>
      </c>
      <c r="R116" s="29" t="s">
        <v>145</v>
      </c>
    </row>
    <row r="117" spans="1:18" ht="25.2" thickBot="1">
      <c r="A117" s="29"/>
      <c r="B117" s="25" t="s">
        <v>26</v>
      </c>
      <c r="C117" s="64"/>
      <c r="D117" s="63">
        <f>SUM(D81:D116)</f>
        <v>14900</v>
      </c>
      <c r="E117" s="63"/>
      <c r="F117" s="63"/>
      <c r="G117" s="63">
        <f>SUM(G81:G116)</f>
        <v>5000</v>
      </c>
      <c r="H117" s="63">
        <f t="shared" ref="H117:I117" si="6">SUM(H81:H116)</f>
        <v>0</v>
      </c>
      <c r="I117" s="63">
        <f t="shared" si="6"/>
        <v>5000</v>
      </c>
      <c r="J117" s="67"/>
      <c r="K117" s="67"/>
      <c r="L117" s="67">
        <f>SUM(L81:L116)</f>
        <v>13800</v>
      </c>
      <c r="M117" s="63"/>
      <c r="N117" s="105"/>
      <c r="O117" s="106">
        <f>SUM(O81:O116)</f>
        <v>6100</v>
      </c>
      <c r="P117" s="106">
        <f t="shared" ref="P117:Q117" si="7">SUM(P81:P116)</f>
        <v>0</v>
      </c>
      <c r="Q117" s="106">
        <f t="shared" si="7"/>
        <v>6100</v>
      </c>
      <c r="R117" s="29"/>
    </row>
    <row r="118" spans="1:18" ht="25.2" thickTop="1">
      <c r="A118" s="29"/>
      <c r="B118" s="25"/>
      <c r="C118" s="46"/>
      <c r="D118" s="57"/>
      <c r="E118" s="46"/>
      <c r="F118" s="46"/>
      <c r="G118" s="57"/>
      <c r="H118" s="57"/>
      <c r="I118" s="57"/>
      <c r="J118" s="137"/>
      <c r="K118" s="48"/>
      <c r="L118" s="58"/>
      <c r="M118" s="46"/>
      <c r="N118" s="28"/>
      <c r="O118" s="57"/>
      <c r="P118" s="57"/>
      <c r="Q118" s="57"/>
      <c r="R118" s="46"/>
    </row>
    <row r="119" spans="1:18" ht="24.6">
      <c r="A119" s="29"/>
      <c r="B119" s="45" t="s">
        <v>168</v>
      </c>
      <c r="C119" s="29"/>
      <c r="D119" s="59"/>
      <c r="E119" s="29"/>
      <c r="F119" s="29"/>
      <c r="G119" s="59"/>
      <c r="H119" s="59"/>
      <c r="I119" s="59"/>
      <c r="J119" s="26"/>
      <c r="K119" s="61"/>
      <c r="L119" s="62"/>
      <c r="M119" s="29"/>
      <c r="N119" s="25"/>
      <c r="O119" s="59"/>
      <c r="P119" s="59"/>
      <c r="Q119" s="59"/>
      <c r="R119" s="46"/>
    </row>
    <row r="120" spans="1:18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18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18" ht="25.2" thickTop="1">
      <c r="A122" s="29"/>
      <c r="B122" s="45" t="s">
        <v>169</v>
      </c>
      <c r="C122" s="46"/>
      <c r="D122" s="57"/>
      <c r="E122" s="46"/>
      <c r="F122" s="46"/>
      <c r="G122" s="57"/>
      <c r="H122" s="57"/>
      <c r="I122" s="57"/>
      <c r="J122" s="137"/>
      <c r="K122" s="48"/>
      <c r="L122" s="58"/>
      <c r="M122" s="46"/>
      <c r="N122" s="28"/>
      <c r="O122" s="57"/>
      <c r="P122" s="57"/>
      <c r="Q122" s="57"/>
      <c r="R122" s="46"/>
    </row>
    <row r="123" spans="1:18" ht="25.2" thickBot="1">
      <c r="A123" s="25">
        <v>1</v>
      </c>
      <c r="B123" s="25"/>
      <c r="C123" s="74"/>
      <c r="D123" s="78"/>
      <c r="E123" s="74"/>
      <c r="F123" s="74"/>
      <c r="G123" s="78"/>
      <c r="H123" s="78"/>
      <c r="I123" s="78"/>
      <c r="J123" s="35"/>
      <c r="K123" s="76"/>
      <c r="L123" s="77"/>
      <c r="M123" s="74"/>
      <c r="N123" s="34"/>
      <c r="O123" s="78"/>
      <c r="P123" s="78"/>
      <c r="Q123" s="78"/>
      <c r="R123" s="46"/>
    </row>
    <row r="124" spans="1:18" ht="25.8" thickTop="1" thickBot="1">
      <c r="A124" s="29"/>
      <c r="B124" s="25" t="s">
        <v>26</v>
      </c>
      <c r="C124" s="79"/>
      <c r="D124" s="54"/>
      <c r="E124" s="79"/>
      <c r="F124" s="79"/>
      <c r="G124" s="54"/>
      <c r="H124" s="54"/>
      <c r="I124" s="54"/>
      <c r="J124" s="152"/>
      <c r="K124" s="81"/>
      <c r="L124" s="55"/>
      <c r="M124" s="79"/>
      <c r="N124" s="82"/>
      <c r="O124" s="54"/>
      <c r="P124" s="54"/>
      <c r="Q124" s="54"/>
      <c r="R124" s="46"/>
    </row>
    <row r="125" spans="1:18" ht="25.2" thickTop="1">
      <c r="A125" s="29"/>
      <c r="B125" s="45" t="s">
        <v>170</v>
      </c>
      <c r="C125" s="46"/>
      <c r="D125" s="57"/>
      <c r="E125" s="46"/>
      <c r="F125" s="46"/>
      <c r="G125" s="57"/>
      <c r="H125" s="57"/>
      <c r="I125" s="57"/>
      <c r="J125" s="137"/>
      <c r="K125" s="48"/>
      <c r="L125" s="58"/>
      <c r="M125" s="46"/>
      <c r="N125" s="28"/>
      <c r="O125" s="57"/>
      <c r="P125" s="57"/>
      <c r="Q125" s="57"/>
      <c r="R125" s="46"/>
    </row>
    <row r="126" spans="1:18" ht="25.2" thickBot="1">
      <c r="A126" s="25">
        <v>1</v>
      </c>
      <c r="B126" s="25"/>
      <c r="C126" s="74"/>
      <c r="D126" s="78"/>
      <c r="E126" s="74"/>
      <c r="F126" s="74"/>
      <c r="G126" s="78"/>
      <c r="H126" s="78"/>
      <c r="I126" s="78"/>
      <c r="J126" s="35"/>
      <c r="K126" s="76"/>
      <c r="L126" s="77"/>
      <c r="M126" s="74"/>
      <c r="N126" s="34"/>
      <c r="O126" s="78"/>
      <c r="P126" s="78"/>
      <c r="Q126" s="78"/>
      <c r="R126" s="46"/>
    </row>
    <row r="127" spans="1:18" ht="25.8" thickTop="1" thickBot="1">
      <c r="A127" s="29"/>
      <c r="B127" s="25" t="s">
        <v>26</v>
      </c>
      <c r="C127" s="64"/>
      <c r="D127" s="63"/>
      <c r="E127" s="64"/>
      <c r="F127" s="64"/>
      <c r="G127" s="63"/>
      <c r="H127" s="63"/>
      <c r="I127" s="63"/>
      <c r="J127" s="42"/>
      <c r="K127" s="66"/>
      <c r="L127" s="67"/>
      <c r="M127" s="64"/>
      <c r="N127" s="41"/>
      <c r="O127" s="63"/>
      <c r="P127" s="63"/>
      <c r="Q127" s="63"/>
      <c r="R127" s="46"/>
    </row>
    <row r="128" spans="1:18" ht="25.2" thickTop="1">
      <c r="A128" s="29"/>
      <c r="B128" s="116" t="s">
        <v>171</v>
      </c>
      <c r="C128" s="46"/>
      <c r="D128" s="46"/>
      <c r="E128" s="46"/>
      <c r="F128" s="46"/>
      <c r="G128" s="46"/>
      <c r="H128" s="46"/>
      <c r="I128" s="46"/>
      <c r="J128" s="137"/>
      <c r="K128" s="48"/>
      <c r="L128" s="48"/>
      <c r="M128" s="46"/>
      <c r="N128" s="28"/>
      <c r="O128" s="46"/>
      <c r="P128" s="46"/>
      <c r="Q128" s="46"/>
      <c r="R128" s="46"/>
    </row>
    <row r="129" spans="1:20" ht="24.6">
      <c r="A129" s="29"/>
      <c r="B129" s="116" t="s">
        <v>53</v>
      </c>
      <c r="C129" s="46"/>
      <c r="D129" s="46"/>
      <c r="E129" s="46"/>
      <c r="F129" s="46"/>
      <c r="G129" s="46"/>
      <c r="H129" s="46"/>
      <c r="I129" s="46"/>
      <c r="J129" s="137"/>
      <c r="K129" s="48"/>
      <c r="L129" s="48"/>
      <c r="M129" s="46"/>
      <c r="N129" s="28"/>
      <c r="O129" s="46"/>
      <c r="P129" s="46"/>
      <c r="Q129" s="46"/>
      <c r="R129" s="46"/>
    </row>
    <row r="130" spans="1:20" s="96" customFormat="1" ht="24.6">
      <c r="A130" s="86">
        <v>1</v>
      </c>
      <c r="B130" s="87" t="s">
        <v>54</v>
      </c>
      <c r="C130" s="87"/>
      <c r="D130" s="89">
        <v>0</v>
      </c>
      <c r="E130" s="87"/>
      <c r="F130" s="87" t="s">
        <v>172</v>
      </c>
      <c r="G130" s="89">
        <v>0</v>
      </c>
      <c r="H130" s="89">
        <v>0</v>
      </c>
      <c r="I130" s="89">
        <v>0</v>
      </c>
      <c r="J130" s="153"/>
      <c r="K130" s="154"/>
      <c r="L130" s="155"/>
      <c r="M130" s="87"/>
      <c r="N130" s="86" t="s">
        <v>172</v>
      </c>
      <c r="O130" s="72">
        <v>0</v>
      </c>
      <c r="P130" s="73">
        <v>0</v>
      </c>
      <c r="Q130" s="73">
        <v>0</v>
      </c>
      <c r="R130" s="87" t="s">
        <v>173</v>
      </c>
      <c r="T130" s="97"/>
    </row>
    <row r="131" spans="1:20" ht="24.6">
      <c r="A131" s="25">
        <v>2</v>
      </c>
      <c r="B131" s="29" t="s">
        <v>174</v>
      </c>
      <c r="C131" s="29"/>
      <c r="D131" s="49">
        <v>0</v>
      </c>
      <c r="E131" s="29"/>
      <c r="F131" s="156"/>
      <c r="G131" s="157">
        <v>0</v>
      </c>
      <c r="H131" s="157">
        <v>0</v>
      </c>
      <c r="I131" s="157">
        <v>0</v>
      </c>
      <c r="J131" s="26"/>
      <c r="K131" s="16"/>
      <c r="L131" s="51"/>
      <c r="M131" s="29"/>
      <c r="N131" s="25"/>
      <c r="O131" s="72">
        <v>0</v>
      </c>
      <c r="P131" s="73">
        <v>0</v>
      </c>
      <c r="Q131" s="73">
        <v>0</v>
      </c>
      <c r="R131" s="29" t="s">
        <v>173</v>
      </c>
    </row>
    <row r="132" spans="1:20" ht="24.6">
      <c r="A132" s="25">
        <v>3</v>
      </c>
      <c r="B132" s="29" t="s">
        <v>175</v>
      </c>
      <c r="C132" s="29"/>
      <c r="D132" s="49">
        <v>0</v>
      </c>
      <c r="E132" s="29"/>
      <c r="F132" s="29"/>
      <c r="G132" s="49">
        <v>0</v>
      </c>
      <c r="H132" s="49">
        <v>0</v>
      </c>
      <c r="I132" s="49">
        <v>0</v>
      </c>
      <c r="J132" s="26"/>
      <c r="K132" s="61"/>
      <c r="L132" s="51"/>
      <c r="M132" s="29"/>
      <c r="N132" s="25"/>
      <c r="O132" s="72">
        <v>0</v>
      </c>
      <c r="P132" s="73">
        <v>0</v>
      </c>
      <c r="Q132" s="73">
        <v>0</v>
      </c>
      <c r="R132" s="29" t="s">
        <v>176</v>
      </c>
    </row>
    <row r="133" spans="1:20" ht="24.6">
      <c r="A133" s="25"/>
      <c r="B133" s="29" t="s">
        <v>177</v>
      </c>
      <c r="C133" s="29"/>
      <c r="D133" s="49"/>
      <c r="E133" s="29"/>
      <c r="F133" s="29"/>
      <c r="G133" s="49">
        <v>0</v>
      </c>
      <c r="H133" s="49">
        <v>0</v>
      </c>
      <c r="I133" s="49">
        <v>0</v>
      </c>
      <c r="J133" s="26"/>
      <c r="K133" s="61"/>
      <c r="L133" s="51"/>
      <c r="M133" s="29"/>
      <c r="N133" s="25"/>
      <c r="O133" s="72">
        <v>0</v>
      </c>
      <c r="P133" s="73">
        <v>0</v>
      </c>
      <c r="Q133" s="73">
        <v>0</v>
      </c>
      <c r="R133" s="29" t="s">
        <v>178</v>
      </c>
    </row>
    <row r="134" spans="1:20" ht="24.6">
      <c r="A134" s="25"/>
      <c r="B134" s="29"/>
      <c r="C134" s="29"/>
      <c r="D134" s="49"/>
      <c r="E134" s="29"/>
      <c r="F134" s="29"/>
      <c r="G134" s="49"/>
      <c r="H134" s="49"/>
      <c r="I134" s="49"/>
      <c r="J134" s="26"/>
      <c r="K134" s="61"/>
      <c r="L134" s="51"/>
      <c r="M134" s="29"/>
      <c r="N134" s="25"/>
      <c r="O134" s="72"/>
      <c r="P134" s="73"/>
      <c r="Q134" s="73"/>
      <c r="R134" s="29" t="s">
        <v>179</v>
      </c>
    </row>
    <row r="135" spans="1:20" ht="24.6">
      <c r="A135" s="25">
        <v>4</v>
      </c>
      <c r="B135" s="29" t="s">
        <v>62</v>
      </c>
      <c r="C135" s="29"/>
      <c r="D135" s="49">
        <v>0</v>
      </c>
      <c r="E135" s="29"/>
      <c r="F135" s="29"/>
      <c r="G135" s="49">
        <v>0</v>
      </c>
      <c r="H135" s="49">
        <v>0</v>
      </c>
      <c r="I135" s="49">
        <v>0</v>
      </c>
      <c r="J135" s="26"/>
      <c r="K135" s="16"/>
      <c r="L135" s="51"/>
      <c r="M135" s="29"/>
      <c r="N135" s="25"/>
      <c r="O135" s="72">
        <v>0</v>
      </c>
      <c r="P135" s="73">
        <v>0</v>
      </c>
      <c r="Q135" s="73">
        <v>0</v>
      </c>
      <c r="R135" s="29"/>
    </row>
    <row r="136" spans="1:20" ht="24.6">
      <c r="A136" s="25">
        <v>5</v>
      </c>
      <c r="B136" s="29" t="s">
        <v>180</v>
      </c>
      <c r="C136" s="29"/>
      <c r="D136" s="49">
        <v>0</v>
      </c>
      <c r="E136" s="29"/>
      <c r="F136" s="29" t="s">
        <v>172</v>
      </c>
      <c r="G136" s="49">
        <v>0</v>
      </c>
      <c r="H136" s="49">
        <v>0</v>
      </c>
      <c r="I136" s="49">
        <v>0</v>
      </c>
      <c r="J136" s="26"/>
      <c r="K136" s="61"/>
      <c r="L136" s="51"/>
      <c r="M136" s="29"/>
      <c r="N136" s="25" t="s">
        <v>172</v>
      </c>
      <c r="O136" s="72">
        <v>0</v>
      </c>
      <c r="P136" s="73">
        <v>0</v>
      </c>
      <c r="Q136" s="73">
        <v>0</v>
      </c>
      <c r="R136" s="29" t="s">
        <v>176</v>
      </c>
    </row>
    <row r="137" spans="1:20" ht="24.6">
      <c r="A137" s="25"/>
      <c r="B137" s="29" t="s">
        <v>181</v>
      </c>
      <c r="C137" s="29"/>
      <c r="D137" s="49"/>
      <c r="E137" s="29"/>
      <c r="F137" s="29"/>
      <c r="G137" s="49"/>
      <c r="H137" s="49"/>
      <c r="I137" s="49"/>
      <c r="J137" s="26"/>
      <c r="K137" s="61"/>
      <c r="L137" s="51"/>
      <c r="M137" s="29"/>
      <c r="N137" s="25"/>
      <c r="O137" s="59"/>
      <c r="P137" s="49"/>
      <c r="Q137" s="59"/>
      <c r="R137" s="29" t="s">
        <v>178</v>
      </c>
    </row>
    <row r="138" spans="1:20" ht="24.6">
      <c r="A138" s="25"/>
      <c r="B138" s="29"/>
      <c r="C138" s="29"/>
      <c r="D138" s="49"/>
      <c r="E138" s="29"/>
      <c r="F138" s="29"/>
      <c r="G138" s="49"/>
      <c r="H138" s="49"/>
      <c r="I138" s="49"/>
      <c r="J138" s="26"/>
      <c r="K138" s="61"/>
      <c r="L138" s="51"/>
      <c r="M138" s="29"/>
      <c r="N138" s="25"/>
      <c r="O138" s="59"/>
      <c r="P138" s="49"/>
      <c r="Q138" s="59"/>
      <c r="R138" s="29" t="s">
        <v>179</v>
      </c>
    </row>
    <row r="139" spans="1:20" ht="24.6">
      <c r="A139" s="25"/>
      <c r="B139" s="29"/>
      <c r="C139" s="29"/>
      <c r="D139" s="49"/>
      <c r="E139" s="29"/>
      <c r="F139" s="29"/>
      <c r="G139" s="49"/>
      <c r="H139" s="49"/>
      <c r="I139" s="49"/>
      <c r="J139" s="26"/>
      <c r="K139" s="61"/>
      <c r="L139" s="51"/>
      <c r="M139" s="29"/>
      <c r="N139" s="25"/>
      <c r="O139" s="59"/>
      <c r="P139" s="49"/>
      <c r="Q139" s="59"/>
      <c r="R139" s="29" t="s">
        <v>182</v>
      </c>
    </row>
    <row r="140" spans="1:20" ht="24.6">
      <c r="A140" s="25">
        <v>6</v>
      </c>
      <c r="B140" s="29" t="s">
        <v>183</v>
      </c>
      <c r="C140" s="29"/>
      <c r="D140" s="158" t="s">
        <v>172</v>
      </c>
      <c r="E140" s="29"/>
      <c r="F140" s="29"/>
      <c r="G140" s="49">
        <v>0</v>
      </c>
      <c r="H140" s="49">
        <v>0</v>
      </c>
      <c r="I140" s="49">
        <v>0</v>
      </c>
      <c r="J140" s="26"/>
      <c r="K140" s="61"/>
      <c r="L140" s="51"/>
      <c r="M140" s="29"/>
      <c r="N140" s="25"/>
      <c r="O140" s="159">
        <v>0</v>
      </c>
      <c r="P140" s="73">
        <v>0</v>
      </c>
      <c r="Q140" s="73">
        <v>0</v>
      </c>
      <c r="R140" s="29" t="s">
        <v>184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185</v>
      </c>
    </row>
    <row r="142" spans="1:20" ht="24.6">
      <c r="A142" s="25"/>
      <c r="B142" s="29"/>
      <c r="C142" s="29"/>
      <c r="D142" s="49"/>
      <c r="E142" s="29"/>
      <c r="F142" s="29"/>
      <c r="G142" s="49"/>
      <c r="H142" s="49"/>
      <c r="I142" s="49"/>
      <c r="J142" s="26"/>
      <c r="K142" s="61"/>
      <c r="L142" s="51"/>
      <c r="M142" s="29"/>
      <c r="N142" s="25"/>
      <c r="O142" s="59"/>
      <c r="P142" s="49"/>
      <c r="Q142" s="59"/>
      <c r="R142" s="29" t="s">
        <v>186</v>
      </c>
    </row>
    <row r="143" spans="1:20" ht="24.6">
      <c r="A143" s="25">
        <v>7</v>
      </c>
      <c r="B143" s="29" t="s">
        <v>70</v>
      </c>
      <c r="C143" s="29"/>
      <c r="D143" s="49">
        <v>0</v>
      </c>
      <c r="E143" s="29"/>
      <c r="F143" s="29"/>
      <c r="G143" s="49">
        <v>0</v>
      </c>
      <c r="H143" s="49">
        <v>0</v>
      </c>
      <c r="I143" s="49">
        <v>0</v>
      </c>
      <c r="J143" s="26"/>
      <c r="K143" s="16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187</v>
      </c>
    </row>
    <row r="144" spans="1:20" ht="24.6">
      <c r="A144" s="25">
        <v>8</v>
      </c>
      <c r="B144" s="29" t="s">
        <v>188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 t="s">
        <v>187</v>
      </c>
    </row>
    <row r="145" spans="1:20" ht="24.6">
      <c r="A145" s="25">
        <v>9</v>
      </c>
      <c r="B145" s="29" t="s">
        <v>189</v>
      </c>
      <c r="C145" s="29"/>
      <c r="D145" s="49">
        <v>0</v>
      </c>
      <c r="E145" s="29"/>
      <c r="F145" s="29"/>
      <c r="G145" s="49">
        <v>0</v>
      </c>
      <c r="H145" s="49">
        <v>0</v>
      </c>
      <c r="I145" s="49">
        <v>0</v>
      </c>
      <c r="J145" s="26"/>
      <c r="K145" s="61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190</v>
      </c>
      <c r="T145" s="2" t="s">
        <v>191</v>
      </c>
    </row>
    <row r="146" spans="1:20" ht="24.6">
      <c r="A146" s="25"/>
      <c r="B146" s="29"/>
      <c r="C146" s="29"/>
      <c r="D146" s="49"/>
      <c r="E146" s="29"/>
      <c r="F146" s="29"/>
      <c r="G146" s="49"/>
      <c r="H146" s="49"/>
      <c r="I146" s="49"/>
      <c r="J146" s="26"/>
      <c r="K146" s="61"/>
      <c r="L146" s="51"/>
      <c r="M146" s="29"/>
      <c r="N146" s="25"/>
      <c r="O146" s="59"/>
      <c r="P146" s="49"/>
      <c r="Q146" s="59"/>
      <c r="R146" s="29" t="s">
        <v>192</v>
      </c>
    </row>
    <row r="147" spans="1:20" ht="24.6">
      <c r="A147" s="25"/>
      <c r="B147" s="29"/>
      <c r="C147" s="29"/>
      <c r="D147" s="49"/>
      <c r="E147" s="29"/>
      <c r="F147" s="29"/>
      <c r="G147" s="49"/>
      <c r="H147" s="49"/>
      <c r="I147" s="49"/>
      <c r="J147" s="26"/>
      <c r="K147" s="61"/>
      <c r="L147" s="51"/>
      <c r="M147" s="29"/>
      <c r="N147" s="25"/>
      <c r="O147" s="59"/>
      <c r="P147" s="49"/>
      <c r="Q147" s="59"/>
      <c r="R147" s="29" t="s">
        <v>187</v>
      </c>
    </row>
    <row r="148" spans="1:20" ht="24.6">
      <c r="A148" s="25">
        <v>10</v>
      </c>
      <c r="B148" s="29" t="s">
        <v>193</v>
      </c>
      <c r="C148" s="29"/>
      <c r="D148" s="49">
        <v>0</v>
      </c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194</v>
      </c>
    </row>
    <row r="149" spans="1:20" ht="24.6">
      <c r="A149" s="25">
        <v>11</v>
      </c>
      <c r="B149" s="29" t="s">
        <v>78</v>
      </c>
      <c r="C149" s="29"/>
      <c r="D149" s="49"/>
      <c r="E149" s="29"/>
      <c r="F149" s="29"/>
      <c r="G149" s="49">
        <v>0</v>
      </c>
      <c r="H149" s="49">
        <v>0</v>
      </c>
      <c r="I149" s="49">
        <v>0</v>
      </c>
      <c r="J149" s="160"/>
      <c r="K149" s="50"/>
      <c r="L149" s="51"/>
      <c r="M149" s="29"/>
      <c r="N149" s="25"/>
      <c r="O149" s="72">
        <v>0</v>
      </c>
      <c r="P149" s="73">
        <v>0</v>
      </c>
      <c r="Q149" s="73">
        <v>0</v>
      </c>
      <c r="R149" s="29" t="s">
        <v>195</v>
      </c>
    </row>
    <row r="150" spans="1:20" ht="24.6">
      <c r="A150" s="25">
        <v>12</v>
      </c>
      <c r="B150" s="29" t="s">
        <v>196</v>
      </c>
      <c r="C150" s="29"/>
      <c r="D150" s="49">
        <v>0</v>
      </c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20" ht="24.6">
      <c r="A151" s="25">
        <v>13</v>
      </c>
      <c r="B151" s="29" t="s">
        <v>83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50"/>
      <c r="L151" s="51"/>
      <c r="M151" s="29"/>
      <c r="N151" s="25"/>
      <c r="O151" s="72">
        <v>0</v>
      </c>
      <c r="P151" s="73">
        <v>0</v>
      </c>
      <c r="Q151" s="73">
        <v>0</v>
      </c>
      <c r="R151" s="29" t="s">
        <v>195</v>
      </c>
    </row>
    <row r="152" spans="1:20" ht="24.6">
      <c r="A152" s="25">
        <v>14</v>
      </c>
      <c r="B152" s="29" t="s">
        <v>85</v>
      </c>
      <c r="C152" s="29"/>
      <c r="D152" s="49">
        <v>0</v>
      </c>
      <c r="E152" s="29"/>
      <c r="F152" s="29" t="s">
        <v>172</v>
      </c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 t="s">
        <v>172</v>
      </c>
      <c r="O152" s="72">
        <v>0</v>
      </c>
      <c r="P152" s="73">
        <v>0</v>
      </c>
      <c r="Q152" s="73">
        <v>0</v>
      </c>
      <c r="R152" s="29"/>
    </row>
    <row r="153" spans="1:20" ht="24.6">
      <c r="A153" s="25">
        <v>15</v>
      </c>
      <c r="B153" s="29" t="s">
        <v>197</v>
      </c>
      <c r="C153" s="29"/>
      <c r="D153" s="49">
        <v>0</v>
      </c>
      <c r="E153" s="29"/>
      <c r="F153" s="29"/>
      <c r="G153" s="49">
        <v>0</v>
      </c>
      <c r="H153" s="49">
        <v>0</v>
      </c>
      <c r="I153" s="49">
        <v>0</v>
      </c>
      <c r="J153" s="26"/>
      <c r="K153" s="61"/>
      <c r="L153" s="51"/>
      <c r="M153" s="29"/>
      <c r="N153" s="25"/>
      <c r="O153" s="72">
        <v>0</v>
      </c>
      <c r="P153" s="73">
        <v>0</v>
      </c>
      <c r="Q153" s="73">
        <v>0</v>
      </c>
      <c r="R153" s="29" t="s">
        <v>198</v>
      </c>
    </row>
    <row r="154" spans="1:20" ht="24.6">
      <c r="A154" s="25">
        <v>16</v>
      </c>
      <c r="B154" s="29" t="s">
        <v>199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200</v>
      </c>
    </row>
    <row r="155" spans="1:20" ht="24.6">
      <c r="A155" s="25"/>
      <c r="B155" s="116" t="s">
        <v>89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20" ht="24" customHeight="1">
      <c r="A156" s="25">
        <v>16</v>
      </c>
      <c r="B156" s="29" t="s">
        <v>62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20" ht="22.5" customHeight="1">
      <c r="A157" s="25">
        <v>17</v>
      </c>
      <c r="B157" s="25" t="s">
        <v>57</v>
      </c>
      <c r="C157" s="29"/>
      <c r="D157" s="49"/>
      <c r="E157" s="29"/>
      <c r="F157" s="29"/>
      <c r="G157" s="49">
        <v>0</v>
      </c>
      <c r="H157" s="49">
        <v>0</v>
      </c>
      <c r="I157" s="49">
        <v>0</v>
      </c>
      <c r="J157" s="26"/>
      <c r="K157" s="16"/>
      <c r="L157" s="51"/>
      <c r="M157" s="29"/>
      <c r="N157" s="25"/>
      <c r="O157" s="72">
        <v>0</v>
      </c>
      <c r="P157" s="73">
        <v>0</v>
      </c>
      <c r="Q157" s="73">
        <v>0</v>
      </c>
      <c r="R157" s="29"/>
    </row>
    <row r="158" spans="1:20" ht="22.5" customHeight="1">
      <c r="A158" s="25">
        <v>18</v>
      </c>
      <c r="B158" s="29" t="s">
        <v>93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59">
        <v>0</v>
      </c>
      <c r="P158" s="49">
        <v>0</v>
      </c>
      <c r="Q158" s="59">
        <v>0</v>
      </c>
      <c r="R158" s="29" t="s">
        <v>201</v>
      </c>
    </row>
    <row r="159" spans="1:20" ht="24.6">
      <c r="A159" s="25"/>
      <c r="B159" s="29"/>
      <c r="C159" s="29"/>
      <c r="D159" s="49"/>
      <c r="E159" s="29"/>
      <c r="F159" s="29"/>
      <c r="G159" s="49"/>
      <c r="H159" s="49"/>
      <c r="I159" s="49"/>
      <c r="J159" s="26"/>
      <c r="K159" s="61"/>
      <c r="L159" s="51"/>
      <c r="M159" s="29"/>
      <c r="N159" s="25"/>
      <c r="O159" s="59"/>
      <c r="P159" s="49"/>
      <c r="Q159" s="59"/>
      <c r="R159" s="29" t="s">
        <v>202</v>
      </c>
    </row>
    <row r="160" spans="1:20" ht="24.6">
      <c r="A160" s="25">
        <v>19</v>
      </c>
      <c r="B160" s="25" t="s">
        <v>57</v>
      </c>
      <c r="C160" s="29"/>
      <c r="D160" s="49"/>
      <c r="E160" s="29"/>
      <c r="F160" s="29"/>
      <c r="G160" s="49"/>
      <c r="H160" s="49"/>
      <c r="I160" s="49"/>
      <c r="J160" s="26"/>
      <c r="K160" s="61"/>
      <c r="L160" s="51"/>
      <c r="M160" s="29"/>
      <c r="N160" s="25"/>
      <c r="O160" s="59"/>
      <c r="P160" s="49"/>
      <c r="Q160" s="59"/>
      <c r="R160" s="29"/>
    </row>
    <row r="161" spans="1:18" ht="24.6">
      <c r="A161" s="25">
        <v>20</v>
      </c>
      <c r="B161" s="29" t="s">
        <v>40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203</v>
      </c>
    </row>
    <row r="162" spans="1:18" ht="24.6">
      <c r="A162" s="28"/>
      <c r="B162" s="124" t="s">
        <v>97</v>
      </c>
      <c r="C162" s="29"/>
      <c r="D162" s="49"/>
      <c r="E162" s="29"/>
      <c r="F162" s="29"/>
      <c r="G162" s="49"/>
      <c r="H162" s="49"/>
      <c r="I162" s="49"/>
      <c r="J162" s="26"/>
      <c r="K162" s="61"/>
      <c r="L162" s="51"/>
      <c r="M162" s="29"/>
      <c r="N162" s="25"/>
      <c r="O162" s="59"/>
      <c r="P162" s="49"/>
      <c r="Q162" s="59"/>
      <c r="R162" s="29"/>
    </row>
    <row r="163" spans="1:18" ht="24.6">
      <c r="A163" s="28">
        <v>21</v>
      </c>
      <c r="B163" s="119" t="s">
        <v>98</v>
      </c>
      <c r="C163" s="29"/>
      <c r="D163" s="49"/>
      <c r="E163" s="29"/>
      <c r="F163" s="29"/>
      <c r="G163" s="49">
        <v>0</v>
      </c>
      <c r="H163" s="49">
        <v>0</v>
      </c>
      <c r="I163" s="49">
        <v>0</v>
      </c>
      <c r="J163" s="26"/>
      <c r="K163" s="16"/>
      <c r="L163" s="51"/>
      <c r="M163" s="29"/>
      <c r="N163" s="25"/>
      <c r="O163" s="72">
        <v>0</v>
      </c>
      <c r="P163" s="73">
        <v>0</v>
      </c>
      <c r="Q163" s="73">
        <v>0</v>
      </c>
      <c r="R163" s="29"/>
    </row>
    <row r="164" spans="1:18" ht="24.6">
      <c r="A164" s="28"/>
      <c r="B164" s="161" t="s">
        <v>204</v>
      </c>
      <c r="C164" s="29"/>
      <c r="D164" s="49"/>
      <c r="E164" s="29"/>
      <c r="F164" s="29"/>
      <c r="G164" s="49"/>
      <c r="H164" s="49"/>
      <c r="I164" s="49"/>
      <c r="J164" s="26"/>
      <c r="K164" s="61"/>
      <c r="L164" s="51"/>
      <c r="M164" s="29"/>
      <c r="N164" s="25"/>
      <c r="O164" s="59"/>
      <c r="P164" s="49"/>
      <c r="Q164" s="59"/>
      <c r="R164" s="29"/>
    </row>
    <row r="165" spans="1:18" ht="24.6">
      <c r="A165" s="28">
        <v>1</v>
      </c>
      <c r="B165" s="46" t="s">
        <v>166</v>
      </c>
      <c r="C165" s="29"/>
      <c r="D165" s="49"/>
      <c r="E165" s="29"/>
      <c r="F165" s="29"/>
      <c r="G165" s="49">
        <v>0</v>
      </c>
      <c r="H165" s="49">
        <v>0</v>
      </c>
      <c r="I165" s="49">
        <v>0</v>
      </c>
      <c r="J165" s="26"/>
      <c r="K165" s="61"/>
      <c r="L165" s="51"/>
      <c r="M165" s="29"/>
      <c r="N165" s="25"/>
      <c r="O165" s="72">
        <v>0</v>
      </c>
      <c r="P165" s="73">
        <v>0</v>
      </c>
      <c r="Q165" s="73">
        <v>0</v>
      </c>
      <c r="R165" s="29"/>
    </row>
    <row r="166" spans="1:18" ht="24.6">
      <c r="A166" s="28">
        <v>2</v>
      </c>
      <c r="B166" s="46" t="s">
        <v>167</v>
      </c>
      <c r="C166" s="29"/>
      <c r="D166" s="49"/>
      <c r="E166" s="29"/>
      <c r="F166" s="29"/>
      <c r="G166" s="49">
        <v>0</v>
      </c>
      <c r="H166" s="49">
        <v>0</v>
      </c>
      <c r="I166" s="49">
        <v>0</v>
      </c>
      <c r="J166" s="26"/>
      <c r="K166" s="61"/>
      <c r="L166" s="51"/>
      <c r="M166" s="29"/>
      <c r="N166" s="25"/>
      <c r="O166" s="72">
        <v>0</v>
      </c>
      <c r="P166" s="73">
        <v>0</v>
      </c>
      <c r="Q166" s="73">
        <v>0</v>
      </c>
      <c r="R166" s="29"/>
    </row>
    <row r="167" spans="1:18" ht="24.6">
      <c r="A167" s="28"/>
      <c r="B167" s="161" t="s">
        <v>205</v>
      </c>
      <c r="C167" s="109"/>
      <c r="D167" s="162"/>
      <c r="E167" s="109"/>
      <c r="F167" s="109"/>
      <c r="G167" s="162"/>
      <c r="H167" s="162"/>
      <c r="I167" s="162"/>
      <c r="J167" s="163"/>
      <c r="K167" s="113"/>
      <c r="L167" s="164"/>
      <c r="M167" s="109"/>
      <c r="N167" s="115"/>
      <c r="O167" s="59"/>
      <c r="P167" s="162"/>
      <c r="Q167" s="111"/>
      <c r="R167" s="29"/>
    </row>
    <row r="168" spans="1:18" ht="24.6">
      <c r="A168" s="28">
        <v>1</v>
      </c>
      <c r="B168" s="46" t="s">
        <v>32</v>
      </c>
      <c r="C168" s="29"/>
      <c r="D168" s="49"/>
      <c r="E168" s="29"/>
      <c r="F168" s="29"/>
      <c r="G168" s="49">
        <v>0</v>
      </c>
      <c r="H168" s="49">
        <v>0</v>
      </c>
      <c r="I168" s="49">
        <v>0</v>
      </c>
      <c r="J168" s="26"/>
      <c r="K168" s="61"/>
      <c r="L168" s="51"/>
      <c r="M168" s="29"/>
      <c r="N168" s="25"/>
      <c r="O168" s="72">
        <v>0</v>
      </c>
      <c r="P168" s="73">
        <v>0</v>
      </c>
      <c r="Q168" s="73">
        <v>0</v>
      </c>
      <c r="R168" s="29" t="s">
        <v>206</v>
      </c>
    </row>
    <row r="169" spans="1:18" ht="25.2" thickBot="1">
      <c r="A169" s="28">
        <v>2</v>
      </c>
      <c r="B169" s="46" t="s">
        <v>207</v>
      </c>
      <c r="C169" s="109"/>
      <c r="D169" s="162"/>
      <c r="E169" s="109"/>
      <c r="F169" s="109"/>
      <c r="G169" s="49">
        <v>0</v>
      </c>
      <c r="H169" s="49">
        <v>0</v>
      </c>
      <c r="I169" s="49">
        <v>0</v>
      </c>
      <c r="J169" s="163"/>
      <c r="K169" s="113"/>
      <c r="L169" s="164"/>
      <c r="M169" s="109"/>
      <c r="N169" s="115"/>
      <c r="O169" s="72">
        <v>0</v>
      </c>
      <c r="P169" s="73">
        <v>0</v>
      </c>
      <c r="Q169" s="73">
        <v>0</v>
      </c>
      <c r="R169" s="29"/>
    </row>
    <row r="170" spans="1:18" ht="25.8" thickTop="1" thickBot="1">
      <c r="A170" s="46"/>
      <c r="B170" s="28" t="s">
        <v>26</v>
      </c>
      <c r="C170" s="79"/>
      <c r="D170" s="165"/>
      <c r="E170" s="165"/>
      <c r="F170" s="165"/>
      <c r="G170" s="165">
        <v>0</v>
      </c>
      <c r="H170" s="165">
        <v>0</v>
      </c>
      <c r="I170" s="165">
        <v>0</v>
      </c>
      <c r="J170" s="166"/>
      <c r="K170" s="166"/>
      <c r="L170" s="166"/>
      <c r="M170" s="165"/>
      <c r="N170" s="167"/>
      <c r="O170" s="165">
        <v>0</v>
      </c>
      <c r="P170" s="165">
        <v>0</v>
      </c>
      <c r="Q170" s="165">
        <v>0</v>
      </c>
      <c r="R170" s="29"/>
    </row>
    <row r="171" spans="1:18" ht="25.2" thickTop="1">
      <c r="A171" s="46"/>
      <c r="B171" s="168" t="s">
        <v>208</v>
      </c>
      <c r="C171" s="46"/>
      <c r="D171" s="98"/>
      <c r="E171" s="46"/>
      <c r="F171" s="46"/>
      <c r="G171" s="57"/>
      <c r="H171" s="57"/>
      <c r="I171" s="57"/>
      <c r="J171" s="137"/>
      <c r="K171" s="48"/>
      <c r="L171" s="169"/>
      <c r="M171" s="46"/>
      <c r="N171" s="28"/>
      <c r="O171" s="57"/>
      <c r="P171" s="57"/>
      <c r="Q171" s="57"/>
      <c r="R171" s="46"/>
    </row>
    <row r="172" spans="1:18" ht="25.2" thickBot="1">
      <c r="A172" s="28">
        <v>1</v>
      </c>
      <c r="B172" s="28"/>
      <c r="C172" s="74"/>
      <c r="D172" s="110"/>
      <c r="E172" s="74"/>
      <c r="F172" s="74"/>
      <c r="G172" s="78"/>
      <c r="H172" s="78"/>
      <c r="I172" s="78"/>
      <c r="J172" s="35"/>
      <c r="K172" s="76"/>
      <c r="L172" s="170"/>
      <c r="M172" s="74"/>
      <c r="N172" s="34"/>
      <c r="O172" s="78"/>
      <c r="P172" s="78"/>
      <c r="Q172" s="78"/>
      <c r="R172" s="46"/>
    </row>
    <row r="173" spans="1:18" ht="25.2" thickTop="1">
      <c r="A173" s="46"/>
      <c r="B173" s="28" t="s">
        <v>26</v>
      </c>
      <c r="C173" s="109"/>
      <c r="D173" s="162"/>
      <c r="E173" s="109"/>
      <c r="F173" s="109"/>
      <c r="G173" s="111"/>
      <c r="H173" s="111"/>
      <c r="I173" s="111"/>
      <c r="J173" s="163"/>
      <c r="K173" s="113"/>
      <c r="L173" s="164"/>
      <c r="M173" s="109"/>
      <c r="N173" s="115"/>
      <c r="O173" s="111"/>
      <c r="P173" s="111"/>
      <c r="Q173" s="111"/>
      <c r="R173" s="46"/>
    </row>
    <row r="174" spans="1:18" ht="24.6">
      <c r="A174" s="46"/>
      <c r="B174" s="168" t="s">
        <v>209</v>
      </c>
      <c r="C174" s="29"/>
      <c r="D174" s="49"/>
      <c r="E174" s="29"/>
      <c r="F174" s="29"/>
      <c r="G174" s="59"/>
      <c r="H174" s="59"/>
      <c r="I174" s="59"/>
      <c r="J174" s="26"/>
      <c r="K174" s="61"/>
      <c r="L174" s="51"/>
      <c r="M174" s="29"/>
      <c r="N174" s="25"/>
      <c r="O174" s="59"/>
      <c r="P174" s="59"/>
      <c r="Q174" s="59"/>
      <c r="R174" s="46"/>
    </row>
    <row r="175" spans="1:18" ht="29.25" customHeight="1" thickBot="1">
      <c r="A175" s="115">
        <v>1</v>
      </c>
      <c r="B175" s="115"/>
      <c r="C175" s="74"/>
      <c r="D175" s="110"/>
      <c r="E175" s="74"/>
      <c r="F175" s="74"/>
      <c r="G175" s="78"/>
      <c r="H175" s="78"/>
      <c r="I175" s="78"/>
      <c r="J175" s="35"/>
      <c r="K175" s="76"/>
      <c r="L175" s="170"/>
      <c r="M175" s="74"/>
      <c r="N175" s="34"/>
      <c r="O175" s="78"/>
      <c r="P175" s="78"/>
      <c r="Q175" s="78"/>
      <c r="R175" s="109"/>
    </row>
    <row r="176" spans="1:18" ht="26.25" customHeight="1" thickTop="1" thickBot="1">
      <c r="A176" s="29"/>
      <c r="B176" s="25" t="s">
        <v>26</v>
      </c>
      <c r="C176" s="64"/>
      <c r="D176" s="171"/>
      <c r="E176" s="64"/>
      <c r="F176" s="64"/>
      <c r="G176" s="63"/>
      <c r="H176" s="63"/>
      <c r="I176" s="63"/>
      <c r="J176" s="42"/>
      <c r="K176" s="66"/>
      <c r="L176" s="172"/>
      <c r="M176" s="64"/>
      <c r="N176" s="41"/>
      <c r="O176" s="63"/>
      <c r="P176" s="63"/>
      <c r="Q176" s="63"/>
      <c r="R176" s="29"/>
    </row>
    <row r="177" spans="1:23" ht="24.75" customHeight="1" thickTop="1">
      <c r="A177" s="46"/>
      <c r="B177" s="168" t="s">
        <v>210</v>
      </c>
      <c r="C177" s="46"/>
      <c r="D177" s="98"/>
      <c r="E177" s="46"/>
      <c r="F177" s="46"/>
      <c r="G177" s="46"/>
      <c r="H177" s="46"/>
      <c r="I177" s="46"/>
      <c r="J177" s="137"/>
      <c r="K177" s="48"/>
      <c r="L177" s="48"/>
      <c r="M177" s="46"/>
      <c r="N177" s="28"/>
      <c r="O177" s="46"/>
      <c r="P177" s="46"/>
      <c r="Q177" s="46"/>
      <c r="R177" s="46"/>
    </row>
    <row r="178" spans="1:23" ht="24" customHeight="1">
      <c r="A178" s="25"/>
      <c r="B178" s="29"/>
      <c r="C178" s="29"/>
      <c r="D178" s="49"/>
      <c r="E178" s="29"/>
      <c r="F178" s="29"/>
      <c r="G178" s="49">
        <v>0</v>
      </c>
      <c r="H178" s="49">
        <v>0</v>
      </c>
      <c r="I178" s="59">
        <v>0</v>
      </c>
      <c r="J178" s="26"/>
      <c r="K178" s="61"/>
      <c r="L178" s="51"/>
      <c r="M178" s="29"/>
      <c r="N178" s="25"/>
      <c r="O178" s="72">
        <v>0</v>
      </c>
      <c r="P178" s="73">
        <v>0</v>
      </c>
      <c r="Q178" s="73">
        <v>0</v>
      </c>
      <c r="R178" s="29"/>
    </row>
    <row r="179" spans="1:23" ht="24.75" customHeight="1" thickBot="1">
      <c r="A179" s="34"/>
      <c r="B179" s="34" t="s">
        <v>26</v>
      </c>
      <c r="C179" s="74"/>
      <c r="D179" s="110"/>
      <c r="E179" s="74"/>
      <c r="F179" s="74"/>
      <c r="G179" s="78">
        <v>0</v>
      </c>
      <c r="H179" s="78">
        <v>0</v>
      </c>
      <c r="I179" s="78">
        <v>0</v>
      </c>
      <c r="J179" s="75"/>
      <c r="K179" s="76"/>
      <c r="L179" s="170"/>
      <c r="M179" s="74"/>
      <c r="N179" s="34"/>
      <c r="O179" s="110">
        <v>0</v>
      </c>
      <c r="P179" s="110">
        <v>0</v>
      </c>
      <c r="Q179" s="110">
        <v>0</v>
      </c>
      <c r="R179" s="74"/>
    </row>
    <row r="180" spans="1:23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3" ht="24.75" customHeight="1">
      <c r="A181" s="731" t="s">
        <v>211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3"/>
    </row>
    <row r="182" spans="1:23" ht="24.75" customHeight="1">
      <c r="A182" s="46">
        <v>1</v>
      </c>
      <c r="B182" s="180" t="s">
        <v>32</v>
      </c>
      <c r="C182" s="46" t="s">
        <v>104</v>
      </c>
      <c r="D182" s="98">
        <v>4650</v>
      </c>
      <c r="E182" s="141" t="s">
        <v>275</v>
      </c>
      <c r="F182" s="254">
        <v>5</v>
      </c>
      <c r="G182" s="141">
        <v>23250</v>
      </c>
      <c r="H182" s="141" t="s">
        <v>172</v>
      </c>
      <c r="I182" s="141">
        <v>23250</v>
      </c>
      <c r="J182" s="137"/>
      <c r="K182" s="48"/>
      <c r="L182" s="48"/>
      <c r="M182" s="46" t="s">
        <v>301</v>
      </c>
      <c r="N182" s="28">
        <v>6</v>
      </c>
      <c r="O182" s="57">
        <f>SUM(D182+I182-L182)</f>
        <v>27900</v>
      </c>
      <c r="P182" s="28" t="s">
        <v>172</v>
      </c>
      <c r="Q182" s="57">
        <f>O182</f>
        <v>27900</v>
      </c>
      <c r="R182" s="46" t="s">
        <v>214</v>
      </c>
    </row>
    <row r="183" spans="1:23" ht="24" customHeight="1">
      <c r="A183" s="25">
        <v>2</v>
      </c>
      <c r="B183" s="29" t="s">
        <v>215</v>
      </c>
      <c r="C183" s="29" t="s">
        <v>104</v>
      </c>
      <c r="D183" s="49">
        <v>5750</v>
      </c>
      <c r="E183" s="134" t="s">
        <v>275</v>
      </c>
      <c r="F183" s="255">
        <v>5</v>
      </c>
      <c r="G183" s="134">
        <v>28750</v>
      </c>
      <c r="H183" s="134">
        <v>0</v>
      </c>
      <c r="I183" s="134">
        <v>28750</v>
      </c>
      <c r="J183" s="26"/>
      <c r="K183" s="61"/>
      <c r="L183" s="51"/>
      <c r="M183" s="46" t="s">
        <v>301</v>
      </c>
      <c r="N183" s="25">
        <v>6</v>
      </c>
      <c r="O183" s="57">
        <f>SUM(D183+I183-L183)</f>
        <v>34500</v>
      </c>
      <c r="P183" s="73">
        <v>0</v>
      </c>
      <c r="Q183" s="57">
        <f>O183</f>
        <v>34500</v>
      </c>
      <c r="R183" s="29" t="s">
        <v>214</v>
      </c>
    </row>
    <row r="184" spans="1:23" ht="24.75" customHeight="1" thickBot="1">
      <c r="A184" s="34"/>
      <c r="B184" s="34" t="s">
        <v>26</v>
      </c>
      <c r="C184" s="74"/>
      <c r="D184" s="110">
        <f>SUM(D182:D183)</f>
        <v>10400</v>
      </c>
      <c r="E184" s="74"/>
      <c r="F184" s="74"/>
      <c r="G184" s="78">
        <f>SUM(G182:G183)</f>
        <v>52000</v>
      </c>
      <c r="H184" s="78">
        <f>SUM(H182:H183)</f>
        <v>0</v>
      </c>
      <c r="I184" s="78">
        <f>SUM(I182:I183)</f>
        <v>52000</v>
      </c>
      <c r="J184" s="75"/>
      <c r="K184" s="76"/>
      <c r="L184" s="170"/>
      <c r="M184" s="74"/>
      <c r="N184" s="34"/>
      <c r="O184" s="110">
        <f>SUM(O182:O183)</f>
        <v>62400</v>
      </c>
      <c r="P184" s="110">
        <v>0</v>
      </c>
      <c r="Q184" s="110">
        <f>SUM(Q182:Q183)</f>
        <v>62400</v>
      </c>
      <c r="R184" s="74"/>
    </row>
    <row r="185" spans="1:23" ht="24.75" customHeight="1" thickTop="1">
      <c r="A185" s="14"/>
      <c r="B185" s="173"/>
      <c r="D185" s="174"/>
      <c r="G185" s="175"/>
      <c r="H185" s="175"/>
      <c r="I185" s="175"/>
      <c r="L185" s="178"/>
      <c r="O185" s="174"/>
      <c r="P185" s="174"/>
      <c r="Q185" s="174"/>
      <c r="R185" s="179"/>
    </row>
    <row r="186" spans="1:23" ht="24.6">
      <c r="A186" s="734" t="s">
        <v>216</v>
      </c>
      <c r="B186" s="735"/>
      <c r="C186" s="735"/>
      <c r="D186" s="735"/>
      <c r="E186" s="735"/>
      <c r="F186" s="735"/>
      <c r="G186" s="735"/>
      <c r="H186" s="735"/>
      <c r="I186" s="735"/>
      <c r="J186" s="735"/>
      <c r="K186" s="735"/>
      <c r="L186" s="735"/>
      <c r="M186" s="735"/>
      <c r="N186" s="735"/>
      <c r="O186" s="735"/>
      <c r="P186" s="735"/>
      <c r="Q186" s="735"/>
      <c r="R186" s="736"/>
    </row>
    <row r="187" spans="1:23" ht="29.25" customHeight="1">
      <c r="A187" s="115"/>
      <c r="B187" s="115"/>
      <c r="C187" s="181"/>
      <c r="D187" s="182"/>
      <c r="E187" s="181"/>
      <c r="F187" s="181"/>
      <c r="G187" s="183"/>
      <c r="H187" s="183"/>
      <c r="I187" s="183"/>
      <c r="J187" s="184"/>
      <c r="K187" s="185"/>
      <c r="L187" s="186"/>
      <c r="M187" s="181"/>
      <c r="N187" s="187"/>
      <c r="O187" s="183"/>
      <c r="P187" s="183"/>
      <c r="Q187" s="183"/>
      <c r="R187" s="109"/>
    </row>
    <row r="188" spans="1:23" ht="29.25" customHeight="1" thickBot="1">
      <c r="A188" s="115"/>
      <c r="B188" s="115"/>
      <c r="C188" s="64"/>
      <c r="D188" s="171"/>
      <c r="E188" s="64"/>
      <c r="F188" s="64"/>
      <c r="G188" s="63"/>
      <c r="H188" s="63"/>
      <c r="I188" s="63"/>
      <c r="J188" s="42"/>
      <c r="K188" s="66"/>
      <c r="L188" s="172"/>
      <c r="M188" s="64"/>
      <c r="N188" s="41"/>
      <c r="O188" s="63"/>
      <c r="P188" s="63"/>
      <c r="Q188" s="63"/>
      <c r="R188" s="109"/>
    </row>
    <row r="189" spans="1:23" ht="26.25" customHeight="1" thickTop="1" thickBot="1">
      <c r="A189" s="29"/>
      <c r="B189" s="25" t="s">
        <v>26</v>
      </c>
      <c r="C189" s="64"/>
      <c r="D189" s="171"/>
      <c r="E189" s="64"/>
      <c r="F189" s="64"/>
      <c r="G189" s="63">
        <f>SUM(G187:G187)</f>
        <v>0</v>
      </c>
      <c r="H189" s="63">
        <f>SUM(H187:H187)</f>
        <v>0</v>
      </c>
      <c r="I189" s="63">
        <f>SUM(I187:I187)</f>
        <v>0</v>
      </c>
      <c r="J189" s="42"/>
      <c r="K189" s="66"/>
      <c r="L189" s="172"/>
      <c r="M189" s="64"/>
      <c r="N189" s="41"/>
      <c r="O189" s="63">
        <f>SUM(O187:O187)</f>
        <v>0</v>
      </c>
      <c r="P189" s="63">
        <f>SUM(P187:P187)</f>
        <v>0</v>
      </c>
      <c r="Q189" s="63">
        <f>SUM(Q187:Q187)</f>
        <v>0</v>
      </c>
      <c r="R189" s="29"/>
    </row>
    <row r="190" spans="1:23" ht="24.75" customHeight="1" thickTop="1">
      <c r="A190" s="4"/>
      <c r="B190" s="188" t="s">
        <v>217</v>
      </c>
      <c r="C190" s="53"/>
      <c r="D190" s="127"/>
      <c r="E190" s="53"/>
      <c r="F190" s="53"/>
      <c r="G190" s="183"/>
      <c r="H190" s="183"/>
      <c r="I190" s="183"/>
      <c r="J190" s="189"/>
      <c r="K190" s="185"/>
      <c r="L190" s="186"/>
      <c r="M190" s="53"/>
      <c r="N190" s="4"/>
      <c r="O190" s="127"/>
      <c r="P190" s="127"/>
      <c r="Q190" s="127"/>
      <c r="R190" s="181"/>
    </row>
    <row r="191" spans="1:23" s="96" customFormat="1" ht="24.75" customHeight="1">
      <c r="A191" s="190">
        <v>1</v>
      </c>
      <c r="B191" s="191" t="s">
        <v>68</v>
      </c>
      <c r="C191" s="192">
        <v>268</v>
      </c>
      <c r="D191" s="193">
        <v>1215</v>
      </c>
      <c r="E191" s="190" t="s">
        <v>276</v>
      </c>
      <c r="F191" s="194">
        <v>100</v>
      </c>
      <c r="G191" s="193">
        <v>113130</v>
      </c>
      <c r="H191" s="193" t="s">
        <v>172</v>
      </c>
      <c r="I191" s="193">
        <v>113130</v>
      </c>
      <c r="J191" s="195"/>
      <c r="K191" s="196"/>
      <c r="L191" s="197"/>
      <c r="M191" s="190" t="s">
        <v>302</v>
      </c>
      <c r="N191" s="190">
        <v>101</v>
      </c>
      <c r="O191" s="198">
        <f>SUM(D191+G191)</f>
        <v>114345</v>
      </c>
      <c r="P191" s="198" t="s">
        <v>172</v>
      </c>
      <c r="Q191" s="198">
        <f>SUM(D191+I191)</f>
        <v>114345</v>
      </c>
      <c r="R191" s="192" t="s">
        <v>220</v>
      </c>
      <c r="T191" s="97">
        <v>82995</v>
      </c>
    </row>
    <row r="192" spans="1:23" ht="24.75" customHeight="1">
      <c r="A192" s="199"/>
      <c r="B192" s="200" t="s">
        <v>221</v>
      </c>
      <c r="C192" s="201" t="s">
        <v>222</v>
      </c>
      <c r="D192" s="202">
        <v>0</v>
      </c>
      <c r="E192" s="203"/>
      <c r="F192" s="204" t="s">
        <v>172</v>
      </c>
      <c r="G192" s="202">
        <v>19700</v>
      </c>
      <c r="H192" s="202">
        <v>0</v>
      </c>
      <c r="I192" s="202">
        <v>19700</v>
      </c>
      <c r="J192" s="205"/>
      <c r="K192" s="206"/>
      <c r="L192" s="207">
        <v>0</v>
      </c>
      <c r="M192" s="208"/>
      <c r="N192" s="209" t="s">
        <v>172</v>
      </c>
      <c r="O192" s="198">
        <v>19700</v>
      </c>
      <c r="P192" s="210">
        <v>0</v>
      </c>
      <c r="Q192" s="210">
        <v>19700</v>
      </c>
      <c r="R192" s="203" t="s">
        <v>184</v>
      </c>
      <c r="V192" s="211"/>
      <c r="W192" s="211"/>
    </row>
    <row r="193" spans="1:22" ht="24.75" customHeight="1">
      <c r="A193" s="199"/>
      <c r="B193" s="201"/>
      <c r="C193" s="201" t="s">
        <v>223</v>
      </c>
      <c r="D193" s="202"/>
      <c r="E193" s="203"/>
      <c r="F193" s="204" t="s">
        <v>172</v>
      </c>
      <c r="G193" s="202">
        <v>19700</v>
      </c>
      <c r="H193" s="202">
        <v>0</v>
      </c>
      <c r="I193" s="202">
        <v>19700</v>
      </c>
      <c r="J193" s="205"/>
      <c r="K193" s="206"/>
      <c r="L193" s="207">
        <v>0</v>
      </c>
      <c r="M193" s="203"/>
      <c r="N193" s="199" t="s">
        <v>172</v>
      </c>
      <c r="O193" s="198">
        <v>19700</v>
      </c>
      <c r="P193" s="210">
        <v>0</v>
      </c>
      <c r="Q193" s="210">
        <v>19700</v>
      </c>
      <c r="R193" s="203" t="s">
        <v>185</v>
      </c>
      <c r="V193" s="211"/>
    </row>
    <row r="194" spans="1:22" ht="24.75" customHeight="1">
      <c r="A194" s="199"/>
      <c r="B194" s="201"/>
      <c r="C194" s="201" t="s">
        <v>224</v>
      </c>
      <c r="D194" s="202"/>
      <c r="E194" s="203"/>
      <c r="F194" s="204" t="s">
        <v>172</v>
      </c>
      <c r="G194" s="202">
        <v>19700</v>
      </c>
      <c r="H194" s="202">
        <v>0</v>
      </c>
      <c r="I194" s="202">
        <v>19700</v>
      </c>
      <c r="J194" s="205"/>
      <c r="K194" s="206"/>
      <c r="L194" s="207">
        <v>0</v>
      </c>
      <c r="M194" s="203"/>
      <c r="N194" s="199" t="s">
        <v>172</v>
      </c>
      <c r="O194" s="198">
        <v>19700</v>
      </c>
      <c r="P194" s="210">
        <v>0</v>
      </c>
      <c r="Q194" s="210">
        <v>19700</v>
      </c>
      <c r="R194" s="203" t="s">
        <v>186</v>
      </c>
    </row>
    <row r="195" spans="1:22" ht="24.75" customHeight="1">
      <c r="A195" s="199">
        <v>2</v>
      </c>
      <c r="B195" s="200" t="s">
        <v>225</v>
      </c>
      <c r="C195" s="203"/>
      <c r="D195" s="202"/>
      <c r="E195" s="199" t="s">
        <v>226</v>
      </c>
      <c r="F195" s="204">
        <v>88</v>
      </c>
      <c r="G195" s="202">
        <v>193600</v>
      </c>
      <c r="H195" s="202">
        <v>0</v>
      </c>
      <c r="I195" s="202">
        <v>193600</v>
      </c>
      <c r="J195" s="205"/>
      <c r="K195" s="206"/>
      <c r="L195" s="207"/>
      <c r="M195" s="199" t="s">
        <v>226</v>
      </c>
      <c r="N195" s="199">
        <v>88</v>
      </c>
      <c r="O195" s="198">
        <v>193600</v>
      </c>
      <c r="P195" s="210">
        <v>0</v>
      </c>
      <c r="Q195" s="210">
        <v>193600</v>
      </c>
      <c r="R195" s="203" t="s">
        <v>227</v>
      </c>
    </row>
    <row r="196" spans="1:22" ht="24.75" customHeight="1">
      <c r="A196" s="199"/>
      <c r="B196" s="200"/>
      <c r="C196" s="203"/>
      <c r="D196" s="202"/>
      <c r="E196" s="199"/>
      <c r="F196" s="204"/>
      <c r="G196" s="202"/>
      <c r="H196" s="202"/>
      <c r="I196" s="202"/>
      <c r="J196" s="205"/>
      <c r="L196" s="207"/>
      <c r="M196" s="199"/>
      <c r="N196" s="199"/>
      <c r="O196" s="198"/>
      <c r="P196" s="210"/>
      <c r="Q196" s="210"/>
      <c r="R196" s="203" t="s">
        <v>228</v>
      </c>
    </row>
    <row r="197" spans="1:22" ht="24.75" customHeight="1">
      <c r="A197" s="199">
        <v>3</v>
      </c>
      <c r="B197" s="200" t="s">
        <v>85</v>
      </c>
      <c r="C197" s="203" t="s">
        <v>86</v>
      </c>
      <c r="D197" s="202">
        <v>0</v>
      </c>
      <c r="E197" s="199" t="s">
        <v>229</v>
      </c>
      <c r="F197" s="204">
        <v>7</v>
      </c>
      <c r="G197" s="202">
        <v>30800</v>
      </c>
      <c r="H197" s="202">
        <v>0</v>
      </c>
      <c r="I197" s="202">
        <v>30800</v>
      </c>
      <c r="J197" s="205"/>
      <c r="K197" s="206"/>
      <c r="L197" s="207"/>
      <c r="M197" s="203" t="s">
        <v>229</v>
      </c>
      <c r="N197" s="199">
        <v>7</v>
      </c>
      <c r="O197" s="198">
        <v>30800</v>
      </c>
      <c r="P197" s="210">
        <v>0</v>
      </c>
      <c r="Q197" s="210">
        <v>30800</v>
      </c>
      <c r="R197" s="203" t="s">
        <v>230</v>
      </c>
    </row>
    <row r="198" spans="1:22" ht="24.75" customHeight="1">
      <c r="A198" s="115"/>
      <c r="B198" s="212"/>
      <c r="C198" s="109"/>
      <c r="D198" s="162"/>
      <c r="E198" s="115"/>
      <c r="F198" s="213"/>
      <c r="G198" s="162"/>
      <c r="H198" s="214"/>
      <c r="I198" s="214"/>
      <c r="J198" s="215"/>
      <c r="K198" s="216"/>
      <c r="L198" s="217"/>
      <c r="M198" s="218"/>
      <c r="N198" s="219"/>
      <c r="O198" s="220"/>
      <c r="P198" s="221"/>
      <c r="Q198" s="221"/>
      <c r="R198" s="218" t="s">
        <v>231</v>
      </c>
    </row>
    <row r="199" spans="1:22" s="96" customFormat="1" ht="24.75" customHeight="1">
      <c r="A199" s="190"/>
      <c r="B199" s="191" t="s">
        <v>232</v>
      </c>
      <c r="C199" s="192" t="s">
        <v>194</v>
      </c>
      <c r="D199" s="193">
        <v>0</v>
      </c>
      <c r="E199" s="192"/>
      <c r="F199" s="192"/>
      <c r="G199" s="193">
        <v>64400</v>
      </c>
      <c r="H199" s="193">
        <v>0</v>
      </c>
      <c r="I199" s="193">
        <v>64400</v>
      </c>
      <c r="J199" s="195"/>
      <c r="K199" s="196"/>
      <c r="L199" s="197">
        <v>0</v>
      </c>
      <c r="M199" s="192"/>
      <c r="N199" s="190"/>
      <c r="O199" s="198">
        <v>64400</v>
      </c>
      <c r="P199" s="210">
        <v>0</v>
      </c>
      <c r="Q199" s="210">
        <v>64400</v>
      </c>
      <c r="R199" s="192" t="s">
        <v>233</v>
      </c>
      <c r="T199" s="97"/>
    </row>
    <row r="200" spans="1:22" ht="24.6">
      <c r="A200" s="199">
        <v>4</v>
      </c>
      <c r="B200" s="203" t="s">
        <v>32</v>
      </c>
      <c r="C200" s="222" t="s">
        <v>104</v>
      </c>
      <c r="D200" s="202"/>
      <c r="E200" s="223" t="s">
        <v>234</v>
      </c>
      <c r="F200" s="224">
        <v>4</v>
      </c>
      <c r="G200" s="225">
        <v>18600</v>
      </c>
      <c r="H200" s="225">
        <v>0</v>
      </c>
      <c r="I200" s="225">
        <v>18600</v>
      </c>
      <c r="J200" s="226"/>
      <c r="K200" s="227"/>
      <c r="L200" s="228"/>
      <c r="M200" s="199" t="s">
        <v>234</v>
      </c>
      <c r="N200" s="199">
        <v>4</v>
      </c>
      <c r="O200" s="198">
        <f>D200+G200</f>
        <v>18600</v>
      </c>
      <c r="P200" s="210">
        <v>0</v>
      </c>
      <c r="Q200" s="210">
        <f>D200+I200</f>
        <v>18600</v>
      </c>
      <c r="R200" s="203" t="s">
        <v>235</v>
      </c>
    </row>
    <row r="201" spans="1:22" ht="24.6">
      <c r="A201" s="199">
        <v>5</v>
      </c>
      <c r="B201" s="203" t="s">
        <v>215</v>
      </c>
      <c r="C201" s="222" t="s">
        <v>104</v>
      </c>
      <c r="D201" s="202"/>
      <c r="E201" s="199" t="s">
        <v>236</v>
      </c>
      <c r="F201" s="199">
        <v>4</v>
      </c>
      <c r="G201" s="202">
        <v>23000</v>
      </c>
      <c r="H201" s="202">
        <v>0</v>
      </c>
      <c r="I201" s="202">
        <v>23000</v>
      </c>
      <c r="J201" s="226"/>
      <c r="K201" s="227"/>
      <c r="L201" s="228"/>
      <c r="M201" s="199" t="s">
        <v>236</v>
      </c>
      <c r="N201" s="199">
        <v>4</v>
      </c>
      <c r="O201" s="198">
        <f>D201+G201</f>
        <v>23000</v>
      </c>
      <c r="P201" s="210">
        <v>0</v>
      </c>
      <c r="Q201" s="210">
        <f>D201+I201</f>
        <v>23000</v>
      </c>
      <c r="R201" s="203" t="s">
        <v>237</v>
      </c>
    </row>
    <row r="202" spans="1:22" s="96" customFormat="1" ht="24.75" customHeight="1">
      <c r="A202" s="229"/>
      <c r="B202" s="230"/>
      <c r="C202" s="231"/>
      <c r="D202" s="232"/>
      <c r="E202" s="231"/>
      <c r="F202" s="231"/>
      <c r="G202" s="232"/>
      <c r="H202" s="232"/>
      <c r="I202" s="232"/>
      <c r="J202" s="233"/>
      <c r="K202" s="234"/>
      <c r="L202" s="235"/>
      <c r="M202" s="231"/>
      <c r="N202" s="229"/>
      <c r="O202" s="236"/>
      <c r="P202" s="237"/>
      <c r="Q202" s="237"/>
      <c r="R202" s="238"/>
      <c r="T202" s="97"/>
    </row>
    <row r="203" spans="1:22" ht="24.75" customHeight="1" thickBot="1">
      <c r="A203" s="34"/>
      <c r="B203" s="239"/>
      <c r="C203" s="74"/>
      <c r="D203" s="110">
        <v>1215</v>
      </c>
      <c r="E203" s="110"/>
      <c r="F203" s="110"/>
      <c r="G203" s="110">
        <f>SUM(G191:G201)</f>
        <v>502630</v>
      </c>
      <c r="H203" s="110">
        <v>0</v>
      </c>
      <c r="I203" s="110">
        <f>SUM(I191:I201)</f>
        <v>502630</v>
      </c>
      <c r="J203" s="170"/>
      <c r="K203" s="170"/>
      <c r="L203" s="170">
        <v>0</v>
      </c>
      <c r="M203" s="110"/>
      <c r="N203" s="240"/>
      <c r="O203" s="171">
        <f>SUM(O191:O201)</f>
        <v>503845</v>
      </c>
      <c r="P203" s="171">
        <v>0</v>
      </c>
      <c r="Q203" s="171">
        <f>SUM(Q191:Q201)</f>
        <v>503845</v>
      </c>
      <c r="R203" s="208"/>
    </row>
    <row r="204" spans="1:22" ht="25.2" thickTop="1">
      <c r="A204" s="46"/>
      <c r="B204" s="161" t="s">
        <v>238</v>
      </c>
      <c r="C204" s="46"/>
      <c r="D204" s="46"/>
      <c r="E204" s="46"/>
      <c r="F204" s="46"/>
      <c r="G204" s="46"/>
      <c r="H204" s="46"/>
      <c r="I204" s="46"/>
      <c r="J204" s="47"/>
      <c r="K204" s="48"/>
      <c r="L204" s="48"/>
      <c r="M204" s="46"/>
      <c r="N204" s="28"/>
      <c r="O204" s="46"/>
      <c r="P204" s="46"/>
      <c r="Q204" s="46"/>
      <c r="R204" s="46"/>
    </row>
    <row r="205" spans="1:22" ht="24.6">
      <c r="A205" s="25">
        <v>1</v>
      </c>
      <c r="B205" s="53" t="s">
        <v>239</v>
      </c>
      <c r="C205" s="109"/>
      <c r="D205" s="109"/>
      <c r="E205" s="109" t="s">
        <v>240</v>
      </c>
      <c r="F205" s="109"/>
      <c r="G205" s="162"/>
      <c r="H205" s="109"/>
      <c r="I205" s="162">
        <v>0</v>
      </c>
      <c r="J205" s="112"/>
      <c r="K205" s="113"/>
      <c r="L205" s="241"/>
      <c r="M205" s="109" t="s">
        <v>240</v>
      </c>
      <c r="N205" s="115"/>
      <c r="O205" s="49"/>
      <c r="P205" s="127"/>
      <c r="Q205" s="162">
        <v>0</v>
      </c>
      <c r="R205" s="29"/>
    </row>
    <row r="206" spans="1:22" ht="24.6">
      <c r="A206" s="25"/>
      <c r="B206" s="29" t="s">
        <v>241</v>
      </c>
      <c r="C206" s="29"/>
      <c r="D206" s="29"/>
      <c r="E206" s="25" t="s">
        <v>242</v>
      </c>
      <c r="F206" s="29"/>
      <c r="G206" s="49">
        <v>133707.98000000001</v>
      </c>
      <c r="H206" s="134">
        <v>0</v>
      </c>
      <c r="I206" s="49">
        <v>133707.98000000001</v>
      </c>
      <c r="J206" s="60"/>
      <c r="K206" s="61"/>
      <c r="L206" s="242"/>
      <c r="M206" s="29" t="s">
        <v>242</v>
      </c>
      <c r="N206" s="25"/>
      <c r="O206" s="72">
        <v>133707.98000000001</v>
      </c>
      <c r="P206" s="73">
        <v>0</v>
      </c>
      <c r="Q206" s="73">
        <v>133707.98000000001</v>
      </c>
      <c r="R206" s="29" t="s">
        <v>243</v>
      </c>
    </row>
    <row r="207" spans="1:22" ht="24.6">
      <c r="A207" s="25"/>
      <c r="B207" s="29" t="s">
        <v>244</v>
      </c>
      <c r="C207" s="29"/>
      <c r="D207" s="29"/>
      <c r="E207" s="29"/>
      <c r="F207" s="29"/>
      <c r="G207" s="49">
        <v>73800</v>
      </c>
      <c r="H207" s="134">
        <v>0</v>
      </c>
      <c r="I207" s="49">
        <v>73800</v>
      </c>
      <c r="J207" s="60"/>
      <c r="K207" s="61"/>
      <c r="L207" s="242"/>
      <c r="M207" s="29"/>
      <c r="N207" s="25"/>
      <c r="O207" s="72">
        <v>73800</v>
      </c>
      <c r="P207" s="73">
        <v>0</v>
      </c>
      <c r="Q207" s="73">
        <v>73800</v>
      </c>
      <c r="R207" s="29"/>
    </row>
    <row r="208" spans="1:22" ht="24.6">
      <c r="A208" s="25"/>
      <c r="B208" s="29" t="s">
        <v>245</v>
      </c>
      <c r="C208" s="29"/>
      <c r="D208" s="29"/>
      <c r="E208" s="29"/>
      <c r="F208" s="29"/>
      <c r="G208" s="49">
        <v>7596.82</v>
      </c>
      <c r="H208" s="134">
        <v>0</v>
      </c>
      <c r="I208" s="89">
        <v>7596.82</v>
      </c>
      <c r="J208" s="60"/>
      <c r="K208" s="61"/>
      <c r="L208" s="242"/>
      <c r="M208" s="29"/>
      <c r="N208" s="25"/>
      <c r="O208" s="72">
        <v>7596.82</v>
      </c>
      <c r="P208" s="73">
        <v>0</v>
      </c>
      <c r="Q208" s="73">
        <v>7596.82</v>
      </c>
      <c r="R208" s="29" t="s">
        <v>243</v>
      </c>
    </row>
    <row r="209" spans="1:21" ht="24.6">
      <c r="A209" s="25"/>
      <c r="B209" s="29" t="s">
        <v>246</v>
      </c>
      <c r="C209" s="29"/>
      <c r="D209" s="53"/>
      <c r="E209" s="53"/>
      <c r="F209" s="53"/>
      <c r="G209" s="127"/>
      <c r="H209" s="53"/>
      <c r="I209" s="127"/>
      <c r="J209" s="243"/>
      <c r="K209" s="244"/>
      <c r="L209" s="245"/>
      <c r="M209" s="53"/>
      <c r="N209" s="4"/>
      <c r="O209" s="127"/>
      <c r="P209" s="127"/>
      <c r="Q209" s="49"/>
      <c r="R209" s="29"/>
      <c r="U209" s="1">
        <v>763210.28</v>
      </c>
    </row>
    <row r="210" spans="1:21" ht="25.2" thickBot="1">
      <c r="A210" s="25"/>
      <c r="B210" s="29"/>
      <c r="C210" s="29" t="s">
        <v>247</v>
      </c>
      <c r="D210" s="74"/>
      <c r="E210" s="74"/>
      <c r="F210" s="74"/>
      <c r="G210" s="74"/>
      <c r="H210" s="74"/>
      <c r="I210" s="74"/>
      <c r="J210" s="75"/>
      <c r="K210" s="76"/>
      <c r="L210" s="76"/>
      <c r="M210" s="74"/>
      <c r="N210" s="34"/>
      <c r="O210" s="110"/>
      <c r="P210" s="74"/>
      <c r="Q210" s="171"/>
      <c r="R210" s="29"/>
    </row>
    <row r="211" spans="1:21" s="249" customFormat="1" ht="25.8" thickTop="1" thickBot="1">
      <c r="A211" s="134"/>
      <c r="B211" s="246" t="s">
        <v>26</v>
      </c>
      <c r="C211" s="103"/>
      <c r="D211" s="103">
        <v>0</v>
      </c>
      <c r="E211" s="103"/>
      <c r="F211" s="103"/>
      <c r="G211" s="103">
        <f>SUM(G206:G210)</f>
        <v>215104.80000000002</v>
      </c>
      <c r="H211" s="103">
        <v>0</v>
      </c>
      <c r="I211" s="103">
        <v>215104.80000000002</v>
      </c>
      <c r="J211" s="104"/>
      <c r="K211" s="104"/>
      <c r="L211" s="104">
        <v>0</v>
      </c>
      <c r="M211" s="103"/>
      <c r="N211" s="247"/>
      <c r="O211" s="103">
        <v>215104.80000000002</v>
      </c>
      <c r="P211" s="103">
        <v>0</v>
      </c>
      <c r="Q211" s="103">
        <v>215104.80000000002</v>
      </c>
      <c r="R211" s="248"/>
    </row>
    <row r="212" spans="1:21" ht="25.8" thickTop="1" thickBot="1">
      <c r="A212" s="29"/>
      <c r="B212" s="25" t="s">
        <v>248</v>
      </c>
      <c r="C212" s="64"/>
      <c r="D212" s="63">
        <f>SUM(D32+D78+D117+D184+D189+D203+D211)</f>
        <v>63270</v>
      </c>
      <c r="E212" s="63"/>
      <c r="F212" s="63"/>
      <c r="G212" s="63">
        <f>SUM(G32+G78+G117+G170+G184+G189+G203+G211)</f>
        <v>786814.8</v>
      </c>
      <c r="H212" s="63">
        <v>0</v>
      </c>
      <c r="I212" s="63">
        <f>SUM(I9+I13+I16+I20+I23+I26+I32+I35+I37+I41+I78+I117+I121+I124+I127+I170+I176+I179+I184+I189+I203+I211)</f>
        <v>786814.8</v>
      </c>
      <c r="J212" s="67"/>
      <c r="K212" s="67"/>
      <c r="L212" s="67">
        <f>SUM(L32+L78+L117)</f>
        <v>60205</v>
      </c>
      <c r="M212" s="63"/>
      <c r="N212" s="105"/>
      <c r="O212" s="63">
        <f>SUM(O32+O78+O117+O184+O189+O203+O211)</f>
        <v>789879.8</v>
      </c>
      <c r="P212" s="63">
        <f>SUM(P32+P78+P117+P184+P189+P203+P211)</f>
        <v>0</v>
      </c>
      <c r="Q212" s="63">
        <f>SUM(Q32+Q78+Q117+Q184+Q189+Q203+Q211)</f>
        <v>789879.8</v>
      </c>
      <c r="R212" s="59"/>
      <c r="T212" s="63"/>
    </row>
    <row r="213" spans="1:21" ht="25.2" thickTop="1"/>
    <row r="214" spans="1:21" ht="24.6">
      <c r="K214" s="250"/>
      <c r="Q214" s="249"/>
    </row>
    <row r="215" spans="1:21" ht="24.6">
      <c r="K215" s="251"/>
      <c r="Q215" s="249"/>
    </row>
    <row r="216" spans="1:21" ht="24.6">
      <c r="F216" s="1">
        <v>1010.6000000000058</v>
      </c>
      <c r="K216" s="250"/>
      <c r="Q216" s="249"/>
    </row>
    <row r="217" spans="1:21" ht="24.6">
      <c r="K217" s="250"/>
      <c r="L217" s="252"/>
    </row>
    <row r="218" spans="1:21" ht="24.6">
      <c r="H218" s="253"/>
      <c r="K218" s="250"/>
    </row>
    <row r="219" spans="1:21" ht="24.6"/>
    <row r="220" spans="1:21" ht="24.6"/>
    <row r="221" spans="1:21" ht="24.6"/>
    <row r="222" spans="1:21" ht="24.6"/>
    <row r="223" spans="1:21" ht="24.6"/>
    <row r="224" spans="1:21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  <row r="980" ht="24.6"/>
    <row r="981" ht="24.6"/>
    <row r="982" ht="24.6"/>
    <row r="983" ht="24.6"/>
    <row r="984" ht="24.6"/>
  </sheetData>
  <mergeCells count="8">
    <mergeCell ref="A181:R181"/>
    <mergeCell ref="A186:R186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8" max="29" man="1"/>
    <brk id="202" max="16383" man="1"/>
  </rowBreaks>
  <colBreaks count="1" manualBreakCount="1">
    <brk id="18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935C-CB75-46F7-9A1A-2613DDB5ABD2}">
  <sheetPr codeName="Sheet11">
    <tabColor rgb="FFFFFF00"/>
  </sheetPr>
  <dimension ref="A1:H818"/>
  <sheetViews>
    <sheetView zoomScale="90" zoomScaleNormal="90" zoomScaleSheetLayoutView="87" workbookViewId="0">
      <pane ySplit="6" topLeftCell="A44" activePane="bottomLeft" state="frozen"/>
      <selection activeCell="I147" sqref="I147"/>
      <selection pane="bottomLeft" activeCell="L56" sqref="L5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0.33203125" style="1"/>
    <col min="8" max="8" width="11" style="1" bestFit="1" customWidth="1"/>
    <col min="9" max="230" width="10.33203125" style="1"/>
    <col min="231" max="231" width="4.44140625" style="1" customWidth="1"/>
    <col min="232" max="232" width="21.6640625" style="1" customWidth="1"/>
    <col min="233" max="233" width="15" style="1" customWidth="1"/>
    <col min="234" max="234" width="15.44140625" style="1" customWidth="1"/>
    <col min="235" max="235" width="11.5546875" style="1" customWidth="1"/>
    <col min="236" max="236" width="7.44140625" style="1" customWidth="1"/>
    <col min="237" max="237" width="14.109375" style="1" customWidth="1"/>
    <col min="238" max="238" width="10.6640625" style="1" customWidth="1"/>
    <col min="239" max="239" width="13.44140625" style="1" customWidth="1"/>
    <col min="240" max="240" width="11.44140625" style="1" customWidth="1"/>
    <col min="241" max="241" width="15" style="1" customWidth="1"/>
    <col min="242" max="242" width="14.5546875" style="1" customWidth="1"/>
    <col min="243" max="243" width="10.33203125" style="1"/>
    <col min="244" max="244" width="7.44140625" style="1" customWidth="1"/>
    <col min="245" max="245" width="12.88671875" style="1" customWidth="1"/>
    <col min="246" max="246" width="11.109375" style="1" customWidth="1"/>
    <col min="247" max="247" width="14" style="1" customWidth="1"/>
    <col min="248" max="248" width="33" style="1" customWidth="1"/>
    <col min="249" max="249" width="6.6640625" style="1" customWidth="1"/>
    <col min="250" max="250" width="19" style="1" customWidth="1"/>
    <col min="251" max="251" width="19.109375" style="1" customWidth="1"/>
    <col min="252" max="252" width="21.33203125" style="1" customWidth="1"/>
    <col min="253" max="253" width="32.5546875" style="1" customWidth="1"/>
    <col min="254" max="254" width="16.88671875" style="1" customWidth="1"/>
    <col min="255" max="255" width="16.33203125" style="1" customWidth="1"/>
    <col min="256" max="486" width="10.33203125" style="1"/>
    <col min="487" max="487" width="4.44140625" style="1" customWidth="1"/>
    <col min="488" max="488" width="21.6640625" style="1" customWidth="1"/>
    <col min="489" max="489" width="15" style="1" customWidth="1"/>
    <col min="490" max="490" width="15.44140625" style="1" customWidth="1"/>
    <col min="491" max="491" width="11.5546875" style="1" customWidth="1"/>
    <col min="492" max="492" width="7.44140625" style="1" customWidth="1"/>
    <col min="493" max="493" width="14.109375" style="1" customWidth="1"/>
    <col min="494" max="494" width="10.6640625" style="1" customWidth="1"/>
    <col min="495" max="495" width="13.44140625" style="1" customWidth="1"/>
    <col min="496" max="496" width="11.44140625" style="1" customWidth="1"/>
    <col min="497" max="497" width="15" style="1" customWidth="1"/>
    <col min="498" max="498" width="14.5546875" style="1" customWidth="1"/>
    <col min="499" max="499" width="10.33203125" style="1"/>
    <col min="500" max="500" width="7.44140625" style="1" customWidth="1"/>
    <col min="501" max="501" width="12.88671875" style="1" customWidth="1"/>
    <col min="502" max="502" width="11.109375" style="1" customWidth="1"/>
    <col min="503" max="503" width="14" style="1" customWidth="1"/>
    <col min="504" max="504" width="33" style="1" customWidth="1"/>
    <col min="505" max="505" width="6.6640625" style="1" customWidth="1"/>
    <col min="506" max="506" width="19" style="1" customWidth="1"/>
    <col min="507" max="507" width="19.109375" style="1" customWidth="1"/>
    <col min="508" max="508" width="21.33203125" style="1" customWidth="1"/>
    <col min="509" max="509" width="32.5546875" style="1" customWidth="1"/>
    <col min="510" max="510" width="16.88671875" style="1" customWidth="1"/>
    <col min="511" max="511" width="16.33203125" style="1" customWidth="1"/>
    <col min="512" max="742" width="10.33203125" style="1"/>
    <col min="743" max="743" width="4.44140625" style="1" customWidth="1"/>
    <col min="744" max="744" width="21.6640625" style="1" customWidth="1"/>
    <col min="745" max="745" width="15" style="1" customWidth="1"/>
    <col min="746" max="746" width="15.44140625" style="1" customWidth="1"/>
    <col min="747" max="747" width="11.5546875" style="1" customWidth="1"/>
    <col min="748" max="748" width="7.44140625" style="1" customWidth="1"/>
    <col min="749" max="749" width="14.109375" style="1" customWidth="1"/>
    <col min="750" max="750" width="10.6640625" style="1" customWidth="1"/>
    <col min="751" max="751" width="13.44140625" style="1" customWidth="1"/>
    <col min="752" max="752" width="11.44140625" style="1" customWidth="1"/>
    <col min="753" max="753" width="15" style="1" customWidth="1"/>
    <col min="754" max="754" width="14.5546875" style="1" customWidth="1"/>
    <col min="755" max="755" width="10.33203125" style="1"/>
    <col min="756" max="756" width="7.44140625" style="1" customWidth="1"/>
    <col min="757" max="757" width="12.88671875" style="1" customWidth="1"/>
    <col min="758" max="758" width="11.109375" style="1" customWidth="1"/>
    <col min="759" max="759" width="14" style="1" customWidth="1"/>
    <col min="760" max="760" width="33" style="1" customWidth="1"/>
    <col min="761" max="761" width="6.6640625" style="1" customWidth="1"/>
    <col min="762" max="762" width="19" style="1" customWidth="1"/>
    <col min="763" max="763" width="19.109375" style="1" customWidth="1"/>
    <col min="764" max="764" width="21.33203125" style="1" customWidth="1"/>
    <col min="765" max="765" width="32.5546875" style="1" customWidth="1"/>
    <col min="766" max="766" width="16.88671875" style="1" customWidth="1"/>
    <col min="767" max="767" width="16.33203125" style="1" customWidth="1"/>
    <col min="768" max="998" width="10.33203125" style="1"/>
    <col min="999" max="999" width="4.44140625" style="1" customWidth="1"/>
    <col min="1000" max="1000" width="21.6640625" style="1" customWidth="1"/>
    <col min="1001" max="1001" width="15" style="1" customWidth="1"/>
    <col min="1002" max="1002" width="15.44140625" style="1" customWidth="1"/>
    <col min="1003" max="1003" width="11.5546875" style="1" customWidth="1"/>
    <col min="1004" max="1004" width="7.44140625" style="1" customWidth="1"/>
    <col min="1005" max="1005" width="14.109375" style="1" customWidth="1"/>
    <col min="1006" max="1006" width="10.6640625" style="1" customWidth="1"/>
    <col min="1007" max="1007" width="13.44140625" style="1" customWidth="1"/>
    <col min="1008" max="1008" width="11.44140625" style="1" customWidth="1"/>
    <col min="1009" max="1009" width="15" style="1" customWidth="1"/>
    <col min="1010" max="1010" width="14.5546875" style="1" customWidth="1"/>
    <col min="1011" max="1011" width="10.33203125" style="1"/>
    <col min="1012" max="1012" width="7.44140625" style="1" customWidth="1"/>
    <col min="1013" max="1013" width="12.88671875" style="1" customWidth="1"/>
    <col min="1014" max="1014" width="11.109375" style="1" customWidth="1"/>
    <col min="1015" max="1015" width="14" style="1" customWidth="1"/>
    <col min="1016" max="1016" width="33" style="1" customWidth="1"/>
    <col min="1017" max="1017" width="6.6640625" style="1" customWidth="1"/>
    <col min="1018" max="1018" width="19" style="1" customWidth="1"/>
    <col min="1019" max="1019" width="19.109375" style="1" customWidth="1"/>
    <col min="1020" max="1020" width="21.33203125" style="1" customWidth="1"/>
    <col min="1021" max="1021" width="32.5546875" style="1" customWidth="1"/>
    <col min="1022" max="1022" width="16.88671875" style="1" customWidth="1"/>
    <col min="1023" max="1023" width="16.33203125" style="1" customWidth="1"/>
    <col min="1024" max="1254" width="10.33203125" style="1"/>
    <col min="1255" max="1255" width="4.44140625" style="1" customWidth="1"/>
    <col min="1256" max="1256" width="21.6640625" style="1" customWidth="1"/>
    <col min="1257" max="1257" width="15" style="1" customWidth="1"/>
    <col min="1258" max="1258" width="15.44140625" style="1" customWidth="1"/>
    <col min="1259" max="1259" width="11.5546875" style="1" customWidth="1"/>
    <col min="1260" max="1260" width="7.44140625" style="1" customWidth="1"/>
    <col min="1261" max="1261" width="14.109375" style="1" customWidth="1"/>
    <col min="1262" max="1262" width="10.6640625" style="1" customWidth="1"/>
    <col min="1263" max="1263" width="13.44140625" style="1" customWidth="1"/>
    <col min="1264" max="1264" width="11.44140625" style="1" customWidth="1"/>
    <col min="1265" max="1265" width="15" style="1" customWidth="1"/>
    <col min="1266" max="1266" width="14.5546875" style="1" customWidth="1"/>
    <col min="1267" max="1267" width="10.33203125" style="1"/>
    <col min="1268" max="1268" width="7.44140625" style="1" customWidth="1"/>
    <col min="1269" max="1269" width="12.88671875" style="1" customWidth="1"/>
    <col min="1270" max="1270" width="11.109375" style="1" customWidth="1"/>
    <col min="1271" max="1271" width="14" style="1" customWidth="1"/>
    <col min="1272" max="1272" width="33" style="1" customWidth="1"/>
    <col min="1273" max="1273" width="6.6640625" style="1" customWidth="1"/>
    <col min="1274" max="1274" width="19" style="1" customWidth="1"/>
    <col min="1275" max="1275" width="19.109375" style="1" customWidth="1"/>
    <col min="1276" max="1276" width="21.33203125" style="1" customWidth="1"/>
    <col min="1277" max="1277" width="32.5546875" style="1" customWidth="1"/>
    <col min="1278" max="1278" width="16.88671875" style="1" customWidth="1"/>
    <col min="1279" max="1279" width="16.33203125" style="1" customWidth="1"/>
    <col min="1280" max="1510" width="10.33203125" style="1"/>
    <col min="1511" max="1511" width="4.44140625" style="1" customWidth="1"/>
    <col min="1512" max="1512" width="21.6640625" style="1" customWidth="1"/>
    <col min="1513" max="1513" width="15" style="1" customWidth="1"/>
    <col min="1514" max="1514" width="15.44140625" style="1" customWidth="1"/>
    <col min="1515" max="1515" width="11.5546875" style="1" customWidth="1"/>
    <col min="1516" max="1516" width="7.44140625" style="1" customWidth="1"/>
    <col min="1517" max="1517" width="14.109375" style="1" customWidth="1"/>
    <col min="1518" max="1518" width="10.6640625" style="1" customWidth="1"/>
    <col min="1519" max="1519" width="13.44140625" style="1" customWidth="1"/>
    <col min="1520" max="1520" width="11.44140625" style="1" customWidth="1"/>
    <col min="1521" max="1521" width="15" style="1" customWidth="1"/>
    <col min="1522" max="1522" width="14.5546875" style="1" customWidth="1"/>
    <col min="1523" max="1523" width="10.33203125" style="1"/>
    <col min="1524" max="1524" width="7.44140625" style="1" customWidth="1"/>
    <col min="1525" max="1525" width="12.88671875" style="1" customWidth="1"/>
    <col min="1526" max="1526" width="11.109375" style="1" customWidth="1"/>
    <col min="1527" max="1527" width="14" style="1" customWidth="1"/>
    <col min="1528" max="1528" width="33" style="1" customWidth="1"/>
    <col min="1529" max="1529" width="6.6640625" style="1" customWidth="1"/>
    <col min="1530" max="1530" width="19" style="1" customWidth="1"/>
    <col min="1531" max="1531" width="19.109375" style="1" customWidth="1"/>
    <col min="1532" max="1532" width="21.33203125" style="1" customWidth="1"/>
    <col min="1533" max="1533" width="32.5546875" style="1" customWidth="1"/>
    <col min="1534" max="1534" width="16.88671875" style="1" customWidth="1"/>
    <col min="1535" max="1535" width="16.33203125" style="1" customWidth="1"/>
    <col min="1536" max="1766" width="10.33203125" style="1"/>
    <col min="1767" max="1767" width="4.44140625" style="1" customWidth="1"/>
    <col min="1768" max="1768" width="21.6640625" style="1" customWidth="1"/>
    <col min="1769" max="1769" width="15" style="1" customWidth="1"/>
    <col min="1770" max="1770" width="15.44140625" style="1" customWidth="1"/>
    <col min="1771" max="1771" width="11.5546875" style="1" customWidth="1"/>
    <col min="1772" max="1772" width="7.44140625" style="1" customWidth="1"/>
    <col min="1773" max="1773" width="14.109375" style="1" customWidth="1"/>
    <col min="1774" max="1774" width="10.6640625" style="1" customWidth="1"/>
    <col min="1775" max="1775" width="13.44140625" style="1" customWidth="1"/>
    <col min="1776" max="1776" width="11.44140625" style="1" customWidth="1"/>
    <col min="1777" max="1777" width="15" style="1" customWidth="1"/>
    <col min="1778" max="1778" width="14.5546875" style="1" customWidth="1"/>
    <col min="1779" max="1779" width="10.33203125" style="1"/>
    <col min="1780" max="1780" width="7.44140625" style="1" customWidth="1"/>
    <col min="1781" max="1781" width="12.88671875" style="1" customWidth="1"/>
    <col min="1782" max="1782" width="11.109375" style="1" customWidth="1"/>
    <col min="1783" max="1783" width="14" style="1" customWidth="1"/>
    <col min="1784" max="1784" width="33" style="1" customWidth="1"/>
    <col min="1785" max="1785" width="6.6640625" style="1" customWidth="1"/>
    <col min="1786" max="1786" width="19" style="1" customWidth="1"/>
    <col min="1787" max="1787" width="19.109375" style="1" customWidth="1"/>
    <col min="1788" max="1788" width="21.33203125" style="1" customWidth="1"/>
    <col min="1789" max="1789" width="32.5546875" style="1" customWidth="1"/>
    <col min="1790" max="1790" width="16.88671875" style="1" customWidth="1"/>
    <col min="1791" max="1791" width="16.33203125" style="1" customWidth="1"/>
    <col min="1792" max="2022" width="10.33203125" style="1"/>
    <col min="2023" max="2023" width="4.44140625" style="1" customWidth="1"/>
    <col min="2024" max="2024" width="21.6640625" style="1" customWidth="1"/>
    <col min="2025" max="2025" width="15" style="1" customWidth="1"/>
    <col min="2026" max="2026" width="15.44140625" style="1" customWidth="1"/>
    <col min="2027" max="2027" width="11.5546875" style="1" customWidth="1"/>
    <col min="2028" max="2028" width="7.44140625" style="1" customWidth="1"/>
    <col min="2029" max="2029" width="14.109375" style="1" customWidth="1"/>
    <col min="2030" max="2030" width="10.6640625" style="1" customWidth="1"/>
    <col min="2031" max="2031" width="13.44140625" style="1" customWidth="1"/>
    <col min="2032" max="2032" width="11.44140625" style="1" customWidth="1"/>
    <col min="2033" max="2033" width="15" style="1" customWidth="1"/>
    <col min="2034" max="2034" width="14.5546875" style="1" customWidth="1"/>
    <col min="2035" max="2035" width="10.33203125" style="1"/>
    <col min="2036" max="2036" width="7.44140625" style="1" customWidth="1"/>
    <col min="2037" max="2037" width="12.88671875" style="1" customWidth="1"/>
    <col min="2038" max="2038" width="11.109375" style="1" customWidth="1"/>
    <col min="2039" max="2039" width="14" style="1" customWidth="1"/>
    <col min="2040" max="2040" width="33" style="1" customWidth="1"/>
    <col min="2041" max="2041" width="6.6640625" style="1" customWidth="1"/>
    <col min="2042" max="2042" width="19" style="1" customWidth="1"/>
    <col min="2043" max="2043" width="19.109375" style="1" customWidth="1"/>
    <col min="2044" max="2044" width="21.33203125" style="1" customWidth="1"/>
    <col min="2045" max="2045" width="32.5546875" style="1" customWidth="1"/>
    <col min="2046" max="2046" width="16.88671875" style="1" customWidth="1"/>
    <col min="2047" max="2047" width="16.33203125" style="1" customWidth="1"/>
    <col min="2048" max="2278" width="10.33203125" style="1"/>
    <col min="2279" max="2279" width="4.44140625" style="1" customWidth="1"/>
    <col min="2280" max="2280" width="21.6640625" style="1" customWidth="1"/>
    <col min="2281" max="2281" width="15" style="1" customWidth="1"/>
    <col min="2282" max="2282" width="15.44140625" style="1" customWidth="1"/>
    <col min="2283" max="2283" width="11.5546875" style="1" customWidth="1"/>
    <col min="2284" max="2284" width="7.44140625" style="1" customWidth="1"/>
    <col min="2285" max="2285" width="14.109375" style="1" customWidth="1"/>
    <col min="2286" max="2286" width="10.6640625" style="1" customWidth="1"/>
    <col min="2287" max="2287" width="13.44140625" style="1" customWidth="1"/>
    <col min="2288" max="2288" width="11.44140625" style="1" customWidth="1"/>
    <col min="2289" max="2289" width="15" style="1" customWidth="1"/>
    <col min="2290" max="2290" width="14.5546875" style="1" customWidth="1"/>
    <col min="2291" max="2291" width="10.33203125" style="1"/>
    <col min="2292" max="2292" width="7.44140625" style="1" customWidth="1"/>
    <col min="2293" max="2293" width="12.88671875" style="1" customWidth="1"/>
    <col min="2294" max="2294" width="11.109375" style="1" customWidth="1"/>
    <col min="2295" max="2295" width="14" style="1" customWidth="1"/>
    <col min="2296" max="2296" width="33" style="1" customWidth="1"/>
    <col min="2297" max="2297" width="6.6640625" style="1" customWidth="1"/>
    <col min="2298" max="2298" width="19" style="1" customWidth="1"/>
    <col min="2299" max="2299" width="19.109375" style="1" customWidth="1"/>
    <col min="2300" max="2300" width="21.33203125" style="1" customWidth="1"/>
    <col min="2301" max="2301" width="32.5546875" style="1" customWidth="1"/>
    <col min="2302" max="2302" width="16.88671875" style="1" customWidth="1"/>
    <col min="2303" max="2303" width="16.33203125" style="1" customWidth="1"/>
    <col min="2304" max="2534" width="10.33203125" style="1"/>
    <col min="2535" max="2535" width="4.44140625" style="1" customWidth="1"/>
    <col min="2536" max="2536" width="21.6640625" style="1" customWidth="1"/>
    <col min="2537" max="2537" width="15" style="1" customWidth="1"/>
    <col min="2538" max="2538" width="15.44140625" style="1" customWidth="1"/>
    <col min="2539" max="2539" width="11.5546875" style="1" customWidth="1"/>
    <col min="2540" max="2540" width="7.44140625" style="1" customWidth="1"/>
    <col min="2541" max="2541" width="14.109375" style="1" customWidth="1"/>
    <col min="2542" max="2542" width="10.6640625" style="1" customWidth="1"/>
    <col min="2543" max="2543" width="13.44140625" style="1" customWidth="1"/>
    <col min="2544" max="2544" width="11.44140625" style="1" customWidth="1"/>
    <col min="2545" max="2545" width="15" style="1" customWidth="1"/>
    <col min="2546" max="2546" width="14.5546875" style="1" customWidth="1"/>
    <col min="2547" max="2547" width="10.33203125" style="1"/>
    <col min="2548" max="2548" width="7.44140625" style="1" customWidth="1"/>
    <col min="2549" max="2549" width="12.88671875" style="1" customWidth="1"/>
    <col min="2550" max="2550" width="11.109375" style="1" customWidth="1"/>
    <col min="2551" max="2551" width="14" style="1" customWidth="1"/>
    <col min="2552" max="2552" width="33" style="1" customWidth="1"/>
    <col min="2553" max="2553" width="6.6640625" style="1" customWidth="1"/>
    <col min="2554" max="2554" width="19" style="1" customWidth="1"/>
    <col min="2555" max="2555" width="19.109375" style="1" customWidth="1"/>
    <col min="2556" max="2556" width="21.33203125" style="1" customWidth="1"/>
    <col min="2557" max="2557" width="32.5546875" style="1" customWidth="1"/>
    <col min="2558" max="2558" width="16.88671875" style="1" customWidth="1"/>
    <col min="2559" max="2559" width="16.33203125" style="1" customWidth="1"/>
    <col min="2560" max="2790" width="10.33203125" style="1"/>
    <col min="2791" max="2791" width="4.44140625" style="1" customWidth="1"/>
    <col min="2792" max="2792" width="21.6640625" style="1" customWidth="1"/>
    <col min="2793" max="2793" width="15" style="1" customWidth="1"/>
    <col min="2794" max="2794" width="15.44140625" style="1" customWidth="1"/>
    <col min="2795" max="2795" width="11.5546875" style="1" customWidth="1"/>
    <col min="2796" max="2796" width="7.44140625" style="1" customWidth="1"/>
    <col min="2797" max="2797" width="14.109375" style="1" customWidth="1"/>
    <col min="2798" max="2798" width="10.6640625" style="1" customWidth="1"/>
    <col min="2799" max="2799" width="13.44140625" style="1" customWidth="1"/>
    <col min="2800" max="2800" width="11.44140625" style="1" customWidth="1"/>
    <col min="2801" max="2801" width="15" style="1" customWidth="1"/>
    <col min="2802" max="2802" width="14.5546875" style="1" customWidth="1"/>
    <col min="2803" max="2803" width="10.33203125" style="1"/>
    <col min="2804" max="2804" width="7.44140625" style="1" customWidth="1"/>
    <col min="2805" max="2805" width="12.88671875" style="1" customWidth="1"/>
    <col min="2806" max="2806" width="11.109375" style="1" customWidth="1"/>
    <col min="2807" max="2807" width="14" style="1" customWidth="1"/>
    <col min="2808" max="2808" width="33" style="1" customWidth="1"/>
    <col min="2809" max="2809" width="6.6640625" style="1" customWidth="1"/>
    <col min="2810" max="2810" width="19" style="1" customWidth="1"/>
    <col min="2811" max="2811" width="19.109375" style="1" customWidth="1"/>
    <col min="2812" max="2812" width="21.33203125" style="1" customWidth="1"/>
    <col min="2813" max="2813" width="32.5546875" style="1" customWidth="1"/>
    <col min="2814" max="2814" width="16.88671875" style="1" customWidth="1"/>
    <col min="2815" max="2815" width="16.33203125" style="1" customWidth="1"/>
    <col min="2816" max="3046" width="10.33203125" style="1"/>
    <col min="3047" max="3047" width="4.44140625" style="1" customWidth="1"/>
    <col min="3048" max="3048" width="21.6640625" style="1" customWidth="1"/>
    <col min="3049" max="3049" width="15" style="1" customWidth="1"/>
    <col min="3050" max="3050" width="15.44140625" style="1" customWidth="1"/>
    <col min="3051" max="3051" width="11.5546875" style="1" customWidth="1"/>
    <col min="3052" max="3052" width="7.44140625" style="1" customWidth="1"/>
    <col min="3053" max="3053" width="14.109375" style="1" customWidth="1"/>
    <col min="3054" max="3054" width="10.6640625" style="1" customWidth="1"/>
    <col min="3055" max="3055" width="13.44140625" style="1" customWidth="1"/>
    <col min="3056" max="3056" width="11.44140625" style="1" customWidth="1"/>
    <col min="3057" max="3057" width="15" style="1" customWidth="1"/>
    <col min="3058" max="3058" width="14.5546875" style="1" customWidth="1"/>
    <col min="3059" max="3059" width="10.33203125" style="1"/>
    <col min="3060" max="3060" width="7.44140625" style="1" customWidth="1"/>
    <col min="3061" max="3061" width="12.88671875" style="1" customWidth="1"/>
    <col min="3062" max="3062" width="11.109375" style="1" customWidth="1"/>
    <col min="3063" max="3063" width="14" style="1" customWidth="1"/>
    <col min="3064" max="3064" width="33" style="1" customWidth="1"/>
    <col min="3065" max="3065" width="6.6640625" style="1" customWidth="1"/>
    <col min="3066" max="3066" width="19" style="1" customWidth="1"/>
    <col min="3067" max="3067" width="19.109375" style="1" customWidth="1"/>
    <col min="3068" max="3068" width="21.33203125" style="1" customWidth="1"/>
    <col min="3069" max="3069" width="32.5546875" style="1" customWidth="1"/>
    <col min="3070" max="3070" width="16.88671875" style="1" customWidth="1"/>
    <col min="3071" max="3071" width="16.33203125" style="1" customWidth="1"/>
    <col min="3072" max="3302" width="10.33203125" style="1"/>
    <col min="3303" max="3303" width="4.44140625" style="1" customWidth="1"/>
    <col min="3304" max="3304" width="21.6640625" style="1" customWidth="1"/>
    <col min="3305" max="3305" width="15" style="1" customWidth="1"/>
    <col min="3306" max="3306" width="15.44140625" style="1" customWidth="1"/>
    <col min="3307" max="3307" width="11.5546875" style="1" customWidth="1"/>
    <col min="3308" max="3308" width="7.44140625" style="1" customWidth="1"/>
    <col min="3309" max="3309" width="14.109375" style="1" customWidth="1"/>
    <col min="3310" max="3310" width="10.6640625" style="1" customWidth="1"/>
    <col min="3311" max="3311" width="13.44140625" style="1" customWidth="1"/>
    <col min="3312" max="3312" width="11.44140625" style="1" customWidth="1"/>
    <col min="3313" max="3313" width="15" style="1" customWidth="1"/>
    <col min="3314" max="3314" width="14.5546875" style="1" customWidth="1"/>
    <col min="3315" max="3315" width="10.33203125" style="1"/>
    <col min="3316" max="3316" width="7.44140625" style="1" customWidth="1"/>
    <col min="3317" max="3317" width="12.88671875" style="1" customWidth="1"/>
    <col min="3318" max="3318" width="11.109375" style="1" customWidth="1"/>
    <col min="3319" max="3319" width="14" style="1" customWidth="1"/>
    <col min="3320" max="3320" width="33" style="1" customWidth="1"/>
    <col min="3321" max="3321" width="6.6640625" style="1" customWidth="1"/>
    <col min="3322" max="3322" width="19" style="1" customWidth="1"/>
    <col min="3323" max="3323" width="19.109375" style="1" customWidth="1"/>
    <col min="3324" max="3324" width="21.33203125" style="1" customWidth="1"/>
    <col min="3325" max="3325" width="32.5546875" style="1" customWidth="1"/>
    <col min="3326" max="3326" width="16.88671875" style="1" customWidth="1"/>
    <col min="3327" max="3327" width="16.33203125" style="1" customWidth="1"/>
    <col min="3328" max="3558" width="10.33203125" style="1"/>
    <col min="3559" max="3559" width="4.44140625" style="1" customWidth="1"/>
    <col min="3560" max="3560" width="21.6640625" style="1" customWidth="1"/>
    <col min="3561" max="3561" width="15" style="1" customWidth="1"/>
    <col min="3562" max="3562" width="15.44140625" style="1" customWidth="1"/>
    <col min="3563" max="3563" width="11.5546875" style="1" customWidth="1"/>
    <col min="3564" max="3564" width="7.44140625" style="1" customWidth="1"/>
    <col min="3565" max="3565" width="14.109375" style="1" customWidth="1"/>
    <col min="3566" max="3566" width="10.6640625" style="1" customWidth="1"/>
    <col min="3567" max="3567" width="13.44140625" style="1" customWidth="1"/>
    <col min="3568" max="3568" width="11.44140625" style="1" customWidth="1"/>
    <col min="3569" max="3569" width="15" style="1" customWidth="1"/>
    <col min="3570" max="3570" width="14.5546875" style="1" customWidth="1"/>
    <col min="3571" max="3571" width="10.33203125" style="1"/>
    <col min="3572" max="3572" width="7.44140625" style="1" customWidth="1"/>
    <col min="3573" max="3573" width="12.88671875" style="1" customWidth="1"/>
    <col min="3574" max="3574" width="11.109375" style="1" customWidth="1"/>
    <col min="3575" max="3575" width="14" style="1" customWidth="1"/>
    <col min="3576" max="3576" width="33" style="1" customWidth="1"/>
    <col min="3577" max="3577" width="6.6640625" style="1" customWidth="1"/>
    <col min="3578" max="3578" width="19" style="1" customWidth="1"/>
    <col min="3579" max="3579" width="19.109375" style="1" customWidth="1"/>
    <col min="3580" max="3580" width="21.33203125" style="1" customWidth="1"/>
    <col min="3581" max="3581" width="32.5546875" style="1" customWidth="1"/>
    <col min="3582" max="3582" width="16.88671875" style="1" customWidth="1"/>
    <col min="3583" max="3583" width="16.33203125" style="1" customWidth="1"/>
    <col min="3584" max="3814" width="10.33203125" style="1"/>
    <col min="3815" max="3815" width="4.44140625" style="1" customWidth="1"/>
    <col min="3816" max="3816" width="21.6640625" style="1" customWidth="1"/>
    <col min="3817" max="3817" width="15" style="1" customWidth="1"/>
    <col min="3818" max="3818" width="15.44140625" style="1" customWidth="1"/>
    <col min="3819" max="3819" width="11.5546875" style="1" customWidth="1"/>
    <col min="3820" max="3820" width="7.44140625" style="1" customWidth="1"/>
    <col min="3821" max="3821" width="14.109375" style="1" customWidth="1"/>
    <col min="3822" max="3822" width="10.6640625" style="1" customWidth="1"/>
    <col min="3823" max="3823" width="13.44140625" style="1" customWidth="1"/>
    <col min="3824" max="3824" width="11.44140625" style="1" customWidth="1"/>
    <col min="3825" max="3825" width="15" style="1" customWidth="1"/>
    <col min="3826" max="3826" width="14.5546875" style="1" customWidth="1"/>
    <col min="3827" max="3827" width="10.33203125" style="1"/>
    <col min="3828" max="3828" width="7.44140625" style="1" customWidth="1"/>
    <col min="3829" max="3829" width="12.88671875" style="1" customWidth="1"/>
    <col min="3830" max="3830" width="11.109375" style="1" customWidth="1"/>
    <col min="3831" max="3831" width="14" style="1" customWidth="1"/>
    <col min="3832" max="3832" width="33" style="1" customWidth="1"/>
    <col min="3833" max="3833" width="6.6640625" style="1" customWidth="1"/>
    <col min="3834" max="3834" width="19" style="1" customWidth="1"/>
    <col min="3835" max="3835" width="19.109375" style="1" customWidth="1"/>
    <col min="3836" max="3836" width="21.33203125" style="1" customWidth="1"/>
    <col min="3837" max="3837" width="32.5546875" style="1" customWidth="1"/>
    <col min="3838" max="3838" width="16.88671875" style="1" customWidth="1"/>
    <col min="3839" max="3839" width="16.33203125" style="1" customWidth="1"/>
    <col min="3840" max="4070" width="10.33203125" style="1"/>
    <col min="4071" max="4071" width="4.44140625" style="1" customWidth="1"/>
    <col min="4072" max="4072" width="21.6640625" style="1" customWidth="1"/>
    <col min="4073" max="4073" width="15" style="1" customWidth="1"/>
    <col min="4074" max="4074" width="15.44140625" style="1" customWidth="1"/>
    <col min="4075" max="4075" width="11.5546875" style="1" customWidth="1"/>
    <col min="4076" max="4076" width="7.44140625" style="1" customWidth="1"/>
    <col min="4077" max="4077" width="14.109375" style="1" customWidth="1"/>
    <col min="4078" max="4078" width="10.6640625" style="1" customWidth="1"/>
    <col min="4079" max="4079" width="13.44140625" style="1" customWidth="1"/>
    <col min="4080" max="4080" width="11.44140625" style="1" customWidth="1"/>
    <col min="4081" max="4081" width="15" style="1" customWidth="1"/>
    <col min="4082" max="4082" width="14.5546875" style="1" customWidth="1"/>
    <col min="4083" max="4083" width="10.33203125" style="1"/>
    <col min="4084" max="4084" width="7.44140625" style="1" customWidth="1"/>
    <col min="4085" max="4085" width="12.88671875" style="1" customWidth="1"/>
    <col min="4086" max="4086" width="11.109375" style="1" customWidth="1"/>
    <col min="4087" max="4087" width="14" style="1" customWidth="1"/>
    <col min="4088" max="4088" width="33" style="1" customWidth="1"/>
    <col min="4089" max="4089" width="6.6640625" style="1" customWidth="1"/>
    <col min="4090" max="4090" width="19" style="1" customWidth="1"/>
    <col min="4091" max="4091" width="19.109375" style="1" customWidth="1"/>
    <col min="4092" max="4092" width="21.33203125" style="1" customWidth="1"/>
    <col min="4093" max="4093" width="32.5546875" style="1" customWidth="1"/>
    <col min="4094" max="4094" width="16.88671875" style="1" customWidth="1"/>
    <col min="4095" max="4095" width="16.33203125" style="1" customWidth="1"/>
    <col min="4096" max="4326" width="10.33203125" style="1"/>
    <col min="4327" max="4327" width="4.44140625" style="1" customWidth="1"/>
    <col min="4328" max="4328" width="21.6640625" style="1" customWidth="1"/>
    <col min="4329" max="4329" width="15" style="1" customWidth="1"/>
    <col min="4330" max="4330" width="15.44140625" style="1" customWidth="1"/>
    <col min="4331" max="4331" width="11.5546875" style="1" customWidth="1"/>
    <col min="4332" max="4332" width="7.44140625" style="1" customWidth="1"/>
    <col min="4333" max="4333" width="14.109375" style="1" customWidth="1"/>
    <col min="4334" max="4334" width="10.6640625" style="1" customWidth="1"/>
    <col min="4335" max="4335" width="13.44140625" style="1" customWidth="1"/>
    <col min="4336" max="4336" width="11.44140625" style="1" customWidth="1"/>
    <col min="4337" max="4337" width="15" style="1" customWidth="1"/>
    <col min="4338" max="4338" width="14.5546875" style="1" customWidth="1"/>
    <col min="4339" max="4339" width="10.33203125" style="1"/>
    <col min="4340" max="4340" width="7.44140625" style="1" customWidth="1"/>
    <col min="4341" max="4341" width="12.88671875" style="1" customWidth="1"/>
    <col min="4342" max="4342" width="11.109375" style="1" customWidth="1"/>
    <col min="4343" max="4343" width="14" style="1" customWidth="1"/>
    <col min="4344" max="4344" width="33" style="1" customWidth="1"/>
    <col min="4345" max="4345" width="6.6640625" style="1" customWidth="1"/>
    <col min="4346" max="4346" width="19" style="1" customWidth="1"/>
    <col min="4347" max="4347" width="19.109375" style="1" customWidth="1"/>
    <col min="4348" max="4348" width="21.33203125" style="1" customWidth="1"/>
    <col min="4349" max="4349" width="32.5546875" style="1" customWidth="1"/>
    <col min="4350" max="4350" width="16.88671875" style="1" customWidth="1"/>
    <col min="4351" max="4351" width="16.33203125" style="1" customWidth="1"/>
    <col min="4352" max="4582" width="10.33203125" style="1"/>
    <col min="4583" max="4583" width="4.44140625" style="1" customWidth="1"/>
    <col min="4584" max="4584" width="21.6640625" style="1" customWidth="1"/>
    <col min="4585" max="4585" width="15" style="1" customWidth="1"/>
    <col min="4586" max="4586" width="15.44140625" style="1" customWidth="1"/>
    <col min="4587" max="4587" width="11.5546875" style="1" customWidth="1"/>
    <col min="4588" max="4588" width="7.44140625" style="1" customWidth="1"/>
    <col min="4589" max="4589" width="14.109375" style="1" customWidth="1"/>
    <col min="4590" max="4590" width="10.6640625" style="1" customWidth="1"/>
    <col min="4591" max="4591" width="13.44140625" style="1" customWidth="1"/>
    <col min="4592" max="4592" width="11.44140625" style="1" customWidth="1"/>
    <col min="4593" max="4593" width="15" style="1" customWidth="1"/>
    <col min="4594" max="4594" width="14.5546875" style="1" customWidth="1"/>
    <col min="4595" max="4595" width="10.33203125" style="1"/>
    <col min="4596" max="4596" width="7.44140625" style="1" customWidth="1"/>
    <col min="4597" max="4597" width="12.88671875" style="1" customWidth="1"/>
    <col min="4598" max="4598" width="11.109375" style="1" customWidth="1"/>
    <col min="4599" max="4599" width="14" style="1" customWidth="1"/>
    <col min="4600" max="4600" width="33" style="1" customWidth="1"/>
    <col min="4601" max="4601" width="6.6640625" style="1" customWidth="1"/>
    <col min="4602" max="4602" width="19" style="1" customWidth="1"/>
    <col min="4603" max="4603" width="19.109375" style="1" customWidth="1"/>
    <col min="4604" max="4604" width="21.33203125" style="1" customWidth="1"/>
    <col min="4605" max="4605" width="32.5546875" style="1" customWidth="1"/>
    <col min="4606" max="4606" width="16.88671875" style="1" customWidth="1"/>
    <col min="4607" max="4607" width="16.33203125" style="1" customWidth="1"/>
    <col min="4608" max="4838" width="10.33203125" style="1"/>
    <col min="4839" max="4839" width="4.44140625" style="1" customWidth="1"/>
    <col min="4840" max="4840" width="21.6640625" style="1" customWidth="1"/>
    <col min="4841" max="4841" width="15" style="1" customWidth="1"/>
    <col min="4842" max="4842" width="15.44140625" style="1" customWidth="1"/>
    <col min="4843" max="4843" width="11.5546875" style="1" customWidth="1"/>
    <col min="4844" max="4844" width="7.44140625" style="1" customWidth="1"/>
    <col min="4845" max="4845" width="14.109375" style="1" customWidth="1"/>
    <col min="4846" max="4846" width="10.6640625" style="1" customWidth="1"/>
    <col min="4847" max="4847" width="13.44140625" style="1" customWidth="1"/>
    <col min="4848" max="4848" width="11.44140625" style="1" customWidth="1"/>
    <col min="4849" max="4849" width="15" style="1" customWidth="1"/>
    <col min="4850" max="4850" width="14.5546875" style="1" customWidth="1"/>
    <col min="4851" max="4851" width="10.33203125" style="1"/>
    <col min="4852" max="4852" width="7.44140625" style="1" customWidth="1"/>
    <col min="4853" max="4853" width="12.88671875" style="1" customWidth="1"/>
    <col min="4854" max="4854" width="11.109375" style="1" customWidth="1"/>
    <col min="4855" max="4855" width="14" style="1" customWidth="1"/>
    <col min="4856" max="4856" width="33" style="1" customWidth="1"/>
    <col min="4857" max="4857" width="6.6640625" style="1" customWidth="1"/>
    <col min="4858" max="4858" width="19" style="1" customWidth="1"/>
    <col min="4859" max="4859" width="19.109375" style="1" customWidth="1"/>
    <col min="4860" max="4860" width="21.33203125" style="1" customWidth="1"/>
    <col min="4861" max="4861" width="32.5546875" style="1" customWidth="1"/>
    <col min="4862" max="4862" width="16.88671875" style="1" customWidth="1"/>
    <col min="4863" max="4863" width="16.33203125" style="1" customWidth="1"/>
    <col min="4864" max="5094" width="10.33203125" style="1"/>
    <col min="5095" max="5095" width="4.44140625" style="1" customWidth="1"/>
    <col min="5096" max="5096" width="21.6640625" style="1" customWidth="1"/>
    <col min="5097" max="5097" width="15" style="1" customWidth="1"/>
    <col min="5098" max="5098" width="15.44140625" style="1" customWidth="1"/>
    <col min="5099" max="5099" width="11.5546875" style="1" customWidth="1"/>
    <col min="5100" max="5100" width="7.44140625" style="1" customWidth="1"/>
    <col min="5101" max="5101" width="14.109375" style="1" customWidth="1"/>
    <col min="5102" max="5102" width="10.6640625" style="1" customWidth="1"/>
    <col min="5103" max="5103" width="13.44140625" style="1" customWidth="1"/>
    <col min="5104" max="5104" width="11.44140625" style="1" customWidth="1"/>
    <col min="5105" max="5105" width="15" style="1" customWidth="1"/>
    <col min="5106" max="5106" width="14.5546875" style="1" customWidth="1"/>
    <col min="5107" max="5107" width="10.33203125" style="1"/>
    <col min="5108" max="5108" width="7.44140625" style="1" customWidth="1"/>
    <col min="5109" max="5109" width="12.88671875" style="1" customWidth="1"/>
    <col min="5110" max="5110" width="11.109375" style="1" customWidth="1"/>
    <col min="5111" max="5111" width="14" style="1" customWidth="1"/>
    <col min="5112" max="5112" width="33" style="1" customWidth="1"/>
    <col min="5113" max="5113" width="6.6640625" style="1" customWidth="1"/>
    <col min="5114" max="5114" width="19" style="1" customWidth="1"/>
    <col min="5115" max="5115" width="19.109375" style="1" customWidth="1"/>
    <col min="5116" max="5116" width="21.33203125" style="1" customWidth="1"/>
    <col min="5117" max="5117" width="32.5546875" style="1" customWidth="1"/>
    <col min="5118" max="5118" width="16.88671875" style="1" customWidth="1"/>
    <col min="5119" max="5119" width="16.33203125" style="1" customWidth="1"/>
    <col min="5120" max="5350" width="10.33203125" style="1"/>
    <col min="5351" max="5351" width="4.44140625" style="1" customWidth="1"/>
    <col min="5352" max="5352" width="21.6640625" style="1" customWidth="1"/>
    <col min="5353" max="5353" width="15" style="1" customWidth="1"/>
    <col min="5354" max="5354" width="15.44140625" style="1" customWidth="1"/>
    <col min="5355" max="5355" width="11.5546875" style="1" customWidth="1"/>
    <col min="5356" max="5356" width="7.44140625" style="1" customWidth="1"/>
    <col min="5357" max="5357" width="14.109375" style="1" customWidth="1"/>
    <col min="5358" max="5358" width="10.6640625" style="1" customWidth="1"/>
    <col min="5359" max="5359" width="13.44140625" style="1" customWidth="1"/>
    <col min="5360" max="5360" width="11.44140625" style="1" customWidth="1"/>
    <col min="5361" max="5361" width="15" style="1" customWidth="1"/>
    <col min="5362" max="5362" width="14.5546875" style="1" customWidth="1"/>
    <col min="5363" max="5363" width="10.33203125" style="1"/>
    <col min="5364" max="5364" width="7.44140625" style="1" customWidth="1"/>
    <col min="5365" max="5365" width="12.88671875" style="1" customWidth="1"/>
    <col min="5366" max="5366" width="11.109375" style="1" customWidth="1"/>
    <col min="5367" max="5367" width="14" style="1" customWidth="1"/>
    <col min="5368" max="5368" width="33" style="1" customWidth="1"/>
    <col min="5369" max="5369" width="6.6640625" style="1" customWidth="1"/>
    <col min="5370" max="5370" width="19" style="1" customWidth="1"/>
    <col min="5371" max="5371" width="19.109375" style="1" customWidth="1"/>
    <col min="5372" max="5372" width="21.33203125" style="1" customWidth="1"/>
    <col min="5373" max="5373" width="32.5546875" style="1" customWidth="1"/>
    <col min="5374" max="5374" width="16.88671875" style="1" customWidth="1"/>
    <col min="5375" max="5375" width="16.33203125" style="1" customWidth="1"/>
    <col min="5376" max="5606" width="10.33203125" style="1"/>
    <col min="5607" max="5607" width="4.44140625" style="1" customWidth="1"/>
    <col min="5608" max="5608" width="21.6640625" style="1" customWidth="1"/>
    <col min="5609" max="5609" width="15" style="1" customWidth="1"/>
    <col min="5610" max="5610" width="15.44140625" style="1" customWidth="1"/>
    <col min="5611" max="5611" width="11.5546875" style="1" customWidth="1"/>
    <col min="5612" max="5612" width="7.44140625" style="1" customWidth="1"/>
    <col min="5613" max="5613" width="14.109375" style="1" customWidth="1"/>
    <col min="5614" max="5614" width="10.6640625" style="1" customWidth="1"/>
    <col min="5615" max="5615" width="13.44140625" style="1" customWidth="1"/>
    <col min="5616" max="5616" width="11.44140625" style="1" customWidth="1"/>
    <col min="5617" max="5617" width="15" style="1" customWidth="1"/>
    <col min="5618" max="5618" width="14.5546875" style="1" customWidth="1"/>
    <col min="5619" max="5619" width="10.33203125" style="1"/>
    <col min="5620" max="5620" width="7.44140625" style="1" customWidth="1"/>
    <col min="5621" max="5621" width="12.88671875" style="1" customWidth="1"/>
    <col min="5622" max="5622" width="11.109375" style="1" customWidth="1"/>
    <col min="5623" max="5623" width="14" style="1" customWidth="1"/>
    <col min="5624" max="5624" width="33" style="1" customWidth="1"/>
    <col min="5625" max="5625" width="6.6640625" style="1" customWidth="1"/>
    <col min="5626" max="5626" width="19" style="1" customWidth="1"/>
    <col min="5627" max="5627" width="19.109375" style="1" customWidth="1"/>
    <col min="5628" max="5628" width="21.33203125" style="1" customWidth="1"/>
    <col min="5629" max="5629" width="32.5546875" style="1" customWidth="1"/>
    <col min="5630" max="5630" width="16.88671875" style="1" customWidth="1"/>
    <col min="5631" max="5631" width="16.33203125" style="1" customWidth="1"/>
    <col min="5632" max="5862" width="10.33203125" style="1"/>
    <col min="5863" max="5863" width="4.44140625" style="1" customWidth="1"/>
    <col min="5864" max="5864" width="21.6640625" style="1" customWidth="1"/>
    <col min="5865" max="5865" width="15" style="1" customWidth="1"/>
    <col min="5866" max="5866" width="15.44140625" style="1" customWidth="1"/>
    <col min="5867" max="5867" width="11.5546875" style="1" customWidth="1"/>
    <col min="5868" max="5868" width="7.44140625" style="1" customWidth="1"/>
    <col min="5869" max="5869" width="14.109375" style="1" customWidth="1"/>
    <col min="5870" max="5870" width="10.6640625" style="1" customWidth="1"/>
    <col min="5871" max="5871" width="13.44140625" style="1" customWidth="1"/>
    <col min="5872" max="5872" width="11.44140625" style="1" customWidth="1"/>
    <col min="5873" max="5873" width="15" style="1" customWidth="1"/>
    <col min="5874" max="5874" width="14.5546875" style="1" customWidth="1"/>
    <col min="5875" max="5875" width="10.33203125" style="1"/>
    <col min="5876" max="5876" width="7.44140625" style="1" customWidth="1"/>
    <col min="5877" max="5877" width="12.88671875" style="1" customWidth="1"/>
    <col min="5878" max="5878" width="11.109375" style="1" customWidth="1"/>
    <col min="5879" max="5879" width="14" style="1" customWidth="1"/>
    <col min="5880" max="5880" width="33" style="1" customWidth="1"/>
    <col min="5881" max="5881" width="6.6640625" style="1" customWidth="1"/>
    <col min="5882" max="5882" width="19" style="1" customWidth="1"/>
    <col min="5883" max="5883" width="19.109375" style="1" customWidth="1"/>
    <col min="5884" max="5884" width="21.33203125" style="1" customWidth="1"/>
    <col min="5885" max="5885" width="32.5546875" style="1" customWidth="1"/>
    <col min="5886" max="5886" width="16.88671875" style="1" customWidth="1"/>
    <col min="5887" max="5887" width="16.33203125" style="1" customWidth="1"/>
    <col min="5888" max="6118" width="10.33203125" style="1"/>
    <col min="6119" max="6119" width="4.44140625" style="1" customWidth="1"/>
    <col min="6120" max="6120" width="21.6640625" style="1" customWidth="1"/>
    <col min="6121" max="6121" width="15" style="1" customWidth="1"/>
    <col min="6122" max="6122" width="15.44140625" style="1" customWidth="1"/>
    <col min="6123" max="6123" width="11.5546875" style="1" customWidth="1"/>
    <col min="6124" max="6124" width="7.44140625" style="1" customWidth="1"/>
    <col min="6125" max="6125" width="14.109375" style="1" customWidth="1"/>
    <col min="6126" max="6126" width="10.6640625" style="1" customWidth="1"/>
    <col min="6127" max="6127" width="13.44140625" style="1" customWidth="1"/>
    <col min="6128" max="6128" width="11.44140625" style="1" customWidth="1"/>
    <col min="6129" max="6129" width="15" style="1" customWidth="1"/>
    <col min="6130" max="6130" width="14.5546875" style="1" customWidth="1"/>
    <col min="6131" max="6131" width="10.33203125" style="1"/>
    <col min="6132" max="6132" width="7.44140625" style="1" customWidth="1"/>
    <col min="6133" max="6133" width="12.88671875" style="1" customWidth="1"/>
    <col min="6134" max="6134" width="11.109375" style="1" customWidth="1"/>
    <col min="6135" max="6135" width="14" style="1" customWidth="1"/>
    <col min="6136" max="6136" width="33" style="1" customWidth="1"/>
    <col min="6137" max="6137" width="6.6640625" style="1" customWidth="1"/>
    <col min="6138" max="6138" width="19" style="1" customWidth="1"/>
    <col min="6139" max="6139" width="19.109375" style="1" customWidth="1"/>
    <col min="6140" max="6140" width="21.33203125" style="1" customWidth="1"/>
    <col min="6141" max="6141" width="32.5546875" style="1" customWidth="1"/>
    <col min="6142" max="6142" width="16.88671875" style="1" customWidth="1"/>
    <col min="6143" max="6143" width="16.33203125" style="1" customWidth="1"/>
    <col min="6144" max="6374" width="10.33203125" style="1"/>
    <col min="6375" max="6375" width="4.44140625" style="1" customWidth="1"/>
    <col min="6376" max="6376" width="21.6640625" style="1" customWidth="1"/>
    <col min="6377" max="6377" width="15" style="1" customWidth="1"/>
    <col min="6378" max="6378" width="15.44140625" style="1" customWidth="1"/>
    <col min="6379" max="6379" width="11.5546875" style="1" customWidth="1"/>
    <col min="6380" max="6380" width="7.44140625" style="1" customWidth="1"/>
    <col min="6381" max="6381" width="14.109375" style="1" customWidth="1"/>
    <col min="6382" max="6382" width="10.6640625" style="1" customWidth="1"/>
    <col min="6383" max="6383" width="13.44140625" style="1" customWidth="1"/>
    <col min="6384" max="6384" width="11.44140625" style="1" customWidth="1"/>
    <col min="6385" max="6385" width="15" style="1" customWidth="1"/>
    <col min="6386" max="6386" width="14.5546875" style="1" customWidth="1"/>
    <col min="6387" max="6387" width="10.33203125" style="1"/>
    <col min="6388" max="6388" width="7.44140625" style="1" customWidth="1"/>
    <col min="6389" max="6389" width="12.88671875" style="1" customWidth="1"/>
    <col min="6390" max="6390" width="11.109375" style="1" customWidth="1"/>
    <col min="6391" max="6391" width="14" style="1" customWidth="1"/>
    <col min="6392" max="6392" width="33" style="1" customWidth="1"/>
    <col min="6393" max="6393" width="6.6640625" style="1" customWidth="1"/>
    <col min="6394" max="6394" width="19" style="1" customWidth="1"/>
    <col min="6395" max="6395" width="19.109375" style="1" customWidth="1"/>
    <col min="6396" max="6396" width="21.33203125" style="1" customWidth="1"/>
    <col min="6397" max="6397" width="32.5546875" style="1" customWidth="1"/>
    <col min="6398" max="6398" width="16.88671875" style="1" customWidth="1"/>
    <col min="6399" max="6399" width="16.33203125" style="1" customWidth="1"/>
    <col min="6400" max="6630" width="10.33203125" style="1"/>
    <col min="6631" max="6631" width="4.44140625" style="1" customWidth="1"/>
    <col min="6632" max="6632" width="21.6640625" style="1" customWidth="1"/>
    <col min="6633" max="6633" width="15" style="1" customWidth="1"/>
    <col min="6634" max="6634" width="15.44140625" style="1" customWidth="1"/>
    <col min="6635" max="6635" width="11.5546875" style="1" customWidth="1"/>
    <col min="6636" max="6636" width="7.44140625" style="1" customWidth="1"/>
    <col min="6637" max="6637" width="14.109375" style="1" customWidth="1"/>
    <col min="6638" max="6638" width="10.6640625" style="1" customWidth="1"/>
    <col min="6639" max="6639" width="13.44140625" style="1" customWidth="1"/>
    <col min="6640" max="6640" width="11.44140625" style="1" customWidth="1"/>
    <col min="6641" max="6641" width="15" style="1" customWidth="1"/>
    <col min="6642" max="6642" width="14.5546875" style="1" customWidth="1"/>
    <col min="6643" max="6643" width="10.33203125" style="1"/>
    <col min="6644" max="6644" width="7.44140625" style="1" customWidth="1"/>
    <col min="6645" max="6645" width="12.88671875" style="1" customWidth="1"/>
    <col min="6646" max="6646" width="11.109375" style="1" customWidth="1"/>
    <col min="6647" max="6647" width="14" style="1" customWidth="1"/>
    <col min="6648" max="6648" width="33" style="1" customWidth="1"/>
    <col min="6649" max="6649" width="6.6640625" style="1" customWidth="1"/>
    <col min="6650" max="6650" width="19" style="1" customWidth="1"/>
    <col min="6651" max="6651" width="19.109375" style="1" customWidth="1"/>
    <col min="6652" max="6652" width="21.33203125" style="1" customWidth="1"/>
    <col min="6653" max="6653" width="32.5546875" style="1" customWidth="1"/>
    <col min="6654" max="6654" width="16.88671875" style="1" customWidth="1"/>
    <col min="6655" max="6655" width="16.33203125" style="1" customWidth="1"/>
    <col min="6656" max="6886" width="10.33203125" style="1"/>
    <col min="6887" max="6887" width="4.44140625" style="1" customWidth="1"/>
    <col min="6888" max="6888" width="21.6640625" style="1" customWidth="1"/>
    <col min="6889" max="6889" width="15" style="1" customWidth="1"/>
    <col min="6890" max="6890" width="15.44140625" style="1" customWidth="1"/>
    <col min="6891" max="6891" width="11.5546875" style="1" customWidth="1"/>
    <col min="6892" max="6892" width="7.44140625" style="1" customWidth="1"/>
    <col min="6893" max="6893" width="14.109375" style="1" customWidth="1"/>
    <col min="6894" max="6894" width="10.6640625" style="1" customWidth="1"/>
    <col min="6895" max="6895" width="13.44140625" style="1" customWidth="1"/>
    <col min="6896" max="6896" width="11.44140625" style="1" customWidth="1"/>
    <col min="6897" max="6897" width="15" style="1" customWidth="1"/>
    <col min="6898" max="6898" width="14.5546875" style="1" customWidth="1"/>
    <col min="6899" max="6899" width="10.33203125" style="1"/>
    <col min="6900" max="6900" width="7.44140625" style="1" customWidth="1"/>
    <col min="6901" max="6901" width="12.88671875" style="1" customWidth="1"/>
    <col min="6902" max="6902" width="11.109375" style="1" customWidth="1"/>
    <col min="6903" max="6903" width="14" style="1" customWidth="1"/>
    <col min="6904" max="6904" width="33" style="1" customWidth="1"/>
    <col min="6905" max="6905" width="6.6640625" style="1" customWidth="1"/>
    <col min="6906" max="6906" width="19" style="1" customWidth="1"/>
    <col min="6907" max="6907" width="19.109375" style="1" customWidth="1"/>
    <col min="6908" max="6908" width="21.33203125" style="1" customWidth="1"/>
    <col min="6909" max="6909" width="32.5546875" style="1" customWidth="1"/>
    <col min="6910" max="6910" width="16.88671875" style="1" customWidth="1"/>
    <col min="6911" max="6911" width="16.33203125" style="1" customWidth="1"/>
    <col min="6912" max="7142" width="10.33203125" style="1"/>
    <col min="7143" max="7143" width="4.44140625" style="1" customWidth="1"/>
    <col min="7144" max="7144" width="21.6640625" style="1" customWidth="1"/>
    <col min="7145" max="7145" width="15" style="1" customWidth="1"/>
    <col min="7146" max="7146" width="15.44140625" style="1" customWidth="1"/>
    <col min="7147" max="7147" width="11.5546875" style="1" customWidth="1"/>
    <col min="7148" max="7148" width="7.44140625" style="1" customWidth="1"/>
    <col min="7149" max="7149" width="14.109375" style="1" customWidth="1"/>
    <col min="7150" max="7150" width="10.6640625" style="1" customWidth="1"/>
    <col min="7151" max="7151" width="13.44140625" style="1" customWidth="1"/>
    <col min="7152" max="7152" width="11.44140625" style="1" customWidth="1"/>
    <col min="7153" max="7153" width="15" style="1" customWidth="1"/>
    <col min="7154" max="7154" width="14.5546875" style="1" customWidth="1"/>
    <col min="7155" max="7155" width="10.33203125" style="1"/>
    <col min="7156" max="7156" width="7.44140625" style="1" customWidth="1"/>
    <col min="7157" max="7157" width="12.88671875" style="1" customWidth="1"/>
    <col min="7158" max="7158" width="11.109375" style="1" customWidth="1"/>
    <col min="7159" max="7159" width="14" style="1" customWidth="1"/>
    <col min="7160" max="7160" width="33" style="1" customWidth="1"/>
    <col min="7161" max="7161" width="6.6640625" style="1" customWidth="1"/>
    <col min="7162" max="7162" width="19" style="1" customWidth="1"/>
    <col min="7163" max="7163" width="19.109375" style="1" customWidth="1"/>
    <col min="7164" max="7164" width="21.33203125" style="1" customWidth="1"/>
    <col min="7165" max="7165" width="32.5546875" style="1" customWidth="1"/>
    <col min="7166" max="7166" width="16.88671875" style="1" customWidth="1"/>
    <col min="7167" max="7167" width="16.33203125" style="1" customWidth="1"/>
    <col min="7168" max="7398" width="10.33203125" style="1"/>
    <col min="7399" max="7399" width="4.44140625" style="1" customWidth="1"/>
    <col min="7400" max="7400" width="21.6640625" style="1" customWidth="1"/>
    <col min="7401" max="7401" width="15" style="1" customWidth="1"/>
    <col min="7402" max="7402" width="15.44140625" style="1" customWidth="1"/>
    <col min="7403" max="7403" width="11.5546875" style="1" customWidth="1"/>
    <col min="7404" max="7404" width="7.44140625" style="1" customWidth="1"/>
    <col min="7405" max="7405" width="14.109375" style="1" customWidth="1"/>
    <col min="7406" max="7406" width="10.6640625" style="1" customWidth="1"/>
    <col min="7407" max="7407" width="13.44140625" style="1" customWidth="1"/>
    <col min="7408" max="7408" width="11.44140625" style="1" customWidth="1"/>
    <col min="7409" max="7409" width="15" style="1" customWidth="1"/>
    <col min="7410" max="7410" width="14.5546875" style="1" customWidth="1"/>
    <col min="7411" max="7411" width="10.33203125" style="1"/>
    <col min="7412" max="7412" width="7.44140625" style="1" customWidth="1"/>
    <col min="7413" max="7413" width="12.88671875" style="1" customWidth="1"/>
    <col min="7414" max="7414" width="11.109375" style="1" customWidth="1"/>
    <col min="7415" max="7415" width="14" style="1" customWidth="1"/>
    <col min="7416" max="7416" width="33" style="1" customWidth="1"/>
    <col min="7417" max="7417" width="6.6640625" style="1" customWidth="1"/>
    <col min="7418" max="7418" width="19" style="1" customWidth="1"/>
    <col min="7419" max="7419" width="19.109375" style="1" customWidth="1"/>
    <col min="7420" max="7420" width="21.33203125" style="1" customWidth="1"/>
    <col min="7421" max="7421" width="32.5546875" style="1" customWidth="1"/>
    <col min="7422" max="7422" width="16.88671875" style="1" customWidth="1"/>
    <col min="7423" max="7423" width="16.33203125" style="1" customWidth="1"/>
    <col min="7424" max="7654" width="10.33203125" style="1"/>
    <col min="7655" max="7655" width="4.44140625" style="1" customWidth="1"/>
    <col min="7656" max="7656" width="21.6640625" style="1" customWidth="1"/>
    <col min="7657" max="7657" width="15" style="1" customWidth="1"/>
    <col min="7658" max="7658" width="15.44140625" style="1" customWidth="1"/>
    <col min="7659" max="7659" width="11.5546875" style="1" customWidth="1"/>
    <col min="7660" max="7660" width="7.44140625" style="1" customWidth="1"/>
    <col min="7661" max="7661" width="14.109375" style="1" customWidth="1"/>
    <col min="7662" max="7662" width="10.6640625" style="1" customWidth="1"/>
    <col min="7663" max="7663" width="13.44140625" style="1" customWidth="1"/>
    <col min="7664" max="7664" width="11.44140625" style="1" customWidth="1"/>
    <col min="7665" max="7665" width="15" style="1" customWidth="1"/>
    <col min="7666" max="7666" width="14.5546875" style="1" customWidth="1"/>
    <col min="7667" max="7667" width="10.33203125" style="1"/>
    <col min="7668" max="7668" width="7.44140625" style="1" customWidth="1"/>
    <col min="7669" max="7669" width="12.88671875" style="1" customWidth="1"/>
    <col min="7670" max="7670" width="11.109375" style="1" customWidth="1"/>
    <col min="7671" max="7671" width="14" style="1" customWidth="1"/>
    <col min="7672" max="7672" width="33" style="1" customWidth="1"/>
    <col min="7673" max="7673" width="6.6640625" style="1" customWidth="1"/>
    <col min="7674" max="7674" width="19" style="1" customWidth="1"/>
    <col min="7675" max="7675" width="19.109375" style="1" customWidth="1"/>
    <col min="7676" max="7676" width="21.33203125" style="1" customWidth="1"/>
    <col min="7677" max="7677" width="32.5546875" style="1" customWidth="1"/>
    <col min="7678" max="7678" width="16.88671875" style="1" customWidth="1"/>
    <col min="7679" max="7679" width="16.33203125" style="1" customWidth="1"/>
    <col min="7680" max="7910" width="10.33203125" style="1"/>
    <col min="7911" max="7911" width="4.44140625" style="1" customWidth="1"/>
    <col min="7912" max="7912" width="21.6640625" style="1" customWidth="1"/>
    <col min="7913" max="7913" width="15" style="1" customWidth="1"/>
    <col min="7914" max="7914" width="15.44140625" style="1" customWidth="1"/>
    <col min="7915" max="7915" width="11.5546875" style="1" customWidth="1"/>
    <col min="7916" max="7916" width="7.44140625" style="1" customWidth="1"/>
    <col min="7917" max="7917" width="14.109375" style="1" customWidth="1"/>
    <col min="7918" max="7918" width="10.6640625" style="1" customWidth="1"/>
    <col min="7919" max="7919" width="13.44140625" style="1" customWidth="1"/>
    <col min="7920" max="7920" width="11.44140625" style="1" customWidth="1"/>
    <col min="7921" max="7921" width="15" style="1" customWidth="1"/>
    <col min="7922" max="7922" width="14.5546875" style="1" customWidth="1"/>
    <col min="7923" max="7923" width="10.33203125" style="1"/>
    <col min="7924" max="7924" width="7.44140625" style="1" customWidth="1"/>
    <col min="7925" max="7925" width="12.88671875" style="1" customWidth="1"/>
    <col min="7926" max="7926" width="11.109375" style="1" customWidth="1"/>
    <col min="7927" max="7927" width="14" style="1" customWidth="1"/>
    <col min="7928" max="7928" width="33" style="1" customWidth="1"/>
    <col min="7929" max="7929" width="6.6640625" style="1" customWidth="1"/>
    <col min="7930" max="7930" width="19" style="1" customWidth="1"/>
    <col min="7931" max="7931" width="19.109375" style="1" customWidth="1"/>
    <col min="7932" max="7932" width="21.33203125" style="1" customWidth="1"/>
    <col min="7933" max="7933" width="32.5546875" style="1" customWidth="1"/>
    <col min="7934" max="7934" width="16.88671875" style="1" customWidth="1"/>
    <col min="7935" max="7935" width="16.33203125" style="1" customWidth="1"/>
    <col min="7936" max="8166" width="10.33203125" style="1"/>
    <col min="8167" max="8167" width="4.44140625" style="1" customWidth="1"/>
    <col min="8168" max="8168" width="21.6640625" style="1" customWidth="1"/>
    <col min="8169" max="8169" width="15" style="1" customWidth="1"/>
    <col min="8170" max="8170" width="15.44140625" style="1" customWidth="1"/>
    <col min="8171" max="8171" width="11.5546875" style="1" customWidth="1"/>
    <col min="8172" max="8172" width="7.44140625" style="1" customWidth="1"/>
    <col min="8173" max="8173" width="14.109375" style="1" customWidth="1"/>
    <col min="8174" max="8174" width="10.6640625" style="1" customWidth="1"/>
    <col min="8175" max="8175" width="13.44140625" style="1" customWidth="1"/>
    <col min="8176" max="8176" width="11.44140625" style="1" customWidth="1"/>
    <col min="8177" max="8177" width="15" style="1" customWidth="1"/>
    <col min="8178" max="8178" width="14.5546875" style="1" customWidth="1"/>
    <col min="8179" max="8179" width="10.33203125" style="1"/>
    <col min="8180" max="8180" width="7.44140625" style="1" customWidth="1"/>
    <col min="8181" max="8181" width="12.88671875" style="1" customWidth="1"/>
    <col min="8182" max="8182" width="11.109375" style="1" customWidth="1"/>
    <col min="8183" max="8183" width="14" style="1" customWidth="1"/>
    <col min="8184" max="8184" width="33" style="1" customWidth="1"/>
    <col min="8185" max="8185" width="6.6640625" style="1" customWidth="1"/>
    <col min="8186" max="8186" width="19" style="1" customWidth="1"/>
    <col min="8187" max="8187" width="19.109375" style="1" customWidth="1"/>
    <col min="8188" max="8188" width="21.33203125" style="1" customWidth="1"/>
    <col min="8189" max="8189" width="32.5546875" style="1" customWidth="1"/>
    <col min="8190" max="8190" width="16.88671875" style="1" customWidth="1"/>
    <col min="8191" max="8191" width="16.33203125" style="1" customWidth="1"/>
    <col min="8192" max="8422" width="10.33203125" style="1"/>
    <col min="8423" max="8423" width="4.44140625" style="1" customWidth="1"/>
    <col min="8424" max="8424" width="21.6640625" style="1" customWidth="1"/>
    <col min="8425" max="8425" width="15" style="1" customWidth="1"/>
    <col min="8426" max="8426" width="15.44140625" style="1" customWidth="1"/>
    <col min="8427" max="8427" width="11.5546875" style="1" customWidth="1"/>
    <col min="8428" max="8428" width="7.44140625" style="1" customWidth="1"/>
    <col min="8429" max="8429" width="14.109375" style="1" customWidth="1"/>
    <col min="8430" max="8430" width="10.6640625" style="1" customWidth="1"/>
    <col min="8431" max="8431" width="13.44140625" style="1" customWidth="1"/>
    <col min="8432" max="8432" width="11.44140625" style="1" customWidth="1"/>
    <col min="8433" max="8433" width="15" style="1" customWidth="1"/>
    <col min="8434" max="8434" width="14.5546875" style="1" customWidth="1"/>
    <col min="8435" max="8435" width="10.33203125" style="1"/>
    <col min="8436" max="8436" width="7.44140625" style="1" customWidth="1"/>
    <col min="8437" max="8437" width="12.88671875" style="1" customWidth="1"/>
    <col min="8438" max="8438" width="11.109375" style="1" customWidth="1"/>
    <col min="8439" max="8439" width="14" style="1" customWidth="1"/>
    <col min="8440" max="8440" width="33" style="1" customWidth="1"/>
    <col min="8441" max="8441" width="6.6640625" style="1" customWidth="1"/>
    <col min="8442" max="8442" width="19" style="1" customWidth="1"/>
    <col min="8443" max="8443" width="19.109375" style="1" customWidth="1"/>
    <col min="8444" max="8444" width="21.33203125" style="1" customWidth="1"/>
    <col min="8445" max="8445" width="32.5546875" style="1" customWidth="1"/>
    <col min="8446" max="8446" width="16.88671875" style="1" customWidth="1"/>
    <col min="8447" max="8447" width="16.33203125" style="1" customWidth="1"/>
    <col min="8448" max="8678" width="10.33203125" style="1"/>
    <col min="8679" max="8679" width="4.44140625" style="1" customWidth="1"/>
    <col min="8680" max="8680" width="21.6640625" style="1" customWidth="1"/>
    <col min="8681" max="8681" width="15" style="1" customWidth="1"/>
    <col min="8682" max="8682" width="15.44140625" style="1" customWidth="1"/>
    <col min="8683" max="8683" width="11.5546875" style="1" customWidth="1"/>
    <col min="8684" max="8684" width="7.44140625" style="1" customWidth="1"/>
    <col min="8685" max="8685" width="14.109375" style="1" customWidth="1"/>
    <col min="8686" max="8686" width="10.6640625" style="1" customWidth="1"/>
    <col min="8687" max="8687" width="13.44140625" style="1" customWidth="1"/>
    <col min="8688" max="8688" width="11.44140625" style="1" customWidth="1"/>
    <col min="8689" max="8689" width="15" style="1" customWidth="1"/>
    <col min="8690" max="8690" width="14.5546875" style="1" customWidth="1"/>
    <col min="8691" max="8691" width="10.33203125" style="1"/>
    <col min="8692" max="8692" width="7.44140625" style="1" customWidth="1"/>
    <col min="8693" max="8693" width="12.88671875" style="1" customWidth="1"/>
    <col min="8694" max="8694" width="11.109375" style="1" customWidth="1"/>
    <col min="8695" max="8695" width="14" style="1" customWidth="1"/>
    <col min="8696" max="8696" width="33" style="1" customWidth="1"/>
    <col min="8697" max="8697" width="6.6640625" style="1" customWidth="1"/>
    <col min="8698" max="8698" width="19" style="1" customWidth="1"/>
    <col min="8699" max="8699" width="19.109375" style="1" customWidth="1"/>
    <col min="8700" max="8700" width="21.33203125" style="1" customWidth="1"/>
    <col min="8701" max="8701" width="32.5546875" style="1" customWidth="1"/>
    <col min="8702" max="8702" width="16.88671875" style="1" customWidth="1"/>
    <col min="8703" max="8703" width="16.33203125" style="1" customWidth="1"/>
    <col min="8704" max="8934" width="10.33203125" style="1"/>
    <col min="8935" max="8935" width="4.44140625" style="1" customWidth="1"/>
    <col min="8936" max="8936" width="21.6640625" style="1" customWidth="1"/>
    <col min="8937" max="8937" width="15" style="1" customWidth="1"/>
    <col min="8938" max="8938" width="15.44140625" style="1" customWidth="1"/>
    <col min="8939" max="8939" width="11.5546875" style="1" customWidth="1"/>
    <col min="8940" max="8940" width="7.44140625" style="1" customWidth="1"/>
    <col min="8941" max="8941" width="14.109375" style="1" customWidth="1"/>
    <col min="8942" max="8942" width="10.6640625" style="1" customWidth="1"/>
    <col min="8943" max="8943" width="13.44140625" style="1" customWidth="1"/>
    <col min="8944" max="8944" width="11.44140625" style="1" customWidth="1"/>
    <col min="8945" max="8945" width="15" style="1" customWidth="1"/>
    <col min="8946" max="8946" width="14.5546875" style="1" customWidth="1"/>
    <col min="8947" max="8947" width="10.33203125" style="1"/>
    <col min="8948" max="8948" width="7.44140625" style="1" customWidth="1"/>
    <col min="8949" max="8949" width="12.88671875" style="1" customWidth="1"/>
    <col min="8950" max="8950" width="11.109375" style="1" customWidth="1"/>
    <col min="8951" max="8951" width="14" style="1" customWidth="1"/>
    <col min="8952" max="8952" width="33" style="1" customWidth="1"/>
    <col min="8953" max="8953" width="6.6640625" style="1" customWidth="1"/>
    <col min="8954" max="8954" width="19" style="1" customWidth="1"/>
    <col min="8955" max="8955" width="19.109375" style="1" customWidth="1"/>
    <col min="8956" max="8956" width="21.33203125" style="1" customWidth="1"/>
    <col min="8957" max="8957" width="32.5546875" style="1" customWidth="1"/>
    <col min="8958" max="8958" width="16.88671875" style="1" customWidth="1"/>
    <col min="8959" max="8959" width="16.33203125" style="1" customWidth="1"/>
    <col min="8960" max="9190" width="10.33203125" style="1"/>
    <col min="9191" max="9191" width="4.44140625" style="1" customWidth="1"/>
    <col min="9192" max="9192" width="21.6640625" style="1" customWidth="1"/>
    <col min="9193" max="9193" width="15" style="1" customWidth="1"/>
    <col min="9194" max="9194" width="15.44140625" style="1" customWidth="1"/>
    <col min="9195" max="9195" width="11.5546875" style="1" customWidth="1"/>
    <col min="9196" max="9196" width="7.44140625" style="1" customWidth="1"/>
    <col min="9197" max="9197" width="14.109375" style="1" customWidth="1"/>
    <col min="9198" max="9198" width="10.6640625" style="1" customWidth="1"/>
    <col min="9199" max="9199" width="13.44140625" style="1" customWidth="1"/>
    <col min="9200" max="9200" width="11.44140625" style="1" customWidth="1"/>
    <col min="9201" max="9201" width="15" style="1" customWidth="1"/>
    <col min="9202" max="9202" width="14.5546875" style="1" customWidth="1"/>
    <col min="9203" max="9203" width="10.33203125" style="1"/>
    <col min="9204" max="9204" width="7.44140625" style="1" customWidth="1"/>
    <col min="9205" max="9205" width="12.88671875" style="1" customWidth="1"/>
    <col min="9206" max="9206" width="11.109375" style="1" customWidth="1"/>
    <col min="9207" max="9207" width="14" style="1" customWidth="1"/>
    <col min="9208" max="9208" width="33" style="1" customWidth="1"/>
    <col min="9209" max="9209" width="6.6640625" style="1" customWidth="1"/>
    <col min="9210" max="9210" width="19" style="1" customWidth="1"/>
    <col min="9211" max="9211" width="19.109375" style="1" customWidth="1"/>
    <col min="9212" max="9212" width="21.33203125" style="1" customWidth="1"/>
    <col min="9213" max="9213" width="32.5546875" style="1" customWidth="1"/>
    <col min="9214" max="9214" width="16.88671875" style="1" customWidth="1"/>
    <col min="9215" max="9215" width="16.33203125" style="1" customWidth="1"/>
    <col min="9216" max="9446" width="10.33203125" style="1"/>
    <col min="9447" max="9447" width="4.44140625" style="1" customWidth="1"/>
    <col min="9448" max="9448" width="21.6640625" style="1" customWidth="1"/>
    <col min="9449" max="9449" width="15" style="1" customWidth="1"/>
    <col min="9450" max="9450" width="15.44140625" style="1" customWidth="1"/>
    <col min="9451" max="9451" width="11.5546875" style="1" customWidth="1"/>
    <col min="9452" max="9452" width="7.44140625" style="1" customWidth="1"/>
    <col min="9453" max="9453" width="14.109375" style="1" customWidth="1"/>
    <col min="9454" max="9454" width="10.6640625" style="1" customWidth="1"/>
    <col min="9455" max="9455" width="13.44140625" style="1" customWidth="1"/>
    <col min="9456" max="9456" width="11.44140625" style="1" customWidth="1"/>
    <col min="9457" max="9457" width="15" style="1" customWidth="1"/>
    <col min="9458" max="9458" width="14.5546875" style="1" customWidth="1"/>
    <col min="9459" max="9459" width="10.33203125" style="1"/>
    <col min="9460" max="9460" width="7.44140625" style="1" customWidth="1"/>
    <col min="9461" max="9461" width="12.88671875" style="1" customWidth="1"/>
    <col min="9462" max="9462" width="11.109375" style="1" customWidth="1"/>
    <col min="9463" max="9463" width="14" style="1" customWidth="1"/>
    <col min="9464" max="9464" width="33" style="1" customWidth="1"/>
    <col min="9465" max="9465" width="6.6640625" style="1" customWidth="1"/>
    <col min="9466" max="9466" width="19" style="1" customWidth="1"/>
    <col min="9467" max="9467" width="19.109375" style="1" customWidth="1"/>
    <col min="9468" max="9468" width="21.33203125" style="1" customWidth="1"/>
    <col min="9469" max="9469" width="32.5546875" style="1" customWidth="1"/>
    <col min="9470" max="9470" width="16.88671875" style="1" customWidth="1"/>
    <col min="9471" max="9471" width="16.33203125" style="1" customWidth="1"/>
    <col min="9472" max="9702" width="10.33203125" style="1"/>
    <col min="9703" max="9703" width="4.44140625" style="1" customWidth="1"/>
    <col min="9704" max="9704" width="21.6640625" style="1" customWidth="1"/>
    <col min="9705" max="9705" width="15" style="1" customWidth="1"/>
    <col min="9706" max="9706" width="15.44140625" style="1" customWidth="1"/>
    <col min="9707" max="9707" width="11.5546875" style="1" customWidth="1"/>
    <col min="9708" max="9708" width="7.44140625" style="1" customWidth="1"/>
    <col min="9709" max="9709" width="14.109375" style="1" customWidth="1"/>
    <col min="9710" max="9710" width="10.6640625" style="1" customWidth="1"/>
    <col min="9711" max="9711" width="13.44140625" style="1" customWidth="1"/>
    <col min="9712" max="9712" width="11.44140625" style="1" customWidth="1"/>
    <col min="9713" max="9713" width="15" style="1" customWidth="1"/>
    <col min="9714" max="9714" width="14.5546875" style="1" customWidth="1"/>
    <col min="9715" max="9715" width="10.33203125" style="1"/>
    <col min="9716" max="9716" width="7.44140625" style="1" customWidth="1"/>
    <col min="9717" max="9717" width="12.88671875" style="1" customWidth="1"/>
    <col min="9718" max="9718" width="11.109375" style="1" customWidth="1"/>
    <col min="9719" max="9719" width="14" style="1" customWidth="1"/>
    <col min="9720" max="9720" width="33" style="1" customWidth="1"/>
    <col min="9721" max="9721" width="6.6640625" style="1" customWidth="1"/>
    <col min="9722" max="9722" width="19" style="1" customWidth="1"/>
    <col min="9723" max="9723" width="19.109375" style="1" customWidth="1"/>
    <col min="9724" max="9724" width="21.33203125" style="1" customWidth="1"/>
    <col min="9725" max="9725" width="32.5546875" style="1" customWidth="1"/>
    <col min="9726" max="9726" width="16.88671875" style="1" customWidth="1"/>
    <col min="9727" max="9727" width="16.33203125" style="1" customWidth="1"/>
    <col min="9728" max="9958" width="10.33203125" style="1"/>
    <col min="9959" max="9959" width="4.44140625" style="1" customWidth="1"/>
    <col min="9960" max="9960" width="21.6640625" style="1" customWidth="1"/>
    <col min="9961" max="9961" width="15" style="1" customWidth="1"/>
    <col min="9962" max="9962" width="15.44140625" style="1" customWidth="1"/>
    <col min="9963" max="9963" width="11.5546875" style="1" customWidth="1"/>
    <col min="9964" max="9964" width="7.44140625" style="1" customWidth="1"/>
    <col min="9965" max="9965" width="14.109375" style="1" customWidth="1"/>
    <col min="9966" max="9966" width="10.6640625" style="1" customWidth="1"/>
    <col min="9967" max="9967" width="13.44140625" style="1" customWidth="1"/>
    <col min="9968" max="9968" width="11.44140625" style="1" customWidth="1"/>
    <col min="9969" max="9969" width="15" style="1" customWidth="1"/>
    <col min="9970" max="9970" width="14.5546875" style="1" customWidth="1"/>
    <col min="9971" max="9971" width="10.33203125" style="1"/>
    <col min="9972" max="9972" width="7.44140625" style="1" customWidth="1"/>
    <col min="9973" max="9973" width="12.88671875" style="1" customWidth="1"/>
    <col min="9974" max="9974" width="11.109375" style="1" customWidth="1"/>
    <col min="9975" max="9975" width="14" style="1" customWidth="1"/>
    <col min="9976" max="9976" width="33" style="1" customWidth="1"/>
    <col min="9977" max="9977" width="6.6640625" style="1" customWidth="1"/>
    <col min="9978" max="9978" width="19" style="1" customWidth="1"/>
    <col min="9979" max="9979" width="19.109375" style="1" customWidth="1"/>
    <col min="9980" max="9980" width="21.33203125" style="1" customWidth="1"/>
    <col min="9981" max="9981" width="32.5546875" style="1" customWidth="1"/>
    <col min="9982" max="9982" width="16.88671875" style="1" customWidth="1"/>
    <col min="9983" max="9983" width="16.33203125" style="1" customWidth="1"/>
    <col min="9984" max="10214" width="10.33203125" style="1"/>
    <col min="10215" max="10215" width="4.44140625" style="1" customWidth="1"/>
    <col min="10216" max="10216" width="21.6640625" style="1" customWidth="1"/>
    <col min="10217" max="10217" width="15" style="1" customWidth="1"/>
    <col min="10218" max="10218" width="15.44140625" style="1" customWidth="1"/>
    <col min="10219" max="10219" width="11.5546875" style="1" customWidth="1"/>
    <col min="10220" max="10220" width="7.44140625" style="1" customWidth="1"/>
    <col min="10221" max="10221" width="14.109375" style="1" customWidth="1"/>
    <col min="10222" max="10222" width="10.6640625" style="1" customWidth="1"/>
    <col min="10223" max="10223" width="13.44140625" style="1" customWidth="1"/>
    <col min="10224" max="10224" width="11.44140625" style="1" customWidth="1"/>
    <col min="10225" max="10225" width="15" style="1" customWidth="1"/>
    <col min="10226" max="10226" width="14.5546875" style="1" customWidth="1"/>
    <col min="10227" max="10227" width="10.33203125" style="1"/>
    <col min="10228" max="10228" width="7.44140625" style="1" customWidth="1"/>
    <col min="10229" max="10229" width="12.88671875" style="1" customWidth="1"/>
    <col min="10230" max="10230" width="11.109375" style="1" customWidth="1"/>
    <col min="10231" max="10231" width="14" style="1" customWidth="1"/>
    <col min="10232" max="10232" width="33" style="1" customWidth="1"/>
    <col min="10233" max="10233" width="6.6640625" style="1" customWidth="1"/>
    <col min="10234" max="10234" width="19" style="1" customWidth="1"/>
    <col min="10235" max="10235" width="19.109375" style="1" customWidth="1"/>
    <col min="10236" max="10236" width="21.33203125" style="1" customWidth="1"/>
    <col min="10237" max="10237" width="32.5546875" style="1" customWidth="1"/>
    <col min="10238" max="10238" width="16.88671875" style="1" customWidth="1"/>
    <col min="10239" max="10239" width="16.33203125" style="1" customWidth="1"/>
    <col min="10240" max="10470" width="10.33203125" style="1"/>
    <col min="10471" max="10471" width="4.44140625" style="1" customWidth="1"/>
    <col min="10472" max="10472" width="21.6640625" style="1" customWidth="1"/>
    <col min="10473" max="10473" width="15" style="1" customWidth="1"/>
    <col min="10474" max="10474" width="15.44140625" style="1" customWidth="1"/>
    <col min="10475" max="10475" width="11.5546875" style="1" customWidth="1"/>
    <col min="10476" max="10476" width="7.44140625" style="1" customWidth="1"/>
    <col min="10477" max="10477" width="14.109375" style="1" customWidth="1"/>
    <col min="10478" max="10478" width="10.6640625" style="1" customWidth="1"/>
    <col min="10479" max="10479" width="13.44140625" style="1" customWidth="1"/>
    <col min="10480" max="10480" width="11.44140625" style="1" customWidth="1"/>
    <col min="10481" max="10481" width="15" style="1" customWidth="1"/>
    <col min="10482" max="10482" width="14.5546875" style="1" customWidth="1"/>
    <col min="10483" max="10483" width="10.33203125" style="1"/>
    <col min="10484" max="10484" width="7.44140625" style="1" customWidth="1"/>
    <col min="10485" max="10485" width="12.88671875" style="1" customWidth="1"/>
    <col min="10486" max="10486" width="11.109375" style="1" customWidth="1"/>
    <col min="10487" max="10487" width="14" style="1" customWidth="1"/>
    <col min="10488" max="10488" width="33" style="1" customWidth="1"/>
    <col min="10489" max="10489" width="6.6640625" style="1" customWidth="1"/>
    <col min="10490" max="10490" width="19" style="1" customWidth="1"/>
    <col min="10491" max="10491" width="19.109375" style="1" customWidth="1"/>
    <col min="10492" max="10492" width="21.33203125" style="1" customWidth="1"/>
    <col min="10493" max="10493" width="32.5546875" style="1" customWidth="1"/>
    <col min="10494" max="10494" width="16.88671875" style="1" customWidth="1"/>
    <col min="10495" max="10495" width="16.33203125" style="1" customWidth="1"/>
    <col min="10496" max="10726" width="10.33203125" style="1"/>
    <col min="10727" max="10727" width="4.44140625" style="1" customWidth="1"/>
    <col min="10728" max="10728" width="21.6640625" style="1" customWidth="1"/>
    <col min="10729" max="10729" width="15" style="1" customWidth="1"/>
    <col min="10730" max="10730" width="15.44140625" style="1" customWidth="1"/>
    <col min="10731" max="10731" width="11.5546875" style="1" customWidth="1"/>
    <col min="10732" max="10732" width="7.44140625" style="1" customWidth="1"/>
    <col min="10733" max="10733" width="14.109375" style="1" customWidth="1"/>
    <col min="10734" max="10734" width="10.6640625" style="1" customWidth="1"/>
    <col min="10735" max="10735" width="13.44140625" style="1" customWidth="1"/>
    <col min="10736" max="10736" width="11.44140625" style="1" customWidth="1"/>
    <col min="10737" max="10737" width="15" style="1" customWidth="1"/>
    <col min="10738" max="10738" width="14.5546875" style="1" customWidth="1"/>
    <col min="10739" max="10739" width="10.33203125" style="1"/>
    <col min="10740" max="10740" width="7.44140625" style="1" customWidth="1"/>
    <col min="10741" max="10741" width="12.88671875" style="1" customWidth="1"/>
    <col min="10742" max="10742" width="11.109375" style="1" customWidth="1"/>
    <col min="10743" max="10743" width="14" style="1" customWidth="1"/>
    <col min="10744" max="10744" width="33" style="1" customWidth="1"/>
    <col min="10745" max="10745" width="6.6640625" style="1" customWidth="1"/>
    <col min="10746" max="10746" width="19" style="1" customWidth="1"/>
    <col min="10747" max="10747" width="19.109375" style="1" customWidth="1"/>
    <col min="10748" max="10748" width="21.33203125" style="1" customWidth="1"/>
    <col min="10749" max="10749" width="32.5546875" style="1" customWidth="1"/>
    <col min="10750" max="10750" width="16.88671875" style="1" customWidth="1"/>
    <col min="10751" max="10751" width="16.33203125" style="1" customWidth="1"/>
    <col min="10752" max="10982" width="10.33203125" style="1"/>
    <col min="10983" max="10983" width="4.44140625" style="1" customWidth="1"/>
    <col min="10984" max="10984" width="21.6640625" style="1" customWidth="1"/>
    <col min="10985" max="10985" width="15" style="1" customWidth="1"/>
    <col min="10986" max="10986" width="15.44140625" style="1" customWidth="1"/>
    <col min="10987" max="10987" width="11.5546875" style="1" customWidth="1"/>
    <col min="10988" max="10988" width="7.44140625" style="1" customWidth="1"/>
    <col min="10989" max="10989" width="14.109375" style="1" customWidth="1"/>
    <col min="10990" max="10990" width="10.6640625" style="1" customWidth="1"/>
    <col min="10991" max="10991" width="13.44140625" style="1" customWidth="1"/>
    <col min="10992" max="10992" width="11.44140625" style="1" customWidth="1"/>
    <col min="10993" max="10993" width="15" style="1" customWidth="1"/>
    <col min="10994" max="10994" width="14.5546875" style="1" customWidth="1"/>
    <col min="10995" max="10995" width="10.33203125" style="1"/>
    <col min="10996" max="10996" width="7.44140625" style="1" customWidth="1"/>
    <col min="10997" max="10997" width="12.88671875" style="1" customWidth="1"/>
    <col min="10998" max="10998" width="11.109375" style="1" customWidth="1"/>
    <col min="10999" max="10999" width="14" style="1" customWidth="1"/>
    <col min="11000" max="11000" width="33" style="1" customWidth="1"/>
    <col min="11001" max="11001" width="6.6640625" style="1" customWidth="1"/>
    <col min="11002" max="11002" width="19" style="1" customWidth="1"/>
    <col min="11003" max="11003" width="19.109375" style="1" customWidth="1"/>
    <col min="11004" max="11004" width="21.33203125" style="1" customWidth="1"/>
    <col min="11005" max="11005" width="32.5546875" style="1" customWidth="1"/>
    <col min="11006" max="11006" width="16.88671875" style="1" customWidth="1"/>
    <col min="11007" max="11007" width="16.33203125" style="1" customWidth="1"/>
    <col min="11008" max="11238" width="10.33203125" style="1"/>
    <col min="11239" max="11239" width="4.44140625" style="1" customWidth="1"/>
    <col min="11240" max="11240" width="21.6640625" style="1" customWidth="1"/>
    <col min="11241" max="11241" width="15" style="1" customWidth="1"/>
    <col min="11242" max="11242" width="15.44140625" style="1" customWidth="1"/>
    <col min="11243" max="11243" width="11.5546875" style="1" customWidth="1"/>
    <col min="11244" max="11244" width="7.44140625" style="1" customWidth="1"/>
    <col min="11245" max="11245" width="14.109375" style="1" customWidth="1"/>
    <col min="11246" max="11246" width="10.6640625" style="1" customWidth="1"/>
    <col min="11247" max="11247" width="13.44140625" style="1" customWidth="1"/>
    <col min="11248" max="11248" width="11.44140625" style="1" customWidth="1"/>
    <col min="11249" max="11249" width="15" style="1" customWidth="1"/>
    <col min="11250" max="11250" width="14.5546875" style="1" customWidth="1"/>
    <col min="11251" max="11251" width="10.33203125" style="1"/>
    <col min="11252" max="11252" width="7.44140625" style="1" customWidth="1"/>
    <col min="11253" max="11253" width="12.88671875" style="1" customWidth="1"/>
    <col min="11254" max="11254" width="11.109375" style="1" customWidth="1"/>
    <col min="11255" max="11255" width="14" style="1" customWidth="1"/>
    <col min="11256" max="11256" width="33" style="1" customWidth="1"/>
    <col min="11257" max="11257" width="6.6640625" style="1" customWidth="1"/>
    <col min="11258" max="11258" width="19" style="1" customWidth="1"/>
    <col min="11259" max="11259" width="19.109375" style="1" customWidth="1"/>
    <col min="11260" max="11260" width="21.33203125" style="1" customWidth="1"/>
    <col min="11261" max="11261" width="32.5546875" style="1" customWidth="1"/>
    <col min="11262" max="11262" width="16.88671875" style="1" customWidth="1"/>
    <col min="11263" max="11263" width="16.33203125" style="1" customWidth="1"/>
    <col min="11264" max="11494" width="10.33203125" style="1"/>
    <col min="11495" max="11495" width="4.44140625" style="1" customWidth="1"/>
    <col min="11496" max="11496" width="21.6640625" style="1" customWidth="1"/>
    <col min="11497" max="11497" width="15" style="1" customWidth="1"/>
    <col min="11498" max="11498" width="15.44140625" style="1" customWidth="1"/>
    <col min="11499" max="11499" width="11.5546875" style="1" customWidth="1"/>
    <col min="11500" max="11500" width="7.44140625" style="1" customWidth="1"/>
    <col min="11501" max="11501" width="14.109375" style="1" customWidth="1"/>
    <col min="11502" max="11502" width="10.6640625" style="1" customWidth="1"/>
    <col min="11503" max="11503" width="13.44140625" style="1" customWidth="1"/>
    <col min="11504" max="11504" width="11.44140625" style="1" customWidth="1"/>
    <col min="11505" max="11505" width="15" style="1" customWidth="1"/>
    <col min="11506" max="11506" width="14.5546875" style="1" customWidth="1"/>
    <col min="11507" max="11507" width="10.33203125" style="1"/>
    <col min="11508" max="11508" width="7.44140625" style="1" customWidth="1"/>
    <col min="11509" max="11509" width="12.88671875" style="1" customWidth="1"/>
    <col min="11510" max="11510" width="11.109375" style="1" customWidth="1"/>
    <col min="11511" max="11511" width="14" style="1" customWidth="1"/>
    <col min="11512" max="11512" width="33" style="1" customWidth="1"/>
    <col min="11513" max="11513" width="6.6640625" style="1" customWidth="1"/>
    <col min="11514" max="11514" width="19" style="1" customWidth="1"/>
    <col min="11515" max="11515" width="19.109375" style="1" customWidth="1"/>
    <col min="11516" max="11516" width="21.33203125" style="1" customWidth="1"/>
    <col min="11517" max="11517" width="32.5546875" style="1" customWidth="1"/>
    <col min="11518" max="11518" width="16.88671875" style="1" customWidth="1"/>
    <col min="11519" max="11519" width="16.33203125" style="1" customWidth="1"/>
    <col min="11520" max="11750" width="10.33203125" style="1"/>
    <col min="11751" max="11751" width="4.44140625" style="1" customWidth="1"/>
    <col min="11752" max="11752" width="21.6640625" style="1" customWidth="1"/>
    <col min="11753" max="11753" width="15" style="1" customWidth="1"/>
    <col min="11754" max="11754" width="15.44140625" style="1" customWidth="1"/>
    <col min="11755" max="11755" width="11.5546875" style="1" customWidth="1"/>
    <col min="11756" max="11756" width="7.44140625" style="1" customWidth="1"/>
    <col min="11757" max="11757" width="14.109375" style="1" customWidth="1"/>
    <col min="11758" max="11758" width="10.6640625" style="1" customWidth="1"/>
    <col min="11759" max="11759" width="13.44140625" style="1" customWidth="1"/>
    <col min="11760" max="11760" width="11.44140625" style="1" customWidth="1"/>
    <col min="11761" max="11761" width="15" style="1" customWidth="1"/>
    <col min="11762" max="11762" width="14.5546875" style="1" customWidth="1"/>
    <col min="11763" max="11763" width="10.33203125" style="1"/>
    <col min="11764" max="11764" width="7.44140625" style="1" customWidth="1"/>
    <col min="11765" max="11765" width="12.88671875" style="1" customWidth="1"/>
    <col min="11766" max="11766" width="11.109375" style="1" customWidth="1"/>
    <col min="11767" max="11767" width="14" style="1" customWidth="1"/>
    <col min="11768" max="11768" width="33" style="1" customWidth="1"/>
    <col min="11769" max="11769" width="6.6640625" style="1" customWidth="1"/>
    <col min="11770" max="11770" width="19" style="1" customWidth="1"/>
    <col min="11771" max="11771" width="19.109375" style="1" customWidth="1"/>
    <col min="11772" max="11772" width="21.33203125" style="1" customWidth="1"/>
    <col min="11773" max="11773" width="32.5546875" style="1" customWidth="1"/>
    <col min="11774" max="11774" width="16.88671875" style="1" customWidth="1"/>
    <col min="11775" max="11775" width="16.33203125" style="1" customWidth="1"/>
    <col min="11776" max="12006" width="10.33203125" style="1"/>
    <col min="12007" max="12007" width="4.44140625" style="1" customWidth="1"/>
    <col min="12008" max="12008" width="21.6640625" style="1" customWidth="1"/>
    <col min="12009" max="12009" width="15" style="1" customWidth="1"/>
    <col min="12010" max="12010" width="15.44140625" style="1" customWidth="1"/>
    <col min="12011" max="12011" width="11.5546875" style="1" customWidth="1"/>
    <col min="12012" max="12012" width="7.44140625" style="1" customWidth="1"/>
    <col min="12013" max="12013" width="14.109375" style="1" customWidth="1"/>
    <col min="12014" max="12014" width="10.6640625" style="1" customWidth="1"/>
    <col min="12015" max="12015" width="13.44140625" style="1" customWidth="1"/>
    <col min="12016" max="12016" width="11.44140625" style="1" customWidth="1"/>
    <col min="12017" max="12017" width="15" style="1" customWidth="1"/>
    <col min="12018" max="12018" width="14.5546875" style="1" customWidth="1"/>
    <col min="12019" max="12019" width="10.33203125" style="1"/>
    <col min="12020" max="12020" width="7.44140625" style="1" customWidth="1"/>
    <col min="12021" max="12021" width="12.88671875" style="1" customWidth="1"/>
    <col min="12022" max="12022" width="11.109375" style="1" customWidth="1"/>
    <col min="12023" max="12023" width="14" style="1" customWidth="1"/>
    <col min="12024" max="12024" width="33" style="1" customWidth="1"/>
    <col min="12025" max="12025" width="6.6640625" style="1" customWidth="1"/>
    <col min="12026" max="12026" width="19" style="1" customWidth="1"/>
    <col min="12027" max="12027" width="19.109375" style="1" customWidth="1"/>
    <col min="12028" max="12028" width="21.33203125" style="1" customWidth="1"/>
    <col min="12029" max="12029" width="32.5546875" style="1" customWidth="1"/>
    <col min="12030" max="12030" width="16.88671875" style="1" customWidth="1"/>
    <col min="12031" max="12031" width="16.33203125" style="1" customWidth="1"/>
    <col min="12032" max="12262" width="10.33203125" style="1"/>
    <col min="12263" max="12263" width="4.44140625" style="1" customWidth="1"/>
    <col min="12264" max="12264" width="21.6640625" style="1" customWidth="1"/>
    <col min="12265" max="12265" width="15" style="1" customWidth="1"/>
    <col min="12266" max="12266" width="15.44140625" style="1" customWidth="1"/>
    <col min="12267" max="12267" width="11.5546875" style="1" customWidth="1"/>
    <col min="12268" max="12268" width="7.44140625" style="1" customWidth="1"/>
    <col min="12269" max="12269" width="14.109375" style="1" customWidth="1"/>
    <col min="12270" max="12270" width="10.6640625" style="1" customWidth="1"/>
    <col min="12271" max="12271" width="13.44140625" style="1" customWidth="1"/>
    <col min="12272" max="12272" width="11.44140625" style="1" customWidth="1"/>
    <col min="12273" max="12273" width="15" style="1" customWidth="1"/>
    <col min="12274" max="12274" width="14.5546875" style="1" customWidth="1"/>
    <col min="12275" max="12275" width="10.33203125" style="1"/>
    <col min="12276" max="12276" width="7.44140625" style="1" customWidth="1"/>
    <col min="12277" max="12277" width="12.88671875" style="1" customWidth="1"/>
    <col min="12278" max="12278" width="11.109375" style="1" customWidth="1"/>
    <col min="12279" max="12279" width="14" style="1" customWidth="1"/>
    <col min="12280" max="12280" width="33" style="1" customWidth="1"/>
    <col min="12281" max="12281" width="6.6640625" style="1" customWidth="1"/>
    <col min="12282" max="12282" width="19" style="1" customWidth="1"/>
    <col min="12283" max="12283" width="19.109375" style="1" customWidth="1"/>
    <col min="12284" max="12284" width="21.33203125" style="1" customWidth="1"/>
    <col min="12285" max="12285" width="32.5546875" style="1" customWidth="1"/>
    <col min="12286" max="12286" width="16.88671875" style="1" customWidth="1"/>
    <col min="12287" max="12287" width="16.33203125" style="1" customWidth="1"/>
    <col min="12288" max="12518" width="10.33203125" style="1"/>
    <col min="12519" max="12519" width="4.44140625" style="1" customWidth="1"/>
    <col min="12520" max="12520" width="21.6640625" style="1" customWidth="1"/>
    <col min="12521" max="12521" width="15" style="1" customWidth="1"/>
    <col min="12522" max="12522" width="15.44140625" style="1" customWidth="1"/>
    <col min="12523" max="12523" width="11.5546875" style="1" customWidth="1"/>
    <col min="12524" max="12524" width="7.44140625" style="1" customWidth="1"/>
    <col min="12525" max="12525" width="14.109375" style="1" customWidth="1"/>
    <col min="12526" max="12526" width="10.6640625" style="1" customWidth="1"/>
    <col min="12527" max="12527" width="13.44140625" style="1" customWidth="1"/>
    <col min="12528" max="12528" width="11.44140625" style="1" customWidth="1"/>
    <col min="12529" max="12529" width="15" style="1" customWidth="1"/>
    <col min="12530" max="12530" width="14.5546875" style="1" customWidth="1"/>
    <col min="12531" max="12531" width="10.33203125" style="1"/>
    <col min="12532" max="12532" width="7.44140625" style="1" customWidth="1"/>
    <col min="12533" max="12533" width="12.88671875" style="1" customWidth="1"/>
    <col min="12534" max="12534" width="11.109375" style="1" customWidth="1"/>
    <col min="12535" max="12535" width="14" style="1" customWidth="1"/>
    <col min="12536" max="12536" width="33" style="1" customWidth="1"/>
    <col min="12537" max="12537" width="6.6640625" style="1" customWidth="1"/>
    <col min="12538" max="12538" width="19" style="1" customWidth="1"/>
    <col min="12539" max="12539" width="19.109375" style="1" customWidth="1"/>
    <col min="12540" max="12540" width="21.33203125" style="1" customWidth="1"/>
    <col min="12541" max="12541" width="32.5546875" style="1" customWidth="1"/>
    <col min="12542" max="12542" width="16.88671875" style="1" customWidth="1"/>
    <col min="12543" max="12543" width="16.33203125" style="1" customWidth="1"/>
    <col min="12544" max="12774" width="10.33203125" style="1"/>
    <col min="12775" max="12775" width="4.44140625" style="1" customWidth="1"/>
    <col min="12776" max="12776" width="21.6640625" style="1" customWidth="1"/>
    <col min="12777" max="12777" width="15" style="1" customWidth="1"/>
    <col min="12778" max="12778" width="15.44140625" style="1" customWidth="1"/>
    <col min="12779" max="12779" width="11.5546875" style="1" customWidth="1"/>
    <col min="12780" max="12780" width="7.44140625" style="1" customWidth="1"/>
    <col min="12781" max="12781" width="14.109375" style="1" customWidth="1"/>
    <col min="12782" max="12782" width="10.6640625" style="1" customWidth="1"/>
    <col min="12783" max="12783" width="13.44140625" style="1" customWidth="1"/>
    <col min="12784" max="12784" width="11.44140625" style="1" customWidth="1"/>
    <col min="12785" max="12785" width="15" style="1" customWidth="1"/>
    <col min="12786" max="12786" width="14.5546875" style="1" customWidth="1"/>
    <col min="12787" max="12787" width="10.33203125" style="1"/>
    <col min="12788" max="12788" width="7.44140625" style="1" customWidth="1"/>
    <col min="12789" max="12789" width="12.88671875" style="1" customWidth="1"/>
    <col min="12790" max="12790" width="11.109375" style="1" customWidth="1"/>
    <col min="12791" max="12791" width="14" style="1" customWidth="1"/>
    <col min="12792" max="12792" width="33" style="1" customWidth="1"/>
    <col min="12793" max="12793" width="6.6640625" style="1" customWidth="1"/>
    <col min="12794" max="12794" width="19" style="1" customWidth="1"/>
    <col min="12795" max="12795" width="19.109375" style="1" customWidth="1"/>
    <col min="12796" max="12796" width="21.33203125" style="1" customWidth="1"/>
    <col min="12797" max="12797" width="32.5546875" style="1" customWidth="1"/>
    <col min="12798" max="12798" width="16.88671875" style="1" customWidth="1"/>
    <col min="12799" max="12799" width="16.33203125" style="1" customWidth="1"/>
    <col min="12800" max="13030" width="10.33203125" style="1"/>
    <col min="13031" max="13031" width="4.44140625" style="1" customWidth="1"/>
    <col min="13032" max="13032" width="21.6640625" style="1" customWidth="1"/>
    <col min="13033" max="13033" width="15" style="1" customWidth="1"/>
    <col min="13034" max="13034" width="15.44140625" style="1" customWidth="1"/>
    <col min="13035" max="13035" width="11.5546875" style="1" customWidth="1"/>
    <col min="13036" max="13036" width="7.44140625" style="1" customWidth="1"/>
    <col min="13037" max="13037" width="14.109375" style="1" customWidth="1"/>
    <col min="13038" max="13038" width="10.6640625" style="1" customWidth="1"/>
    <col min="13039" max="13039" width="13.44140625" style="1" customWidth="1"/>
    <col min="13040" max="13040" width="11.44140625" style="1" customWidth="1"/>
    <col min="13041" max="13041" width="15" style="1" customWidth="1"/>
    <col min="13042" max="13042" width="14.5546875" style="1" customWidth="1"/>
    <col min="13043" max="13043" width="10.33203125" style="1"/>
    <col min="13044" max="13044" width="7.44140625" style="1" customWidth="1"/>
    <col min="13045" max="13045" width="12.88671875" style="1" customWidth="1"/>
    <col min="13046" max="13046" width="11.109375" style="1" customWidth="1"/>
    <col min="13047" max="13047" width="14" style="1" customWidth="1"/>
    <col min="13048" max="13048" width="33" style="1" customWidth="1"/>
    <col min="13049" max="13049" width="6.6640625" style="1" customWidth="1"/>
    <col min="13050" max="13050" width="19" style="1" customWidth="1"/>
    <col min="13051" max="13051" width="19.109375" style="1" customWidth="1"/>
    <col min="13052" max="13052" width="21.33203125" style="1" customWidth="1"/>
    <col min="13053" max="13053" width="32.5546875" style="1" customWidth="1"/>
    <col min="13054" max="13054" width="16.88671875" style="1" customWidth="1"/>
    <col min="13055" max="13055" width="16.33203125" style="1" customWidth="1"/>
    <col min="13056" max="13286" width="10.33203125" style="1"/>
    <col min="13287" max="13287" width="4.44140625" style="1" customWidth="1"/>
    <col min="13288" max="13288" width="21.6640625" style="1" customWidth="1"/>
    <col min="13289" max="13289" width="15" style="1" customWidth="1"/>
    <col min="13290" max="13290" width="15.44140625" style="1" customWidth="1"/>
    <col min="13291" max="13291" width="11.5546875" style="1" customWidth="1"/>
    <col min="13292" max="13292" width="7.44140625" style="1" customWidth="1"/>
    <col min="13293" max="13293" width="14.109375" style="1" customWidth="1"/>
    <col min="13294" max="13294" width="10.6640625" style="1" customWidth="1"/>
    <col min="13295" max="13295" width="13.44140625" style="1" customWidth="1"/>
    <col min="13296" max="13296" width="11.44140625" style="1" customWidth="1"/>
    <col min="13297" max="13297" width="15" style="1" customWidth="1"/>
    <col min="13298" max="13298" width="14.5546875" style="1" customWidth="1"/>
    <col min="13299" max="13299" width="10.33203125" style="1"/>
    <col min="13300" max="13300" width="7.44140625" style="1" customWidth="1"/>
    <col min="13301" max="13301" width="12.88671875" style="1" customWidth="1"/>
    <col min="13302" max="13302" width="11.109375" style="1" customWidth="1"/>
    <col min="13303" max="13303" width="14" style="1" customWidth="1"/>
    <col min="13304" max="13304" width="33" style="1" customWidth="1"/>
    <col min="13305" max="13305" width="6.6640625" style="1" customWidth="1"/>
    <col min="13306" max="13306" width="19" style="1" customWidth="1"/>
    <col min="13307" max="13307" width="19.109375" style="1" customWidth="1"/>
    <col min="13308" max="13308" width="21.33203125" style="1" customWidth="1"/>
    <col min="13309" max="13309" width="32.5546875" style="1" customWidth="1"/>
    <col min="13310" max="13310" width="16.88671875" style="1" customWidth="1"/>
    <col min="13311" max="13311" width="16.33203125" style="1" customWidth="1"/>
    <col min="13312" max="13542" width="10.33203125" style="1"/>
    <col min="13543" max="13543" width="4.44140625" style="1" customWidth="1"/>
    <col min="13544" max="13544" width="21.6640625" style="1" customWidth="1"/>
    <col min="13545" max="13545" width="15" style="1" customWidth="1"/>
    <col min="13546" max="13546" width="15.44140625" style="1" customWidth="1"/>
    <col min="13547" max="13547" width="11.5546875" style="1" customWidth="1"/>
    <col min="13548" max="13548" width="7.44140625" style="1" customWidth="1"/>
    <col min="13549" max="13549" width="14.109375" style="1" customWidth="1"/>
    <col min="13550" max="13550" width="10.6640625" style="1" customWidth="1"/>
    <col min="13551" max="13551" width="13.44140625" style="1" customWidth="1"/>
    <col min="13552" max="13552" width="11.44140625" style="1" customWidth="1"/>
    <col min="13553" max="13553" width="15" style="1" customWidth="1"/>
    <col min="13554" max="13554" width="14.5546875" style="1" customWidth="1"/>
    <col min="13555" max="13555" width="10.33203125" style="1"/>
    <col min="13556" max="13556" width="7.44140625" style="1" customWidth="1"/>
    <col min="13557" max="13557" width="12.88671875" style="1" customWidth="1"/>
    <col min="13558" max="13558" width="11.109375" style="1" customWidth="1"/>
    <col min="13559" max="13559" width="14" style="1" customWidth="1"/>
    <col min="13560" max="13560" width="33" style="1" customWidth="1"/>
    <col min="13561" max="13561" width="6.6640625" style="1" customWidth="1"/>
    <col min="13562" max="13562" width="19" style="1" customWidth="1"/>
    <col min="13563" max="13563" width="19.109375" style="1" customWidth="1"/>
    <col min="13564" max="13564" width="21.33203125" style="1" customWidth="1"/>
    <col min="13565" max="13565" width="32.5546875" style="1" customWidth="1"/>
    <col min="13566" max="13566" width="16.88671875" style="1" customWidth="1"/>
    <col min="13567" max="13567" width="16.33203125" style="1" customWidth="1"/>
    <col min="13568" max="13798" width="10.33203125" style="1"/>
    <col min="13799" max="13799" width="4.44140625" style="1" customWidth="1"/>
    <col min="13800" max="13800" width="21.6640625" style="1" customWidth="1"/>
    <col min="13801" max="13801" width="15" style="1" customWidth="1"/>
    <col min="13802" max="13802" width="15.44140625" style="1" customWidth="1"/>
    <col min="13803" max="13803" width="11.5546875" style="1" customWidth="1"/>
    <col min="13804" max="13804" width="7.44140625" style="1" customWidth="1"/>
    <col min="13805" max="13805" width="14.109375" style="1" customWidth="1"/>
    <col min="13806" max="13806" width="10.6640625" style="1" customWidth="1"/>
    <col min="13807" max="13807" width="13.44140625" style="1" customWidth="1"/>
    <col min="13808" max="13808" width="11.44140625" style="1" customWidth="1"/>
    <col min="13809" max="13809" width="15" style="1" customWidth="1"/>
    <col min="13810" max="13810" width="14.5546875" style="1" customWidth="1"/>
    <col min="13811" max="13811" width="10.33203125" style="1"/>
    <col min="13812" max="13812" width="7.44140625" style="1" customWidth="1"/>
    <col min="13813" max="13813" width="12.88671875" style="1" customWidth="1"/>
    <col min="13814" max="13814" width="11.109375" style="1" customWidth="1"/>
    <col min="13815" max="13815" width="14" style="1" customWidth="1"/>
    <col min="13816" max="13816" width="33" style="1" customWidth="1"/>
    <col min="13817" max="13817" width="6.6640625" style="1" customWidth="1"/>
    <col min="13818" max="13818" width="19" style="1" customWidth="1"/>
    <col min="13819" max="13819" width="19.109375" style="1" customWidth="1"/>
    <col min="13820" max="13820" width="21.33203125" style="1" customWidth="1"/>
    <col min="13821" max="13821" width="32.5546875" style="1" customWidth="1"/>
    <col min="13822" max="13822" width="16.88671875" style="1" customWidth="1"/>
    <col min="13823" max="13823" width="16.33203125" style="1" customWidth="1"/>
    <col min="13824" max="14054" width="10.33203125" style="1"/>
    <col min="14055" max="14055" width="4.44140625" style="1" customWidth="1"/>
    <col min="14056" max="14056" width="21.6640625" style="1" customWidth="1"/>
    <col min="14057" max="14057" width="15" style="1" customWidth="1"/>
    <col min="14058" max="14058" width="15.44140625" style="1" customWidth="1"/>
    <col min="14059" max="14059" width="11.5546875" style="1" customWidth="1"/>
    <col min="14060" max="14060" width="7.44140625" style="1" customWidth="1"/>
    <col min="14061" max="14061" width="14.109375" style="1" customWidth="1"/>
    <col min="14062" max="14062" width="10.6640625" style="1" customWidth="1"/>
    <col min="14063" max="14063" width="13.44140625" style="1" customWidth="1"/>
    <col min="14064" max="14064" width="11.44140625" style="1" customWidth="1"/>
    <col min="14065" max="14065" width="15" style="1" customWidth="1"/>
    <col min="14066" max="14066" width="14.5546875" style="1" customWidth="1"/>
    <col min="14067" max="14067" width="10.33203125" style="1"/>
    <col min="14068" max="14068" width="7.44140625" style="1" customWidth="1"/>
    <col min="14069" max="14069" width="12.88671875" style="1" customWidth="1"/>
    <col min="14070" max="14070" width="11.109375" style="1" customWidth="1"/>
    <col min="14071" max="14071" width="14" style="1" customWidth="1"/>
    <col min="14072" max="14072" width="33" style="1" customWidth="1"/>
    <col min="14073" max="14073" width="6.6640625" style="1" customWidth="1"/>
    <col min="14074" max="14074" width="19" style="1" customWidth="1"/>
    <col min="14075" max="14075" width="19.109375" style="1" customWidth="1"/>
    <col min="14076" max="14076" width="21.33203125" style="1" customWidth="1"/>
    <col min="14077" max="14077" width="32.5546875" style="1" customWidth="1"/>
    <col min="14078" max="14078" width="16.88671875" style="1" customWidth="1"/>
    <col min="14079" max="14079" width="16.33203125" style="1" customWidth="1"/>
    <col min="14080" max="14310" width="10.33203125" style="1"/>
    <col min="14311" max="14311" width="4.44140625" style="1" customWidth="1"/>
    <col min="14312" max="14312" width="21.6640625" style="1" customWidth="1"/>
    <col min="14313" max="14313" width="15" style="1" customWidth="1"/>
    <col min="14314" max="14314" width="15.44140625" style="1" customWidth="1"/>
    <col min="14315" max="14315" width="11.5546875" style="1" customWidth="1"/>
    <col min="14316" max="14316" width="7.44140625" style="1" customWidth="1"/>
    <col min="14317" max="14317" width="14.109375" style="1" customWidth="1"/>
    <col min="14318" max="14318" width="10.6640625" style="1" customWidth="1"/>
    <col min="14319" max="14319" width="13.44140625" style="1" customWidth="1"/>
    <col min="14320" max="14320" width="11.44140625" style="1" customWidth="1"/>
    <col min="14321" max="14321" width="15" style="1" customWidth="1"/>
    <col min="14322" max="14322" width="14.5546875" style="1" customWidth="1"/>
    <col min="14323" max="14323" width="10.33203125" style="1"/>
    <col min="14324" max="14324" width="7.44140625" style="1" customWidth="1"/>
    <col min="14325" max="14325" width="12.88671875" style="1" customWidth="1"/>
    <col min="14326" max="14326" width="11.109375" style="1" customWidth="1"/>
    <col min="14327" max="14327" width="14" style="1" customWidth="1"/>
    <col min="14328" max="14328" width="33" style="1" customWidth="1"/>
    <col min="14329" max="14329" width="6.6640625" style="1" customWidth="1"/>
    <col min="14330" max="14330" width="19" style="1" customWidth="1"/>
    <col min="14331" max="14331" width="19.109375" style="1" customWidth="1"/>
    <col min="14332" max="14332" width="21.33203125" style="1" customWidth="1"/>
    <col min="14333" max="14333" width="32.5546875" style="1" customWidth="1"/>
    <col min="14334" max="14334" width="16.88671875" style="1" customWidth="1"/>
    <col min="14335" max="14335" width="16.33203125" style="1" customWidth="1"/>
    <col min="14336" max="14566" width="10.33203125" style="1"/>
    <col min="14567" max="14567" width="4.44140625" style="1" customWidth="1"/>
    <col min="14568" max="14568" width="21.6640625" style="1" customWidth="1"/>
    <col min="14569" max="14569" width="15" style="1" customWidth="1"/>
    <col min="14570" max="14570" width="15.44140625" style="1" customWidth="1"/>
    <col min="14571" max="14571" width="11.5546875" style="1" customWidth="1"/>
    <col min="14572" max="14572" width="7.44140625" style="1" customWidth="1"/>
    <col min="14573" max="14573" width="14.109375" style="1" customWidth="1"/>
    <col min="14574" max="14574" width="10.6640625" style="1" customWidth="1"/>
    <col min="14575" max="14575" width="13.44140625" style="1" customWidth="1"/>
    <col min="14576" max="14576" width="11.44140625" style="1" customWidth="1"/>
    <col min="14577" max="14577" width="15" style="1" customWidth="1"/>
    <col min="14578" max="14578" width="14.5546875" style="1" customWidth="1"/>
    <col min="14579" max="14579" width="10.33203125" style="1"/>
    <col min="14580" max="14580" width="7.44140625" style="1" customWidth="1"/>
    <col min="14581" max="14581" width="12.88671875" style="1" customWidth="1"/>
    <col min="14582" max="14582" width="11.109375" style="1" customWidth="1"/>
    <col min="14583" max="14583" width="14" style="1" customWidth="1"/>
    <col min="14584" max="14584" width="33" style="1" customWidth="1"/>
    <col min="14585" max="14585" width="6.6640625" style="1" customWidth="1"/>
    <col min="14586" max="14586" width="19" style="1" customWidth="1"/>
    <col min="14587" max="14587" width="19.109375" style="1" customWidth="1"/>
    <col min="14588" max="14588" width="21.33203125" style="1" customWidth="1"/>
    <col min="14589" max="14589" width="32.5546875" style="1" customWidth="1"/>
    <col min="14590" max="14590" width="16.88671875" style="1" customWidth="1"/>
    <col min="14591" max="14591" width="16.33203125" style="1" customWidth="1"/>
    <col min="14592" max="14822" width="10.33203125" style="1"/>
    <col min="14823" max="14823" width="4.44140625" style="1" customWidth="1"/>
    <col min="14824" max="14824" width="21.6640625" style="1" customWidth="1"/>
    <col min="14825" max="14825" width="15" style="1" customWidth="1"/>
    <col min="14826" max="14826" width="15.44140625" style="1" customWidth="1"/>
    <col min="14827" max="14827" width="11.5546875" style="1" customWidth="1"/>
    <col min="14828" max="14828" width="7.44140625" style="1" customWidth="1"/>
    <col min="14829" max="14829" width="14.109375" style="1" customWidth="1"/>
    <col min="14830" max="14830" width="10.6640625" style="1" customWidth="1"/>
    <col min="14831" max="14831" width="13.44140625" style="1" customWidth="1"/>
    <col min="14832" max="14832" width="11.44140625" style="1" customWidth="1"/>
    <col min="14833" max="14833" width="15" style="1" customWidth="1"/>
    <col min="14834" max="14834" width="14.5546875" style="1" customWidth="1"/>
    <col min="14835" max="14835" width="10.33203125" style="1"/>
    <col min="14836" max="14836" width="7.44140625" style="1" customWidth="1"/>
    <col min="14837" max="14837" width="12.88671875" style="1" customWidth="1"/>
    <col min="14838" max="14838" width="11.109375" style="1" customWidth="1"/>
    <col min="14839" max="14839" width="14" style="1" customWidth="1"/>
    <col min="14840" max="14840" width="33" style="1" customWidth="1"/>
    <col min="14841" max="14841" width="6.6640625" style="1" customWidth="1"/>
    <col min="14842" max="14842" width="19" style="1" customWidth="1"/>
    <col min="14843" max="14843" width="19.109375" style="1" customWidth="1"/>
    <col min="14844" max="14844" width="21.33203125" style="1" customWidth="1"/>
    <col min="14845" max="14845" width="32.5546875" style="1" customWidth="1"/>
    <col min="14846" max="14846" width="16.88671875" style="1" customWidth="1"/>
    <col min="14847" max="14847" width="16.33203125" style="1" customWidth="1"/>
    <col min="14848" max="15078" width="10.33203125" style="1"/>
    <col min="15079" max="15079" width="4.44140625" style="1" customWidth="1"/>
    <col min="15080" max="15080" width="21.6640625" style="1" customWidth="1"/>
    <col min="15081" max="15081" width="15" style="1" customWidth="1"/>
    <col min="15082" max="15082" width="15.44140625" style="1" customWidth="1"/>
    <col min="15083" max="15083" width="11.5546875" style="1" customWidth="1"/>
    <col min="15084" max="15084" width="7.44140625" style="1" customWidth="1"/>
    <col min="15085" max="15085" width="14.109375" style="1" customWidth="1"/>
    <col min="15086" max="15086" width="10.6640625" style="1" customWidth="1"/>
    <col min="15087" max="15087" width="13.44140625" style="1" customWidth="1"/>
    <col min="15088" max="15088" width="11.44140625" style="1" customWidth="1"/>
    <col min="15089" max="15089" width="15" style="1" customWidth="1"/>
    <col min="15090" max="15090" width="14.5546875" style="1" customWidth="1"/>
    <col min="15091" max="15091" width="10.33203125" style="1"/>
    <col min="15092" max="15092" width="7.44140625" style="1" customWidth="1"/>
    <col min="15093" max="15093" width="12.88671875" style="1" customWidth="1"/>
    <col min="15094" max="15094" width="11.109375" style="1" customWidth="1"/>
    <col min="15095" max="15095" width="14" style="1" customWidth="1"/>
    <col min="15096" max="15096" width="33" style="1" customWidth="1"/>
    <col min="15097" max="15097" width="6.6640625" style="1" customWidth="1"/>
    <col min="15098" max="15098" width="19" style="1" customWidth="1"/>
    <col min="15099" max="15099" width="19.109375" style="1" customWidth="1"/>
    <col min="15100" max="15100" width="21.33203125" style="1" customWidth="1"/>
    <col min="15101" max="15101" width="32.5546875" style="1" customWidth="1"/>
    <col min="15102" max="15102" width="16.88671875" style="1" customWidth="1"/>
    <col min="15103" max="15103" width="16.33203125" style="1" customWidth="1"/>
    <col min="15104" max="15334" width="10.33203125" style="1"/>
    <col min="15335" max="15335" width="4.44140625" style="1" customWidth="1"/>
    <col min="15336" max="15336" width="21.6640625" style="1" customWidth="1"/>
    <col min="15337" max="15337" width="15" style="1" customWidth="1"/>
    <col min="15338" max="15338" width="15.44140625" style="1" customWidth="1"/>
    <col min="15339" max="15339" width="11.5546875" style="1" customWidth="1"/>
    <col min="15340" max="15340" width="7.44140625" style="1" customWidth="1"/>
    <col min="15341" max="15341" width="14.109375" style="1" customWidth="1"/>
    <col min="15342" max="15342" width="10.6640625" style="1" customWidth="1"/>
    <col min="15343" max="15343" width="13.44140625" style="1" customWidth="1"/>
    <col min="15344" max="15344" width="11.44140625" style="1" customWidth="1"/>
    <col min="15345" max="15345" width="15" style="1" customWidth="1"/>
    <col min="15346" max="15346" width="14.5546875" style="1" customWidth="1"/>
    <col min="15347" max="15347" width="10.33203125" style="1"/>
    <col min="15348" max="15348" width="7.44140625" style="1" customWidth="1"/>
    <col min="15349" max="15349" width="12.88671875" style="1" customWidth="1"/>
    <col min="15350" max="15350" width="11.109375" style="1" customWidth="1"/>
    <col min="15351" max="15351" width="14" style="1" customWidth="1"/>
    <col min="15352" max="15352" width="33" style="1" customWidth="1"/>
    <col min="15353" max="15353" width="6.6640625" style="1" customWidth="1"/>
    <col min="15354" max="15354" width="19" style="1" customWidth="1"/>
    <col min="15355" max="15355" width="19.109375" style="1" customWidth="1"/>
    <col min="15356" max="15356" width="21.33203125" style="1" customWidth="1"/>
    <col min="15357" max="15357" width="32.5546875" style="1" customWidth="1"/>
    <col min="15358" max="15358" width="16.88671875" style="1" customWidth="1"/>
    <col min="15359" max="15359" width="16.33203125" style="1" customWidth="1"/>
    <col min="15360" max="15590" width="10.33203125" style="1"/>
    <col min="15591" max="15591" width="4.44140625" style="1" customWidth="1"/>
    <col min="15592" max="15592" width="21.6640625" style="1" customWidth="1"/>
    <col min="15593" max="15593" width="15" style="1" customWidth="1"/>
    <col min="15594" max="15594" width="15.44140625" style="1" customWidth="1"/>
    <col min="15595" max="15595" width="11.5546875" style="1" customWidth="1"/>
    <col min="15596" max="15596" width="7.44140625" style="1" customWidth="1"/>
    <col min="15597" max="15597" width="14.109375" style="1" customWidth="1"/>
    <col min="15598" max="15598" width="10.6640625" style="1" customWidth="1"/>
    <col min="15599" max="15599" width="13.44140625" style="1" customWidth="1"/>
    <col min="15600" max="15600" width="11.44140625" style="1" customWidth="1"/>
    <col min="15601" max="15601" width="15" style="1" customWidth="1"/>
    <col min="15602" max="15602" width="14.5546875" style="1" customWidth="1"/>
    <col min="15603" max="15603" width="10.33203125" style="1"/>
    <col min="15604" max="15604" width="7.44140625" style="1" customWidth="1"/>
    <col min="15605" max="15605" width="12.88671875" style="1" customWidth="1"/>
    <col min="15606" max="15606" width="11.109375" style="1" customWidth="1"/>
    <col min="15607" max="15607" width="14" style="1" customWidth="1"/>
    <col min="15608" max="15608" width="33" style="1" customWidth="1"/>
    <col min="15609" max="15609" width="6.6640625" style="1" customWidth="1"/>
    <col min="15610" max="15610" width="19" style="1" customWidth="1"/>
    <col min="15611" max="15611" width="19.109375" style="1" customWidth="1"/>
    <col min="15612" max="15612" width="21.33203125" style="1" customWidth="1"/>
    <col min="15613" max="15613" width="32.5546875" style="1" customWidth="1"/>
    <col min="15614" max="15614" width="16.88671875" style="1" customWidth="1"/>
    <col min="15615" max="15615" width="16.33203125" style="1" customWidth="1"/>
    <col min="15616" max="15846" width="10.33203125" style="1"/>
    <col min="15847" max="15847" width="4.44140625" style="1" customWidth="1"/>
    <col min="15848" max="15848" width="21.6640625" style="1" customWidth="1"/>
    <col min="15849" max="15849" width="15" style="1" customWidth="1"/>
    <col min="15850" max="15850" width="15.44140625" style="1" customWidth="1"/>
    <col min="15851" max="15851" width="11.5546875" style="1" customWidth="1"/>
    <col min="15852" max="15852" width="7.44140625" style="1" customWidth="1"/>
    <col min="15853" max="15853" width="14.109375" style="1" customWidth="1"/>
    <col min="15854" max="15854" width="10.6640625" style="1" customWidth="1"/>
    <col min="15855" max="15855" width="13.44140625" style="1" customWidth="1"/>
    <col min="15856" max="15856" width="11.44140625" style="1" customWidth="1"/>
    <col min="15857" max="15857" width="15" style="1" customWidth="1"/>
    <col min="15858" max="15858" width="14.5546875" style="1" customWidth="1"/>
    <col min="15859" max="15859" width="10.33203125" style="1"/>
    <col min="15860" max="15860" width="7.44140625" style="1" customWidth="1"/>
    <col min="15861" max="15861" width="12.88671875" style="1" customWidth="1"/>
    <col min="15862" max="15862" width="11.109375" style="1" customWidth="1"/>
    <col min="15863" max="15863" width="14" style="1" customWidth="1"/>
    <col min="15864" max="15864" width="33" style="1" customWidth="1"/>
    <col min="15865" max="15865" width="6.6640625" style="1" customWidth="1"/>
    <col min="15866" max="15866" width="19" style="1" customWidth="1"/>
    <col min="15867" max="15867" width="19.109375" style="1" customWidth="1"/>
    <col min="15868" max="15868" width="21.33203125" style="1" customWidth="1"/>
    <col min="15869" max="15869" width="32.5546875" style="1" customWidth="1"/>
    <col min="15870" max="15870" width="16.88671875" style="1" customWidth="1"/>
    <col min="15871" max="15871" width="16.33203125" style="1" customWidth="1"/>
    <col min="15872" max="16102" width="10.33203125" style="1"/>
    <col min="16103" max="16103" width="4.44140625" style="1" customWidth="1"/>
    <col min="16104" max="16104" width="21.6640625" style="1" customWidth="1"/>
    <col min="16105" max="16105" width="15" style="1" customWidth="1"/>
    <col min="16106" max="16106" width="15.44140625" style="1" customWidth="1"/>
    <col min="16107" max="16107" width="11.5546875" style="1" customWidth="1"/>
    <col min="16108" max="16108" width="7.44140625" style="1" customWidth="1"/>
    <col min="16109" max="16109" width="14.109375" style="1" customWidth="1"/>
    <col min="16110" max="16110" width="10.6640625" style="1" customWidth="1"/>
    <col min="16111" max="16111" width="13.44140625" style="1" customWidth="1"/>
    <col min="16112" max="16112" width="11.44140625" style="1" customWidth="1"/>
    <col min="16113" max="16113" width="15" style="1" customWidth="1"/>
    <col min="16114" max="16114" width="14.5546875" style="1" customWidth="1"/>
    <col min="16115" max="16115" width="10.33203125" style="1"/>
    <col min="16116" max="16116" width="7.44140625" style="1" customWidth="1"/>
    <col min="16117" max="16117" width="12.88671875" style="1" customWidth="1"/>
    <col min="16118" max="16118" width="11.109375" style="1" customWidth="1"/>
    <col min="16119" max="16119" width="14" style="1" customWidth="1"/>
    <col min="16120" max="16120" width="33" style="1" customWidth="1"/>
    <col min="16121" max="16121" width="6.6640625" style="1" customWidth="1"/>
    <col min="16122" max="16122" width="19" style="1" customWidth="1"/>
    <col min="16123" max="16123" width="19.109375" style="1" customWidth="1"/>
    <col min="16124" max="16124" width="21.33203125" style="1" customWidth="1"/>
    <col min="16125" max="16125" width="32.5546875" style="1" customWidth="1"/>
    <col min="16126" max="16126" width="16.88671875" style="1" customWidth="1"/>
    <col min="16127" max="16127" width="16.33203125" style="1" customWidth="1"/>
    <col min="16128" max="16384" width="10.33203125" style="1"/>
  </cols>
  <sheetData>
    <row r="1" spans="1:6" ht="25.8" thickTop="1" thickBot="1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300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6" ht="24.6">
      <c r="A5" s="3"/>
      <c r="B5" s="13"/>
      <c r="C5" s="3"/>
      <c r="D5" s="15"/>
      <c r="E5" s="16"/>
      <c r="F5" s="8"/>
    </row>
    <row r="6" spans="1:6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6" ht="24.6" hidden="1">
      <c r="A7" s="29"/>
      <c r="B7" s="45" t="s">
        <v>37</v>
      </c>
      <c r="C7" s="29"/>
      <c r="D7" s="47"/>
      <c r="E7" s="48"/>
      <c r="F7" s="58"/>
    </row>
    <row r="8" spans="1:6" ht="25.2" hidden="1" thickBot="1">
      <c r="A8" s="25">
        <v>1</v>
      </c>
      <c r="B8" s="25"/>
      <c r="C8" s="29"/>
      <c r="D8" s="75"/>
      <c r="E8" s="76"/>
      <c r="F8" s="77"/>
    </row>
    <row r="9" spans="1:6" ht="25.8" hidden="1" thickTop="1" thickBot="1">
      <c r="A9" s="25"/>
      <c r="B9" s="25" t="s">
        <v>26</v>
      </c>
      <c r="C9" s="29"/>
      <c r="D9" s="80"/>
      <c r="E9" s="81"/>
      <c r="F9" s="55"/>
    </row>
    <row r="10" spans="1:6" ht="24.6" hidden="1">
      <c r="A10" s="25"/>
      <c r="B10" s="45" t="s">
        <v>38</v>
      </c>
      <c r="C10" s="29"/>
      <c r="D10" s="47"/>
      <c r="E10" s="48"/>
      <c r="F10" s="58"/>
    </row>
    <row r="11" spans="1:6" ht="25.2" hidden="1" thickBot="1">
      <c r="A11" s="25">
        <v>1</v>
      </c>
      <c r="B11" s="25"/>
      <c r="C11" s="29"/>
      <c r="D11" s="75"/>
      <c r="E11" s="76"/>
      <c r="F11" s="77"/>
    </row>
    <row r="12" spans="1:6" ht="25.2" hidden="1" thickBot="1">
      <c r="A12" s="25"/>
      <c r="B12" s="25" t="s">
        <v>26</v>
      </c>
      <c r="C12" s="29"/>
      <c r="D12" s="65"/>
      <c r="E12" s="66"/>
      <c r="F12" s="67"/>
    </row>
    <row r="13" spans="1:6" ht="24.6">
      <c r="A13" s="29"/>
      <c r="B13" s="45" t="s">
        <v>39</v>
      </c>
      <c r="C13" s="29"/>
      <c r="D13" s="47"/>
      <c r="E13" s="48"/>
      <c r="F13" s="48"/>
    </row>
    <row r="14" spans="1:6" ht="24.6">
      <c r="A14" s="25">
        <v>1</v>
      </c>
      <c r="B14" s="29" t="s">
        <v>277</v>
      </c>
      <c r="C14" s="29"/>
      <c r="D14" s="69">
        <v>25176</v>
      </c>
      <c r="E14" s="84" t="s">
        <v>303</v>
      </c>
      <c r="F14" s="85">
        <v>535</v>
      </c>
    </row>
    <row r="15" spans="1:6" s="96" customFormat="1" ht="24.6">
      <c r="A15" s="86">
        <v>2</v>
      </c>
      <c r="B15" s="87" t="s">
        <v>44</v>
      </c>
      <c r="C15" s="88"/>
      <c r="D15" s="93">
        <v>25202</v>
      </c>
      <c r="E15" s="94" t="s">
        <v>304</v>
      </c>
      <c r="F15" s="95">
        <v>1070</v>
      </c>
    </row>
    <row r="16" spans="1:6" ht="24.6">
      <c r="A16" s="25">
        <v>3</v>
      </c>
      <c r="B16" s="29" t="s">
        <v>46</v>
      </c>
      <c r="C16" s="29"/>
      <c r="D16" s="69">
        <v>25202</v>
      </c>
      <c r="E16" s="70" t="s">
        <v>305</v>
      </c>
      <c r="F16" s="100">
        <v>535</v>
      </c>
    </row>
    <row r="17" spans="1:8" ht="25.2" thickBot="1">
      <c r="A17" s="29"/>
      <c r="B17" s="25" t="s">
        <v>26</v>
      </c>
      <c r="C17" s="29"/>
      <c r="D17" s="67"/>
      <c r="E17" s="67"/>
      <c r="F17" s="104">
        <v>2140</v>
      </c>
      <c r="H17" s="175">
        <f>SUM(F14:F16)</f>
        <v>2140</v>
      </c>
    </row>
    <row r="18" spans="1:8" ht="25.2" hidden="1" thickTop="1">
      <c r="A18" s="29"/>
      <c r="B18" s="45" t="s">
        <v>49</v>
      </c>
      <c r="C18" s="29"/>
      <c r="D18" s="47"/>
      <c r="E18" s="48"/>
      <c r="F18" s="58"/>
    </row>
    <row r="19" spans="1:8" ht="16.5" hidden="1" customHeight="1" thickTop="1">
      <c r="A19" s="25">
        <v>1</v>
      </c>
      <c r="B19" s="25"/>
      <c r="C19" s="29"/>
      <c r="D19" s="75"/>
      <c r="E19" s="76"/>
      <c r="F19" s="77"/>
    </row>
    <row r="20" spans="1:8" ht="25.8" hidden="1" thickTop="1" thickBot="1">
      <c r="A20" s="25"/>
      <c r="B20" s="25" t="s">
        <v>26</v>
      </c>
      <c r="C20" s="29"/>
      <c r="D20" s="80"/>
      <c r="E20" s="81"/>
      <c r="F20" s="55"/>
    </row>
    <row r="21" spans="1:8" ht="25.2" hidden="1" thickTop="1">
      <c r="A21" s="25"/>
      <c r="B21" s="45" t="s">
        <v>50</v>
      </c>
      <c r="C21" s="29"/>
      <c r="D21" s="47"/>
      <c r="E21" s="48"/>
      <c r="F21" s="58"/>
    </row>
    <row r="22" spans="1:8" ht="25.8" hidden="1" thickTop="1" thickBot="1">
      <c r="A22" s="25"/>
      <c r="B22" s="25"/>
      <c r="C22" s="29"/>
      <c r="D22" s="75"/>
      <c r="E22" s="76"/>
      <c r="F22" s="77"/>
    </row>
    <row r="23" spans="1:8" ht="25.2" hidden="1" thickTop="1">
      <c r="A23" s="25"/>
      <c r="B23" s="25" t="s">
        <v>26</v>
      </c>
      <c r="C23" s="29"/>
      <c r="D23" s="112"/>
      <c r="E23" s="113"/>
      <c r="F23" s="114"/>
    </row>
    <row r="24" spans="1:8" ht="25.2" hidden="1" thickTop="1">
      <c r="A24" s="25"/>
      <c r="B24" s="45" t="s">
        <v>51</v>
      </c>
      <c r="C24" s="29"/>
      <c r="D24" s="60"/>
      <c r="E24" s="61"/>
      <c r="F24" s="62"/>
    </row>
    <row r="25" spans="1:8" ht="25.8" hidden="1" thickTop="1" thickBot="1">
      <c r="A25" s="25">
        <v>1</v>
      </c>
      <c r="B25" s="25"/>
      <c r="C25" s="29"/>
      <c r="D25" s="75"/>
      <c r="E25" s="76"/>
      <c r="F25" s="77"/>
    </row>
    <row r="26" spans="1:8" ht="25.8" hidden="1" thickTop="1" thickBot="1">
      <c r="A26" s="25"/>
      <c r="B26" s="25" t="s">
        <v>26</v>
      </c>
      <c r="C26" s="29"/>
      <c r="D26" s="65"/>
      <c r="E26" s="66"/>
      <c r="F26" s="67"/>
    </row>
    <row r="27" spans="1:8" ht="25.2" thickTop="1">
      <c r="A27" s="29"/>
      <c r="B27" s="45" t="s">
        <v>52</v>
      </c>
      <c r="C27" s="29"/>
      <c r="D27" s="47"/>
      <c r="E27" s="48"/>
      <c r="F27" s="58"/>
    </row>
    <row r="28" spans="1:8" ht="24.6">
      <c r="A28" s="25">
        <v>1</v>
      </c>
      <c r="B28" s="29" t="s">
        <v>65</v>
      </c>
      <c r="C28" s="25">
        <v>267</v>
      </c>
      <c r="D28" s="69">
        <v>25180</v>
      </c>
      <c r="E28" s="70" t="s">
        <v>306</v>
      </c>
      <c r="F28" s="83">
        <v>1215</v>
      </c>
    </row>
    <row r="29" spans="1:8" ht="24.6">
      <c r="A29" s="25">
        <v>2</v>
      </c>
      <c r="B29" s="29" t="s">
        <v>70</v>
      </c>
      <c r="C29" s="25" t="s">
        <v>71</v>
      </c>
      <c r="D29" s="69">
        <v>25181</v>
      </c>
      <c r="E29" s="70" t="s">
        <v>307</v>
      </c>
      <c r="F29" s="83">
        <v>2430</v>
      </c>
    </row>
    <row r="30" spans="1:8" ht="24.6">
      <c r="A30" s="25">
        <v>3</v>
      </c>
      <c r="B30" s="29" t="s">
        <v>73</v>
      </c>
      <c r="C30" s="120">
        <v>84282</v>
      </c>
      <c r="D30" s="69">
        <v>25198</v>
      </c>
      <c r="E30" s="70" t="s">
        <v>308</v>
      </c>
      <c r="F30" s="83">
        <v>2430</v>
      </c>
    </row>
    <row r="31" spans="1:8" ht="24.6">
      <c r="A31" s="25">
        <v>4</v>
      </c>
      <c r="B31" s="29" t="s">
        <v>78</v>
      </c>
      <c r="C31" s="25" t="s">
        <v>79</v>
      </c>
      <c r="D31" s="69">
        <v>25181</v>
      </c>
      <c r="E31" s="70" t="s">
        <v>309</v>
      </c>
      <c r="F31" s="83">
        <v>2430</v>
      </c>
    </row>
    <row r="32" spans="1:8" ht="24.6">
      <c r="A32" s="25">
        <v>5</v>
      </c>
      <c r="B32" s="29" t="s">
        <v>83</v>
      </c>
      <c r="C32" s="25">
        <v>277</v>
      </c>
      <c r="D32" s="69">
        <v>25202</v>
      </c>
      <c r="E32" s="70" t="s">
        <v>310</v>
      </c>
      <c r="F32" s="83">
        <v>1215</v>
      </c>
    </row>
    <row r="33" spans="1:8" ht="24.6">
      <c r="A33" s="25">
        <v>6</v>
      </c>
      <c r="B33" s="29" t="s">
        <v>105</v>
      </c>
      <c r="C33" s="29"/>
      <c r="D33" s="69">
        <v>25181</v>
      </c>
      <c r="E33" s="70" t="s">
        <v>311</v>
      </c>
      <c r="F33" s="83">
        <v>10000</v>
      </c>
    </row>
    <row r="34" spans="1:8" ht="24.6">
      <c r="A34" s="25">
        <v>7</v>
      </c>
      <c r="B34" s="29" t="s">
        <v>105</v>
      </c>
      <c r="C34" s="29"/>
      <c r="D34" s="69">
        <v>25181</v>
      </c>
      <c r="E34" s="70" t="s">
        <v>312</v>
      </c>
      <c r="F34" s="83">
        <v>9300</v>
      </c>
    </row>
    <row r="35" spans="1:8" ht="24.6">
      <c r="A35" s="25">
        <v>8</v>
      </c>
      <c r="B35" s="29" t="s">
        <v>109</v>
      </c>
      <c r="C35" s="53"/>
      <c r="D35" s="128">
        <v>25177</v>
      </c>
      <c r="E35" s="129" t="s">
        <v>313</v>
      </c>
      <c r="F35" s="130">
        <v>3450</v>
      </c>
    </row>
    <row r="36" spans="1:8" ht="24.6">
      <c r="A36" s="25">
        <v>9</v>
      </c>
      <c r="B36" s="29" t="s">
        <v>112</v>
      </c>
      <c r="C36" s="29"/>
      <c r="D36" s="128">
        <v>25177</v>
      </c>
      <c r="E36" s="129" t="s">
        <v>314</v>
      </c>
      <c r="F36" s="130">
        <v>3795</v>
      </c>
    </row>
    <row r="37" spans="1:8" ht="25.5" customHeight="1">
      <c r="A37" s="25">
        <v>10</v>
      </c>
      <c r="B37" s="132" t="s">
        <v>115</v>
      </c>
      <c r="C37" s="132"/>
      <c r="D37" s="128">
        <v>25177</v>
      </c>
      <c r="E37" s="129" t="s">
        <v>315</v>
      </c>
      <c r="F37" s="130">
        <v>8000</v>
      </c>
    </row>
    <row r="38" spans="1:8" ht="25.2" thickBot="1">
      <c r="A38" s="29"/>
      <c r="B38" s="25" t="s">
        <v>26</v>
      </c>
      <c r="C38" s="74"/>
      <c r="D38" s="77"/>
      <c r="E38" s="77"/>
      <c r="F38" s="77">
        <v>44265</v>
      </c>
      <c r="H38" s="175">
        <f>SUM(F28:F37)</f>
        <v>44265</v>
      </c>
    </row>
    <row r="39" spans="1:8" ht="25.2" thickTop="1">
      <c r="A39" s="29"/>
      <c r="B39" s="116" t="s">
        <v>117</v>
      </c>
      <c r="C39" s="46"/>
      <c r="D39" s="137"/>
      <c r="E39" s="138"/>
      <c r="F39" s="139"/>
    </row>
    <row r="40" spans="1:8" ht="24.6">
      <c r="A40" s="25">
        <v>1</v>
      </c>
      <c r="B40" s="119" t="s">
        <v>121</v>
      </c>
      <c r="C40" s="46"/>
      <c r="D40" s="69">
        <v>25180</v>
      </c>
      <c r="E40" s="70" t="s">
        <v>316</v>
      </c>
      <c r="F40" s="83">
        <v>6000</v>
      </c>
    </row>
    <row r="41" spans="1:8" ht="24.6">
      <c r="A41" s="25">
        <v>2</v>
      </c>
      <c r="B41" s="29" t="s">
        <v>124</v>
      </c>
      <c r="C41" s="29"/>
      <c r="D41" s="69">
        <v>25194</v>
      </c>
      <c r="E41" s="70" t="s">
        <v>317</v>
      </c>
      <c r="F41" s="83">
        <v>600</v>
      </c>
    </row>
    <row r="42" spans="1:8" ht="24.6">
      <c r="A42" s="25">
        <v>3</v>
      </c>
      <c r="B42" s="29" t="s">
        <v>130</v>
      </c>
      <c r="C42" s="29"/>
      <c r="D42" s="69">
        <v>25201</v>
      </c>
      <c r="E42" s="70" t="s">
        <v>318</v>
      </c>
      <c r="F42" s="83">
        <v>550</v>
      </c>
    </row>
    <row r="43" spans="1:8" ht="24.6">
      <c r="A43" s="25">
        <v>4</v>
      </c>
      <c r="B43" s="29" t="s">
        <v>134</v>
      </c>
      <c r="C43" s="29"/>
      <c r="D43" s="69">
        <v>25201</v>
      </c>
      <c r="E43" s="84" t="s">
        <v>319</v>
      </c>
      <c r="F43" s="83">
        <v>1650</v>
      </c>
    </row>
    <row r="44" spans="1:8" ht="24.6">
      <c r="A44" s="25">
        <v>5</v>
      </c>
      <c r="B44" s="29" t="s">
        <v>137</v>
      </c>
      <c r="C44" s="29"/>
      <c r="D44" s="69">
        <v>25202</v>
      </c>
      <c r="E44" s="70" t="s">
        <v>320</v>
      </c>
      <c r="F44" s="83">
        <v>5000</v>
      </c>
    </row>
    <row r="45" spans="1:8" ht="25.2" thickBot="1">
      <c r="A45" s="29"/>
      <c r="B45" s="25" t="s">
        <v>26</v>
      </c>
      <c r="C45" s="64"/>
      <c r="D45" s="67"/>
      <c r="E45" s="67"/>
      <c r="F45" s="67">
        <v>13800</v>
      </c>
      <c r="H45" s="175">
        <f>SUM(F40:F44)</f>
        <v>13800</v>
      </c>
    </row>
    <row r="46" spans="1:8" ht="25.8" thickTop="1" thickBot="1">
      <c r="A46" s="29"/>
      <c r="B46" s="25" t="s">
        <v>248</v>
      </c>
      <c r="C46" s="64"/>
      <c r="D46" s="67"/>
      <c r="E46" s="67"/>
      <c r="F46" s="67">
        <v>60205</v>
      </c>
      <c r="H46" s="256">
        <f>SUM(H17:H45)</f>
        <v>60205</v>
      </c>
    </row>
    <row r="47" spans="1:8" ht="25.2" thickTop="1"/>
    <row r="48" spans="1:8" ht="24.6">
      <c r="E48" s="250"/>
    </row>
    <row r="49" spans="5:6" ht="24.6">
      <c r="E49" s="251"/>
    </row>
    <row r="50" spans="5:6" ht="24.6">
      <c r="E50" s="250"/>
    </row>
    <row r="51" spans="5:6" ht="24.6">
      <c r="E51" s="250"/>
      <c r="F51" s="252"/>
    </row>
    <row r="52" spans="5:6" ht="24.6">
      <c r="E52" s="250"/>
    </row>
    <row r="53" spans="5:6" ht="24.6"/>
    <row r="54" spans="5:6" ht="24.6"/>
    <row r="55" spans="5:6" ht="24.6"/>
    <row r="56" spans="5:6" ht="24.6"/>
    <row r="57" spans="5:6" ht="24.6"/>
    <row r="58" spans="5:6" ht="24.6"/>
    <row r="59" spans="5:6" ht="24.6"/>
    <row r="60" spans="5:6" ht="24.6"/>
    <row r="61" spans="5:6" ht="24.6"/>
    <row r="62" spans="5:6" ht="24.6"/>
    <row r="63" spans="5:6" ht="24.6"/>
    <row r="64" spans="5:6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523B-687B-4F56-B5BC-FE27C5F902D0}">
  <sheetPr codeName="Sheet12">
    <tabColor rgb="FFFFFF00"/>
  </sheetPr>
  <dimension ref="A1:L809"/>
  <sheetViews>
    <sheetView zoomScale="90" zoomScaleNormal="90" zoomScaleSheetLayoutView="87" workbookViewId="0">
      <pane ySplit="6" topLeftCell="A7" activePane="bottomLeft" state="frozen"/>
      <selection activeCell="I147" sqref="I147"/>
      <selection pane="bottomLeft" activeCell="G16" sqref="G1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4" width="15" style="1" customWidth="1"/>
    <col min="5" max="5" width="10.33203125" style="1" customWidth="1"/>
    <col min="6" max="6" width="7.44140625" style="173" customWidth="1"/>
    <col min="7" max="7" width="14" style="1" customWidth="1"/>
    <col min="8" max="8" width="10.33203125" style="1"/>
    <col min="9" max="9" width="11.88671875" style="1" bestFit="1" customWidth="1"/>
    <col min="10" max="10" width="10.33203125" style="1"/>
    <col min="11" max="11" width="11.88671875" style="1" bestFit="1" customWidth="1"/>
    <col min="12" max="233" width="10.33203125" style="1"/>
    <col min="234" max="234" width="4.44140625" style="1" customWidth="1"/>
    <col min="235" max="235" width="21.6640625" style="1" customWidth="1"/>
    <col min="236" max="236" width="15" style="1" customWidth="1"/>
    <col min="237" max="237" width="15.44140625" style="1" customWidth="1"/>
    <col min="238" max="238" width="11.5546875" style="1" customWidth="1"/>
    <col min="239" max="239" width="7.44140625" style="1" customWidth="1"/>
    <col min="240" max="240" width="14.109375" style="1" customWidth="1"/>
    <col min="241" max="241" width="10.6640625" style="1" customWidth="1"/>
    <col min="242" max="242" width="13.44140625" style="1" customWidth="1"/>
    <col min="243" max="243" width="11.44140625" style="1" customWidth="1"/>
    <col min="244" max="244" width="15" style="1" customWidth="1"/>
    <col min="245" max="245" width="14.5546875" style="1" customWidth="1"/>
    <col min="246" max="246" width="10.33203125" style="1"/>
    <col min="247" max="247" width="7.44140625" style="1" customWidth="1"/>
    <col min="248" max="248" width="12.88671875" style="1" customWidth="1"/>
    <col min="249" max="249" width="11.109375" style="1" customWidth="1"/>
    <col min="250" max="250" width="14" style="1" customWidth="1"/>
    <col min="251" max="251" width="33" style="1" customWidth="1"/>
    <col min="252" max="252" width="6.6640625" style="1" customWidth="1"/>
    <col min="253" max="253" width="19" style="1" customWidth="1"/>
    <col min="254" max="254" width="19.109375" style="1" customWidth="1"/>
    <col min="255" max="255" width="21.33203125" style="1" customWidth="1"/>
    <col min="256" max="256" width="32.5546875" style="1" customWidth="1"/>
    <col min="257" max="257" width="16.88671875" style="1" customWidth="1"/>
    <col min="258" max="258" width="16.33203125" style="1" customWidth="1"/>
    <col min="259" max="489" width="10.33203125" style="1"/>
    <col min="490" max="490" width="4.44140625" style="1" customWidth="1"/>
    <col min="491" max="491" width="21.6640625" style="1" customWidth="1"/>
    <col min="492" max="492" width="15" style="1" customWidth="1"/>
    <col min="493" max="493" width="15.44140625" style="1" customWidth="1"/>
    <col min="494" max="494" width="11.5546875" style="1" customWidth="1"/>
    <col min="495" max="495" width="7.44140625" style="1" customWidth="1"/>
    <col min="496" max="496" width="14.109375" style="1" customWidth="1"/>
    <col min="497" max="497" width="10.6640625" style="1" customWidth="1"/>
    <col min="498" max="498" width="13.44140625" style="1" customWidth="1"/>
    <col min="499" max="499" width="11.44140625" style="1" customWidth="1"/>
    <col min="500" max="500" width="15" style="1" customWidth="1"/>
    <col min="501" max="501" width="14.5546875" style="1" customWidth="1"/>
    <col min="502" max="502" width="10.33203125" style="1"/>
    <col min="503" max="503" width="7.44140625" style="1" customWidth="1"/>
    <col min="504" max="504" width="12.88671875" style="1" customWidth="1"/>
    <col min="505" max="505" width="11.109375" style="1" customWidth="1"/>
    <col min="506" max="506" width="14" style="1" customWidth="1"/>
    <col min="507" max="507" width="33" style="1" customWidth="1"/>
    <col min="508" max="508" width="6.6640625" style="1" customWidth="1"/>
    <col min="509" max="509" width="19" style="1" customWidth="1"/>
    <col min="510" max="510" width="19.109375" style="1" customWidth="1"/>
    <col min="511" max="511" width="21.33203125" style="1" customWidth="1"/>
    <col min="512" max="512" width="32.5546875" style="1" customWidth="1"/>
    <col min="513" max="513" width="16.88671875" style="1" customWidth="1"/>
    <col min="514" max="514" width="16.33203125" style="1" customWidth="1"/>
    <col min="515" max="745" width="10.33203125" style="1"/>
    <col min="746" max="746" width="4.44140625" style="1" customWidth="1"/>
    <col min="747" max="747" width="21.6640625" style="1" customWidth="1"/>
    <col min="748" max="748" width="15" style="1" customWidth="1"/>
    <col min="749" max="749" width="15.44140625" style="1" customWidth="1"/>
    <col min="750" max="750" width="11.5546875" style="1" customWidth="1"/>
    <col min="751" max="751" width="7.44140625" style="1" customWidth="1"/>
    <col min="752" max="752" width="14.109375" style="1" customWidth="1"/>
    <col min="753" max="753" width="10.6640625" style="1" customWidth="1"/>
    <col min="754" max="754" width="13.44140625" style="1" customWidth="1"/>
    <col min="755" max="755" width="11.44140625" style="1" customWidth="1"/>
    <col min="756" max="756" width="15" style="1" customWidth="1"/>
    <col min="757" max="757" width="14.5546875" style="1" customWidth="1"/>
    <col min="758" max="758" width="10.33203125" style="1"/>
    <col min="759" max="759" width="7.44140625" style="1" customWidth="1"/>
    <col min="760" max="760" width="12.88671875" style="1" customWidth="1"/>
    <col min="761" max="761" width="11.109375" style="1" customWidth="1"/>
    <col min="762" max="762" width="14" style="1" customWidth="1"/>
    <col min="763" max="763" width="33" style="1" customWidth="1"/>
    <col min="764" max="764" width="6.6640625" style="1" customWidth="1"/>
    <col min="765" max="765" width="19" style="1" customWidth="1"/>
    <col min="766" max="766" width="19.109375" style="1" customWidth="1"/>
    <col min="767" max="767" width="21.33203125" style="1" customWidth="1"/>
    <col min="768" max="768" width="32.5546875" style="1" customWidth="1"/>
    <col min="769" max="769" width="16.88671875" style="1" customWidth="1"/>
    <col min="770" max="770" width="16.33203125" style="1" customWidth="1"/>
    <col min="771" max="1001" width="10.33203125" style="1"/>
    <col min="1002" max="1002" width="4.44140625" style="1" customWidth="1"/>
    <col min="1003" max="1003" width="21.6640625" style="1" customWidth="1"/>
    <col min="1004" max="1004" width="15" style="1" customWidth="1"/>
    <col min="1005" max="1005" width="15.44140625" style="1" customWidth="1"/>
    <col min="1006" max="1006" width="11.5546875" style="1" customWidth="1"/>
    <col min="1007" max="1007" width="7.44140625" style="1" customWidth="1"/>
    <col min="1008" max="1008" width="14.109375" style="1" customWidth="1"/>
    <col min="1009" max="1009" width="10.6640625" style="1" customWidth="1"/>
    <col min="1010" max="1010" width="13.44140625" style="1" customWidth="1"/>
    <col min="1011" max="1011" width="11.44140625" style="1" customWidth="1"/>
    <col min="1012" max="1012" width="15" style="1" customWidth="1"/>
    <col min="1013" max="1013" width="14.5546875" style="1" customWidth="1"/>
    <col min="1014" max="1014" width="10.33203125" style="1"/>
    <col min="1015" max="1015" width="7.44140625" style="1" customWidth="1"/>
    <col min="1016" max="1016" width="12.88671875" style="1" customWidth="1"/>
    <col min="1017" max="1017" width="11.109375" style="1" customWidth="1"/>
    <col min="1018" max="1018" width="14" style="1" customWidth="1"/>
    <col min="1019" max="1019" width="33" style="1" customWidth="1"/>
    <col min="1020" max="1020" width="6.6640625" style="1" customWidth="1"/>
    <col min="1021" max="1021" width="19" style="1" customWidth="1"/>
    <col min="1022" max="1022" width="19.109375" style="1" customWidth="1"/>
    <col min="1023" max="1023" width="21.33203125" style="1" customWidth="1"/>
    <col min="1024" max="1024" width="32.5546875" style="1" customWidth="1"/>
    <col min="1025" max="1025" width="16.88671875" style="1" customWidth="1"/>
    <col min="1026" max="1026" width="16.33203125" style="1" customWidth="1"/>
    <col min="1027" max="1257" width="10.33203125" style="1"/>
    <col min="1258" max="1258" width="4.44140625" style="1" customWidth="1"/>
    <col min="1259" max="1259" width="21.6640625" style="1" customWidth="1"/>
    <col min="1260" max="1260" width="15" style="1" customWidth="1"/>
    <col min="1261" max="1261" width="15.44140625" style="1" customWidth="1"/>
    <col min="1262" max="1262" width="11.5546875" style="1" customWidth="1"/>
    <col min="1263" max="1263" width="7.44140625" style="1" customWidth="1"/>
    <col min="1264" max="1264" width="14.109375" style="1" customWidth="1"/>
    <col min="1265" max="1265" width="10.6640625" style="1" customWidth="1"/>
    <col min="1266" max="1266" width="13.44140625" style="1" customWidth="1"/>
    <col min="1267" max="1267" width="11.44140625" style="1" customWidth="1"/>
    <col min="1268" max="1268" width="15" style="1" customWidth="1"/>
    <col min="1269" max="1269" width="14.5546875" style="1" customWidth="1"/>
    <col min="1270" max="1270" width="10.33203125" style="1"/>
    <col min="1271" max="1271" width="7.44140625" style="1" customWidth="1"/>
    <col min="1272" max="1272" width="12.88671875" style="1" customWidth="1"/>
    <col min="1273" max="1273" width="11.109375" style="1" customWidth="1"/>
    <col min="1274" max="1274" width="14" style="1" customWidth="1"/>
    <col min="1275" max="1275" width="33" style="1" customWidth="1"/>
    <col min="1276" max="1276" width="6.6640625" style="1" customWidth="1"/>
    <col min="1277" max="1277" width="19" style="1" customWidth="1"/>
    <col min="1278" max="1278" width="19.109375" style="1" customWidth="1"/>
    <col min="1279" max="1279" width="21.33203125" style="1" customWidth="1"/>
    <col min="1280" max="1280" width="32.5546875" style="1" customWidth="1"/>
    <col min="1281" max="1281" width="16.88671875" style="1" customWidth="1"/>
    <col min="1282" max="1282" width="16.33203125" style="1" customWidth="1"/>
    <col min="1283" max="1513" width="10.33203125" style="1"/>
    <col min="1514" max="1514" width="4.44140625" style="1" customWidth="1"/>
    <col min="1515" max="1515" width="21.6640625" style="1" customWidth="1"/>
    <col min="1516" max="1516" width="15" style="1" customWidth="1"/>
    <col min="1517" max="1517" width="15.44140625" style="1" customWidth="1"/>
    <col min="1518" max="1518" width="11.5546875" style="1" customWidth="1"/>
    <col min="1519" max="1519" width="7.44140625" style="1" customWidth="1"/>
    <col min="1520" max="1520" width="14.109375" style="1" customWidth="1"/>
    <col min="1521" max="1521" width="10.6640625" style="1" customWidth="1"/>
    <col min="1522" max="1522" width="13.44140625" style="1" customWidth="1"/>
    <col min="1523" max="1523" width="11.44140625" style="1" customWidth="1"/>
    <col min="1524" max="1524" width="15" style="1" customWidth="1"/>
    <col min="1525" max="1525" width="14.5546875" style="1" customWidth="1"/>
    <col min="1526" max="1526" width="10.33203125" style="1"/>
    <col min="1527" max="1527" width="7.44140625" style="1" customWidth="1"/>
    <col min="1528" max="1528" width="12.88671875" style="1" customWidth="1"/>
    <col min="1529" max="1529" width="11.109375" style="1" customWidth="1"/>
    <col min="1530" max="1530" width="14" style="1" customWidth="1"/>
    <col min="1531" max="1531" width="33" style="1" customWidth="1"/>
    <col min="1532" max="1532" width="6.6640625" style="1" customWidth="1"/>
    <col min="1533" max="1533" width="19" style="1" customWidth="1"/>
    <col min="1534" max="1534" width="19.109375" style="1" customWidth="1"/>
    <col min="1535" max="1535" width="21.33203125" style="1" customWidth="1"/>
    <col min="1536" max="1536" width="32.5546875" style="1" customWidth="1"/>
    <col min="1537" max="1537" width="16.88671875" style="1" customWidth="1"/>
    <col min="1538" max="1538" width="16.33203125" style="1" customWidth="1"/>
    <col min="1539" max="1769" width="10.33203125" style="1"/>
    <col min="1770" max="1770" width="4.44140625" style="1" customWidth="1"/>
    <col min="1771" max="1771" width="21.6640625" style="1" customWidth="1"/>
    <col min="1772" max="1772" width="15" style="1" customWidth="1"/>
    <col min="1773" max="1773" width="15.44140625" style="1" customWidth="1"/>
    <col min="1774" max="1774" width="11.5546875" style="1" customWidth="1"/>
    <col min="1775" max="1775" width="7.44140625" style="1" customWidth="1"/>
    <col min="1776" max="1776" width="14.109375" style="1" customWidth="1"/>
    <col min="1777" max="1777" width="10.6640625" style="1" customWidth="1"/>
    <col min="1778" max="1778" width="13.44140625" style="1" customWidth="1"/>
    <col min="1779" max="1779" width="11.44140625" style="1" customWidth="1"/>
    <col min="1780" max="1780" width="15" style="1" customWidth="1"/>
    <col min="1781" max="1781" width="14.5546875" style="1" customWidth="1"/>
    <col min="1782" max="1782" width="10.33203125" style="1"/>
    <col min="1783" max="1783" width="7.44140625" style="1" customWidth="1"/>
    <col min="1784" max="1784" width="12.88671875" style="1" customWidth="1"/>
    <col min="1785" max="1785" width="11.109375" style="1" customWidth="1"/>
    <col min="1786" max="1786" width="14" style="1" customWidth="1"/>
    <col min="1787" max="1787" width="33" style="1" customWidth="1"/>
    <col min="1788" max="1788" width="6.6640625" style="1" customWidth="1"/>
    <col min="1789" max="1789" width="19" style="1" customWidth="1"/>
    <col min="1790" max="1790" width="19.109375" style="1" customWidth="1"/>
    <col min="1791" max="1791" width="21.33203125" style="1" customWidth="1"/>
    <col min="1792" max="1792" width="32.5546875" style="1" customWidth="1"/>
    <col min="1793" max="1793" width="16.88671875" style="1" customWidth="1"/>
    <col min="1794" max="1794" width="16.33203125" style="1" customWidth="1"/>
    <col min="1795" max="2025" width="10.33203125" style="1"/>
    <col min="2026" max="2026" width="4.44140625" style="1" customWidth="1"/>
    <col min="2027" max="2027" width="21.6640625" style="1" customWidth="1"/>
    <col min="2028" max="2028" width="15" style="1" customWidth="1"/>
    <col min="2029" max="2029" width="15.44140625" style="1" customWidth="1"/>
    <col min="2030" max="2030" width="11.5546875" style="1" customWidth="1"/>
    <col min="2031" max="2031" width="7.44140625" style="1" customWidth="1"/>
    <col min="2032" max="2032" width="14.109375" style="1" customWidth="1"/>
    <col min="2033" max="2033" width="10.6640625" style="1" customWidth="1"/>
    <col min="2034" max="2034" width="13.44140625" style="1" customWidth="1"/>
    <col min="2035" max="2035" width="11.44140625" style="1" customWidth="1"/>
    <col min="2036" max="2036" width="15" style="1" customWidth="1"/>
    <col min="2037" max="2037" width="14.5546875" style="1" customWidth="1"/>
    <col min="2038" max="2038" width="10.33203125" style="1"/>
    <col min="2039" max="2039" width="7.44140625" style="1" customWidth="1"/>
    <col min="2040" max="2040" width="12.88671875" style="1" customWidth="1"/>
    <col min="2041" max="2041" width="11.109375" style="1" customWidth="1"/>
    <col min="2042" max="2042" width="14" style="1" customWidth="1"/>
    <col min="2043" max="2043" width="33" style="1" customWidth="1"/>
    <col min="2044" max="2044" width="6.6640625" style="1" customWidth="1"/>
    <col min="2045" max="2045" width="19" style="1" customWidth="1"/>
    <col min="2046" max="2046" width="19.109375" style="1" customWidth="1"/>
    <col min="2047" max="2047" width="21.33203125" style="1" customWidth="1"/>
    <col min="2048" max="2048" width="32.5546875" style="1" customWidth="1"/>
    <col min="2049" max="2049" width="16.88671875" style="1" customWidth="1"/>
    <col min="2050" max="2050" width="16.33203125" style="1" customWidth="1"/>
    <col min="2051" max="2281" width="10.33203125" style="1"/>
    <col min="2282" max="2282" width="4.44140625" style="1" customWidth="1"/>
    <col min="2283" max="2283" width="21.6640625" style="1" customWidth="1"/>
    <col min="2284" max="2284" width="15" style="1" customWidth="1"/>
    <col min="2285" max="2285" width="15.44140625" style="1" customWidth="1"/>
    <col min="2286" max="2286" width="11.5546875" style="1" customWidth="1"/>
    <col min="2287" max="2287" width="7.44140625" style="1" customWidth="1"/>
    <col min="2288" max="2288" width="14.109375" style="1" customWidth="1"/>
    <col min="2289" max="2289" width="10.6640625" style="1" customWidth="1"/>
    <col min="2290" max="2290" width="13.44140625" style="1" customWidth="1"/>
    <col min="2291" max="2291" width="11.44140625" style="1" customWidth="1"/>
    <col min="2292" max="2292" width="15" style="1" customWidth="1"/>
    <col min="2293" max="2293" width="14.5546875" style="1" customWidth="1"/>
    <col min="2294" max="2294" width="10.33203125" style="1"/>
    <col min="2295" max="2295" width="7.44140625" style="1" customWidth="1"/>
    <col min="2296" max="2296" width="12.88671875" style="1" customWidth="1"/>
    <col min="2297" max="2297" width="11.109375" style="1" customWidth="1"/>
    <col min="2298" max="2298" width="14" style="1" customWidth="1"/>
    <col min="2299" max="2299" width="33" style="1" customWidth="1"/>
    <col min="2300" max="2300" width="6.6640625" style="1" customWidth="1"/>
    <col min="2301" max="2301" width="19" style="1" customWidth="1"/>
    <col min="2302" max="2302" width="19.109375" style="1" customWidth="1"/>
    <col min="2303" max="2303" width="21.33203125" style="1" customWidth="1"/>
    <col min="2304" max="2304" width="32.5546875" style="1" customWidth="1"/>
    <col min="2305" max="2305" width="16.88671875" style="1" customWidth="1"/>
    <col min="2306" max="2306" width="16.33203125" style="1" customWidth="1"/>
    <col min="2307" max="2537" width="10.33203125" style="1"/>
    <col min="2538" max="2538" width="4.44140625" style="1" customWidth="1"/>
    <col min="2539" max="2539" width="21.6640625" style="1" customWidth="1"/>
    <col min="2540" max="2540" width="15" style="1" customWidth="1"/>
    <col min="2541" max="2541" width="15.44140625" style="1" customWidth="1"/>
    <col min="2542" max="2542" width="11.5546875" style="1" customWidth="1"/>
    <col min="2543" max="2543" width="7.44140625" style="1" customWidth="1"/>
    <col min="2544" max="2544" width="14.109375" style="1" customWidth="1"/>
    <col min="2545" max="2545" width="10.6640625" style="1" customWidth="1"/>
    <col min="2546" max="2546" width="13.44140625" style="1" customWidth="1"/>
    <col min="2547" max="2547" width="11.44140625" style="1" customWidth="1"/>
    <col min="2548" max="2548" width="15" style="1" customWidth="1"/>
    <col min="2549" max="2549" width="14.5546875" style="1" customWidth="1"/>
    <col min="2550" max="2550" width="10.33203125" style="1"/>
    <col min="2551" max="2551" width="7.44140625" style="1" customWidth="1"/>
    <col min="2552" max="2552" width="12.88671875" style="1" customWidth="1"/>
    <col min="2553" max="2553" width="11.109375" style="1" customWidth="1"/>
    <col min="2554" max="2554" width="14" style="1" customWidth="1"/>
    <col min="2555" max="2555" width="33" style="1" customWidth="1"/>
    <col min="2556" max="2556" width="6.6640625" style="1" customWidth="1"/>
    <col min="2557" max="2557" width="19" style="1" customWidth="1"/>
    <col min="2558" max="2558" width="19.109375" style="1" customWidth="1"/>
    <col min="2559" max="2559" width="21.33203125" style="1" customWidth="1"/>
    <col min="2560" max="2560" width="32.5546875" style="1" customWidth="1"/>
    <col min="2561" max="2561" width="16.88671875" style="1" customWidth="1"/>
    <col min="2562" max="2562" width="16.33203125" style="1" customWidth="1"/>
    <col min="2563" max="2793" width="10.33203125" style="1"/>
    <col min="2794" max="2794" width="4.44140625" style="1" customWidth="1"/>
    <col min="2795" max="2795" width="21.6640625" style="1" customWidth="1"/>
    <col min="2796" max="2796" width="15" style="1" customWidth="1"/>
    <col min="2797" max="2797" width="15.44140625" style="1" customWidth="1"/>
    <col min="2798" max="2798" width="11.5546875" style="1" customWidth="1"/>
    <col min="2799" max="2799" width="7.44140625" style="1" customWidth="1"/>
    <col min="2800" max="2800" width="14.109375" style="1" customWidth="1"/>
    <col min="2801" max="2801" width="10.6640625" style="1" customWidth="1"/>
    <col min="2802" max="2802" width="13.44140625" style="1" customWidth="1"/>
    <col min="2803" max="2803" width="11.44140625" style="1" customWidth="1"/>
    <col min="2804" max="2804" width="15" style="1" customWidth="1"/>
    <col min="2805" max="2805" width="14.5546875" style="1" customWidth="1"/>
    <col min="2806" max="2806" width="10.33203125" style="1"/>
    <col min="2807" max="2807" width="7.44140625" style="1" customWidth="1"/>
    <col min="2808" max="2808" width="12.88671875" style="1" customWidth="1"/>
    <col min="2809" max="2809" width="11.109375" style="1" customWidth="1"/>
    <col min="2810" max="2810" width="14" style="1" customWidth="1"/>
    <col min="2811" max="2811" width="33" style="1" customWidth="1"/>
    <col min="2812" max="2812" width="6.6640625" style="1" customWidth="1"/>
    <col min="2813" max="2813" width="19" style="1" customWidth="1"/>
    <col min="2814" max="2814" width="19.109375" style="1" customWidth="1"/>
    <col min="2815" max="2815" width="21.33203125" style="1" customWidth="1"/>
    <col min="2816" max="2816" width="32.5546875" style="1" customWidth="1"/>
    <col min="2817" max="2817" width="16.88671875" style="1" customWidth="1"/>
    <col min="2818" max="2818" width="16.33203125" style="1" customWidth="1"/>
    <col min="2819" max="3049" width="10.33203125" style="1"/>
    <col min="3050" max="3050" width="4.44140625" style="1" customWidth="1"/>
    <col min="3051" max="3051" width="21.6640625" style="1" customWidth="1"/>
    <col min="3052" max="3052" width="15" style="1" customWidth="1"/>
    <col min="3053" max="3053" width="15.44140625" style="1" customWidth="1"/>
    <col min="3054" max="3054" width="11.5546875" style="1" customWidth="1"/>
    <col min="3055" max="3055" width="7.44140625" style="1" customWidth="1"/>
    <col min="3056" max="3056" width="14.109375" style="1" customWidth="1"/>
    <col min="3057" max="3057" width="10.6640625" style="1" customWidth="1"/>
    <col min="3058" max="3058" width="13.44140625" style="1" customWidth="1"/>
    <col min="3059" max="3059" width="11.44140625" style="1" customWidth="1"/>
    <col min="3060" max="3060" width="15" style="1" customWidth="1"/>
    <col min="3061" max="3061" width="14.5546875" style="1" customWidth="1"/>
    <col min="3062" max="3062" width="10.33203125" style="1"/>
    <col min="3063" max="3063" width="7.44140625" style="1" customWidth="1"/>
    <col min="3064" max="3064" width="12.88671875" style="1" customWidth="1"/>
    <col min="3065" max="3065" width="11.109375" style="1" customWidth="1"/>
    <col min="3066" max="3066" width="14" style="1" customWidth="1"/>
    <col min="3067" max="3067" width="33" style="1" customWidth="1"/>
    <col min="3068" max="3068" width="6.6640625" style="1" customWidth="1"/>
    <col min="3069" max="3069" width="19" style="1" customWidth="1"/>
    <col min="3070" max="3070" width="19.109375" style="1" customWidth="1"/>
    <col min="3071" max="3071" width="21.33203125" style="1" customWidth="1"/>
    <col min="3072" max="3072" width="32.5546875" style="1" customWidth="1"/>
    <col min="3073" max="3073" width="16.88671875" style="1" customWidth="1"/>
    <col min="3074" max="3074" width="16.33203125" style="1" customWidth="1"/>
    <col min="3075" max="3305" width="10.33203125" style="1"/>
    <col min="3306" max="3306" width="4.44140625" style="1" customWidth="1"/>
    <col min="3307" max="3307" width="21.6640625" style="1" customWidth="1"/>
    <col min="3308" max="3308" width="15" style="1" customWidth="1"/>
    <col min="3309" max="3309" width="15.44140625" style="1" customWidth="1"/>
    <col min="3310" max="3310" width="11.5546875" style="1" customWidth="1"/>
    <col min="3311" max="3311" width="7.44140625" style="1" customWidth="1"/>
    <col min="3312" max="3312" width="14.109375" style="1" customWidth="1"/>
    <col min="3313" max="3313" width="10.6640625" style="1" customWidth="1"/>
    <col min="3314" max="3314" width="13.44140625" style="1" customWidth="1"/>
    <col min="3315" max="3315" width="11.44140625" style="1" customWidth="1"/>
    <col min="3316" max="3316" width="15" style="1" customWidth="1"/>
    <col min="3317" max="3317" width="14.5546875" style="1" customWidth="1"/>
    <col min="3318" max="3318" width="10.33203125" style="1"/>
    <col min="3319" max="3319" width="7.44140625" style="1" customWidth="1"/>
    <col min="3320" max="3320" width="12.88671875" style="1" customWidth="1"/>
    <col min="3321" max="3321" width="11.109375" style="1" customWidth="1"/>
    <col min="3322" max="3322" width="14" style="1" customWidth="1"/>
    <col min="3323" max="3323" width="33" style="1" customWidth="1"/>
    <col min="3324" max="3324" width="6.6640625" style="1" customWidth="1"/>
    <col min="3325" max="3325" width="19" style="1" customWidth="1"/>
    <col min="3326" max="3326" width="19.109375" style="1" customWidth="1"/>
    <col min="3327" max="3327" width="21.33203125" style="1" customWidth="1"/>
    <col min="3328" max="3328" width="32.5546875" style="1" customWidth="1"/>
    <col min="3329" max="3329" width="16.88671875" style="1" customWidth="1"/>
    <col min="3330" max="3330" width="16.33203125" style="1" customWidth="1"/>
    <col min="3331" max="3561" width="10.33203125" style="1"/>
    <col min="3562" max="3562" width="4.44140625" style="1" customWidth="1"/>
    <col min="3563" max="3563" width="21.6640625" style="1" customWidth="1"/>
    <col min="3564" max="3564" width="15" style="1" customWidth="1"/>
    <col min="3565" max="3565" width="15.44140625" style="1" customWidth="1"/>
    <col min="3566" max="3566" width="11.5546875" style="1" customWidth="1"/>
    <col min="3567" max="3567" width="7.44140625" style="1" customWidth="1"/>
    <col min="3568" max="3568" width="14.109375" style="1" customWidth="1"/>
    <col min="3569" max="3569" width="10.6640625" style="1" customWidth="1"/>
    <col min="3570" max="3570" width="13.44140625" style="1" customWidth="1"/>
    <col min="3571" max="3571" width="11.44140625" style="1" customWidth="1"/>
    <col min="3572" max="3572" width="15" style="1" customWidth="1"/>
    <col min="3573" max="3573" width="14.5546875" style="1" customWidth="1"/>
    <col min="3574" max="3574" width="10.33203125" style="1"/>
    <col min="3575" max="3575" width="7.44140625" style="1" customWidth="1"/>
    <col min="3576" max="3576" width="12.88671875" style="1" customWidth="1"/>
    <col min="3577" max="3577" width="11.109375" style="1" customWidth="1"/>
    <col min="3578" max="3578" width="14" style="1" customWidth="1"/>
    <col min="3579" max="3579" width="33" style="1" customWidth="1"/>
    <col min="3580" max="3580" width="6.6640625" style="1" customWidth="1"/>
    <col min="3581" max="3581" width="19" style="1" customWidth="1"/>
    <col min="3582" max="3582" width="19.109375" style="1" customWidth="1"/>
    <col min="3583" max="3583" width="21.33203125" style="1" customWidth="1"/>
    <col min="3584" max="3584" width="32.5546875" style="1" customWidth="1"/>
    <col min="3585" max="3585" width="16.88671875" style="1" customWidth="1"/>
    <col min="3586" max="3586" width="16.33203125" style="1" customWidth="1"/>
    <col min="3587" max="3817" width="10.33203125" style="1"/>
    <col min="3818" max="3818" width="4.44140625" style="1" customWidth="1"/>
    <col min="3819" max="3819" width="21.6640625" style="1" customWidth="1"/>
    <col min="3820" max="3820" width="15" style="1" customWidth="1"/>
    <col min="3821" max="3821" width="15.44140625" style="1" customWidth="1"/>
    <col min="3822" max="3822" width="11.5546875" style="1" customWidth="1"/>
    <col min="3823" max="3823" width="7.44140625" style="1" customWidth="1"/>
    <col min="3824" max="3824" width="14.109375" style="1" customWidth="1"/>
    <col min="3825" max="3825" width="10.6640625" style="1" customWidth="1"/>
    <col min="3826" max="3826" width="13.44140625" style="1" customWidth="1"/>
    <col min="3827" max="3827" width="11.44140625" style="1" customWidth="1"/>
    <col min="3828" max="3828" width="15" style="1" customWidth="1"/>
    <col min="3829" max="3829" width="14.5546875" style="1" customWidth="1"/>
    <col min="3830" max="3830" width="10.33203125" style="1"/>
    <col min="3831" max="3831" width="7.44140625" style="1" customWidth="1"/>
    <col min="3832" max="3832" width="12.88671875" style="1" customWidth="1"/>
    <col min="3833" max="3833" width="11.109375" style="1" customWidth="1"/>
    <col min="3834" max="3834" width="14" style="1" customWidth="1"/>
    <col min="3835" max="3835" width="33" style="1" customWidth="1"/>
    <col min="3836" max="3836" width="6.6640625" style="1" customWidth="1"/>
    <col min="3837" max="3837" width="19" style="1" customWidth="1"/>
    <col min="3838" max="3838" width="19.109375" style="1" customWidth="1"/>
    <col min="3839" max="3839" width="21.33203125" style="1" customWidth="1"/>
    <col min="3840" max="3840" width="32.5546875" style="1" customWidth="1"/>
    <col min="3841" max="3841" width="16.88671875" style="1" customWidth="1"/>
    <col min="3842" max="3842" width="16.33203125" style="1" customWidth="1"/>
    <col min="3843" max="4073" width="10.33203125" style="1"/>
    <col min="4074" max="4074" width="4.44140625" style="1" customWidth="1"/>
    <col min="4075" max="4075" width="21.6640625" style="1" customWidth="1"/>
    <col min="4076" max="4076" width="15" style="1" customWidth="1"/>
    <col min="4077" max="4077" width="15.44140625" style="1" customWidth="1"/>
    <col min="4078" max="4078" width="11.5546875" style="1" customWidth="1"/>
    <col min="4079" max="4079" width="7.44140625" style="1" customWidth="1"/>
    <col min="4080" max="4080" width="14.109375" style="1" customWidth="1"/>
    <col min="4081" max="4081" width="10.6640625" style="1" customWidth="1"/>
    <col min="4082" max="4082" width="13.44140625" style="1" customWidth="1"/>
    <col min="4083" max="4083" width="11.44140625" style="1" customWidth="1"/>
    <col min="4084" max="4084" width="15" style="1" customWidth="1"/>
    <col min="4085" max="4085" width="14.5546875" style="1" customWidth="1"/>
    <col min="4086" max="4086" width="10.33203125" style="1"/>
    <col min="4087" max="4087" width="7.44140625" style="1" customWidth="1"/>
    <col min="4088" max="4088" width="12.88671875" style="1" customWidth="1"/>
    <col min="4089" max="4089" width="11.109375" style="1" customWidth="1"/>
    <col min="4090" max="4090" width="14" style="1" customWidth="1"/>
    <col min="4091" max="4091" width="33" style="1" customWidth="1"/>
    <col min="4092" max="4092" width="6.6640625" style="1" customWidth="1"/>
    <col min="4093" max="4093" width="19" style="1" customWidth="1"/>
    <col min="4094" max="4094" width="19.109375" style="1" customWidth="1"/>
    <col min="4095" max="4095" width="21.33203125" style="1" customWidth="1"/>
    <col min="4096" max="4096" width="32.5546875" style="1" customWidth="1"/>
    <col min="4097" max="4097" width="16.88671875" style="1" customWidth="1"/>
    <col min="4098" max="4098" width="16.33203125" style="1" customWidth="1"/>
    <col min="4099" max="4329" width="10.33203125" style="1"/>
    <col min="4330" max="4330" width="4.44140625" style="1" customWidth="1"/>
    <col min="4331" max="4331" width="21.6640625" style="1" customWidth="1"/>
    <col min="4332" max="4332" width="15" style="1" customWidth="1"/>
    <col min="4333" max="4333" width="15.44140625" style="1" customWidth="1"/>
    <col min="4334" max="4334" width="11.5546875" style="1" customWidth="1"/>
    <col min="4335" max="4335" width="7.44140625" style="1" customWidth="1"/>
    <col min="4336" max="4336" width="14.109375" style="1" customWidth="1"/>
    <col min="4337" max="4337" width="10.6640625" style="1" customWidth="1"/>
    <col min="4338" max="4338" width="13.44140625" style="1" customWidth="1"/>
    <col min="4339" max="4339" width="11.44140625" style="1" customWidth="1"/>
    <col min="4340" max="4340" width="15" style="1" customWidth="1"/>
    <col min="4341" max="4341" width="14.5546875" style="1" customWidth="1"/>
    <col min="4342" max="4342" width="10.33203125" style="1"/>
    <col min="4343" max="4343" width="7.44140625" style="1" customWidth="1"/>
    <col min="4344" max="4344" width="12.88671875" style="1" customWidth="1"/>
    <col min="4345" max="4345" width="11.109375" style="1" customWidth="1"/>
    <col min="4346" max="4346" width="14" style="1" customWidth="1"/>
    <col min="4347" max="4347" width="33" style="1" customWidth="1"/>
    <col min="4348" max="4348" width="6.6640625" style="1" customWidth="1"/>
    <col min="4349" max="4349" width="19" style="1" customWidth="1"/>
    <col min="4350" max="4350" width="19.109375" style="1" customWidth="1"/>
    <col min="4351" max="4351" width="21.33203125" style="1" customWidth="1"/>
    <col min="4352" max="4352" width="32.5546875" style="1" customWidth="1"/>
    <col min="4353" max="4353" width="16.88671875" style="1" customWidth="1"/>
    <col min="4354" max="4354" width="16.33203125" style="1" customWidth="1"/>
    <col min="4355" max="4585" width="10.33203125" style="1"/>
    <col min="4586" max="4586" width="4.44140625" style="1" customWidth="1"/>
    <col min="4587" max="4587" width="21.6640625" style="1" customWidth="1"/>
    <col min="4588" max="4588" width="15" style="1" customWidth="1"/>
    <col min="4589" max="4589" width="15.44140625" style="1" customWidth="1"/>
    <col min="4590" max="4590" width="11.5546875" style="1" customWidth="1"/>
    <col min="4591" max="4591" width="7.44140625" style="1" customWidth="1"/>
    <col min="4592" max="4592" width="14.109375" style="1" customWidth="1"/>
    <col min="4593" max="4593" width="10.6640625" style="1" customWidth="1"/>
    <col min="4594" max="4594" width="13.44140625" style="1" customWidth="1"/>
    <col min="4595" max="4595" width="11.44140625" style="1" customWidth="1"/>
    <col min="4596" max="4596" width="15" style="1" customWidth="1"/>
    <col min="4597" max="4597" width="14.5546875" style="1" customWidth="1"/>
    <col min="4598" max="4598" width="10.33203125" style="1"/>
    <col min="4599" max="4599" width="7.44140625" style="1" customWidth="1"/>
    <col min="4600" max="4600" width="12.88671875" style="1" customWidth="1"/>
    <col min="4601" max="4601" width="11.109375" style="1" customWidth="1"/>
    <col min="4602" max="4602" width="14" style="1" customWidth="1"/>
    <col min="4603" max="4603" width="33" style="1" customWidth="1"/>
    <col min="4604" max="4604" width="6.6640625" style="1" customWidth="1"/>
    <col min="4605" max="4605" width="19" style="1" customWidth="1"/>
    <col min="4606" max="4606" width="19.109375" style="1" customWidth="1"/>
    <col min="4607" max="4607" width="21.33203125" style="1" customWidth="1"/>
    <col min="4608" max="4608" width="32.5546875" style="1" customWidth="1"/>
    <col min="4609" max="4609" width="16.88671875" style="1" customWidth="1"/>
    <col min="4610" max="4610" width="16.33203125" style="1" customWidth="1"/>
    <col min="4611" max="4841" width="10.33203125" style="1"/>
    <col min="4842" max="4842" width="4.44140625" style="1" customWidth="1"/>
    <col min="4843" max="4843" width="21.6640625" style="1" customWidth="1"/>
    <col min="4844" max="4844" width="15" style="1" customWidth="1"/>
    <col min="4845" max="4845" width="15.44140625" style="1" customWidth="1"/>
    <col min="4846" max="4846" width="11.5546875" style="1" customWidth="1"/>
    <col min="4847" max="4847" width="7.44140625" style="1" customWidth="1"/>
    <col min="4848" max="4848" width="14.109375" style="1" customWidth="1"/>
    <col min="4849" max="4849" width="10.6640625" style="1" customWidth="1"/>
    <col min="4850" max="4850" width="13.44140625" style="1" customWidth="1"/>
    <col min="4851" max="4851" width="11.44140625" style="1" customWidth="1"/>
    <col min="4852" max="4852" width="15" style="1" customWidth="1"/>
    <col min="4853" max="4853" width="14.5546875" style="1" customWidth="1"/>
    <col min="4854" max="4854" width="10.33203125" style="1"/>
    <col min="4855" max="4855" width="7.44140625" style="1" customWidth="1"/>
    <col min="4856" max="4856" width="12.88671875" style="1" customWidth="1"/>
    <col min="4857" max="4857" width="11.109375" style="1" customWidth="1"/>
    <col min="4858" max="4858" width="14" style="1" customWidth="1"/>
    <col min="4859" max="4859" width="33" style="1" customWidth="1"/>
    <col min="4860" max="4860" width="6.6640625" style="1" customWidth="1"/>
    <col min="4861" max="4861" width="19" style="1" customWidth="1"/>
    <col min="4862" max="4862" width="19.109375" style="1" customWidth="1"/>
    <col min="4863" max="4863" width="21.33203125" style="1" customWidth="1"/>
    <col min="4864" max="4864" width="32.5546875" style="1" customWidth="1"/>
    <col min="4865" max="4865" width="16.88671875" style="1" customWidth="1"/>
    <col min="4866" max="4866" width="16.33203125" style="1" customWidth="1"/>
    <col min="4867" max="5097" width="10.33203125" style="1"/>
    <col min="5098" max="5098" width="4.44140625" style="1" customWidth="1"/>
    <col min="5099" max="5099" width="21.6640625" style="1" customWidth="1"/>
    <col min="5100" max="5100" width="15" style="1" customWidth="1"/>
    <col min="5101" max="5101" width="15.44140625" style="1" customWidth="1"/>
    <col min="5102" max="5102" width="11.5546875" style="1" customWidth="1"/>
    <col min="5103" max="5103" width="7.44140625" style="1" customWidth="1"/>
    <col min="5104" max="5104" width="14.109375" style="1" customWidth="1"/>
    <col min="5105" max="5105" width="10.6640625" style="1" customWidth="1"/>
    <col min="5106" max="5106" width="13.44140625" style="1" customWidth="1"/>
    <col min="5107" max="5107" width="11.44140625" style="1" customWidth="1"/>
    <col min="5108" max="5108" width="15" style="1" customWidth="1"/>
    <col min="5109" max="5109" width="14.5546875" style="1" customWidth="1"/>
    <col min="5110" max="5110" width="10.33203125" style="1"/>
    <col min="5111" max="5111" width="7.44140625" style="1" customWidth="1"/>
    <col min="5112" max="5112" width="12.88671875" style="1" customWidth="1"/>
    <col min="5113" max="5113" width="11.109375" style="1" customWidth="1"/>
    <col min="5114" max="5114" width="14" style="1" customWidth="1"/>
    <col min="5115" max="5115" width="33" style="1" customWidth="1"/>
    <col min="5116" max="5116" width="6.6640625" style="1" customWidth="1"/>
    <col min="5117" max="5117" width="19" style="1" customWidth="1"/>
    <col min="5118" max="5118" width="19.109375" style="1" customWidth="1"/>
    <col min="5119" max="5119" width="21.33203125" style="1" customWidth="1"/>
    <col min="5120" max="5120" width="32.5546875" style="1" customWidth="1"/>
    <col min="5121" max="5121" width="16.88671875" style="1" customWidth="1"/>
    <col min="5122" max="5122" width="16.33203125" style="1" customWidth="1"/>
    <col min="5123" max="5353" width="10.33203125" style="1"/>
    <col min="5354" max="5354" width="4.44140625" style="1" customWidth="1"/>
    <col min="5355" max="5355" width="21.6640625" style="1" customWidth="1"/>
    <col min="5356" max="5356" width="15" style="1" customWidth="1"/>
    <col min="5357" max="5357" width="15.44140625" style="1" customWidth="1"/>
    <col min="5358" max="5358" width="11.5546875" style="1" customWidth="1"/>
    <col min="5359" max="5359" width="7.44140625" style="1" customWidth="1"/>
    <col min="5360" max="5360" width="14.109375" style="1" customWidth="1"/>
    <col min="5361" max="5361" width="10.6640625" style="1" customWidth="1"/>
    <col min="5362" max="5362" width="13.44140625" style="1" customWidth="1"/>
    <col min="5363" max="5363" width="11.44140625" style="1" customWidth="1"/>
    <col min="5364" max="5364" width="15" style="1" customWidth="1"/>
    <col min="5365" max="5365" width="14.5546875" style="1" customWidth="1"/>
    <col min="5366" max="5366" width="10.33203125" style="1"/>
    <col min="5367" max="5367" width="7.44140625" style="1" customWidth="1"/>
    <col min="5368" max="5368" width="12.88671875" style="1" customWidth="1"/>
    <col min="5369" max="5369" width="11.109375" style="1" customWidth="1"/>
    <col min="5370" max="5370" width="14" style="1" customWidth="1"/>
    <col min="5371" max="5371" width="33" style="1" customWidth="1"/>
    <col min="5372" max="5372" width="6.6640625" style="1" customWidth="1"/>
    <col min="5373" max="5373" width="19" style="1" customWidth="1"/>
    <col min="5374" max="5374" width="19.109375" style="1" customWidth="1"/>
    <col min="5375" max="5375" width="21.33203125" style="1" customWidth="1"/>
    <col min="5376" max="5376" width="32.5546875" style="1" customWidth="1"/>
    <col min="5377" max="5377" width="16.88671875" style="1" customWidth="1"/>
    <col min="5378" max="5378" width="16.33203125" style="1" customWidth="1"/>
    <col min="5379" max="5609" width="10.33203125" style="1"/>
    <col min="5610" max="5610" width="4.44140625" style="1" customWidth="1"/>
    <col min="5611" max="5611" width="21.6640625" style="1" customWidth="1"/>
    <col min="5612" max="5612" width="15" style="1" customWidth="1"/>
    <col min="5613" max="5613" width="15.44140625" style="1" customWidth="1"/>
    <col min="5614" max="5614" width="11.5546875" style="1" customWidth="1"/>
    <col min="5615" max="5615" width="7.44140625" style="1" customWidth="1"/>
    <col min="5616" max="5616" width="14.109375" style="1" customWidth="1"/>
    <col min="5617" max="5617" width="10.6640625" style="1" customWidth="1"/>
    <col min="5618" max="5618" width="13.44140625" style="1" customWidth="1"/>
    <col min="5619" max="5619" width="11.44140625" style="1" customWidth="1"/>
    <col min="5620" max="5620" width="15" style="1" customWidth="1"/>
    <col min="5621" max="5621" width="14.5546875" style="1" customWidth="1"/>
    <col min="5622" max="5622" width="10.33203125" style="1"/>
    <col min="5623" max="5623" width="7.44140625" style="1" customWidth="1"/>
    <col min="5624" max="5624" width="12.88671875" style="1" customWidth="1"/>
    <col min="5625" max="5625" width="11.109375" style="1" customWidth="1"/>
    <col min="5626" max="5626" width="14" style="1" customWidth="1"/>
    <col min="5627" max="5627" width="33" style="1" customWidth="1"/>
    <col min="5628" max="5628" width="6.6640625" style="1" customWidth="1"/>
    <col min="5629" max="5629" width="19" style="1" customWidth="1"/>
    <col min="5630" max="5630" width="19.109375" style="1" customWidth="1"/>
    <col min="5631" max="5631" width="21.33203125" style="1" customWidth="1"/>
    <col min="5632" max="5632" width="32.5546875" style="1" customWidth="1"/>
    <col min="5633" max="5633" width="16.88671875" style="1" customWidth="1"/>
    <col min="5634" max="5634" width="16.33203125" style="1" customWidth="1"/>
    <col min="5635" max="5865" width="10.33203125" style="1"/>
    <col min="5866" max="5866" width="4.44140625" style="1" customWidth="1"/>
    <col min="5867" max="5867" width="21.6640625" style="1" customWidth="1"/>
    <col min="5868" max="5868" width="15" style="1" customWidth="1"/>
    <col min="5869" max="5869" width="15.44140625" style="1" customWidth="1"/>
    <col min="5870" max="5870" width="11.5546875" style="1" customWidth="1"/>
    <col min="5871" max="5871" width="7.44140625" style="1" customWidth="1"/>
    <col min="5872" max="5872" width="14.109375" style="1" customWidth="1"/>
    <col min="5873" max="5873" width="10.6640625" style="1" customWidth="1"/>
    <col min="5874" max="5874" width="13.44140625" style="1" customWidth="1"/>
    <col min="5875" max="5875" width="11.44140625" style="1" customWidth="1"/>
    <col min="5876" max="5876" width="15" style="1" customWidth="1"/>
    <col min="5877" max="5877" width="14.5546875" style="1" customWidth="1"/>
    <col min="5878" max="5878" width="10.33203125" style="1"/>
    <col min="5879" max="5879" width="7.44140625" style="1" customWidth="1"/>
    <col min="5880" max="5880" width="12.88671875" style="1" customWidth="1"/>
    <col min="5881" max="5881" width="11.109375" style="1" customWidth="1"/>
    <col min="5882" max="5882" width="14" style="1" customWidth="1"/>
    <col min="5883" max="5883" width="33" style="1" customWidth="1"/>
    <col min="5884" max="5884" width="6.6640625" style="1" customWidth="1"/>
    <col min="5885" max="5885" width="19" style="1" customWidth="1"/>
    <col min="5886" max="5886" width="19.109375" style="1" customWidth="1"/>
    <col min="5887" max="5887" width="21.33203125" style="1" customWidth="1"/>
    <col min="5888" max="5888" width="32.5546875" style="1" customWidth="1"/>
    <col min="5889" max="5889" width="16.88671875" style="1" customWidth="1"/>
    <col min="5890" max="5890" width="16.33203125" style="1" customWidth="1"/>
    <col min="5891" max="6121" width="10.33203125" style="1"/>
    <col min="6122" max="6122" width="4.44140625" style="1" customWidth="1"/>
    <col min="6123" max="6123" width="21.6640625" style="1" customWidth="1"/>
    <col min="6124" max="6124" width="15" style="1" customWidth="1"/>
    <col min="6125" max="6125" width="15.44140625" style="1" customWidth="1"/>
    <col min="6126" max="6126" width="11.5546875" style="1" customWidth="1"/>
    <col min="6127" max="6127" width="7.44140625" style="1" customWidth="1"/>
    <col min="6128" max="6128" width="14.109375" style="1" customWidth="1"/>
    <col min="6129" max="6129" width="10.6640625" style="1" customWidth="1"/>
    <col min="6130" max="6130" width="13.44140625" style="1" customWidth="1"/>
    <col min="6131" max="6131" width="11.44140625" style="1" customWidth="1"/>
    <col min="6132" max="6132" width="15" style="1" customWidth="1"/>
    <col min="6133" max="6133" width="14.5546875" style="1" customWidth="1"/>
    <col min="6134" max="6134" width="10.33203125" style="1"/>
    <col min="6135" max="6135" width="7.44140625" style="1" customWidth="1"/>
    <col min="6136" max="6136" width="12.88671875" style="1" customWidth="1"/>
    <col min="6137" max="6137" width="11.109375" style="1" customWidth="1"/>
    <col min="6138" max="6138" width="14" style="1" customWidth="1"/>
    <col min="6139" max="6139" width="33" style="1" customWidth="1"/>
    <col min="6140" max="6140" width="6.6640625" style="1" customWidth="1"/>
    <col min="6141" max="6141" width="19" style="1" customWidth="1"/>
    <col min="6142" max="6142" width="19.109375" style="1" customWidth="1"/>
    <col min="6143" max="6143" width="21.33203125" style="1" customWidth="1"/>
    <col min="6144" max="6144" width="32.5546875" style="1" customWidth="1"/>
    <col min="6145" max="6145" width="16.88671875" style="1" customWidth="1"/>
    <col min="6146" max="6146" width="16.33203125" style="1" customWidth="1"/>
    <col min="6147" max="6377" width="10.33203125" style="1"/>
    <col min="6378" max="6378" width="4.44140625" style="1" customWidth="1"/>
    <col min="6379" max="6379" width="21.6640625" style="1" customWidth="1"/>
    <col min="6380" max="6380" width="15" style="1" customWidth="1"/>
    <col min="6381" max="6381" width="15.44140625" style="1" customWidth="1"/>
    <col min="6382" max="6382" width="11.5546875" style="1" customWidth="1"/>
    <col min="6383" max="6383" width="7.44140625" style="1" customWidth="1"/>
    <col min="6384" max="6384" width="14.109375" style="1" customWidth="1"/>
    <col min="6385" max="6385" width="10.6640625" style="1" customWidth="1"/>
    <col min="6386" max="6386" width="13.44140625" style="1" customWidth="1"/>
    <col min="6387" max="6387" width="11.44140625" style="1" customWidth="1"/>
    <col min="6388" max="6388" width="15" style="1" customWidth="1"/>
    <col min="6389" max="6389" width="14.5546875" style="1" customWidth="1"/>
    <col min="6390" max="6390" width="10.33203125" style="1"/>
    <col min="6391" max="6391" width="7.44140625" style="1" customWidth="1"/>
    <col min="6392" max="6392" width="12.88671875" style="1" customWidth="1"/>
    <col min="6393" max="6393" width="11.109375" style="1" customWidth="1"/>
    <col min="6394" max="6394" width="14" style="1" customWidth="1"/>
    <col min="6395" max="6395" width="33" style="1" customWidth="1"/>
    <col min="6396" max="6396" width="6.6640625" style="1" customWidth="1"/>
    <col min="6397" max="6397" width="19" style="1" customWidth="1"/>
    <col min="6398" max="6398" width="19.109375" style="1" customWidth="1"/>
    <col min="6399" max="6399" width="21.33203125" style="1" customWidth="1"/>
    <col min="6400" max="6400" width="32.5546875" style="1" customWidth="1"/>
    <col min="6401" max="6401" width="16.88671875" style="1" customWidth="1"/>
    <col min="6402" max="6402" width="16.33203125" style="1" customWidth="1"/>
    <col min="6403" max="6633" width="10.33203125" style="1"/>
    <col min="6634" max="6634" width="4.44140625" style="1" customWidth="1"/>
    <col min="6635" max="6635" width="21.6640625" style="1" customWidth="1"/>
    <col min="6636" max="6636" width="15" style="1" customWidth="1"/>
    <col min="6637" max="6637" width="15.44140625" style="1" customWidth="1"/>
    <col min="6638" max="6638" width="11.5546875" style="1" customWidth="1"/>
    <col min="6639" max="6639" width="7.44140625" style="1" customWidth="1"/>
    <col min="6640" max="6640" width="14.109375" style="1" customWidth="1"/>
    <col min="6641" max="6641" width="10.6640625" style="1" customWidth="1"/>
    <col min="6642" max="6642" width="13.44140625" style="1" customWidth="1"/>
    <col min="6643" max="6643" width="11.44140625" style="1" customWidth="1"/>
    <col min="6644" max="6644" width="15" style="1" customWidth="1"/>
    <col min="6645" max="6645" width="14.5546875" style="1" customWidth="1"/>
    <col min="6646" max="6646" width="10.33203125" style="1"/>
    <col min="6647" max="6647" width="7.44140625" style="1" customWidth="1"/>
    <col min="6648" max="6648" width="12.88671875" style="1" customWidth="1"/>
    <col min="6649" max="6649" width="11.109375" style="1" customWidth="1"/>
    <col min="6650" max="6650" width="14" style="1" customWidth="1"/>
    <col min="6651" max="6651" width="33" style="1" customWidth="1"/>
    <col min="6652" max="6652" width="6.6640625" style="1" customWidth="1"/>
    <col min="6653" max="6653" width="19" style="1" customWidth="1"/>
    <col min="6654" max="6654" width="19.109375" style="1" customWidth="1"/>
    <col min="6655" max="6655" width="21.33203125" style="1" customWidth="1"/>
    <col min="6656" max="6656" width="32.5546875" style="1" customWidth="1"/>
    <col min="6657" max="6657" width="16.88671875" style="1" customWidth="1"/>
    <col min="6658" max="6658" width="16.33203125" style="1" customWidth="1"/>
    <col min="6659" max="6889" width="10.33203125" style="1"/>
    <col min="6890" max="6890" width="4.44140625" style="1" customWidth="1"/>
    <col min="6891" max="6891" width="21.6640625" style="1" customWidth="1"/>
    <col min="6892" max="6892" width="15" style="1" customWidth="1"/>
    <col min="6893" max="6893" width="15.44140625" style="1" customWidth="1"/>
    <col min="6894" max="6894" width="11.5546875" style="1" customWidth="1"/>
    <col min="6895" max="6895" width="7.44140625" style="1" customWidth="1"/>
    <col min="6896" max="6896" width="14.109375" style="1" customWidth="1"/>
    <col min="6897" max="6897" width="10.6640625" style="1" customWidth="1"/>
    <col min="6898" max="6898" width="13.44140625" style="1" customWidth="1"/>
    <col min="6899" max="6899" width="11.44140625" style="1" customWidth="1"/>
    <col min="6900" max="6900" width="15" style="1" customWidth="1"/>
    <col min="6901" max="6901" width="14.5546875" style="1" customWidth="1"/>
    <col min="6902" max="6902" width="10.33203125" style="1"/>
    <col min="6903" max="6903" width="7.44140625" style="1" customWidth="1"/>
    <col min="6904" max="6904" width="12.88671875" style="1" customWidth="1"/>
    <col min="6905" max="6905" width="11.109375" style="1" customWidth="1"/>
    <col min="6906" max="6906" width="14" style="1" customWidth="1"/>
    <col min="6907" max="6907" width="33" style="1" customWidth="1"/>
    <col min="6908" max="6908" width="6.6640625" style="1" customWidth="1"/>
    <col min="6909" max="6909" width="19" style="1" customWidth="1"/>
    <col min="6910" max="6910" width="19.109375" style="1" customWidth="1"/>
    <col min="6911" max="6911" width="21.33203125" style="1" customWidth="1"/>
    <col min="6912" max="6912" width="32.5546875" style="1" customWidth="1"/>
    <col min="6913" max="6913" width="16.88671875" style="1" customWidth="1"/>
    <col min="6914" max="6914" width="16.33203125" style="1" customWidth="1"/>
    <col min="6915" max="7145" width="10.33203125" style="1"/>
    <col min="7146" max="7146" width="4.44140625" style="1" customWidth="1"/>
    <col min="7147" max="7147" width="21.6640625" style="1" customWidth="1"/>
    <col min="7148" max="7148" width="15" style="1" customWidth="1"/>
    <col min="7149" max="7149" width="15.44140625" style="1" customWidth="1"/>
    <col min="7150" max="7150" width="11.5546875" style="1" customWidth="1"/>
    <col min="7151" max="7151" width="7.44140625" style="1" customWidth="1"/>
    <col min="7152" max="7152" width="14.109375" style="1" customWidth="1"/>
    <col min="7153" max="7153" width="10.6640625" style="1" customWidth="1"/>
    <col min="7154" max="7154" width="13.44140625" style="1" customWidth="1"/>
    <col min="7155" max="7155" width="11.44140625" style="1" customWidth="1"/>
    <col min="7156" max="7156" width="15" style="1" customWidth="1"/>
    <col min="7157" max="7157" width="14.5546875" style="1" customWidth="1"/>
    <col min="7158" max="7158" width="10.33203125" style="1"/>
    <col min="7159" max="7159" width="7.44140625" style="1" customWidth="1"/>
    <col min="7160" max="7160" width="12.88671875" style="1" customWidth="1"/>
    <col min="7161" max="7161" width="11.109375" style="1" customWidth="1"/>
    <col min="7162" max="7162" width="14" style="1" customWidth="1"/>
    <col min="7163" max="7163" width="33" style="1" customWidth="1"/>
    <col min="7164" max="7164" width="6.6640625" style="1" customWidth="1"/>
    <col min="7165" max="7165" width="19" style="1" customWidth="1"/>
    <col min="7166" max="7166" width="19.109375" style="1" customWidth="1"/>
    <col min="7167" max="7167" width="21.33203125" style="1" customWidth="1"/>
    <col min="7168" max="7168" width="32.5546875" style="1" customWidth="1"/>
    <col min="7169" max="7169" width="16.88671875" style="1" customWidth="1"/>
    <col min="7170" max="7170" width="16.33203125" style="1" customWidth="1"/>
    <col min="7171" max="7401" width="10.33203125" style="1"/>
    <col min="7402" max="7402" width="4.44140625" style="1" customWidth="1"/>
    <col min="7403" max="7403" width="21.6640625" style="1" customWidth="1"/>
    <col min="7404" max="7404" width="15" style="1" customWidth="1"/>
    <col min="7405" max="7405" width="15.44140625" style="1" customWidth="1"/>
    <col min="7406" max="7406" width="11.5546875" style="1" customWidth="1"/>
    <col min="7407" max="7407" width="7.44140625" style="1" customWidth="1"/>
    <col min="7408" max="7408" width="14.109375" style="1" customWidth="1"/>
    <col min="7409" max="7409" width="10.6640625" style="1" customWidth="1"/>
    <col min="7410" max="7410" width="13.44140625" style="1" customWidth="1"/>
    <col min="7411" max="7411" width="11.44140625" style="1" customWidth="1"/>
    <col min="7412" max="7412" width="15" style="1" customWidth="1"/>
    <col min="7413" max="7413" width="14.5546875" style="1" customWidth="1"/>
    <col min="7414" max="7414" width="10.33203125" style="1"/>
    <col min="7415" max="7415" width="7.44140625" style="1" customWidth="1"/>
    <col min="7416" max="7416" width="12.88671875" style="1" customWidth="1"/>
    <col min="7417" max="7417" width="11.109375" style="1" customWidth="1"/>
    <col min="7418" max="7418" width="14" style="1" customWidth="1"/>
    <col min="7419" max="7419" width="33" style="1" customWidth="1"/>
    <col min="7420" max="7420" width="6.6640625" style="1" customWidth="1"/>
    <col min="7421" max="7421" width="19" style="1" customWidth="1"/>
    <col min="7422" max="7422" width="19.109375" style="1" customWidth="1"/>
    <col min="7423" max="7423" width="21.33203125" style="1" customWidth="1"/>
    <col min="7424" max="7424" width="32.5546875" style="1" customWidth="1"/>
    <col min="7425" max="7425" width="16.88671875" style="1" customWidth="1"/>
    <col min="7426" max="7426" width="16.33203125" style="1" customWidth="1"/>
    <col min="7427" max="7657" width="10.33203125" style="1"/>
    <col min="7658" max="7658" width="4.44140625" style="1" customWidth="1"/>
    <col min="7659" max="7659" width="21.6640625" style="1" customWidth="1"/>
    <col min="7660" max="7660" width="15" style="1" customWidth="1"/>
    <col min="7661" max="7661" width="15.44140625" style="1" customWidth="1"/>
    <col min="7662" max="7662" width="11.5546875" style="1" customWidth="1"/>
    <col min="7663" max="7663" width="7.44140625" style="1" customWidth="1"/>
    <col min="7664" max="7664" width="14.109375" style="1" customWidth="1"/>
    <col min="7665" max="7665" width="10.6640625" style="1" customWidth="1"/>
    <col min="7666" max="7666" width="13.44140625" style="1" customWidth="1"/>
    <col min="7667" max="7667" width="11.44140625" style="1" customWidth="1"/>
    <col min="7668" max="7668" width="15" style="1" customWidth="1"/>
    <col min="7669" max="7669" width="14.5546875" style="1" customWidth="1"/>
    <col min="7670" max="7670" width="10.33203125" style="1"/>
    <col min="7671" max="7671" width="7.44140625" style="1" customWidth="1"/>
    <col min="7672" max="7672" width="12.88671875" style="1" customWidth="1"/>
    <col min="7673" max="7673" width="11.109375" style="1" customWidth="1"/>
    <col min="7674" max="7674" width="14" style="1" customWidth="1"/>
    <col min="7675" max="7675" width="33" style="1" customWidth="1"/>
    <col min="7676" max="7676" width="6.6640625" style="1" customWidth="1"/>
    <col min="7677" max="7677" width="19" style="1" customWidth="1"/>
    <col min="7678" max="7678" width="19.109375" style="1" customWidth="1"/>
    <col min="7679" max="7679" width="21.33203125" style="1" customWidth="1"/>
    <col min="7680" max="7680" width="32.5546875" style="1" customWidth="1"/>
    <col min="7681" max="7681" width="16.88671875" style="1" customWidth="1"/>
    <col min="7682" max="7682" width="16.33203125" style="1" customWidth="1"/>
    <col min="7683" max="7913" width="10.33203125" style="1"/>
    <col min="7914" max="7914" width="4.44140625" style="1" customWidth="1"/>
    <col min="7915" max="7915" width="21.6640625" style="1" customWidth="1"/>
    <col min="7916" max="7916" width="15" style="1" customWidth="1"/>
    <col min="7917" max="7917" width="15.44140625" style="1" customWidth="1"/>
    <col min="7918" max="7918" width="11.5546875" style="1" customWidth="1"/>
    <col min="7919" max="7919" width="7.44140625" style="1" customWidth="1"/>
    <col min="7920" max="7920" width="14.109375" style="1" customWidth="1"/>
    <col min="7921" max="7921" width="10.6640625" style="1" customWidth="1"/>
    <col min="7922" max="7922" width="13.44140625" style="1" customWidth="1"/>
    <col min="7923" max="7923" width="11.44140625" style="1" customWidth="1"/>
    <col min="7924" max="7924" width="15" style="1" customWidth="1"/>
    <col min="7925" max="7925" width="14.5546875" style="1" customWidth="1"/>
    <col min="7926" max="7926" width="10.33203125" style="1"/>
    <col min="7927" max="7927" width="7.44140625" style="1" customWidth="1"/>
    <col min="7928" max="7928" width="12.88671875" style="1" customWidth="1"/>
    <col min="7929" max="7929" width="11.109375" style="1" customWidth="1"/>
    <col min="7930" max="7930" width="14" style="1" customWidth="1"/>
    <col min="7931" max="7931" width="33" style="1" customWidth="1"/>
    <col min="7932" max="7932" width="6.6640625" style="1" customWidth="1"/>
    <col min="7933" max="7933" width="19" style="1" customWidth="1"/>
    <col min="7934" max="7934" width="19.109375" style="1" customWidth="1"/>
    <col min="7935" max="7935" width="21.33203125" style="1" customWidth="1"/>
    <col min="7936" max="7936" width="32.5546875" style="1" customWidth="1"/>
    <col min="7937" max="7937" width="16.88671875" style="1" customWidth="1"/>
    <col min="7938" max="7938" width="16.33203125" style="1" customWidth="1"/>
    <col min="7939" max="8169" width="10.33203125" style="1"/>
    <col min="8170" max="8170" width="4.44140625" style="1" customWidth="1"/>
    <col min="8171" max="8171" width="21.6640625" style="1" customWidth="1"/>
    <col min="8172" max="8172" width="15" style="1" customWidth="1"/>
    <col min="8173" max="8173" width="15.44140625" style="1" customWidth="1"/>
    <col min="8174" max="8174" width="11.5546875" style="1" customWidth="1"/>
    <col min="8175" max="8175" width="7.44140625" style="1" customWidth="1"/>
    <col min="8176" max="8176" width="14.109375" style="1" customWidth="1"/>
    <col min="8177" max="8177" width="10.6640625" style="1" customWidth="1"/>
    <col min="8178" max="8178" width="13.44140625" style="1" customWidth="1"/>
    <col min="8179" max="8179" width="11.44140625" style="1" customWidth="1"/>
    <col min="8180" max="8180" width="15" style="1" customWidth="1"/>
    <col min="8181" max="8181" width="14.5546875" style="1" customWidth="1"/>
    <col min="8182" max="8182" width="10.33203125" style="1"/>
    <col min="8183" max="8183" width="7.44140625" style="1" customWidth="1"/>
    <col min="8184" max="8184" width="12.88671875" style="1" customWidth="1"/>
    <col min="8185" max="8185" width="11.109375" style="1" customWidth="1"/>
    <col min="8186" max="8186" width="14" style="1" customWidth="1"/>
    <col min="8187" max="8187" width="33" style="1" customWidth="1"/>
    <col min="8188" max="8188" width="6.6640625" style="1" customWidth="1"/>
    <col min="8189" max="8189" width="19" style="1" customWidth="1"/>
    <col min="8190" max="8190" width="19.109375" style="1" customWidth="1"/>
    <col min="8191" max="8191" width="21.33203125" style="1" customWidth="1"/>
    <col min="8192" max="8192" width="32.5546875" style="1" customWidth="1"/>
    <col min="8193" max="8193" width="16.88671875" style="1" customWidth="1"/>
    <col min="8194" max="8194" width="16.33203125" style="1" customWidth="1"/>
    <col min="8195" max="8425" width="10.33203125" style="1"/>
    <col min="8426" max="8426" width="4.44140625" style="1" customWidth="1"/>
    <col min="8427" max="8427" width="21.6640625" style="1" customWidth="1"/>
    <col min="8428" max="8428" width="15" style="1" customWidth="1"/>
    <col min="8429" max="8429" width="15.44140625" style="1" customWidth="1"/>
    <col min="8430" max="8430" width="11.5546875" style="1" customWidth="1"/>
    <col min="8431" max="8431" width="7.44140625" style="1" customWidth="1"/>
    <col min="8432" max="8432" width="14.109375" style="1" customWidth="1"/>
    <col min="8433" max="8433" width="10.6640625" style="1" customWidth="1"/>
    <col min="8434" max="8434" width="13.44140625" style="1" customWidth="1"/>
    <col min="8435" max="8435" width="11.44140625" style="1" customWidth="1"/>
    <col min="8436" max="8436" width="15" style="1" customWidth="1"/>
    <col min="8437" max="8437" width="14.5546875" style="1" customWidth="1"/>
    <col min="8438" max="8438" width="10.33203125" style="1"/>
    <col min="8439" max="8439" width="7.44140625" style="1" customWidth="1"/>
    <col min="8440" max="8440" width="12.88671875" style="1" customWidth="1"/>
    <col min="8441" max="8441" width="11.109375" style="1" customWidth="1"/>
    <col min="8442" max="8442" width="14" style="1" customWidth="1"/>
    <col min="8443" max="8443" width="33" style="1" customWidth="1"/>
    <col min="8444" max="8444" width="6.6640625" style="1" customWidth="1"/>
    <col min="8445" max="8445" width="19" style="1" customWidth="1"/>
    <col min="8446" max="8446" width="19.109375" style="1" customWidth="1"/>
    <col min="8447" max="8447" width="21.33203125" style="1" customWidth="1"/>
    <col min="8448" max="8448" width="32.5546875" style="1" customWidth="1"/>
    <col min="8449" max="8449" width="16.88671875" style="1" customWidth="1"/>
    <col min="8450" max="8450" width="16.33203125" style="1" customWidth="1"/>
    <col min="8451" max="8681" width="10.33203125" style="1"/>
    <col min="8682" max="8682" width="4.44140625" style="1" customWidth="1"/>
    <col min="8683" max="8683" width="21.6640625" style="1" customWidth="1"/>
    <col min="8684" max="8684" width="15" style="1" customWidth="1"/>
    <col min="8685" max="8685" width="15.44140625" style="1" customWidth="1"/>
    <col min="8686" max="8686" width="11.5546875" style="1" customWidth="1"/>
    <col min="8687" max="8687" width="7.44140625" style="1" customWidth="1"/>
    <col min="8688" max="8688" width="14.109375" style="1" customWidth="1"/>
    <col min="8689" max="8689" width="10.6640625" style="1" customWidth="1"/>
    <col min="8690" max="8690" width="13.44140625" style="1" customWidth="1"/>
    <col min="8691" max="8691" width="11.44140625" style="1" customWidth="1"/>
    <col min="8692" max="8692" width="15" style="1" customWidth="1"/>
    <col min="8693" max="8693" width="14.5546875" style="1" customWidth="1"/>
    <col min="8694" max="8694" width="10.33203125" style="1"/>
    <col min="8695" max="8695" width="7.44140625" style="1" customWidth="1"/>
    <col min="8696" max="8696" width="12.88671875" style="1" customWidth="1"/>
    <col min="8697" max="8697" width="11.109375" style="1" customWidth="1"/>
    <col min="8698" max="8698" width="14" style="1" customWidth="1"/>
    <col min="8699" max="8699" width="33" style="1" customWidth="1"/>
    <col min="8700" max="8700" width="6.6640625" style="1" customWidth="1"/>
    <col min="8701" max="8701" width="19" style="1" customWidth="1"/>
    <col min="8702" max="8702" width="19.109375" style="1" customWidth="1"/>
    <col min="8703" max="8703" width="21.33203125" style="1" customWidth="1"/>
    <col min="8704" max="8704" width="32.5546875" style="1" customWidth="1"/>
    <col min="8705" max="8705" width="16.88671875" style="1" customWidth="1"/>
    <col min="8706" max="8706" width="16.33203125" style="1" customWidth="1"/>
    <col min="8707" max="8937" width="10.33203125" style="1"/>
    <col min="8938" max="8938" width="4.44140625" style="1" customWidth="1"/>
    <col min="8939" max="8939" width="21.6640625" style="1" customWidth="1"/>
    <col min="8940" max="8940" width="15" style="1" customWidth="1"/>
    <col min="8941" max="8941" width="15.44140625" style="1" customWidth="1"/>
    <col min="8942" max="8942" width="11.5546875" style="1" customWidth="1"/>
    <col min="8943" max="8943" width="7.44140625" style="1" customWidth="1"/>
    <col min="8944" max="8944" width="14.109375" style="1" customWidth="1"/>
    <col min="8945" max="8945" width="10.6640625" style="1" customWidth="1"/>
    <col min="8946" max="8946" width="13.44140625" style="1" customWidth="1"/>
    <col min="8947" max="8947" width="11.44140625" style="1" customWidth="1"/>
    <col min="8948" max="8948" width="15" style="1" customWidth="1"/>
    <col min="8949" max="8949" width="14.5546875" style="1" customWidth="1"/>
    <col min="8950" max="8950" width="10.33203125" style="1"/>
    <col min="8951" max="8951" width="7.44140625" style="1" customWidth="1"/>
    <col min="8952" max="8952" width="12.88671875" style="1" customWidth="1"/>
    <col min="8953" max="8953" width="11.109375" style="1" customWidth="1"/>
    <col min="8954" max="8954" width="14" style="1" customWidth="1"/>
    <col min="8955" max="8955" width="33" style="1" customWidth="1"/>
    <col min="8956" max="8956" width="6.6640625" style="1" customWidth="1"/>
    <col min="8957" max="8957" width="19" style="1" customWidth="1"/>
    <col min="8958" max="8958" width="19.109375" style="1" customWidth="1"/>
    <col min="8959" max="8959" width="21.33203125" style="1" customWidth="1"/>
    <col min="8960" max="8960" width="32.5546875" style="1" customWidth="1"/>
    <col min="8961" max="8961" width="16.88671875" style="1" customWidth="1"/>
    <col min="8962" max="8962" width="16.33203125" style="1" customWidth="1"/>
    <col min="8963" max="9193" width="10.33203125" style="1"/>
    <col min="9194" max="9194" width="4.44140625" style="1" customWidth="1"/>
    <col min="9195" max="9195" width="21.6640625" style="1" customWidth="1"/>
    <col min="9196" max="9196" width="15" style="1" customWidth="1"/>
    <col min="9197" max="9197" width="15.44140625" style="1" customWidth="1"/>
    <col min="9198" max="9198" width="11.5546875" style="1" customWidth="1"/>
    <col min="9199" max="9199" width="7.44140625" style="1" customWidth="1"/>
    <col min="9200" max="9200" width="14.109375" style="1" customWidth="1"/>
    <col min="9201" max="9201" width="10.6640625" style="1" customWidth="1"/>
    <col min="9202" max="9202" width="13.44140625" style="1" customWidth="1"/>
    <col min="9203" max="9203" width="11.44140625" style="1" customWidth="1"/>
    <col min="9204" max="9204" width="15" style="1" customWidth="1"/>
    <col min="9205" max="9205" width="14.5546875" style="1" customWidth="1"/>
    <col min="9206" max="9206" width="10.33203125" style="1"/>
    <col min="9207" max="9207" width="7.44140625" style="1" customWidth="1"/>
    <col min="9208" max="9208" width="12.88671875" style="1" customWidth="1"/>
    <col min="9209" max="9209" width="11.109375" style="1" customWidth="1"/>
    <col min="9210" max="9210" width="14" style="1" customWidth="1"/>
    <col min="9211" max="9211" width="33" style="1" customWidth="1"/>
    <col min="9212" max="9212" width="6.6640625" style="1" customWidth="1"/>
    <col min="9213" max="9213" width="19" style="1" customWidth="1"/>
    <col min="9214" max="9214" width="19.109375" style="1" customWidth="1"/>
    <col min="9215" max="9215" width="21.33203125" style="1" customWidth="1"/>
    <col min="9216" max="9216" width="32.5546875" style="1" customWidth="1"/>
    <col min="9217" max="9217" width="16.88671875" style="1" customWidth="1"/>
    <col min="9218" max="9218" width="16.33203125" style="1" customWidth="1"/>
    <col min="9219" max="9449" width="10.33203125" style="1"/>
    <col min="9450" max="9450" width="4.44140625" style="1" customWidth="1"/>
    <col min="9451" max="9451" width="21.6640625" style="1" customWidth="1"/>
    <col min="9452" max="9452" width="15" style="1" customWidth="1"/>
    <col min="9453" max="9453" width="15.44140625" style="1" customWidth="1"/>
    <col min="9454" max="9454" width="11.5546875" style="1" customWidth="1"/>
    <col min="9455" max="9455" width="7.44140625" style="1" customWidth="1"/>
    <col min="9456" max="9456" width="14.109375" style="1" customWidth="1"/>
    <col min="9457" max="9457" width="10.6640625" style="1" customWidth="1"/>
    <col min="9458" max="9458" width="13.44140625" style="1" customWidth="1"/>
    <col min="9459" max="9459" width="11.44140625" style="1" customWidth="1"/>
    <col min="9460" max="9460" width="15" style="1" customWidth="1"/>
    <col min="9461" max="9461" width="14.5546875" style="1" customWidth="1"/>
    <col min="9462" max="9462" width="10.33203125" style="1"/>
    <col min="9463" max="9463" width="7.44140625" style="1" customWidth="1"/>
    <col min="9464" max="9464" width="12.88671875" style="1" customWidth="1"/>
    <col min="9465" max="9465" width="11.109375" style="1" customWidth="1"/>
    <col min="9466" max="9466" width="14" style="1" customWidth="1"/>
    <col min="9467" max="9467" width="33" style="1" customWidth="1"/>
    <col min="9468" max="9468" width="6.6640625" style="1" customWidth="1"/>
    <col min="9469" max="9469" width="19" style="1" customWidth="1"/>
    <col min="9470" max="9470" width="19.109375" style="1" customWidth="1"/>
    <col min="9471" max="9471" width="21.33203125" style="1" customWidth="1"/>
    <col min="9472" max="9472" width="32.5546875" style="1" customWidth="1"/>
    <col min="9473" max="9473" width="16.88671875" style="1" customWidth="1"/>
    <col min="9474" max="9474" width="16.33203125" style="1" customWidth="1"/>
    <col min="9475" max="9705" width="10.33203125" style="1"/>
    <col min="9706" max="9706" width="4.44140625" style="1" customWidth="1"/>
    <col min="9707" max="9707" width="21.6640625" style="1" customWidth="1"/>
    <col min="9708" max="9708" width="15" style="1" customWidth="1"/>
    <col min="9709" max="9709" width="15.44140625" style="1" customWidth="1"/>
    <col min="9710" max="9710" width="11.5546875" style="1" customWidth="1"/>
    <col min="9711" max="9711" width="7.44140625" style="1" customWidth="1"/>
    <col min="9712" max="9712" width="14.109375" style="1" customWidth="1"/>
    <col min="9713" max="9713" width="10.6640625" style="1" customWidth="1"/>
    <col min="9714" max="9714" width="13.44140625" style="1" customWidth="1"/>
    <col min="9715" max="9715" width="11.44140625" style="1" customWidth="1"/>
    <col min="9716" max="9716" width="15" style="1" customWidth="1"/>
    <col min="9717" max="9717" width="14.5546875" style="1" customWidth="1"/>
    <col min="9718" max="9718" width="10.33203125" style="1"/>
    <col min="9719" max="9719" width="7.44140625" style="1" customWidth="1"/>
    <col min="9720" max="9720" width="12.88671875" style="1" customWidth="1"/>
    <col min="9721" max="9721" width="11.109375" style="1" customWidth="1"/>
    <col min="9722" max="9722" width="14" style="1" customWidth="1"/>
    <col min="9723" max="9723" width="33" style="1" customWidth="1"/>
    <col min="9724" max="9724" width="6.6640625" style="1" customWidth="1"/>
    <col min="9725" max="9725" width="19" style="1" customWidth="1"/>
    <col min="9726" max="9726" width="19.109375" style="1" customWidth="1"/>
    <col min="9727" max="9727" width="21.33203125" style="1" customWidth="1"/>
    <col min="9728" max="9728" width="32.5546875" style="1" customWidth="1"/>
    <col min="9729" max="9729" width="16.88671875" style="1" customWidth="1"/>
    <col min="9730" max="9730" width="16.33203125" style="1" customWidth="1"/>
    <col min="9731" max="9961" width="10.33203125" style="1"/>
    <col min="9962" max="9962" width="4.44140625" style="1" customWidth="1"/>
    <col min="9963" max="9963" width="21.6640625" style="1" customWidth="1"/>
    <col min="9964" max="9964" width="15" style="1" customWidth="1"/>
    <col min="9965" max="9965" width="15.44140625" style="1" customWidth="1"/>
    <col min="9966" max="9966" width="11.5546875" style="1" customWidth="1"/>
    <col min="9967" max="9967" width="7.44140625" style="1" customWidth="1"/>
    <col min="9968" max="9968" width="14.109375" style="1" customWidth="1"/>
    <col min="9969" max="9969" width="10.6640625" style="1" customWidth="1"/>
    <col min="9970" max="9970" width="13.44140625" style="1" customWidth="1"/>
    <col min="9971" max="9971" width="11.44140625" style="1" customWidth="1"/>
    <col min="9972" max="9972" width="15" style="1" customWidth="1"/>
    <col min="9973" max="9973" width="14.5546875" style="1" customWidth="1"/>
    <col min="9974" max="9974" width="10.33203125" style="1"/>
    <col min="9975" max="9975" width="7.44140625" style="1" customWidth="1"/>
    <col min="9976" max="9976" width="12.88671875" style="1" customWidth="1"/>
    <col min="9977" max="9977" width="11.109375" style="1" customWidth="1"/>
    <col min="9978" max="9978" width="14" style="1" customWidth="1"/>
    <col min="9979" max="9979" width="33" style="1" customWidth="1"/>
    <col min="9980" max="9980" width="6.6640625" style="1" customWidth="1"/>
    <col min="9981" max="9981" width="19" style="1" customWidth="1"/>
    <col min="9982" max="9982" width="19.109375" style="1" customWidth="1"/>
    <col min="9983" max="9983" width="21.33203125" style="1" customWidth="1"/>
    <col min="9984" max="9984" width="32.5546875" style="1" customWidth="1"/>
    <col min="9985" max="9985" width="16.88671875" style="1" customWidth="1"/>
    <col min="9986" max="9986" width="16.33203125" style="1" customWidth="1"/>
    <col min="9987" max="10217" width="10.33203125" style="1"/>
    <col min="10218" max="10218" width="4.44140625" style="1" customWidth="1"/>
    <col min="10219" max="10219" width="21.6640625" style="1" customWidth="1"/>
    <col min="10220" max="10220" width="15" style="1" customWidth="1"/>
    <col min="10221" max="10221" width="15.44140625" style="1" customWidth="1"/>
    <col min="10222" max="10222" width="11.5546875" style="1" customWidth="1"/>
    <col min="10223" max="10223" width="7.44140625" style="1" customWidth="1"/>
    <col min="10224" max="10224" width="14.109375" style="1" customWidth="1"/>
    <col min="10225" max="10225" width="10.6640625" style="1" customWidth="1"/>
    <col min="10226" max="10226" width="13.44140625" style="1" customWidth="1"/>
    <col min="10227" max="10227" width="11.44140625" style="1" customWidth="1"/>
    <col min="10228" max="10228" width="15" style="1" customWidth="1"/>
    <col min="10229" max="10229" width="14.5546875" style="1" customWidth="1"/>
    <col min="10230" max="10230" width="10.33203125" style="1"/>
    <col min="10231" max="10231" width="7.44140625" style="1" customWidth="1"/>
    <col min="10232" max="10232" width="12.88671875" style="1" customWidth="1"/>
    <col min="10233" max="10233" width="11.109375" style="1" customWidth="1"/>
    <col min="10234" max="10234" width="14" style="1" customWidth="1"/>
    <col min="10235" max="10235" width="33" style="1" customWidth="1"/>
    <col min="10236" max="10236" width="6.6640625" style="1" customWidth="1"/>
    <col min="10237" max="10237" width="19" style="1" customWidth="1"/>
    <col min="10238" max="10238" width="19.109375" style="1" customWidth="1"/>
    <col min="10239" max="10239" width="21.33203125" style="1" customWidth="1"/>
    <col min="10240" max="10240" width="32.5546875" style="1" customWidth="1"/>
    <col min="10241" max="10241" width="16.88671875" style="1" customWidth="1"/>
    <col min="10242" max="10242" width="16.33203125" style="1" customWidth="1"/>
    <col min="10243" max="10473" width="10.33203125" style="1"/>
    <col min="10474" max="10474" width="4.44140625" style="1" customWidth="1"/>
    <col min="10475" max="10475" width="21.6640625" style="1" customWidth="1"/>
    <col min="10476" max="10476" width="15" style="1" customWidth="1"/>
    <col min="10477" max="10477" width="15.44140625" style="1" customWidth="1"/>
    <col min="10478" max="10478" width="11.5546875" style="1" customWidth="1"/>
    <col min="10479" max="10479" width="7.44140625" style="1" customWidth="1"/>
    <col min="10480" max="10480" width="14.109375" style="1" customWidth="1"/>
    <col min="10481" max="10481" width="10.6640625" style="1" customWidth="1"/>
    <col min="10482" max="10482" width="13.44140625" style="1" customWidth="1"/>
    <col min="10483" max="10483" width="11.44140625" style="1" customWidth="1"/>
    <col min="10484" max="10484" width="15" style="1" customWidth="1"/>
    <col min="10485" max="10485" width="14.5546875" style="1" customWidth="1"/>
    <col min="10486" max="10486" width="10.33203125" style="1"/>
    <col min="10487" max="10487" width="7.44140625" style="1" customWidth="1"/>
    <col min="10488" max="10488" width="12.88671875" style="1" customWidth="1"/>
    <col min="10489" max="10489" width="11.109375" style="1" customWidth="1"/>
    <col min="10490" max="10490" width="14" style="1" customWidth="1"/>
    <col min="10491" max="10491" width="33" style="1" customWidth="1"/>
    <col min="10492" max="10492" width="6.6640625" style="1" customWidth="1"/>
    <col min="10493" max="10493" width="19" style="1" customWidth="1"/>
    <col min="10494" max="10494" width="19.109375" style="1" customWidth="1"/>
    <col min="10495" max="10495" width="21.33203125" style="1" customWidth="1"/>
    <col min="10496" max="10496" width="32.5546875" style="1" customWidth="1"/>
    <col min="10497" max="10497" width="16.88671875" style="1" customWidth="1"/>
    <col min="10498" max="10498" width="16.33203125" style="1" customWidth="1"/>
    <col min="10499" max="10729" width="10.33203125" style="1"/>
    <col min="10730" max="10730" width="4.44140625" style="1" customWidth="1"/>
    <col min="10731" max="10731" width="21.6640625" style="1" customWidth="1"/>
    <col min="10732" max="10732" width="15" style="1" customWidth="1"/>
    <col min="10733" max="10733" width="15.44140625" style="1" customWidth="1"/>
    <col min="10734" max="10734" width="11.5546875" style="1" customWidth="1"/>
    <col min="10735" max="10735" width="7.44140625" style="1" customWidth="1"/>
    <col min="10736" max="10736" width="14.109375" style="1" customWidth="1"/>
    <col min="10737" max="10737" width="10.6640625" style="1" customWidth="1"/>
    <col min="10738" max="10738" width="13.44140625" style="1" customWidth="1"/>
    <col min="10739" max="10739" width="11.44140625" style="1" customWidth="1"/>
    <col min="10740" max="10740" width="15" style="1" customWidth="1"/>
    <col min="10741" max="10741" width="14.5546875" style="1" customWidth="1"/>
    <col min="10742" max="10742" width="10.33203125" style="1"/>
    <col min="10743" max="10743" width="7.44140625" style="1" customWidth="1"/>
    <col min="10744" max="10744" width="12.88671875" style="1" customWidth="1"/>
    <col min="10745" max="10745" width="11.109375" style="1" customWidth="1"/>
    <col min="10746" max="10746" width="14" style="1" customWidth="1"/>
    <col min="10747" max="10747" width="33" style="1" customWidth="1"/>
    <col min="10748" max="10748" width="6.6640625" style="1" customWidth="1"/>
    <col min="10749" max="10749" width="19" style="1" customWidth="1"/>
    <col min="10750" max="10750" width="19.109375" style="1" customWidth="1"/>
    <col min="10751" max="10751" width="21.33203125" style="1" customWidth="1"/>
    <col min="10752" max="10752" width="32.5546875" style="1" customWidth="1"/>
    <col min="10753" max="10753" width="16.88671875" style="1" customWidth="1"/>
    <col min="10754" max="10754" width="16.33203125" style="1" customWidth="1"/>
    <col min="10755" max="10985" width="10.33203125" style="1"/>
    <col min="10986" max="10986" width="4.44140625" style="1" customWidth="1"/>
    <col min="10987" max="10987" width="21.6640625" style="1" customWidth="1"/>
    <col min="10988" max="10988" width="15" style="1" customWidth="1"/>
    <col min="10989" max="10989" width="15.44140625" style="1" customWidth="1"/>
    <col min="10990" max="10990" width="11.5546875" style="1" customWidth="1"/>
    <col min="10991" max="10991" width="7.44140625" style="1" customWidth="1"/>
    <col min="10992" max="10992" width="14.109375" style="1" customWidth="1"/>
    <col min="10993" max="10993" width="10.6640625" style="1" customWidth="1"/>
    <col min="10994" max="10994" width="13.44140625" style="1" customWidth="1"/>
    <col min="10995" max="10995" width="11.44140625" style="1" customWidth="1"/>
    <col min="10996" max="10996" width="15" style="1" customWidth="1"/>
    <col min="10997" max="10997" width="14.5546875" style="1" customWidth="1"/>
    <col min="10998" max="10998" width="10.33203125" style="1"/>
    <col min="10999" max="10999" width="7.44140625" style="1" customWidth="1"/>
    <col min="11000" max="11000" width="12.88671875" style="1" customWidth="1"/>
    <col min="11001" max="11001" width="11.109375" style="1" customWidth="1"/>
    <col min="11002" max="11002" width="14" style="1" customWidth="1"/>
    <col min="11003" max="11003" width="33" style="1" customWidth="1"/>
    <col min="11004" max="11004" width="6.6640625" style="1" customWidth="1"/>
    <col min="11005" max="11005" width="19" style="1" customWidth="1"/>
    <col min="11006" max="11006" width="19.109375" style="1" customWidth="1"/>
    <col min="11007" max="11007" width="21.33203125" style="1" customWidth="1"/>
    <col min="11008" max="11008" width="32.5546875" style="1" customWidth="1"/>
    <col min="11009" max="11009" width="16.88671875" style="1" customWidth="1"/>
    <col min="11010" max="11010" width="16.33203125" style="1" customWidth="1"/>
    <col min="11011" max="11241" width="10.33203125" style="1"/>
    <col min="11242" max="11242" width="4.44140625" style="1" customWidth="1"/>
    <col min="11243" max="11243" width="21.6640625" style="1" customWidth="1"/>
    <col min="11244" max="11244" width="15" style="1" customWidth="1"/>
    <col min="11245" max="11245" width="15.44140625" style="1" customWidth="1"/>
    <col min="11246" max="11246" width="11.5546875" style="1" customWidth="1"/>
    <col min="11247" max="11247" width="7.44140625" style="1" customWidth="1"/>
    <col min="11248" max="11248" width="14.109375" style="1" customWidth="1"/>
    <col min="11249" max="11249" width="10.6640625" style="1" customWidth="1"/>
    <col min="11250" max="11250" width="13.44140625" style="1" customWidth="1"/>
    <col min="11251" max="11251" width="11.44140625" style="1" customWidth="1"/>
    <col min="11252" max="11252" width="15" style="1" customWidth="1"/>
    <col min="11253" max="11253" width="14.5546875" style="1" customWidth="1"/>
    <col min="11254" max="11254" width="10.33203125" style="1"/>
    <col min="11255" max="11255" width="7.44140625" style="1" customWidth="1"/>
    <col min="11256" max="11256" width="12.88671875" style="1" customWidth="1"/>
    <col min="11257" max="11257" width="11.109375" style="1" customWidth="1"/>
    <col min="11258" max="11258" width="14" style="1" customWidth="1"/>
    <col min="11259" max="11259" width="33" style="1" customWidth="1"/>
    <col min="11260" max="11260" width="6.6640625" style="1" customWidth="1"/>
    <col min="11261" max="11261" width="19" style="1" customWidth="1"/>
    <col min="11262" max="11262" width="19.109375" style="1" customWidth="1"/>
    <col min="11263" max="11263" width="21.33203125" style="1" customWidth="1"/>
    <col min="11264" max="11264" width="32.5546875" style="1" customWidth="1"/>
    <col min="11265" max="11265" width="16.88671875" style="1" customWidth="1"/>
    <col min="11266" max="11266" width="16.33203125" style="1" customWidth="1"/>
    <col min="11267" max="11497" width="10.33203125" style="1"/>
    <col min="11498" max="11498" width="4.44140625" style="1" customWidth="1"/>
    <col min="11499" max="11499" width="21.6640625" style="1" customWidth="1"/>
    <col min="11500" max="11500" width="15" style="1" customWidth="1"/>
    <col min="11501" max="11501" width="15.44140625" style="1" customWidth="1"/>
    <col min="11502" max="11502" width="11.5546875" style="1" customWidth="1"/>
    <col min="11503" max="11503" width="7.44140625" style="1" customWidth="1"/>
    <col min="11504" max="11504" width="14.109375" style="1" customWidth="1"/>
    <col min="11505" max="11505" width="10.6640625" style="1" customWidth="1"/>
    <col min="11506" max="11506" width="13.44140625" style="1" customWidth="1"/>
    <col min="11507" max="11507" width="11.44140625" style="1" customWidth="1"/>
    <col min="11508" max="11508" width="15" style="1" customWidth="1"/>
    <col min="11509" max="11509" width="14.5546875" style="1" customWidth="1"/>
    <col min="11510" max="11510" width="10.33203125" style="1"/>
    <col min="11511" max="11511" width="7.44140625" style="1" customWidth="1"/>
    <col min="11512" max="11512" width="12.88671875" style="1" customWidth="1"/>
    <col min="11513" max="11513" width="11.109375" style="1" customWidth="1"/>
    <col min="11514" max="11514" width="14" style="1" customWidth="1"/>
    <col min="11515" max="11515" width="33" style="1" customWidth="1"/>
    <col min="11516" max="11516" width="6.6640625" style="1" customWidth="1"/>
    <col min="11517" max="11517" width="19" style="1" customWidth="1"/>
    <col min="11518" max="11518" width="19.109375" style="1" customWidth="1"/>
    <col min="11519" max="11519" width="21.33203125" style="1" customWidth="1"/>
    <col min="11520" max="11520" width="32.5546875" style="1" customWidth="1"/>
    <col min="11521" max="11521" width="16.88671875" style="1" customWidth="1"/>
    <col min="11522" max="11522" width="16.33203125" style="1" customWidth="1"/>
    <col min="11523" max="11753" width="10.33203125" style="1"/>
    <col min="11754" max="11754" width="4.44140625" style="1" customWidth="1"/>
    <col min="11755" max="11755" width="21.6640625" style="1" customWidth="1"/>
    <col min="11756" max="11756" width="15" style="1" customWidth="1"/>
    <col min="11757" max="11757" width="15.44140625" style="1" customWidth="1"/>
    <col min="11758" max="11758" width="11.5546875" style="1" customWidth="1"/>
    <col min="11759" max="11759" width="7.44140625" style="1" customWidth="1"/>
    <col min="11760" max="11760" width="14.109375" style="1" customWidth="1"/>
    <col min="11761" max="11761" width="10.6640625" style="1" customWidth="1"/>
    <col min="11762" max="11762" width="13.44140625" style="1" customWidth="1"/>
    <col min="11763" max="11763" width="11.44140625" style="1" customWidth="1"/>
    <col min="11764" max="11764" width="15" style="1" customWidth="1"/>
    <col min="11765" max="11765" width="14.5546875" style="1" customWidth="1"/>
    <col min="11766" max="11766" width="10.33203125" style="1"/>
    <col min="11767" max="11767" width="7.44140625" style="1" customWidth="1"/>
    <col min="11768" max="11768" width="12.88671875" style="1" customWidth="1"/>
    <col min="11769" max="11769" width="11.109375" style="1" customWidth="1"/>
    <col min="11770" max="11770" width="14" style="1" customWidth="1"/>
    <col min="11771" max="11771" width="33" style="1" customWidth="1"/>
    <col min="11772" max="11772" width="6.6640625" style="1" customWidth="1"/>
    <col min="11773" max="11773" width="19" style="1" customWidth="1"/>
    <col min="11774" max="11774" width="19.109375" style="1" customWidth="1"/>
    <col min="11775" max="11775" width="21.33203125" style="1" customWidth="1"/>
    <col min="11776" max="11776" width="32.5546875" style="1" customWidth="1"/>
    <col min="11777" max="11777" width="16.88671875" style="1" customWidth="1"/>
    <col min="11778" max="11778" width="16.33203125" style="1" customWidth="1"/>
    <col min="11779" max="12009" width="10.33203125" style="1"/>
    <col min="12010" max="12010" width="4.44140625" style="1" customWidth="1"/>
    <col min="12011" max="12011" width="21.6640625" style="1" customWidth="1"/>
    <col min="12012" max="12012" width="15" style="1" customWidth="1"/>
    <col min="12013" max="12013" width="15.44140625" style="1" customWidth="1"/>
    <col min="12014" max="12014" width="11.5546875" style="1" customWidth="1"/>
    <col min="12015" max="12015" width="7.44140625" style="1" customWidth="1"/>
    <col min="12016" max="12016" width="14.109375" style="1" customWidth="1"/>
    <col min="12017" max="12017" width="10.6640625" style="1" customWidth="1"/>
    <col min="12018" max="12018" width="13.44140625" style="1" customWidth="1"/>
    <col min="12019" max="12019" width="11.44140625" style="1" customWidth="1"/>
    <col min="12020" max="12020" width="15" style="1" customWidth="1"/>
    <col min="12021" max="12021" width="14.5546875" style="1" customWidth="1"/>
    <col min="12022" max="12022" width="10.33203125" style="1"/>
    <col min="12023" max="12023" width="7.44140625" style="1" customWidth="1"/>
    <col min="12024" max="12024" width="12.88671875" style="1" customWidth="1"/>
    <col min="12025" max="12025" width="11.109375" style="1" customWidth="1"/>
    <col min="12026" max="12026" width="14" style="1" customWidth="1"/>
    <col min="12027" max="12027" width="33" style="1" customWidth="1"/>
    <col min="12028" max="12028" width="6.6640625" style="1" customWidth="1"/>
    <col min="12029" max="12029" width="19" style="1" customWidth="1"/>
    <col min="12030" max="12030" width="19.109375" style="1" customWidth="1"/>
    <col min="12031" max="12031" width="21.33203125" style="1" customWidth="1"/>
    <col min="12032" max="12032" width="32.5546875" style="1" customWidth="1"/>
    <col min="12033" max="12033" width="16.88671875" style="1" customWidth="1"/>
    <col min="12034" max="12034" width="16.33203125" style="1" customWidth="1"/>
    <col min="12035" max="12265" width="10.33203125" style="1"/>
    <col min="12266" max="12266" width="4.44140625" style="1" customWidth="1"/>
    <col min="12267" max="12267" width="21.6640625" style="1" customWidth="1"/>
    <col min="12268" max="12268" width="15" style="1" customWidth="1"/>
    <col min="12269" max="12269" width="15.44140625" style="1" customWidth="1"/>
    <col min="12270" max="12270" width="11.5546875" style="1" customWidth="1"/>
    <col min="12271" max="12271" width="7.44140625" style="1" customWidth="1"/>
    <col min="12272" max="12272" width="14.109375" style="1" customWidth="1"/>
    <col min="12273" max="12273" width="10.6640625" style="1" customWidth="1"/>
    <col min="12274" max="12274" width="13.44140625" style="1" customWidth="1"/>
    <col min="12275" max="12275" width="11.44140625" style="1" customWidth="1"/>
    <col min="12276" max="12276" width="15" style="1" customWidth="1"/>
    <col min="12277" max="12277" width="14.5546875" style="1" customWidth="1"/>
    <col min="12278" max="12278" width="10.33203125" style="1"/>
    <col min="12279" max="12279" width="7.44140625" style="1" customWidth="1"/>
    <col min="12280" max="12280" width="12.88671875" style="1" customWidth="1"/>
    <col min="12281" max="12281" width="11.109375" style="1" customWidth="1"/>
    <col min="12282" max="12282" width="14" style="1" customWidth="1"/>
    <col min="12283" max="12283" width="33" style="1" customWidth="1"/>
    <col min="12284" max="12284" width="6.6640625" style="1" customWidth="1"/>
    <col min="12285" max="12285" width="19" style="1" customWidth="1"/>
    <col min="12286" max="12286" width="19.109375" style="1" customWidth="1"/>
    <col min="12287" max="12287" width="21.33203125" style="1" customWidth="1"/>
    <col min="12288" max="12288" width="32.5546875" style="1" customWidth="1"/>
    <col min="12289" max="12289" width="16.88671875" style="1" customWidth="1"/>
    <col min="12290" max="12290" width="16.33203125" style="1" customWidth="1"/>
    <col min="12291" max="12521" width="10.33203125" style="1"/>
    <col min="12522" max="12522" width="4.44140625" style="1" customWidth="1"/>
    <col min="12523" max="12523" width="21.6640625" style="1" customWidth="1"/>
    <col min="12524" max="12524" width="15" style="1" customWidth="1"/>
    <col min="12525" max="12525" width="15.44140625" style="1" customWidth="1"/>
    <col min="12526" max="12526" width="11.5546875" style="1" customWidth="1"/>
    <col min="12527" max="12527" width="7.44140625" style="1" customWidth="1"/>
    <col min="12528" max="12528" width="14.109375" style="1" customWidth="1"/>
    <col min="12529" max="12529" width="10.6640625" style="1" customWidth="1"/>
    <col min="12530" max="12530" width="13.44140625" style="1" customWidth="1"/>
    <col min="12531" max="12531" width="11.44140625" style="1" customWidth="1"/>
    <col min="12532" max="12532" width="15" style="1" customWidth="1"/>
    <col min="12533" max="12533" width="14.5546875" style="1" customWidth="1"/>
    <col min="12534" max="12534" width="10.33203125" style="1"/>
    <col min="12535" max="12535" width="7.44140625" style="1" customWidth="1"/>
    <col min="12536" max="12536" width="12.88671875" style="1" customWidth="1"/>
    <col min="12537" max="12537" width="11.109375" style="1" customWidth="1"/>
    <col min="12538" max="12538" width="14" style="1" customWidth="1"/>
    <col min="12539" max="12539" width="33" style="1" customWidth="1"/>
    <col min="12540" max="12540" width="6.6640625" style="1" customWidth="1"/>
    <col min="12541" max="12541" width="19" style="1" customWidth="1"/>
    <col min="12542" max="12542" width="19.109375" style="1" customWidth="1"/>
    <col min="12543" max="12543" width="21.33203125" style="1" customWidth="1"/>
    <col min="12544" max="12544" width="32.5546875" style="1" customWidth="1"/>
    <col min="12545" max="12545" width="16.88671875" style="1" customWidth="1"/>
    <col min="12546" max="12546" width="16.33203125" style="1" customWidth="1"/>
    <col min="12547" max="12777" width="10.33203125" style="1"/>
    <col min="12778" max="12778" width="4.44140625" style="1" customWidth="1"/>
    <col min="12779" max="12779" width="21.6640625" style="1" customWidth="1"/>
    <col min="12780" max="12780" width="15" style="1" customWidth="1"/>
    <col min="12781" max="12781" width="15.44140625" style="1" customWidth="1"/>
    <col min="12782" max="12782" width="11.5546875" style="1" customWidth="1"/>
    <col min="12783" max="12783" width="7.44140625" style="1" customWidth="1"/>
    <col min="12784" max="12784" width="14.109375" style="1" customWidth="1"/>
    <col min="12785" max="12785" width="10.6640625" style="1" customWidth="1"/>
    <col min="12786" max="12786" width="13.44140625" style="1" customWidth="1"/>
    <col min="12787" max="12787" width="11.44140625" style="1" customWidth="1"/>
    <col min="12788" max="12788" width="15" style="1" customWidth="1"/>
    <col min="12789" max="12789" width="14.5546875" style="1" customWidth="1"/>
    <col min="12790" max="12790" width="10.33203125" style="1"/>
    <col min="12791" max="12791" width="7.44140625" style="1" customWidth="1"/>
    <col min="12792" max="12792" width="12.88671875" style="1" customWidth="1"/>
    <col min="12793" max="12793" width="11.109375" style="1" customWidth="1"/>
    <col min="12794" max="12794" width="14" style="1" customWidth="1"/>
    <col min="12795" max="12795" width="33" style="1" customWidth="1"/>
    <col min="12796" max="12796" width="6.6640625" style="1" customWidth="1"/>
    <col min="12797" max="12797" width="19" style="1" customWidth="1"/>
    <col min="12798" max="12798" width="19.109375" style="1" customWidth="1"/>
    <col min="12799" max="12799" width="21.33203125" style="1" customWidth="1"/>
    <col min="12800" max="12800" width="32.5546875" style="1" customWidth="1"/>
    <col min="12801" max="12801" width="16.88671875" style="1" customWidth="1"/>
    <col min="12802" max="12802" width="16.33203125" style="1" customWidth="1"/>
    <col min="12803" max="13033" width="10.33203125" style="1"/>
    <col min="13034" max="13034" width="4.44140625" style="1" customWidth="1"/>
    <col min="13035" max="13035" width="21.6640625" style="1" customWidth="1"/>
    <col min="13036" max="13036" width="15" style="1" customWidth="1"/>
    <col min="13037" max="13037" width="15.44140625" style="1" customWidth="1"/>
    <col min="13038" max="13038" width="11.5546875" style="1" customWidth="1"/>
    <col min="13039" max="13039" width="7.44140625" style="1" customWidth="1"/>
    <col min="13040" max="13040" width="14.109375" style="1" customWidth="1"/>
    <col min="13041" max="13041" width="10.6640625" style="1" customWidth="1"/>
    <col min="13042" max="13042" width="13.44140625" style="1" customWidth="1"/>
    <col min="13043" max="13043" width="11.44140625" style="1" customWidth="1"/>
    <col min="13044" max="13044" width="15" style="1" customWidth="1"/>
    <col min="13045" max="13045" width="14.5546875" style="1" customWidth="1"/>
    <col min="13046" max="13046" width="10.33203125" style="1"/>
    <col min="13047" max="13047" width="7.44140625" style="1" customWidth="1"/>
    <col min="13048" max="13048" width="12.88671875" style="1" customWidth="1"/>
    <col min="13049" max="13049" width="11.109375" style="1" customWidth="1"/>
    <col min="13050" max="13050" width="14" style="1" customWidth="1"/>
    <col min="13051" max="13051" width="33" style="1" customWidth="1"/>
    <col min="13052" max="13052" width="6.6640625" style="1" customWidth="1"/>
    <col min="13053" max="13053" width="19" style="1" customWidth="1"/>
    <col min="13054" max="13054" width="19.109375" style="1" customWidth="1"/>
    <col min="13055" max="13055" width="21.33203125" style="1" customWidth="1"/>
    <col min="13056" max="13056" width="32.5546875" style="1" customWidth="1"/>
    <col min="13057" max="13057" width="16.88671875" style="1" customWidth="1"/>
    <col min="13058" max="13058" width="16.33203125" style="1" customWidth="1"/>
    <col min="13059" max="13289" width="10.33203125" style="1"/>
    <col min="13290" max="13290" width="4.44140625" style="1" customWidth="1"/>
    <col min="13291" max="13291" width="21.6640625" style="1" customWidth="1"/>
    <col min="13292" max="13292" width="15" style="1" customWidth="1"/>
    <col min="13293" max="13293" width="15.44140625" style="1" customWidth="1"/>
    <col min="13294" max="13294" width="11.5546875" style="1" customWidth="1"/>
    <col min="13295" max="13295" width="7.44140625" style="1" customWidth="1"/>
    <col min="13296" max="13296" width="14.109375" style="1" customWidth="1"/>
    <col min="13297" max="13297" width="10.6640625" style="1" customWidth="1"/>
    <col min="13298" max="13298" width="13.44140625" style="1" customWidth="1"/>
    <col min="13299" max="13299" width="11.44140625" style="1" customWidth="1"/>
    <col min="13300" max="13300" width="15" style="1" customWidth="1"/>
    <col min="13301" max="13301" width="14.5546875" style="1" customWidth="1"/>
    <col min="13302" max="13302" width="10.33203125" style="1"/>
    <col min="13303" max="13303" width="7.44140625" style="1" customWidth="1"/>
    <col min="13304" max="13304" width="12.88671875" style="1" customWidth="1"/>
    <col min="13305" max="13305" width="11.109375" style="1" customWidth="1"/>
    <col min="13306" max="13306" width="14" style="1" customWidth="1"/>
    <col min="13307" max="13307" width="33" style="1" customWidth="1"/>
    <col min="13308" max="13308" width="6.6640625" style="1" customWidth="1"/>
    <col min="13309" max="13309" width="19" style="1" customWidth="1"/>
    <col min="13310" max="13310" width="19.109375" style="1" customWidth="1"/>
    <col min="13311" max="13311" width="21.33203125" style="1" customWidth="1"/>
    <col min="13312" max="13312" width="32.5546875" style="1" customWidth="1"/>
    <col min="13313" max="13313" width="16.88671875" style="1" customWidth="1"/>
    <col min="13314" max="13314" width="16.33203125" style="1" customWidth="1"/>
    <col min="13315" max="13545" width="10.33203125" style="1"/>
    <col min="13546" max="13546" width="4.44140625" style="1" customWidth="1"/>
    <col min="13547" max="13547" width="21.6640625" style="1" customWidth="1"/>
    <col min="13548" max="13548" width="15" style="1" customWidth="1"/>
    <col min="13549" max="13549" width="15.44140625" style="1" customWidth="1"/>
    <col min="13550" max="13550" width="11.5546875" style="1" customWidth="1"/>
    <col min="13551" max="13551" width="7.44140625" style="1" customWidth="1"/>
    <col min="13552" max="13552" width="14.109375" style="1" customWidth="1"/>
    <col min="13553" max="13553" width="10.6640625" style="1" customWidth="1"/>
    <col min="13554" max="13554" width="13.44140625" style="1" customWidth="1"/>
    <col min="13555" max="13555" width="11.44140625" style="1" customWidth="1"/>
    <col min="13556" max="13556" width="15" style="1" customWidth="1"/>
    <col min="13557" max="13557" width="14.5546875" style="1" customWidth="1"/>
    <col min="13558" max="13558" width="10.33203125" style="1"/>
    <col min="13559" max="13559" width="7.44140625" style="1" customWidth="1"/>
    <col min="13560" max="13560" width="12.88671875" style="1" customWidth="1"/>
    <col min="13561" max="13561" width="11.109375" style="1" customWidth="1"/>
    <col min="13562" max="13562" width="14" style="1" customWidth="1"/>
    <col min="13563" max="13563" width="33" style="1" customWidth="1"/>
    <col min="13564" max="13564" width="6.6640625" style="1" customWidth="1"/>
    <col min="13565" max="13565" width="19" style="1" customWidth="1"/>
    <col min="13566" max="13566" width="19.109375" style="1" customWidth="1"/>
    <col min="13567" max="13567" width="21.33203125" style="1" customWidth="1"/>
    <col min="13568" max="13568" width="32.5546875" style="1" customWidth="1"/>
    <col min="13569" max="13569" width="16.88671875" style="1" customWidth="1"/>
    <col min="13570" max="13570" width="16.33203125" style="1" customWidth="1"/>
    <col min="13571" max="13801" width="10.33203125" style="1"/>
    <col min="13802" max="13802" width="4.44140625" style="1" customWidth="1"/>
    <col min="13803" max="13803" width="21.6640625" style="1" customWidth="1"/>
    <col min="13804" max="13804" width="15" style="1" customWidth="1"/>
    <col min="13805" max="13805" width="15.44140625" style="1" customWidth="1"/>
    <col min="13806" max="13806" width="11.5546875" style="1" customWidth="1"/>
    <col min="13807" max="13807" width="7.44140625" style="1" customWidth="1"/>
    <col min="13808" max="13808" width="14.109375" style="1" customWidth="1"/>
    <col min="13809" max="13809" width="10.6640625" style="1" customWidth="1"/>
    <col min="13810" max="13810" width="13.44140625" style="1" customWidth="1"/>
    <col min="13811" max="13811" width="11.44140625" style="1" customWidth="1"/>
    <col min="13812" max="13812" width="15" style="1" customWidth="1"/>
    <col min="13813" max="13813" width="14.5546875" style="1" customWidth="1"/>
    <col min="13814" max="13814" width="10.33203125" style="1"/>
    <col min="13815" max="13815" width="7.44140625" style="1" customWidth="1"/>
    <col min="13816" max="13816" width="12.88671875" style="1" customWidth="1"/>
    <col min="13817" max="13817" width="11.109375" style="1" customWidth="1"/>
    <col min="13818" max="13818" width="14" style="1" customWidth="1"/>
    <col min="13819" max="13819" width="33" style="1" customWidth="1"/>
    <col min="13820" max="13820" width="6.6640625" style="1" customWidth="1"/>
    <col min="13821" max="13821" width="19" style="1" customWidth="1"/>
    <col min="13822" max="13822" width="19.109375" style="1" customWidth="1"/>
    <col min="13823" max="13823" width="21.33203125" style="1" customWidth="1"/>
    <col min="13824" max="13824" width="32.5546875" style="1" customWidth="1"/>
    <col min="13825" max="13825" width="16.88671875" style="1" customWidth="1"/>
    <col min="13826" max="13826" width="16.33203125" style="1" customWidth="1"/>
    <col min="13827" max="14057" width="10.33203125" style="1"/>
    <col min="14058" max="14058" width="4.44140625" style="1" customWidth="1"/>
    <col min="14059" max="14059" width="21.6640625" style="1" customWidth="1"/>
    <col min="14060" max="14060" width="15" style="1" customWidth="1"/>
    <col min="14061" max="14061" width="15.44140625" style="1" customWidth="1"/>
    <col min="14062" max="14062" width="11.5546875" style="1" customWidth="1"/>
    <col min="14063" max="14063" width="7.44140625" style="1" customWidth="1"/>
    <col min="14064" max="14064" width="14.109375" style="1" customWidth="1"/>
    <col min="14065" max="14065" width="10.6640625" style="1" customWidth="1"/>
    <col min="14066" max="14066" width="13.44140625" style="1" customWidth="1"/>
    <col min="14067" max="14067" width="11.44140625" style="1" customWidth="1"/>
    <col min="14068" max="14068" width="15" style="1" customWidth="1"/>
    <col min="14069" max="14069" width="14.5546875" style="1" customWidth="1"/>
    <col min="14070" max="14070" width="10.33203125" style="1"/>
    <col min="14071" max="14071" width="7.44140625" style="1" customWidth="1"/>
    <col min="14072" max="14072" width="12.88671875" style="1" customWidth="1"/>
    <col min="14073" max="14073" width="11.109375" style="1" customWidth="1"/>
    <col min="14074" max="14074" width="14" style="1" customWidth="1"/>
    <col min="14075" max="14075" width="33" style="1" customWidth="1"/>
    <col min="14076" max="14076" width="6.6640625" style="1" customWidth="1"/>
    <col min="14077" max="14077" width="19" style="1" customWidth="1"/>
    <col min="14078" max="14078" width="19.109375" style="1" customWidth="1"/>
    <col min="14079" max="14079" width="21.33203125" style="1" customWidth="1"/>
    <col min="14080" max="14080" width="32.5546875" style="1" customWidth="1"/>
    <col min="14081" max="14081" width="16.88671875" style="1" customWidth="1"/>
    <col min="14082" max="14082" width="16.33203125" style="1" customWidth="1"/>
    <col min="14083" max="14313" width="10.33203125" style="1"/>
    <col min="14314" max="14314" width="4.44140625" style="1" customWidth="1"/>
    <col min="14315" max="14315" width="21.6640625" style="1" customWidth="1"/>
    <col min="14316" max="14316" width="15" style="1" customWidth="1"/>
    <col min="14317" max="14317" width="15.44140625" style="1" customWidth="1"/>
    <col min="14318" max="14318" width="11.5546875" style="1" customWidth="1"/>
    <col min="14319" max="14319" width="7.44140625" style="1" customWidth="1"/>
    <col min="14320" max="14320" width="14.109375" style="1" customWidth="1"/>
    <col min="14321" max="14321" width="10.6640625" style="1" customWidth="1"/>
    <col min="14322" max="14322" width="13.44140625" style="1" customWidth="1"/>
    <col min="14323" max="14323" width="11.44140625" style="1" customWidth="1"/>
    <col min="14324" max="14324" width="15" style="1" customWidth="1"/>
    <col min="14325" max="14325" width="14.5546875" style="1" customWidth="1"/>
    <col min="14326" max="14326" width="10.33203125" style="1"/>
    <col min="14327" max="14327" width="7.44140625" style="1" customWidth="1"/>
    <col min="14328" max="14328" width="12.88671875" style="1" customWidth="1"/>
    <col min="14329" max="14329" width="11.109375" style="1" customWidth="1"/>
    <col min="14330" max="14330" width="14" style="1" customWidth="1"/>
    <col min="14331" max="14331" width="33" style="1" customWidth="1"/>
    <col min="14332" max="14332" width="6.6640625" style="1" customWidth="1"/>
    <col min="14333" max="14333" width="19" style="1" customWidth="1"/>
    <col min="14334" max="14334" width="19.109375" style="1" customWidth="1"/>
    <col min="14335" max="14335" width="21.33203125" style="1" customWidth="1"/>
    <col min="14336" max="14336" width="32.5546875" style="1" customWidth="1"/>
    <col min="14337" max="14337" width="16.88671875" style="1" customWidth="1"/>
    <col min="14338" max="14338" width="16.33203125" style="1" customWidth="1"/>
    <col min="14339" max="14569" width="10.33203125" style="1"/>
    <col min="14570" max="14570" width="4.44140625" style="1" customWidth="1"/>
    <col min="14571" max="14571" width="21.6640625" style="1" customWidth="1"/>
    <col min="14572" max="14572" width="15" style="1" customWidth="1"/>
    <col min="14573" max="14573" width="15.44140625" style="1" customWidth="1"/>
    <col min="14574" max="14574" width="11.5546875" style="1" customWidth="1"/>
    <col min="14575" max="14575" width="7.44140625" style="1" customWidth="1"/>
    <col min="14576" max="14576" width="14.109375" style="1" customWidth="1"/>
    <col min="14577" max="14577" width="10.6640625" style="1" customWidth="1"/>
    <col min="14578" max="14578" width="13.44140625" style="1" customWidth="1"/>
    <col min="14579" max="14579" width="11.44140625" style="1" customWidth="1"/>
    <col min="14580" max="14580" width="15" style="1" customWidth="1"/>
    <col min="14581" max="14581" width="14.5546875" style="1" customWidth="1"/>
    <col min="14582" max="14582" width="10.33203125" style="1"/>
    <col min="14583" max="14583" width="7.44140625" style="1" customWidth="1"/>
    <col min="14584" max="14584" width="12.88671875" style="1" customWidth="1"/>
    <col min="14585" max="14585" width="11.109375" style="1" customWidth="1"/>
    <col min="14586" max="14586" width="14" style="1" customWidth="1"/>
    <col min="14587" max="14587" width="33" style="1" customWidth="1"/>
    <col min="14588" max="14588" width="6.6640625" style="1" customWidth="1"/>
    <col min="14589" max="14589" width="19" style="1" customWidth="1"/>
    <col min="14590" max="14590" width="19.109375" style="1" customWidth="1"/>
    <col min="14591" max="14591" width="21.33203125" style="1" customWidth="1"/>
    <col min="14592" max="14592" width="32.5546875" style="1" customWidth="1"/>
    <col min="14593" max="14593" width="16.88671875" style="1" customWidth="1"/>
    <col min="14594" max="14594" width="16.33203125" style="1" customWidth="1"/>
    <col min="14595" max="14825" width="10.33203125" style="1"/>
    <col min="14826" max="14826" width="4.44140625" style="1" customWidth="1"/>
    <col min="14827" max="14827" width="21.6640625" style="1" customWidth="1"/>
    <col min="14828" max="14828" width="15" style="1" customWidth="1"/>
    <col min="14829" max="14829" width="15.44140625" style="1" customWidth="1"/>
    <col min="14830" max="14830" width="11.5546875" style="1" customWidth="1"/>
    <col min="14831" max="14831" width="7.44140625" style="1" customWidth="1"/>
    <col min="14832" max="14832" width="14.109375" style="1" customWidth="1"/>
    <col min="14833" max="14833" width="10.6640625" style="1" customWidth="1"/>
    <col min="14834" max="14834" width="13.44140625" style="1" customWidth="1"/>
    <col min="14835" max="14835" width="11.44140625" style="1" customWidth="1"/>
    <col min="14836" max="14836" width="15" style="1" customWidth="1"/>
    <col min="14837" max="14837" width="14.5546875" style="1" customWidth="1"/>
    <col min="14838" max="14838" width="10.33203125" style="1"/>
    <col min="14839" max="14839" width="7.44140625" style="1" customWidth="1"/>
    <col min="14840" max="14840" width="12.88671875" style="1" customWidth="1"/>
    <col min="14841" max="14841" width="11.109375" style="1" customWidth="1"/>
    <col min="14842" max="14842" width="14" style="1" customWidth="1"/>
    <col min="14843" max="14843" width="33" style="1" customWidth="1"/>
    <col min="14844" max="14844" width="6.6640625" style="1" customWidth="1"/>
    <col min="14845" max="14845" width="19" style="1" customWidth="1"/>
    <col min="14846" max="14846" width="19.109375" style="1" customWidth="1"/>
    <col min="14847" max="14847" width="21.33203125" style="1" customWidth="1"/>
    <col min="14848" max="14848" width="32.5546875" style="1" customWidth="1"/>
    <col min="14849" max="14849" width="16.88671875" style="1" customWidth="1"/>
    <col min="14850" max="14850" width="16.33203125" style="1" customWidth="1"/>
    <col min="14851" max="15081" width="10.33203125" style="1"/>
    <col min="15082" max="15082" width="4.44140625" style="1" customWidth="1"/>
    <col min="15083" max="15083" width="21.6640625" style="1" customWidth="1"/>
    <col min="15084" max="15084" width="15" style="1" customWidth="1"/>
    <col min="15085" max="15085" width="15.44140625" style="1" customWidth="1"/>
    <col min="15086" max="15086" width="11.5546875" style="1" customWidth="1"/>
    <col min="15087" max="15087" width="7.44140625" style="1" customWidth="1"/>
    <col min="15088" max="15088" width="14.109375" style="1" customWidth="1"/>
    <col min="15089" max="15089" width="10.6640625" style="1" customWidth="1"/>
    <col min="15090" max="15090" width="13.44140625" style="1" customWidth="1"/>
    <col min="15091" max="15091" width="11.44140625" style="1" customWidth="1"/>
    <col min="15092" max="15092" width="15" style="1" customWidth="1"/>
    <col min="15093" max="15093" width="14.5546875" style="1" customWidth="1"/>
    <col min="15094" max="15094" width="10.33203125" style="1"/>
    <col min="15095" max="15095" width="7.44140625" style="1" customWidth="1"/>
    <col min="15096" max="15096" width="12.88671875" style="1" customWidth="1"/>
    <col min="15097" max="15097" width="11.109375" style="1" customWidth="1"/>
    <col min="15098" max="15098" width="14" style="1" customWidth="1"/>
    <col min="15099" max="15099" width="33" style="1" customWidth="1"/>
    <col min="15100" max="15100" width="6.6640625" style="1" customWidth="1"/>
    <col min="15101" max="15101" width="19" style="1" customWidth="1"/>
    <col min="15102" max="15102" width="19.109375" style="1" customWidth="1"/>
    <col min="15103" max="15103" width="21.33203125" style="1" customWidth="1"/>
    <col min="15104" max="15104" width="32.5546875" style="1" customWidth="1"/>
    <col min="15105" max="15105" width="16.88671875" style="1" customWidth="1"/>
    <col min="15106" max="15106" width="16.33203125" style="1" customWidth="1"/>
    <col min="15107" max="15337" width="10.33203125" style="1"/>
    <col min="15338" max="15338" width="4.44140625" style="1" customWidth="1"/>
    <col min="15339" max="15339" width="21.6640625" style="1" customWidth="1"/>
    <col min="15340" max="15340" width="15" style="1" customWidth="1"/>
    <col min="15341" max="15341" width="15.44140625" style="1" customWidth="1"/>
    <col min="15342" max="15342" width="11.5546875" style="1" customWidth="1"/>
    <col min="15343" max="15343" width="7.44140625" style="1" customWidth="1"/>
    <col min="15344" max="15344" width="14.109375" style="1" customWidth="1"/>
    <col min="15345" max="15345" width="10.6640625" style="1" customWidth="1"/>
    <col min="15346" max="15346" width="13.44140625" style="1" customWidth="1"/>
    <col min="15347" max="15347" width="11.44140625" style="1" customWidth="1"/>
    <col min="15348" max="15348" width="15" style="1" customWidth="1"/>
    <col min="15349" max="15349" width="14.5546875" style="1" customWidth="1"/>
    <col min="15350" max="15350" width="10.33203125" style="1"/>
    <col min="15351" max="15351" width="7.44140625" style="1" customWidth="1"/>
    <col min="15352" max="15352" width="12.88671875" style="1" customWidth="1"/>
    <col min="15353" max="15353" width="11.109375" style="1" customWidth="1"/>
    <col min="15354" max="15354" width="14" style="1" customWidth="1"/>
    <col min="15355" max="15355" width="33" style="1" customWidth="1"/>
    <col min="15356" max="15356" width="6.6640625" style="1" customWidth="1"/>
    <col min="15357" max="15357" width="19" style="1" customWidth="1"/>
    <col min="15358" max="15358" width="19.109375" style="1" customWidth="1"/>
    <col min="15359" max="15359" width="21.33203125" style="1" customWidth="1"/>
    <col min="15360" max="15360" width="32.5546875" style="1" customWidth="1"/>
    <col min="15361" max="15361" width="16.88671875" style="1" customWidth="1"/>
    <col min="15362" max="15362" width="16.33203125" style="1" customWidth="1"/>
    <col min="15363" max="15593" width="10.33203125" style="1"/>
    <col min="15594" max="15594" width="4.44140625" style="1" customWidth="1"/>
    <col min="15595" max="15595" width="21.6640625" style="1" customWidth="1"/>
    <col min="15596" max="15596" width="15" style="1" customWidth="1"/>
    <col min="15597" max="15597" width="15.44140625" style="1" customWidth="1"/>
    <col min="15598" max="15598" width="11.5546875" style="1" customWidth="1"/>
    <col min="15599" max="15599" width="7.44140625" style="1" customWidth="1"/>
    <col min="15600" max="15600" width="14.109375" style="1" customWidth="1"/>
    <col min="15601" max="15601" width="10.6640625" style="1" customWidth="1"/>
    <col min="15602" max="15602" width="13.44140625" style="1" customWidth="1"/>
    <col min="15603" max="15603" width="11.44140625" style="1" customWidth="1"/>
    <col min="15604" max="15604" width="15" style="1" customWidth="1"/>
    <col min="15605" max="15605" width="14.5546875" style="1" customWidth="1"/>
    <col min="15606" max="15606" width="10.33203125" style="1"/>
    <col min="15607" max="15607" width="7.44140625" style="1" customWidth="1"/>
    <col min="15608" max="15608" width="12.88671875" style="1" customWidth="1"/>
    <col min="15609" max="15609" width="11.109375" style="1" customWidth="1"/>
    <col min="15610" max="15610" width="14" style="1" customWidth="1"/>
    <col min="15611" max="15611" width="33" style="1" customWidth="1"/>
    <col min="15612" max="15612" width="6.6640625" style="1" customWidth="1"/>
    <col min="15613" max="15613" width="19" style="1" customWidth="1"/>
    <col min="15614" max="15614" width="19.109375" style="1" customWidth="1"/>
    <col min="15615" max="15615" width="21.33203125" style="1" customWidth="1"/>
    <col min="15616" max="15616" width="32.5546875" style="1" customWidth="1"/>
    <col min="15617" max="15617" width="16.88671875" style="1" customWidth="1"/>
    <col min="15618" max="15618" width="16.33203125" style="1" customWidth="1"/>
    <col min="15619" max="15849" width="10.33203125" style="1"/>
    <col min="15850" max="15850" width="4.44140625" style="1" customWidth="1"/>
    <col min="15851" max="15851" width="21.6640625" style="1" customWidth="1"/>
    <col min="15852" max="15852" width="15" style="1" customWidth="1"/>
    <col min="15853" max="15853" width="15.44140625" style="1" customWidth="1"/>
    <col min="15854" max="15854" width="11.5546875" style="1" customWidth="1"/>
    <col min="15855" max="15855" width="7.44140625" style="1" customWidth="1"/>
    <col min="15856" max="15856" width="14.109375" style="1" customWidth="1"/>
    <col min="15857" max="15857" width="10.6640625" style="1" customWidth="1"/>
    <col min="15858" max="15858" width="13.44140625" style="1" customWidth="1"/>
    <col min="15859" max="15859" width="11.44140625" style="1" customWidth="1"/>
    <col min="15860" max="15860" width="15" style="1" customWidth="1"/>
    <col min="15861" max="15861" width="14.5546875" style="1" customWidth="1"/>
    <col min="15862" max="15862" width="10.33203125" style="1"/>
    <col min="15863" max="15863" width="7.44140625" style="1" customWidth="1"/>
    <col min="15864" max="15864" width="12.88671875" style="1" customWidth="1"/>
    <col min="15865" max="15865" width="11.109375" style="1" customWidth="1"/>
    <col min="15866" max="15866" width="14" style="1" customWidth="1"/>
    <col min="15867" max="15867" width="33" style="1" customWidth="1"/>
    <col min="15868" max="15868" width="6.6640625" style="1" customWidth="1"/>
    <col min="15869" max="15869" width="19" style="1" customWidth="1"/>
    <col min="15870" max="15870" width="19.109375" style="1" customWidth="1"/>
    <col min="15871" max="15871" width="21.33203125" style="1" customWidth="1"/>
    <col min="15872" max="15872" width="32.5546875" style="1" customWidth="1"/>
    <col min="15873" max="15873" width="16.88671875" style="1" customWidth="1"/>
    <col min="15874" max="15874" width="16.33203125" style="1" customWidth="1"/>
    <col min="15875" max="16105" width="10.33203125" style="1"/>
    <col min="16106" max="16106" width="4.44140625" style="1" customWidth="1"/>
    <col min="16107" max="16107" width="21.6640625" style="1" customWidth="1"/>
    <col min="16108" max="16108" width="15" style="1" customWidth="1"/>
    <col min="16109" max="16109" width="15.44140625" style="1" customWidth="1"/>
    <col min="16110" max="16110" width="11.5546875" style="1" customWidth="1"/>
    <col min="16111" max="16111" width="7.44140625" style="1" customWidth="1"/>
    <col min="16112" max="16112" width="14.109375" style="1" customWidth="1"/>
    <col min="16113" max="16113" width="10.6640625" style="1" customWidth="1"/>
    <col min="16114" max="16114" width="13.44140625" style="1" customWidth="1"/>
    <col min="16115" max="16115" width="11.44140625" style="1" customWidth="1"/>
    <col min="16116" max="16116" width="15" style="1" customWidth="1"/>
    <col min="16117" max="16117" width="14.5546875" style="1" customWidth="1"/>
    <col min="16118" max="16118" width="10.33203125" style="1"/>
    <col min="16119" max="16119" width="7.44140625" style="1" customWidth="1"/>
    <col min="16120" max="16120" width="12.88671875" style="1" customWidth="1"/>
    <col min="16121" max="16121" width="11.109375" style="1" customWidth="1"/>
    <col min="16122" max="16122" width="14" style="1" customWidth="1"/>
    <col min="16123" max="16123" width="33" style="1" customWidth="1"/>
    <col min="16124" max="16124" width="6.6640625" style="1" customWidth="1"/>
    <col min="16125" max="16125" width="19" style="1" customWidth="1"/>
    <col min="16126" max="16126" width="19.109375" style="1" customWidth="1"/>
    <col min="16127" max="16127" width="21.33203125" style="1" customWidth="1"/>
    <col min="16128" max="16128" width="32.5546875" style="1" customWidth="1"/>
    <col min="16129" max="16129" width="16.88671875" style="1" customWidth="1"/>
    <col min="16130" max="16130" width="16.33203125" style="1" customWidth="1"/>
    <col min="16131" max="16384" width="10.33203125" style="1"/>
  </cols>
  <sheetData>
    <row r="1" spans="1:12" ht="24.6">
      <c r="A1" s="726" t="s">
        <v>0</v>
      </c>
      <c r="B1" s="726"/>
      <c r="C1" s="726"/>
      <c r="D1" s="726"/>
      <c r="E1" s="726"/>
      <c r="F1" s="726"/>
      <c r="G1" s="726"/>
    </row>
    <row r="2" spans="1:12" ht="24.6">
      <c r="A2" s="726" t="s">
        <v>1</v>
      </c>
      <c r="B2" s="726"/>
      <c r="C2" s="726"/>
      <c r="D2" s="726"/>
      <c r="E2" s="726"/>
      <c r="F2" s="726"/>
      <c r="G2" s="726"/>
    </row>
    <row r="3" spans="1:12" ht="24.6">
      <c r="A3" s="727" t="s">
        <v>300</v>
      </c>
      <c r="B3" s="727"/>
      <c r="C3" s="727"/>
      <c r="D3" s="727"/>
      <c r="E3" s="727"/>
      <c r="F3" s="727"/>
      <c r="G3" s="727"/>
    </row>
    <row r="4" spans="1:12" ht="24.6">
      <c r="A4" s="3" t="s">
        <v>3</v>
      </c>
      <c r="B4" s="3" t="s">
        <v>4</v>
      </c>
      <c r="C4" s="3" t="s">
        <v>5</v>
      </c>
      <c r="D4" s="261"/>
      <c r="E4" s="728" t="s">
        <v>9</v>
      </c>
      <c r="F4" s="729"/>
      <c r="G4" s="730"/>
    </row>
    <row r="5" spans="1:12" ht="24.6">
      <c r="A5" s="3"/>
      <c r="B5" s="13"/>
      <c r="C5" s="3"/>
      <c r="D5" s="9" t="s">
        <v>296</v>
      </c>
      <c r="E5" s="9" t="s">
        <v>21</v>
      </c>
      <c r="F5" s="9" t="s">
        <v>22</v>
      </c>
      <c r="G5" s="7"/>
    </row>
    <row r="6" spans="1:12" ht="24.6">
      <c r="A6" s="3"/>
      <c r="B6" s="3"/>
      <c r="C6" s="3"/>
      <c r="D6" s="18"/>
      <c r="E6" s="18"/>
      <c r="F6" s="18"/>
      <c r="G6" s="28" t="s">
        <v>26</v>
      </c>
    </row>
    <row r="7" spans="1:12" ht="24.6">
      <c r="A7" s="29"/>
      <c r="B7" s="45" t="s">
        <v>52</v>
      </c>
      <c r="C7" s="29"/>
      <c r="D7" s="46"/>
      <c r="E7" s="46"/>
      <c r="F7" s="28"/>
      <c r="G7" s="57"/>
    </row>
    <row r="8" spans="1:12" ht="24.6">
      <c r="A8" s="25">
        <v>1</v>
      </c>
      <c r="B8" s="29" t="s">
        <v>73</v>
      </c>
      <c r="C8" s="120">
        <v>84282</v>
      </c>
      <c r="D8" s="120"/>
      <c r="E8" s="122">
        <v>25173</v>
      </c>
      <c r="F8" s="123">
        <v>1</v>
      </c>
      <c r="G8" s="72">
        <v>2430</v>
      </c>
    </row>
    <row r="9" spans="1:12" ht="25.2" thickBot="1">
      <c r="A9" s="29"/>
      <c r="B9" s="25" t="s">
        <v>26</v>
      </c>
      <c r="C9" s="74"/>
      <c r="D9" s="74"/>
      <c r="E9" s="78"/>
      <c r="F9" s="135"/>
      <c r="G9" s="136">
        <v>2430</v>
      </c>
      <c r="I9" s="175">
        <f>SUM(G8)</f>
        <v>2430</v>
      </c>
    </row>
    <row r="10" spans="1:12" ht="25.2" thickTop="1">
      <c r="A10" s="29"/>
      <c r="B10" s="116" t="s">
        <v>117</v>
      </c>
      <c r="C10" s="46"/>
      <c r="D10" s="46"/>
      <c r="E10" s="28"/>
      <c r="F10" s="28"/>
      <c r="G10" s="140">
        <v>0</v>
      </c>
    </row>
    <row r="11" spans="1:12" ht="24.6">
      <c r="A11" s="25">
        <v>1</v>
      </c>
      <c r="B11" s="29" t="s">
        <v>132</v>
      </c>
      <c r="C11" s="29"/>
      <c r="D11" s="29"/>
      <c r="E11" s="25" t="s">
        <v>321</v>
      </c>
      <c r="F11" s="25">
        <v>1</v>
      </c>
      <c r="G11" s="73">
        <v>1100</v>
      </c>
    </row>
    <row r="12" spans="1:12" ht="24.6">
      <c r="A12" s="25">
        <v>2</v>
      </c>
      <c r="B12" s="29" t="s">
        <v>137</v>
      </c>
      <c r="C12" s="29"/>
      <c r="D12" s="29"/>
      <c r="E12" s="68">
        <v>25173</v>
      </c>
      <c r="F12" s="25">
        <v>1</v>
      </c>
      <c r="G12" s="73">
        <v>5000</v>
      </c>
    </row>
    <row r="13" spans="1:12" ht="25.2" thickBot="1">
      <c r="A13" s="29"/>
      <c r="B13" s="25" t="s">
        <v>26</v>
      </c>
      <c r="C13" s="64"/>
      <c r="D13" s="64"/>
      <c r="E13" s="63"/>
      <c r="F13" s="105"/>
      <c r="G13" s="106">
        <v>6100</v>
      </c>
      <c r="I13" s="175">
        <f>SUM(G11:G12)</f>
        <v>6100</v>
      </c>
      <c r="K13" s="256">
        <f>SUM(I9:I13)</f>
        <v>8530</v>
      </c>
      <c r="L13" s="1" t="s">
        <v>269</v>
      </c>
    </row>
    <row r="14" spans="1:12" ht="24.75" customHeight="1" thickTop="1">
      <c r="A14" s="14"/>
      <c r="B14" s="173"/>
      <c r="G14" s="174"/>
    </row>
    <row r="15" spans="1:12" ht="24.75" customHeight="1">
      <c r="A15" s="14"/>
      <c r="B15" s="173"/>
      <c r="G15" s="174"/>
    </row>
    <row r="16" spans="1:12" ht="24.75" customHeight="1">
      <c r="A16" s="4"/>
      <c r="B16" s="188" t="s">
        <v>217</v>
      </c>
      <c r="C16" s="53"/>
      <c r="D16" s="53"/>
      <c r="E16" s="53"/>
      <c r="F16" s="4"/>
      <c r="G16" s="127"/>
    </row>
    <row r="17" spans="1:7" s="96" customFormat="1" ht="24.75" customHeight="1">
      <c r="A17" s="190">
        <v>1</v>
      </c>
      <c r="B17" s="191" t="s">
        <v>68</v>
      </c>
      <c r="C17" s="192">
        <v>268</v>
      </c>
      <c r="D17" s="192"/>
      <c r="E17" s="190" t="s">
        <v>302</v>
      </c>
      <c r="F17" s="190">
        <v>101</v>
      </c>
      <c r="G17" s="198">
        <v>114345</v>
      </c>
    </row>
    <row r="18" spans="1:7" ht="24.75" customHeight="1">
      <c r="A18" s="199"/>
      <c r="B18" s="200" t="s">
        <v>221</v>
      </c>
      <c r="C18" s="201" t="s">
        <v>222</v>
      </c>
      <c r="D18" s="262"/>
      <c r="E18" s="208"/>
      <c r="F18" s="209" t="s">
        <v>172</v>
      </c>
      <c r="G18" s="210">
        <v>19700</v>
      </c>
    </row>
    <row r="19" spans="1:7" ht="24.75" customHeight="1">
      <c r="A19" s="199"/>
      <c r="B19" s="201"/>
      <c r="C19" s="201" t="s">
        <v>223</v>
      </c>
      <c r="D19" s="201"/>
      <c r="E19" s="203"/>
      <c r="F19" s="199" t="s">
        <v>172</v>
      </c>
      <c r="G19" s="210">
        <v>19700</v>
      </c>
    </row>
    <row r="20" spans="1:7" ht="24.75" customHeight="1">
      <c r="A20" s="199"/>
      <c r="B20" s="201"/>
      <c r="C20" s="201" t="s">
        <v>224</v>
      </c>
      <c r="D20" s="201"/>
      <c r="E20" s="203"/>
      <c r="F20" s="199" t="s">
        <v>172</v>
      </c>
      <c r="G20" s="210">
        <v>19700</v>
      </c>
    </row>
    <row r="21" spans="1:7" ht="24.75" customHeight="1">
      <c r="A21" s="199">
        <v>2</v>
      </c>
      <c r="B21" s="200" t="s">
        <v>225</v>
      </c>
      <c r="C21" s="203"/>
      <c r="D21" s="203"/>
      <c r="E21" s="199" t="s">
        <v>226</v>
      </c>
      <c r="F21" s="199">
        <v>88</v>
      </c>
      <c r="G21" s="210">
        <v>193600</v>
      </c>
    </row>
    <row r="22" spans="1:7" ht="24.75" customHeight="1">
      <c r="A22" s="199"/>
      <c r="B22" s="200"/>
      <c r="C22" s="203"/>
      <c r="D22" s="203"/>
      <c r="E22" s="199"/>
      <c r="F22" s="199"/>
      <c r="G22" s="210"/>
    </row>
    <row r="23" spans="1:7" ht="24.75" customHeight="1">
      <c r="A23" s="199">
        <v>3</v>
      </c>
      <c r="B23" s="200" t="s">
        <v>85</v>
      </c>
      <c r="C23" s="203" t="s">
        <v>86</v>
      </c>
      <c r="D23" s="203"/>
      <c r="E23" s="203" t="s">
        <v>229</v>
      </c>
      <c r="F23" s="199">
        <v>7</v>
      </c>
      <c r="G23" s="210">
        <v>30800</v>
      </c>
    </row>
    <row r="24" spans="1:7" ht="24.75" customHeight="1">
      <c r="A24" s="115"/>
      <c r="B24" s="212"/>
      <c r="C24" s="109"/>
      <c r="D24" s="109"/>
      <c r="E24" s="218"/>
      <c r="F24" s="219"/>
      <c r="G24" s="221"/>
    </row>
    <row r="25" spans="1:7" s="96" customFormat="1" ht="24.75" customHeight="1">
      <c r="A25" s="190"/>
      <c r="B25" s="191" t="s">
        <v>232</v>
      </c>
      <c r="C25" s="192" t="s">
        <v>194</v>
      </c>
      <c r="D25" s="192"/>
      <c r="E25" s="192"/>
      <c r="F25" s="190"/>
      <c r="G25" s="210">
        <v>64400</v>
      </c>
    </row>
    <row r="26" spans="1:7" ht="24.6">
      <c r="A26" s="199">
        <v>4</v>
      </c>
      <c r="B26" s="203" t="s">
        <v>32</v>
      </c>
      <c r="C26" s="222" t="s">
        <v>104</v>
      </c>
      <c r="D26" s="222"/>
      <c r="E26" s="199" t="s">
        <v>234</v>
      </c>
      <c r="F26" s="199">
        <v>4</v>
      </c>
      <c r="G26" s="210">
        <v>18600</v>
      </c>
    </row>
    <row r="27" spans="1:7" ht="24.6">
      <c r="A27" s="199">
        <v>5</v>
      </c>
      <c r="B27" s="203" t="s">
        <v>215</v>
      </c>
      <c r="C27" s="222" t="s">
        <v>104</v>
      </c>
      <c r="D27" s="222"/>
      <c r="E27" s="199" t="s">
        <v>236</v>
      </c>
      <c r="F27" s="199">
        <v>4</v>
      </c>
      <c r="G27" s="210">
        <v>23000</v>
      </c>
    </row>
    <row r="28" spans="1:7" ht="24.75" customHeight="1" thickBot="1">
      <c r="A28" s="34"/>
      <c r="B28" s="239"/>
      <c r="C28" s="74"/>
      <c r="D28" s="74"/>
      <c r="E28" s="110"/>
      <c r="F28" s="240"/>
      <c r="G28" s="171">
        <v>503845</v>
      </c>
    </row>
    <row r="29" spans="1:7" ht="25.2" thickTop="1">
      <c r="A29" s="46"/>
      <c r="B29" s="161" t="s">
        <v>238</v>
      </c>
      <c r="C29" s="46"/>
      <c r="D29" s="46"/>
      <c r="E29" s="46"/>
      <c r="F29" s="28"/>
      <c r="G29" s="46"/>
    </row>
    <row r="30" spans="1:7" ht="24.6">
      <c r="A30" s="25">
        <v>1</v>
      </c>
      <c r="B30" s="53" t="s">
        <v>239</v>
      </c>
      <c r="C30" s="109"/>
      <c r="D30" s="109"/>
      <c r="E30" s="109" t="s">
        <v>240</v>
      </c>
      <c r="F30" s="115"/>
      <c r="G30" s="162">
        <v>0</v>
      </c>
    </row>
    <row r="31" spans="1:7" ht="24.6">
      <c r="A31" s="25"/>
      <c r="B31" s="29" t="s">
        <v>241</v>
      </c>
      <c r="C31" s="29"/>
      <c r="D31" s="29"/>
      <c r="E31" s="29" t="s">
        <v>242</v>
      </c>
      <c r="F31" s="25"/>
      <c r="G31" s="73">
        <v>133707.98000000001</v>
      </c>
    </row>
    <row r="32" spans="1:7" ht="24.6">
      <c r="A32" s="25"/>
      <c r="B32" s="29" t="s">
        <v>244</v>
      </c>
      <c r="C32" s="29"/>
      <c r="D32" s="29"/>
      <c r="E32" s="29"/>
      <c r="F32" s="25"/>
      <c r="G32" s="73">
        <v>73800</v>
      </c>
    </row>
    <row r="33" spans="1:12" ht="24.6">
      <c r="A33" s="25"/>
      <c r="B33" s="29" t="s">
        <v>245</v>
      </c>
      <c r="C33" s="29"/>
      <c r="D33" s="29"/>
      <c r="E33" s="29"/>
      <c r="F33" s="25"/>
      <c r="G33" s="73">
        <v>7596.82</v>
      </c>
    </row>
    <row r="34" spans="1:12" ht="24.6">
      <c r="A34" s="25"/>
      <c r="B34" s="29" t="s">
        <v>246</v>
      </c>
      <c r="C34" s="29"/>
      <c r="D34" s="53"/>
      <c r="E34" s="53"/>
      <c r="F34" s="4"/>
      <c r="G34" s="49"/>
    </row>
    <row r="35" spans="1:12" ht="25.2" thickBot="1">
      <c r="A35" s="25"/>
      <c r="B35" s="29"/>
      <c r="C35" s="29" t="s">
        <v>247</v>
      </c>
      <c r="D35" s="53"/>
      <c r="E35" s="74"/>
      <c r="F35" s="34"/>
      <c r="G35" s="171"/>
    </row>
    <row r="36" spans="1:12" s="249" customFormat="1" ht="25.8" thickTop="1" thickBot="1">
      <c r="A36" s="134"/>
      <c r="B36" s="246" t="s">
        <v>26</v>
      </c>
      <c r="C36" s="103"/>
      <c r="D36" s="103"/>
      <c r="E36" s="103"/>
      <c r="F36" s="247"/>
      <c r="G36" s="103">
        <v>215104.80000000002</v>
      </c>
    </row>
    <row r="37" spans="1:12" ht="25.8" thickTop="1" thickBot="1">
      <c r="A37" s="29"/>
      <c r="B37" s="25" t="s">
        <v>248</v>
      </c>
      <c r="C37" s="64"/>
      <c r="D37" s="64"/>
      <c r="E37" s="63"/>
      <c r="F37" s="105"/>
      <c r="G37" s="63">
        <v>789879.8</v>
      </c>
      <c r="I37" s="264">
        <f>SUM(G28+G36)</f>
        <v>718949.8</v>
      </c>
      <c r="K37" s="265">
        <f>SUM(K13+I37)</f>
        <v>727479.8</v>
      </c>
      <c r="L37" s="1" t="s">
        <v>322</v>
      </c>
    </row>
    <row r="38" spans="1:12" ht="25.2" thickTop="1"/>
    <row r="39" spans="1:12" ht="24.75" customHeight="1">
      <c r="A39" s="731" t="s">
        <v>211</v>
      </c>
      <c r="B39" s="732"/>
      <c r="C39" s="732"/>
      <c r="D39" s="732"/>
      <c r="E39" s="732"/>
      <c r="F39" s="732"/>
      <c r="G39" s="732"/>
    </row>
    <row r="40" spans="1:12" ht="24.75" customHeight="1">
      <c r="A40" s="46">
        <v>1</v>
      </c>
      <c r="B40" s="180" t="s">
        <v>32</v>
      </c>
      <c r="C40" s="46" t="s">
        <v>104</v>
      </c>
      <c r="D40" s="46"/>
      <c r="E40" s="46" t="s">
        <v>301</v>
      </c>
      <c r="F40" s="28">
        <v>6</v>
      </c>
      <c r="G40" s="57">
        <v>27900</v>
      </c>
    </row>
    <row r="41" spans="1:12" ht="24" customHeight="1">
      <c r="A41" s="25">
        <v>2</v>
      </c>
      <c r="B41" s="29" t="s">
        <v>215</v>
      </c>
      <c r="C41" s="29" t="s">
        <v>104</v>
      </c>
      <c r="D41" s="46"/>
      <c r="E41" s="46" t="s">
        <v>301</v>
      </c>
      <c r="F41" s="25">
        <v>6</v>
      </c>
      <c r="G41" s="57">
        <v>34500</v>
      </c>
    </row>
    <row r="42" spans="1:12" ht="24.75" customHeight="1" thickBot="1">
      <c r="A42" s="34"/>
      <c r="B42" s="34" t="s">
        <v>26</v>
      </c>
      <c r="C42" s="74"/>
      <c r="D42" s="74"/>
      <c r="E42" s="74"/>
      <c r="F42" s="34"/>
      <c r="G42" s="110">
        <v>62400</v>
      </c>
      <c r="K42" s="265">
        <f>SUM(K37+G42)</f>
        <v>789879.8</v>
      </c>
      <c r="L42" s="1" t="s">
        <v>323</v>
      </c>
    </row>
    <row r="43" spans="1:12" ht="25.2" thickTop="1"/>
    <row r="44" spans="1:12" ht="24.6"/>
    <row r="45" spans="1:12" ht="24.6"/>
    <row r="46" spans="1:12" ht="24.6"/>
    <row r="47" spans="1:12" ht="24.6"/>
    <row r="48" spans="1:12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</sheetData>
  <mergeCells count="5">
    <mergeCell ref="A39:G39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F907-4CC7-42EA-8B08-65BF1CF53D41}">
  <sheetPr codeName="Sheet13">
    <tabColor rgb="FFFFFF00"/>
  </sheetPr>
  <dimension ref="A1:K807"/>
  <sheetViews>
    <sheetView zoomScale="90" zoomScaleNormal="90" zoomScaleSheetLayoutView="87" workbookViewId="0">
      <pane ySplit="6" topLeftCell="A7" activePane="bottomLeft" state="frozen"/>
      <selection activeCell="I147" sqref="I147"/>
      <selection pane="bottomLeft" activeCell="J15" sqref="J15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8" width="11.88671875" style="1" bestFit="1" customWidth="1"/>
    <col min="9" max="9" width="10.33203125" style="1"/>
    <col min="10" max="10" width="11.88671875" style="1" bestFit="1" customWidth="1"/>
    <col min="11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11" ht="24.6">
      <c r="A1" s="726" t="s">
        <v>0</v>
      </c>
      <c r="B1" s="726"/>
      <c r="C1" s="726"/>
      <c r="D1" s="726"/>
      <c r="E1" s="726"/>
      <c r="F1" s="726"/>
    </row>
    <row r="2" spans="1:11" ht="24.6">
      <c r="A2" s="726" t="s">
        <v>1</v>
      </c>
      <c r="B2" s="726"/>
      <c r="C2" s="726"/>
      <c r="D2" s="726"/>
      <c r="E2" s="726"/>
      <c r="F2" s="726"/>
    </row>
    <row r="3" spans="1:11" ht="24.6">
      <c r="A3" s="727" t="s">
        <v>300</v>
      </c>
      <c r="B3" s="727"/>
      <c r="C3" s="727"/>
      <c r="D3" s="727"/>
      <c r="E3" s="727"/>
      <c r="F3" s="727"/>
    </row>
    <row r="4" spans="1:11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11" ht="24.6">
      <c r="A5" s="3"/>
      <c r="B5" s="13"/>
      <c r="C5" s="3"/>
      <c r="D5" s="9" t="s">
        <v>21</v>
      </c>
      <c r="E5" s="9" t="s">
        <v>22</v>
      </c>
      <c r="F5" s="7"/>
    </row>
    <row r="6" spans="1:11" ht="24.6">
      <c r="A6" s="3"/>
      <c r="B6" s="3"/>
      <c r="C6" s="3"/>
      <c r="D6" s="18"/>
      <c r="E6" s="18"/>
      <c r="F6" s="28" t="s">
        <v>26</v>
      </c>
    </row>
    <row r="7" spans="1:11" ht="24.6">
      <c r="A7" s="3"/>
      <c r="B7" s="3" t="s">
        <v>299</v>
      </c>
      <c r="C7" s="3"/>
      <c r="D7" s="18"/>
      <c r="E7" s="18"/>
      <c r="F7" s="28"/>
    </row>
    <row r="8" spans="1:11" ht="24.6">
      <c r="A8" s="25">
        <v>1</v>
      </c>
      <c r="B8" s="29" t="s">
        <v>73</v>
      </c>
      <c r="C8" s="120">
        <v>84282</v>
      </c>
      <c r="D8" s="122" t="s">
        <v>321</v>
      </c>
      <c r="E8" s="123">
        <v>1</v>
      </c>
      <c r="F8" s="72">
        <v>2430</v>
      </c>
    </row>
    <row r="9" spans="1:11" ht="24.6">
      <c r="A9" s="25">
        <v>2</v>
      </c>
      <c r="B9" s="29" t="s">
        <v>132</v>
      </c>
      <c r="C9" s="29"/>
      <c r="D9" s="25" t="s">
        <v>321</v>
      </c>
      <c r="E9" s="25">
        <v>1</v>
      </c>
      <c r="F9" s="73">
        <v>1100</v>
      </c>
    </row>
    <row r="10" spans="1:11" ht="24.6">
      <c r="A10" s="25">
        <v>3</v>
      </c>
      <c r="B10" s="29" t="s">
        <v>137</v>
      </c>
      <c r="C10" s="29"/>
      <c r="D10" s="68" t="s">
        <v>321</v>
      </c>
      <c r="E10" s="25">
        <v>1</v>
      </c>
      <c r="F10" s="73">
        <v>5000</v>
      </c>
    </row>
    <row r="11" spans="1:11" ht="25.2" thickBot="1">
      <c r="A11" s="29"/>
      <c r="B11" s="25" t="s">
        <v>26</v>
      </c>
      <c r="C11" s="64"/>
      <c r="D11" s="63"/>
      <c r="E11" s="105"/>
      <c r="F11" s="106">
        <f>SUM(F8:F10)</f>
        <v>8530</v>
      </c>
      <c r="H11" s="175"/>
      <c r="J11" s="256">
        <v>8530</v>
      </c>
      <c r="K11" s="1" t="s">
        <v>269</v>
      </c>
    </row>
    <row r="12" spans="1:11" ht="24.75" customHeight="1" thickTop="1">
      <c r="A12" s="14"/>
      <c r="B12" s="173"/>
      <c r="F12" s="174"/>
    </row>
    <row r="13" spans="1:11" ht="24.75" customHeight="1">
      <c r="A13" s="14"/>
      <c r="B13" s="173"/>
      <c r="F13" s="174"/>
    </row>
    <row r="14" spans="1:11" ht="24.75" customHeight="1">
      <c r="A14" s="4"/>
      <c r="B14" s="188" t="s">
        <v>217</v>
      </c>
      <c r="C14" s="53"/>
      <c r="D14" s="53"/>
      <c r="E14" s="4"/>
      <c r="F14" s="127"/>
    </row>
    <row r="15" spans="1:11" s="96" customFormat="1" ht="24.75" customHeight="1">
      <c r="A15" s="190">
        <v>1</v>
      </c>
      <c r="B15" s="191" t="s">
        <v>68</v>
      </c>
      <c r="C15" s="192">
        <v>268</v>
      </c>
      <c r="D15" s="190" t="s">
        <v>302</v>
      </c>
      <c r="E15" s="190">
        <v>101</v>
      </c>
      <c r="F15" s="198">
        <v>114345</v>
      </c>
    </row>
    <row r="16" spans="1:11" ht="24.75" customHeight="1">
      <c r="A16" s="199"/>
      <c r="B16" s="200" t="s">
        <v>221</v>
      </c>
      <c r="C16" s="201" t="s">
        <v>222</v>
      </c>
      <c r="D16" s="208"/>
      <c r="E16" s="209" t="s">
        <v>172</v>
      </c>
      <c r="F16" s="210">
        <v>19700</v>
      </c>
    </row>
    <row r="17" spans="1:6" ht="24.75" customHeight="1">
      <c r="A17" s="199"/>
      <c r="B17" s="201"/>
      <c r="C17" s="201" t="s">
        <v>223</v>
      </c>
      <c r="D17" s="203"/>
      <c r="E17" s="199" t="s">
        <v>172</v>
      </c>
      <c r="F17" s="210">
        <v>19700</v>
      </c>
    </row>
    <row r="18" spans="1:6" ht="24.75" customHeight="1">
      <c r="A18" s="199"/>
      <c r="B18" s="201"/>
      <c r="C18" s="201" t="s">
        <v>224</v>
      </c>
      <c r="D18" s="203"/>
      <c r="E18" s="199" t="s">
        <v>172</v>
      </c>
      <c r="F18" s="210">
        <v>19700</v>
      </c>
    </row>
    <row r="19" spans="1:6" ht="24.75" customHeight="1">
      <c r="A19" s="199">
        <v>2</v>
      </c>
      <c r="B19" s="200" t="s">
        <v>225</v>
      </c>
      <c r="C19" s="203"/>
      <c r="D19" s="199" t="s">
        <v>226</v>
      </c>
      <c r="E19" s="199">
        <v>88</v>
      </c>
      <c r="F19" s="210">
        <v>193600</v>
      </c>
    </row>
    <row r="20" spans="1:6" ht="24.75" customHeight="1">
      <c r="A20" s="199"/>
      <c r="B20" s="200"/>
      <c r="C20" s="203"/>
      <c r="D20" s="199"/>
      <c r="E20" s="199"/>
      <c r="F20" s="210"/>
    </row>
    <row r="21" spans="1:6" ht="24.75" customHeight="1">
      <c r="A21" s="199">
        <v>3</v>
      </c>
      <c r="B21" s="200" t="s">
        <v>85</v>
      </c>
      <c r="C21" s="203" t="s">
        <v>86</v>
      </c>
      <c r="D21" s="203" t="s">
        <v>229</v>
      </c>
      <c r="E21" s="199">
        <v>7</v>
      </c>
      <c r="F21" s="210">
        <v>30800</v>
      </c>
    </row>
    <row r="22" spans="1:6" ht="24.75" customHeight="1">
      <c r="A22" s="115"/>
      <c r="B22" s="212"/>
      <c r="C22" s="109"/>
      <c r="D22" s="218"/>
      <c r="E22" s="219"/>
      <c r="F22" s="221"/>
    </row>
    <row r="23" spans="1:6" s="96" customFormat="1" ht="24.75" customHeight="1">
      <c r="A23" s="190"/>
      <c r="B23" s="191" t="s">
        <v>232</v>
      </c>
      <c r="C23" s="192" t="s">
        <v>194</v>
      </c>
      <c r="D23" s="192"/>
      <c r="E23" s="190"/>
      <c r="F23" s="210">
        <v>64400</v>
      </c>
    </row>
    <row r="24" spans="1:6" ht="24.6">
      <c r="A24" s="199">
        <v>4</v>
      </c>
      <c r="B24" s="203" t="s">
        <v>32</v>
      </c>
      <c r="C24" s="222" t="s">
        <v>104</v>
      </c>
      <c r="D24" s="199" t="s">
        <v>234</v>
      </c>
      <c r="E24" s="199">
        <v>4</v>
      </c>
      <c r="F24" s="210">
        <v>18600</v>
      </c>
    </row>
    <row r="25" spans="1:6" ht="24.6">
      <c r="A25" s="199">
        <v>5</v>
      </c>
      <c r="B25" s="203" t="s">
        <v>215</v>
      </c>
      <c r="C25" s="222" t="s">
        <v>104</v>
      </c>
      <c r="D25" s="199" t="s">
        <v>236</v>
      </c>
      <c r="E25" s="199">
        <v>4</v>
      </c>
      <c r="F25" s="210">
        <v>23000</v>
      </c>
    </row>
    <row r="26" spans="1:6" ht="24.75" customHeight="1" thickBot="1">
      <c r="A26" s="34"/>
      <c r="B26" s="239"/>
      <c r="C26" s="74"/>
      <c r="D26" s="110"/>
      <c r="E26" s="240"/>
      <c r="F26" s="171">
        <v>503845</v>
      </c>
    </row>
    <row r="27" spans="1:6" ht="25.2" thickTop="1">
      <c r="A27" s="46"/>
      <c r="B27" s="161" t="s">
        <v>238</v>
      </c>
      <c r="C27" s="46"/>
      <c r="D27" s="46"/>
      <c r="E27" s="28"/>
      <c r="F27" s="46"/>
    </row>
    <row r="28" spans="1:6" ht="24.6">
      <c r="A28" s="25">
        <v>1</v>
      </c>
      <c r="B28" s="53" t="s">
        <v>239</v>
      </c>
      <c r="C28" s="109"/>
      <c r="D28" s="109" t="s">
        <v>240</v>
      </c>
      <c r="E28" s="115"/>
      <c r="F28" s="162">
        <v>0</v>
      </c>
    </row>
    <row r="29" spans="1:6" ht="24.6">
      <c r="A29" s="25"/>
      <c r="B29" s="29" t="s">
        <v>241</v>
      </c>
      <c r="C29" s="29"/>
      <c r="D29" s="29" t="s">
        <v>242</v>
      </c>
      <c r="E29" s="25"/>
      <c r="F29" s="73">
        <v>133707.98000000001</v>
      </c>
    </row>
    <row r="30" spans="1:6" ht="24.6">
      <c r="A30" s="25"/>
      <c r="B30" s="29" t="s">
        <v>244</v>
      </c>
      <c r="C30" s="29"/>
      <c r="D30" s="29"/>
      <c r="E30" s="25"/>
      <c r="F30" s="73">
        <v>73800</v>
      </c>
    </row>
    <row r="31" spans="1:6" ht="24.6">
      <c r="A31" s="25"/>
      <c r="B31" s="29" t="s">
        <v>245</v>
      </c>
      <c r="C31" s="29"/>
      <c r="D31" s="29"/>
      <c r="E31" s="25"/>
      <c r="F31" s="73">
        <v>7596.82</v>
      </c>
    </row>
    <row r="32" spans="1:6" ht="24.6">
      <c r="A32" s="25"/>
      <c r="B32" s="29" t="s">
        <v>246</v>
      </c>
      <c r="C32" s="29"/>
      <c r="D32" s="53"/>
      <c r="E32" s="4"/>
      <c r="F32" s="49"/>
    </row>
    <row r="33" spans="1:11" ht="25.2" thickBot="1">
      <c r="A33" s="25"/>
      <c r="B33" s="29"/>
      <c r="C33" s="29" t="s">
        <v>247</v>
      </c>
      <c r="D33" s="74"/>
      <c r="E33" s="34"/>
      <c r="F33" s="171"/>
    </row>
    <row r="34" spans="1:11" s="249" customFormat="1" ht="25.8" thickTop="1" thickBot="1">
      <c r="A34" s="134"/>
      <c r="B34" s="246" t="s">
        <v>26</v>
      </c>
      <c r="C34" s="103"/>
      <c r="D34" s="103"/>
      <c r="E34" s="247"/>
      <c r="F34" s="103">
        <v>215104.80000000002</v>
      </c>
    </row>
    <row r="35" spans="1:11" ht="25.8" thickTop="1" thickBot="1">
      <c r="A35" s="29"/>
      <c r="B35" s="25" t="s">
        <v>248</v>
      </c>
      <c r="C35" s="64"/>
      <c r="D35" s="63"/>
      <c r="E35" s="105"/>
      <c r="F35" s="63">
        <v>789879.8</v>
      </c>
      <c r="H35" s="264">
        <v>718949.8</v>
      </c>
      <c r="J35" s="265">
        <v>727479.8</v>
      </c>
      <c r="K35" s="1" t="s">
        <v>322</v>
      </c>
    </row>
    <row r="36" spans="1:11" ht="25.2" thickTop="1"/>
    <row r="37" spans="1:11" ht="24.75" customHeight="1">
      <c r="A37" s="731" t="s">
        <v>211</v>
      </c>
      <c r="B37" s="732"/>
      <c r="C37" s="732"/>
      <c r="D37" s="732"/>
      <c r="E37" s="732"/>
      <c r="F37" s="732"/>
    </row>
    <row r="38" spans="1:11" ht="24.75" customHeight="1">
      <c r="A38" s="46">
        <v>1</v>
      </c>
      <c r="B38" s="180" t="s">
        <v>32</v>
      </c>
      <c r="C38" s="46" t="s">
        <v>104</v>
      </c>
      <c r="D38" s="46" t="s">
        <v>301</v>
      </c>
      <c r="E38" s="28">
        <v>6</v>
      </c>
      <c r="F38" s="57">
        <v>27900</v>
      </c>
    </row>
    <row r="39" spans="1:11" ht="24" customHeight="1">
      <c r="A39" s="25">
        <v>2</v>
      </c>
      <c r="B39" s="29" t="s">
        <v>215</v>
      </c>
      <c r="C39" s="29" t="s">
        <v>104</v>
      </c>
      <c r="D39" s="46" t="s">
        <v>301</v>
      </c>
      <c r="E39" s="25">
        <v>6</v>
      </c>
      <c r="F39" s="57">
        <v>34500</v>
      </c>
    </row>
    <row r="40" spans="1:11" ht="24.75" customHeight="1" thickBot="1">
      <c r="A40" s="34"/>
      <c r="B40" s="34" t="s">
        <v>26</v>
      </c>
      <c r="C40" s="74"/>
      <c r="D40" s="74"/>
      <c r="E40" s="34"/>
      <c r="F40" s="110">
        <v>62400</v>
      </c>
      <c r="J40" s="265">
        <v>789879.8</v>
      </c>
      <c r="K40" s="1" t="s">
        <v>323</v>
      </c>
    </row>
    <row r="41" spans="1:11" ht="25.2" thickTop="1"/>
    <row r="42" spans="1:11" ht="24.6"/>
    <row r="43" spans="1:11" ht="24.6"/>
    <row r="44" spans="1:11" ht="24.6"/>
    <row r="45" spans="1:11" ht="24.6"/>
    <row r="46" spans="1:11" ht="24.6"/>
    <row r="47" spans="1:11" ht="24.6"/>
    <row r="48" spans="1:11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</sheetData>
  <mergeCells count="5">
    <mergeCell ref="A1:F1"/>
    <mergeCell ref="A2:F2"/>
    <mergeCell ref="A3:F3"/>
    <mergeCell ref="D4:F4"/>
    <mergeCell ref="A37:F37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5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3196-F5C2-4634-8205-26361D87E159}">
  <sheetPr codeName="Sheet2">
    <tabColor rgb="FF92D050"/>
  </sheetPr>
  <dimension ref="A1:AD984"/>
  <sheetViews>
    <sheetView zoomScale="90" zoomScaleNormal="90" zoomScaleSheetLayoutView="87" workbookViewId="0">
      <pane ySplit="6" topLeftCell="A17" activePane="bottomLeft" state="frozen"/>
      <selection activeCell="I147" sqref="I147"/>
      <selection pane="bottomLeft" activeCell="L91" sqref="L91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274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5.75" hidden="1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25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4.6" hidden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hidden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4.6" hidden="1">
      <c r="A12" s="25"/>
      <c r="B12" s="29"/>
      <c r="C12" s="29"/>
      <c r="D12" s="49"/>
      <c r="E12" s="25"/>
      <c r="F12" s="25"/>
      <c r="G12" s="49"/>
      <c r="H12" s="49"/>
      <c r="I12" s="49"/>
      <c r="J12" s="26"/>
      <c r="K12" s="16"/>
      <c r="L12" s="51"/>
      <c r="M12" s="25"/>
      <c r="N12" s="25"/>
      <c r="O12" s="52"/>
      <c r="P12" s="52"/>
      <c r="Q12" s="52"/>
      <c r="R12" s="53"/>
    </row>
    <row r="13" spans="1:30" ht="25.8" hidden="1" thickTop="1" thickBot="1">
      <c r="A13" s="29"/>
      <c r="B13" s="25" t="s">
        <v>26</v>
      </c>
      <c r="C13" s="29"/>
      <c r="D13" s="54">
        <v>0</v>
      </c>
      <c r="E13" s="54"/>
      <c r="F13" s="54"/>
      <c r="G13" s="54">
        <v>0</v>
      </c>
      <c r="H13" s="54">
        <v>0</v>
      </c>
      <c r="I13" s="54">
        <v>0</v>
      </c>
      <c r="J13" s="55"/>
      <c r="K13" s="55"/>
      <c r="L13" s="55"/>
      <c r="M13" s="54"/>
      <c r="N13" s="56"/>
      <c r="O13" s="54">
        <v>0</v>
      </c>
      <c r="P13" s="54">
        <v>0</v>
      </c>
      <c r="Q13" s="54">
        <v>0</v>
      </c>
      <c r="R13" s="29"/>
    </row>
    <row r="14" spans="1:30" ht="24.6" hidden="1">
      <c r="A14" s="29"/>
      <c r="B14" s="45" t="s">
        <v>33</v>
      </c>
      <c r="C14" s="29"/>
      <c r="D14" s="57"/>
      <c r="E14" s="46"/>
      <c r="F14" s="46"/>
      <c r="G14" s="57"/>
      <c r="H14" s="57"/>
      <c r="I14" s="57"/>
      <c r="J14" s="47"/>
      <c r="K14" s="48"/>
      <c r="L14" s="58"/>
      <c r="M14" s="46"/>
      <c r="N14" s="28"/>
      <c r="O14" s="57"/>
      <c r="P14" s="57"/>
      <c r="Q14" s="57"/>
      <c r="R14" s="46"/>
    </row>
    <row r="15" spans="1:30" ht="24.6" hidden="1">
      <c r="A15" s="25"/>
      <c r="B15" s="25"/>
      <c r="C15" s="29"/>
      <c r="D15" s="59"/>
      <c r="E15" s="29"/>
      <c r="F15" s="29"/>
      <c r="G15" s="59" t="s">
        <v>34</v>
      </c>
      <c r="H15" s="59" t="s">
        <v>34</v>
      </c>
      <c r="I15" s="59" t="s">
        <v>34</v>
      </c>
      <c r="J15" s="60"/>
      <c r="K15" s="61"/>
      <c r="L15" s="62"/>
      <c r="M15" s="29"/>
      <c r="N15" s="25"/>
      <c r="O15" s="59" t="s">
        <v>34</v>
      </c>
      <c r="P15" s="59" t="s">
        <v>34</v>
      </c>
      <c r="Q15" s="59" t="s">
        <v>34</v>
      </c>
      <c r="R15" s="29"/>
    </row>
    <row r="16" spans="1:30" ht="25.2" hidden="1" thickBot="1">
      <c r="A16" s="29"/>
      <c r="B16" s="25" t="s">
        <v>26</v>
      </c>
      <c r="C16" s="29"/>
      <c r="D16" s="63">
        <v>0</v>
      </c>
      <c r="E16" s="64"/>
      <c r="F16" s="64"/>
      <c r="G16" s="63">
        <v>0</v>
      </c>
      <c r="H16" s="63">
        <v>0</v>
      </c>
      <c r="I16" s="63">
        <v>0</v>
      </c>
      <c r="J16" s="65"/>
      <c r="K16" s="66"/>
      <c r="L16" s="67"/>
      <c r="M16" s="64"/>
      <c r="N16" s="41"/>
      <c r="O16" s="63">
        <v>0</v>
      </c>
      <c r="P16" s="63">
        <v>0</v>
      </c>
      <c r="Q16" s="63">
        <v>0</v>
      </c>
      <c r="R16" s="29"/>
      <c r="V16" s="49"/>
    </row>
    <row r="17" spans="1:20" ht="24.6">
      <c r="A17" s="29"/>
      <c r="B17" s="45" t="s">
        <v>35</v>
      </c>
      <c r="C17" s="29"/>
      <c r="D17" s="46"/>
      <c r="E17" s="46"/>
      <c r="F17" s="46"/>
      <c r="G17" s="46"/>
      <c r="H17" s="46"/>
      <c r="I17" s="46"/>
      <c r="J17" s="47"/>
      <c r="K17" s="48"/>
      <c r="L17" s="48"/>
      <c r="M17" s="46"/>
      <c r="N17" s="28"/>
      <c r="O17" s="46"/>
      <c r="P17" s="46"/>
      <c r="Q17" s="46"/>
      <c r="R17" s="46"/>
    </row>
    <row r="18" spans="1:20" ht="24.6">
      <c r="A18" s="25">
        <v>1</v>
      </c>
      <c r="B18" s="29" t="s">
        <v>36</v>
      </c>
      <c r="C18" s="29"/>
      <c r="D18" s="49">
        <v>0</v>
      </c>
      <c r="E18" s="68"/>
      <c r="F18" s="25"/>
      <c r="G18" s="59">
        <v>0</v>
      </c>
      <c r="H18" s="59">
        <v>0</v>
      </c>
      <c r="I18" s="59">
        <v>0</v>
      </c>
      <c r="J18" s="69"/>
      <c r="K18" s="70"/>
      <c r="L18" s="71"/>
      <c r="M18" s="68"/>
      <c r="N18" s="25"/>
      <c r="O18" s="72">
        <v>0</v>
      </c>
      <c r="P18" s="73">
        <v>0</v>
      </c>
      <c r="Q18" s="73">
        <v>0</v>
      </c>
      <c r="R18" s="29"/>
    </row>
    <row r="19" spans="1:20" ht="25.2" thickBot="1">
      <c r="A19" s="29"/>
      <c r="B19" s="29"/>
      <c r="C19" s="29"/>
      <c r="D19" s="74"/>
      <c r="E19" s="74"/>
      <c r="F19" s="74"/>
      <c r="G19" s="34"/>
      <c r="H19" s="74"/>
      <c r="I19" s="74"/>
      <c r="J19" s="75"/>
      <c r="K19" s="76"/>
      <c r="L19" s="77"/>
      <c r="M19" s="74"/>
      <c r="N19" s="34"/>
      <c r="O19" s="74"/>
      <c r="P19" s="74"/>
      <c r="Q19" s="74"/>
      <c r="R19" s="53"/>
    </row>
    <row r="20" spans="1:20" ht="25.8" thickTop="1" thickBot="1">
      <c r="A20" s="29"/>
      <c r="B20" s="25" t="s">
        <v>26</v>
      </c>
      <c r="C20" s="29"/>
      <c r="D20" s="54">
        <v>0</v>
      </c>
      <c r="E20" s="54"/>
      <c r="F20" s="54"/>
      <c r="G20" s="54">
        <v>0</v>
      </c>
      <c r="H20" s="54">
        <v>0</v>
      </c>
      <c r="I20" s="54">
        <v>0</v>
      </c>
      <c r="J20" s="55"/>
      <c r="K20" s="55"/>
      <c r="L20" s="55"/>
      <c r="M20" s="54"/>
      <c r="N20" s="56"/>
      <c r="O20" s="54">
        <v>0</v>
      </c>
      <c r="P20" s="54">
        <v>0</v>
      </c>
      <c r="Q20" s="54">
        <v>0</v>
      </c>
      <c r="R20" s="53"/>
    </row>
    <row r="21" spans="1:20" ht="25.2" hidden="1" thickTop="1">
      <c r="A21" s="29"/>
      <c r="B21" s="45" t="s">
        <v>37</v>
      </c>
      <c r="C21" s="29"/>
      <c r="D21" s="57"/>
      <c r="E21" s="46"/>
      <c r="F21" s="46"/>
      <c r="G21" s="57"/>
      <c r="H21" s="57"/>
      <c r="I21" s="57"/>
      <c r="J21" s="47"/>
      <c r="K21" s="48"/>
      <c r="L21" s="58"/>
      <c r="M21" s="46"/>
      <c r="N21" s="28"/>
      <c r="O21" s="57"/>
      <c r="P21" s="57"/>
      <c r="Q21" s="57"/>
      <c r="R21" s="29"/>
    </row>
    <row r="22" spans="1:20" ht="25.8" hidden="1" thickTop="1" thickBot="1">
      <c r="A22" s="25">
        <v>1</v>
      </c>
      <c r="B22" s="25"/>
      <c r="C22" s="29"/>
      <c r="D22" s="78"/>
      <c r="E22" s="74"/>
      <c r="F22" s="74"/>
      <c r="G22" s="78"/>
      <c r="H22" s="78"/>
      <c r="I22" s="78"/>
      <c r="J22" s="75"/>
      <c r="K22" s="76"/>
      <c r="L22" s="77"/>
      <c r="M22" s="74"/>
      <c r="N22" s="34"/>
      <c r="O22" s="78"/>
      <c r="P22" s="78"/>
      <c r="Q22" s="78"/>
      <c r="R22" s="29"/>
    </row>
    <row r="23" spans="1:20" ht="25.8" hidden="1" thickTop="1" thickBot="1">
      <c r="A23" s="25"/>
      <c r="B23" s="25" t="s">
        <v>26</v>
      </c>
      <c r="C23" s="29"/>
      <c r="D23" s="54"/>
      <c r="E23" s="79"/>
      <c r="F23" s="79"/>
      <c r="G23" s="54"/>
      <c r="H23" s="54"/>
      <c r="I23" s="54"/>
      <c r="J23" s="80"/>
      <c r="K23" s="81"/>
      <c r="L23" s="55"/>
      <c r="M23" s="79"/>
      <c r="N23" s="82"/>
      <c r="O23" s="54"/>
      <c r="P23" s="54"/>
      <c r="Q23" s="54"/>
      <c r="R23" s="46"/>
    </row>
    <row r="24" spans="1:20" ht="25.2" hidden="1" thickTop="1">
      <c r="A24" s="25"/>
      <c r="B24" s="45" t="s">
        <v>38</v>
      </c>
      <c r="C24" s="29"/>
      <c r="D24" s="57"/>
      <c r="E24" s="46"/>
      <c r="F24" s="46"/>
      <c r="G24" s="57"/>
      <c r="H24" s="57"/>
      <c r="I24" s="57"/>
      <c r="J24" s="47"/>
      <c r="K24" s="48"/>
      <c r="L24" s="58"/>
      <c r="M24" s="46"/>
      <c r="N24" s="28"/>
      <c r="O24" s="57"/>
      <c r="P24" s="57"/>
      <c r="Q24" s="57"/>
      <c r="R24" s="46"/>
    </row>
    <row r="25" spans="1:20" ht="25.8" hidden="1" thickTop="1" thickBot="1">
      <c r="A25" s="25">
        <v>1</v>
      </c>
      <c r="B25" s="25"/>
      <c r="C25" s="29"/>
      <c r="D25" s="78"/>
      <c r="E25" s="74"/>
      <c r="F25" s="74"/>
      <c r="G25" s="78"/>
      <c r="H25" s="78"/>
      <c r="I25" s="78"/>
      <c r="J25" s="75"/>
      <c r="K25" s="76"/>
      <c r="L25" s="77"/>
      <c r="M25" s="74"/>
      <c r="N25" s="34"/>
      <c r="O25" s="78"/>
      <c r="P25" s="78"/>
      <c r="Q25" s="78"/>
      <c r="R25" s="46"/>
    </row>
    <row r="26" spans="1:20" ht="25.8" hidden="1" thickTop="1" thickBot="1">
      <c r="A26" s="25"/>
      <c r="B26" s="25" t="s">
        <v>26</v>
      </c>
      <c r="C26" s="29"/>
      <c r="D26" s="63"/>
      <c r="E26" s="64"/>
      <c r="F26" s="64"/>
      <c r="G26" s="63"/>
      <c r="H26" s="63"/>
      <c r="I26" s="63"/>
      <c r="J26" s="65"/>
      <c r="K26" s="66"/>
      <c r="L26" s="67"/>
      <c r="M26" s="64"/>
      <c r="N26" s="41"/>
      <c r="O26" s="63"/>
      <c r="P26" s="63"/>
      <c r="Q26" s="63"/>
      <c r="R26" s="46"/>
    </row>
    <row r="27" spans="1:20" ht="25.2" thickTop="1">
      <c r="A27" s="29"/>
      <c r="B27" s="45" t="s">
        <v>39</v>
      </c>
      <c r="C27" s="29"/>
      <c r="D27" s="46"/>
      <c r="E27" s="46"/>
      <c r="F27" s="46"/>
      <c r="G27" s="46"/>
      <c r="H27" s="46"/>
      <c r="I27" s="46"/>
      <c r="J27" s="47"/>
      <c r="K27" s="48"/>
      <c r="L27" s="48"/>
      <c r="M27" s="46"/>
      <c r="N27" s="28"/>
      <c r="O27" s="46"/>
      <c r="P27" s="46"/>
      <c r="Q27" s="46"/>
      <c r="R27" s="46"/>
    </row>
    <row r="28" spans="1:20" ht="24.6">
      <c r="A28" s="25">
        <v>1</v>
      </c>
      <c r="B28" s="29" t="s">
        <v>40</v>
      </c>
      <c r="C28" s="29"/>
      <c r="D28" s="257">
        <v>0</v>
      </c>
      <c r="E28" s="68"/>
      <c r="F28" s="25"/>
      <c r="G28" s="52">
        <v>0</v>
      </c>
      <c r="H28" s="59">
        <v>0</v>
      </c>
      <c r="I28" s="52">
        <v>0</v>
      </c>
      <c r="J28" s="69"/>
      <c r="K28" s="70"/>
      <c r="L28" s="83"/>
      <c r="M28" s="68"/>
      <c r="N28" s="25"/>
      <c r="O28" s="72">
        <v>0</v>
      </c>
      <c r="P28" s="73">
        <v>0</v>
      </c>
      <c r="Q28" s="73">
        <v>0</v>
      </c>
      <c r="R28" s="29" t="s">
        <v>41</v>
      </c>
    </row>
    <row r="29" spans="1:20" ht="24.6">
      <c r="A29" s="25">
        <v>2</v>
      </c>
      <c r="B29" s="29" t="s">
        <v>277</v>
      </c>
      <c r="C29" s="29"/>
      <c r="D29" s="257">
        <v>535</v>
      </c>
      <c r="E29" s="25"/>
      <c r="F29" s="25"/>
      <c r="G29" s="52">
        <v>0</v>
      </c>
      <c r="H29" s="59">
        <v>0</v>
      </c>
      <c r="I29" s="52">
        <v>0</v>
      </c>
      <c r="J29" s="69">
        <v>25147</v>
      </c>
      <c r="K29" s="84" t="s">
        <v>278</v>
      </c>
      <c r="L29" s="85">
        <v>535</v>
      </c>
      <c r="M29" s="25"/>
      <c r="N29" s="25"/>
      <c r="O29" s="72">
        <v>0</v>
      </c>
      <c r="P29" s="73">
        <v>0</v>
      </c>
      <c r="Q29" s="73">
        <v>0</v>
      </c>
      <c r="R29" s="29"/>
    </row>
    <row r="30" spans="1:20" s="96" customFormat="1" ht="24.6">
      <c r="A30" s="86">
        <v>3</v>
      </c>
      <c r="B30" s="87" t="s">
        <v>44</v>
      </c>
      <c r="C30" s="88"/>
      <c r="D30" s="258">
        <v>1070</v>
      </c>
      <c r="E30" s="90"/>
      <c r="F30" s="86"/>
      <c r="G30" s="91">
        <v>0</v>
      </c>
      <c r="H30" s="92">
        <v>0</v>
      </c>
      <c r="I30" s="91">
        <v>0</v>
      </c>
      <c r="J30" s="93">
        <v>25172</v>
      </c>
      <c r="K30" s="94" t="s">
        <v>279</v>
      </c>
      <c r="L30" s="95">
        <v>1070</v>
      </c>
      <c r="M30" s="90"/>
      <c r="N30" s="86"/>
      <c r="O30" s="72">
        <v>0</v>
      </c>
      <c r="P30" s="73">
        <v>0</v>
      </c>
      <c r="Q30" s="73">
        <v>0</v>
      </c>
      <c r="R30" s="87"/>
      <c r="T30" s="97"/>
    </row>
    <row r="31" spans="1:20" ht="24.6">
      <c r="A31" s="25">
        <v>4</v>
      </c>
      <c r="B31" s="29" t="s">
        <v>46</v>
      </c>
      <c r="C31" s="29"/>
      <c r="D31" s="259">
        <v>535</v>
      </c>
      <c r="E31" s="28"/>
      <c r="F31" s="28"/>
      <c r="G31" s="99"/>
      <c r="H31" s="59"/>
      <c r="I31" s="52"/>
      <c r="J31" s="69">
        <v>25172</v>
      </c>
      <c r="K31" s="70" t="s">
        <v>280</v>
      </c>
      <c r="L31" s="100">
        <v>535</v>
      </c>
      <c r="M31" s="28"/>
      <c r="N31" s="28"/>
      <c r="O31" s="72">
        <v>0</v>
      </c>
      <c r="P31" s="101">
        <v>0</v>
      </c>
      <c r="Q31" s="101">
        <v>0</v>
      </c>
      <c r="R31" s="102" t="s">
        <v>48</v>
      </c>
    </row>
    <row r="32" spans="1:20" ht="25.2" thickBot="1">
      <c r="A32" s="29"/>
      <c r="B32" s="25" t="s">
        <v>26</v>
      </c>
      <c r="C32" s="29"/>
      <c r="D32" s="103">
        <f>SUM(D28:D31)</f>
        <v>2140</v>
      </c>
      <c r="E32" s="63"/>
      <c r="F32" s="63"/>
      <c r="G32" s="103">
        <v>0</v>
      </c>
      <c r="H32" s="103">
        <v>0</v>
      </c>
      <c r="I32" s="103">
        <v>0</v>
      </c>
      <c r="J32" s="67"/>
      <c r="K32" s="67"/>
      <c r="L32" s="104">
        <f>SUM(L29:L31)</f>
        <v>2140</v>
      </c>
      <c r="M32" s="63"/>
      <c r="N32" s="105"/>
      <c r="O32" s="106">
        <v>0</v>
      </c>
      <c r="P32" s="107">
        <v>0</v>
      </c>
      <c r="Q32" s="107">
        <v>0</v>
      </c>
      <c r="R32" s="53"/>
    </row>
    <row r="33" spans="1:18" ht="25.2" hidden="1" thickTop="1">
      <c r="A33" s="29"/>
      <c r="B33" s="45" t="s">
        <v>49</v>
      </c>
      <c r="C33" s="29"/>
      <c r="D33" s="57"/>
      <c r="E33" s="108"/>
      <c r="F33" s="108"/>
      <c r="G33" s="57"/>
      <c r="H33" s="57"/>
      <c r="I33" s="57"/>
      <c r="J33" s="47"/>
      <c r="K33" s="48"/>
      <c r="L33" s="58"/>
      <c r="M33" s="46"/>
      <c r="N33" s="28"/>
      <c r="O33" s="57"/>
      <c r="P33" s="57"/>
      <c r="Q33" s="57"/>
      <c r="R33" s="29"/>
    </row>
    <row r="34" spans="1:18" ht="16.5" hidden="1" customHeight="1" thickBot="1">
      <c r="A34" s="25">
        <v>1</v>
      </c>
      <c r="B34" s="25"/>
      <c r="C34" s="29"/>
      <c r="D34" s="78"/>
      <c r="E34" s="74"/>
      <c r="F34" s="74"/>
      <c r="G34" s="78"/>
      <c r="H34" s="78"/>
      <c r="I34" s="78"/>
      <c r="J34" s="75"/>
      <c r="K34" s="76"/>
      <c r="L34" s="77"/>
      <c r="M34" s="74"/>
      <c r="N34" s="34"/>
      <c r="O34" s="78"/>
      <c r="P34" s="78"/>
      <c r="Q34" s="78"/>
      <c r="R34" s="29"/>
    </row>
    <row r="35" spans="1:18" ht="25.8" hidden="1" thickTop="1" thickBot="1">
      <c r="A35" s="25"/>
      <c r="B35" s="25" t="s">
        <v>26</v>
      </c>
      <c r="C35" s="29"/>
      <c r="D35" s="54"/>
      <c r="E35" s="64"/>
      <c r="F35" s="64"/>
      <c r="G35" s="54"/>
      <c r="H35" s="54"/>
      <c r="I35" s="54"/>
      <c r="J35" s="80"/>
      <c r="K35" s="81"/>
      <c r="L35" s="55"/>
      <c r="M35" s="79"/>
      <c r="N35" s="82"/>
      <c r="O35" s="54"/>
      <c r="P35" s="54"/>
      <c r="Q35" s="54"/>
      <c r="R35" s="29"/>
    </row>
    <row r="36" spans="1:18" ht="25.2" hidden="1" thickTop="1">
      <c r="A36" s="25"/>
      <c r="B36" s="45" t="s">
        <v>50</v>
      </c>
      <c r="C36" s="29"/>
      <c r="D36" s="57"/>
      <c r="E36" s="109"/>
      <c r="F36" s="109"/>
      <c r="G36" s="57"/>
      <c r="H36" s="57"/>
      <c r="I36" s="57"/>
      <c r="J36" s="47"/>
      <c r="K36" s="48"/>
      <c r="L36" s="58"/>
      <c r="M36" s="46"/>
      <c r="N36" s="28"/>
      <c r="O36" s="57"/>
      <c r="P36" s="57"/>
      <c r="Q36" s="57"/>
      <c r="R36" s="29"/>
    </row>
    <row r="37" spans="1:18" ht="25.8" hidden="1" thickTop="1" thickBot="1">
      <c r="A37" s="25"/>
      <c r="B37" s="25"/>
      <c r="C37" s="29"/>
      <c r="D37" s="78"/>
      <c r="E37" s="74"/>
      <c r="F37" s="74"/>
      <c r="G37" s="78">
        <v>0</v>
      </c>
      <c r="H37" s="78">
        <v>0</v>
      </c>
      <c r="I37" s="78">
        <v>0</v>
      </c>
      <c r="J37" s="75"/>
      <c r="K37" s="76"/>
      <c r="L37" s="77"/>
      <c r="M37" s="74"/>
      <c r="N37" s="34"/>
      <c r="O37" s="110">
        <v>0</v>
      </c>
      <c r="P37" s="110">
        <v>0</v>
      </c>
      <c r="Q37" s="110">
        <v>0</v>
      </c>
      <c r="R37" s="29"/>
    </row>
    <row r="38" spans="1:18" ht="25.2" hidden="1" thickTop="1">
      <c r="A38" s="25"/>
      <c r="B38" s="25" t="s">
        <v>26</v>
      </c>
      <c r="C38" s="29"/>
      <c r="D38" s="111">
        <v>0</v>
      </c>
      <c r="E38" s="46"/>
      <c r="F38" s="46"/>
      <c r="G38" s="111">
        <v>0</v>
      </c>
      <c r="H38" s="111"/>
      <c r="I38" s="111">
        <v>0</v>
      </c>
      <c r="J38" s="112"/>
      <c r="K38" s="113"/>
      <c r="L38" s="114"/>
      <c r="M38" s="109"/>
      <c r="N38" s="115"/>
      <c r="O38" s="111">
        <v>0</v>
      </c>
      <c r="P38" s="111"/>
      <c r="Q38" s="111">
        <v>0</v>
      </c>
      <c r="R38" s="53"/>
    </row>
    <row r="39" spans="1:18" ht="25.2" hidden="1" thickTop="1">
      <c r="A39" s="25"/>
      <c r="B39" s="45" t="s">
        <v>51</v>
      </c>
      <c r="C39" s="29"/>
      <c r="D39" s="59"/>
      <c r="E39" s="109"/>
      <c r="F39" s="109"/>
      <c r="G39" s="59"/>
      <c r="H39" s="59"/>
      <c r="I39" s="59"/>
      <c r="J39" s="60"/>
      <c r="K39" s="61"/>
      <c r="L39" s="62"/>
      <c r="M39" s="29"/>
      <c r="N39" s="25"/>
      <c r="O39" s="59"/>
      <c r="P39" s="59"/>
      <c r="Q39" s="59"/>
      <c r="R39" s="29"/>
    </row>
    <row r="40" spans="1:18" ht="25.8" hidden="1" thickTop="1" thickBot="1">
      <c r="A40" s="25">
        <v>1</v>
      </c>
      <c r="B40" s="25"/>
      <c r="C40" s="29"/>
      <c r="D40" s="78"/>
      <c r="E40" s="74"/>
      <c r="F40" s="74"/>
      <c r="G40" s="78"/>
      <c r="H40" s="78"/>
      <c r="I40" s="78"/>
      <c r="J40" s="75"/>
      <c r="K40" s="76"/>
      <c r="L40" s="77"/>
      <c r="M40" s="74"/>
      <c r="N40" s="34"/>
      <c r="O40" s="78"/>
      <c r="P40" s="78"/>
      <c r="Q40" s="78"/>
      <c r="R40" s="29"/>
    </row>
    <row r="41" spans="1:18" ht="25.8" hidden="1" thickTop="1" thickBot="1">
      <c r="A41" s="25"/>
      <c r="B41" s="25" t="s">
        <v>26</v>
      </c>
      <c r="C41" s="29"/>
      <c r="D41" s="63"/>
      <c r="E41" s="79"/>
      <c r="F41" s="79"/>
      <c r="G41" s="63"/>
      <c r="H41" s="63"/>
      <c r="I41" s="63"/>
      <c r="J41" s="65"/>
      <c r="K41" s="66"/>
      <c r="L41" s="67"/>
      <c r="M41" s="64"/>
      <c r="N41" s="41"/>
      <c r="O41" s="63"/>
      <c r="P41" s="63"/>
      <c r="Q41" s="63"/>
      <c r="R41" s="29"/>
    </row>
    <row r="42" spans="1:18" ht="25.2" thickTop="1">
      <c r="A42" s="29"/>
      <c r="B42" s="45" t="s">
        <v>52</v>
      </c>
      <c r="C42" s="29"/>
      <c r="D42" s="57"/>
      <c r="E42" s="28"/>
      <c r="F42" s="28"/>
      <c r="G42" s="57"/>
      <c r="H42" s="57"/>
      <c r="I42" s="57"/>
      <c r="J42" s="47"/>
      <c r="K42" s="48"/>
      <c r="L42" s="58"/>
      <c r="M42" s="46"/>
      <c r="N42" s="28"/>
      <c r="O42" s="57"/>
      <c r="P42" s="57"/>
      <c r="Q42" s="57"/>
      <c r="R42" s="29"/>
    </row>
    <row r="43" spans="1:18" ht="24.6">
      <c r="A43" s="29"/>
      <c r="B43" s="116" t="s">
        <v>53</v>
      </c>
      <c r="C43" s="29"/>
      <c r="D43" s="57"/>
      <c r="E43" s="25"/>
      <c r="F43" s="25"/>
      <c r="G43" s="57"/>
      <c r="H43" s="57"/>
      <c r="I43" s="57"/>
      <c r="J43" s="47"/>
      <c r="K43" s="48"/>
      <c r="L43" s="58"/>
      <c r="M43" s="46"/>
      <c r="N43" s="28"/>
      <c r="O43" s="57"/>
      <c r="P43" s="57"/>
      <c r="Q43" s="57"/>
      <c r="R43" s="29"/>
    </row>
    <row r="44" spans="1:18" ht="24.6">
      <c r="A44" s="25">
        <v>1</v>
      </c>
      <c r="B44" s="29" t="s">
        <v>54</v>
      </c>
      <c r="C44" s="25" t="s">
        <v>55</v>
      </c>
      <c r="D44" s="49">
        <v>0</v>
      </c>
      <c r="E44" s="25"/>
      <c r="F44" s="25"/>
      <c r="G44" s="49">
        <v>0</v>
      </c>
      <c r="H44" s="49">
        <v>0</v>
      </c>
      <c r="I44" s="49">
        <v>0</v>
      </c>
      <c r="J44" s="26"/>
      <c r="K44" s="117"/>
      <c r="L44" s="118"/>
      <c r="M44" s="25"/>
      <c r="N44" s="25"/>
      <c r="O44" s="72">
        <f t="shared" ref="O44:O49" si="0">D44</f>
        <v>0</v>
      </c>
      <c r="P44" s="73">
        <v>0</v>
      </c>
      <c r="Q44" s="73">
        <f t="shared" ref="Q44:Q49" si="1">D44</f>
        <v>0</v>
      </c>
      <c r="R44" s="29" t="s">
        <v>56</v>
      </c>
    </row>
    <row r="45" spans="1:18" ht="24.6">
      <c r="A45" s="25">
        <v>2</v>
      </c>
      <c r="B45" s="119" t="s">
        <v>57</v>
      </c>
      <c r="C45" s="25">
        <v>259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58</v>
      </c>
    </row>
    <row r="46" spans="1:18" ht="24.6">
      <c r="A46" s="25">
        <v>3</v>
      </c>
      <c r="B46" s="119" t="s">
        <v>57</v>
      </c>
      <c r="C46" s="25">
        <v>260</v>
      </c>
      <c r="D46" s="49"/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3">
        <f t="shared" si="1"/>
        <v>0</v>
      </c>
      <c r="R46" s="29"/>
    </row>
    <row r="47" spans="1:18" ht="24.6">
      <c r="A47" s="25">
        <v>4</v>
      </c>
      <c r="B47" s="119" t="s">
        <v>57</v>
      </c>
      <c r="C47" s="25" t="s">
        <v>59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26"/>
      <c r="K47" s="16"/>
      <c r="L47" s="118"/>
      <c r="M47" s="25"/>
      <c r="N47" s="25"/>
      <c r="O47" s="72">
        <f t="shared" si="0"/>
        <v>0</v>
      </c>
      <c r="P47" s="73">
        <v>0</v>
      </c>
      <c r="Q47" s="73">
        <f t="shared" si="1"/>
        <v>0</v>
      </c>
      <c r="R47" s="29" t="s">
        <v>60</v>
      </c>
    </row>
    <row r="48" spans="1:18" ht="24.6">
      <c r="A48" s="25">
        <v>5</v>
      </c>
      <c r="B48" s="119" t="s">
        <v>57</v>
      </c>
      <c r="C48" s="25" t="s">
        <v>61</v>
      </c>
      <c r="D48" s="49">
        <v>0</v>
      </c>
      <c r="E48" s="25"/>
      <c r="F48" s="25"/>
      <c r="G48" s="49">
        <v>0</v>
      </c>
      <c r="H48" s="49">
        <v>0</v>
      </c>
      <c r="I48" s="49">
        <v>0</v>
      </c>
      <c r="J48" s="26"/>
      <c r="K48" s="16"/>
      <c r="L48" s="118"/>
      <c r="M48" s="25"/>
      <c r="N48" s="25"/>
      <c r="O48" s="72">
        <f t="shared" si="0"/>
        <v>0</v>
      </c>
      <c r="P48" s="73">
        <v>0</v>
      </c>
      <c r="Q48" s="73">
        <f t="shared" si="1"/>
        <v>0</v>
      </c>
      <c r="R48" s="29"/>
    </row>
    <row r="49" spans="1:18" ht="24.6">
      <c r="A49" s="25">
        <v>6</v>
      </c>
      <c r="B49" s="29" t="s">
        <v>62</v>
      </c>
      <c r="C49" s="25" t="s">
        <v>63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69"/>
      <c r="K49" s="70"/>
      <c r="L49" s="83"/>
      <c r="M49" s="25"/>
      <c r="N49" s="25"/>
      <c r="O49" s="72">
        <f t="shared" si="0"/>
        <v>0</v>
      </c>
      <c r="P49" s="73">
        <v>0</v>
      </c>
      <c r="Q49" s="73">
        <f t="shared" si="1"/>
        <v>0</v>
      </c>
      <c r="R49" s="29" t="s">
        <v>64</v>
      </c>
    </row>
    <row r="50" spans="1:18" ht="24.6">
      <c r="A50" s="25">
        <v>7</v>
      </c>
      <c r="B50" s="29" t="s">
        <v>65</v>
      </c>
      <c r="C50" s="25">
        <v>267</v>
      </c>
      <c r="D50" s="49">
        <v>1215</v>
      </c>
      <c r="E50" s="25"/>
      <c r="F50" s="25"/>
      <c r="G50" s="49">
        <v>0</v>
      </c>
      <c r="H50" s="49">
        <v>0</v>
      </c>
      <c r="I50" s="49">
        <v>0</v>
      </c>
      <c r="J50" s="69">
        <v>25147</v>
      </c>
      <c r="K50" s="70" t="s">
        <v>281</v>
      </c>
      <c r="L50" s="83">
        <v>1215</v>
      </c>
      <c r="M50" s="25"/>
      <c r="N50" s="25"/>
      <c r="O50" s="72">
        <f>D50+G50-L50</f>
        <v>0</v>
      </c>
      <c r="P50" s="72">
        <f t="shared" ref="P50:Q61" si="2">E50+H50-M50</f>
        <v>0</v>
      </c>
      <c r="Q50" s="72">
        <f t="shared" si="2"/>
        <v>0</v>
      </c>
      <c r="R50" s="29" t="s">
        <v>67</v>
      </c>
    </row>
    <row r="51" spans="1:18" ht="24.6">
      <c r="A51" s="25">
        <v>8</v>
      </c>
      <c r="B51" s="29" t="s">
        <v>68</v>
      </c>
      <c r="C51" s="120">
        <v>268</v>
      </c>
      <c r="D51" s="49">
        <v>0</v>
      </c>
      <c r="E51" s="25"/>
      <c r="F51" s="25"/>
      <c r="G51" s="49">
        <v>0</v>
      </c>
      <c r="H51" s="49">
        <v>0</v>
      </c>
      <c r="I51" s="49">
        <v>0</v>
      </c>
      <c r="J51" s="121"/>
      <c r="K51" s="121"/>
      <c r="L51" s="121"/>
      <c r="M51" s="25"/>
      <c r="N51" s="25"/>
      <c r="O51" s="72">
        <f t="shared" ref="O51:O62" si="3">D51+G51-L51</f>
        <v>0</v>
      </c>
      <c r="P51" s="73">
        <v>0</v>
      </c>
      <c r="Q51" s="72">
        <f t="shared" si="2"/>
        <v>0</v>
      </c>
      <c r="R51" s="29" t="s">
        <v>69</v>
      </c>
    </row>
    <row r="52" spans="1:18" ht="24.6">
      <c r="A52" s="25">
        <v>9</v>
      </c>
      <c r="B52" s="29" t="s">
        <v>70</v>
      </c>
      <c r="C52" s="25" t="s">
        <v>71</v>
      </c>
      <c r="D52" s="49">
        <v>2430</v>
      </c>
      <c r="E52" s="25"/>
      <c r="F52" s="25"/>
      <c r="G52" s="49">
        <v>0</v>
      </c>
      <c r="H52" s="49">
        <v>0</v>
      </c>
      <c r="I52" s="49">
        <v>0</v>
      </c>
      <c r="J52" s="69">
        <v>25149</v>
      </c>
      <c r="K52" s="70" t="s">
        <v>282</v>
      </c>
      <c r="L52" s="83">
        <v>2430</v>
      </c>
      <c r="M52" s="25"/>
      <c r="N52" s="25"/>
      <c r="O52" s="72">
        <f t="shared" si="3"/>
        <v>0</v>
      </c>
      <c r="P52" s="73">
        <v>0</v>
      </c>
      <c r="Q52" s="72">
        <f t="shared" si="2"/>
        <v>0</v>
      </c>
      <c r="R52" s="29"/>
    </row>
    <row r="53" spans="1:18" ht="24.6">
      <c r="A53" s="25">
        <v>10</v>
      </c>
      <c r="B53" s="29" t="s">
        <v>73</v>
      </c>
      <c r="C53" s="120">
        <v>84282</v>
      </c>
      <c r="D53" s="49">
        <v>2430</v>
      </c>
      <c r="E53" s="25"/>
      <c r="F53" s="25"/>
      <c r="G53" s="49">
        <v>0</v>
      </c>
      <c r="H53" s="49">
        <v>0</v>
      </c>
      <c r="I53" s="49">
        <v>0</v>
      </c>
      <c r="J53" s="69"/>
      <c r="K53" s="70"/>
      <c r="L53" s="83"/>
      <c r="M53" s="122">
        <v>25143</v>
      </c>
      <c r="N53" s="123">
        <v>1</v>
      </c>
      <c r="O53" s="72">
        <f>D53+G53-L53</f>
        <v>2430</v>
      </c>
      <c r="P53" s="73">
        <v>0</v>
      </c>
      <c r="Q53" s="72">
        <f>D53+I53-L53</f>
        <v>2430</v>
      </c>
      <c r="R53" s="29"/>
    </row>
    <row r="54" spans="1:18" ht="24.6">
      <c r="A54" s="25">
        <v>11</v>
      </c>
      <c r="B54" s="29" t="s">
        <v>76</v>
      </c>
      <c r="C54" s="25">
        <v>281</v>
      </c>
      <c r="D54" s="49">
        <v>0</v>
      </c>
      <c r="E54" s="25"/>
      <c r="F54" s="25"/>
      <c r="G54" s="49">
        <v>0</v>
      </c>
      <c r="H54" s="49">
        <v>0</v>
      </c>
      <c r="I54" s="49">
        <v>0</v>
      </c>
      <c r="J54" s="69"/>
      <c r="K54" s="70"/>
      <c r="L54" s="83"/>
      <c r="M54" s="25"/>
      <c r="N54" s="25"/>
      <c r="O54" s="72">
        <f t="shared" si="3"/>
        <v>0</v>
      </c>
      <c r="P54" s="73">
        <v>0</v>
      </c>
      <c r="Q54" s="72">
        <f t="shared" si="2"/>
        <v>0</v>
      </c>
      <c r="R54" s="29" t="s">
        <v>77</v>
      </c>
    </row>
    <row r="55" spans="1:18" ht="24.6">
      <c r="A55" s="25">
        <v>12</v>
      </c>
      <c r="B55" s="29" t="s">
        <v>57</v>
      </c>
      <c r="C55" s="25">
        <v>280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3"/>
        <v>0</v>
      </c>
      <c r="P55" s="73">
        <v>0</v>
      </c>
      <c r="Q55" s="72">
        <f t="shared" si="2"/>
        <v>0</v>
      </c>
      <c r="R55" s="29"/>
    </row>
    <row r="56" spans="1:18" ht="24.6">
      <c r="A56" s="25">
        <v>13</v>
      </c>
      <c r="B56" s="29" t="s">
        <v>78</v>
      </c>
      <c r="C56" s="25" t="s">
        <v>79</v>
      </c>
      <c r="D56" s="49">
        <v>2430</v>
      </c>
      <c r="E56" s="25"/>
      <c r="F56" s="25"/>
      <c r="G56" s="49">
        <v>0</v>
      </c>
      <c r="H56" s="49">
        <v>0</v>
      </c>
      <c r="I56" s="49">
        <v>0</v>
      </c>
      <c r="J56" s="69">
        <v>25168</v>
      </c>
      <c r="K56" s="70" t="s">
        <v>283</v>
      </c>
      <c r="L56" s="83">
        <v>2430</v>
      </c>
      <c r="M56" s="25"/>
      <c r="N56" s="25"/>
      <c r="O56" s="72">
        <f t="shared" si="3"/>
        <v>0</v>
      </c>
      <c r="P56" s="73">
        <v>0</v>
      </c>
      <c r="Q56" s="72">
        <f t="shared" si="2"/>
        <v>0</v>
      </c>
      <c r="R56" s="29"/>
    </row>
    <row r="57" spans="1:18" ht="24.6">
      <c r="A57" s="25">
        <v>14</v>
      </c>
      <c r="B57" s="29" t="s">
        <v>81</v>
      </c>
      <c r="C57" s="25" t="s">
        <v>82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69"/>
      <c r="K57" s="70"/>
      <c r="L57" s="83"/>
      <c r="M57" s="25"/>
      <c r="N57" s="25"/>
      <c r="O57" s="72">
        <f t="shared" si="3"/>
        <v>0</v>
      </c>
      <c r="P57" s="73">
        <v>0</v>
      </c>
      <c r="Q57" s="72">
        <f t="shared" si="2"/>
        <v>0</v>
      </c>
      <c r="R57" s="29"/>
    </row>
    <row r="58" spans="1:18" ht="24.6">
      <c r="A58" s="25">
        <v>15</v>
      </c>
      <c r="B58" s="29" t="s">
        <v>83</v>
      </c>
      <c r="C58" s="25">
        <v>277</v>
      </c>
      <c r="D58" s="49">
        <v>1215</v>
      </c>
      <c r="E58" s="25"/>
      <c r="F58" s="25"/>
      <c r="G58" s="49">
        <v>0</v>
      </c>
      <c r="H58" s="49">
        <v>0</v>
      </c>
      <c r="I58" s="49">
        <v>0</v>
      </c>
      <c r="J58" s="69">
        <v>25172</v>
      </c>
      <c r="K58" s="70" t="s">
        <v>284</v>
      </c>
      <c r="L58" s="83">
        <v>1215</v>
      </c>
      <c r="M58" s="25"/>
      <c r="N58" s="25"/>
      <c r="O58" s="72">
        <f t="shared" si="3"/>
        <v>0</v>
      </c>
      <c r="P58" s="73">
        <v>0</v>
      </c>
      <c r="Q58" s="72">
        <f t="shared" si="2"/>
        <v>0</v>
      </c>
      <c r="R58" s="29"/>
    </row>
    <row r="59" spans="1:18" ht="24.6">
      <c r="A59" s="25">
        <v>16</v>
      </c>
      <c r="B59" s="29" t="s">
        <v>85</v>
      </c>
      <c r="C59" s="25" t="s">
        <v>86</v>
      </c>
      <c r="D59" s="49">
        <v>0</v>
      </c>
      <c r="E59" s="25"/>
      <c r="F59" s="25"/>
      <c r="G59" s="49">
        <v>0</v>
      </c>
      <c r="H59" s="49">
        <v>0</v>
      </c>
      <c r="I59" s="49">
        <v>0</v>
      </c>
      <c r="J59" s="26"/>
      <c r="K59" s="16"/>
      <c r="L59" s="118"/>
      <c r="M59" s="25"/>
      <c r="N59" s="25"/>
      <c r="O59" s="72">
        <f t="shared" si="3"/>
        <v>0</v>
      </c>
      <c r="P59" s="73">
        <v>0</v>
      </c>
      <c r="Q59" s="72">
        <f t="shared" si="2"/>
        <v>0</v>
      </c>
      <c r="R59" s="29" t="s">
        <v>87</v>
      </c>
    </row>
    <row r="60" spans="1:18" ht="24.6">
      <c r="A60" s="25">
        <v>17</v>
      </c>
      <c r="B60" s="29" t="s">
        <v>57</v>
      </c>
      <c r="C60" s="25" t="s">
        <v>88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3"/>
        <v>0</v>
      </c>
      <c r="P60" s="73">
        <v>0</v>
      </c>
      <c r="Q60" s="72">
        <f t="shared" si="2"/>
        <v>0</v>
      </c>
      <c r="R60" s="29"/>
    </row>
    <row r="61" spans="1:18" ht="24.6">
      <c r="A61" s="25"/>
      <c r="B61" s="116" t="s">
        <v>89</v>
      </c>
      <c r="C61" s="29"/>
      <c r="D61" s="29"/>
      <c r="E61" s="25"/>
      <c r="F61" s="25"/>
      <c r="G61" s="2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si="3"/>
        <v>0</v>
      </c>
      <c r="P61" s="49"/>
      <c r="Q61" s="72">
        <f t="shared" si="2"/>
        <v>0</v>
      </c>
      <c r="R61" s="29"/>
    </row>
    <row r="62" spans="1:18" ht="24.6">
      <c r="A62" s="25">
        <v>1</v>
      </c>
      <c r="B62" s="29" t="s">
        <v>57</v>
      </c>
      <c r="C62" s="25" t="s">
        <v>90</v>
      </c>
      <c r="D62" s="49">
        <v>0</v>
      </c>
      <c r="E62" s="25"/>
      <c r="F62" s="25"/>
      <c r="G62" s="49">
        <v>0</v>
      </c>
      <c r="H62" s="49">
        <v>0</v>
      </c>
      <c r="I62" s="49">
        <v>0</v>
      </c>
      <c r="J62" s="26"/>
      <c r="K62" s="16"/>
      <c r="L62" s="118"/>
      <c r="M62" s="25"/>
      <c r="N62" s="25"/>
      <c r="O62" s="72">
        <f t="shared" si="3"/>
        <v>0</v>
      </c>
      <c r="P62" s="73">
        <v>0</v>
      </c>
      <c r="Q62" s="73">
        <f t="shared" ref="Q62:Q72" si="4">D62+I62</f>
        <v>0</v>
      </c>
      <c r="R62" s="29" t="s">
        <v>91</v>
      </c>
    </row>
    <row r="63" spans="1:18" ht="24.6">
      <c r="A63" s="25">
        <v>2</v>
      </c>
      <c r="B63" s="119" t="s">
        <v>57</v>
      </c>
      <c r="C63" s="25" t="s">
        <v>92</v>
      </c>
      <c r="D63" s="49"/>
      <c r="E63" s="25"/>
      <c r="F63" s="25"/>
      <c r="G63" s="49">
        <v>0</v>
      </c>
      <c r="H63" s="49"/>
      <c r="I63" s="49">
        <v>0</v>
      </c>
      <c r="J63" s="26"/>
      <c r="K63" s="16"/>
      <c r="L63" s="118"/>
      <c r="M63" s="25"/>
      <c r="N63" s="25"/>
      <c r="O63" s="72">
        <f t="shared" ref="O63:O72" si="5">D63+G63</f>
        <v>0</v>
      </c>
      <c r="P63" s="49"/>
      <c r="Q63" s="73">
        <f t="shared" si="4"/>
        <v>0</v>
      </c>
      <c r="R63" s="29"/>
    </row>
    <row r="64" spans="1:18" ht="24.6">
      <c r="A64" s="25">
        <v>3</v>
      </c>
      <c r="B64" s="29" t="s">
        <v>93</v>
      </c>
      <c r="C64" s="25" t="s">
        <v>94</v>
      </c>
      <c r="D64" s="49">
        <v>0</v>
      </c>
      <c r="E64" s="25"/>
      <c r="F64" s="25"/>
      <c r="G64" s="89">
        <v>0</v>
      </c>
      <c r="H64" s="89">
        <v>0</v>
      </c>
      <c r="I64" s="89">
        <v>0</v>
      </c>
      <c r="J64" s="69"/>
      <c r="K64" s="84"/>
      <c r="L64" s="83"/>
      <c r="M64" s="25"/>
      <c r="N64" s="25"/>
      <c r="O64" s="72">
        <f t="shared" si="5"/>
        <v>0</v>
      </c>
      <c r="P64" s="73">
        <v>0</v>
      </c>
      <c r="Q64" s="73">
        <f t="shared" si="4"/>
        <v>0</v>
      </c>
      <c r="R64" s="29"/>
    </row>
    <row r="65" spans="1:20" ht="24.6">
      <c r="A65" s="25">
        <v>4</v>
      </c>
      <c r="B65" s="119" t="s">
        <v>57</v>
      </c>
      <c r="C65" s="25" t="s">
        <v>95</v>
      </c>
      <c r="D65" s="52">
        <v>0</v>
      </c>
      <c r="E65" s="25"/>
      <c r="F65" s="25"/>
      <c r="G65" s="49">
        <v>0</v>
      </c>
      <c r="H65" s="49"/>
      <c r="I65" s="49">
        <v>0</v>
      </c>
      <c r="J65" s="69"/>
      <c r="K65" s="84"/>
      <c r="L65" s="83"/>
      <c r="M65" s="25"/>
      <c r="N65" s="25"/>
      <c r="O65" s="72">
        <f t="shared" si="5"/>
        <v>0</v>
      </c>
      <c r="P65" s="49"/>
      <c r="Q65" s="73">
        <f t="shared" si="4"/>
        <v>0</v>
      </c>
      <c r="R65" s="29"/>
    </row>
    <row r="66" spans="1:20" ht="24.6">
      <c r="A66" s="25">
        <v>5</v>
      </c>
      <c r="B66" s="29" t="s">
        <v>40</v>
      </c>
      <c r="C66" s="25" t="s">
        <v>96</v>
      </c>
      <c r="D66" s="49">
        <v>0</v>
      </c>
      <c r="E66" s="25"/>
      <c r="F66" s="25"/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5"/>
        <v>0</v>
      </c>
      <c r="P66" s="73">
        <v>0</v>
      </c>
      <c r="Q66" s="73">
        <f t="shared" si="4"/>
        <v>0</v>
      </c>
      <c r="R66" s="29" t="s">
        <v>41</v>
      </c>
    </row>
    <row r="67" spans="1:20" ht="24.6">
      <c r="A67" s="25"/>
      <c r="B67" s="53"/>
      <c r="C67" s="25"/>
      <c r="D67" s="49"/>
      <c r="E67" s="25"/>
      <c r="F67" s="25"/>
      <c r="G67" s="4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5"/>
        <v>0</v>
      </c>
      <c r="P67" s="49"/>
      <c r="Q67" s="73">
        <f t="shared" si="4"/>
        <v>0</v>
      </c>
      <c r="R67" s="29"/>
    </row>
    <row r="68" spans="1:20" ht="24.6">
      <c r="A68" s="25"/>
      <c r="B68" s="124" t="s">
        <v>97</v>
      </c>
      <c r="C68" s="29"/>
      <c r="D68" s="29"/>
      <c r="E68" s="25"/>
      <c r="F68" s="25"/>
      <c r="G68" s="29">
        <v>0</v>
      </c>
      <c r="H68" s="49"/>
      <c r="I68" s="49">
        <v>0</v>
      </c>
      <c r="J68" s="26"/>
      <c r="K68" s="16"/>
      <c r="L68" s="118"/>
      <c r="M68" s="25"/>
      <c r="N68" s="25"/>
      <c r="O68" s="72">
        <f t="shared" si="5"/>
        <v>0</v>
      </c>
      <c r="P68" s="49"/>
      <c r="Q68" s="73">
        <f t="shared" si="4"/>
        <v>0</v>
      </c>
      <c r="R68" s="29"/>
    </row>
    <row r="69" spans="1:20" ht="24.6">
      <c r="A69" s="25">
        <v>1</v>
      </c>
      <c r="B69" s="125" t="s">
        <v>98</v>
      </c>
      <c r="C69" s="25" t="s">
        <v>99</v>
      </c>
      <c r="D69" s="49">
        <v>0</v>
      </c>
      <c r="E69" s="68"/>
      <c r="F69" s="25"/>
      <c r="G69" s="49">
        <v>0</v>
      </c>
      <c r="H69" s="49">
        <v>0</v>
      </c>
      <c r="I69" s="49">
        <v>0</v>
      </c>
      <c r="J69" s="69"/>
      <c r="K69" s="70"/>
      <c r="L69" s="83"/>
      <c r="M69" s="25"/>
      <c r="N69" s="25"/>
      <c r="O69" s="72">
        <f t="shared" si="5"/>
        <v>0</v>
      </c>
      <c r="P69" s="73">
        <v>0</v>
      </c>
      <c r="Q69" s="73">
        <f t="shared" si="4"/>
        <v>0</v>
      </c>
      <c r="R69" s="29" t="s">
        <v>100</v>
      </c>
      <c r="T69" s="2" t="s">
        <v>101</v>
      </c>
    </row>
    <row r="70" spans="1:20" ht="24.6">
      <c r="A70" s="25"/>
      <c r="B70" s="116" t="s">
        <v>102</v>
      </c>
      <c r="C70" s="29"/>
      <c r="D70" s="29"/>
      <c r="E70" s="25"/>
      <c r="F70" s="25"/>
      <c r="G70" s="29">
        <v>0</v>
      </c>
      <c r="H70" s="49"/>
      <c r="I70" s="49">
        <v>0</v>
      </c>
      <c r="J70" s="69"/>
      <c r="K70" s="70"/>
      <c r="L70" s="83"/>
      <c r="M70" s="25"/>
      <c r="N70" s="25"/>
      <c r="O70" s="72">
        <f t="shared" si="5"/>
        <v>0</v>
      </c>
      <c r="P70" s="49"/>
      <c r="Q70" s="73">
        <f t="shared" si="4"/>
        <v>0</v>
      </c>
      <c r="R70" s="29"/>
    </row>
    <row r="71" spans="1:20" ht="20.25" customHeight="1">
      <c r="A71" s="25">
        <v>1</v>
      </c>
      <c r="B71" s="29" t="s">
        <v>36</v>
      </c>
      <c r="C71" s="29"/>
      <c r="D71" s="49">
        <v>0</v>
      </c>
      <c r="E71" s="25"/>
      <c r="F71" s="25"/>
      <c r="G71" s="49">
        <v>0</v>
      </c>
      <c r="H71" s="49">
        <v>0</v>
      </c>
      <c r="I71" s="49">
        <v>0</v>
      </c>
      <c r="J71" s="69"/>
      <c r="K71" s="84"/>
      <c r="L71" s="83"/>
      <c r="M71" s="25"/>
      <c r="N71" s="25"/>
      <c r="O71" s="72">
        <f t="shared" si="5"/>
        <v>0</v>
      </c>
      <c r="P71" s="73">
        <v>0</v>
      </c>
      <c r="Q71" s="73">
        <f t="shared" si="4"/>
        <v>0</v>
      </c>
      <c r="R71" s="29" t="s">
        <v>103</v>
      </c>
    </row>
    <row r="72" spans="1:20" ht="24.6">
      <c r="A72" s="25"/>
      <c r="B72" s="116" t="s">
        <v>104</v>
      </c>
      <c r="C72" s="29"/>
      <c r="D72" s="29"/>
      <c r="E72" s="25"/>
      <c r="F72" s="25"/>
      <c r="G72" s="49">
        <v>0</v>
      </c>
      <c r="H72" s="49"/>
      <c r="I72" s="49">
        <v>0</v>
      </c>
      <c r="J72" s="69"/>
      <c r="K72" s="84"/>
      <c r="L72" s="83"/>
      <c r="M72" s="25"/>
      <c r="N72" s="25"/>
      <c r="O72" s="72">
        <f t="shared" si="5"/>
        <v>0</v>
      </c>
      <c r="P72" s="49"/>
      <c r="Q72" s="73">
        <f t="shared" si="4"/>
        <v>0</v>
      </c>
      <c r="R72" s="29"/>
    </row>
    <row r="73" spans="1:20" ht="24.6">
      <c r="A73" s="25">
        <v>1</v>
      </c>
      <c r="B73" s="29" t="s">
        <v>105</v>
      </c>
      <c r="C73" s="29"/>
      <c r="D73" s="49">
        <v>5000</v>
      </c>
      <c r="E73" s="126">
        <v>25112</v>
      </c>
      <c r="F73" s="25">
        <v>1</v>
      </c>
      <c r="G73" s="49">
        <v>5000</v>
      </c>
      <c r="H73" s="49">
        <v>0</v>
      </c>
      <c r="I73" s="49">
        <v>5000</v>
      </c>
      <c r="J73" s="69">
        <v>25155</v>
      </c>
      <c r="K73" s="70" t="s">
        <v>285</v>
      </c>
      <c r="L73" s="83">
        <v>5000</v>
      </c>
      <c r="M73" s="126">
        <v>25143</v>
      </c>
      <c r="N73" s="25">
        <v>1</v>
      </c>
      <c r="O73" s="72">
        <f>D73+G73-L73</f>
        <v>5000</v>
      </c>
      <c r="P73" s="73">
        <v>0</v>
      </c>
      <c r="Q73" s="73">
        <f>D73+I73-L73</f>
        <v>5000</v>
      </c>
      <c r="R73" s="29"/>
    </row>
    <row r="74" spans="1:20" ht="24.6">
      <c r="A74" s="25">
        <v>2</v>
      </c>
      <c r="B74" s="29" t="s">
        <v>105</v>
      </c>
      <c r="C74" s="29"/>
      <c r="D74" s="49">
        <v>4650</v>
      </c>
      <c r="E74" s="126">
        <v>25112</v>
      </c>
      <c r="F74" s="25">
        <v>1</v>
      </c>
      <c r="G74" s="49">
        <v>4650</v>
      </c>
      <c r="H74" s="49">
        <v>0</v>
      </c>
      <c r="I74" s="49">
        <v>4650</v>
      </c>
      <c r="J74" s="69">
        <v>25155</v>
      </c>
      <c r="K74" s="70" t="s">
        <v>286</v>
      </c>
      <c r="L74" s="83">
        <v>4650</v>
      </c>
      <c r="M74" s="126">
        <v>25143</v>
      </c>
      <c r="N74" s="25">
        <v>1</v>
      </c>
      <c r="O74" s="72">
        <f>D74+G74-L74</f>
        <v>4650</v>
      </c>
      <c r="P74" s="73">
        <v>0</v>
      </c>
      <c r="Q74" s="73">
        <f>D74+I74-L74</f>
        <v>4650</v>
      </c>
      <c r="R74" s="29" t="s">
        <v>108</v>
      </c>
    </row>
    <row r="75" spans="1:20" ht="24.6">
      <c r="A75" s="25">
        <v>3</v>
      </c>
      <c r="B75" s="29" t="s">
        <v>109</v>
      </c>
      <c r="C75" s="53"/>
      <c r="D75" s="127">
        <v>3450</v>
      </c>
      <c r="E75" s="25"/>
      <c r="F75" s="25"/>
      <c r="G75" s="127">
        <v>0</v>
      </c>
      <c r="H75" s="127">
        <v>0</v>
      </c>
      <c r="I75" s="49">
        <v>0</v>
      </c>
      <c r="J75" s="128">
        <v>25147</v>
      </c>
      <c r="K75" s="129" t="s">
        <v>287</v>
      </c>
      <c r="L75" s="130">
        <v>3450</v>
      </c>
      <c r="M75" s="25"/>
      <c r="N75" s="25"/>
      <c r="O75" s="72">
        <f>D75+G75-L75</f>
        <v>0</v>
      </c>
      <c r="P75" s="73">
        <v>0</v>
      </c>
      <c r="Q75" s="73">
        <f>D75+I75-L75</f>
        <v>0</v>
      </c>
      <c r="R75" s="29" t="s">
        <v>111</v>
      </c>
    </row>
    <row r="76" spans="1:20" ht="24.6">
      <c r="A76" s="25">
        <v>4</v>
      </c>
      <c r="B76" s="29" t="s">
        <v>112</v>
      </c>
      <c r="C76" s="29"/>
      <c r="D76" s="49">
        <v>3795</v>
      </c>
      <c r="E76" s="25"/>
      <c r="F76" s="25"/>
      <c r="G76" s="49">
        <v>0</v>
      </c>
      <c r="H76" s="49">
        <v>0</v>
      </c>
      <c r="I76" s="49">
        <v>0</v>
      </c>
      <c r="J76" s="128">
        <v>25147</v>
      </c>
      <c r="K76" s="129" t="s">
        <v>288</v>
      </c>
      <c r="L76" s="130">
        <v>3795</v>
      </c>
      <c r="M76" s="25"/>
      <c r="N76" s="25"/>
      <c r="O76" s="72">
        <f>D76+G76-L76</f>
        <v>0</v>
      </c>
      <c r="P76" s="73">
        <v>0</v>
      </c>
      <c r="Q76" s="73">
        <f>D76+I76-L76</f>
        <v>0</v>
      </c>
      <c r="R76" s="131" t="s">
        <v>114</v>
      </c>
    </row>
    <row r="77" spans="1:20" ht="25.5" customHeight="1">
      <c r="A77" s="25">
        <v>5</v>
      </c>
      <c r="B77" s="132" t="s">
        <v>115</v>
      </c>
      <c r="C77" s="132"/>
      <c r="D77" s="133">
        <v>8000</v>
      </c>
      <c r="E77" s="29"/>
      <c r="F77" s="29"/>
      <c r="G77" s="134">
        <v>0</v>
      </c>
      <c r="H77" s="134">
        <v>0</v>
      </c>
      <c r="I77" s="134">
        <v>0</v>
      </c>
      <c r="J77" s="128">
        <v>25147</v>
      </c>
      <c r="K77" s="129" t="s">
        <v>289</v>
      </c>
      <c r="L77" s="130">
        <v>8000</v>
      </c>
      <c r="M77" s="29"/>
      <c r="N77" s="25"/>
      <c r="O77" s="72">
        <f>D77+G77-L77</f>
        <v>0</v>
      </c>
      <c r="P77" s="73">
        <v>0</v>
      </c>
      <c r="Q77" s="73">
        <f>D77+I77-L77</f>
        <v>0</v>
      </c>
    </row>
    <row r="78" spans="1:20" ht="25.2" thickBot="1">
      <c r="A78" s="29"/>
      <c r="B78" s="25" t="s">
        <v>26</v>
      </c>
      <c r="C78" s="74"/>
      <c r="D78" s="78">
        <f>SUM(D44:D77)</f>
        <v>34615</v>
      </c>
      <c r="E78" s="78"/>
      <c r="F78" s="78"/>
      <c r="G78" s="78">
        <f>SUM(G44:G77)</f>
        <v>9650</v>
      </c>
      <c r="H78" s="78">
        <f>SUM(H44:H77)</f>
        <v>0</v>
      </c>
      <c r="I78" s="78">
        <f>SUM(I44:I77)</f>
        <v>9650</v>
      </c>
      <c r="J78" s="77"/>
      <c r="K78" s="77"/>
      <c r="L78" s="77">
        <f>SUM(L44:L77)</f>
        <v>32185</v>
      </c>
      <c r="M78" s="78"/>
      <c r="N78" s="135"/>
      <c r="O78" s="106">
        <f>SUM(O44:O77)</f>
        <v>12080</v>
      </c>
      <c r="P78" s="78">
        <v>0</v>
      </c>
      <c r="Q78" s="136">
        <f>SUM(Q44:Q77)</f>
        <v>12080</v>
      </c>
      <c r="R78" s="29"/>
    </row>
    <row r="79" spans="1:20" ht="25.2" thickTop="1">
      <c r="A79" s="29"/>
      <c r="B79" s="116" t="s">
        <v>117</v>
      </c>
      <c r="C79" s="46"/>
      <c r="D79" s="46"/>
      <c r="E79" s="28"/>
      <c r="F79" s="28"/>
      <c r="G79" s="46"/>
      <c r="H79" s="46"/>
      <c r="I79" s="46"/>
      <c r="J79" s="137"/>
      <c r="K79" s="138"/>
      <c r="L79" s="139"/>
      <c r="M79" s="28"/>
      <c r="N79" s="28"/>
      <c r="O79" s="72">
        <v>0</v>
      </c>
      <c r="P79" s="46"/>
      <c r="Q79" s="140">
        <v>0</v>
      </c>
      <c r="R79" s="46"/>
    </row>
    <row r="80" spans="1:20" ht="24.6">
      <c r="A80" s="29"/>
      <c r="B80" s="116" t="s">
        <v>118</v>
      </c>
      <c r="C80" s="46"/>
      <c r="D80" s="46"/>
      <c r="E80" s="25"/>
      <c r="F80" s="28"/>
      <c r="G80" s="46"/>
      <c r="H80" s="46"/>
      <c r="I80" s="46"/>
      <c r="J80" s="137"/>
      <c r="K80" s="138"/>
      <c r="L80" s="139"/>
      <c r="M80" s="28"/>
      <c r="N80" s="28"/>
      <c r="O80" s="72">
        <v>0</v>
      </c>
      <c r="P80" s="46"/>
      <c r="Q80" s="73">
        <v>0</v>
      </c>
      <c r="R80" s="29"/>
    </row>
    <row r="81" spans="1:18" ht="24.6">
      <c r="A81" s="25">
        <v>1</v>
      </c>
      <c r="B81" s="119" t="s">
        <v>119</v>
      </c>
      <c r="C81" s="46"/>
      <c r="D81" s="98">
        <v>0</v>
      </c>
      <c r="E81" s="25"/>
      <c r="F81" s="28"/>
      <c r="G81" s="49">
        <v>0</v>
      </c>
      <c r="H81" s="49">
        <v>0</v>
      </c>
      <c r="I81" s="49">
        <v>0</v>
      </c>
      <c r="J81" s="26"/>
      <c r="K81" s="16"/>
      <c r="L81" s="118">
        <v>0</v>
      </c>
      <c r="M81" s="119"/>
      <c r="N81" s="28"/>
      <c r="O81" s="72">
        <v>0</v>
      </c>
      <c r="P81" s="141">
        <v>0</v>
      </c>
      <c r="Q81" s="73">
        <v>0</v>
      </c>
      <c r="R81" s="29" t="s">
        <v>120</v>
      </c>
    </row>
    <row r="82" spans="1:18" ht="24.6">
      <c r="A82" s="25"/>
      <c r="B82" s="29" t="s">
        <v>120</v>
      </c>
      <c r="C82" s="46"/>
      <c r="D82" s="98"/>
      <c r="E82" s="25"/>
      <c r="F82" s="28"/>
      <c r="G82" s="49"/>
      <c r="H82" s="49"/>
      <c r="I82" s="49"/>
      <c r="J82" s="26"/>
      <c r="K82" s="16"/>
      <c r="L82" s="118"/>
      <c r="M82" s="25"/>
      <c r="N82" s="28"/>
      <c r="O82" s="72">
        <v>0</v>
      </c>
      <c r="P82" s="46"/>
      <c r="Q82" s="73">
        <v>0</v>
      </c>
      <c r="R82" s="29"/>
    </row>
    <row r="83" spans="1:18" ht="24.6">
      <c r="A83" s="25">
        <v>2</v>
      </c>
      <c r="B83" s="119" t="s">
        <v>121</v>
      </c>
      <c r="C83" s="46"/>
      <c r="D83" s="98">
        <v>6000</v>
      </c>
      <c r="E83" s="25"/>
      <c r="F83" s="25"/>
      <c r="G83" s="49">
        <v>0</v>
      </c>
      <c r="H83" s="49">
        <v>0</v>
      </c>
      <c r="I83" s="49">
        <v>0</v>
      </c>
      <c r="J83" s="69">
        <v>25147</v>
      </c>
      <c r="K83" s="70" t="s">
        <v>290</v>
      </c>
      <c r="L83" s="83">
        <v>6000</v>
      </c>
      <c r="M83" s="25"/>
      <c r="N83" s="25"/>
      <c r="O83" s="72">
        <v>0</v>
      </c>
      <c r="P83" s="73">
        <v>0</v>
      </c>
      <c r="Q83" s="73">
        <v>0</v>
      </c>
      <c r="R83" s="29"/>
    </row>
    <row r="84" spans="1:18" ht="24.6">
      <c r="A84" s="29"/>
      <c r="B84" s="45" t="s">
        <v>123</v>
      </c>
      <c r="C84" s="46"/>
      <c r="D84" s="46"/>
      <c r="E84" s="28"/>
      <c r="F84" s="28"/>
      <c r="G84" s="46"/>
      <c r="H84" s="46"/>
      <c r="I84" s="49"/>
      <c r="J84" s="142"/>
      <c r="K84" s="143"/>
      <c r="L84" s="144"/>
      <c r="M84" s="28"/>
      <c r="N84" s="28"/>
      <c r="O84" s="72">
        <v>0</v>
      </c>
      <c r="P84" s="46"/>
      <c r="Q84" s="73">
        <v>0</v>
      </c>
      <c r="R84" s="29"/>
    </row>
    <row r="85" spans="1:18" ht="24.6">
      <c r="A85" s="25">
        <v>1</v>
      </c>
      <c r="B85" s="29" t="s">
        <v>124</v>
      </c>
      <c r="C85" s="29"/>
      <c r="D85" s="49">
        <v>600</v>
      </c>
      <c r="E85" s="25"/>
      <c r="F85" s="25"/>
      <c r="G85" s="49">
        <v>0</v>
      </c>
      <c r="H85" s="49">
        <v>0</v>
      </c>
      <c r="I85" s="49">
        <v>0</v>
      </c>
      <c r="J85" s="69">
        <v>25170</v>
      </c>
      <c r="K85" s="70" t="s">
        <v>291</v>
      </c>
      <c r="L85" s="83">
        <v>600</v>
      </c>
      <c r="M85" s="25"/>
      <c r="N85" s="25"/>
      <c r="O85" s="72">
        <v>0</v>
      </c>
      <c r="P85" s="73">
        <v>0</v>
      </c>
      <c r="Q85" s="73">
        <v>0</v>
      </c>
      <c r="R85" s="29"/>
    </row>
    <row r="86" spans="1:18" ht="24.6">
      <c r="A86" s="25">
        <v>2</v>
      </c>
      <c r="B86" s="29" t="s">
        <v>40</v>
      </c>
      <c r="C86" s="29"/>
      <c r="D86" s="49">
        <v>0</v>
      </c>
      <c r="E86" s="25"/>
      <c r="F86" s="25"/>
      <c r="G86" s="49">
        <v>0</v>
      </c>
      <c r="H86" s="49">
        <v>0</v>
      </c>
      <c r="I86" s="49">
        <v>0</v>
      </c>
      <c r="J86" s="69"/>
      <c r="K86" s="70"/>
      <c r="L86" s="83"/>
      <c r="M86" s="25"/>
      <c r="N86" s="25"/>
      <c r="O86" s="72">
        <v>0</v>
      </c>
      <c r="P86" s="73">
        <v>0</v>
      </c>
      <c r="Q86" s="73">
        <v>0</v>
      </c>
      <c r="R86" s="29" t="s">
        <v>126</v>
      </c>
    </row>
    <row r="87" spans="1:18" ht="24.6">
      <c r="A87" s="25"/>
      <c r="B87" s="124" t="s">
        <v>127</v>
      </c>
      <c r="C87" s="29"/>
      <c r="D87" s="49"/>
      <c r="E87" s="25"/>
      <c r="F87" s="25"/>
      <c r="G87" s="49"/>
      <c r="H87" s="29"/>
      <c r="I87" s="49"/>
      <c r="J87" s="26"/>
      <c r="K87" s="16"/>
      <c r="L87" s="118"/>
      <c r="M87" s="25"/>
      <c r="N87" s="25"/>
      <c r="O87" s="72">
        <v>0</v>
      </c>
      <c r="P87" s="49"/>
      <c r="Q87" s="73">
        <v>0</v>
      </c>
      <c r="R87" s="29"/>
    </row>
    <row r="88" spans="1:18" ht="24.6">
      <c r="A88" s="25">
        <v>1</v>
      </c>
      <c r="B88" s="119" t="s">
        <v>128</v>
      </c>
      <c r="C88" s="29"/>
      <c r="D88" s="49"/>
      <c r="E88" s="25"/>
      <c r="F88" s="25"/>
      <c r="G88" s="49">
        <v>0</v>
      </c>
      <c r="H88" s="49">
        <v>0</v>
      </c>
      <c r="I88" s="49">
        <v>0</v>
      </c>
      <c r="J88" s="26"/>
      <c r="K88" s="16"/>
      <c r="L88" s="118"/>
      <c r="M88" s="25"/>
      <c r="N88" s="25"/>
      <c r="O88" s="72">
        <v>0</v>
      </c>
      <c r="P88" s="73">
        <v>0</v>
      </c>
      <c r="Q88" s="73">
        <v>0</v>
      </c>
      <c r="R88" s="29" t="s">
        <v>129</v>
      </c>
    </row>
    <row r="89" spans="1:18" ht="24.6">
      <c r="A89" s="25">
        <v>2</v>
      </c>
      <c r="B89" s="29" t="s">
        <v>130</v>
      </c>
      <c r="C89" s="29"/>
      <c r="D89" s="49">
        <v>550</v>
      </c>
      <c r="E89" s="25"/>
      <c r="F89" s="25"/>
      <c r="G89" s="49">
        <v>0</v>
      </c>
      <c r="H89" s="49">
        <v>0</v>
      </c>
      <c r="I89" s="49">
        <v>0</v>
      </c>
      <c r="J89" s="69">
        <v>25162</v>
      </c>
      <c r="K89" s="70" t="s">
        <v>292</v>
      </c>
      <c r="L89" s="83">
        <v>550</v>
      </c>
      <c r="M89" s="25"/>
      <c r="N89" s="25"/>
      <c r="O89" s="72">
        <v>0</v>
      </c>
      <c r="P89" s="73">
        <v>0</v>
      </c>
      <c r="Q89" s="73">
        <v>0</v>
      </c>
      <c r="R89" s="29"/>
    </row>
    <row r="90" spans="1:18" ht="24.6">
      <c r="A90" s="25">
        <v>3</v>
      </c>
      <c r="B90" s="29" t="s">
        <v>132</v>
      </c>
      <c r="C90" s="29"/>
      <c r="D90" s="49">
        <v>1100</v>
      </c>
      <c r="E90" s="25"/>
      <c r="F90" s="25"/>
      <c r="G90" s="89">
        <v>0</v>
      </c>
      <c r="H90" s="49">
        <v>0</v>
      </c>
      <c r="I90" s="49">
        <v>0</v>
      </c>
      <c r="J90" s="69">
        <v>25172</v>
      </c>
      <c r="K90" s="70" t="s">
        <v>293</v>
      </c>
      <c r="L90" s="83">
        <v>1100</v>
      </c>
      <c r="M90" s="25"/>
      <c r="N90" s="25"/>
      <c r="O90" s="72">
        <v>0</v>
      </c>
      <c r="P90" s="73">
        <v>0</v>
      </c>
      <c r="Q90" s="73">
        <v>0</v>
      </c>
      <c r="R90" s="29"/>
    </row>
    <row r="91" spans="1:18" ht="24.6">
      <c r="A91" s="25">
        <v>4</v>
      </c>
      <c r="B91" s="29" t="s">
        <v>134</v>
      </c>
      <c r="C91" s="29"/>
      <c r="D91" s="49">
        <v>1650</v>
      </c>
      <c r="E91" s="25"/>
      <c r="F91" s="25"/>
      <c r="G91" s="89">
        <v>0</v>
      </c>
      <c r="H91" s="49">
        <v>0</v>
      </c>
      <c r="I91" s="49">
        <v>0</v>
      </c>
      <c r="J91" s="69">
        <v>25162</v>
      </c>
      <c r="K91" s="84" t="s">
        <v>294</v>
      </c>
      <c r="L91" s="83">
        <v>1650</v>
      </c>
      <c r="M91" s="25"/>
      <c r="N91" s="25"/>
      <c r="O91" s="72">
        <v>0</v>
      </c>
      <c r="P91" s="73">
        <v>0</v>
      </c>
      <c r="Q91" s="73">
        <v>0</v>
      </c>
      <c r="R91" s="29"/>
    </row>
    <row r="92" spans="1:18" ht="24.6">
      <c r="A92" s="25"/>
      <c r="B92" s="116" t="s">
        <v>136</v>
      </c>
      <c r="C92" s="29"/>
      <c r="D92" s="49"/>
      <c r="E92" s="25"/>
      <c r="F92" s="25"/>
      <c r="G92" s="89"/>
      <c r="H92" s="29"/>
      <c r="I92" s="49"/>
      <c r="J92" s="69"/>
      <c r="K92" s="70"/>
      <c r="L92" s="83"/>
      <c r="M92" s="25"/>
      <c r="N92" s="25"/>
      <c r="O92" s="72">
        <v>0</v>
      </c>
      <c r="P92" s="49"/>
      <c r="Q92" s="73">
        <v>0</v>
      </c>
      <c r="R92" s="29"/>
    </row>
    <row r="93" spans="1:18" ht="24.6">
      <c r="A93" s="25">
        <v>1</v>
      </c>
      <c r="B93" s="29" t="s">
        <v>137</v>
      </c>
      <c r="C93" s="29"/>
      <c r="D93" s="49">
        <v>5000</v>
      </c>
      <c r="E93" s="25"/>
      <c r="F93" s="25"/>
      <c r="G93" s="89"/>
      <c r="H93" s="49"/>
      <c r="I93" s="49"/>
      <c r="J93" s="69"/>
      <c r="K93" s="70"/>
      <c r="L93" s="83"/>
      <c r="M93" s="68" t="s">
        <v>295</v>
      </c>
      <c r="N93" s="25">
        <v>1</v>
      </c>
      <c r="O93" s="72">
        <f>SUM(D93+I93-L93)</f>
        <v>5000</v>
      </c>
      <c r="P93" s="73">
        <v>0</v>
      </c>
      <c r="Q93" s="73">
        <f>SUM(O93)</f>
        <v>5000</v>
      </c>
      <c r="R93" s="29"/>
    </row>
    <row r="94" spans="1:18" ht="24.6">
      <c r="A94" s="25"/>
      <c r="B94" s="29"/>
      <c r="C94" s="29"/>
      <c r="D94" s="49"/>
      <c r="E94" s="25"/>
      <c r="F94" s="25"/>
      <c r="G94" s="49"/>
      <c r="H94" s="49"/>
      <c r="I94" s="49"/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/>
      <c r="B95" s="116" t="s">
        <v>140</v>
      </c>
      <c r="C95" s="29"/>
      <c r="D95" s="49"/>
      <c r="E95" s="25"/>
      <c r="F95" s="25"/>
      <c r="G95" s="49"/>
      <c r="H95" s="49"/>
      <c r="I95" s="49"/>
      <c r="J95" s="69"/>
      <c r="K95" s="84"/>
      <c r="L95" s="83"/>
      <c r="M95" s="25"/>
      <c r="N95" s="25"/>
      <c r="O95" s="72">
        <v>0</v>
      </c>
      <c r="P95" s="49"/>
      <c r="Q95" s="73">
        <v>0</v>
      </c>
      <c r="R95" s="29"/>
    </row>
    <row r="96" spans="1:18" ht="24.6">
      <c r="A96" s="25">
        <v>1</v>
      </c>
      <c r="B96" s="29" t="s">
        <v>141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69"/>
      <c r="K96" s="70"/>
      <c r="L96" s="83"/>
      <c r="M96" s="25"/>
      <c r="N96" s="25"/>
      <c r="O96" s="72">
        <v>0</v>
      </c>
      <c r="P96" s="73">
        <v>0</v>
      </c>
      <c r="Q96" s="73">
        <v>0</v>
      </c>
      <c r="R96" s="29"/>
    </row>
    <row r="97" spans="1:18" ht="24.6">
      <c r="A97" s="25"/>
      <c r="B97" s="116" t="s">
        <v>142</v>
      </c>
      <c r="C97" s="29"/>
      <c r="D97" s="49"/>
      <c r="E97" s="25"/>
      <c r="F97" s="25"/>
      <c r="G97" s="49"/>
      <c r="H97" s="29"/>
      <c r="I97" s="49">
        <v>0</v>
      </c>
      <c r="J97" s="69"/>
      <c r="K97" s="70"/>
      <c r="L97" s="83"/>
      <c r="M97" s="25"/>
      <c r="N97" s="25"/>
      <c r="O97" s="72">
        <v>0</v>
      </c>
      <c r="P97" s="49"/>
      <c r="Q97" s="73">
        <v>0</v>
      </c>
      <c r="R97" s="29"/>
    </row>
    <row r="98" spans="1:18" ht="24.6">
      <c r="A98" s="25">
        <v>1</v>
      </c>
      <c r="B98" s="29" t="s">
        <v>143</v>
      </c>
      <c r="C98" s="29"/>
      <c r="D98" s="49">
        <v>0</v>
      </c>
      <c r="E98" s="25"/>
      <c r="F98" s="25"/>
      <c r="G98" s="49">
        <v>0</v>
      </c>
      <c r="H98" s="49">
        <v>0</v>
      </c>
      <c r="I98" s="49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64</v>
      </c>
    </row>
    <row r="99" spans="1:18" ht="24.6">
      <c r="A99" s="25"/>
      <c r="B99" s="29"/>
      <c r="C99" s="29"/>
      <c r="D99" s="49"/>
      <c r="E99" s="25"/>
      <c r="F99" s="25"/>
      <c r="G99" s="49"/>
      <c r="H99" s="49"/>
      <c r="I99" s="49"/>
      <c r="J99" s="26"/>
      <c r="K99" s="16"/>
      <c r="L99" s="118"/>
      <c r="M99" s="25"/>
      <c r="N99" s="25"/>
      <c r="O99" s="72">
        <v>0</v>
      </c>
      <c r="P99" s="49"/>
      <c r="Q99" s="73">
        <v>0</v>
      </c>
      <c r="R99" s="29"/>
    </row>
    <row r="100" spans="1:18" ht="24.6">
      <c r="A100" s="25">
        <v>2</v>
      </c>
      <c r="B100" s="29" t="s">
        <v>144</v>
      </c>
      <c r="C100" s="29"/>
      <c r="D100" s="49">
        <v>0</v>
      </c>
      <c r="E100" s="25"/>
      <c r="F100" s="25"/>
      <c r="G100" s="49">
        <v>0</v>
      </c>
      <c r="H100" s="49">
        <v>0</v>
      </c>
      <c r="I100" s="49">
        <v>0</v>
      </c>
      <c r="J100" s="145"/>
      <c r="K100" s="146"/>
      <c r="L100" s="147"/>
      <c r="M100" s="25"/>
      <c r="N100" s="25"/>
      <c r="O100" s="72">
        <v>0</v>
      </c>
      <c r="P100" s="73">
        <v>0</v>
      </c>
      <c r="Q100" s="73">
        <v>0</v>
      </c>
      <c r="R100" s="29" t="s">
        <v>145</v>
      </c>
    </row>
    <row r="101" spans="1:18" ht="24.6">
      <c r="A101" s="25"/>
      <c r="B101" s="29"/>
      <c r="C101" s="29"/>
      <c r="D101" s="49"/>
      <c r="E101" s="25"/>
      <c r="F101" s="25"/>
      <c r="G101" s="49"/>
      <c r="H101" s="49"/>
      <c r="I101" s="49"/>
      <c r="J101" s="26"/>
      <c r="K101" s="16"/>
      <c r="L101" s="118"/>
      <c r="M101" s="25"/>
      <c r="N101" s="25"/>
      <c r="O101" s="72">
        <v>0</v>
      </c>
      <c r="P101" s="49"/>
      <c r="Q101" s="73">
        <v>0</v>
      </c>
      <c r="R101" s="29"/>
    </row>
    <row r="102" spans="1:18" ht="24.6">
      <c r="A102" s="25">
        <v>3</v>
      </c>
      <c r="B102" s="29" t="s">
        <v>146</v>
      </c>
      <c r="C102" s="29"/>
      <c r="D102" s="49">
        <v>0</v>
      </c>
      <c r="E102" s="25"/>
      <c r="F102" s="25"/>
      <c r="G102" s="52">
        <v>0</v>
      </c>
      <c r="H102" s="49">
        <v>0</v>
      </c>
      <c r="I102" s="49">
        <v>0</v>
      </c>
      <c r="J102" s="69"/>
      <c r="K102" s="70"/>
      <c r="L102" s="83"/>
      <c r="M102" s="25"/>
      <c r="N102" s="25"/>
      <c r="O102" s="72">
        <v>0</v>
      </c>
      <c r="P102" s="73">
        <v>0</v>
      </c>
      <c r="Q102" s="73">
        <v>0</v>
      </c>
      <c r="R102" s="29"/>
    </row>
    <row r="103" spans="1:18" ht="24.6">
      <c r="A103" s="25"/>
      <c r="B103" s="29"/>
      <c r="C103" s="29"/>
      <c r="D103" s="49">
        <v>0</v>
      </c>
      <c r="E103" s="25"/>
      <c r="F103" s="25"/>
      <c r="G103" s="52"/>
      <c r="H103" s="49"/>
      <c r="I103" s="49"/>
      <c r="J103" s="26"/>
      <c r="K103" s="16"/>
      <c r="L103" s="118"/>
      <c r="M103" s="25"/>
      <c r="N103" s="25"/>
      <c r="O103" s="72">
        <v>0</v>
      </c>
      <c r="P103" s="49"/>
      <c r="Q103" s="73">
        <v>0</v>
      </c>
      <c r="R103" s="29"/>
    </row>
    <row r="104" spans="1:18" ht="24.6">
      <c r="A104" s="25">
        <v>4</v>
      </c>
      <c r="B104" s="29" t="s">
        <v>147</v>
      </c>
      <c r="C104" s="29"/>
      <c r="D104" s="49">
        <v>0</v>
      </c>
      <c r="E104" s="25"/>
      <c r="F104" s="25"/>
      <c r="G104" s="72">
        <v>0</v>
      </c>
      <c r="H104" s="73">
        <v>0</v>
      </c>
      <c r="I104" s="73">
        <v>0</v>
      </c>
      <c r="J104" s="69"/>
      <c r="K104" s="70"/>
      <c r="L104" s="83"/>
      <c r="M104" s="25"/>
      <c r="N104" s="25"/>
      <c r="O104" s="72">
        <v>0</v>
      </c>
      <c r="P104" s="73">
        <v>0</v>
      </c>
      <c r="Q104" s="73">
        <v>0</v>
      </c>
      <c r="R104" s="29" t="s">
        <v>148</v>
      </c>
    </row>
    <row r="105" spans="1:18" ht="24.6">
      <c r="A105" s="25">
        <v>5</v>
      </c>
      <c r="B105" s="29" t="s">
        <v>149</v>
      </c>
      <c r="C105" s="29"/>
      <c r="D105" s="49">
        <v>0</v>
      </c>
      <c r="E105" s="25"/>
      <c r="F105" s="25"/>
      <c r="G105" s="72"/>
      <c r="H105" s="73"/>
      <c r="I105" s="73"/>
      <c r="J105" s="69"/>
      <c r="K105" s="70"/>
      <c r="L105" s="83"/>
      <c r="M105" s="25"/>
      <c r="N105" s="25"/>
      <c r="O105" s="72">
        <v>0</v>
      </c>
      <c r="P105" s="73">
        <v>0</v>
      </c>
      <c r="Q105" s="73">
        <v>0</v>
      </c>
      <c r="R105" s="29" t="s">
        <v>150</v>
      </c>
    </row>
    <row r="106" spans="1:18" ht="24.6">
      <c r="A106" s="25">
        <v>6</v>
      </c>
      <c r="B106" s="29" t="s">
        <v>151</v>
      </c>
      <c r="C106" s="29"/>
      <c r="D106" s="49"/>
      <c r="E106" s="25"/>
      <c r="F106" s="25"/>
      <c r="G106" s="72"/>
      <c r="H106" s="73"/>
      <c r="I106" s="73"/>
      <c r="J106" s="69"/>
      <c r="K106" s="70"/>
      <c r="L106" s="83"/>
      <c r="M106" s="25"/>
      <c r="N106" s="25"/>
      <c r="O106" s="72">
        <v>0</v>
      </c>
      <c r="P106" s="73"/>
      <c r="Q106" s="73">
        <v>0</v>
      </c>
      <c r="R106" s="29" t="s">
        <v>152</v>
      </c>
    </row>
    <row r="107" spans="1:18" ht="24.6">
      <c r="A107" s="25">
        <v>7</v>
      </c>
      <c r="B107" s="29" t="s">
        <v>153</v>
      </c>
      <c r="C107" s="29"/>
      <c r="D107" s="49"/>
      <c r="E107" s="25"/>
      <c r="F107" s="25"/>
      <c r="G107" s="72"/>
      <c r="H107" s="73"/>
      <c r="I107" s="73"/>
      <c r="J107" s="69"/>
      <c r="K107" s="70"/>
      <c r="L107" s="83"/>
      <c r="M107" s="25"/>
      <c r="N107" s="25"/>
      <c r="O107" s="72">
        <v>0</v>
      </c>
      <c r="P107" s="73"/>
      <c r="Q107" s="73">
        <v>0</v>
      </c>
      <c r="R107" s="29" t="s">
        <v>64</v>
      </c>
    </row>
    <row r="108" spans="1:18" ht="24.6">
      <c r="A108" s="25">
        <v>8</v>
      </c>
      <c r="B108" s="29" t="s">
        <v>154</v>
      </c>
      <c r="C108" s="29"/>
      <c r="D108" s="49"/>
      <c r="E108" s="25"/>
      <c r="F108" s="25"/>
      <c r="G108" s="72"/>
      <c r="H108" s="73"/>
      <c r="I108" s="73"/>
      <c r="J108" s="69"/>
      <c r="K108" s="70"/>
      <c r="L108" s="83"/>
      <c r="M108" s="25"/>
      <c r="N108" s="25"/>
      <c r="O108" s="72">
        <v>0</v>
      </c>
      <c r="P108" s="73"/>
      <c r="Q108" s="73">
        <v>0</v>
      </c>
      <c r="R108" s="29" t="s">
        <v>155</v>
      </c>
    </row>
    <row r="109" spans="1:18" ht="24.6">
      <c r="A109" s="25">
        <v>9</v>
      </c>
      <c r="B109" s="29" t="s">
        <v>156</v>
      </c>
      <c r="C109" s="29"/>
      <c r="D109" s="49"/>
      <c r="E109" s="25"/>
      <c r="F109" s="25"/>
      <c r="G109" s="72"/>
      <c r="H109" s="73"/>
      <c r="I109" s="73"/>
      <c r="J109" s="69"/>
      <c r="K109" s="70"/>
      <c r="L109" s="83"/>
      <c r="M109" s="25"/>
      <c r="N109" s="25"/>
      <c r="O109" s="72">
        <v>0</v>
      </c>
      <c r="P109" s="73"/>
      <c r="Q109" s="73">
        <v>0</v>
      </c>
      <c r="R109" s="29" t="s">
        <v>64</v>
      </c>
    </row>
    <row r="110" spans="1:18" ht="24.6">
      <c r="A110" s="25">
        <v>10</v>
      </c>
      <c r="B110" s="29" t="s">
        <v>157</v>
      </c>
      <c r="C110" s="29"/>
      <c r="D110" s="49"/>
      <c r="E110" s="25"/>
      <c r="F110" s="25"/>
      <c r="G110" s="72"/>
      <c r="H110" s="73"/>
      <c r="I110" s="73"/>
      <c r="J110" s="69"/>
      <c r="K110" s="70"/>
      <c r="L110" s="83"/>
      <c r="M110" s="25"/>
      <c r="N110" s="25"/>
      <c r="O110" s="72">
        <v>0</v>
      </c>
      <c r="P110" s="73"/>
      <c r="Q110" s="73">
        <v>0</v>
      </c>
      <c r="R110" s="29" t="s">
        <v>158</v>
      </c>
    </row>
    <row r="111" spans="1:18" ht="24.6">
      <c r="A111" s="25">
        <v>11</v>
      </c>
      <c r="B111" s="148" t="s">
        <v>159</v>
      </c>
      <c r="C111" s="29"/>
      <c r="D111" s="49">
        <v>0</v>
      </c>
      <c r="E111" s="25"/>
      <c r="F111" s="25"/>
      <c r="G111" s="72">
        <v>0</v>
      </c>
      <c r="H111" s="73">
        <v>0</v>
      </c>
      <c r="I111" s="73">
        <v>0</v>
      </c>
      <c r="J111" s="69"/>
      <c r="K111" s="83"/>
      <c r="L111" s="83"/>
      <c r="M111" s="25"/>
      <c r="N111" s="25"/>
      <c r="O111" s="72">
        <v>0</v>
      </c>
      <c r="P111" s="73">
        <v>0</v>
      </c>
      <c r="Q111" s="73">
        <v>0</v>
      </c>
      <c r="R111" s="29"/>
    </row>
    <row r="112" spans="1:18" ht="24.6">
      <c r="A112" s="25">
        <v>12</v>
      </c>
      <c r="B112" s="29" t="s">
        <v>160</v>
      </c>
      <c r="C112" s="29"/>
      <c r="D112" s="49">
        <v>0</v>
      </c>
      <c r="E112" s="25"/>
      <c r="F112" s="25"/>
      <c r="G112" s="72">
        <v>0</v>
      </c>
      <c r="H112" s="73">
        <v>0</v>
      </c>
      <c r="I112" s="73">
        <v>0</v>
      </c>
      <c r="J112" s="69"/>
      <c r="K112" s="70"/>
      <c r="L112" s="83"/>
      <c r="M112" s="25"/>
      <c r="N112" s="25"/>
      <c r="O112" s="72">
        <v>0</v>
      </c>
      <c r="P112" s="73">
        <v>0</v>
      </c>
      <c r="Q112" s="73">
        <v>0</v>
      </c>
      <c r="R112" s="149" t="s">
        <v>161</v>
      </c>
    </row>
    <row r="113" spans="1:18" ht="24.6">
      <c r="A113" s="25">
        <v>13</v>
      </c>
      <c r="B113" s="148" t="s">
        <v>162</v>
      </c>
      <c r="C113" s="29"/>
      <c r="D113" s="49">
        <v>0</v>
      </c>
      <c r="E113" s="25"/>
      <c r="F113" s="25"/>
      <c r="G113" s="72">
        <v>0</v>
      </c>
      <c r="H113" s="73">
        <v>0</v>
      </c>
      <c r="I113" s="73">
        <v>0</v>
      </c>
      <c r="J113" s="69"/>
      <c r="K113" s="70"/>
      <c r="L113" s="150"/>
      <c r="M113" s="25"/>
      <c r="N113" s="25"/>
      <c r="O113" s="72">
        <v>0</v>
      </c>
      <c r="P113" s="73">
        <v>0</v>
      </c>
      <c r="Q113" s="73">
        <v>0</v>
      </c>
      <c r="R113" s="29" t="s">
        <v>163</v>
      </c>
    </row>
    <row r="114" spans="1:18" ht="24.6">
      <c r="A114" s="25">
        <v>14</v>
      </c>
      <c r="B114" s="148" t="s">
        <v>164</v>
      </c>
      <c r="C114" s="29"/>
      <c r="D114" s="49">
        <v>0</v>
      </c>
      <c r="E114" s="25"/>
      <c r="F114" s="25"/>
      <c r="G114" s="72">
        <v>0</v>
      </c>
      <c r="H114" s="73">
        <v>0</v>
      </c>
      <c r="I114" s="73">
        <v>0</v>
      </c>
      <c r="J114" s="69"/>
      <c r="K114" s="70"/>
      <c r="L114" s="150"/>
      <c r="M114" s="25"/>
      <c r="N114" s="25"/>
      <c r="O114" s="72">
        <v>0</v>
      </c>
      <c r="P114" s="73">
        <v>0</v>
      </c>
      <c r="Q114" s="73">
        <v>0</v>
      </c>
      <c r="R114" s="29" t="s">
        <v>165</v>
      </c>
    </row>
    <row r="115" spans="1:18" ht="24.6">
      <c r="A115" s="25">
        <v>15</v>
      </c>
      <c r="B115" s="148" t="s">
        <v>166</v>
      </c>
      <c r="C115" s="29"/>
      <c r="D115" s="49">
        <v>0</v>
      </c>
      <c r="E115" s="25"/>
      <c r="F115" s="25"/>
      <c r="G115" s="72">
        <v>0</v>
      </c>
      <c r="H115" s="73">
        <v>0</v>
      </c>
      <c r="I115" s="73">
        <v>0</v>
      </c>
      <c r="J115" s="69"/>
      <c r="K115" s="70"/>
      <c r="L115" s="150"/>
      <c r="M115" s="25"/>
      <c r="N115" s="25"/>
      <c r="O115" s="72">
        <v>0</v>
      </c>
      <c r="P115" s="73">
        <v>0</v>
      </c>
      <c r="Q115" s="73">
        <v>0</v>
      </c>
      <c r="R115" s="29" t="s">
        <v>64</v>
      </c>
    </row>
    <row r="116" spans="1:18" ht="18.75" customHeight="1">
      <c r="A116" s="3">
        <v>16</v>
      </c>
      <c r="B116" s="151" t="s">
        <v>167</v>
      </c>
      <c r="C116" s="29"/>
      <c r="D116" s="49">
        <v>0</v>
      </c>
      <c r="E116" s="25"/>
      <c r="F116" s="25"/>
      <c r="G116" s="72">
        <v>0</v>
      </c>
      <c r="H116" s="73">
        <v>0</v>
      </c>
      <c r="I116" s="73">
        <v>0</v>
      </c>
      <c r="J116" s="69"/>
      <c r="K116" s="70"/>
      <c r="L116" s="150"/>
      <c r="M116" s="25"/>
      <c r="N116" s="25"/>
      <c r="O116" s="72">
        <v>0</v>
      </c>
      <c r="P116" s="73">
        <v>0</v>
      </c>
      <c r="Q116" s="73">
        <v>0</v>
      </c>
      <c r="R116" s="29" t="s">
        <v>145</v>
      </c>
    </row>
    <row r="117" spans="1:18" ht="25.2" thickBot="1">
      <c r="A117" s="29"/>
      <c r="B117" s="25" t="s">
        <v>26</v>
      </c>
      <c r="C117" s="64"/>
      <c r="D117" s="63">
        <f>SUM(D81:D116)</f>
        <v>14900</v>
      </c>
      <c r="E117" s="63"/>
      <c r="F117" s="63"/>
      <c r="G117" s="63">
        <v>0</v>
      </c>
      <c r="H117" s="63">
        <v>0</v>
      </c>
      <c r="I117" s="63">
        <v>0</v>
      </c>
      <c r="J117" s="67"/>
      <c r="K117" s="67"/>
      <c r="L117" s="67">
        <f>SUM(L81:L116)</f>
        <v>9900</v>
      </c>
      <c r="M117" s="63"/>
      <c r="N117" s="105"/>
      <c r="O117" s="106">
        <f>SUM(O81:O116)</f>
        <v>5000</v>
      </c>
      <c r="P117" s="106">
        <f t="shared" ref="P117:Q117" si="6">SUM(P81:P116)</f>
        <v>0</v>
      </c>
      <c r="Q117" s="106">
        <f t="shared" si="6"/>
        <v>5000</v>
      </c>
      <c r="R117" s="29"/>
    </row>
    <row r="118" spans="1:18" ht="25.2" thickTop="1">
      <c r="A118" s="29"/>
      <c r="B118" s="25"/>
      <c r="C118" s="46"/>
      <c r="D118" s="57"/>
      <c r="E118" s="46"/>
      <c r="F118" s="46"/>
      <c r="G118" s="57"/>
      <c r="H118" s="57"/>
      <c r="I118" s="57"/>
      <c r="J118" s="137"/>
      <c r="K118" s="48"/>
      <c r="L118" s="58"/>
      <c r="M118" s="46"/>
      <c r="N118" s="28"/>
      <c r="O118" s="57"/>
      <c r="P118" s="57"/>
      <c r="Q118" s="57"/>
      <c r="R118" s="46"/>
    </row>
    <row r="119" spans="1:18" ht="24.6">
      <c r="A119" s="29"/>
      <c r="B119" s="45" t="s">
        <v>168</v>
      </c>
      <c r="C119" s="29"/>
      <c r="D119" s="59"/>
      <c r="E119" s="29"/>
      <c r="F119" s="29"/>
      <c r="G119" s="59"/>
      <c r="H119" s="59"/>
      <c r="I119" s="59"/>
      <c r="J119" s="26"/>
      <c r="K119" s="61"/>
      <c r="L119" s="62"/>
      <c r="M119" s="29"/>
      <c r="N119" s="25"/>
      <c r="O119" s="59"/>
      <c r="P119" s="59"/>
      <c r="Q119" s="59"/>
      <c r="R119" s="46"/>
    </row>
    <row r="120" spans="1:18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18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18" ht="25.2" thickTop="1">
      <c r="A122" s="29"/>
      <c r="B122" s="45" t="s">
        <v>169</v>
      </c>
      <c r="C122" s="46"/>
      <c r="D122" s="57"/>
      <c r="E122" s="46"/>
      <c r="F122" s="46"/>
      <c r="G122" s="57"/>
      <c r="H122" s="57"/>
      <c r="I122" s="57"/>
      <c r="J122" s="137"/>
      <c r="K122" s="48"/>
      <c r="L122" s="58"/>
      <c r="M122" s="46"/>
      <c r="N122" s="28"/>
      <c r="O122" s="57"/>
      <c r="P122" s="57"/>
      <c r="Q122" s="57"/>
      <c r="R122" s="46"/>
    </row>
    <row r="123" spans="1:18" ht="25.2" thickBot="1">
      <c r="A123" s="25">
        <v>1</v>
      </c>
      <c r="B123" s="25"/>
      <c r="C123" s="74"/>
      <c r="D123" s="78"/>
      <c r="E123" s="74"/>
      <c r="F123" s="74"/>
      <c r="G123" s="78"/>
      <c r="H123" s="78"/>
      <c r="I123" s="78"/>
      <c r="J123" s="35"/>
      <c r="K123" s="76"/>
      <c r="L123" s="77"/>
      <c r="M123" s="74"/>
      <c r="N123" s="34"/>
      <c r="O123" s="78"/>
      <c r="P123" s="78"/>
      <c r="Q123" s="78"/>
      <c r="R123" s="46"/>
    </row>
    <row r="124" spans="1:18" ht="25.8" thickTop="1" thickBot="1">
      <c r="A124" s="29"/>
      <c r="B124" s="25" t="s">
        <v>26</v>
      </c>
      <c r="C124" s="79"/>
      <c r="D124" s="54"/>
      <c r="E124" s="79"/>
      <c r="F124" s="79"/>
      <c r="G124" s="54"/>
      <c r="H124" s="54"/>
      <c r="I124" s="54"/>
      <c r="J124" s="152"/>
      <c r="K124" s="81"/>
      <c r="L124" s="55"/>
      <c r="M124" s="79"/>
      <c r="N124" s="82"/>
      <c r="O124" s="54"/>
      <c r="P124" s="54"/>
      <c r="Q124" s="54"/>
      <c r="R124" s="46"/>
    </row>
    <row r="125" spans="1:18" ht="25.2" thickTop="1">
      <c r="A125" s="29"/>
      <c r="B125" s="45" t="s">
        <v>170</v>
      </c>
      <c r="C125" s="46"/>
      <c r="D125" s="57"/>
      <c r="E125" s="46"/>
      <c r="F125" s="46"/>
      <c r="G125" s="57"/>
      <c r="H125" s="57"/>
      <c r="I125" s="57"/>
      <c r="J125" s="137"/>
      <c r="K125" s="48"/>
      <c r="L125" s="58"/>
      <c r="M125" s="46"/>
      <c r="N125" s="28"/>
      <c r="O125" s="57"/>
      <c r="P125" s="57"/>
      <c r="Q125" s="57"/>
      <c r="R125" s="46"/>
    </row>
    <row r="126" spans="1:18" ht="25.2" thickBot="1">
      <c r="A126" s="25">
        <v>1</v>
      </c>
      <c r="B126" s="25"/>
      <c r="C126" s="74"/>
      <c r="D126" s="78"/>
      <c r="E126" s="74"/>
      <c r="F126" s="74"/>
      <c r="G126" s="78"/>
      <c r="H126" s="78"/>
      <c r="I126" s="78"/>
      <c r="J126" s="35"/>
      <c r="K126" s="76"/>
      <c r="L126" s="77"/>
      <c r="M126" s="74"/>
      <c r="N126" s="34"/>
      <c r="O126" s="78"/>
      <c r="P126" s="78"/>
      <c r="Q126" s="78"/>
      <c r="R126" s="46"/>
    </row>
    <row r="127" spans="1:18" ht="25.8" thickTop="1" thickBot="1">
      <c r="A127" s="29"/>
      <c r="B127" s="25" t="s">
        <v>26</v>
      </c>
      <c r="C127" s="64"/>
      <c r="D127" s="63"/>
      <c r="E127" s="64"/>
      <c r="F127" s="64"/>
      <c r="G127" s="63"/>
      <c r="H127" s="63"/>
      <c r="I127" s="63"/>
      <c r="J127" s="42"/>
      <c r="K127" s="66"/>
      <c r="L127" s="67"/>
      <c r="M127" s="64"/>
      <c r="N127" s="41"/>
      <c r="O127" s="63"/>
      <c r="P127" s="63"/>
      <c r="Q127" s="63"/>
      <c r="R127" s="46"/>
    </row>
    <row r="128" spans="1:18" ht="25.2" thickTop="1">
      <c r="A128" s="29"/>
      <c r="B128" s="116" t="s">
        <v>171</v>
      </c>
      <c r="C128" s="46"/>
      <c r="D128" s="46"/>
      <c r="E128" s="46"/>
      <c r="F128" s="46"/>
      <c r="G128" s="46"/>
      <c r="H128" s="46"/>
      <c r="I128" s="46"/>
      <c r="J128" s="137"/>
      <c r="K128" s="48"/>
      <c r="L128" s="48"/>
      <c r="M128" s="46"/>
      <c r="N128" s="28"/>
      <c r="O128" s="46"/>
      <c r="P128" s="46"/>
      <c r="Q128" s="46"/>
      <c r="R128" s="46"/>
    </row>
    <row r="129" spans="1:20" ht="24.6">
      <c r="A129" s="29"/>
      <c r="B129" s="116" t="s">
        <v>53</v>
      </c>
      <c r="C129" s="46"/>
      <c r="D129" s="46"/>
      <c r="E129" s="46"/>
      <c r="F129" s="46"/>
      <c r="G129" s="46"/>
      <c r="H129" s="46"/>
      <c r="I129" s="46"/>
      <c r="J129" s="137"/>
      <c r="K129" s="48"/>
      <c r="L129" s="48"/>
      <c r="M129" s="46"/>
      <c r="N129" s="28"/>
      <c r="O129" s="46"/>
      <c r="P129" s="46"/>
      <c r="Q129" s="46"/>
      <c r="R129" s="46"/>
    </row>
    <row r="130" spans="1:20" s="96" customFormat="1" ht="24.6">
      <c r="A130" s="86">
        <v>1</v>
      </c>
      <c r="B130" s="87" t="s">
        <v>54</v>
      </c>
      <c r="C130" s="87"/>
      <c r="D130" s="89">
        <v>0</v>
      </c>
      <c r="E130" s="87"/>
      <c r="F130" s="87" t="s">
        <v>172</v>
      </c>
      <c r="G130" s="89">
        <v>0</v>
      </c>
      <c r="H130" s="89">
        <v>0</v>
      </c>
      <c r="I130" s="89">
        <v>0</v>
      </c>
      <c r="J130" s="153"/>
      <c r="K130" s="154"/>
      <c r="L130" s="155"/>
      <c r="M130" s="87"/>
      <c r="N130" s="86" t="s">
        <v>172</v>
      </c>
      <c r="O130" s="72">
        <v>0</v>
      </c>
      <c r="P130" s="73">
        <v>0</v>
      </c>
      <c r="Q130" s="73">
        <v>0</v>
      </c>
      <c r="R130" s="87" t="s">
        <v>173</v>
      </c>
      <c r="T130" s="97"/>
    </row>
    <row r="131" spans="1:20" ht="24.6">
      <c r="A131" s="25">
        <v>2</v>
      </c>
      <c r="B131" s="29" t="s">
        <v>174</v>
      </c>
      <c r="C131" s="29"/>
      <c r="D131" s="49">
        <v>0</v>
      </c>
      <c r="E131" s="29"/>
      <c r="F131" s="156"/>
      <c r="G131" s="157">
        <v>0</v>
      </c>
      <c r="H131" s="157">
        <v>0</v>
      </c>
      <c r="I131" s="157">
        <v>0</v>
      </c>
      <c r="J131" s="26"/>
      <c r="K131" s="16"/>
      <c r="L131" s="51"/>
      <c r="M131" s="29"/>
      <c r="N131" s="25"/>
      <c r="O131" s="72">
        <v>0</v>
      </c>
      <c r="P131" s="73">
        <v>0</v>
      </c>
      <c r="Q131" s="73">
        <v>0</v>
      </c>
      <c r="R131" s="29" t="s">
        <v>173</v>
      </c>
    </row>
    <row r="132" spans="1:20" ht="24.6">
      <c r="A132" s="25">
        <v>3</v>
      </c>
      <c r="B132" s="29" t="s">
        <v>175</v>
      </c>
      <c r="C132" s="29"/>
      <c r="D132" s="49">
        <v>0</v>
      </c>
      <c r="E132" s="29"/>
      <c r="F132" s="29"/>
      <c r="G132" s="49">
        <v>0</v>
      </c>
      <c r="H132" s="49">
        <v>0</v>
      </c>
      <c r="I132" s="49">
        <v>0</v>
      </c>
      <c r="J132" s="26"/>
      <c r="K132" s="61"/>
      <c r="L132" s="51"/>
      <c r="M132" s="29"/>
      <c r="N132" s="25"/>
      <c r="O132" s="72">
        <v>0</v>
      </c>
      <c r="P132" s="73">
        <v>0</v>
      </c>
      <c r="Q132" s="73">
        <v>0</v>
      </c>
      <c r="R132" s="29" t="s">
        <v>176</v>
      </c>
    </row>
    <row r="133" spans="1:20" ht="24.6">
      <c r="A133" s="25"/>
      <c r="B133" s="29" t="s">
        <v>177</v>
      </c>
      <c r="C133" s="29"/>
      <c r="D133" s="49"/>
      <c r="E133" s="29"/>
      <c r="F133" s="29"/>
      <c r="G133" s="49">
        <v>0</v>
      </c>
      <c r="H133" s="49">
        <v>0</v>
      </c>
      <c r="I133" s="49">
        <v>0</v>
      </c>
      <c r="J133" s="26"/>
      <c r="K133" s="61"/>
      <c r="L133" s="51"/>
      <c r="M133" s="29"/>
      <c r="N133" s="25"/>
      <c r="O133" s="72">
        <v>0</v>
      </c>
      <c r="P133" s="73">
        <v>0</v>
      </c>
      <c r="Q133" s="73">
        <v>0</v>
      </c>
      <c r="R133" s="29" t="s">
        <v>178</v>
      </c>
    </row>
    <row r="134" spans="1:20" ht="24.6">
      <c r="A134" s="25"/>
      <c r="B134" s="29"/>
      <c r="C134" s="29"/>
      <c r="D134" s="49"/>
      <c r="E134" s="29"/>
      <c r="F134" s="29"/>
      <c r="G134" s="49"/>
      <c r="H134" s="49"/>
      <c r="I134" s="49"/>
      <c r="J134" s="26"/>
      <c r="K134" s="61"/>
      <c r="L134" s="51"/>
      <c r="M134" s="29"/>
      <c r="N134" s="25"/>
      <c r="O134" s="72"/>
      <c r="P134" s="73"/>
      <c r="Q134" s="73"/>
      <c r="R134" s="29" t="s">
        <v>179</v>
      </c>
    </row>
    <row r="135" spans="1:20" ht="24.6">
      <c r="A135" s="25">
        <v>4</v>
      </c>
      <c r="B135" s="29" t="s">
        <v>62</v>
      </c>
      <c r="C135" s="29"/>
      <c r="D135" s="49">
        <v>0</v>
      </c>
      <c r="E135" s="29"/>
      <c r="F135" s="29"/>
      <c r="G135" s="49">
        <v>0</v>
      </c>
      <c r="H135" s="49">
        <v>0</v>
      </c>
      <c r="I135" s="49">
        <v>0</v>
      </c>
      <c r="J135" s="26"/>
      <c r="K135" s="16"/>
      <c r="L135" s="51"/>
      <c r="M135" s="29"/>
      <c r="N135" s="25"/>
      <c r="O135" s="72">
        <v>0</v>
      </c>
      <c r="P135" s="73">
        <v>0</v>
      </c>
      <c r="Q135" s="73">
        <v>0</v>
      </c>
      <c r="R135" s="29"/>
    </row>
    <row r="136" spans="1:20" ht="24.6">
      <c r="A136" s="25">
        <v>5</v>
      </c>
      <c r="B136" s="29" t="s">
        <v>180</v>
      </c>
      <c r="C136" s="29"/>
      <c r="D136" s="49">
        <v>0</v>
      </c>
      <c r="E136" s="29"/>
      <c r="F136" s="29" t="s">
        <v>172</v>
      </c>
      <c r="G136" s="49">
        <v>0</v>
      </c>
      <c r="H136" s="49">
        <v>0</v>
      </c>
      <c r="I136" s="49">
        <v>0</v>
      </c>
      <c r="J136" s="26"/>
      <c r="K136" s="61"/>
      <c r="L136" s="51"/>
      <c r="M136" s="29"/>
      <c r="N136" s="25" t="s">
        <v>172</v>
      </c>
      <c r="O136" s="72">
        <v>0</v>
      </c>
      <c r="P136" s="73">
        <v>0</v>
      </c>
      <c r="Q136" s="73">
        <v>0</v>
      </c>
      <c r="R136" s="29" t="s">
        <v>176</v>
      </c>
    </row>
    <row r="137" spans="1:20" ht="24.6">
      <c r="A137" s="25"/>
      <c r="B137" s="29" t="s">
        <v>181</v>
      </c>
      <c r="C137" s="29"/>
      <c r="D137" s="49"/>
      <c r="E137" s="29"/>
      <c r="F137" s="29"/>
      <c r="G137" s="49"/>
      <c r="H137" s="49"/>
      <c r="I137" s="49"/>
      <c r="J137" s="26"/>
      <c r="K137" s="61"/>
      <c r="L137" s="51"/>
      <c r="M137" s="29"/>
      <c r="N137" s="25"/>
      <c r="O137" s="59"/>
      <c r="P137" s="49"/>
      <c r="Q137" s="59"/>
      <c r="R137" s="29" t="s">
        <v>178</v>
      </c>
    </row>
    <row r="138" spans="1:20" ht="24.6">
      <c r="A138" s="25"/>
      <c r="B138" s="29"/>
      <c r="C138" s="29"/>
      <c r="D138" s="49"/>
      <c r="E138" s="29"/>
      <c r="F138" s="29"/>
      <c r="G138" s="49"/>
      <c r="H138" s="49"/>
      <c r="I138" s="49"/>
      <c r="J138" s="26"/>
      <c r="K138" s="61"/>
      <c r="L138" s="51"/>
      <c r="M138" s="29"/>
      <c r="N138" s="25"/>
      <c r="O138" s="59"/>
      <c r="P138" s="49"/>
      <c r="Q138" s="59"/>
      <c r="R138" s="29" t="s">
        <v>179</v>
      </c>
    </row>
    <row r="139" spans="1:20" ht="24.6">
      <c r="A139" s="25"/>
      <c r="B139" s="29"/>
      <c r="C139" s="29"/>
      <c r="D139" s="49"/>
      <c r="E139" s="29"/>
      <c r="F139" s="29"/>
      <c r="G139" s="49"/>
      <c r="H139" s="49"/>
      <c r="I139" s="49"/>
      <c r="J139" s="26"/>
      <c r="K139" s="61"/>
      <c r="L139" s="51"/>
      <c r="M139" s="29"/>
      <c r="N139" s="25"/>
      <c r="O139" s="59"/>
      <c r="P139" s="49"/>
      <c r="Q139" s="59"/>
      <c r="R139" s="29" t="s">
        <v>182</v>
      </c>
    </row>
    <row r="140" spans="1:20" ht="24.6">
      <c r="A140" s="25">
        <v>6</v>
      </c>
      <c r="B140" s="29" t="s">
        <v>183</v>
      </c>
      <c r="C140" s="29"/>
      <c r="D140" s="158" t="s">
        <v>172</v>
      </c>
      <c r="E140" s="29"/>
      <c r="F140" s="29"/>
      <c r="G140" s="49">
        <v>0</v>
      </c>
      <c r="H140" s="49">
        <v>0</v>
      </c>
      <c r="I140" s="49">
        <v>0</v>
      </c>
      <c r="J140" s="26"/>
      <c r="K140" s="61"/>
      <c r="L140" s="51"/>
      <c r="M140" s="29"/>
      <c r="N140" s="25"/>
      <c r="O140" s="159">
        <v>0</v>
      </c>
      <c r="P140" s="73">
        <v>0</v>
      </c>
      <c r="Q140" s="73">
        <v>0</v>
      </c>
      <c r="R140" s="29" t="s">
        <v>184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185</v>
      </c>
    </row>
    <row r="142" spans="1:20" ht="24.6">
      <c r="A142" s="25"/>
      <c r="B142" s="29"/>
      <c r="C142" s="29"/>
      <c r="D142" s="49"/>
      <c r="E142" s="29"/>
      <c r="F142" s="29"/>
      <c r="G142" s="49"/>
      <c r="H142" s="49"/>
      <c r="I142" s="49"/>
      <c r="J142" s="26"/>
      <c r="K142" s="61"/>
      <c r="L142" s="51"/>
      <c r="M142" s="29"/>
      <c r="N142" s="25"/>
      <c r="O142" s="59"/>
      <c r="P142" s="49"/>
      <c r="Q142" s="59"/>
      <c r="R142" s="29" t="s">
        <v>186</v>
      </c>
    </row>
    <row r="143" spans="1:20" ht="24.6">
      <c r="A143" s="25">
        <v>7</v>
      </c>
      <c r="B143" s="29" t="s">
        <v>70</v>
      </c>
      <c r="C143" s="29"/>
      <c r="D143" s="49">
        <v>0</v>
      </c>
      <c r="E143" s="29"/>
      <c r="F143" s="29"/>
      <c r="G143" s="49">
        <v>0</v>
      </c>
      <c r="H143" s="49">
        <v>0</v>
      </c>
      <c r="I143" s="49">
        <v>0</v>
      </c>
      <c r="J143" s="26"/>
      <c r="K143" s="16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187</v>
      </c>
    </row>
    <row r="144" spans="1:20" ht="24.6">
      <c r="A144" s="25">
        <v>8</v>
      </c>
      <c r="B144" s="29" t="s">
        <v>188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 t="s">
        <v>187</v>
      </c>
    </row>
    <row r="145" spans="1:20" ht="24.6">
      <c r="A145" s="25">
        <v>9</v>
      </c>
      <c r="B145" s="29" t="s">
        <v>189</v>
      </c>
      <c r="C145" s="29"/>
      <c r="D145" s="49">
        <v>0</v>
      </c>
      <c r="E145" s="29"/>
      <c r="F145" s="29"/>
      <c r="G145" s="49">
        <v>0</v>
      </c>
      <c r="H145" s="49">
        <v>0</v>
      </c>
      <c r="I145" s="49">
        <v>0</v>
      </c>
      <c r="J145" s="26"/>
      <c r="K145" s="61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190</v>
      </c>
      <c r="T145" s="2" t="s">
        <v>191</v>
      </c>
    </row>
    <row r="146" spans="1:20" ht="24.6">
      <c r="A146" s="25"/>
      <c r="B146" s="29"/>
      <c r="C146" s="29"/>
      <c r="D146" s="49"/>
      <c r="E146" s="29"/>
      <c r="F146" s="29"/>
      <c r="G146" s="49"/>
      <c r="H146" s="49"/>
      <c r="I146" s="49"/>
      <c r="J146" s="26"/>
      <c r="K146" s="61"/>
      <c r="L146" s="51"/>
      <c r="M146" s="29"/>
      <c r="N146" s="25"/>
      <c r="O146" s="59"/>
      <c r="P146" s="49"/>
      <c r="Q146" s="59"/>
      <c r="R146" s="29" t="s">
        <v>192</v>
      </c>
    </row>
    <row r="147" spans="1:20" ht="24.6">
      <c r="A147" s="25"/>
      <c r="B147" s="29"/>
      <c r="C147" s="29"/>
      <c r="D147" s="49"/>
      <c r="E147" s="29"/>
      <c r="F147" s="29"/>
      <c r="G147" s="49"/>
      <c r="H147" s="49"/>
      <c r="I147" s="49"/>
      <c r="J147" s="26"/>
      <c r="K147" s="61"/>
      <c r="L147" s="51"/>
      <c r="M147" s="29"/>
      <c r="N147" s="25"/>
      <c r="O147" s="59"/>
      <c r="P147" s="49"/>
      <c r="Q147" s="59"/>
      <c r="R147" s="29" t="s">
        <v>187</v>
      </c>
    </row>
    <row r="148" spans="1:20" ht="24.6">
      <c r="A148" s="25">
        <v>10</v>
      </c>
      <c r="B148" s="29" t="s">
        <v>193</v>
      </c>
      <c r="C148" s="29"/>
      <c r="D148" s="49">
        <v>0</v>
      </c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194</v>
      </c>
    </row>
    <row r="149" spans="1:20" ht="24.6">
      <c r="A149" s="25">
        <v>11</v>
      </c>
      <c r="B149" s="29" t="s">
        <v>78</v>
      </c>
      <c r="C149" s="29"/>
      <c r="D149" s="49"/>
      <c r="E149" s="29"/>
      <c r="F149" s="29"/>
      <c r="G149" s="49">
        <v>0</v>
      </c>
      <c r="H149" s="49">
        <v>0</v>
      </c>
      <c r="I149" s="49">
        <v>0</v>
      </c>
      <c r="J149" s="160"/>
      <c r="K149" s="50"/>
      <c r="L149" s="51"/>
      <c r="M149" s="29"/>
      <c r="N149" s="25"/>
      <c r="O149" s="72">
        <v>0</v>
      </c>
      <c r="P149" s="73">
        <v>0</v>
      </c>
      <c r="Q149" s="73">
        <v>0</v>
      </c>
      <c r="R149" s="29" t="s">
        <v>195</v>
      </c>
    </row>
    <row r="150" spans="1:20" ht="24.6">
      <c r="A150" s="25">
        <v>12</v>
      </c>
      <c r="B150" s="29" t="s">
        <v>196</v>
      </c>
      <c r="C150" s="29"/>
      <c r="D150" s="49">
        <v>0</v>
      </c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20" ht="24.6">
      <c r="A151" s="25">
        <v>13</v>
      </c>
      <c r="B151" s="29" t="s">
        <v>83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50"/>
      <c r="L151" s="51"/>
      <c r="M151" s="29"/>
      <c r="N151" s="25"/>
      <c r="O151" s="72">
        <v>0</v>
      </c>
      <c r="P151" s="73">
        <v>0</v>
      </c>
      <c r="Q151" s="73">
        <v>0</v>
      </c>
      <c r="R151" s="29" t="s">
        <v>195</v>
      </c>
    </row>
    <row r="152" spans="1:20" ht="24.6">
      <c r="A152" s="25">
        <v>14</v>
      </c>
      <c r="B152" s="29" t="s">
        <v>85</v>
      </c>
      <c r="C152" s="29"/>
      <c r="D152" s="49">
        <v>0</v>
      </c>
      <c r="E152" s="29"/>
      <c r="F152" s="29" t="s">
        <v>172</v>
      </c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 t="s">
        <v>172</v>
      </c>
      <c r="O152" s="72">
        <v>0</v>
      </c>
      <c r="P152" s="73">
        <v>0</v>
      </c>
      <c r="Q152" s="73">
        <v>0</v>
      </c>
      <c r="R152" s="29"/>
    </row>
    <row r="153" spans="1:20" ht="24.6">
      <c r="A153" s="25">
        <v>15</v>
      </c>
      <c r="B153" s="29" t="s">
        <v>197</v>
      </c>
      <c r="C153" s="29"/>
      <c r="D153" s="49">
        <v>0</v>
      </c>
      <c r="E153" s="29"/>
      <c r="F153" s="29"/>
      <c r="G153" s="49">
        <v>0</v>
      </c>
      <c r="H153" s="49">
        <v>0</v>
      </c>
      <c r="I153" s="49">
        <v>0</v>
      </c>
      <c r="J153" s="26"/>
      <c r="K153" s="61"/>
      <c r="L153" s="51"/>
      <c r="M153" s="29"/>
      <c r="N153" s="25"/>
      <c r="O153" s="72">
        <v>0</v>
      </c>
      <c r="P153" s="73">
        <v>0</v>
      </c>
      <c r="Q153" s="73">
        <v>0</v>
      </c>
      <c r="R153" s="29" t="s">
        <v>198</v>
      </c>
    </row>
    <row r="154" spans="1:20" ht="24.6">
      <c r="A154" s="25">
        <v>16</v>
      </c>
      <c r="B154" s="29" t="s">
        <v>199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200</v>
      </c>
    </row>
    <row r="155" spans="1:20" ht="24.6">
      <c r="A155" s="25"/>
      <c r="B155" s="116" t="s">
        <v>89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20" ht="24" customHeight="1">
      <c r="A156" s="25">
        <v>16</v>
      </c>
      <c r="B156" s="29" t="s">
        <v>62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20" ht="22.5" customHeight="1">
      <c r="A157" s="25">
        <v>17</v>
      </c>
      <c r="B157" s="25" t="s">
        <v>57</v>
      </c>
      <c r="C157" s="29"/>
      <c r="D157" s="49"/>
      <c r="E157" s="29"/>
      <c r="F157" s="29"/>
      <c r="G157" s="49">
        <v>0</v>
      </c>
      <c r="H157" s="49">
        <v>0</v>
      </c>
      <c r="I157" s="49">
        <v>0</v>
      </c>
      <c r="J157" s="26"/>
      <c r="K157" s="16"/>
      <c r="L157" s="51"/>
      <c r="M157" s="29"/>
      <c r="N157" s="25"/>
      <c r="O157" s="72">
        <v>0</v>
      </c>
      <c r="P157" s="73">
        <v>0</v>
      </c>
      <c r="Q157" s="73">
        <v>0</v>
      </c>
      <c r="R157" s="29"/>
    </row>
    <row r="158" spans="1:20" ht="22.5" customHeight="1">
      <c r="A158" s="25">
        <v>18</v>
      </c>
      <c r="B158" s="29" t="s">
        <v>93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59">
        <v>0</v>
      </c>
      <c r="P158" s="49">
        <v>0</v>
      </c>
      <c r="Q158" s="59">
        <v>0</v>
      </c>
      <c r="R158" s="29" t="s">
        <v>201</v>
      </c>
    </row>
    <row r="159" spans="1:20" ht="24.6">
      <c r="A159" s="25"/>
      <c r="B159" s="29"/>
      <c r="C159" s="29"/>
      <c r="D159" s="49"/>
      <c r="E159" s="29"/>
      <c r="F159" s="29"/>
      <c r="G159" s="49"/>
      <c r="H159" s="49"/>
      <c r="I159" s="49"/>
      <c r="J159" s="26"/>
      <c r="K159" s="61"/>
      <c r="L159" s="51"/>
      <c r="M159" s="29"/>
      <c r="N159" s="25"/>
      <c r="O159" s="59"/>
      <c r="P159" s="49"/>
      <c r="Q159" s="59"/>
      <c r="R159" s="29" t="s">
        <v>202</v>
      </c>
    </row>
    <row r="160" spans="1:20" ht="24.6">
      <c r="A160" s="25">
        <v>19</v>
      </c>
      <c r="B160" s="25" t="s">
        <v>57</v>
      </c>
      <c r="C160" s="29"/>
      <c r="D160" s="49"/>
      <c r="E160" s="29"/>
      <c r="F160" s="29"/>
      <c r="G160" s="49"/>
      <c r="H160" s="49"/>
      <c r="I160" s="49"/>
      <c r="J160" s="26"/>
      <c r="K160" s="61"/>
      <c r="L160" s="51"/>
      <c r="M160" s="29"/>
      <c r="N160" s="25"/>
      <c r="O160" s="59"/>
      <c r="P160" s="49"/>
      <c r="Q160" s="59"/>
      <c r="R160" s="29"/>
    </row>
    <row r="161" spans="1:18" ht="24.6">
      <c r="A161" s="25">
        <v>20</v>
      </c>
      <c r="B161" s="29" t="s">
        <v>40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203</v>
      </c>
    </row>
    <row r="162" spans="1:18" ht="24.6">
      <c r="A162" s="28"/>
      <c r="B162" s="124" t="s">
        <v>97</v>
      </c>
      <c r="C162" s="29"/>
      <c r="D162" s="49"/>
      <c r="E162" s="29"/>
      <c r="F162" s="29"/>
      <c r="G162" s="49"/>
      <c r="H162" s="49"/>
      <c r="I162" s="49"/>
      <c r="J162" s="26"/>
      <c r="K162" s="61"/>
      <c r="L162" s="51"/>
      <c r="M162" s="29"/>
      <c r="N162" s="25"/>
      <c r="O162" s="59"/>
      <c r="P162" s="49"/>
      <c r="Q162" s="59"/>
      <c r="R162" s="29"/>
    </row>
    <row r="163" spans="1:18" ht="24.6">
      <c r="A163" s="28">
        <v>21</v>
      </c>
      <c r="B163" s="119" t="s">
        <v>98</v>
      </c>
      <c r="C163" s="29"/>
      <c r="D163" s="49"/>
      <c r="E163" s="29"/>
      <c r="F163" s="29"/>
      <c r="G163" s="49">
        <v>0</v>
      </c>
      <c r="H163" s="49">
        <v>0</v>
      </c>
      <c r="I163" s="49">
        <v>0</v>
      </c>
      <c r="J163" s="26"/>
      <c r="K163" s="16"/>
      <c r="L163" s="51"/>
      <c r="M163" s="29"/>
      <c r="N163" s="25"/>
      <c r="O163" s="72">
        <v>0</v>
      </c>
      <c r="P163" s="73">
        <v>0</v>
      </c>
      <c r="Q163" s="73">
        <v>0</v>
      </c>
      <c r="R163" s="29"/>
    </row>
    <row r="164" spans="1:18" ht="24.6">
      <c r="A164" s="28"/>
      <c r="B164" s="161" t="s">
        <v>204</v>
      </c>
      <c r="C164" s="29"/>
      <c r="D164" s="49"/>
      <c r="E164" s="29"/>
      <c r="F164" s="29"/>
      <c r="G164" s="49"/>
      <c r="H164" s="49"/>
      <c r="I164" s="49"/>
      <c r="J164" s="26"/>
      <c r="K164" s="61"/>
      <c r="L164" s="51"/>
      <c r="M164" s="29"/>
      <c r="N164" s="25"/>
      <c r="O164" s="59"/>
      <c r="P164" s="49"/>
      <c r="Q164" s="59"/>
      <c r="R164" s="29"/>
    </row>
    <row r="165" spans="1:18" ht="24.6">
      <c r="A165" s="28">
        <v>1</v>
      </c>
      <c r="B165" s="46" t="s">
        <v>166</v>
      </c>
      <c r="C165" s="29"/>
      <c r="D165" s="49"/>
      <c r="E165" s="29"/>
      <c r="F165" s="29"/>
      <c r="G165" s="49">
        <v>0</v>
      </c>
      <c r="H165" s="49">
        <v>0</v>
      </c>
      <c r="I165" s="49">
        <v>0</v>
      </c>
      <c r="J165" s="26"/>
      <c r="K165" s="61"/>
      <c r="L165" s="51"/>
      <c r="M165" s="29"/>
      <c r="N165" s="25"/>
      <c r="O165" s="72">
        <v>0</v>
      </c>
      <c r="P165" s="73">
        <v>0</v>
      </c>
      <c r="Q165" s="73">
        <v>0</v>
      </c>
      <c r="R165" s="29"/>
    </row>
    <row r="166" spans="1:18" ht="24.6">
      <c r="A166" s="28">
        <v>2</v>
      </c>
      <c r="B166" s="46" t="s">
        <v>167</v>
      </c>
      <c r="C166" s="29"/>
      <c r="D166" s="49"/>
      <c r="E166" s="29"/>
      <c r="F166" s="29"/>
      <c r="G166" s="49">
        <v>0</v>
      </c>
      <c r="H166" s="49">
        <v>0</v>
      </c>
      <c r="I166" s="49">
        <v>0</v>
      </c>
      <c r="J166" s="26"/>
      <c r="K166" s="61"/>
      <c r="L166" s="51"/>
      <c r="M166" s="29"/>
      <c r="N166" s="25"/>
      <c r="O166" s="72">
        <v>0</v>
      </c>
      <c r="P166" s="73">
        <v>0</v>
      </c>
      <c r="Q166" s="73">
        <v>0</v>
      </c>
      <c r="R166" s="29"/>
    </row>
    <row r="167" spans="1:18" ht="24.6">
      <c r="A167" s="28"/>
      <c r="B167" s="161" t="s">
        <v>205</v>
      </c>
      <c r="C167" s="109"/>
      <c r="D167" s="162"/>
      <c r="E167" s="109"/>
      <c r="F167" s="109"/>
      <c r="G167" s="162"/>
      <c r="H167" s="162"/>
      <c r="I167" s="162"/>
      <c r="J167" s="163"/>
      <c r="K167" s="113"/>
      <c r="L167" s="164"/>
      <c r="M167" s="109"/>
      <c r="N167" s="115"/>
      <c r="O167" s="59"/>
      <c r="P167" s="162"/>
      <c r="Q167" s="111"/>
      <c r="R167" s="29"/>
    </row>
    <row r="168" spans="1:18" ht="24.6">
      <c r="A168" s="28">
        <v>1</v>
      </c>
      <c r="B168" s="46" t="s">
        <v>32</v>
      </c>
      <c r="C168" s="29"/>
      <c r="D168" s="49"/>
      <c r="E168" s="29"/>
      <c r="F168" s="29"/>
      <c r="G168" s="49">
        <v>0</v>
      </c>
      <c r="H168" s="49">
        <v>0</v>
      </c>
      <c r="I168" s="49">
        <v>0</v>
      </c>
      <c r="J168" s="26"/>
      <c r="K168" s="61"/>
      <c r="L168" s="51"/>
      <c r="M168" s="29"/>
      <c r="N168" s="25"/>
      <c r="O168" s="72">
        <v>0</v>
      </c>
      <c r="P168" s="73">
        <v>0</v>
      </c>
      <c r="Q168" s="73">
        <v>0</v>
      </c>
      <c r="R168" s="29" t="s">
        <v>206</v>
      </c>
    </row>
    <row r="169" spans="1:18" ht="25.2" thickBot="1">
      <c r="A169" s="28">
        <v>2</v>
      </c>
      <c r="B169" s="46" t="s">
        <v>207</v>
      </c>
      <c r="C169" s="109"/>
      <c r="D169" s="162"/>
      <c r="E169" s="109"/>
      <c r="F169" s="109"/>
      <c r="G169" s="49">
        <v>0</v>
      </c>
      <c r="H169" s="49">
        <v>0</v>
      </c>
      <c r="I169" s="49">
        <v>0</v>
      </c>
      <c r="J169" s="163"/>
      <c r="K169" s="113"/>
      <c r="L169" s="164"/>
      <c r="M169" s="109"/>
      <c r="N169" s="115"/>
      <c r="O169" s="72">
        <v>0</v>
      </c>
      <c r="P169" s="73">
        <v>0</v>
      </c>
      <c r="Q169" s="73">
        <v>0</v>
      </c>
      <c r="R169" s="29"/>
    </row>
    <row r="170" spans="1:18" ht="25.8" thickTop="1" thickBot="1">
      <c r="A170" s="46"/>
      <c r="B170" s="28" t="s">
        <v>26</v>
      </c>
      <c r="C170" s="79"/>
      <c r="D170" s="165"/>
      <c r="E170" s="165"/>
      <c r="F170" s="165"/>
      <c r="G170" s="165">
        <v>0</v>
      </c>
      <c r="H170" s="165">
        <v>0</v>
      </c>
      <c r="I170" s="165">
        <v>0</v>
      </c>
      <c r="J170" s="166"/>
      <c r="K170" s="166"/>
      <c r="L170" s="166"/>
      <c r="M170" s="165"/>
      <c r="N170" s="167"/>
      <c r="O170" s="165">
        <v>0</v>
      </c>
      <c r="P170" s="165">
        <v>0</v>
      </c>
      <c r="Q170" s="165">
        <v>0</v>
      </c>
      <c r="R170" s="29"/>
    </row>
    <row r="171" spans="1:18" ht="25.2" thickTop="1">
      <c r="A171" s="46"/>
      <c r="B171" s="168" t="s">
        <v>208</v>
      </c>
      <c r="C171" s="46"/>
      <c r="D171" s="98"/>
      <c r="E171" s="46"/>
      <c r="F171" s="46"/>
      <c r="G171" s="57"/>
      <c r="H171" s="57"/>
      <c r="I171" s="57"/>
      <c r="J171" s="137"/>
      <c r="K171" s="48"/>
      <c r="L171" s="169"/>
      <c r="M171" s="46"/>
      <c r="N171" s="28"/>
      <c r="O171" s="57"/>
      <c r="P171" s="57"/>
      <c r="Q171" s="57"/>
      <c r="R171" s="46"/>
    </row>
    <row r="172" spans="1:18" ht="25.2" thickBot="1">
      <c r="A172" s="28">
        <v>1</v>
      </c>
      <c r="B172" s="28"/>
      <c r="C172" s="74"/>
      <c r="D172" s="110"/>
      <c r="E172" s="74"/>
      <c r="F172" s="74"/>
      <c r="G172" s="78"/>
      <c r="H172" s="78"/>
      <c r="I172" s="78"/>
      <c r="J172" s="35"/>
      <c r="K172" s="76"/>
      <c r="L172" s="170"/>
      <c r="M172" s="74"/>
      <c r="N172" s="34"/>
      <c r="O172" s="78"/>
      <c r="P172" s="78"/>
      <c r="Q172" s="78"/>
      <c r="R172" s="46"/>
    </row>
    <row r="173" spans="1:18" ht="25.2" thickTop="1">
      <c r="A173" s="46"/>
      <c r="B173" s="28" t="s">
        <v>26</v>
      </c>
      <c r="C173" s="109"/>
      <c r="D173" s="162"/>
      <c r="E173" s="109"/>
      <c r="F173" s="109"/>
      <c r="G173" s="111"/>
      <c r="H173" s="111"/>
      <c r="I173" s="111"/>
      <c r="J173" s="163"/>
      <c r="K173" s="113"/>
      <c r="L173" s="164"/>
      <c r="M173" s="109"/>
      <c r="N173" s="115"/>
      <c r="O173" s="111"/>
      <c r="P173" s="111"/>
      <c r="Q173" s="111"/>
      <c r="R173" s="46"/>
    </row>
    <row r="174" spans="1:18" ht="24.6">
      <c r="A174" s="46"/>
      <c r="B174" s="168" t="s">
        <v>209</v>
      </c>
      <c r="C174" s="29"/>
      <c r="D174" s="49"/>
      <c r="E174" s="29"/>
      <c r="F174" s="29"/>
      <c r="G174" s="59"/>
      <c r="H174" s="59"/>
      <c r="I174" s="59"/>
      <c r="J174" s="26"/>
      <c r="K174" s="61"/>
      <c r="L174" s="51"/>
      <c r="M174" s="29"/>
      <c r="N174" s="25"/>
      <c r="O174" s="59"/>
      <c r="P174" s="59"/>
      <c r="Q174" s="59"/>
      <c r="R174" s="46"/>
    </row>
    <row r="175" spans="1:18" ht="29.25" customHeight="1" thickBot="1">
      <c r="A175" s="115">
        <v>1</v>
      </c>
      <c r="B175" s="115"/>
      <c r="C175" s="74"/>
      <c r="D175" s="110"/>
      <c r="E175" s="74"/>
      <c r="F175" s="74"/>
      <c r="G175" s="78"/>
      <c r="H175" s="78"/>
      <c r="I175" s="78"/>
      <c r="J175" s="35"/>
      <c r="K175" s="76"/>
      <c r="L175" s="170"/>
      <c r="M175" s="74"/>
      <c r="N175" s="34"/>
      <c r="O175" s="78"/>
      <c r="P175" s="78"/>
      <c r="Q175" s="78"/>
      <c r="R175" s="109"/>
    </row>
    <row r="176" spans="1:18" ht="26.25" customHeight="1" thickTop="1" thickBot="1">
      <c r="A176" s="29"/>
      <c r="B176" s="25" t="s">
        <v>26</v>
      </c>
      <c r="C176" s="64"/>
      <c r="D176" s="171"/>
      <c r="E176" s="64"/>
      <c r="F176" s="64"/>
      <c r="G176" s="63"/>
      <c r="H176" s="63"/>
      <c r="I176" s="63"/>
      <c r="J176" s="42"/>
      <c r="K176" s="66"/>
      <c r="L176" s="172"/>
      <c r="M176" s="64"/>
      <c r="N176" s="41"/>
      <c r="O176" s="63"/>
      <c r="P176" s="63"/>
      <c r="Q176" s="63"/>
      <c r="R176" s="29"/>
    </row>
    <row r="177" spans="1:23" ht="24.75" customHeight="1" thickTop="1">
      <c r="A177" s="46"/>
      <c r="B177" s="168" t="s">
        <v>210</v>
      </c>
      <c r="C177" s="46"/>
      <c r="D177" s="98"/>
      <c r="E177" s="46"/>
      <c r="F177" s="46"/>
      <c r="G177" s="46"/>
      <c r="H177" s="46"/>
      <c r="I177" s="46"/>
      <c r="J177" s="137"/>
      <c r="K177" s="48"/>
      <c r="L177" s="48"/>
      <c r="M177" s="46"/>
      <c r="N177" s="28"/>
      <c r="O177" s="46"/>
      <c r="P177" s="46"/>
      <c r="Q177" s="46"/>
      <c r="R177" s="46"/>
    </row>
    <row r="178" spans="1:23" ht="24" customHeight="1">
      <c r="A178" s="25"/>
      <c r="B178" s="29"/>
      <c r="C178" s="29"/>
      <c r="D178" s="49"/>
      <c r="E178" s="29"/>
      <c r="F178" s="29"/>
      <c r="G178" s="49">
        <v>0</v>
      </c>
      <c r="H178" s="49">
        <v>0</v>
      </c>
      <c r="I178" s="59">
        <v>0</v>
      </c>
      <c r="J178" s="26"/>
      <c r="K178" s="61"/>
      <c r="L178" s="51"/>
      <c r="M178" s="29"/>
      <c r="N178" s="25"/>
      <c r="O178" s="72">
        <v>0</v>
      </c>
      <c r="P178" s="73">
        <v>0</v>
      </c>
      <c r="Q178" s="73">
        <v>0</v>
      </c>
      <c r="R178" s="29"/>
    </row>
    <row r="179" spans="1:23" ht="24.75" customHeight="1" thickBot="1">
      <c r="A179" s="34"/>
      <c r="B179" s="34" t="s">
        <v>26</v>
      </c>
      <c r="C179" s="74"/>
      <c r="D179" s="110"/>
      <c r="E179" s="74"/>
      <c r="F179" s="74"/>
      <c r="G179" s="78">
        <v>0</v>
      </c>
      <c r="H179" s="78">
        <v>0</v>
      </c>
      <c r="I179" s="78">
        <v>0</v>
      </c>
      <c r="J179" s="75"/>
      <c r="K179" s="76"/>
      <c r="L179" s="170"/>
      <c r="M179" s="74"/>
      <c r="N179" s="34"/>
      <c r="O179" s="110">
        <v>0</v>
      </c>
      <c r="P179" s="110">
        <v>0</v>
      </c>
      <c r="Q179" s="110">
        <v>0</v>
      </c>
      <c r="R179" s="74"/>
    </row>
    <row r="180" spans="1:23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3" ht="24.75" customHeight="1">
      <c r="A181" s="731" t="s">
        <v>211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3"/>
    </row>
    <row r="182" spans="1:23" ht="24.75" customHeight="1">
      <c r="A182" s="46">
        <v>1</v>
      </c>
      <c r="B182" s="180" t="s">
        <v>32</v>
      </c>
      <c r="C182" s="46" t="s">
        <v>104</v>
      </c>
      <c r="D182" s="98">
        <v>4650</v>
      </c>
      <c r="E182" s="141" t="s">
        <v>250</v>
      </c>
      <c r="F182" s="254">
        <v>4</v>
      </c>
      <c r="G182" s="141">
        <v>18600</v>
      </c>
      <c r="H182" s="141" t="s">
        <v>172</v>
      </c>
      <c r="I182" s="141">
        <v>18600</v>
      </c>
      <c r="J182" s="137"/>
      <c r="K182" s="48"/>
      <c r="L182" s="48"/>
      <c r="M182" s="46" t="s">
        <v>275</v>
      </c>
      <c r="N182" s="28">
        <v>5</v>
      </c>
      <c r="O182" s="57">
        <f>SUM(D182+I182-L182)</f>
        <v>23250</v>
      </c>
      <c r="P182" s="28" t="s">
        <v>172</v>
      </c>
      <c r="Q182" s="57">
        <f>O182</f>
        <v>23250</v>
      </c>
      <c r="R182" s="46" t="s">
        <v>214</v>
      </c>
    </row>
    <row r="183" spans="1:23" ht="24" customHeight="1">
      <c r="A183" s="25">
        <v>2</v>
      </c>
      <c r="B183" s="29" t="s">
        <v>215</v>
      </c>
      <c r="C183" s="29" t="s">
        <v>104</v>
      </c>
      <c r="D183" s="49">
        <v>5750</v>
      </c>
      <c r="E183" s="134" t="s">
        <v>250</v>
      </c>
      <c r="F183" s="255">
        <v>4</v>
      </c>
      <c r="G183" s="134">
        <v>23000</v>
      </c>
      <c r="H183" s="134">
        <v>0</v>
      </c>
      <c r="I183" s="134">
        <v>23000</v>
      </c>
      <c r="J183" s="26"/>
      <c r="K183" s="61"/>
      <c r="L183" s="51"/>
      <c r="M183" s="46" t="s">
        <v>275</v>
      </c>
      <c r="N183" s="25">
        <v>5</v>
      </c>
      <c r="O183" s="57">
        <f>SUM(D183+I183-L183)</f>
        <v>28750</v>
      </c>
      <c r="P183" s="73">
        <v>0</v>
      </c>
      <c r="Q183" s="57">
        <f>O183</f>
        <v>28750</v>
      </c>
      <c r="R183" s="29" t="s">
        <v>214</v>
      </c>
    </row>
    <row r="184" spans="1:23" ht="24.75" customHeight="1" thickBot="1">
      <c r="A184" s="34"/>
      <c r="B184" s="34" t="s">
        <v>26</v>
      </c>
      <c r="C184" s="74"/>
      <c r="D184" s="110">
        <f>SUM(D182:D183)</f>
        <v>10400</v>
      </c>
      <c r="E184" s="74"/>
      <c r="F184" s="74"/>
      <c r="G184" s="78">
        <f>SUM(G182:G183)</f>
        <v>41600</v>
      </c>
      <c r="H184" s="78">
        <f>SUM(H182:H183)</f>
        <v>0</v>
      </c>
      <c r="I184" s="78">
        <f>SUM(I182:I183)</f>
        <v>41600</v>
      </c>
      <c r="J184" s="75"/>
      <c r="K184" s="76"/>
      <c r="L184" s="170"/>
      <c r="M184" s="74"/>
      <c r="N184" s="34"/>
      <c r="O184" s="110">
        <f>SUM(O182:O183)</f>
        <v>52000</v>
      </c>
      <c r="P184" s="110">
        <v>0</v>
      </c>
      <c r="Q184" s="110">
        <f>SUM(Q182:Q183)</f>
        <v>52000</v>
      </c>
      <c r="R184" s="74"/>
    </row>
    <row r="185" spans="1:23" ht="24.75" customHeight="1" thickTop="1">
      <c r="A185" s="14"/>
      <c r="B185" s="173"/>
      <c r="D185" s="174"/>
      <c r="G185" s="175"/>
      <c r="H185" s="175"/>
      <c r="I185" s="175"/>
      <c r="L185" s="178"/>
      <c r="O185" s="174"/>
      <c r="P185" s="174"/>
      <c r="Q185" s="174"/>
      <c r="R185" s="179"/>
    </row>
    <row r="186" spans="1:23" ht="24.6">
      <c r="A186" s="734" t="s">
        <v>216</v>
      </c>
      <c r="B186" s="735"/>
      <c r="C186" s="735"/>
      <c r="D186" s="735"/>
      <c r="E186" s="735"/>
      <c r="F186" s="735"/>
      <c r="G186" s="735"/>
      <c r="H186" s="735"/>
      <c r="I186" s="735"/>
      <c r="J186" s="735"/>
      <c r="K186" s="735"/>
      <c r="L186" s="735"/>
      <c r="M186" s="735"/>
      <c r="N186" s="735"/>
      <c r="O186" s="735"/>
      <c r="P186" s="735"/>
      <c r="Q186" s="735"/>
      <c r="R186" s="736"/>
    </row>
    <row r="187" spans="1:23" ht="29.25" customHeight="1">
      <c r="A187" s="115"/>
      <c r="B187" s="115"/>
      <c r="C187" s="181"/>
      <c r="D187" s="182"/>
      <c r="E187" s="181"/>
      <c r="F187" s="181"/>
      <c r="G187" s="183"/>
      <c r="H187" s="183"/>
      <c r="I187" s="183"/>
      <c r="J187" s="184"/>
      <c r="K187" s="185"/>
      <c r="L187" s="186"/>
      <c r="M187" s="181"/>
      <c r="N187" s="187"/>
      <c r="O187" s="183"/>
      <c r="P187" s="183"/>
      <c r="Q187" s="183"/>
      <c r="R187" s="109"/>
    </row>
    <row r="188" spans="1:23" ht="29.25" customHeight="1" thickBot="1">
      <c r="A188" s="115"/>
      <c r="B188" s="115"/>
      <c r="C188" s="64"/>
      <c r="D188" s="171"/>
      <c r="E188" s="64"/>
      <c r="F188" s="64"/>
      <c r="G188" s="63"/>
      <c r="H188" s="63"/>
      <c r="I188" s="63"/>
      <c r="J188" s="42"/>
      <c r="K188" s="66"/>
      <c r="L188" s="172"/>
      <c r="M188" s="64"/>
      <c r="N188" s="41"/>
      <c r="O188" s="63"/>
      <c r="P188" s="63"/>
      <c r="Q188" s="63"/>
      <c r="R188" s="109"/>
    </row>
    <row r="189" spans="1:23" ht="26.25" customHeight="1" thickTop="1" thickBot="1">
      <c r="A189" s="29"/>
      <c r="B189" s="25" t="s">
        <v>26</v>
      </c>
      <c r="C189" s="64"/>
      <c r="D189" s="171"/>
      <c r="E189" s="64"/>
      <c r="F189" s="64"/>
      <c r="G189" s="63">
        <f>SUM(G187:G187)</f>
        <v>0</v>
      </c>
      <c r="H189" s="63">
        <f>SUM(H187:H187)</f>
        <v>0</v>
      </c>
      <c r="I189" s="63">
        <f>SUM(I187:I187)</f>
        <v>0</v>
      </c>
      <c r="J189" s="42"/>
      <c r="K189" s="66"/>
      <c r="L189" s="172"/>
      <c r="M189" s="64"/>
      <c r="N189" s="41"/>
      <c r="O189" s="63">
        <f>SUM(O187:O187)</f>
        <v>0</v>
      </c>
      <c r="P189" s="63">
        <f>SUM(P187:P187)</f>
        <v>0</v>
      </c>
      <c r="Q189" s="63">
        <f>SUM(Q187:Q187)</f>
        <v>0</v>
      </c>
      <c r="R189" s="29"/>
    </row>
    <row r="190" spans="1:23" ht="24.75" customHeight="1" thickTop="1">
      <c r="A190" s="4"/>
      <c r="B190" s="188" t="s">
        <v>217</v>
      </c>
      <c r="C190" s="53"/>
      <c r="D190" s="127"/>
      <c r="E190" s="53"/>
      <c r="F190" s="53"/>
      <c r="G190" s="183"/>
      <c r="H190" s="183"/>
      <c r="I190" s="183"/>
      <c r="J190" s="189"/>
      <c r="K190" s="185"/>
      <c r="L190" s="186"/>
      <c r="M190" s="53"/>
      <c r="N190" s="4"/>
      <c r="O190" s="127"/>
      <c r="P190" s="127"/>
      <c r="Q190" s="127"/>
      <c r="R190" s="181"/>
    </row>
    <row r="191" spans="1:23" s="96" customFormat="1" ht="24.75" customHeight="1">
      <c r="A191" s="190">
        <v>1</v>
      </c>
      <c r="B191" s="191" t="s">
        <v>68</v>
      </c>
      <c r="C191" s="192">
        <v>268</v>
      </c>
      <c r="D191" s="193">
        <v>1215</v>
      </c>
      <c r="E191" s="190" t="s">
        <v>251</v>
      </c>
      <c r="F191" s="194">
        <v>99</v>
      </c>
      <c r="G191" s="193">
        <v>111915</v>
      </c>
      <c r="H191" s="193" t="s">
        <v>172</v>
      </c>
      <c r="I191" s="193">
        <v>111915</v>
      </c>
      <c r="J191" s="195"/>
      <c r="K191" s="196"/>
      <c r="L191" s="197"/>
      <c r="M191" s="190" t="s">
        <v>276</v>
      </c>
      <c r="N191" s="190">
        <v>100</v>
      </c>
      <c r="O191" s="198">
        <f>SUM(D191+G191)</f>
        <v>113130</v>
      </c>
      <c r="P191" s="198" t="s">
        <v>172</v>
      </c>
      <c r="Q191" s="198">
        <f>SUM(D191+I191)</f>
        <v>113130</v>
      </c>
      <c r="R191" s="192" t="s">
        <v>220</v>
      </c>
      <c r="T191" s="97">
        <v>82995</v>
      </c>
    </row>
    <row r="192" spans="1:23" ht="24.75" customHeight="1">
      <c r="A192" s="199"/>
      <c r="B192" s="200" t="s">
        <v>221</v>
      </c>
      <c r="C192" s="201" t="s">
        <v>222</v>
      </c>
      <c r="D192" s="202">
        <v>0</v>
      </c>
      <c r="E192" s="203"/>
      <c r="F192" s="204" t="s">
        <v>172</v>
      </c>
      <c r="G192" s="202">
        <v>19700</v>
      </c>
      <c r="H192" s="202">
        <v>0</v>
      </c>
      <c r="I192" s="202">
        <v>19700</v>
      </c>
      <c r="J192" s="205"/>
      <c r="K192" s="206"/>
      <c r="L192" s="207">
        <v>0</v>
      </c>
      <c r="M192" s="208"/>
      <c r="N192" s="209" t="s">
        <v>172</v>
      </c>
      <c r="O192" s="198">
        <v>19700</v>
      </c>
      <c r="P192" s="210">
        <v>0</v>
      </c>
      <c r="Q192" s="210">
        <v>19700</v>
      </c>
      <c r="R192" s="203" t="s">
        <v>184</v>
      </c>
      <c r="V192" s="211"/>
      <c r="W192" s="211"/>
    </row>
    <row r="193" spans="1:22" ht="24.75" customHeight="1">
      <c r="A193" s="199"/>
      <c r="B193" s="201"/>
      <c r="C193" s="201" t="s">
        <v>223</v>
      </c>
      <c r="D193" s="202"/>
      <c r="E193" s="203"/>
      <c r="F193" s="204" t="s">
        <v>172</v>
      </c>
      <c r="G193" s="202">
        <v>19700</v>
      </c>
      <c r="H193" s="202">
        <v>0</v>
      </c>
      <c r="I193" s="202">
        <v>19700</v>
      </c>
      <c r="J193" s="205"/>
      <c r="K193" s="206"/>
      <c r="L193" s="207">
        <v>0</v>
      </c>
      <c r="M193" s="203"/>
      <c r="N193" s="199" t="s">
        <v>172</v>
      </c>
      <c r="O193" s="198">
        <v>19700</v>
      </c>
      <c r="P193" s="210">
        <v>0</v>
      </c>
      <c r="Q193" s="210">
        <v>19700</v>
      </c>
      <c r="R193" s="203" t="s">
        <v>185</v>
      </c>
      <c r="V193" s="211"/>
    </row>
    <row r="194" spans="1:22" ht="24.75" customHeight="1">
      <c r="A194" s="199"/>
      <c r="B194" s="201"/>
      <c r="C194" s="201" t="s">
        <v>224</v>
      </c>
      <c r="D194" s="202"/>
      <c r="E194" s="203"/>
      <c r="F194" s="204" t="s">
        <v>172</v>
      </c>
      <c r="G194" s="202">
        <v>19700</v>
      </c>
      <c r="H194" s="202">
        <v>0</v>
      </c>
      <c r="I194" s="202">
        <v>19700</v>
      </c>
      <c r="J194" s="205"/>
      <c r="K194" s="206"/>
      <c r="L194" s="207">
        <v>0</v>
      </c>
      <c r="M194" s="203"/>
      <c r="N194" s="199" t="s">
        <v>172</v>
      </c>
      <c r="O194" s="198">
        <v>19700</v>
      </c>
      <c r="P194" s="210">
        <v>0</v>
      </c>
      <c r="Q194" s="210">
        <v>19700</v>
      </c>
      <c r="R194" s="203" t="s">
        <v>186</v>
      </c>
    </row>
    <row r="195" spans="1:22" ht="24.75" customHeight="1">
      <c r="A195" s="199">
        <v>2</v>
      </c>
      <c r="B195" s="200" t="s">
        <v>225</v>
      </c>
      <c r="C195" s="203"/>
      <c r="D195" s="202"/>
      <c r="E195" s="199" t="s">
        <v>226</v>
      </c>
      <c r="F195" s="204">
        <v>88</v>
      </c>
      <c r="G195" s="202">
        <v>193600</v>
      </c>
      <c r="H195" s="202">
        <v>0</v>
      </c>
      <c r="I195" s="202">
        <v>193600</v>
      </c>
      <c r="J195" s="205"/>
      <c r="K195" s="206"/>
      <c r="L195" s="207"/>
      <c r="M195" s="199" t="s">
        <v>226</v>
      </c>
      <c r="N195" s="199">
        <v>88</v>
      </c>
      <c r="O195" s="198">
        <v>193600</v>
      </c>
      <c r="P195" s="210">
        <v>0</v>
      </c>
      <c r="Q195" s="210">
        <v>193600</v>
      </c>
      <c r="R195" s="203" t="s">
        <v>227</v>
      </c>
    </row>
    <row r="196" spans="1:22" ht="24.75" customHeight="1">
      <c r="A196" s="199"/>
      <c r="B196" s="200"/>
      <c r="C196" s="203"/>
      <c r="D196" s="202"/>
      <c r="E196" s="199"/>
      <c r="F196" s="204"/>
      <c r="G196" s="202"/>
      <c r="H196" s="202"/>
      <c r="I196" s="202"/>
      <c r="J196" s="205"/>
      <c r="L196" s="207"/>
      <c r="M196" s="199"/>
      <c r="N196" s="199"/>
      <c r="O196" s="198"/>
      <c r="P196" s="210"/>
      <c r="Q196" s="210"/>
      <c r="R196" s="203" t="s">
        <v>228</v>
      </c>
    </row>
    <row r="197" spans="1:22" ht="24.75" customHeight="1">
      <c r="A197" s="199">
        <v>3</v>
      </c>
      <c r="B197" s="200" t="s">
        <v>85</v>
      </c>
      <c r="C197" s="203" t="s">
        <v>86</v>
      </c>
      <c r="D197" s="202">
        <v>0</v>
      </c>
      <c r="E197" s="199" t="s">
        <v>229</v>
      </c>
      <c r="F197" s="204">
        <v>7</v>
      </c>
      <c r="G197" s="202">
        <v>30800</v>
      </c>
      <c r="H197" s="202">
        <v>0</v>
      </c>
      <c r="I197" s="202">
        <v>30800</v>
      </c>
      <c r="J197" s="205"/>
      <c r="K197" s="206"/>
      <c r="L197" s="207"/>
      <c r="M197" s="203" t="s">
        <v>229</v>
      </c>
      <c r="N197" s="199">
        <v>7</v>
      </c>
      <c r="O197" s="198">
        <v>30800</v>
      </c>
      <c r="P197" s="210">
        <v>0</v>
      </c>
      <c r="Q197" s="210">
        <v>30800</v>
      </c>
      <c r="R197" s="203" t="s">
        <v>230</v>
      </c>
    </row>
    <row r="198" spans="1:22" ht="24.75" customHeight="1">
      <c r="A198" s="115"/>
      <c r="B198" s="212"/>
      <c r="C198" s="109"/>
      <c r="D198" s="162"/>
      <c r="E198" s="115"/>
      <c r="F198" s="213"/>
      <c r="G198" s="162"/>
      <c r="H198" s="214"/>
      <c r="I198" s="214"/>
      <c r="J198" s="215"/>
      <c r="K198" s="216"/>
      <c r="L198" s="217"/>
      <c r="M198" s="218"/>
      <c r="N198" s="219"/>
      <c r="O198" s="220"/>
      <c r="P198" s="221"/>
      <c r="Q198" s="221"/>
      <c r="R198" s="218" t="s">
        <v>231</v>
      </c>
    </row>
    <row r="199" spans="1:22" s="96" customFormat="1" ht="24.75" customHeight="1">
      <c r="A199" s="190"/>
      <c r="B199" s="191" t="s">
        <v>232</v>
      </c>
      <c r="C199" s="192" t="s">
        <v>194</v>
      </c>
      <c r="D199" s="193">
        <v>0</v>
      </c>
      <c r="E199" s="192"/>
      <c r="F199" s="192"/>
      <c r="G199" s="193">
        <v>64400</v>
      </c>
      <c r="H199" s="193">
        <v>0</v>
      </c>
      <c r="I199" s="193">
        <v>64400</v>
      </c>
      <c r="J199" s="195"/>
      <c r="K199" s="196"/>
      <c r="L199" s="197">
        <v>0</v>
      </c>
      <c r="M199" s="192"/>
      <c r="N199" s="190"/>
      <c r="O199" s="198">
        <v>64400</v>
      </c>
      <c r="P199" s="210">
        <v>0</v>
      </c>
      <c r="Q199" s="210">
        <v>64400</v>
      </c>
      <c r="R199" s="192" t="s">
        <v>233</v>
      </c>
      <c r="T199" s="97"/>
    </row>
    <row r="200" spans="1:22" ht="24.6">
      <c r="A200" s="199">
        <v>4</v>
      </c>
      <c r="B200" s="203" t="s">
        <v>32</v>
      </c>
      <c r="C200" s="222" t="s">
        <v>104</v>
      </c>
      <c r="D200" s="202"/>
      <c r="E200" s="223" t="s">
        <v>234</v>
      </c>
      <c r="F200" s="224">
        <v>4</v>
      </c>
      <c r="G200" s="225">
        <v>18600</v>
      </c>
      <c r="H200" s="225">
        <v>0</v>
      </c>
      <c r="I200" s="225">
        <v>18600</v>
      </c>
      <c r="J200" s="226"/>
      <c r="K200" s="227"/>
      <c r="L200" s="228"/>
      <c r="M200" s="199" t="s">
        <v>234</v>
      </c>
      <c r="N200" s="199">
        <v>4</v>
      </c>
      <c r="O200" s="198">
        <f>D200+G200</f>
        <v>18600</v>
      </c>
      <c r="P200" s="210">
        <v>0</v>
      </c>
      <c r="Q200" s="210">
        <f>D200+I200</f>
        <v>18600</v>
      </c>
      <c r="R200" s="203" t="s">
        <v>235</v>
      </c>
    </row>
    <row r="201" spans="1:22" ht="24.6">
      <c r="A201" s="199">
        <v>5</v>
      </c>
      <c r="B201" s="203" t="s">
        <v>215</v>
      </c>
      <c r="C201" s="222" t="s">
        <v>104</v>
      </c>
      <c r="D201" s="202"/>
      <c r="E201" s="199" t="s">
        <v>236</v>
      </c>
      <c r="F201" s="199">
        <v>4</v>
      </c>
      <c r="G201" s="202">
        <v>23000</v>
      </c>
      <c r="H201" s="202">
        <v>0</v>
      </c>
      <c r="I201" s="202">
        <v>23000</v>
      </c>
      <c r="J201" s="226"/>
      <c r="K201" s="227"/>
      <c r="L201" s="228"/>
      <c r="M201" s="199" t="s">
        <v>236</v>
      </c>
      <c r="N201" s="199">
        <v>4</v>
      </c>
      <c r="O201" s="198">
        <f>D201+G201</f>
        <v>23000</v>
      </c>
      <c r="P201" s="210">
        <v>0</v>
      </c>
      <c r="Q201" s="210">
        <f>D201+I201</f>
        <v>23000</v>
      </c>
      <c r="R201" s="203" t="s">
        <v>237</v>
      </c>
    </row>
    <row r="202" spans="1:22" s="96" customFormat="1" ht="24.75" customHeight="1">
      <c r="A202" s="229"/>
      <c r="B202" s="230"/>
      <c r="C202" s="231"/>
      <c r="D202" s="232"/>
      <c r="E202" s="231"/>
      <c r="F202" s="231"/>
      <c r="G202" s="232"/>
      <c r="H202" s="232"/>
      <c r="I202" s="232"/>
      <c r="J202" s="233"/>
      <c r="K202" s="234"/>
      <c r="L202" s="235"/>
      <c r="M202" s="231"/>
      <c r="N202" s="229"/>
      <c r="O202" s="236"/>
      <c r="P202" s="237"/>
      <c r="Q202" s="237"/>
      <c r="R202" s="238"/>
      <c r="T202" s="97"/>
    </row>
    <row r="203" spans="1:22" ht="24.75" customHeight="1" thickBot="1">
      <c r="A203" s="34"/>
      <c r="B203" s="239"/>
      <c r="C203" s="74"/>
      <c r="D203" s="110">
        <v>1215</v>
      </c>
      <c r="E203" s="110"/>
      <c r="F203" s="110"/>
      <c r="G203" s="110">
        <f>SUM(G191:G201)</f>
        <v>501415</v>
      </c>
      <c r="H203" s="110">
        <v>0</v>
      </c>
      <c r="I203" s="110">
        <f>SUM(I191:I201)</f>
        <v>501415</v>
      </c>
      <c r="J203" s="170"/>
      <c r="K203" s="170"/>
      <c r="L203" s="170">
        <v>0</v>
      </c>
      <c r="M203" s="110"/>
      <c r="N203" s="240"/>
      <c r="O203" s="171">
        <f>SUM(O191:O201)</f>
        <v>502630</v>
      </c>
      <c r="P203" s="171">
        <v>0</v>
      </c>
      <c r="Q203" s="171">
        <f>SUM(Q191:Q201)</f>
        <v>502630</v>
      </c>
      <c r="R203" s="208"/>
    </row>
    <row r="204" spans="1:22" ht="25.2" thickTop="1">
      <c r="A204" s="46"/>
      <c r="B204" s="161" t="s">
        <v>238</v>
      </c>
      <c r="C204" s="46"/>
      <c r="D204" s="46"/>
      <c r="E204" s="46"/>
      <c r="F204" s="46"/>
      <c r="G204" s="46"/>
      <c r="H204" s="46"/>
      <c r="I204" s="46"/>
      <c r="J204" s="47"/>
      <c r="K204" s="48"/>
      <c r="L204" s="48"/>
      <c r="M204" s="46"/>
      <c r="N204" s="28"/>
      <c r="O204" s="46"/>
      <c r="P204" s="46"/>
      <c r="Q204" s="46"/>
      <c r="R204" s="46"/>
    </row>
    <row r="205" spans="1:22" ht="24.6">
      <c r="A205" s="25">
        <v>1</v>
      </c>
      <c r="B205" s="53" t="s">
        <v>239</v>
      </c>
      <c r="C205" s="109"/>
      <c r="D205" s="109"/>
      <c r="E205" s="109" t="s">
        <v>240</v>
      </c>
      <c r="F205" s="109"/>
      <c r="G205" s="162"/>
      <c r="H205" s="109"/>
      <c r="I205" s="162">
        <v>0</v>
      </c>
      <c r="J205" s="112"/>
      <c r="K205" s="113"/>
      <c r="L205" s="241"/>
      <c r="M205" s="109" t="s">
        <v>240</v>
      </c>
      <c r="N205" s="115"/>
      <c r="O205" s="49"/>
      <c r="P205" s="127"/>
      <c r="Q205" s="162">
        <v>0</v>
      </c>
      <c r="R205" s="29"/>
    </row>
    <row r="206" spans="1:22" ht="24.6">
      <c r="A206" s="25"/>
      <c r="B206" s="29" t="s">
        <v>241</v>
      </c>
      <c r="C206" s="29"/>
      <c r="D206" s="29"/>
      <c r="E206" s="25" t="s">
        <v>242</v>
      </c>
      <c r="F206" s="29"/>
      <c r="G206" s="49">
        <v>133707.98000000001</v>
      </c>
      <c r="H206" s="134">
        <v>0</v>
      </c>
      <c r="I206" s="49">
        <v>133707.98000000001</v>
      </c>
      <c r="J206" s="60"/>
      <c r="K206" s="61"/>
      <c r="L206" s="242"/>
      <c r="M206" s="29" t="s">
        <v>242</v>
      </c>
      <c r="N206" s="25"/>
      <c r="O206" s="72">
        <v>133707.98000000001</v>
      </c>
      <c r="P206" s="73">
        <v>0</v>
      </c>
      <c r="Q206" s="73">
        <v>133707.98000000001</v>
      </c>
      <c r="R206" s="29" t="s">
        <v>243</v>
      </c>
    </row>
    <row r="207" spans="1:22" ht="24.6">
      <c r="A207" s="25"/>
      <c r="B207" s="29" t="s">
        <v>244</v>
      </c>
      <c r="C207" s="29"/>
      <c r="D207" s="29"/>
      <c r="E207" s="29"/>
      <c r="F207" s="29"/>
      <c r="G207" s="49">
        <v>73800</v>
      </c>
      <c r="H207" s="134">
        <v>0</v>
      </c>
      <c r="I207" s="49">
        <v>73800</v>
      </c>
      <c r="J207" s="60"/>
      <c r="K207" s="61"/>
      <c r="L207" s="242"/>
      <c r="M207" s="29"/>
      <c r="N207" s="25"/>
      <c r="O207" s="72">
        <v>73800</v>
      </c>
      <c r="P207" s="73">
        <v>0</v>
      </c>
      <c r="Q207" s="73">
        <v>73800</v>
      </c>
      <c r="R207" s="29"/>
    </row>
    <row r="208" spans="1:22" ht="24.6">
      <c r="A208" s="25"/>
      <c r="B208" s="29" t="s">
        <v>245</v>
      </c>
      <c r="C208" s="29"/>
      <c r="D208" s="29"/>
      <c r="E208" s="29"/>
      <c r="F208" s="29"/>
      <c r="G208" s="49">
        <v>7596.82</v>
      </c>
      <c r="H208" s="134">
        <v>0</v>
      </c>
      <c r="I208" s="89">
        <v>7596.82</v>
      </c>
      <c r="J208" s="60"/>
      <c r="K208" s="61"/>
      <c r="L208" s="242"/>
      <c r="M208" s="29"/>
      <c r="N208" s="25"/>
      <c r="O208" s="72">
        <v>7596.82</v>
      </c>
      <c r="P208" s="73">
        <v>0</v>
      </c>
      <c r="Q208" s="73">
        <v>7596.82</v>
      </c>
      <c r="R208" s="29" t="s">
        <v>243</v>
      </c>
    </row>
    <row r="209" spans="1:21" ht="24.6">
      <c r="A209" s="25"/>
      <c r="B209" s="29" t="s">
        <v>246</v>
      </c>
      <c r="C209" s="29"/>
      <c r="D209" s="53"/>
      <c r="E209" s="53"/>
      <c r="F209" s="53"/>
      <c r="G209" s="127"/>
      <c r="H209" s="53"/>
      <c r="I209" s="127"/>
      <c r="J209" s="243"/>
      <c r="K209" s="244"/>
      <c r="L209" s="245"/>
      <c r="M209" s="53"/>
      <c r="N209" s="4"/>
      <c r="O209" s="127"/>
      <c r="P209" s="127"/>
      <c r="Q209" s="49"/>
      <c r="R209" s="29"/>
      <c r="U209" s="1">
        <v>763210.28</v>
      </c>
    </row>
    <row r="210" spans="1:21" ht="25.2" thickBot="1">
      <c r="A210" s="25"/>
      <c r="B210" s="29"/>
      <c r="C210" s="29" t="s">
        <v>247</v>
      </c>
      <c r="D210" s="74"/>
      <c r="E210" s="74"/>
      <c r="F210" s="74"/>
      <c r="G210" s="74"/>
      <c r="H210" s="74"/>
      <c r="I210" s="74"/>
      <c r="J210" s="75"/>
      <c r="K210" s="76"/>
      <c r="L210" s="76"/>
      <c r="M210" s="74"/>
      <c r="N210" s="34"/>
      <c r="O210" s="110"/>
      <c r="P210" s="74"/>
      <c r="Q210" s="171"/>
      <c r="R210" s="29"/>
    </row>
    <row r="211" spans="1:21" s="249" customFormat="1" ht="25.8" thickTop="1" thickBot="1">
      <c r="A211" s="134"/>
      <c r="B211" s="246" t="s">
        <v>26</v>
      </c>
      <c r="C211" s="103"/>
      <c r="D211" s="103">
        <v>0</v>
      </c>
      <c r="E211" s="103"/>
      <c r="F211" s="103"/>
      <c r="G211" s="103">
        <f>SUM(G206:G210)</f>
        <v>215104.80000000002</v>
      </c>
      <c r="H211" s="103">
        <v>0</v>
      </c>
      <c r="I211" s="103">
        <v>215104.80000000002</v>
      </c>
      <c r="J211" s="104"/>
      <c r="K211" s="104"/>
      <c r="L211" s="104">
        <v>0</v>
      </c>
      <c r="M211" s="103"/>
      <c r="N211" s="247"/>
      <c r="O211" s="103">
        <v>215104.80000000002</v>
      </c>
      <c r="P211" s="103">
        <v>0</v>
      </c>
      <c r="Q211" s="103">
        <v>215104.80000000002</v>
      </c>
      <c r="R211" s="248"/>
    </row>
    <row r="212" spans="1:21" ht="25.8" thickTop="1" thickBot="1">
      <c r="A212" s="29"/>
      <c r="B212" s="25" t="s">
        <v>248</v>
      </c>
      <c r="C212" s="64"/>
      <c r="D212" s="63">
        <f>SUM(D32+D78+D117+D184+D189+D203+D211)</f>
        <v>63270</v>
      </c>
      <c r="E212" s="63"/>
      <c r="F212" s="63"/>
      <c r="G212" s="63">
        <f>SUM(G32+G78+G117+G170+G184+G189+G203+G211)</f>
        <v>767769.8</v>
      </c>
      <c r="H212" s="63">
        <v>0</v>
      </c>
      <c r="I212" s="63">
        <f>SUM(I9+I13+I16+I20+I23+I26+I32+I35+I37+I41+I78+I117+I121+I124+I127+I170+I176+I179+I184+I189+I203+I211)</f>
        <v>767769.8</v>
      </c>
      <c r="J212" s="67"/>
      <c r="K212" s="67"/>
      <c r="L212" s="67">
        <f>SUM(L32+L78+L117)</f>
        <v>44225</v>
      </c>
      <c r="M212" s="63"/>
      <c r="N212" s="105"/>
      <c r="O212" s="63">
        <f>SUM(O32+O78+O117+O184+O189+O203+O211)</f>
        <v>786814.8</v>
      </c>
      <c r="P212" s="63">
        <f>SUM(P32+P78+P117+P184+P189+P203+P211)</f>
        <v>0</v>
      </c>
      <c r="Q212" s="63">
        <f>SUM(Q32+Q78+Q117+Q184+Q189+Q203+Q211)</f>
        <v>786814.8</v>
      </c>
      <c r="R212" s="59"/>
      <c r="T212" s="63"/>
    </row>
    <row r="213" spans="1:21" ht="25.2" thickTop="1"/>
    <row r="214" spans="1:21" ht="24.6">
      <c r="K214" s="250"/>
      <c r="Q214" s="249"/>
    </row>
    <row r="215" spans="1:21" ht="24.6">
      <c r="K215" s="251"/>
      <c r="Q215" s="249"/>
    </row>
    <row r="216" spans="1:21" ht="24.6">
      <c r="F216" s="1">
        <v>1010.6000000000058</v>
      </c>
      <c r="K216" s="250"/>
      <c r="Q216" s="249"/>
    </row>
    <row r="217" spans="1:21" ht="24.6">
      <c r="K217" s="250"/>
      <c r="L217" s="252"/>
    </row>
    <row r="218" spans="1:21" ht="24.6">
      <c r="H218" s="253"/>
      <c r="K218" s="250"/>
    </row>
    <row r="219" spans="1:21" ht="24.6"/>
    <row r="220" spans="1:21" ht="24.6"/>
    <row r="221" spans="1:21" ht="24.6"/>
    <row r="222" spans="1:21" ht="24.6"/>
    <row r="223" spans="1:21" ht="24.6"/>
    <row r="224" spans="1:21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  <row r="980" ht="24.6"/>
    <row r="981" ht="24.6"/>
    <row r="982" ht="24.6"/>
    <row r="983" ht="24.6"/>
    <row r="984" ht="24.6"/>
  </sheetData>
  <mergeCells count="8">
    <mergeCell ref="A181:R181"/>
    <mergeCell ref="A186:R186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8" max="29" man="1"/>
    <brk id="202" max="16383" man="1"/>
  </rowBreaks>
  <colBreaks count="1" manualBreakCount="1">
    <brk id="18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2230-89E7-49BA-9258-3293792EC591}">
  <sheetPr codeName="Sheet3">
    <tabColor rgb="FF92D050"/>
  </sheetPr>
  <dimension ref="A1:H818"/>
  <sheetViews>
    <sheetView zoomScale="90" zoomScaleNormal="90" zoomScaleSheetLayoutView="87" workbookViewId="0">
      <pane ySplit="6" topLeftCell="A40" activePane="bottomLeft" state="frozen"/>
      <selection activeCell="I147" sqref="I147"/>
      <selection pane="bottomLeft" activeCell="H50" sqref="H50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0.33203125" style="1"/>
    <col min="8" max="8" width="11" style="1" bestFit="1" customWidth="1"/>
    <col min="9" max="229" width="10.33203125" style="1"/>
    <col min="230" max="230" width="4.44140625" style="1" customWidth="1"/>
    <col min="231" max="231" width="21.6640625" style="1" customWidth="1"/>
    <col min="232" max="232" width="15" style="1" customWidth="1"/>
    <col min="233" max="233" width="15.44140625" style="1" customWidth="1"/>
    <col min="234" max="234" width="11.5546875" style="1" customWidth="1"/>
    <col min="235" max="235" width="7.44140625" style="1" customWidth="1"/>
    <col min="236" max="236" width="14.109375" style="1" customWidth="1"/>
    <col min="237" max="237" width="10.6640625" style="1" customWidth="1"/>
    <col min="238" max="238" width="13.44140625" style="1" customWidth="1"/>
    <col min="239" max="239" width="11.44140625" style="1" customWidth="1"/>
    <col min="240" max="240" width="15" style="1" customWidth="1"/>
    <col min="241" max="241" width="14.5546875" style="1" customWidth="1"/>
    <col min="242" max="242" width="10.33203125" style="1"/>
    <col min="243" max="243" width="7.44140625" style="1" customWidth="1"/>
    <col min="244" max="244" width="12.88671875" style="1" customWidth="1"/>
    <col min="245" max="245" width="11.109375" style="1" customWidth="1"/>
    <col min="246" max="246" width="14" style="1" customWidth="1"/>
    <col min="247" max="247" width="33" style="1" customWidth="1"/>
    <col min="248" max="248" width="6.6640625" style="1" customWidth="1"/>
    <col min="249" max="249" width="19" style="1" customWidth="1"/>
    <col min="250" max="250" width="19.109375" style="1" customWidth="1"/>
    <col min="251" max="251" width="21.33203125" style="1" customWidth="1"/>
    <col min="252" max="252" width="32.5546875" style="1" customWidth="1"/>
    <col min="253" max="253" width="16.88671875" style="1" customWidth="1"/>
    <col min="254" max="254" width="16.33203125" style="1" customWidth="1"/>
    <col min="255" max="485" width="10.33203125" style="1"/>
    <col min="486" max="486" width="4.44140625" style="1" customWidth="1"/>
    <col min="487" max="487" width="21.6640625" style="1" customWidth="1"/>
    <col min="488" max="488" width="15" style="1" customWidth="1"/>
    <col min="489" max="489" width="15.44140625" style="1" customWidth="1"/>
    <col min="490" max="490" width="11.5546875" style="1" customWidth="1"/>
    <col min="491" max="491" width="7.44140625" style="1" customWidth="1"/>
    <col min="492" max="492" width="14.109375" style="1" customWidth="1"/>
    <col min="493" max="493" width="10.6640625" style="1" customWidth="1"/>
    <col min="494" max="494" width="13.44140625" style="1" customWidth="1"/>
    <col min="495" max="495" width="11.44140625" style="1" customWidth="1"/>
    <col min="496" max="496" width="15" style="1" customWidth="1"/>
    <col min="497" max="497" width="14.5546875" style="1" customWidth="1"/>
    <col min="498" max="498" width="10.33203125" style="1"/>
    <col min="499" max="499" width="7.44140625" style="1" customWidth="1"/>
    <col min="500" max="500" width="12.88671875" style="1" customWidth="1"/>
    <col min="501" max="501" width="11.109375" style="1" customWidth="1"/>
    <col min="502" max="502" width="14" style="1" customWidth="1"/>
    <col min="503" max="503" width="33" style="1" customWidth="1"/>
    <col min="504" max="504" width="6.6640625" style="1" customWidth="1"/>
    <col min="505" max="505" width="19" style="1" customWidth="1"/>
    <col min="506" max="506" width="19.109375" style="1" customWidth="1"/>
    <col min="507" max="507" width="21.33203125" style="1" customWidth="1"/>
    <col min="508" max="508" width="32.5546875" style="1" customWidth="1"/>
    <col min="509" max="509" width="16.88671875" style="1" customWidth="1"/>
    <col min="510" max="510" width="16.33203125" style="1" customWidth="1"/>
    <col min="511" max="741" width="10.33203125" style="1"/>
    <col min="742" max="742" width="4.44140625" style="1" customWidth="1"/>
    <col min="743" max="743" width="21.6640625" style="1" customWidth="1"/>
    <col min="744" max="744" width="15" style="1" customWidth="1"/>
    <col min="745" max="745" width="15.44140625" style="1" customWidth="1"/>
    <col min="746" max="746" width="11.5546875" style="1" customWidth="1"/>
    <col min="747" max="747" width="7.44140625" style="1" customWidth="1"/>
    <col min="748" max="748" width="14.109375" style="1" customWidth="1"/>
    <col min="749" max="749" width="10.6640625" style="1" customWidth="1"/>
    <col min="750" max="750" width="13.44140625" style="1" customWidth="1"/>
    <col min="751" max="751" width="11.44140625" style="1" customWidth="1"/>
    <col min="752" max="752" width="15" style="1" customWidth="1"/>
    <col min="753" max="753" width="14.5546875" style="1" customWidth="1"/>
    <col min="754" max="754" width="10.33203125" style="1"/>
    <col min="755" max="755" width="7.44140625" style="1" customWidth="1"/>
    <col min="756" max="756" width="12.88671875" style="1" customWidth="1"/>
    <col min="757" max="757" width="11.109375" style="1" customWidth="1"/>
    <col min="758" max="758" width="14" style="1" customWidth="1"/>
    <col min="759" max="759" width="33" style="1" customWidth="1"/>
    <col min="760" max="760" width="6.6640625" style="1" customWidth="1"/>
    <col min="761" max="761" width="19" style="1" customWidth="1"/>
    <col min="762" max="762" width="19.109375" style="1" customWidth="1"/>
    <col min="763" max="763" width="21.33203125" style="1" customWidth="1"/>
    <col min="764" max="764" width="32.5546875" style="1" customWidth="1"/>
    <col min="765" max="765" width="16.88671875" style="1" customWidth="1"/>
    <col min="766" max="766" width="16.33203125" style="1" customWidth="1"/>
    <col min="767" max="997" width="10.33203125" style="1"/>
    <col min="998" max="998" width="4.44140625" style="1" customWidth="1"/>
    <col min="999" max="999" width="21.6640625" style="1" customWidth="1"/>
    <col min="1000" max="1000" width="15" style="1" customWidth="1"/>
    <col min="1001" max="1001" width="15.44140625" style="1" customWidth="1"/>
    <col min="1002" max="1002" width="11.5546875" style="1" customWidth="1"/>
    <col min="1003" max="1003" width="7.44140625" style="1" customWidth="1"/>
    <col min="1004" max="1004" width="14.109375" style="1" customWidth="1"/>
    <col min="1005" max="1005" width="10.6640625" style="1" customWidth="1"/>
    <col min="1006" max="1006" width="13.44140625" style="1" customWidth="1"/>
    <col min="1007" max="1007" width="11.44140625" style="1" customWidth="1"/>
    <col min="1008" max="1008" width="15" style="1" customWidth="1"/>
    <col min="1009" max="1009" width="14.5546875" style="1" customWidth="1"/>
    <col min="1010" max="1010" width="10.33203125" style="1"/>
    <col min="1011" max="1011" width="7.44140625" style="1" customWidth="1"/>
    <col min="1012" max="1012" width="12.88671875" style="1" customWidth="1"/>
    <col min="1013" max="1013" width="11.109375" style="1" customWidth="1"/>
    <col min="1014" max="1014" width="14" style="1" customWidth="1"/>
    <col min="1015" max="1015" width="33" style="1" customWidth="1"/>
    <col min="1016" max="1016" width="6.6640625" style="1" customWidth="1"/>
    <col min="1017" max="1017" width="19" style="1" customWidth="1"/>
    <col min="1018" max="1018" width="19.109375" style="1" customWidth="1"/>
    <col min="1019" max="1019" width="21.33203125" style="1" customWidth="1"/>
    <col min="1020" max="1020" width="32.5546875" style="1" customWidth="1"/>
    <col min="1021" max="1021" width="16.88671875" style="1" customWidth="1"/>
    <col min="1022" max="1022" width="16.33203125" style="1" customWidth="1"/>
    <col min="1023" max="1253" width="10.33203125" style="1"/>
    <col min="1254" max="1254" width="4.44140625" style="1" customWidth="1"/>
    <col min="1255" max="1255" width="21.6640625" style="1" customWidth="1"/>
    <col min="1256" max="1256" width="15" style="1" customWidth="1"/>
    <col min="1257" max="1257" width="15.44140625" style="1" customWidth="1"/>
    <col min="1258" max="1258" width="11.5546875" style="1" customWidth="1"/>
    <col min="1259" max="1259" width="7.44140625" style="1" customWidth="1"/>
    <col min="1260" max="1260" width="14.109375" style="1" customWidth="1"/>
    <col min="1261" max="1261" width="10.6640625" style="1" customWidth="1"/>
    <col min="1262" max="1262" width="13.44140625" style="1" customWidth="1"/>
    <col min="1263" max="1263" width="11.44140625" style="1" customWidth="1"/>
    <col min="1264" max="1264" width="15" style="1" customWidth="1"/>
    <col min="1265" max="1265" width="14.5546875" style="1" customWidth="1"/>
    <col min="1266" max="1266" width="10.33203125" style="1"/>
    <col min="1267" max="1267" width="7.44140625" style="1" customWidth="1"/>
    <col min="1268" max="1268" width="12.88671875" style="1" customWidth="1"/>
    <col min="1269" max="1269" width="11.109375" style="1" customWidth="1"/>
    <col min="1270" max="1270" width="14" style="1" customWidth="1"/>
    <col min="1271" max="1271" width="33" style="1" customWidth="1"/>
    <col min="1272" max="1272" width="6.6640625" style="1" customWidth="1"/>
    <col min="1273" max="1273" width="19" style="1" customWidth="1"/>
    <col min="1274" max="1274" width="19.109375" style="1" customWidth="1"/>
    <col min="1275" max="1275" width="21.33203125" style="1" customWidth="1"/>
    <col min="1276" max="1276" width="32.5546875" style="1" customWidth="1"/>
    <col min="1277" max="1277" width="16.88671875" style="1" customWidth="1"/>
    <col min="1278" max="1278" width="16.33203125" style="1" customWidth="1"/>
    <col min="1279" max="1509" width="10.33203125" style="1"/>
    <col min="1510" max="1510" width="4.44140625" style="1" customWidth="1"/>
    <col min="1511" max="1511" width="21.6640625" style="1" customWidth="1"/>
    <col min="1512" max="1512" width="15" style="1" customWidth="1"/>
    <col min="1513" max="1513" width="15.44140625" style="1" customWidth="1"/>
    <col min="1514" max="1514" width="11.5546875" style="1" customWidth="1"/>
    <col min="1515" max="1515" width="7.44140625" style="1" customWidth="1"/>
    <col min="1516" max="1516" width="14.109375" style="1" customWidth="1"/>
    <col min="1517" max="1517" width="10.6640625" style="1" customWidth="1"/>
    <col min="1518" max="1518" width="13.44140625" style="1" customWidth="1"/>
    <col min="1519" max="1519" width="11.44140625" style="1" customWidth="1"/>
    <col min="1520" max="1520" width="15" style="1" customWidth="1"/>
    <col min="1521" max="1521" width="14.5546875" style="1" customWidth="1"/>
    <col min="1522" max="1522" width="10.33203125" style="1"/>
    <col min="1523" max="1523" width="7.44140625" style="1" customWidth="1"/>
    <col min="1524" max="1524" width="12.88671875" style="1" customWidth="1"/>
    <col min="1525" max="1525" width="11.109375" style="1" customWidth="1"/>
    <col min="1526" max="1526" width="14" style="1" customWidth="1"/>
    <col min="1527" max="1527" width="33" style="1" customWidth="1"/>
    <col min="1528" max="1528" width="6.6640625" style="1" customWidth="1"/>
    <col min="1529" max="1529" width="19" style="1" customWidth="1"/>
    <col min="1530" max="1530" width="19.109375" style="1" customWidth="1"/>
    <col min="1531" max="1531" width="21.33203125" style="1" customWidth="1"/>
    <col min="1532" max="1532" width="32.5546875" style="1" customWidth="1"/>
    <col min="1533" max="1533" width="16.88671875" style="1" customWidth="1"/>
    <col min="1534" max="1534" width="16.33203125" style="1" customWidth="1"/>
    <col min="1535" max="1765" width="10.33203125" style="1"/>
    <col min="1766" max="1766" width="4.44140625" style="1" customWidth="1"/>
    <col min="1767" max="1767" width="21.6640625" style="1" customWidth="1"/>
    <col min="1768" max="1768" width="15" style="1" customWidth="1"/>
    <col min="1769" max="1769" width="15.44140625" style="1" customWidth="1"/>
    <col min="1770" max="1770" width="11.5546875" style="1" customWidth="1"/>
    <col min="1771" max="1771" width="7.44140625" style="1" customWidth="1"/>
    <col min="1772" max="1772" width="14.109375" style="1" customWidth="1"/>
    <col min="1773" max="1773" width="10.6640625" style="1" customWidth="1"/>
    <col min="1774" max="1774" width="13.44140625" style="1" customWidth="1"/>
    <col min="1775" max="1775" width="11.44140625" style="1" customWidth="1"/>
    <col min="1776" max="1776" width="15" style="1" customWidth="1"/>
    <col min="1777" max="1777" width="14.5546875" style="1" customWidth="1"/>
    <col min="1778" max="1778" width="10.33203125" style="1"/>
    <col min="1779" max="1779" width="7.44140625" style="1" customWidth="1"/>
    <col min="1780" max="1780" width="12.88671875" style="1" customWidth="1"/>
    <col min="1781" max="1781" width="11.109375" style="1" customWidth="1"/>
    <col min="1782" max="1782" width="14" style="1" customWidth="1"/>
    <col min="1783" max="1783" width="33" style="1" customWidth="1"/>
    <col min="1784" max="1784" width="6.6640625" style="1" customWidth="1"/>
    <col min="1785" max="1785" width="19" style="1" customWidth="1"/>
    <col min="1786" max="1786" width="19.109375" style="1" customWidth="1"/>
    <col min="1787" max="1787" width="21.33203125" style="1" customWidth="1"/>
    <col min="1788" max="1788" width="32.5546875" style="1" customWidth="1"/>
    <col min="1789" max="1789" width="16.88671875" style="1" customWidth="1"/>
    <col min="1790" max="1790" width="16.33203125" style="1" customWidth="1"/>
    <col min="1791" max="2021" width="10.33203125" style="1"/>
    <col min="2022" max="2022" width="4.44140625" style="1" customWidth="1"/>
    <col min="2023" max="2023" width="21.6640625" style="1" customWidth="1"/>
    <col min="2024" max="2024" width="15" style="1" customWidth="1"/>
    <col min="2025" max="2025" width="15.44140625" style="1" customWidth="1"/>
    <col min="2026" max="2026" width="11.5546875" style="1" customWidth="1"/>
    <col min="2027" max="2027" width="7.44140625" style="1" customWidth="1"/>
    <col min="2028" max="2028" width="14.109375" style="1" customWidth="1"/>
    <col min="2029" max="2029" width="10.6640625" style="1" customWidth="1"/>
    <col min="2030" max="2030" width="13.44140625" style="1" customWidth="1"/>
    <col min="2031" max="2031" width="11.44140625" style="1" customWidth="1"/>
    <col min="2032" max="2032" width="15" style="1" customWidth="1"/>
    <col min="2033" max="2033" width="14.5546875" style="1" customWidth="1"/>
    <col min="2034" max="2034" width="10.33203125" style="1"/>
    <col min="2035" max="2035" width="7.44140625" style="1" customWidth="1"/>
    <col min="2036" max="2036" width="12.88671875" style="1" customWidth="1"/>
    <col min="2037" max="2037" width="11.109375" style="1" customWidth="1"/>
    <col min="2038" max="2038" width="14" style="1" customWidth="1"/>
    <col min="2039" max="2039" width="33" style="1" customWidth="1"/>
    <col min="2040" max="2040" width="6.6640625" style="1" customWidth="1"/>
    <col min="2041" max="2041" width="19" style="1" customWidth="1"/>
    <col min="2042" max="2042" width="19.109375" style="1" customWidth="1"/>
    <col min="2043" max="2043" width="21.33203125" style="1" customWidth="1"/>
    <col min="2044" max="2044" width="32.5546875" style="1" customWidth="1"/>
    <col min="2045" max="2045" width="16.88671875" style="1" customWidth="1"/>
    <col min="2046" max="2046" width="16.33203125" style="1" customWidth="1"/>
    <col min="2047" max="2277" width="10.33203125" style="1"/>
    <col min="2278" max="2278" width="4.44140625" style="1" customWidth="1"/>
    <col min="2279" max="2279" width="21.6640625" style="1" customWidth="1"/>
    <col min="2280" max="2280" width="15" style="1" customWidth="1"/>
    <col min="2281" max="2281" width="15.44140625" style="1" customWidth="1"/>
    <col min="2282" max="2282" width="11.5546875" style="1" customWidth="1"/>
    <col min="2283" max="2283" width="7.44140625" style="1" customWidth="1"/>
    <col min="2284" max="2284" width="14.109375" style="1" customWidth="1"/>
    <col min="2285" max="2285" width="10.6640625" style="1" customWidth="1"/>
    <col min="2286" max="2286" width="13.44140625" style="1" customWidth="1"/>
    <col min="2287" max="2287" width="11.44140625" style="1" customWidth="1"/>
    <col min="2288" max="2288" width="15" style="1" customWidth="1"/>
    <col min="2289" max="2289" width="14.5546875" style="1" customWidth="1"/>
    <col min="2290" max="2290" width="10.33203125" style="1"/>
    <col min="2291" max="2291" width="7.44140625" style="1" customWidth="1"/>
    <col min="2292" max="2292" width="12.88671875" style="1" customWidth="1"/>
    <col min="2293" max="2293" width="11.109375" style="1" customWidth="1"/>
    <col min="2294" max="2294" width="14" style="1" customWidth="1"/>
    <col min="2295" max="2295" width="33" style="1" customWidth="1"/>
    <col min="2296" max="2296" width="6.6640625" style="1" customWidth="1"/>
    <col min="2297" max="2297" width="19" style="1" customWidth="1"/>
    <col min="2298" max="2298" width="19.109375" style="1" customWidth="1"/>
    <col min="2299" max="2299" width="21.33203125" style="1" customWidth="1"/>
    <col min="2300" max="2300" width="32.5546875" style="1" customWidth="1"/>
    <col min="2301" max="2301" width="16.88671875" style="1" customWidth="1"/>
    <col min="2302" max="2302" width="16.33203125" style="1" customWidth="1"/>
    <col min="2303" max="2533" width="10.33203125" style="1"/>
    <col min="2534" max="2534" width="4.44140625" style="1" customWidth="1"/>
    <col min="2535" max="2535" width="21.6640625" style="1" customWidth="1"/>
    <col min="2536" max="2536" width="15" style="1" customWidth="1"/>
    <col min="2537" max="2537" width="15.44140625" style="1" customWidth="1"/>
    <col min="2538" max="2538" width="11.5546875" style="1" customWidth="1"/>
    <col min="2539" max="2539" width="7.44140625" style="1" customWidth="1"/>
    <col min="2540" max="2540" width="14.109375" style="1" customWidth="1"/>
    <col min="2541" max="2541" width="10.6640625" style="1" customWidth="1"/>
    <col min="2542" max="2542" width="13.44140625" style="1" customWidth="1"/>
    <col min="2543" max="2543" width="11.44140625" style="1" customWidth="1"/>
    <col min="2544" max="2544" width="15" style="1" customWidth="1"/>
    <col min="2545" max="2545" width="14.5546875" style="1" customWidth="1"/>
    <col min="2546" max="2546" width="10.33203125" style="1"/>
    <col min="2547" max="2547" width="7.44140625" style="1" customWidth="1"/>
    <col min="2548" max="2548" width="12.88671875" style="1" customWidth="1"/>
    <col min="2549" max="2549" width="11.109375" style="1" customWidth="1"/>
    <col min="2550" max="2550" width="14" style="1" customWidth="1"/>
    <col min="2551" max="2551" width="33" style="1" customWidth="1"/>
    <col min="2552" max="2552" width="6.6640625" style="1" customWidth="1"/>
    <col min="2553" max="2553" width="19" style="1" customWidth="1"/>
    <col min="2554" max="2554" width="19.109375" style="1" customWidth="1"/>
    <col min="2555" max="2555" width="21.33203125" style="1" customWidth="1"/>
    <col min="2556" max="2556" width="32.5546875" style="1" customWidth="1"/>
    <col min="2557" max="2557" width="16.88671875" style="1" customWidth="1"/>
    <col min="2558" max="2558" width="16.33203125" style="1" customWidth="1"/>
    <col min="2559" max="2789" width="10.33203125" style="1"/>
    <col min="2790" max="2790" width="4.44140625" style="1" customWidth="1"/>
    <col min="2791" max="2791" width="21.6640625" style="1" customWidth="1"/>
    <col min="2792" max="2792" width="15" style="1" customWidth="1"/>
    <col min="2793" max="2793" width="15.44140625" style="1" customWidth="1"/>
    <col min="2794" max="2794" width="11.5546875" style="1" customWidth="1"/>
    <col min="2795" max="2795" width="7.44140625" style="1" customWidth="1"/>
    <col min="2796" max="2796" width="14.109375" style="1" customWidth="1"/>
    <col min="2797" max="2797" width="10.6640625" style="1" customWidth="1"/>
    <col min="2798" max="2798" width="13.44140625" style="1" customWidth="1"/>
    <col min="2799" max="2799" width="11.44140625" style="1" customWidth="1"/>
    <col min="2800" max="2800" width="15" style="1" customWidth="1"/>
    <col min="2801" max="2801" width="14.5546875" style="1" customWidth="1"/>
    <col min="2802" max="2802" width="10.33203125" style="1"/>
    <col min="2803" max="2803" width="7.44140625" style="1" customWidth="1"/>
    <col min="2804" max="2804" width="12.88671875" style="1" customWidth="1"/>
    <col min="2805" max="2805" width="11.109375" style="1" customWidth="1"/>
    <col min="2806" max="2806" width="14" style="1" customWidth="1"/>
    <col min="2807" max="2807" width="33" style="1" customWidth="1"/>
    <col min="2808" max="2808" width="6.6640625" style="1" customWidth="1"/>
    <col min="2809" max="2809" width="19" style="1" customWidth="1"/>
    <col min="2810" max="2810" width="19.109375" style="1" customWidth="1"/>
    <col min="2811" max="2811" width="21.33203125" style="1" customWidth="1"/>
    <col min="2812" max="2812" width="32.5546875" style="1" customWidth="1"/>
    <col min="2813" max="2813" width="16.88671875" style="1" customWidth="1"/>
    <col min="2814" max="2814" width="16.33203125" style="1" customWidth="1"/>
    <col min="2815" max="3045" width="10.33203125" style="1"/>
    <col min="3046" max="3046" width="4.44140625" style="1" customWidth="1"/>
    <col min="3047" max="3047" width="21.6640625" style="1" customWidth="1"/>
    <col min="3048" max="3048" width="15" style="1" customWidth="1"/>
    <col min="3049" max="3049" width="15.44140625" style="1" customWidth="1"/>
    <col min="3050" max="3050" width="11.5546875" style="1" customWidth="1"/>
    <col min="3051" max="3051" width="7.44140625" style="1" customWidth="1"/>
    <col min="3052" max="3052" width="14.109375" style="1" customWidth="1"/>
    <col min="3053" max="3053" width="10.6640625" style="1" customWidth="1"/>
    <col min="3054" max="3054" width="13.44140625" style="1" customWidth="1"/>
    <col min="3055" max="3055" width="11.44140625" style="1" customWidth="1"/>
    <col min="3056" max="3056" width="15" style="1" customWidth="1"/>
    <col min="3057" max="3057" width="14.5546875" style="1" customWidth="1"/>
    <col min="3058" max="3058" width="10.33203125" style="1"/>
    <col min="3059" max="3059" width="7.44140625" style="1" customWidth="1"/>
    <col min="3060" max="3060" width="12.88671875" style="1" customWidth="1"/>
    <col min="3061" max="3061" width="11.109375" style="1" customWidth="1"/>
    <col min="3062" max="3062" width="14" style="1" customWidth="1"/>
    <col min="3063" max="3063" width="33" style="1" customWidth="1"/>
    <col min="3064" max="3064" width="6.6640625" style="1" customWidth="1"/>
    <col min="3065" max="3065" width="19" style="1" customWidth="1"/>
    <col min="3066" max="3066" width="19.109375" style="1" customWidth="1"/>
    <col min="3067" max="3067" width="21.33203125" style="1" customWidth="1"/>
    <col min="3068" max="3068" width="32.5546875" style="1" customWidth="1"/>
    <col min="3069" max="3069" width="16.88671875" style="1" customWidth="1"/>
    <col min="3070" max="3070" width="16.33203125" style="1" customWidth="1"/>
    <col min="3071" max="3301" width="10.33203125" style="1"/>
    <col min="3302" max="3302" width="4.44140625" style="1" customWidth="1"/>
    <col min="3303" max="3303" width="21.6640625" style="1" customWidth="1"/>
    <col min="3304" max="3304" width="15" style="1" customWidth="1"/>
    <col min="3305" max="3305" width="15.44140625" style="1" customWidth="1"/>
    <col min="3306" max="3306" width="11.5546875" style="1" customWidth="1"/>
    <col min="3307" max="3307" width="7.44140625" style="1" customWidth="1"/>
    <col min="3308" max="3308" width="14.109375" style="1" customWidth="1"/>
    <col min="3309" max="3309" width="10.6640625" style="1" customWidth="1"/>
    <col min="3310" max="3310" width="13.44140625" style="1" customWidth="1"/>
    <col min="3311" max="3311" width="11.44140625" style="1" customWidth="1"/>
    <col min="3312" max="3312" width="15" style="1" customWidth="1"/>
    <col min="3313" max="3313" width="14.5546875" style="1" customWidth="1"/>
    <col min="3314" max="3314" width="10.33203125" style="1"/>
    <col min="3315" max="3315" width="7.44140625" style="1" customWidth="1"/>
    <col min="3316" max="3316" width="12.88671875" style="1" customWidth="1"/>
    <col min="3317" max="3317" width="11.109375" style="1" customWidth="1"/>
    <col min="3318" max="3318" width="14" style="1" customWidth="1"/>
    <col min="3319" max="3319" width="33" style="1" customWidth="1"/>
    <col min="3320" max="3320" width="6.6640625" style="1" customWidth="1"/>
    <col min="3321" max="3321" width="19" style="1" customWidth="1"/>
    <col min="3322" max="3322" width="19.109375" style="1" customWidth="1"/>
    <col min="3323" max="3323" width="21.33203125" style="1" customWidth="1"/>
    <col min="3324" max="3324" width="32.5546875" style="1" customWidth="1"/>
    <col min="3325" max="3325" width="16.88671875" style="1" customWidth="1"/>
    <col min="3326" max="3326" width="16.33203125" style="1" customWidth="1"/>
    <col min="3327" max="3557" width="10.33203125" style="1"/>
    <col min="3558" max="3558" width="4.44140625" style="1" customWidth="1"/>
    <col min="3559" max="3559" width="21.6640625" style="1" customWidth="1"/>
    <col min="3560" max="3560" width="15" style="1" customWidth="1"/>
    <col min="3561" max="3561" width="15.44140625" style="1" customWidth="1"/>
    <col min="3562" max="3562" width="11.5546875" style="1" customWidth="1"/>
    <col min="3563" max="3563" width="7.44140625" style="1" customWidth="1"/>
    <col min="3564" max="3564" width="14.109375" style="1" customWidth="1"/>
    <col min="3565" max="3565" width="10.6640625" style="1" customWidth="1"/>
    <col min="3566" max="3566" width="13.44140625" style="1" customWidth="1"/>
    <col min="3567" max="3567" width="11.44140625" style="1" customWidth="1"/>
    <col min="3568" max="3568" width="15" style="1" customWidth="1"/>
    <col min="3569" max="3569" width="14.5546875" style="1" customWidth="1"/>
    <col min="3570" max="3570" width="10.33203125" style="1"/>
    <col min="3571" max="3571" width="7.44140625" style="1" customWidth="1"/>
    <col min="3572" max="3572" width="12.88671875" style="1" customWidth="1"/>
    <col min="3573" max="3573" width="11.109375" style="1" customWidth="1"/>
    <col min="3574" max="3574" width="14" style="1" customWidth="1"/>
    <col min="3575" max="3575" width="33" style="1" customWidth="1"/>
    <col min="3576" max="3576" width="6.6640625" style="1" customWidth="1"/>
    <col min="3577" max="3577" width="19" style="1" customWidth="1"/>
    <col min="3578" max="3578" width="19.109375" style="1" customWidth="1"/>
    <col min="3579" max="3579" width="21.33203125" style="1" customWidth="1"/>
    <col min="3580" max="3580" width="32.5546875" style="1" customWidth="1"/>
    <col min="3581" max="3581" width="16.88671875" style="1" customWidth="1"/>
    <col min="3582" max="3582" width="16.33203125" style="1" customWidth="1"/>
    <col min="3583" max="3813" width="10.33203125" style="1"/>
    <col min="3814" max="3814" width="4.44140625" style="1" customWidth="1"/>
    <col min="3815" max="3815" width="21.6640625" style="1" customWidth="1"/>
    <col min="3816" max="3816" width="15" style="1" customWidth="1"/>
    <col min="3817" max="3817" width="15.44140625" style="1" customWidth="1"/>
    <col min="3818" max="3818" width="11.5546875" style="1" customWidth="1"/>
    <col min="3819" max="3819" width="7.44140625" style="1" customWidth="1"/>
    <col min="3820" max="3820" width="14.109375" style="1" customWidth="1"/>
    <col min="3821" max="3821" width="10.6640625" style="1" customWidth="1"/>
    <col min="3822" max="3822" width="13.44140625" style="1" customWidth="1"/>
    <col min="3823" max="3823" width="11.44140625" style="1" customWidth="1"/>
    <col min="3824" max="3824" width="15" style="1" customWidth="1"/>
    <col min="3825" max="3825" width="14.5546875" style="1" customWidth="1"/>
    <col min="3826" max="3826" width="10.33203125" style="1"/>
    <col min="3827" max="3827" width="7.44140625" style="1" customWidth="1"/>
    <col min="3828" max="3828" width="12.88671875" style="1" customWidth="1"/>
    <col min="3829" max="3829" width="11.109375" style="1" customWidth="1"/>
    <col min="3830" max="3830" width="14" style="1" customWidth="1"/>
    <col min="3831" max="3831" width="33" style="1" customWidth="1"/>
    <col min="3832" max="3832" width="6.6640625" style="1" customWidth="1"/>
    <col min="3833" max="3833" width="19" style="1" customWidth="1"/>
    <col min="3834" max="3834" width="19.109375" style="1" customWidth="1"/>
    <col min="3835" max="3835" width="21.33203125" style="1" customWidth="1"/>
    <col min="3836" max="3836" width="32.5546875" style="1" customWidth="1"/>
    <col min="3837" max="3837" width="16.88671875" style="1" customWidth="1"/>
    <col min="3838" max="3838" width="16.33203125" style="1" customWidth="1"/>
    <col min="3839" max="4069" width="10.33203125" style="1"/>
    <col min="4070" max="4070" width="4.44140625" style="1" customWidth="1"/>
    <col min="4071" max="4071" width="21.6640625" style="1" customWidth="1"/>
    <col min="4072" max="4072" width="15" style="1" customWidth="1"/>
    <col min="4073" max="4073" width="15.44140625" style="1" customWidth="1"/>
    <col min="4074" max="4074" width="11.5546875" style="1" customWidth="1"/>
    <col min="4075" max="4075" width="7.44140625" style="1" customWidth="1"/>
    <col min="4076" max="4076" width="14.109375" style="1" customWidth="1"/>
    <col min="4077" max="4077" width="10.6640625" style="1" customWidth="1"/>
    <col min="4078" max="4078" width="13.44140625" style="1" customWidth="1"/>
    <col min="4079" max="4079" width="11.44140625" style="1" customWidth="1"/>
    <col min="4080" max="4080" width="15" style="1" customWidth="1"/>
    <col min="4081" max="4081" width="14.5546875" style="1" customWidth="1"/>
    <col min="4082" max="4082" width="10.33203125" style="1"/>
    <col min="4083" max="4083" width="7.44140625" style="1" customWidth="1"/>
    <col min="4084" max="4084" width="12.88671875" style="1" customWidth="1"/>
    <col min="4085" max="4085" width="11.109375" style="1" customWidth="1"/>
    <col min="4086" max="4086" width="14" style="1" customWidth="1"/>
    <col min="4087" max="4087" width="33" style="1" customWidth="1"/>
    <col min="4088" max="4088" width="6.6640625" style="1" customWidth="1"/>
    <col min="4089" max="4089" width="19" style="1" customWidth="1"/>
    <col min="4090" max="4090" width="19.109375" style="1" customWidth="1"/>
    <col min="4091" max="4091" width="21.33203125" style="1" customWidth="1"/>
    <col min="4092" max="4092" width="32.5546875" style="1" customWidth="1"/>
    <col min="4093" max="4093" width="16.88671875" style="1" customWidth="1"/>
    <col min="4094" max="4094" width="16.33203125" style="1" customWidth="1"/>
    <col min="4095" max="4325" width="10.33203125" style="1"/>
    <col min="4326" max="4326" width="4.44140625" style="1" customWidth="1"/>
    <col min="4327" max="4327" width="21.6640625" style="1" customWidth="1"/>
    <col min="4328" max="4328" width="15" style="1" customWidth="1"/>
    <col min="4329" max="4329" width="15.44140625" style="1" customWidth="1"/>
    <col min="4330" max="4330" width="11.5546875" style="1" customWidth="1"/>
    <col min="4331" max="4331" width="7.44140625" style="1" customWidth="1"/>
    <col min="4332" max="4332" width="14.109375" style="1" customWidth="1"/>
    <col min="4333" max="4333" width="10.6640625" style="1" customWidth="1"/>
    <col min="4334" max="4334" width="13.44140625" style="1" customWidth="1"/>
    <col min="4335" max="4335" width="11.44140625" style="1" customWidth="1"/>
    <col min="4336" max="4336" width="15" style="1" customWidth="1"/>
    <col min="4337" max="4337" width="14.5546875" style="1" customWidth="1"/>
    <col min="4338" max="4338" width="10.33203125" style="1"/>
    <col min="4339" max="4339" width="7.44140625" style="1" customWidth="1"/>
    <col min="4340" max="4340" width="12.88671875" style="1" customWidth="1"/>
    <col min="4341" max="4341" width="11.109375" style="1" customWidth="1"/>
    <col min="4342" max="4342" width="14" style="1" customWidth="1"/>
    <col min="4343" max="4343" width="33" style="1" customWidth="1"/>
    <col min="4344" max="4344" width="6.6640625" style="1" customWidth="1"/>
    <col min="4345" max="4345" width="19" style="1" customWidth="1"/>
    <col min="4346" max="4346" width="19.109375" style="1" customWidth="1"/>
    <col min="4347" max="4347" width="21.33203125" style="1" customWidth="1"/>
    <col min="4348" max="4348" width="32.5546875" style="1" customWidth="1"/>
    <col min="4349" max="4349" width="16.88671875" style="1" customWidth="1"/>
    <col min="4350" max="4350" width="16.33203125" style="1" customWidth="1"/>
    <col min="4351" max="4581" width="10.33203125" style="1"/>
    <col min="4582" max="4582" width="4.44140625" style="1" customWidth="1"/>
    <col min="4583" max="4583" width="21.6640625" style="1" customWidth="1"/>
    <col min="4584" max="4584" width="15" style="1" customWidth="1"/>
    <col min="4585" max="4585" width="15.44140625" style="1" customWidth="1"/>
    <col min="4586" max="4586" width="11.5546875" style="1" customWidth="1"/>
    <col min="4587" max="4587" width="7.44140625" style="1" customWidth="1"/>
    <col min="4588" max="4588" width="14.109375" style="1" customWidth="1"/>
    <col min="4589" max="4589" width="10.6640625" style="1" customWidth="1"/>
    <col min="4590" max="4590" width="13.44140625" style="1" customWidth="1"/>
    <col min="4591" max="4591" width="11.44140625" style="1" customWidth="1"/>
    <col min="4592" max="4592" width="15" style="1" customWidth="1"/>
    <col min="4593" max="4593" width="14.5546875" style="1" customWidth="1"/>
    <col min="4594" max="4594" width="10.33203125" style="1"/>
    <col min="4595" max="4595" width="7.44140625" style="1" customWidth="1"/>
    <col min="4596" max="4596" width="12.88671875" style="1" customWidth="1"/>
    <col min="4597" max="4597" width="11.109375" style="1" customWidth="1"/>
    <col min="4598" max="4598" width="14" style="1" customWidth="1"/>
    <col min="4599" max="4599" width="33" style="1" customWidth="1"/>
    <col min="4600" max="4600" width="6.6640625" style="1" customWidth="1"/>
    <col min="4601" max="4601" width="19" style="1" customWidth="1"/>
    <col min="4602" max="4602" width="19.109375" style="1" customWidth="1"/>
    <col min="4603" max="4603" width="21.33203125" style="1" customWidth="1"/>
    <col min="4604" max="4604" width="32.5546875" style="1" customWidth="1"/>
    <col min="4605" max="4605" width="16.88671875" style="1" customWidth="1"/>
    <col min="4606" max="4606" width="16.33203125" style="1" customWidth="1"/>
    <col min="4607" max="4837" width="10.33203125" style="1"/>
    <col min="4838" max="4838" width="4.44140625" style="1" customWidth="1"/>
    <col min="4839" max="4839" width="21.6640625" style="1" customWidth="1"/>
    <col min="4840" max="4840" width="15" style="1" customWidth="1"/>
    <col min="4841" max="4841" width="15.44140625" style="1" customWidth="1"/>
    <col min="4842" max="4842" width="11.5546875" style="1" customWidth="1"/>
    <col min="4843" max="4843" width="7.44140625" style="1" customWidth="1"/>
    <col min="4844" max="4844" width="14.109375" style="1" customWidth="1"/>
    <col min="4845" max="4845" width="10.6640625" style="1" customWidth="1"/>
    <col min="4846" max="4846" width="13.44140625" style="1" customWidth="1"/>
    <col min="4847" max="4847" width="11.44140625" style="1" customWidth="1"/>
    <col min="4848" max="4848" width="15" style="1" customWidth="1"/>
    <col min="4849" max="4849" width="14.5546875" style="1" customWidth="1"/>
    <col min="4850" max="4850" width="10.33203125" style="1"/>
    <col min="4851" max="4851" width="7.44140625" style="1" customWidth="1"/>
    <col min="4852" max="4852" width="12.88671875" style="1" customWidth="1"/>
    <col min="4853" max="4853" width="11.109375" style="1" customWidth="1"/>
    <col min="4854" max="4854" width="14" style="1" customWidth="1"/>
    <col min="4855" max="4855" width="33" style="1" customWidth="1"/>
    <col min="4856" max="4856" width="6.6640625" style="1" customWidth="1"/>
    <col min="4857" max="4857" width="19" style="1" customWidth="1"/>
    <col min="4858" max="4858" width="19.109375" style="1" customWidth="1"/>
    <col min="4859" max="4859" width="21.33203125" style="1" customWidth="1"/>
    <col min="4860" max="4860" width="32.5546875" style="1" customWidth="1"/>
    <col min="4861" max="4861" width="16.88671875" style="1" customWidth="1"/>
    <col min="4862" max="4862" width="16.33203125" style="1" customWidth="1"/>
    <col min="4863" max="5093" width="10.33203125" style="1"/>
    <col min="5094" max="5094" width="4.44140625" style="1" customWidth="1"/>
    <col min="5095" max="5095" width="21.6640625" style="1" customWidth="1"/>
    <col min="5096" max="5096" width="15" style="1" customWidth="1"/>
    <col min="5097" max="5097" width="15.44140625" style="1" customWidth="1"/>
    <col min="5098" max="5098" width="11.5546875" style="1" customWidth="1"/>
    <col min="5099" max="5099" width="7.44140625" style="1" customWidth="1"/>
    <col min="5100" max="5100" width="14.109375" style="1" customWidth="1"/>
    <col min="5101" max="5101" width="10.6640625" style="1" customWidth="1"/>
    <col min="5102" max="5102" width="13.44140625" style="1" customWidth="1"/>
    <col min="5103" max="5103" width="11.44140625" style="1" customWidth="1"/>
    <col min="5104" max="5104" width="15" style="1" customWidth="1"/>
    <col min="5105" max="5105" width="14.5546875" style="1" customWidth="1"/>
    <col min="5106" max="5106" width="10.33203125" style="1"/>
    <col min="5107" max="5107" width="7.44140625" style="1" customWidth="1"/>
    <col min="5108" max="5108" width="12.88671875" style="1" customWidth="1"/>
    <col min="5109" max="5109" width="11.109375" style="1" customWidth="1"/>
    <col min="5110" max="5110" width="14" style="1" customWidth="1"/>
    <col min="5111" max="5111" width="33" style="1" customWidth="1"/>
    <col min="5112" max="5112" width="6.6640625" style="1" customWidth="1"/>
    <col min="5113" max="5113" width="19" style="1" customWidth="1"/>
    <col min="5114" max="5114" width="19.109375" style="1" customWidth="1"/>
    <col min="5115" max="5115" width="21.33203125" style="1" customWidth="1"/>
    <col min="5116" max="5116" width="32.5546875" style="1" customWidth="1"/>
    <col min="5117" max="5117" width="16.88671875" style="1" customWidth="1"/>
    <col min="5118" max="5118" width="16.33203125" style="1" customWidth="1"/>
    <col min="5119" max="5349" width="10.33203125" style="1"/>
    <col min="5350" max="5350" width="4.44140625" style="1" customWidth="1"/>
    <col min="5351" max="5351" width="21.6640625" style="1" customWidth="1"/>
    <col min="5352" max="5352" width="15" style="1" customWidth="1"/>
    <col min="5353" max="5353" width="15.44140625" style="1" customWidth="1"/>
    <col min="5354" max="5354" width="11.5546875" style="1" customWidth="1"/>
    <col min="5355" max="5355" width="7.44140625" style="1" customWidth="1"/>
    <col min="5356" max="5356" width="14.109375" style="1" customWidth="1"/>
    <col min="5357" max="5357" width="10.6640625" style="1" customWidth="1"/>
    <col min="5358" max="5358" width="13.44140625" style="1" customWidth="1"/>
    <col min="5359" max="5359" width="11.44140625" style="1" customWidth="1"/>
    <col min="5360" max="5360" width="15" style="1" customWidth="1"/>
    <col min="5361" max="5361" width="14.5546875" style="1" customWidth="1"/>
    <col min="5362" max="5362" width="10.33203125" style="1"/>
    <col min="5363" max="5363" width="7.44140625" style="1" customWidth="1"/>
    <col min="5364" max="5364" width="12.88671875" style="1" customWidth="1"/>
    <col min="5365" max="5365" width="11.109375" style="1" customWidth="1"/>
    <col min="5366" max="5366" width="14" style="1" customWidth="1"/>
    <col min="5367" max="5367" width="33" style="1" customWidth="1"/>
    <col min="5368" max="5368" width="6.6640625" style="1" customWidth="1"/>
    <col min="5369" max="5369" width="19" style="1" customWidth="1"/>
    <col min="5370" max="5370" width="19.109375" style="1" customWidth="1"/>
    <col min="5371" max="5371" width="21.33203125" style="1" customWidth="1"/>
    <col min="5372" max="5372" width="32.5546875" style="1" customWidth="1"/>
    <col min="5373" max="5373" width="16.88671875" style="1" customWidth="1"/>
    <col min="5374" max="5374" width="16.33203125" style="1" customWidth="1"/>
    <col min="5375" max="5605" width="10.33203125" style="1"/>
    <col min="5606" max="5606" width="4.44140625" style="1" customWidth="1"/>
    <col min="5607" max="5607" width="21.6640625" style="1" customWidth="1"/>
    <col min="5608" max="5608" width="15" style="1" customWidth="1"/>
    <col min="5609" max="5609" width="15.44140625" style="1" customWidth="1"/>
    <col min="5610" max="5610" width="11.5546875" style="1" customWidth="1"/>
    <col min="5611" max="5611" width="7.44140625" style="1" customWidth="1"/>
    <col min="5612" max="5612" width="14.109375" style="1" customWidth="1"/>
    <col min="5613" max="5613" width="10.6640625" style="1" customWidth="1"/>
    <col min="5614" max="5614" width="13.44140625" style="1" customWidth="1"/>
    <col min="5615" max="5615" width="11.44140625" style="1" customWidth="1"/>
    <col min="5616" max="5616" width="15" style="1" customWidth="1"/>
    <col min="5617" max="5617" width="14.5546875" style="1" customWidth="1"/>
    <col min="5618" max="5618" width="10.33203125" style="1"/>
    <col min="5619" max="5619" width="7.44140625" style="1" customWidth="1"/>
    <col min="5620" max="5620" width="12.88671875" style="1" customWidth="1"/>
    <col min="5621" max="5621" width="11.109375" style="1" customWidth="1"/>
    <col min="5622" max="5622" width="14" style="1" customWidth="1"/>
    <col min="5623" max="5623" width="33" style="1" customWidth="1"/>
    <col min="5624" max="5624" width="6.6640625" style="1" customWidth="1"/>
    <col min="5625" max="5625" width="19" style="1" customWidth="1"/>
    <col min="5626" max="5626" width="19.109375" style="1" customWidth="1"/>
    <col min="5627" max="5627" width="21.33203125" style="1" customWidth="1"/>
    <col min="5628" max="5628" width="32.5546875" style="1" customWidth="1"/>
    <col min="5629" max="5629" width="16.88671875" style="1" customWidth="1"/>
    <col min="5630" max="5630" width="16.33203125" style="1" customWidth="1"/>
    <col min="5631" max="5861" width="10.33203125" style="1"/>
    <col min="5862" max="5862" width="4.44140625" style="1" customWidth="1"/>
    <col min="5863" max="5863" width="21.6640625" style="1" customWidth="1"/>
    <col min="5864" max="5864" width="15" style="1" customWidth="1"/>
    <col min="5865" max="5865" width="15.44140625" style="1" customWidth="1"/>
    <col min="5866" max="5866" width="11.5546875" style="1" customWidth="1"/>
    <col min="5867" max="5867" width="7.44140625" style="1" customWidth="1"/>
    <col min="5868" max="5868" width="14.109375" style="1" customWidth="1"/>
    <col min="5869" max="5869" width="10.6640625" style="1" customWidth="1"/>
    <col min="5870" max="5870" width="13.44140625" style="1" customWidth="1"/>
    <col min="5871" max="5871" width="11.44140625" style="1" customWidth="1"/>
    <col min="5872" max="5872" width="15" style="1" customWidth="1"/>
    <col min="5873" max="5873" width="14.5546875" style="1" customWidth="1"/>
    <col min="5874" max="5874" width="10.33203125" style="1"/>
    <col min="5875" max="5875" width="7.44140625" style="1" customWidth="1"/>
    <col min="5876" max="5876" width="12.88671875" style="1" customWidth="1"/>
    <col min="5877" max="5877" width="11.109375" style="1" customWidth="1"/>
    <col min="5878" max="5878" width="14" style="1" customWidth="1"/>
    <col min="5879" max="5879" width="33" style="1" customWidth="1"/>
    <col min="5880" max="5880" width="6.6640625" style="1" customWidth="1"/>
    <col min="5881" max="5881" width="19" style="1" customWidth="1"/>
    <col min="5882" max="5882" width="19.109375" style="1" customWidth="1"/>
    <col min="5883" max="5883" width="21.33203125" style="1" customWidth="1"/>
    <col min="5884" max="5884" width="32.5546875" style="1" customWidth="1"/>
    <col min="5885" max="5885" width="16.88671875" style="1" customWidth="1"/>
    <col min="5886" max="5886" width="16.33203125" style="1" customWidth="1"/>
    <col min="5887" max="6117" width="10.33203125" style="1"/>
    <col min="6118" max="6118" width="4.44140625" style="1" customWidth="1"/>
    <col min="6119" max="6119" width="21.6640625" style="1" customWidth="1"/>
    <col min="6120" max="6120" width="15" style="1" customWidth="1"/>
    <col min="6121" max="6121" width="15.44140625" style="1" customWidth="1"/>
    <col min="6122" max="6122" width="11.5546875" style="1" customWidth="1"/>
    <col min="6123" max="6123" width="7.44140625" style="1" customWidth="1"/>
    <col min="6124" max="6124" width="14.109375" style="1" customWidth="1"/>
    <col min="6125" max="6125" width="10.6640625" style="1" customWidth="1"/>
    <col min="6126" max="6126" width="13.44140625" style="1" customWidth="1"/>
    <col min="6127" max="6127" width="11.44140625" style="1" customWidth="1"/>
    <col min="6128" max="6128" width="15" style="1" customWidth="1"/>
    <col min="6129" max="6129" width="14.5546875" style="1" customWidth="1"/>
    <col min="6130" max="6130" width="10.33203125" style="1"/>
    <col min="6131" max="6131" width="7.44140625" style="1" customWidth="1"/>
    <col min="6132" max="6132" width="12.88671875" style="1" customWidth="1"/>
    <col min="6133" max="6133" width="11.109375" style="1" customWidth="1"/>
    <col min="6134" max="6134" width="14" style="1" customWidth="1"/>
    <col min="6135" max="6135" width="33" style="1" customWidth="1"/>
    <col min="6136" max="6136" width="6.6640625" style="1" customWidth="1"/>
    <col min="6137" max="6137" width="19" style="1" customWidth="1"/>
    <col min="6138" max="6138" width="19.109375" style="1" customWidth="1"/>
    <col min="6139" max="6139" width="21.33203125" style="1" customWidth="1"/>
    <col min="6140" max="6140" width="32.5546875" style="1" customWidth="1"/>
    <col min="6141" max="6141" width="16.88671875" style="1" customWidth="1"/>
    <col min="6142" max="6142" width="16.33203125" style="1" customWidth="1"/>
    <col min="6143" max="6373" width="10.33203125" style="1"/>
    <col min="6374" max="6374" width="4.44140625" style="1" customWidth="1"/>
    <col min="6375" max="6375" width="21.6640625" style="1" customWidth="1"/>
    <col min="6376" max="6376" width="15" style="1" customWidth="1"/>
    <col min="6377" max="6377" width="15.44140625" style="1" customWidth="1"/>
    <col min="6378" max="6378" width="11.5546875" style="1" customWidth="1"/>
    <col min="6379" max="6379" width="7.44140625" style="1" customWidth="1"/>
    <col min="6380" max="6380" width="14.109375" style="1" customWidth="1"/>
    <col min="6381" max="6381" width="10.6640625" style="1" customWidth="1"/>
    <col min="6382" max="6382" width="13.44140625" style="1" customWidth="1"/>
    <col min="6383" max="6383" width="11.44140625" style="1" customWidth="1"/>
    <col min="6384" max="6384" width="15" style="1" customWidth="1"/>
    <col min="6385" max="6385" width="14.5546875" style="1" customWidth="1"/>
    <col min="6386" max="6386" width="10.33203125" style="1"/>
    <col min="6387" max="6387" width="7.44140625" style="1" customWidth="1"/>
    <col min="6388" max="6388" width="12.88671875" style="1" customWidth="1"/>
    <col min="6389" max="6389" width="11.109375" style="1" customWidth="1"/>
    <col min="6390" max="6390" width="14" style="1" customWidth="1"/>
    <col min="6391" max="6391" width="33" style="1" customWidth="1"/>
    <col min="6392" max="6392" width="6.6640625" style="1" customWidth="1"/>
    <col min="6393" max="6393" width="19" style="1" customWidth="1"/>
    <col min="6394" max="6394" width="19.109375" style="1" customWidth="1"/>
    <col min="6395" max="6395" width="21.33203125" style="1" customWidth="1"/>
    <col min="6396" max="6396" width="32.5546875" style="1" customWidth="1"/>
    <col min="6397" max="6397" width="16.88671875" style="1" customWidth="1"/>
    <col min="6398" max="6398" width="16.33203125" style="1" customWidth="1"/>
    <col min="6399" max="6629" width="10.33203125" style="1"/>
    <col min="6630" max="6630" width="4.44140625" style="1" customWidth="1"/>
    <col min="6631" max="6631" width="21.6640625" style="1" customWidth="1"/>
    <col min="6632" max="6632" width="15" style="1" customWidth="1"/>
    <col min="6633" max="6633" width="15.44140625" style="1" customWidth="1"/>
    <col min="6634" max="6634" width="11.5546875" style="1" customWidth="1"/>
    <col min="6635" max="6635" width="7.44140625" style="1" customWidth="1"/>
    <col min="6636" max="6636" width="14.109375" style="1" customWidth="1"/>
    <col min="6637" max="6637" width="10.6640625" style="1" customWidth="1"/>
    <col min="6638" max="6638" width="13.44140625" style="1" customWidth="1"/>
    <col min="6639" max="6639" width="11.44140625" style="1" customWidth="1"/>
    <col min="6640" max="6640" width="15" style="1" customWidth="1"/>
    <col min="6641" max="6641" width="14.5546875" style="1" customWidth="1"/>
    <col min="6642" max="6642" width="10.33203125" style="1"/>
    <col min="6643" max="6643" width="7.44140625" style="1" customWidth="1"/>
    <col min="6644" max="6644" width="12.88671875" style="1" customWidth="1"/>
    <col min="6645" max="6645" width="11.109375" style="1" customWidth="1"/>
    <col min="6646" max="6646" width="14" style="1" customWidth="1"/>
    <col min="6647" max="6647" width="33" style="1" customWidth="1"/>
    <col min="6648" max="6648" width="6.6640625" style="1" customWidth="1"/>
    <col min="6649" max="6649" width="19" style="1" customWidth="1"/>
    <col min="6650" max="6650" width="19.109375" style="1" customWidth="1"/>
    <col min="6651" max="6651" width="21.33203125" style="1" customWidth="1"/>
    <col min="6652" max="6652" width="32.5546875" style="1" customWidth="1"/>
    <col min="6653" max="6653" width="16.88671875" style="1" customWidth="1"/>
    <col min="6654" max="6654" width="16.33203125" style="1" customWidth="1"/>
    <col min="6655" max="6885" width="10.33203125" style="1"/>
    <col min="6886" max="6886" width="4.44140625" style="1" customWidth="1"/>
    <col min="6887" max="6887" width="21.6640625" style="1" customWidth="1"/>
    <col min="6888" max="6888" width="15" style="1" customWidth="1"/>
    <col min="6889" max="6889" width="15.44140625" style="1" customWidth="1"/>
    <col min="6890" max="6890" width="11.5546875" style="1" customWidth="1"/>
    <col min="6891" max="6891" width="7.44140625" style="1" customWidth="1"/>
    <col min="6892" max="6892" width="14.109375" style="1" customWidth="1"/>
    <col min="6893" max="6893" width="10.6640625" style="1" customWidth="1"/>
    <col min="6894" max="6894" width="13.44140625" style="1" customWidth="1"/>
    <col min="6895" max="6895" width="11.44140625" style="1" customWidth="1"/>
    <col min="6896" max="6896" width="15" style="1" customWidth="1"/>
    <col min="6897" max="6897" width="14.5546875" style="1" customWidth="1"/>
    <col min="6898" max="6898" width="10.33203125" style="1"/>
    <col min="6899" max="6899" width="7.44140625" style="1" customWidth="1"/>
    <col min="6900" max="6900" width="12.88671875" style="1" customWidth="1"/>
    <col min="6901" max="6901" width="11.109375" style="1" customWidth="1"/>
    <col min="6902" max="6902" width="14" style="1" customWidth="1"/>
    <col min="6903" max="6903" width="33" style="1" customWidth="1"/>
    <col min="6904" max="6904" width="6.6640625" style="1" customWidth="1"/>
    <col min="6905" max="6905" width="19" style="1" customWidth="1"/>
    <col min="6906" max="6906" width="19.109375" style="1" customWidth="1"/>
    <col min="6907" max="6907" width="21.33203125" style="1" customWidth="1"/>
    <col min="6908" max="6908" width="32.5546875" style="1" customWidth="1"/>
    <col min="6909" max="6909" width="16.88671875" style="1" customWidth="1"/>
    <col min="6910" max="6910" width="16.33203125" style="1" customWidth="1"/>
    <col min="6911" max="7141" width="10.33203125" style="1"/>
    <col min="7142" max="7142" width="4.44140625" style="1" customWidth="1"/>
    <col min="7143" max="7143" width="21.6640625" style="1" customWidth="1"/>
    <col min="7144" max="7144" width="15" style="1" customWidth="1"/>
    <col min="7145" max="7145" width="15.44140625" style="1" customWidth="1"/>
    <col min="7146" max="7146" width="11.5546875" style="1" customWidth="1"/>
    <col min="7147" max="7147" width="7.44140625" style="1" customWidth="1"/>
    <col min="7148" max="7148" width="14.109375" style="1" customWidth="1"/>
    <col min="7149" max="7149" width="10.6640625" style="1" customWidth="1"/>
    <col min="7150" max="7150" width="13.44140625" style="1" customWidth="1"/>
    <col min="7151" max="7151" width="11.44140625" style="1" customWidth="1"/>
    <col min="7152" max="7152" width="15" style="1" customWidth="1"/>
    <col min="7153" max="7153" width="14.5546875" style="1" customWidth="1"/>
    <col min="7154" max="7154" width="10.33203125" style="1"/>
    <col min="7155" max="7155" width="7.44140625" style="1" customWidth="1"/>
    <col min="7156" max="7156" width="12.88671875" style="1" customWidth="1"/>
    <col min="7157" max="7157" width="11.109375" style="1" customWidth="1"/>
    <col min="7158" max="7158" width="14" style="1" customWidth="1"/>
    <col min="7159" max="7159" width="33" style="1" customWidth="1"/>
    <col min="7160" max="7160" width="6.6640625" style="1" customWidth="1"/>
    <col min="7161" max="7161" width="19" style="1" customWidth="1"/>
    <col min="7162" max="7162" width="19.109375" style="1" customWidth="1"/>
    <col min="7163" max="7163" width="21.33203125" style="1" customWidth="1"/>
    <col min="7164" max="7164" width="32.5546875" style="1" customWidth="1"/>
    <col min="7165" max="7165" width="16.88671875" style="1" customWidth="1"/>
    <col min="7166" max="7166" width="16.33203125" style="1" customWidth="1"/>
    <col min="7167" max="7397" width="10.33203125" style="1"/>
    <col min="7398" max="7398" width="4.44140625" style="1" customWidth="1"/>
    <col min="7399" max="7399" width="21.6640625" style="1" customWidth="1"/>
    <col min="7400" max="7400" width="15" style="1" customWidth="1"/>
    <col min="7401" max="7401" width="15.44140625" style="1" customWidth="1"/>
    <col min="7402" max="7402" width="11.5546875" style="1" customWidth="1"/>
    <col min="7403" max="7403" width="7.44140625" style="1" customWidth="1"/>
    <col min="7404" max="7404" width="14.109375" style="1" customWidth="1"/>
    <col min="7405" max="7405" width="10.6640625" style="1" customWidth="1"/>
    <col min="7406" max="7406" width="13.44140625" style="1" customWidth="1"/>
    <col min="7407" max="7407" width="11.44140625" style="1" customWidth="1"/>
    <col min="7408" max="7408" width="15" style="1" customWidth="1"/>
    <col min="7409" max="7409" width="14.5546875" style="1" customWidth="1"/>
    <col min="7410" max="7410" width="10.33203125" style="1"/>
    <col min="7411" max="7411" width="7.44140625" style="1" customWidth="1"/>
    <col min="7412" max="7412" width="12.88671875" style="1" customWidth="1"/>
    <col min="7413" max="7413" width="11.109375" style="1" customWidth="1"/>
    <col min="7414" max="7414" width="14" style="1" customWidth="1"/>
    <col min="7415" max="7415" width="33" style="1" customWidth="1"/>
    <col min="7416" max="7416" width="6.6640625" style="1" customWidth="1"/>
    <col min="7417" max="7417" width="19" style="1" customWidth="1"/>
    <col min="7418" max="7418" width="19.109375" style="1" customWidth="1"/>
    <col min="7419" max="7419" width="21.33203125" style="1" customWidth="1"/>
    <col min="7420" max="7420" width="32.5546875" style="1" customWidth="1"/>
    <col min="7421" max="7421" width="16.88671875" style="1" customWidth="1"/>
    <col min="7422" max="7422" width="16.33203125" style="1" customWidth="1"/>
    <col min="7423" max="7653" width="10.33203125" style="1"/>
    <col min="7654" max="7654" width="4.44140625" style="1" customWidth="1"/>
    <col min="7655" max="7655" width="21.6640625" style="1" customWidth="1"/>
    <col min="7656" max="7656" width="15" style="1" customWidth="1"/>
    <col min="7657" max="7657" width="15.44140625" style="1" customWidth="1"/>
    <col min="7658" max="7658" width="11.5546875" style="1" customWidth="1"/>
    <col min="7659" max="7659" width="7.44140625" style="1" customWidth="1"/>
    <col min="7660" max="7660" width="14.109375" style="1" customWidth="1"/>
    <col min="7661" max="7661" width="10.6640625" style="1" customWidth="1"/>
    <col min="7662" max="7662" width="13.44140625" style="1" customWidth="1"/>
    <col min="7663" max="7663" width="11.44140625" style="1" customWidth="1"/>
    <col min="7664" max="7664" width="15" style="1" customWidth="1"/>
    <col min="7665" max="7665" width="14.5546875" style="1" customWidth="1"/>
    <col min="7666" max="7666" width="10.33203125" style="1"/>
    <col min="7667" max="7667" width="7.44140625" style="1" customWidth="1"/>
    <col min="7668" max="7668" width="12.88671875" style="1" customWidth="1"/>
    <col min="7669" max="7669" width="11.109375" style="1" customWidth="1"/>
    <col min="7670" max="7670" width="14" style="1" customWidth="1"/>
    <col min="7671" max="7671" width="33" style="1" customWidth="1"/>
    <col min="7672" max="7672" width="6.6640625" style="1" customWidth="1"/>
    <col min="7673" max="7673" width="19" style="1" customWidth="1"/>
    <col min="7674" max="7674" width="19.109375" style="1" customWidth="1"/>
    <col min="7675" max="7675" width="21.33203125" style="1" customWidth="1"/>
    <col min="7676" max="7676" width="32.5546875" style="1" customWidth="1"/>
    <col min="7677" max="7677" width="16.88671875" style="1" customWidth="1"/>
    <col min="7678" max="7678" width="16.33203125" style="1" customWidth="1"/>
    <col min="7679" max="7909" width="10.33203125" style="1"/>
    <col min="7910" max="7910" width="4.44140625" style="1" customWidth="1"/>
    <col min="7911" max="7911" width="21.6640625" style="1" customWidth="1"/>
    <col min="7912" max="7912" width="15" style="1" customWidth="1"/>
    <col min="7913" max="7913" width="15.44140625" style="1" customWidth="1"/>
    <col min="7914" max="7914" width="11.5546875" style="1" customWidth="1"/>
    <col min="7915" max="7915" width="7.44140625" style="1" customWidth="1"/>
    <col min="7916" max="7916" width="14.109375" style="1" customWidth="1"/>
    <col min="7917" max="7917" width="10.6640625" style="1" customWidth="1"/>
    <col min="7918" max="7918" width="13.44140625" style="1" customWidth="1"/>
    <col min="7919" max="7919" width="11.44140625" style="1" customWidth="1"/>
    <col min="7920" max="7920" width="15" style="1" customWidth="1"/>
    <col min="7921" max="7921" width="14.5546875" style="1" customWidth="1"/>
    <col min="7922" max="7922" width="10.33203125" style="1"/>
    <col min="7923" max="7923" width="7.44140625" style="1" customWidth="1"/>
    <col min="7924" max="7924" width="12.88671875" style="1" customWidth="1"/>
    <col min="7925" max="7925" width="11.109375" style="1" customWidth="1"/>
    <col min="7926" max="7926" width="14" style="1" customWidth="1"/>
    <col min="7927" max="7927" width="33" style="1" customWidth="1"/>
    <col min="7928" max="7928" width="6.6640625" style="1" customWidth="1"/>
    <col min="7929" max="7929" width="19" style="1" customWidth="1"/>
    <col min="7930" max="7930" width="19.109375" style="1" customWidth="1"/>
    <col min="7931" max="7931" width="21.33203125" style="1" customWidth="1"/>
    <col min="7932" max="7932" width="32.5546875" style="1" customWidth="1"/>
    <col min="7933" max="7933" width="16.88671875" style="1" customWidth="1"/>
    <col min="7934" max="7934" width="16.33203125" style="1" customWidth="1"/>
    <col min="7935" max="8165" width="10.33203125" style="1"/>
    <col min="8166" max="8166" width="4.44140625" style="1" customWidth="1"/>
    <col min="8167" max="8167" width="21.6640625" style="1" customWidth="1"/>
    <col min="8168" max="8168" width="15" style="1" customWidth="1"/>
    <col min="8169" max="8169" width="15.44140625" style="1" customWidth="1"/>
    <col min="8170" max="8170" width="11.5546875" style="1" customWidth="1"/>
    <col min="8171" max="8171" width="7.44140625" style="1" customWidth="1"/>
    <col min="8172" max="8172" width="14.109375" style="1" customWidth="1"/>
    <col min="8173" max="8173" width="10.6640625" style="1" customWidth="1"/>
    <col min="8174" max="8174" width="13.44140625" style="1" customWidth="1"/>
    <col min="8175" max="8175" width="11.44140625" style="1" customWidth="1"/>
    <col min="8176" max="8176" width="15" style="1" customWidth="1"/>
    <col min="8177" max="8177" width="14.5546875" style="1" customWidth="1"/>
    <col min="8178" max="8178" width="10.33203125" style="1"/>
    <col min="8179" max="8179" width="7.44140625" style="1" customWidth="1"/>
    <col min="8180" max="8180" width="12.88671875" style="1" customWidth="1"/>
    <col min="8181" max="8181" width="11.109375" style="1" customWidth="1"/>
    <col min="8182" max="8182" width="14" style="1" customWidth="1"/>
    <col min="8183" max="8183" width="33" style="1" customWidth="1"/>
    <col min="8184" max="8184" width="6.6640625" style="1" customWidth="1"/>
    <col min="8185" max="8185" width="19" style="1" customWidth="1"/>
    <col min="8186" max="8186" width="19.109375" style="1" customWidth="1"/>
    <col min="8187" max="8187" width="21.33203125" style="1" customWidth="1"/>
    <col min="8188" max="8188" width="32.5546875" style="1" customWidth="1"/>
    <col min="8189" max="8189" width="16.88671875" style="1" customWidth="1"/>
    <col min="8190" max="8190" width="16.33203125" style="1" customWidth="1"/>
    <col min="8191" max="8421" width="10.33203125" style="1"/>
    <col min="8422" max="8422" width="4.44140625" style="1" customWidth="1"/>
    <col min="8423" max="8423" width="21.6640625" style="1" customWidth="1"/>
    <col min="8424" max="8424" width="15" style="1" customWidth="1"/>
    <col min="8425" max="8425" width="15.44140625" style="1" customWidth="1"/>
    <col min="8426" max="8426" width="11.5546875" style="1" customWidth="1"/>
    <col min="8427" max="8427" width="7.44140625" style="1" customWidth="1"/>
    <col min="8428" max="8428" width="14.109375" style="1" customWidth="1"/>
    <col min="8429" max="8429" width="10.6640625" style="1" customWidth="1"/>
    <col min="8430" max="8430" width="13.44140625" style="1" customWidth="1"/>
    <col min="8431" max="8431" width="11.44140625" style="1" customWidth="1"/>
    <col min="8432" max="8432" width="15" style="1" customWidth="1"/>
    <col min="8433" max="8433" width="14.5546875" style="1" customWidth="1"/>
    <col min="8434" max="8434" width="10.33203125" style="1"/>
    <col min="8435" max="8435" width="7.44140625" style="1" customWidth="1"/>
    <col min="8436" max="8436" width="12.88671875" style="1" customWidth="1"/>
    <col min="8437" max="8437" width="11.109375" style="1" customWidth="1"/>
    <col min="8438" max="8438" width="14" style="1" customWidth="1"/>
    <col min="8439" max="8439" width="33" style="1" customWidth="1"/>
    <col min="8440" max="8440" width="6.6640625" style="1" customWidth="1"/>
    <col min="8441" max="8441" width="19" style="1" customWidth="1"/>
    <col min="8442" max="8442" width="19.109375" style="1" customWidth="1"/>
    <col min="8443" max="8443" width="21.33203125" style="1" customWidth="1"/>
    <col min="8444" max="8444" width="32.5546875" style="1" customWidth="1"/>
    <col min="8445" max="8445" width="16.88671875" style="1" customWidth="1"/>
    <col min="8446" max="8446" width="16.33203125" style="1" customWidth="1"/>
    <col min="8447" max="8677" width="10.33203125" style="1"/>
    <col min="8678" max="8678" width="4.44140625" style="1" customWidth="1"/>
    <col min="8679" max="8679" width="21.6640625" style="1" customWidth="1"/>
    <col min="8680" max="8680" width="15" style="1" customWidth="1"/>
    <col min="8681" max="8681" width="15.44140625" style="1" customWidth="1"/>
    <col min="8682" max="8682" width="11.5546875" style="1" customWidth="1"/>
    <col min="8683" max="8683" width="7.44140625" style="1" customWidth="1"/>
    <col min="8684" max="8684" width="14.109375" style="1" customWidth="1"/>
    <col min="8685" max="8685" width="10.6640625" style="1" customWidth="1"/>
    <col min="8686" max="8686" width="13.44140625" style="1" customWidth="1"/>
    <col min="8687" max="8687" width="11.44140625" style="1" customWidth="1"/>
    <col min="8688" max="8688" width="15" style="1" customWidth="1"/>
    <col min="8689" max="8689" width="14.5546875" style="1" customWidth="1"/>
    <col min="8690" max="8690" width="10.33203125" style="1"/>
    <col min="8691" max="8691" width="7.44140625" style="1" customWidth="1"/>
    <col min="8692" max="8692" width="12.88671875" style="1" customWidth="1"/>
    <col min="8693" max="8693" width="11.109375" style="1" customWidth="1"/>
    <col min="8694" max="8694" width="14" style="1" customWidth="1"/>
    <col min="8695" max="8695" width="33" style="1" customWidth="1"/>
    <col min="8696" max="8696" width="6.6640625" style="1" customWidth="1"/>
    <col min="8697" max="8697" width="19" style="1" customWidth="1"/>
    <col min="8698" max="8698" width="19.109375" style="1" customWidth="1"/>
    <col min="8699" max="8699" width="21.33203125" style="1" customWidth="1"/>
    <col min="8700" max="8700" width="32.5546875" style="1" customWidth="1"/>
    <col min="8701" max="8701" width="16.88671875" style="1" customWidth="1"/>
    <col min="8702" max="8702" width="16.33203125" style="1" customWidth="1"/>
    <col min="8703" max="8933" width="10.33203125" style="1"/>
    <col min="8934" max="8934" width="4.44140625" style="1" customWidth="1"/>
    <col min="8935" max="8935" width="21.6640625" style="1" customWidth="1"/>
    <col min="8936" max="8936" width="15" style="1" customWidth="1"/>
    <col min="8937" max="8937" width="15.44140625" style="1" customWidth="1"/>
    <col min="8938" max="8938" width="11.5546875" style="1" customWidth="1"/>
    <col min="8939" max="8939" width="7.44140625" style="1" customWidth="1"/>
    <col min="8940" max="8940" width="14.109375" style="1" customWidth="1"/>
    <col min="8941" max="8941" width="10.6640625" style="1" customWidth="1"/>
    <col min="8942" max="8942" width="13.44140625" style="1" customWidth="1"/>
    <col min="8943" max="8943" width="11.44140625" style="1" customWidth="1"/>
    <col min="8944" max="8944" width="15" style="1" customWidth="1"/>
    <col min="8945" max="8945" width="14.5546875" style="1" customWidth="1"/>
    <col min="8946" max="8946" width="10.33203125" style="1"/>
    <col min="8947" max="8947" width="7.44140625" style="1" customWidth="1"/>
    <col min="8948" max="8948" width="12.88671875" style="1" customWidth="1"/>
    <col min="8949" max="8949" width="11.109375" style="1" customWidth="1"/>
    <col min="8950" max="8950" width="14" style="1" customWidth="1"/>
    <col min="8951" max="8951" width="33" style="1" customWidth="1"/>
    <col min="8952" max="8952" width="6.6640625" style="1" customWidth="1"/>
    <col min="8953" max="8953" width="19" style="1" customWidth="1"/>
    <col min="8954" max="8954" width="19.109375" style="1" customWidth="1"/>
    <col min="8955" max="8955" width="21.33203125" style="1" customWidth="1"/>
    <col min="8956" max="8956" width="32.5546875" style="1" customWidth="1"/>
    <col min="8957" max="8957" width="16.88671875" style="1" customWidth="1"/>
    <col min="8958" max="8958" width="16.33203125" style="1" customWidth="1"/>
    <col min="8959" max="9189" width="10.33203125" style="1"/>
    <col min="9190" max="9190" width="4.44140625" style="1" customWidth="1"/>
    <col min="9191" max="9191" width="21.6640625" style="1" customWidth="1"/>
    <col min="9192" max="9192" width="15" style="1" customWidth="1"/>
    <col min="9193" max="9193" width="15.44140625" style="1" customWidth="1"/>
    <col min="9194" max="9194" width="11.5546875" style="1" customWidth="1"/>
    <col min="9195" max="9195" width="7.44140625" style="1" customWidth="1"/>
    <col min="9196" max="9196" width="14.109375" style="1" customWidth="1"/>
    <col min="9197" max="9197" width="10.6640625" style="1" customWidth="1"/>
    <col min="9198" max="9198" width="13.44140625" style="1" customWidth="1"/>
    <col min="9199" max="9199" width="11.44140625" style="1" customWidth="1"/>
    <col min="9200" max="9200" width="15" style="1" customWidth="1"/>
    <col min="9201" max="9201" width="14.5546875" style="1" customWidth="1"/>
    <col min="9202" max="9202" width="10.33203125" style="1"/>
    <col min="9203" max="9203" width="7.44140625" style="1" customWidth="1"/>
    <col min="9204" max="9204" width="12.88671875" style="1" customWidth="1"/>
    <col min="9205" max="9205" width="11.109375" style="1" customWidth="1"/>
    <col min="9206" max="9206" width="14" style="1" customWidth="1"/>
    <col min="9207" max="9207" width="33" style="1" customWidth="1"/>
    <col min="9208" max="9208" width="6.6640625" style="1" customWidth="1"/>
    <col min="9209" max="9209" width="19" style="1" customWidth="1"/>
    <col min="9210" max="9210" width="19.109375" style="1" customWidth="1"/>
    <col min="9211" max="9211" width="21.33203125" style="1" customWidth="1"/>
    <col min="9212" max="9212" width="32.5546875" style="1" customWidth="1"/>
    <col min="9213" max="9213" width="16.88671875" style="1" customWidth="1"/>
    <col min="9214" max="9214" width="16.33203125" style="1" customWidth="1"/>
    <col min="9215" max="9445" width="10.33203125" style="1"/>
    <col min="9446" max="9446" width="4.44140625" style="1" customWidth="1"/>
    <col min="9447" max="9447" width="21.6640625" style="1" customWidth="1"/>
    <col min="9448" max="9448" width="15" style="1" customWidth="1"/>
    <col min="9449" max="9449" width="15.44140625" style="1" customWidth="1"/>
    <col min="9450" max="9450" width="11.5546875" style="1" customWidth="1"/>
    <col min="9451" max="9451" width="7.44140625" style="1" customWidth="1"/>
    <col min="9452" max="9452" width="14.109375" style="1" customWidth="1"/>
    <col min="9453" max="9453" width="10.6640625" style="1" customWidth="1"/>
    <col min="9454" max="9454" width="13.44140625" style="1" customWidth="1"/>
    <col min="9455" max="9455" width="11.44140625" style="1" customWidth="1"/>
    <col min="9456" max="9456" width="15" style="1" customWidth="1"/>
    <col min="9457" max="9457" width="14.5546875" style="1" customWidth="1"/>
    <col min="9458" max="9458" width="10.33203125" style="1"/>
    <col min="9459" max="9459" width="7.44140625" style="1" customWidth="1"/>
    <col min="9460" max="9460" width="12.88671875" style="1" customWidth="1"/>
    <col min="9461" max="9461" width="11.109375" style="1" customWidth="1"/>
    <col min="9462" max="9462" width="14" style="1" customWidth="1"/>
    <col min="9463" max="9463" width="33" style="1" customWidth="1"/>
    <col min="9464" max="9464" width="6.6640625" style="1" customWidth="1"/>
    <col min="9465" max="9465" width="19" style="1" customWidth="1"/>
    <col min="9466" max="9466" width="19.109375" style="1" customWidth="1"/>
    <col min="9467" max="9467" width="21.33203125" style="1" customWidth="1"/>
    <col min="9468" max="9468" width="32.5546875" style="1" customWidth="1"/>
    <col min="9469" max="9469" width="16.88671875" style="1" customWidth="1"/>
    <col min="9470" max="9470" width="16.33203125" style="1" customWidth="1"/>
    <col min="9471" max="9701" width="10.33203125" style="1"/>
    <col min="9702" max="9702" width="4.44140625" style="1" customWidth="1"/>
    <col min="9703" max="9703" width="21.6640625" style="1" customWidth="1"/>
    <col min="9704" max="9704" width="15" style="1" customWidth="1"/>
    <col min="9705" max="9705" width="15.44140625" style="1" customWidth="1"/>
    <col min="9706" max="9706" width="11.5546875" style="1" customWidth="1"/>
    <col min="9707" max="9707" width="7.44140625" style="1" customWidth="1"/>
    <col min="9708" max="9708" width="14.109375" style="1" customWidth="1"/>
    <col min="9709" max="9709" width="10.6640625" style="1" customWidth="1"/>
    <col min="9710" max="9710" width="13.44140625" style="1" customWidth="1"/>
    <col min="9711" max="9711" width="11.44140625" style="1" customWidth="1"/>
    <col min="9712" max="9712" width="15" style="1" customWidth="1"/>
    <col min="9713" max="9713" width="14.5546875" style="1" customWidth="1"/>
    <col min="9714" max="9714" width="10.33203125" style="1"/>
    <col min="9715" max="9715" width="7.44140625" style="1" customWidth="1"/>
    <col min="9716" max="9716" width="12.88671875" style="1" customWidth="1"/>
    <col min="9717" max="9717" width="11.109375" style="1" customWidth="1"/>
    <col min="9718" max="9718" width="14" style="1" customWidth="1"/>
    <col min="9719" max="9719" width="33" style="1" customWidth="1"/>
    <col min="9720" max="9720" width="6.6640625" style="1" customWidth="1"/>
    <col min="9721" max="9721" width="19" style="1" customWidth="1"/>
    <col min="9722" max="9722" width="19.109375" style="1" customWidth="1"/>
    <col min="9723" max="9723" width="21.33203125" style="1" customWidth="1"/>
    <col min="9724" max="9724" width="32.5546875" style="1" customWidth="1"/>
    <col min="9725" max="9725" width="16.88671875" style="1" customWidth="1"/>
    <col min="9726" max="9726" width="16.33203125" style="1" customWidth="1"/>
    <col min="9727" max="9957" width="10.33203125" style="1"/>
    <col min="9958" max="9958" width="4.44140625" style="1" customWidth="1"/>
    <col min="9959" max="9959" width="21.6640625" style="1" customWidth="1"/>
    <col min="9960" max="9960" width="15" style="1" customWidth="1"/>
    <col min="9961" max="9961" width="15.44140625" style="1" customWidth="1"/>
    <col min="9962" max="9962" width="11.5546875" style="1" customWidth="1"/>
    <col min="9963" max="9963" width="7.44140625" style="1" customWidth="1"/>
    <col min="9964" max="9964" width="14.109375" style="1" customWidth="1"/>
    <col min="9965" max="9965" width="10.6640625" style="1" customWidth="1"/>
    <col min="9966" max="9966" width="13.44140625" style="1" customWidth="1"/>
    <col min="9967" max="9967" width="11.44140625" style="1" customWidth="1"/>
    <col min="9968" max="9968" width="15" style="1" customWidth="1"/>
    <col min="9969" max="9969" width="14.5546875" style="1" customWidth="1"/>
    <col min="9970" max="9970" width="10.33203125" style="1"/>
    <col min="9971" max="9971" width="7.44140625" style="1" customWidth="1"/>
    <col min="9972" max="9972" width="12.88671875" style="1" customWidth="1"/>
    <col min="9973" max="9973" width="11.109375" style="1" customWidth="1"/>
    <col min="9974" max="9974" width="14" style="1" customWidth="1"/>
    <col min="9975" max="9975" width="33" style="1" customWidth="1"/>
    <col min="9976" max="9976" width="6.6640625" style="1" customWidth="1"/>
    <col min="9977" max="9977" width="19" style="1" customWidth="1"/>
    <col min="9978" max="9978" width="19.109375" style="1" customWidth="1"/>
    <col min="9979" max="9979" width="21.33203125" style="1" customWidth="1"/>
    <col min="9980" max="9980" width="32.5546875" style="1" customWidth="1"/>
    <col min="9981" max="9981" width="16.88671875" style="1" customWidth="1"/>
    <col min="9982" max="9982" width="16.33203125" style="1" customWidth="1"/>
    <col min="9983" max="10213" width="10.33203125" style="1"/>
    <col min="10214" max="10214" width="4.44140625" style="1" customWidth="1"/>
    <col min="10215" max="10215" width="21.6640625" style="1" customWidth="1"/>
    <col min="10216" max="10216" width="15" style="1" customWidth="1"/>
    <col min="10217" max="10217" width="15.44140625" style="1" customWidth="1"/>
    <col min="10218" max="10218" width="11.5546875" style="1" customWidth="1"/>
    <col min="10219" max="10219" width="7.44140625" style="1" customWidth="1"/>
    <col min="10220" max="10220" width="14.109375" style="1" customWidth="1"/>
    <col min="10221" max="10221" width="10.6640625" style="1" customWidth="1"/>
    <col min="10222" max="10222" width="13.44140625" style="1" customWidth="1"/>
    <col min="10223" max="10223" width="11.44140625" style="1" customWidth="1"/>
    <col min="10224" max="10224" width="15" style="1" customWidth="1"/>
    <col min="10225" max="10225" width="14.5546875" style="1" customWidth="1"/>
    <col min="10226" max="10226" width="10.33203125" style="1"/>
    <col min="10227" max="10227" width="7.44140625" style="1" customWidth="1"/>
    <col min="10228" max="10228" width="12.88671875" style="1" customWidth="1"/>
    <col min="10229" max="10229" width="11.109375" style="1" customWidth="1"/>
    <col min="10230" max="10230" width="14" style="1" customWidth="1"/>
    <col min="10231" max="10231" width="33" style="1" customWidth="1"/>
    <col min="10232" max="10232" width="6.6640625" style="1" customWidth="1"/>
    <col min="10233" max="10233" width="19" style="1" customWidth="1"/>
    <col min="10234" max="10234" width="19.109375" style="1" customWidth="1"/>
    <col min="10235" max="10235" width="21.33203125" style="1" customWidth="1"/>
    <col min="10236" max="10236" width="32.5546875" style="1" customWidth="1"/>
    <col min="10237" max="10237" width="16.88671875" style="1" customWidth="1"/>
    <col min="10238" max="10238" width="16.33203125" style="1" customWidth="1"/>
    <col min="10239" max="10469" width="10.33203125" style="1"/>
    <col min="10470" max="10470" width="4.44140625" style="1" customWidth="1"/>
    <col min="10471" max="10471" width="21.6640625" style="1" customWidth="1"/>
    <col min="10472" max="10472" width="15" style="1" customWidth="1"/>
    <col min="10473" max="10473" width="15.44140625" style="1" customWidth="1"/>
    <col min="10474" max="10474" width="11.5546875" style="1" customWidth="1"/>
    <col min="10475" max="10475" width="7.44140625" style="1" customWidth="1"/>
    <col min="10476" max="10476" width="14.109375" style="1" customWidth="1"/>
    <col min="10477" max="10477" width="10.6640625" style="1" customWidth="1"/>
    <col min="10478" max="10478" width="13.44140625" style="1" customWidth="1"/>
    <col min="10479" max="10479" width="11.44140625" style="1" customWidth="1"/>
    <col min="10480" max="10480" width="15" style="1" customWidth="1"/>
    <col min="10481" max="10481" width="14.5546875" style="1" customWidth="1"/>
    <col min="10482" max="10482" width="10.33203125" style="1"/>
    <col min="10483" max="10483" width="7.44140625" style="1" customWidth="1"/>
    <col min="10484" max="10484" width="12.88671875" style="1" customWidth="1"/>
    <col min="10485" max="10485" width="11.109375" style="1" customWidth="1"/>
    <col min="10486" max="10486" width="14" style="1" customWidth="1"/>
    <col min="10487" max="10487" width="33" style="1" customWidth="1"/>
    <col min="10488" max="10488" width="6.6640625" style="1" customWidth="1"/>
    <col min="10489" max="10489" width="19" style="1" customWidth="1"/>
    <col min="10490" max="10490" width="19.109375" style="1" customWidth="1"/>
    <col min="10491" max="10491" width="21.33203125" style="1" customWidth="1"/>
    <col min="10492" max="10492" width="32.5546875" style="1" customWidth="1"/>
    <col min="10493" max="10493" width="16.88671875" style="1" customWidth="1"/>
    <col min="10494" max="10494" width="16.33203125" style="1" customWidth="1"/>
    <col min="10495" max="10725" width="10.33203125" style="1"/>
    <col min="10726" max="10726" width="4.44140625" style="1" customWidth="1"/>
    <col min="10727" max="10727" width="21.6640625" style="1" customWidth="1"/>
    <col min="10728" max="10728" width="15" style="1" customWidth="1"/>
    <col min="10729" max="10729" width="15.44140625" style="1" customWidth="1"/>
    <col min="10730" max="10730" width="11.5546875" style="1" customWidth="1"/>
    <col min="10731" max="10731" width="7.44140625" style="1" customWidth="1"/>
    <col min="10732" max="10732" width="14.109375" style="1" customWidth="1"/>
    <col min="10733" max="10733" width="10.6640625" style="1" customWidth="1"/>
    <col min="10734" max="10734" width="13.44140625" style="1" customWidth="1"/>
    <col min="10735" max="10735" width="11.44140625" style="1" customWidth="1"/>
    <col min="10736" max="10736" width="15" style="1" customWidth="1"/>
    <col min="10737" max="10737" width="14.5546875" style="1" customWidth="1"/>
    <col min="10738" max="10738" width="10.33203125" style="1"/>
    <col min="10739" max="10739" width="7.44140625" style="1" customWidth="1"/>
    <col min="10740" max="10740" width="12.88671875" style="1" customWidth="1"/>
    <col min="10741" max="10741" width="11.109375" style="1" customWidth="1"/>
    <col min="10742" max="10742" width="14" style="1" customWidth="1"/>
    <col min="10743" max="10743" width="33" style="1" customWidth="1"/>
    <col min="10744" max="10744" width="6.6640625" style="1" customWidth="1"/>
    <col min="10745" max="10745" width="19" style="1" customWidth="1"/>
    <col min="10746" max="10746" width="19.109375" style="1" customWidth="1"/>
    <col min="10747" max="10747" width="21.33203125" style="1" customWidth="1"/>
    <col min="10748" max="10748" width="32.5546875" style="1" customWidth="1"/>
    <col min="10749" max="10749" width="16.88671875" style="1" customWidth="1"/>
    <col min="10750" max="10750" width="16.33203125" style="1" customWidth="1"/>
    <col min="10751" max="10981" width="10.33203125" style="1"/>
    <col min="10982" max="10982" width="4.44140625" style="1" customWidth="1"/>
    <col min="10983" max="10983" width="21.6640625" style="1" customWidth="1"/>
    <col min="10984" max="10984" width="15" style="1" customWidth="1"/>
    <col min="10985" max="10985" width="15.44140625" style="1" customWidth="1"/>
    <col min="10986" max="10986" width="11.5546875" style="1" customWidth="1"/>
    <col min="10987" max="10987" width="7.44140625" style="1" customWidth="1"/>
    <col min="10988" max="10988" width="14.109375" style="1" customWidth="1"/>
    <col min="10989" max="10989" width="10.6640625" style="1" customWidth="1"/>
    <col min="10990" max="10990" width="13.44140625" style="1" customWidth="1"/>
    <col min="10991" max="10991" width="11.44140625" style="1" customWidth="1"/>
    <col min="10992" max="10992" width="15" style="1" customWidth="1"/>
    <col min="10993" max="10993" width="14.5546875" style="1" customWidth="1"/>
    <col min="10994" max="10994" width="10.33203125" style="1"/>
    <col min="10995" max="10995" width="7.44140625" style="1" customWidth="1"/>
    <col min="10996" max="10996" width="12.88671875" style="1" customWidth="1"/>
    <col min="10997" max="10997" width="11.109375" style="1" customWidth="1"/>
    <col min="10998" max="10998" width="14" style="1" customWidth="1"/>
    <col min="10999" max="10999" width="33" style="1" customWidth="1"/>
    <col min="11000" max="11000" width="6.6640625" style="1" customWidth="1"/>
    <col min="11001" max="11001" width="19" style="1" customWidth="1"/>
    <col min="11002" max="11002" width="19.109375" style="1" customWidth="1"/>
    <col min="11003" max="11003" width="21.33203125" style="1" customWidth="1"/>
    <col min="11004" max="11004" width="32.5546875" style="1" customWidth="1"/>
    <col min="11005" max="11005" width="16.88671875" style="1" customWidth="1"/>
    <col min="11006" max="11006" width="16.33203125" style="1" customWidth="1"/>
    <col min="11007" max="11237" width="10.33203125" style="1"/>
    <col min="11238" max="11238" width="4.44140625" style="1" customWidth="1"/>
    <col min="11239" max="11239" width="21.6640625" style="1" customWidth="1"/>
    <col min="11240" max="11240" width="15" style="1" customWidth="1"/>
    <col min="11241" max="11241" width="15.44140625" style="1" customWidth="1"/>
    <col min="11242" max="11242" width="11.5546875" style="1" customWidth="1"/>
    <col min="11243" max="11243" width="7.44140625" style="1" customWidth="1"/>
    <col min="11244" max="11244" width="14.109375" style="1" customWidth="1"/>
    <col min="11245" max="11245" width="10.6640625" style="1" customWidth="1"/>
    <col min="11246" max="11246" width="13.44140625" style="1" customWidth="1"/>
    <col min="11247" max="11247" width="11.44140625" style="1" customWidth="1"/>
    <col min="11248" max="11248" width="15" style="1" customWidth="1"/>
    <col min="11249" max="11249" width="14.5546875" style="1" customWidth="1"/>
    <col min="11250" max="11250" width="10.33203125" style="1"/>
    <col min="11251" max="11251" width="7.44140625" style="1" customWidth="1"/>
    <col min="11252" max="11252" width="12.88671875" style="1" customWidth="1"/>
    <col min="11253" max="11253" width="11.109375" style="1" customWidth="1"/>
    <col min="11254" max="11254" width="14" style="1" customWidth="1"/>
    <col min="11255" max="11255" width="33" style="1" customWidth="1"/>
    <col min="11256" max="11256" width="6.6640625" style="1" customWidth="1"/>
    <col min="11257" max="11257" width="19" style="1" customWidth="1"/>
    <col min="11258" max="11258" width="19.109375" style="1" customWidth="1"/>
    <col min="11259" max="11259" width="21.33203125" style="1" customWidth="1"/>
    <col min="11260" max="11260" width="32.5546875" style="1" customWidth="1"/>
    <col min="11261" max="11261" width="16.88671875" style="1" customWidth="1"/>
    <col min="11262" max="11262" width="16.33203125" style="1" customWidth="1"/>
    <col min="11263" max="11493" width="10.33203125" style="1"/>
    <col min="11494" max="11494" width="4.44140625" style="1" customWidth="1"/>
    <col min="11495" max="11495" width="21.6640625" style="1" customWidth="1"/>
    <col min="11496" max="11496" width="15" style="1" customWidth="1"/>
    <col min="11497" max="11497" width="15.44140625" style="1" customWidth="1"/>
    <col min="11498" max="11498" width="11.5546875" style="1" customWidth="1"/>
    <col min="11499" max="11499" width="7.44140625" style="1" customWidth="1"/>
    <col min="11500" max="11500" width="14.109375" style="1" customWidth="1"/>
    <col min="11501" max="11501" width="10.6640625" style="1" customWidth="1"/>
    <col min="11502" max="11502" width="13.44140625" style="1" customWidth="1"/>
    <col min="11503" max="11503" width="11.44140625" style="1" customWidth="1"/>
    <col min="11504" max="11504" width="15" style="1" customWidth="1"/>
    <col min="11505" max="11505" width="14.5546875" style="1" customWidth="1"/>
    <col min="11506" max="11506" width="10.33203125" style="1"/>
    <col min="11507" max="11507" width="7.44140625" style="1" customWidth="1"/>
    <col min="11508" max="11508" width="12.88671875" style="1" customWidth="1"/>
    <col min="11509" max="11509" width="11.109375" style="1" customWidth="1"/>
    <col min="11510" max="11510" width="14" style="1" customWidth="1"/>
    <col min="11511" max="11511" width="33" style="1" customWidth="1"/>
    <col min="11512" max="11512" width="6.6640625" style="1" customWidth="1"/>
    <col min="11513" max="11513" width="19" style="1" customWidth="1"/>
    <col min="11514" max="11514" width="19.109375" style="1" customWidth="1"/>
    <col min="11515" max="11515" width="21.33203125" style="1" customWidth="1"/>
    <col min="11516" max="11516" width="32.5546875" style="1" customWidth="1"/>
    <col min="11517" max="11517" width="16.88671875" style="1" customWidth="1"/>
    <col min="11518" max="11518" width="16.33203125" style="1" customWidth="1"/>
    <col min="11519" max="11749" width="10.33203125" style="1"/>
    <col min="11750" max="11750" width="4.44140625" style="1" customWidth="1"/>
    <col min="11751" max="11751" width="21.6640625" style="1" customWidth="1"/>
    <col min="11752" max="11752" width="15" style="1" customWidth="1"/>
    <col min="11753" max="11753" width="15.44140625" style="1" customWidth="1"/>
    <col min="11754" max="11754" width="11.5546875" style="1" customWidth="1"/>
    <col min="11755" max="11755" width="7.44140625" style="1" customWidth="1"/>
    <col min="11756" max="11756" width="14.109375" style="1" customWidth="1"/>
    <col min="11757" max="11757" width="10.6640625" style="1" customWidth="1"/>
    <col min="11758" max="11758" width="13.44140625" style="1" customWidth="1"/>
    <col min="11759" max="11759" width="11.44140625" style="1" customWidth="1"/>
    <col min="11760" max="11760" width="15" style="1" customWidth="1"/>
    <col min="11761" max="11761" width="14.5546875" style="1" customWidth="1"/>
    <col min="11762" max="11762" width="10.33203125" style="1"/>
    <col min="11763" max="11763" width="7.44140625" style="1" customWidth="1"/>
    <col min="11764" max="11764" width="12.88671875" style="1" customWidth="1"/>
    <col min="11765" max="11765" width="11.109375" style="1" customWidth="1"/>
    <col min="11766" max="11766" width="14" style="1" customWidth="1"/>
    <col min="11767" max="11767" width="33" style="1" customWidth="1"/>
    <col min="11768" max="11768" width="6.6640625" style="1" customWidth="1"/>
    <col min="11769" max="11769" width="19" style="1" customWidth="1"/>
    <col min="11770" max="11770" width="19.109375" style="1" customWidth="1"/>
    <col min="11771" max="11771" width="21.33203125" style="1" customWidth="1"/>
    <col min="11772" max="11772" width="32.5546875" style="1" customWidth="1"/>
    <col min="11773" max="11773" width="16.88671875" style="1" customWidth="1"/>
    <col min="11774" max="11774" width="16.33203125" style="1" customWidth="1"/>
    <col min="11775" max="12005" width="10.33203125" style="1"/>
    <col min="12006" max="12006" width="4.44140625" style="1" customWidth="1"/>
    <col min="12007" max="12007" width="21.6640625" style="1" customWidth="1"/>
    <col min="12008" max="12008" width="15" style="1" customWidth="1"/>
    <col min="12009" max="12009" width="15.44140625" style="1" customWidth="1"/>
    <col min="12010" max="12010" width="11.5546875" style="1" customWidth="1"/>
    <col min="12011" max="12011" width="7.44140625" style="1" customWidth="1"/>
    <col min="12012" max="12012" width="14.109375" style="1" customWidth="1"/>
    <col min="12013" max="12013" width="10.6640625" style="1" customWidth="1"/>
    <col min="12014" max="12014" width="13.44140625" style="1" customWidth="1"/>
    <col min="12015" max="12015" width="11.44140625" style="1" customWidth="1"/>
    <col min="12016" max="12016" width="15" style="1" customWidth="1"/>
    <col min="12017" max="12017" width="14.5546875" style="1" customWidth="1"/>
    <col min="12018" max="12018" width="10.33203125" style="1"/>
    <col min="12019" max="12019" width="7.44140625" style="1" customWidth="1"/>
    <col min="12020" max="12020" width="12.88671875" style="1" customWidth="1"/>
    <col min="12021" max="12021" width="11.109375" style="1" customWidth="1"/>
    <col min="12022" max="12022" width="14" style="1" customWidth="1"/>
    <col min="12023" max="12023" width="33" style="1" customWidth="1"/>
    <col min="12024" max="12024" width="6.6640625" style="1" customWidth="1"/>
    <col min="12025" max="12025" width="19" style="1" customWidth="1"/>
    <col min="12026" max="12026" width="19.109375" style="1" customWidth="1"/>
    <col min="12027" max="12027" width="21.33203125" style="1" customWidth="1"/>
    <col min="12028" max="12028" width="32.5546875" style="1" customWidth="1"/>
    <col min="12029" max="12029" width="16.88671875" style="1" customWidth="1"/>
    <col min="12030" max="12030" width="16.33203125" style="1" customWidth="1"/>
    <col min="12031" max="12261" width="10.33203125" style="1"/>
    <col min="12262" max="12262" width="4.44140625" style="1" customWidth="1"/>
    <col min="12263" max="12263" width="21.6640625" style="1" customWidth="1"/>
    <col min="12264" max="12264" width="15" style="1" customWidth="1"/>
    <col min="12265" max="12265" width="15.44140625" style="1" customWidth="1"/>
    <col min="12266" max="12266" width="11.5546875" style="1" customWidth="1"/>
    <col min="12267" max="12267" width="7.44140625" style="1" customWidth="1"/>
    <col min="12268" max="12268" width="14.109375" style="1" customWidth="1"/>
    <col min="12269" max="12269" width="10.6640625" style="1" customWidth="1"/>
    <col min="12270" max="12270" width="13.44140625" style="1" customWidth="1"/>
    <col min="12271" max="12271" width="11.44140625" style="1" customWidth="1"/>
    <col min="12272" max="12272" width="15" style="1" customWidth="1"/>
    <col min="12273" max="12273" width="14.5546875" style="1" customWidth="1"/>
    <col min="12274" max="12274" width="10.33203125" style="1"/>
    <col min="12275" max="12275" width="7.44140625" style="1" customWidth="1"/>
    <col min="12276" max="12276" width="12.88671875" style="1" customWidth="1"/>
    <col min="12277" max="12277" width="11.109375" style="1" customWidth="1"/>
    <col min="12278" max="12278" width="14" style="1" customWidth="1"/>
    <col min="12279" max="12279" width="33" style="1" customWidth="1"/>
    <col min="12280" max="12280" width="6.6640625" style="1" customWidth="1"/>
    <col min="12281" max="12281" width="19" style="1" customWidth="1"/>
    <col min="12282" max="12282" width="19.109375" style="1" customWidth="1"/>
    <col min="12283" max="12283" width="21.33203125" style="1" customWidth="1"/>
    <col min="12284" max="12284" width="32.5546875" style="1" customWidth="1"/>
    <col min="12285" max="12285" width="16.88671875" style="1" customWidth="1"/>
    <col min="12286" max="12286" width="16.33203125" style="1" customWidth="1"/>
    <col min="12287" max="12517" width="10.33203125" style="1"/>
    <col min="12518" max="12518" width="4.44140625" style="1" customWidth="1"/>
    <col min="12519" max="12519" width="21.6640625" style="1" customWidth="1"/>
    <col min="12520" max="12520" width="15" style="1" customWidth="1"/>
    <col min="12521" max="12521" width="15.44140625" style="1" customWidth="1"/>
    <col min="12522" max="12522" width="11.5546875" style="1" customWidth="1"/>
    <col min="12523" max="12523" width="7.44140625" style="1" customWidth="1"/>
    <col min="12524" max="12524" width="14.109375" style="1" customWidth="1"/>
    <col min="12525" max="12525" width="10.6640625" style="1" customWidth="1"/>
    <col min="12526" max="12526" width="13.44140625" style="1" customWidth="1"/>
    <col min="12527" max="12527" width="11.44140625" style="1" customWidth="1"/>
    <col min="12528" max="12528" width="15" style="1" customWidth="1"/>
    <col min="12529" max="12529" width="14.5546875" style="1" customWidth="1"/>
    <col min="12530" max="12530" width="10.33203125" style="1"/>
    <col min="12531" max="12531" width="7.44140625" style="1" customWidth="1"/>
    <col min="12532" max="12532" width="12.88671875" style="1" customWidth="1"/>
    <col min="12533" max="12533" width="11.109375" style="1" customWidth="1"/>
    <col min="12534" max="12534" width="14" style="1" customWidth="1"/>
    <col min="12535" max="12535" width="33" style="1" customWidth="1"/>
    <col min="12536" max="12536" width="6.6640625" style="1" customWidth="1"/>
    <col min="12537" max="12537" width="19" style="1" customWidth="1"/>
    <col min="12538" max="12538" width="19.109375" style="1" customWidth="1"/>
    <col min="12539" max="12539" width="21.33203125" style="1" customWidth="1"/>
    <col min="12540" max="12540" width="32.5546875" style="1" customWidth="1"/>
    <col min="12541" max="12541" width="16.88671875" style="1" customWidth="1"/>
    <col min="12542" max="12542" width="16.33203125" style="1" customWidth="1"/>
    <col min="12543" max="12773" width="10.33203125" style="1"/>
    <col min="12774" max="12774" width="4.44140625" style="1" customWidth="1"/>
    <col min="12775" max="12775" width="21.6640625" style="1" customWidth="1"/>
    <col min="12776" max="12776" width="15" style="1" customWidth="1"/>
    <col min="12777" max="12777" width="15.44140625" style="1" customWidth="1"/>
    <col min="12778" max="12778" width="11.5546875" style="1" customWidth="1"/>
    <col min="12779" max="12779" width="7.44140625" style="1" customWidth="1"/>
    <col min="12780" max="12780" width="14.109375" style="1" customWidth="1"/>
    <col min="12781" max="12781" width="10.6640625" style="1" customWidth="1"/>
    <col min="12782" max="12782" width="13.44140625" style="1" customWidth="1"/>
    <col min="12783" max="12783" width="11.44140625" style="1" customWidth="1"/>
    <col min="12784" max="12784" width="15" style="1" customWidth="1"/>
    <col min="12785" max="12785" width="14.5546875" style="1" customWidth="1"/>
    <col min="12786" max="12786" width="10.33203125" style="1"/>
    <col min="12787" max="12787" width="7.44140625" style="1" customWidth="1"/>
    <col min="12788" max="12788" width="12.88671875" style="1" customWidth="1"/>
    <col min="12789" max="12789" width="11.109375" style="1" customWidth="1"/>
    <col min="12790" max="12790" width="14" style="1" customWidth="1"/>
    <col min="12791" max="12791" width="33" style="1" customWidth="1"/>
    <col min="12792" max="12792" width="6.6640625" style="1" customWidth="1"/>
    <col min="12793" max="12793" width="19" style="1" customWidth="1"/>
    <col min="12794" max="12794" width="19.109375" style="1" customWidth="1"/>
    <col min="12795" max="12795" width="21.33203125" style="1" customWidth="1"/>
    <col min="12796" max="12796" width="32.5546875" style="1" customWidth="1"/>
    <col min="12797" max="12797" width="16.88671875" style="1" customWidth="1"/>
    <col min="12798" max="12798" width="16.33203125" style="1" customWidth="1"/>
    <col min="12799" max="13029" width="10.33203125" style="1"/>
    <col min="13030" max="13030" width="4.44140625" style="1" customWidth="1"/>
    <col min="13031" max="13031" width="21.6640625" style="1" customWidth="1"/>
    <col min="13032" max="13032" width="15" style="1" customWidth="1"/>
    <col min="13033" max="13033" width="15.44140625" style="1" customWidth="1"/>
    <col min="13034" max="13034" width="11.5546875" style="1" customWidth="1"/>
    <col min="13035" max="13035" width="7.44140625" style="1" customWidth="1"/>
    <col min="13036" max="13036" width="14.109375" style="1" customWidth="1"/>
    <col min="13037" max="13037" width="10.6640625" style="1" customWidth="1"/>
    <col min="13038" max="13038" width="13.44140625" style="1" customWidth="1"/>
    <col min="13039" max="13039" width="11.44140625" style="1" customWidth="1"/>
    <col min="13040" max="13040" width="15" style="1" customWidth="1"/>
    <col min="13041" max="13041" width="14.5546875" style="1" customWidth="1"/>
    <col min="13042" max="13042" width="10.33203125" style="1"/>
    <col min="13043" max="13043" width="7.44140625" style="1" customWidth="1"/>
    <col min="13044" max="13044" width="12.88671875" style="1" customWidth="1"/>
    <col min="13045" max="13045" width="11.109375" style="1" customWidth="1"/>
    <col min="13046" max="13046" width="14" style="1" customWidth="1"/>
    <col min="13047" max="13047" width="33" style="1" customWidth="1"/>
    <col min="13048" max="13048" width="6.6640625" style="1" customWidth="1"/>
    <col min="13049" max="13049" width="19" style="1" customWidth="1"/>
    <col min="13050" max="13050" width="19.109375" style="1" customWidth="1"/>
    <col min="13051" max="13051" width="21.33203125" style="1" customWidth="1"/>
    <col min="13052" max="13052" width="32.5546875" style="1" customWidth="1"/>
    <col min="13053" max="13053" width="16.88671875" style="1" customWidth="1"/>
    <col min="13054" max="13054" width="16.33203125" style="1" customWidth="1"/>
    <col min="13055" max="13285" width="10.33203125" style="1"/>
    <col min="13286" max="13286" width="4.44140625" style="1" customWidth="1"/>
    <col min="13287" max="13287" width="21.6640625" style="1" customWidth="1"/>
    <col min="13288" max="13288" width="15" style="1" customWidth="1"/>
    <col min="13289" max="13289" width="15.44140625" style="1" customWidth="1"/>
    <col min="13290" max="13290" width="11.5546875" style="1" customWidth="1"/>
    <col min="13291" max="13291" width="7.44140625" style="1" customWidth="1"/>
    <col min="13292" max="13292" width="14.109375" style="1" customWidth="1"/>
    <col min="13293" max="13293" width="10.6640625" style="1" customWidth="1"/>
    <col min="13294" max="13294" width="13.44140625" style="1" customWidth="1"/>
    <col min="13295" max="13295" width="11.44140625" style="1" customWidth="1"/>
    <col min="13296" max="13296" width="15" style="1" customWidth="1"/>
    <col min="13297" max="13297" width="14.5546875" style="1" customWidth="1"/>
    <col min="13298" max="13298" width="10.33203125" style="1"/>
    <col min="13299" max="13299" width="7.44140625" style="1" customWidth="1"/>
    <col min="13300" max="13300" width="12.88671875" style="1" customWidth="1"/>
    <col min="13301" max="13301" width="11.109375" style="1" customWidth="1"/>
    <col min="13302" max="13302" width="14" style="1" customWidth="1"/>
    <col min="13303" max="13303" width="33" style="1" customWidth="1"/>
    <col min="13304" max="13304" width="6.6640625" style="1" customWidth="1"/>
    <col min="13305" max="13305" width="19" style="1" customWidth="1"/>
    <col min="13306" max="13306" width="19.109375" style="1" customWidth="1"/>
    <col min="13307" max="13307" width="21.33203125" style="1" customWidth="1"/>
    <col min="13308" max="13308" width="32.5546875" style="1" customWidth="1"/>
    <col min="13309" max="13309" width="16.88671875" style="1" customWidth="1"/>
    <col min="13310" max="13310" width="16.33203125" style="1" customWidth="1"/>
    <col min="13311" max="13541" width="10.33203125" style="1"/>
    <col min="13542" max="13542" width="4.44140625" style="1" customWidth="1"/>
    <col min="13543" max="13543" width="21.6640625" style="1" customWidth="1"/>
    <col min="13544" max="13544" width="15" style="1" customWidth="1"/>
    <col min="13545" max="13545" width="15.44140625" style="1" customWidth="1"/>
    <col min="13546" max="13546" width="11.5546875" style="1" customWidth="1"/>
    <col min="13547" max="13547" width="7.44140625" style="1" customWidth="1"/>
    <col min="13548" max="13548" width="14.109375" style="1" customWidth="1"/>
    <col min="13549" max="13549" width="10.6640625" style="1" customWidth="1"/>
    <col min="13550" max="13550" width="13.44140625" style="1" customWidth="1"/>
    <col min="13551" max="13551" width="11.44140625" style="1" customWidth="1"/>
    <col min="13552" max="13552" width="15" style="1" customWidth="1"/>
    <col min="13553" max="13553" width="14.5546875" style="1" customWidth="1"/>
    <col min="13554" max="13554" width="10.33203125" style="1"/>
    <col min="13555" max="13555" width="7.44140625" style="1" customWidth="1"/>
    <col min="13556" max="13556" width="12.88671875" style="1" customWidth="1"/>
    <col min="13557" max="13557" width="11.109375" style="1" customWidth="1"/>
    <col min="13558" max="13558" width="14" style="1" customWidth="1"/>
    <col min="13559" max="13559" width="33" style="1" customWidth="1"/>
    <col min="13560" max="13560" width="6.6640625" style="1" customWidth="1"/>
    <col min="13561" max="13561" width="19" style="1" customWidth="1"/>
    <col min="13562" max="13562" width="19.109375" style="1" customWidth="1"/>
    <col min="13563" max="13563" width="21.33203125" style="1" customWidth="1"/>
    <col min="13564" max="13564" width="32.5546875" style="1" customWidth="1"/>
    <col min="13565" max="13565" width="16.88671875" style="1" customWidth="1"/>
    <col min="13566" max="13566" width="16.33203125" style="1" customWidth="1"/>
    <col min="13567" max="13797" width="10.33203125" style="1"/>
    <col min="13798" max="13798" width="4.44140625" style="1" customWidth="1"/>
    <col min="13799" max="13799" width="21.6640625" style="1" customWidth="1"/>
    <col min="13800" max="13800" width="15" style="1" customWidth="1"/>
    <col min="13801" max="13801" width="15.44140625" style="1" customWidth="1"/>
    <col min="13802" max="13802" width="11.5546875" style="1" customWidth="1"/>
    <col min="13803" max="13803" width="7.44140625" style="1" customWidth="1"/>
    <col min="13804" max="13804" width="14.109375" style="1" customWidth="1"/>
    <col min="13805" max="13805" width="10.6640625" style="1" customWidth="1"/>
    <col min="13806" max="13806" width="13.44140625" style="1" customWidth="1"/>
    <col min="13807" max="13807" width="11.44140625" style="1" customWidth="1"/>
    <col min="13808" max="13808" width="15" style="1" customWidth="1"/>
    <col min="13809" max="13809" width="14.5546875" style="1" customWidth="1"/>
    <col min="13810" max="13810" width="10.33203125" style="1"/>
    <col min="13811" max="13811" width="7.44140625" style="1" customWidth="1"/>
    <col min="13812" max="13812" width="12.88671875" style="1" customWidth="1"/>
    <col min="13813" max="13813" width="11.109375" style="1" customWidth="1"/>
    <col min="13814" max="13814" width="14" style="1" customWidth="1"/>
    <col min="13815" max="13815" width="33" style="1" customWidth="1"/>
    <col min="13816" max="13816" width="6.6640625" style="1" customWidth="1"/>
    <col min="13817" max="13817" width="19" style="1" customWidth="1"/>
    <col min="13818" max="13818" width="19.109375" style="1" customWidth="1"/>
    <col min="13819" max="13819" width="21.33203125" style="1" customWidth="1"/>
    <col min="13820" max="13820" width="32.5546875" style="1" customWidth="1"/>
    <col min="13821" max="13821" width="16.88671875" style="1" customWidth="1"/>
    <col min="13822" max="13822" width="16.33203125" style="1" customWidth="1"/>
    <col min="13823" max="14053" width="10.33203125" style="1"/>
    <col min="14054" max="14054" width="4.44140625" style="1" customWidth="1"/>
    <col min="14055" max="14055" width="21.6640625" style="1" customWidth="1"/>
    <col min="14056" max="14056" width="15" style="1" customWidth="1"/>
    <col min="14057" max="14057" width="15.44140625" style="1" customWidth="1"/>
    <col min="14058" max="14058" width="11.5546875" style="1" customWidth="1"/>
    <col min="14059" max="14059" width="7.44140625" style="1" customWidth="1"/>
    <col min="14060" max="14060" width="14.109375" style="1" customWidth="1"/>
    <col min="14061" max="14061" width="10.6640625" style="1" customWidth="1"/>
    <col min="14062" max="14062" width="13.44140625" style="1" customWidth="1"/>
    <col min="14063" max="14063" width="11.44140625" style="1" customWidth="1"/>
    <col min="14064" max="14064" width="15" style="1" customWidth="1"/>
    <col min="14065" max="14065" width="14.5546875" style="1" customWidth="1"/>
    <col min="14066" max="14066" width="10.33203125" style="1"/>
    <col min="14067" max="14067" width="7.44140625" style="1" customWidth="1"/>
    <col min="14068" max="14068" width="12.88671875" style="1" customWidth="1"/>
    <col min="14069" max="14069" width="11.109375" style="1" customWidth="1"/>
    <col min="14070" max="14070" width="14" style="1" customWidth="1"/>
    <col min="14071" max="14071" width="33" style="1" customWidth="1"/>
    <col min="14072" max="14072" width="6.6640625" style="1" customWidth="1"/>
    <col min="14073" max="14073" width="19" style="1" customWidth="1"/>
    <col min="14074" max="14074" width="19.109375" style="1" customWidth="1"/>
    <col min="14075" max="14075" width="21.33203125" style="1" customWidth="1"/>
    <col min="14076" max="14076" width="32.5546875" style="1" customWidth="1"/>
    <col min="14077" max="14077" width="16.88671875" style="1" customWidth="1"/>
    <col min="14078" max="14078" width="16.33203125" style="1" customWidth="1"/>
    <col min="14079" max="14309" width="10.33203125" style="1"/>
    <col min="14310" max="14310" width="4.44140625" style="1" customWidth="1"/>
    <col min="14311" max="14311" width="21.6640625" style="1" customWidth="1"/>
    <col min="14312" max="14312" width="15" style="1" customWidth="1"/>
    <col min="14313" max="14313" width="15.44140625" style="1" customWidth="1"/>
    <col min="14314" max="14314" width="11.5546875" style="1" customWidth="1"/>
    <col min="14315" max="14315" width="7.44140625" style="1" customWidth="1"/>
    <col min="14316" max="14316" width="14.109375" style="1" customWidth="1"/>
    <col min="14317" max="14317" width="10.6640625" style="1" customWidth="1"/>
    <col min="14318" max="14318" width="13.44140625" style="1" customWidth="1"/>
    <col min="14319" max="14319" width="11.44140625" style="1" customWidth="1"/>
    <col min="14320" max="14320" width="15" style="1" customWidth="1"/>
    <col min="14321" max="14321" width="14.5546875" style="1" customWidth="1"/>
    <col min="14322" max="14322" width="10.33203125" style="1"/>
    <col min="14323" max="14323" width="7.44140625" style="1" customWidth="1"/>
    <col min="14324" max="14324" width="12.88671875" style="1" customWidth="1"/>
    <col min="14325" max="14325" width="11.109375" style="1" customWidth="1"/>
    <col min="14326" max="14326" width="14" style="1" customWidth="1"/>
    <col min="14327" max="14327" width="33" style="1" customWidth="1"/>
    <col min="14328" max="14328" width="6.6640625" style="1" customWidth="1"/>
    <col min="14329" max="14329" width="19" style="1" customWidth="1"/>
    <col min="14330" max="14330" width="19.109375" style="1" customWidth="1"/>
    <col min="14331" max="14331" width="21.33203125" style="1" customWidth="1"/>
    <col min="14332" max="14332" width="32.5546875" style="1" customWidth="1"/>
    <col min="14333" max="14333" width="16.88671875" style="1" customWidth="1"/>
    <col min="14334" max="14334" width="16.33203125" style="1" customWidth="1"/>
    <col min="14335" max="14565" width="10.33203125" style="1"/>
    <col min="14566" max="14566" width="4.44140625" style="1" customWidth="1"/>
    <col min="14567" max="14567" width="21.6640625" style="1" customWidth="1"/>
    <col min="14568" max="14568" width="15" style="1" customWidth="1"/>
    <col min="14569" max="14569" width="15.44140625" style="1" customWidth="1"/>
    <col min="14570" max="14570" width="11.5546875" style="1" customWidth="1"/>
    <col min="14571" max="14571" width="7.44140625" style="1" customWidth="1"/>
    <col min="14572" max="14572" width="14.109375" style="1" customWidth="1"/>
    <col min="14573" max="14573" width="10.6640625" style="1" customWidth="1"/>
    <col min="14574" max="14574" width="13.44140625" style="1" customWidth="1"/>
    <col min="14575" max="14575" width="11.44140625" style="1" customWidth="1"/>
    <col min="14576" max="14576" width="15" style="1" customWidth="1"/>
    <col min="14577" max="14577" width="14.5546875" style="1" customWidth="1"/>
    <col min="14578" max="14578" width="10.33203125" style="1"/>
    <col min="14579" max="14579" width="7.44140625" style="1" customWidth="1"/>
    <col min="14580" max="14580" width="12.88671875" style="1" customWidth="1"/>
    <col min="14581" max="14581" width="11.109375" style="1" customWidth="1"/>
    <col min="14582" max="14582" width="14" style="1" customWidth="1"/>
    <col min="14583" max="14583" width="33" style="1" customWidth="1"/>
    <col min="14584" max="14584" width="6.6640625" style="1" customWidth="1"/>
    <col min="14585" max="14585" width="19" style="1" customWidth="1"/>
    <col min="14586" max="14586" width="19.109375" style="1" customWidth="1"/>
    <col min="14587" max="14587" width="21.33203125" style="1" customWidth="1"/>
    <col min="14588" max="14588" width="32.5546875" style="1" customWidth="1"/>
    <col min="14589" max="14589" width="16.88671875" style="1" customWidth="1"/>
    <col min="14590" max="14590" width="16.33203125" style="1" customWidth="1"/>
    <col min="14591" max="14821" width="10.33203125" style="1"/>
    <col min="14822" max="14822" width="4.44140625" style="1" customWidth="1"/>
    <col min="14823" max="14823" width="21.6640625" style="1" customWidth="1"/>
    <col min="14824" max="14824" width="15" style="1" customWidth="1"/>
    <col min="14825" max="14825" width="15.44140625" style="1" customWidth="1"/>
    <col min="14826" max="14826" width="11.5546875" style="1" customWidth="1"/>
    <col min="14827" max="14827" width="7.44140625" style="1" customWidth="1"/>
    <col min="14828" max="14828" width="14.109375" style="1" customWidth="1"/>
    <col min="14829" max="14829" width="10.6640625" style="1" customWidth="1"/>
    <col min="14830" max="14830" width="13.44140625" style="1" customWidth="1"/>
    <col min="14831" max="14831" width="11.44140625" style="1" customWidth="1"/>
    <col min="14832" max="14832" width="15" style="1" customWidth="1"/>
    <col min="14833" max="14833" width="14.5546875" style="1" customWidth="1"/>
    <col min="14834" max="14834" width="10.33203125" style="1"/>
    <col min="14835" max="14835" width="7.44140625" style="1" customWidth="1"/>
    <col min="14836" max="14836" width="12.88671875" style="1" customWidth="1"/>
    <col min="14837" max="14837" width="11.109375" style="1" customWidth="1"/>
    <col min="14838" max="14838" width="14" style="1" customWidth="1"/>
    <col min="14839" max="14839" width="33" style="1" customWidth="1"/>
    <col min="14840" max="14840" width="6.6640625" style="1" customWidth="1"/>
    <col min="14841" max="14841" width="19" style="1" customWidth="1"/>
    <col min="14842" max="14842" width="19.109375" style="1" customWidth="1"/>
    <col min="14843" max="14843" width="21.33203125" style="1" customWidth="1"/>
    <col min="14844" max="14844" width="32.5546875" style="1" customWidth="1"/>
    <col min="14845" max="14845" width="16.88671875" style="1" customWidth="1"/>
    <col min="14846" max="14846" width="16.33203125" style="1" customWidth="1"/>
    <col min="14847" max="15077" width="10.33203125" style="1"/>
    <col min="15078" max="15078" width="4.44140625" style="1" customWidth="1"/>
    <col min="15079" max="15079" width="21.6640625" style="1" customWidth="1"/>
    <col min="15080" max="15080" width="15" style="1" customWidth="1"/>
    <col min="15081" max="15081" width="15.44140625" style="1" customWidth="1"/>
    <col min="15082" max="15082" width="11.5546875" style="1" customWidth="1"/>
    <col min="15083" max="15083" width="7.44140625" style="1" customWidth="1"/>
    <col min="15084" max="15084" width="14.109375" style="1" customWidth="1"/>
    <col min="15085" max="15085" width="10.6640625" style="1" customWidth="1"/>
    <col min="15086" max="15086" width="13.44140625" style="1" customWidth="1"/>
    <col min="15087" max="15087" width="11.44140625" style="1" customWidth="1"/>
    <col min="15088" max="15088" width="15" style="1" customWidth="1"/>
    <col min="15089" max="15089" width="14.5546875" style="1" customWidth="1"/>
    <col min="15090" max="15090" width="10.33203125" style="1"/>
    <col min="15091" max="15091" width="7.44140625" style="1" customWidth="1"/>
    <col min="15092" max="15092" width="12.88671875" style="1" customWidth="1"/>
    <col min="15093" max="15093" width="11.109375" style="1" customWidth="1"/>
    <col min="15094" max="15094" width="14" style="1" customWidth="1"/>
    <col min="15095" max="15095" width="33" style="1" customWidth="1"/>
    <col min="15096" max="15096" width="6.6640625" style="1" customWidth="1"/>
    <col min="15097" max="15097" width="19" style="1" customWidth="1"/>
    <col min="15098" max="15098" width="19.109375" style="1" customWidth="1"/>
    <col min="15099" max="15099" width="21.33203125" style="1" customWidth="1"/>
    <col min="15100" max="15100" width="32.5546875" style="1" customWidth="1"/>
    <col min="15101" max="15101" width="16.88671875" style="1" customWidth="1"/>
    <col min="15102" max="15102" width="16.33203125" style="1" customWidth="1"/>
    <col min="15103" max="15333" width="10.33203125" style="1"/>
    <col min="15334" max="15334" width="4.44140625" style="1" customWidth="1"/>
    <col min="15335" max="15335" width="21.6640625" style="1" customWidth="1"/>
    <col min="15336" max="15336" width="15" style="1" customWidth="1"/>
    <col min="15337" max="15337" width="15.44140625" style="1" customWidth="1"/>
    <col min="15338" max="15338" width="11.5546875" style="1" customWidth="1"/>
    <col min="15339" max="15339" width="7.44140625" style="1" customWidth="1"/>
    <col min="15340" max="15340" width="14.109375" style="1" customWidth="1"/>
    <col min="15341" max="15341" width="10.6640625" style="1" customWidth="1"/>
    <col min="15342" max="15342" width="13.44140625" style="1" customWidth="1"/>
    <col min="15343" max="15343" width="11.44140625" style="1" customWidth="1"/>
    <col min="15344" max="15344" width="15" style="1" customWidth="1"/>
    <col min="15345" max="15345" width="14.5546875" style="1" customWidth="1"/>
    <col min="15346" max="15346" width="10.33203125" style="1"/>
    <col min="15347" max="15347" width="7.44140625" style="1" customWidth="1"/>
    <col min="15348" max="15348" width="12.88671875" style="1" customWidth="1"/>
    <col min="15349" max="15349" width="11.109375" style="1" customWidth="1"/>
    <col min="15350" max="15350" width="14" style="1" customWidth="1"/>
    <col min="15351" max="15351" width="33" style="1" customWidth="1"/>
    <col min="15352" max="15352" width="6.6640625" style="1" customWidth="1"/>
    <col min="15353" max="15353" width="19" style="1" customWidth="1"/>
    <col min="15354" max="15354" width="19.109375" style="1" customWidth="1"/>
    <col min="15355" max="15355" width="21.33203125" style="1" customWidth="1"/>
    <col min="15356" max="15356" width="32.5546875" style="1" customWidth="1"/>
    <col min="15357" max="15357" width="16.88671875" style="1" customWidth="1"/>
    <col min="15358" max="15358" width="16.33203125" style="1" customWidth="1"/>
    <col min="15359" max="15589" width="10.33203125" style="1"/>
    <col min="15590" max="15590" width="4.44140625" style="1" customWidth="1"/>
    <col min="15591" max="15591" width="21.6640625" style="1" customWidth="1"/>
    <col min="15592" max="15592" width="15" style="1" customWidth="1"/>
    <col min="15593" max="15593" width="15.44140625" style="1" customWidth="1"/>
    <col min="15594" max="15594" width="11.5546875" style="1" customWidth="1"/>
    <col min="15595" max="15595" width="7.44140625" style="1" customWidth="1"/>
    <col min="15596" max="15596" width="14.109375" style="1" customWidth="1"/>
    <col min="15597" max="15597" width="10.6640625" style="1" customWidth="1"/>
    <col min="15598" max="15598" width="13.44140625" style="1" customWidth="1"/>
    <col min="15599" max="15599" width="11.44140625" style="1" customWidth="1"/>
    <col min="15600" max="15600" width="15" style="1" customWidth="1"/>
    <col min="15601" max="15601" width="14.5546875" style="1" customWidth="1"/>
    <col min="15602" max="15602" width="10.33203125" style="1"/>
    <col min="15603" max="15603" width="7.44140625" style="1" customWidth="1"/>
    <col min="15604" max="15604" width="12.88671875" style="1" customWidth="1"/>
    <col min="15605" max="15605" width="11.109375" style="1" customWidth="1"/>
    <col min="15606" max="15606" width="14" style="1" customWidth="1"/>
    <col min="15607" max="15607" width="33" style="1" customWidth="1"/>
    <col min="15608" max="15608" width="6.6640625" style="1" customWidth="1"/>
    <col min="15609" max="15609" width="19" style="1" customWidth="1"/>
    <col min="15610" max="15610" width="19.109375" style="1" customWidth="1"/>
    <col min="15611" max="15611" width="21.33203125" style="1" customWidth="1"/>
    <col min="15612" max="15612" width="32.5546875" style="1" customWidth="1"/>
    <col min="15613" max="15613" width="16.88671875" style="1" customWidth="1"/>
    <col min="15614" max="15614" width="16.33203125" style="1" customWidth="1"/>
    <col min="15615" max="15845" width="10.33203125" style="1"/>
    <col min="15846" max="15846" width="4.44140625" style="1" customWidth="1"/>
    <col min="15847" max="15847" width="21.6640625" style="1" customWidth="1"/>
    <col min="15848" max="15848" width="15" style="1" customWidth="1"/>
    <col min="15849" max="15849" width="15.44140625" style="1" customWidth="1"/>
    <col min="15850" max="15850" width="11.5546875" style="1" customWidth="1"/>
    <col min="15851" max="15851" width="7.44140625" style="1" customWidth="1"/>
    <col min="15852" max="15852" width="14.109375" style="1" customWidth="1"/>
    <col min="15853" max="15853" width="10.6640625" style="1" customWidth="1"/>
    <col min="15854" max="15854" width="13.44140625" style="1" customWidth="1"/>
    <col min="15855" max="15855" width="11.44140625" style="1" customWidth="1"/>
    <col min="15856" max="15856" width="15" style="1" customWidth="1"/>
    <col min="15857" max="15857" width="14.5546875" style="1" customWidth="1"/>
    <col min="15858" max="15858" width="10.33203125" style="1"/>
    <col min="15859" max="15859" width="7.44140625" style="1" customWidth="1"/>
    <col min="15860" max="15860" width="12.88671875" style="1" customWidth="1"/>
    <col min="15861" max="15861" width="11.109375" style="1" customWidth="1"/>
    <col min="15862" max="15862" width="14" style="1" customWidth="1"/>
    <col min="15863" max="15863" width="33" style="1" customWidth="1"/>
    <col min="15864" max="15864" width="6.6640625" style="1" customWidth="1"/>
    <col min="15865" max="15865" width="19" style="1" customWidth="1"/>
    <col min="15866" max="15866" width="19.109375" style="1" customWidth="1"/>
    <col min="15867" max="15867" width="21.33203125" style="1" customWidth="1"/>
    <col min="15868" max="15868" width="32.5546875" style="1" customWidth="1"/>
    <col min="15869" max="15869" width="16.88671875" style="1" customWidth="1"/>
    <col min="15870" max="15870" width="16.33203125" style="1" customWidth="1"/>
    <col min="15871" max="16101" width="10.33203125" style="1"/>
    <col min="16102" max="16102" width="4.44140625" style="1" customWidth="1"/>
    <col min="16103" max="16103" width="21.6640625" style="1" customWidth="1"/>
    <col min="16104" max="16104" width="15" style="1" customWidth="1"/>
    <col min="16105" max="16105" width="15.44140625" style="1" customWidth="1"/>
    <col min="16106" max="16106" width="11.5546875" style="1" customWidth="1"/>
    <col min="16107" max="16107" width="7.44140625" style="1" customWidth="1"/>
    <col min="16108" max="16108" width="14.109375" style="1" customWidth="1"/>
    <col min="16109" max="16109" width="10.6640625" style="1" customWidth="1"/>
    <col min="16110" max="16110" width="13.44140625" style="1" customWidth="1"/>
    <col min="16111" max="16111" width="11.44140625" style="1" customWidth="1"/>
    <col min="16112" max="16112" width="15" style="1" customWidth="1"/>
    <col min="16113" max="16113" width="14.5546875" style="1" customWidth="1"/>
    <col min="16114" max="16114" width="10.33203125" style="1"/>
    <col min="16115" max="16115" width="7.44140625" style="1" customWidth="1"/>
    <col min="16116" max="16116" width="12.88671875" style="1" customWidth="1"/>
    <col min="16117" max="16117" width="11.109375" style="1" customWidth="1"/>
    <col min="16118" max="16118" width="14" style="1" customWidth="1"/>
    <col min="16119" max="16119" width="33" style="1" customWidth="1"/>
    <col min="16120" max="16120" width="6.6640625" style="1" customWidth="1"/>
    <col min="16121" max="16121" width="19" style="1" customWidth="1"/>
    <col min="16122" max="16122" width="19.109375" style="1" customWidth="1"/>
    <col min="16123" max="16123" width="21.33203125" style="1" customWidth="1"/>
    <col min="16124" max="16124" width="32.5546875" style="1" customWidth="1"/>
    <col min="16125" max="16125" width="16.88671875" style="1" customWidth="1"/>
    <col min="16126" max="16126" width="16.33203125" style="1" customWidth="1"/>
    <col min="16127" max="16384" width="10.33203125" style="1"/>
  </cols>
  <sheetData>
    <row r="1" spans="1:6" ht="24.6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274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6" ht="24.6">
      <c r="A5" s="3"/>
      <c r="B5" s="13"/>
      <c r="C5" s="3"/>
      <c r="D5" s="15"/>
      <c r="E5" s="16"/>
      <c r="F5" s="8"/>
    </row>
    <row r="6" spans="1:6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6" ht="25.2" hidden="1" thickTop="1">
      <c r="A7" s="29"/>
      <c r="B7" s="45" t="s">
        <v>37</v>
      </c>
      <c r="C7" s="29"/>
      <c r="D7" s="47"/>
      <c r="E7" s="48"/>
      <c r="F7" s="58"/>
    </row>
    <row r="8" spans="1:6" ht="25.8" hidden="1" thickTop="1" thickBot="1">
      <c r="A8" s="25">
        <v>1</v>
      </c>
      <c r="B8" s="25"/>
      <c r="C8" s="29"/>
      <c r="D8" s="75"/>
      <c r="E8" s="76"/>
      <c r="F8" s="77"/>
    </row>
    <row r="9" spans="1:6" ht="25.8" hidden="1" thickTop="1" thickBot="1">
      <c r="A9" s="25"/>
      <c r="B9" s="25" t="s">
        <v>26</v>
      </c>
      <c r="C9" s="29"/>
      <c r="D9" s="80"/>
      <c r="E9" s="81"/>
      <c r="F9" s="55"/>
    </row>
    <row r="10" spans="1:6" ht="25.2" hidden="1" thickTop="1">
      <c r="A10" s="25"/>
      <c r="B10" s="45" t="s">
        <v>38</v>
      </c>
      <c r="C10" s="29"/>
      <c r="D10" s="47"/>
      <c r="E10" s="48"/>
      <c r="F10" s="58"/>
    </row>
    <row r="11" spans="1:6" ht="25.8" hidden="1" thickTop="1" thickBot="1">
      <c r="A11" s="25">
        <v>1</v>
      </c>
      <c r="B11" s="25"/>
      <c r="C11" s="29"/>
      <c r="D11" s="75"/>
      <c r="E11" s="76"/>
      <c r="F11" s="77"/>
    </row>
    <row r="12" spans="1:6" ht="25.8" hidden="1" thickTop="1" thickBot="1">
      <c r="A12" s="25"/>
      <c r="B12" s="25" t="s">
        <v>26</v>
      </c>
      <c r="C12" s="29"/>
      <c r="D12" s="65"/>
      <c r="E12" s="66"/>
      <c r="F12" s="67"/>
    </row>
    <row r="13" spans="1:6" ht="24.6">
      <c r="A13" s="29"/>
      <c r="B13" s="45" t="s">
        <v>39</v>
      </c>
      <c r="C13" s="29"/>
      <c r="D13" s="47"/>
      <c r="E13" s="48"/>
      <c r="F13" s="48"/>
    </row>
    <row r="14" spans="1:6" ht="24.6">
      <c r="A14" s="25">
        <v>1</v>
      </c>
      <c r="B14" s="29" t="s">
        <v>277</v>
      </c>
      <c r="C14" s="29"/>
      <c r="D14" s="69">
        <v>25147</v>
      </c>
      <c r="E14" s="84" t="s">
        <v>278</v>
      </c>
      <c r="F14" s="85">
        <v>535</v>
      </c>
    </row>
    <row r="15" spans="1:6" s="96" customFormat="1" ht="24.6">
      <c r="A15" s="86">
        <v>2</v>
      </c>
      <c r="B15" s="87" t="s">
        <v>44</v>
      </c>
      <c r="C15" s="88"/>
      <c r="D15" s="93">
        <v>25172</v>
      </c>
      <c r="E15" s="94" t="s">
        <v>279</v>
      </c>
      <c r="F15" s="95">
        <v>1070</v>
      </c>
    </row>
    <row r="16" spans="1:6" ht="24.6">
      <c r="A16" s="25">
        <v>3</v>
      </c>
      <c r="B16" s="29" t="s">
        <v>46</v>
      </c>
      <c r="C16" s="29"/>
      <c r="D16" s="69">
        <v>25172</v>
      </c>
      <c r="E16" s="70" t="s">
        <v>280</v>
      </c>
      <c r="F16" s="100">
        <v>535</v>
      </c>
    </row>
    <row r="17" spans="1:8" ht="25.2" thickBot="1">
      <c r="A17" s="29"/>
      <c r="B17" s="25" t="s">
        <v>26</v>
      </c>
      <c r="C17" s="29"/>
      <c r="D17" s="67"/>
      <c r="E17" s="67"/>
      <c r="F17" s="104">
        <v>2140</v>
      </c>
      <c r="H17" s="175">
        <f>SUM(F14:F16)</f>
        <v>2140</v>
      </c>
    </row>
    <row r="18" spans="1:8" ht="25.2" hidden="1" thickTop="1">
      <c r="A18" s="29"/>
      <c r="B18" s="45" t="s">
        <v>49</v>
      </c>
      <c r="C18" s="29"/>
      <c r="D18" s="47"/>
      <c r="E18" s="48"/>
      <c r="F18" s="58"/>
    </row>
    <row r="19" spans="1:8" ht="16.5" hidden="1" customHeight="1" thickTop="1">
      <c r="A19" s="25">
        <v>1</v>
      </c>
      <c r="B19" s="25"/>
      <c r="C19" s="29"/>
      <c r="D19" s="75"/>
      <c r="E19" s="76"/>
      <c r="F19" s="77"/>
    </row>
    <row r="20" spans="1:8" ht="25.8" hidden="1" thickTop="1" thickBot="1">
      <c r="A20" s="25"/>
      <c r="B20" s="25" t="s">
        <v>26</v>
      </c>
      <c r="C20" s="29"/>
      <c r="D20" s="80"/>
      <c r="E20" s="81"/>
      <c r="F20" s="55"/>
    </row>
    <row r="21" spans="1:8" ht="25.2" hidden="1" thickTop="1">
      <c r="A21" s="25"/>
      <c r="B21" s="45" t="s">
        <v>50</v>
      </c>
      <c r="C21" s="29"/>
      <c r="D21" s="47"/>
      <c r="E21" s="48"/>
      <c r="F21" s="58"/>
    </row>
    <row r="22" spans="1:8" ht="25.8" hidden="1" thickTop="1" thickBot="1">
      <c r="A22" s="25"/>
      <c r="B22" s="25"/>
      <c r="C22" s="29"/>
      <c r="D22" s="75"/>
      <c r="E22" s="76"/>
      <c r="F22" s="77"/>
    </row>
    <row r="23" spans="1:8" ht="25.2" hidden="1" thickTop="1">
      <c r="A23" s="25"/>
      <c r="B23" s="25" t="s">
        <v>26</v>
      </c>
      <c r="C23" s="29"/>
      <c r="D23" s="112"/>
      <c r="E23" s="113"/>
      <c r="F23" s="114"/>
    </row>
    <row r="24" spans="1:8" ht="25.2" hidden="1" thickTop="1">
      <c r="A24" s="25"/>
      <c r="B24" s="45" t="s">
        <v>51</v>
      </c>
      <c r="C24" s="29"/>
      <c r="D24" s="60"/>
      <c r="E24" s="61"/>
      <c r="F24" s="62"/>
    </row>
    <row r="25" spans="1:8" ht="25.8" hidden="1" thickTop="1" thickBot="1">
      <c r="A25" s="25">
        <v>1</v>
      </c>
      <c r="B25" s="25"/>
      <c r="C25" s="29"/>
      <c r="D25" s="75"/>
      <c r="E25" s="76"/>
      <c r="F25" s="77"/>
    </row>
    <row r="26" spans="1:8" ht="25.8" hidden="1" thickTop="1" thickBot="1">
      <c r="A26" s="25"/>
      <c r="B26" s="25" t="s">
        <v>26</v>
      </c>
      <c r="C26" s="29"/>
      <c r="D26" s="65"/>
      <c r="E26" s="66"/>
      <c r="F26" s="67"/>
    </row>
    <row r="27" spans="1:8" ht="25.2" thickTop="1">
      <c r="A27" s="29"/>
      <c r="B27" s="45" t="s">
        <v>52</v>
      </c>
      <c r="C27" s="29"/>
      <c r="D27" s="47"/>
      <c r="E27" s="48"/>
      <c r="F27" s="58"/>
    </row>
    <row r="28" spans="1:8" ht="24.6">
      <c r="A28" s="25">
        <v>1</v>
      </c>
      <c r="B28" s="29" t="s">
        <v>65</v>
      </c>
      <c r="C28" s="25">
        <v>267</v>
      </c>
      <c r="D28" s="69">
        <v>25147</v>
      </c>
      <c r="E28" s="70" t="s">
        <v>281</v>
      </c>
      <c r="F28" s="83">
        <v>1215</v>
      </c>
    </row>
    <row r="29" spans="1:8" ht="24.6">
      <c r="A29" s="25">
        <v>2</v>
      </c>
      <c r="B29" s="29" t="s">
        <v>70</v>
      </c>
      <c r="C29" s="25" t="s">
        <v>71</v>
      </c>
      <c r="D29" s="69">
        <v>25149</v>
      </c>
      <c r="E29" s="70" t="s">
        <v>282</v>
      </c>
      <c r="F29" s="83">
        <v>2430</v>
      </c>
    </row>
    <row r="30" spans="1:8" ht="24.6">
      <c r="A30" s="25">
        <v>3</v>
      </c>
      <c r="B30" s="29" t="s">
        <v>78</v>
      </c>
      <c r="C30" s="25" t="s">
        <v>79</v>
      </c>
      <c r="D30" s="69">
        <v>25168</v>
      </c>
      <c r="E30" s="70" t="s">
        <v>283</v>
      </c>
      <c r="F30" s="83">
        <v>2430</v>
      </c>
    </row>
    <row r="31" spans="1:8" ht="24.6">
      <c r="A31" s="25">
        <v>4</v>
      </c>
      <c r="B31" s="29" t="s">
        <v>83</v>
      </c>
      <c r="C31" s="25">
        <v>277</v>
      </c>
      <c r="D31" s="69">
        <v>25172</v>
      </c>
      <c r="E31" s="70" t="s">
        <v>284</v>
      </c>
      <c r="F31" s="83">
        <v>1215</v>
      </c>
    </row>
    <row r="32" spans="1:8" ht="24.6">
      <c r="A32" s="25">
        <v>5</v>
      </c>
      <c r="B32" s="29" t="s">
        <v>105</v>
      </c>
      <c r="C32" s="29"/>
      <c r="D32" s="69">
        <v>25155</v>
      </c>
      <c r="E32" s="70" t="s">
        <v>285</v>
      </c>
      <c r="F32" s="83">
        <v>5000</v>
      </c>
    </row>
    <row r="33" spans="1:8" ht="24.6">
      <c r="A33" s="25">
        <v>6</v>
      </c>
      <c r="B33" s="29" t="s">
        <v>105</v>
      </c>
      <c r="C33" s="29"/>
      <c r="D33" s="69">
        <v>25155</v>
      </c>
      <c r="E33" s="70" t="s">
        <v>286</v>
      </c>
      <c r="F33" s="83">
        <v>4650</v>
      </c>
    </row>
    <row r="34" spans="1:8" ht="24.6">
      <c r="A34" s="25">
        <v>7</v>
      </c>
      <c r="B34" s="29" t="s">
        <v>109</v>
      </c>
      <c r="C34" s="53"/>
      <c r="D34" s="128">
        <v>25147</v>
      </c>
      <c r="E34" s="129" t="s">
        <v>287</v>
      </c>
      <c r="F34" s="130">
        <v>3450</v>
      </c>
    </row>
    <row r="35" spans="1:8" ht="24.6">
      <c r="A35" s="25">
        <v>8</v>
      </c>
      <c r="B35" s="29" t="s">
        <v>112</v>
      </c>
      <c r="C35" s="29"/>
      <c r="D35" s="128">
        <v>25147</v>
      </c>
      <c r="E35" s="129" t="s">
        <v>288</v>
      </c>
      <c r="F35" s="130">
        <v>3795</v>
      </c>
    </row>
    <row r="36" spans="1:8" ht="25.5" customHeight="1">
      <c r="A36" s="25">
        <v>9</v>
      </c>
      <c r="B36" s="132" t="s">
        <v>115</v>
      </c>
      <c r="C36" s="132"/>
      <c r="D36" s="128">
        <v>25147</v>
      </c>
      <c r="E36" s="129" t="s">
        <v>289</v>
      </c>
      <c r="F36" s="130">
        <v>8000</v>
      </c>
    </row>
    <row r="37" spans="1:8" ht="25.2" thickBot="1">
      <c r="A37" s="29"/>
      <c r="B37" s="25" t="s">
        <v>26</v>
      </c>
      <c r="C37" s="74"/>
      <c r="D37" s="77"/>
      <c r="E37" s="77"/>
      <c r="F37" s="77">
        <v>32185</v>
      </c>
      <c r="H37" s="175">
        <f>SUM(F28:F36)</f>
        <v>32185</v>
      </c>
    </row>
    <row r="38" spans="1:8" ht="25.2" thickTop="1">
      <c r="A38" s="29"/>
      <c r="B38" s="116" t="s">
        <v>117</v>
      </c>
      <c r="C38" s="46"/>
      <c r="D38" s="137"/>
      <c r="E38" s="138"/>
      <c r="F38" s="139"/>
    </row>
    <row r="39" spans="1:8" ht="25.2" thickBot="1">
      <c r="A39" s="25">
        <v>1</v>
      </c>
      <c r="B39" s="119" t="s">
        <v>121</v>
      </c>
      <c r="C39" s="46"/>
      <c r="D39" s="69">
        <v>25147</v>
      </c>
      <c r="E39" s="70" t="s">
        <v>290</v>
      </c>
      <c r="F39" s="83">
        <v>6000</v>
      </c>
    </row>
    <row r="40" spans="1:8" ht="24.6">
      <c r="A40" s="25">
        <v>2</v>
      </c>
      <c r="B40" s="29" t="s">
        <v>124</v>
      </c>
      <c r="C40" s="29"/>
      <c r="D40" s="69">
        <v>25170</v>
      </c>
      <c r="E40" s="70" t="s">
        <v>291</v>
      </c>
      <c r="F40" s="83">
        <v>600</v>
      </c>
    </row>
    <row r="41" spans="1:8" ht="24.6">
      <c r="A41" s="25">
        <v>3</v>
      </c>
      <c r="B41" s="29" t="s">
        <v>130</v>
      </c>
      <c r="C41" s="29"/>
      <c r="D41" s="69">
        <v>25162</v>
      </c>
      <c r="E41" s="70" t="s">
        <v>292</v>
      </c>
      <c r="F41" s="83">
        <v>550</v>
      </c>
    </row>
    <row r="42" spans="1:8" ht="24.6">
      <c r="A42" s="25">
        <v>4</v>
      </c>
      <c r="B42" s="29" t="s">
        <v>132</v>
      </c>
      <c r="C42" s="29"/>
      <c r="D42" s="69">
        <v>25172</v>
      </c>
      <c r="E42" s="70" t="s">
        <v>293</v>
      </c>
      <c r="F42" s="83">
        <v>1100</v>
      </c>
    </row>
    <row r="43" spans="1:8" ht="24.6">
      <c r="A43" s="25">
        <v>5</v>
      </c>
      <c r="B43" s="29" t="s">
        <v>134</v>
      </c>
      <c r="C43" s="29"/>
      <c r="D43" s="69">
        <v>25162</v>
      </c>
      <c r="E43" s="84" t="s">
        <v>294</v>
      </c>
      <c r="F43" s="83">
        <v>1650</v>
      </c>
    </row>
    <row r="44" spans="1:8" ht="25.2" thickBot="1">
      <c r="A44" s="29"/>
      <c r="B44" s="25" t="s">
        <v>26</v>
      </c>
      <c r="C44" s="64"/>
      <c r="D44" s="67"/>
      <c r="E44" s="67"/>
      <c r="F44" s="67">
        <v>9900</v>
      </c>
      <c r="H44" s="175">
        <f>SUM(F39:F43)</f>
        <v>9900</v>
      </c>
    </row>
    <row r="45" spans="1:8" ht="24.75" customHeight="1" thickTop="1">
      <c r="A45" s="14"/>
      <c r="B45" s="173"/>
      <c r="F45" s="178"/>
    </row>
    <row r="46" spans="1:8" ht="25.2" thickBot="1">
      <c r="A46" s="29"/>
      <c r="B46" s="25" t="s">
        <v>248</v>
      </c>
      <c r="C46" s="64"/>
      <c r="D46" s="67"/>
      <c r="E46" s="67"/>
      <c r="F46" s="67">
        <v>44225</v>
      </c>
      <c r="H46" s="260">
        <f>SUM(H17:H44)</f>
        <v>44225</v>
      </c>
    </row>
    <row r="47" spans="1:8" ht="25.2" thickTop="1"/>
    <row r="48" spans="1:8" ht="24.6">
      <c r="E48" s="250"/>
    </row>
    <row r="49" spans="5:6" ht="24.6">
      <c r="E49" s="251"/>
    </row>
    <row r="50" spans="5:6" ht="24.6">
      <c r="E50" s="250"/>
    </row>
    <row r="51" spans="5:6" ht="24.6">
      <c r="E51" s="250"/>
      <c r="F51" s="252"/>
    </row>
    <row r="52" spans="5:6" ht="24.6">
      <c r="E52" s="250"/>
    </row>
    <row r="53" spans="5:6" ht="24.6"/>
    <row r="54" spans="5:6" ht="24.6"/>
    <row r="55" spans="5:6" ht="24.6"/>
    <row r="56" spans="5:6" ht="24.6"/>
    <row r="57" spans="5:6" ht="24.6"/>
    <row r="58" spans="5:6" ht="24.6"/>
    <row r="59" spans="5:6" ht="24.6"/>
    <row r="60" spans="5:6" ht="24.6"/>
    <row r="61" spans="5:6" ht="24.6"/>
    <row r="62" spans="5:6" ht="24.6"/>
    <row r="63" spans="5:6" ht="24.6"/>
    <row r="64" spans="5:6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95-DC11-4435-9BA6-FB8C983D1D8E}">
  <sheetPr codeName="Sheet4">
    <tabColor rgb="FF92D050"/>
  </sheetPr>
  <dimension ref="A1:L811"/>
  <sheetViews>
    <sheetView zoomScale="90" zoomScaleNormal="90" zoomScaleSheetLayoutView="87" workbookViewId="0">
      <pane ySplit="5" topLeftCell="A24" activePane="bottomLeft" state="frozen"/>
      <selection activeCell="I147" sqref="I147"/>
      <selection pane="bottomLeft" activeCell="M31" sqref="M31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4" width="15" style="1" customWidth="1"/>
    <col min="5" max="5" width="10.33203125" style="1" customWidth="1"/>
    <col min="6" max="6" width="7.44140625" style="173" customWidth="1"/>
    <col min="7" max="7" width="14" style="1" customWidth="1"/>
    <col min="8" max="8" width="10.33203125" style="1"/>
    <col min="9" max="11" width="12.109375" style="1" bestFit="1" customWidth="1"/>
    <col min="12" max="233" width="10.33203125" style="1"/>
    <col min="234" max="234" width="4.44140625" style="1" customWidth="1"/>
    <col min="235" max="235" width="21.6640625" style="1" customWidth="1"/>
    <col min="236" max="236" width="15" style="1" customWidth="1"/>
    <col min="237" max="237" width="15.44140625" style="1" customWidth="1"/>
    <col min="238" max="238" width="11.5546875" style="1" customWidth="1"/>
    <col min="239" max="239" width="7.44140625" style="1" customWidth="1"/>
    <col min="240" max="240" width="14.109375" style="1" customWidth="1"/>
    <col min="241" max="241" width="10.6640625" style="1" customWidth="1"/>
    <col min="242" max="242" width="13.44140625" style="1" customWidth="1"/>
    <col min="243" max="243" width="11.44140625" style="1" customWidth="1"/>
    <col min="244" max="244" width="15" style="1" customWidth="1"/>
    <col min="245" max="245" width="14.5546875" style="1" customWidth="1"/>
    <col min="246" max="246" width="10.33203125" style="1"/>
    <col min="247" max="247" width="7.44140625" style="1" customWidth="1"/>
    <col min="248" max="248" width="12.88671875" style="1" customWidth="1"/>
    <col min="249" max="249" width="11.109375" style="1" customWidth="1"/>
    <col min="250" max="250" width="14" style="1" customWidth="1"/>
    <col min="251" max="251" width="33" style="1" customWidth="1"/>
    <col min="252" max="252" width="6.6640625" style="1" customWidth="1"/>
    <col min="253" max="253" width="19" style="1" customWidth="1"/>
    <col min="254" max="254" width="19.109375" style="1" customWidth="1"/>
    <col min="255" max="255" width="21.33203125" style="1" customWidth="1"/>
    <col min="256" max="256" width="32.5546875" style="1" customWidth="1"/>
    <col min="257" max="257" width="16.88671875" style="1" customWidth="1"/>
    <col min="258" max="258" width="16.33203125" style="1" customWidth="1"/>
    <col min="259" max="489" width="10.33203125" style="1"/>
    <col min="490" max="490" width="4.44140625" style="1" customWidth="1"/>
    <col min="491" max="491" width="21.6640625" style="1" customWidth="1"/>
    <col min="492" max="492" width="15" style="1" customWidth="1"/>
    <col min="493" max="493" width="15.44140625" style="1" customWidth="1"/>
    <col min="494" max="494" width="11.5546875" style="1" customWidth="1"/>
    <col min="495" max="495" width="7.44140625" style="1" customWidth="1"/>
    <col min="496" max="496" width="14.109375" style="1" customWidth="1"/>
    <col min="497" max="497" width="10.6640625" style="1" customWidth="1"/>
    <col min="498" max="498" width="13.44140625" style="1" customWidth="1"/>
    <col min="499" max="499" width="11.44140625" style="1" customWidth="1"/>
    <col min="500" max="500" width="15" style="1" customWidth="1"/>
    <col min="501" max="501" width="14.5546875" style="1" customWidth="1"/>
    <col min="502" max="502" width="10.33203125" style="1"/>
    <col min="503" max="503" width="7.44140625" style="1" customWidth="1"/>
    <col min="504" max="504" width="12.88671875" style="1" customWidth="1"/>
    <col min="505" max="505" width="11.109375" style="1" customWidth="1"/>
    <col min="506" max="506" width="14" style="1" customWidth="1"/>
    <col min="507" max="507" width="33" style="1" customWidth="1"/>
    <col min="508" max="508" width="6.6640625" style="1" customWidth="1"/>
    <col min="509" max="509" width="19" style="1" customWidth="1"/>
    <col min="510" max="510" width="19.109375" style="1" customWidth="1"/>
    <col min="511" max="511" width="21.33203125" style="1" customWidth="1"/>
    <col min="512" max="512" width="32.5546875" style="1" customWidth="1"/>
    <col min="513" max="513" width="16.88671875" style="1" customWidth="1"/>
    <col min="514" max="514" width="16.33203125" style="1" customWidth="1"/>
    <col min="515" max="745" width="10.33203125" style="1"/>
    <col min="746" max="746" width="4.44140625" style="1" customWidth="1"/>
    <col min="747" max="747" width="21.6640625" style="1" customWidth="1"/>
    <col min="748" max="748" width="15" style="1" customWidth="1"/>
    <col min="749" max="749" width="15.44140625" style="1" customWidth="1"/>
    <col min="750" max="750" width="11.5546875" style="1" customWidth="1"/>
    <col min="751" max="751" width="7.44140625" style="1" customWidth="1"/>
    <col min="752" max="752" width="14.109375" style="1" customWidth="1"/>
    <col min="753" max="753" width="10.6640625" style="1" customWidth="1"/>
    <col min="754" max="754" width="13.44140625" style="1" customWidth="1"/>
    <col min="755" max="755" width="11.44140625" style="1" customWidth="1"/>
    <col min="756" max="756" width="15" style="1" customWidth="1"/>
    <col min="757" max="757" width="14.5546875" style="1" customWidth="1"/>
    <col min="758" max="758" width="10.33203125" style="1"/>
    <col min="759" max="759" width="7.44140625" style="1" customWidth="1"/>
    <col min="760" max="760" width="12.88671875" style="1" customWidth="1"/>
    <col min="761" max="761" width="11.109375" style="1" customWidth="1"/>
    <col min="762" max="762" width="14" style="1" customWidth="1"/>
    <col min="763" max="763" width="33" style="1" customWidth="1"/>
    <col min="764" max="764" width="6.6640625" style="1" customWidth="1"/>
    <col min="765" max="765" width="19" style="1" customWidth="1"/>
    <col min="766" max="766" width="19.109375" style="1" customWidth="1"/>
    <col min="767" max="767" width="21.33203125" style="1" customWidth="1"/>
    <col min="768" max="768" width="32.5546875" style="1" customWidth="1"/>
    <col min="769" max="769" width="16.88671875" style="1" customWidth="1"/>
    <col min="770" max="770" width="16.33203125" style="1" customWidth="1"/>
    <col min="771" max="1001" width="10.33203125" style="1"/>
    <col min="1002" max="1002" width="4.44140625" style="1" customWidth="1"/>
    <col min="1003" max="1003" width="21.6640625" style="1" customWidth="1"/>
    <col min="1004" max="1004" width="15" style="1" customWidth="1"/>
    <col min="1005" max="1005" width="15.44140625" style="1" customWidth="1"/>
    <col min="1006" max="1006" width="11.5546875" style="1" customWidth="1"/>
    <col min="1007" max="1007" width="7.44140625" style="1" customWidth="1"/>
    <col min="1008" max="1008" width="14.109375" style="1" customWidth="1"/>
    <col min="1009" max="1009" width="10.6640625" style="1" customWidth="1"/>
    <col min="1010" max="1010" width="13.44140625" style="1" customWidth="1"/>
    <col min="1011" max="1011" width="11.44140625" style="1" customWidth="1"/>
    <col min="1012" max="1012" width="15" style="1" customWidth="1"/>
    <col min="1013" max="1013" width="14.5546875" style="1" customWidth="1"/>
    <col min="1014" max="1014" width="10.33203125" style="1"/>
    <col min="1015" max="1015" width="7.44140625" style="1" customWidth="1"/>
    <col min="1016" max="1016" width="12.88671875" style="1" customWidth="1"/>
    <col min="1017" max="1017" width="11.109375" style="1" customWidth="1"/>
    <col min="1018" max="1018" width="14" style="1" customWidth="1"/>
    <col min="1019" max="1019" width="33" style="1" customWidth="1"/>
    <col min="1020" max="1020" width="6.6640625" style="1" customWidth="1"/>
    <col min="1021" max="1021" width="19" style="1" customWidth="1"/>
    <col min="1022" max="1022" width="19.109375" style="1" customWidth="1"/>
    <col min="1023" max="1023" width="21.33203125" style="1" customWidth="1"/>
    <col min="1024" max="1024" width="32.5546875" style="1" customWidth="1"/>
    <col min="1025" max="1025" width="16.88671875" style="1" customWidth="1"/>
    <col min="1026" max="1026" width="16.33203125" style="1" customWidth="1"/>
    <col min="1027" max="1257" width="10.33203125" style="1"/>
    <col min="1258" max="1258" width="4.44140625" style="1" customWidth="1"/>
    <col min="1259" max="1259" width="21.6640625" style="1" customWidth="1"/>
    <col min="1260" max="1260" width="15" style="1" customWidth="1"/>
    <col min="1261" max="1261" width="15.44140625" style="1" customWidth="1"/>
    <col min="1262" max="1262" width="11.5546875" style="1" customWidth="1"/>
    <col min="1263" max="1263" width="7.44140625" style="1" customWidth="1"/>
    <col min="1264" max="1264" width="14.109375" style="1" customWidth="1"/>
    <col min="1265" max="1265" width="10.6640625" style="1" customWidth="1"/>
    <col min="1266" max="1266" width="13.44140625" style="1" customWidth="1"/>
    <col min="1267" max="1267" width="11.44140625" style="1" customWidth="1"/>
    <col min="1268" max="1268" width="15" style="1" customWidth="1"/>
    <col min="1269" max="1269" width="14.5546875" style="1" customWidth="1"/>
    <col min="1270" max="1270" width="10.33203125" style="1"/>
    <col min="1271" max="1271" width="7.44140625" style="1" customWidth="1"/>
    <col min="1272" max="1272" width="12.88671875" style="1" customWidth="1"/>
    <col min="1273" max="1273" width="11.109375" style="1" customWidth="1"/>
    <col min="1274" max="1274" width="14" style="1" customWidth="1"/>
    <col min="1275" max="1275" width="33" style="1" customWidth="1"/>
    <col min="1276" max="1276" width="6.6640625" style="1" customWidth="1"/>
    <col min="1277" max="1277" width="19" style="1" customWidth="1"/>
    <col min="1278" max="1278" width="19.109375" style="1" customWidth="1"/>
    <col min="1279" max="1279" width="21.33203125" style="1" customWidth="1"/>
    <col min="1280" max="1280" width="32.5546875" style="1" customWidth="1"/>
    <col min="1281" max="1281" width="16.88671875" style="1" customWidth="1"/>
    <col min="1282" max="1282" width="16.33203125" style="1" customWidth="1"/>
    <col min="1283" max="1513" width="10.33203125" style="1"/>
    <col min="1514" max="1514" width="4.44140625" style="1" customWidth="1"/>
    <col min="1515" max="1515" width="21.6640625" style="1" customWidth="1"/>
    <col min="1516" max="1516" width="15" style="1" customWidth="1"/>
    <col min="1517" max="1517" width="15.44140625" style="1" customWidth="1"/>
    <col min="1518" max="1518" width="11.5546875" style="1" customWidth="1"/>
    <col min="1519" max="1519" width="7.44140625" style="1" customWidth="1"/>
    <col min="1520" max="1520" width="14.109375" style="1" customWidth="1"/>
    <col min="1521" max="1521" width="10.6640625" style="1" customWidth="1"/>
    <col min="1522" max="1522" width="13.44140625" style="1" customWidth="1"/>
    <col min="1523" max="1523" width="11.44140625" style="1" customWidth="1"/>
    <col min="1524" max="1524" width="15" style="1" customWidth="1"/>
    <col min="1525" max="1525" width="14.5546875" style="1" customWidth="1"/>
    <col min="1526" max="1526" width="10.33203125" style="1"/>
    <col min="1527" max="1527" width="7.44140625" style="1" customWidth="1"/>
    <col min="1528" max="1528" width="12.88671875" style="1" customWidth="1"/>
    <col min="1529" max="1529" width="11.109375" style="1" customWidth="1"/>
    <col min="1530" max="1530" width="14" style="1" customWidth="1"/>
    <col min="1531" max="1531" width="33" style="1" customWidth="1"/>
    <col min="1532" max="1532" width="6.6640625" style="1" customWidth="1"/>
    <col min="1533" max="1533" width="19" style="1" customWidth="1"/>
    <col min="1534" max="1534" width="19.109375" style="1" customWidth="1"/>
    <col min="1535" max="1535" width="21.33203125" style="1" customWidth="1"/>
    <col min="1536" max="1536" width="32.5546875" style="1" customWidth="1"/>
    <col min="1537" max="1537" width="16.88671875" style="1" customWidth="1"/>
    <col min="1538" max="1538" width="16.33203125" style="1" customWidth="1"/>
    <col min="1539" max="1769" width="10.33203125" style="1"/>
    <col min="1770" max="1770" width="4.44140625" style="1" customWidth="1"/>
    <col min="1771" max="1771" width="21.6640625" style="1" customWidth="1"/>
    <col min="1772" max="1772" width="15" style="1" customWidth="1"/>
    <col min="1773" max="1773" width="15.44140625" style="1" customWidth="1"/>
    <col min="1774" max="1774" width="11.5546875" style="1" customWidth="1"/>
    <col min="1775" max="1775" width="7.44140625" style="1" customWidth="1"/>
    <col min="1776" max="1776" width="14.109375" style="1" customWidth="1"/>
    <col min="1777" max="1777" width="10.6640625" style="1" customWidth="1"/>
    <col min="1778" max="1778" width="13.44140625" style="1" customWidth="1"/>
    <col min="1779" max="1779" width="11.44140625" style="1" customWidth="1"/>
    <col min="1780" max="1780" width="15" style="1" customWidth="1"/>
    <col min="1781" max="1781" width="14.5546875" style="1" customWidth="1"/>
    <col min="1782" max="1782" width="10.33203125" style="1"/>
    <col min="1783" max="1783" width="7.44140625" style="1" customWidth="1"/>
    <col min="1784" max="1784" width="12.88671875" style="1" customWidth="1"/>
    <col min="1785" max="1785" width="11.109375" style="1" customWidth="1"/>
    <col min="1786" max="1786" width="14" style="1" customWidth="1"/>
    <col min="1787" max="1787" width="33" style="1" customWidth="1"/>
    <col min="1788" max="1788" width="6.6640625" style="1" customWidth="1"/>
    <col min="1789" max="1789" width="19" style="1" customWidth="1"/>
    <col min="1790" max="1790" width="19.109375" style="1" customWidth="1"/>
    <col min="1791" max="1791" width="21.33203125" style="1" customWidth="1"/>
    <col min="1792" max="1792" width="32.5546875" style="1" customWidth="1"/>
    <col min="1793" max="1793" width="16.88671875" style="1" customWidth="1"/>
    <col min="1794" max="1794" width="16.33203125" style="1" customWidth="1"/>
    <col min="1795" max="2025" width="10.33203125" style="1"/>
    <col min="2026" max="2026" width="4.44140625" style="1" customWidth="1"/>
    <col min="2027" max="2027" width="21.6640625" style="1" customWidth="1"/>
    <col min="2028" max="2028" width="15" style="1" customWidth="1"/>
    <col min="2029" max="2029" width="15.44140625" style="1" customWidth="1"/>
    <col min="2030" max="2030" width="11.5546875" style="1" customWidth="1"/>
    <col min="2031" max="2031" width="7.44140625" style="1" customWidth="1"/>
    <col min="2032" max="2032" width="14.109375" style="1" customWidth="1"/>
    <col min="2033" max="2033" width="10.6640625" style="1" customWidth="1"/>
    <col min="2034" max="2034" width="13.44140625" style="1" customWidth="1"/>
    <col min="2035" max="2035" width="11.44140625" style="1" customWidth="1"/>
    <col min="2036" max="2036" width="15" style="1" customWidth="1"/>
    <col min="2037" max="2037" width="14.5546875" style="1" customWidth="1"/>
    <col min="2038" max="2038" width="10.33203125" style="1"/>
    <col min="2039" max="2039" width="7.44140625" style="1" customWidth="1"/>
    <col min="2040" max="2040" width="12.88671875" style="1" customWidth="1"/>
    <col min="2041" max="2041" width="11.109375" style="1" customWidth="1"/>
    <col min="2042" max="2042" width="14" style="1" customWidth="1"/>
    <col min="2043" max="2043" width="33" style="1" customWidth="1"/>
    <col min="2044" max="2044" width="6.6640625" style="1" customWidth="1"/>
    <col min="2045" max="2045" width="19" style="1" customWidth="1"/>
    <col min="2046" max="2046" width="19.109375" style="1" customWidth="1"/>
    <col min="2047" max="2047" width="21.33203125" style="1" customWidth="1"/>
    <col min="2048" max="2048" width="32.5546875" style="1" customWidth="1"/>
    <col min="2049" max="2049" width="16.88671875" style="1" customWidth="1"/>
    <col min="2050" max="2050" width="16.33203125" style="1" customWidth="1"/>
    <col min="2051" max="2281" width="10.33203125" style="1"/>
    <col min="2282" max="2282" width="4.44140625" style="1" customWidth="1"/>
    <col min="2283" max="2283" width="21.6640625" style="1" customWidth="1"/>
    <col min="2284" max="2284" width="15" style="1" customWidth="1"/>
    <col min="2285" max="2285" width="15.44140625" style="1" customWidth="1"/>
    <col min="2286" max="2286" width="11.5546875" style="1" customWidth="1"/>
    <col min="2287" max="2287" width="7.44140625" style="1" customWidth="1"/>
    <col min="2288" max="2288" width="14.109375" style="1" customWidth="1"/>
    <col min="2289" max="2289" width="10.6640625" style="1" customWidth="1"/>
    <col min="2290" max="2290" width="13.44140625" style="1" customWidth="1"/>
    <col min="2291" max="2291" width="11.44140625" style="1" customWidth="1"/>
    <col min="2292" max="2292" width="15" style="1" customWidth="1"/>
    <col min="2293" max="2293" width="14.5546875" style="1" customWidth="1"/>
    <col min="2294" max="2294" width="10.33203125" style="1"/>
    <col min="2295" max="2295" width="7.44140625" style="1" customWidth="1"/>
    <col min="2296" max="2296" width="12.88671875" style="1" customWidth="1"/>
    <col min="2297" max="2297" width="11.109375" style="1" customWidth="1"/>
    <col min="2298" max="2298" width="14" style="1" customWidth="1"/>
    <col min="2299" max="2299" width="33" style="1" customWidth="1"/>
    <col min="2300" max="2300" width="6.6640625" style="1" customWidth="1"/>
    <col min="2301" max="2301" width="19" style="1" customWidth="1"/>
    <col min="2302" max="2302" width="19.109375" style="1" customWidth="1"/>
    <col min="2303" max="2303" width="21.33203125" style="1" customWidth="1"/>
    <col min="2304" max="2304" width="32.5546875" style="1" customWidth="1"/>
    <col min="2305" max="2305" width="16.88671875" style="1" customWidth="1"/>
    <col min="2306" max="2306" width="16.33203125" style="1" customWidth="1"/>
    <col min="2307" max="2537" width="10.33203125" style="1"/>
    <col min="2538" max="2538" width="4.44140625" style="1" customWidth="1"/>
    <col min="2539" max="2539" width="21.6640625" style="1" customWidth="1"/>
    <col min="2540" max="2540" width="15" style="1" customWidth="1"/>
    <col min="2541" max="2541" width="15.44140625" style="1" customWidth="1"/>
    <col min="2542" max="2542" width="11.5546875" style="1" customWidth="1"/>
    <col min="2543" max="2543" width="7.44140625" style="1" customWidth="1"/>
    <col min="2544" max="2544" width="14.109375" style="1" customWidth="1"/>
    <col min="2545" max="2545" width="10.6640625" style="1" customWidth="1"/>
    <col min="2546" max="2546" width="13.44140625" style="1" customWidth="1"/>
    <col min="2547" max="2547" width="11.44140625" style="1" customWidth="1"/>
    <col min="2548" max="2548" width="15" style="1" customWidth="1"/>
    <col min="2549" max="2549" width="14.5546875" style="1" customWidth="1"/>
    <col min="2550" max="2550" width="10.33203125" style="1"/>
    <col min="2551" max="2551" width="7.44140625" style="1" customWidth="1"/>
    <col min="2552" max="2552" width="12.88671875" style="1" customWidth="1"/>
    <col min="2553" max="2553" width="11.109375" style="1" customWidth="1"/>
    <col min="2554" max="2554" width="14" style="1" customWidth="1"/>
    <col min="2555" max="2555" width="33" style="1" customWidth="1"/>
    <col min="2556" max="2556" width="6.6640625" style="1" customWidth="1"/>
    <col min="2557" max="2557" width="19" style="1" customWidth="1"/>
    <col min="2558" max="2558" width="19.109375" style="1" customWidth="1"/>
    <col min="2559" max="2559" width="21.33203125" style="1" customWidth="1"/>
    <col min="2560" max="2560" width="32.5546875" style="1" customWidth="1"/>
    <col min="2561" max="2561" width="16.88671875" style="1" customWidth="1"/>
    <col min="2562" max="2562" width="16.33203125" style="1" customWidth="1"/>
    <col min="2563" max="2793" width="10.33203125" style="1"/>
    <col min="2794" max="2794" width="4.44140625" style="1" customWidth="1"/>
    <col min="2795" max="2795" width="21.6640625" style="1" customWidth="1"/>
    <col min="2796" max="2796" width="15" style="1" customWidth="1"/>
    <col min="2797" max="2797" width="15.44140625" style="1" customWidth="1"/>
    <col min="2798" max="2798" width="11.5546875" style="1" customWidth="1"/>
    <col min="2799" max="2799" width="7.44140625" style="1" customWidth="1"/>
    <col min="2800" max="2800" width="14.109375" style="1" customWidth="1"/>
    <col min="2801" max="2801" width="10.6640625" style="1" customWidth="1"/>
    <col min="2802" max="2802" width="13.44140625" style="1" customWidth="1"/>
    <col min="2803" max="2803" width="11.44140625" style="1" customWidth="1"/>
    <col min="2804" max="2804" width="15" style="1" customWidth="1"/>
    <col min="2805" max="2805" width="14.5546875" style="1" customWidth="1"/>
    <col min="2806" max="2806" width="10.33203125" style="1"/>
    <col min="2807" max="2807" width="7.44140625" style="1" customWidth="1"/>
    <col min="2808" max="2808" width="12.88671875" style="1" customWidth="1"/>
    <col min="2809" max="2809" width="11.109375" style="1" customWidth="1"/>
    <col min="2810" max="2810" width="14" style="1" customWidth="1"/>
    <col min="2811" max="2811" width="33" style="1" customWidth="1"/>
    <col min="2812" max="2812" width="6.6640625" style="1" customWidth="1"/>
    <col min="2813" max="2813" width="19" style="1" customWidth="1"/>
    <col min="2814" max="2814" width="19.109375" style="1" customWidth="1"/>
    <col min="2815" max="2815" width="21.33203125" style="1" customWidth="1"/>
    <col min="2816" max="2816" width="32.5546875" style="1" customWidth="1"/>
    <col min="2817" max="2817" width="16.88671875" style="1" customWidth="1"/>
    <col min="2818" max="2818" width="16.33203125" style="1" customWidth="1"/>
    <col min="2819" max="3049" width="10.33203125" style="1"/>
    <col min="3050" max="3050" width="4.44140625" style="1" customWidth="1"/>
    <col min="3051" max="3051" width="21.6640625" style="1" customWidth="1"/>
    <col min="3052" max="3052" width="15" style="1" customWidth="1"/>
    <col min="3053" max="3053" width="15.44140625" style="1" customWidth="1"/>
    <col min="3054" max="3054" width="11.5546875" style="1" customWidth="1"/>
    <col min="3055" max="3055" width="7.44140625" style="1" customWidth="1"/>
    <col min="3056" max="3056" width="14.109375" style="1" customWidth="1"/>
    <col min="3057" max="3057" width="10.6640625" style="1" customWidth="1"/>
    <col min="3058" max="3058" width="13.44140625" style="1" customWidth="1"/>
    <col min="3059" max="3059" width="11.44140625" style="1" customWidth="1"/>
    <col min="3060" max="3060" width="15" style="1" customWidth="1"/>
    <col min="3061" max="3061" width="14.5546875" style="1" customWidth="1"/>
    <col min="3062" max="3062" width="10.33203125" style="1"/>
    <col min="3063" max="3063" width="7.44140625" style="1" customWidth="1"/>
    <col min="3064" max="3064" width="12.88671875" style="1" customWidth="1"/>
    <col min="3065" max="3065" width="11.109375" style="1" customWidth="1"/>
    <col min="3066" max="3066" width="14" style="1" customWidth="1"/>
    <col min="3067" max="3067" width="33" style="1" customWidth="1"/>
    <col min="3068" max="3068" width="6.6640625" style="1" customWidth="1"/>
    <col min="3069" max="3069" width="19" style="1" customWidth="1"/>
    <col min="3070" max="3070" width="19.109375" style="1" customWidth="1"/>
    <col min="3071" max="3071" width="21.33203125" style="1" customWidth="1"/>
    <col min="3072" max="3072" width="32.5546875" style="1" customWidth="1"/>
    <col min="3073" max="3073" width="16.88671875" style="1" customWidth="1"/>
    <col min="3074" max="3074" width="16.33203125" style="1" customWidth="1"/>
    <col min="3075" max="3305" width="10.33203125" style="1"/>
    <col min="3306" max="3306" width="4.44140625" style="1" customWidth="1"/>
    <col min="3307" max="3307" width="21.6640625" style="1" customWidth="1"/>
    <col min="3308" max="3308" width="15" style="1" customWidth="1"/>
    <col min="3309" max="3309" width="15.44140625" style="1" customWidth="1"/>
    <col min="3310" max="3310" width="11.5546875" style="1" customWidth="1"/>
    <col min="3311" max="3311" width="7.44140625" style="1" customWidth="1"/>
    <col min="3312" max="3312" width="14.109375" style="1" customWidth="1"/>
    <col min="3313" max="3313" width="10.6640625" style="1" customWidth="1"/>
    <col min="3314" max="3314" width="13.44140625" style="1" customWidth="1"/>
    <col min="3315" max="3315" width="11.44140625" style="1" customWidth="1"/>
    <col min="3316" max="3316" width="15" style="1" customWidth="1"/>
    <col min="3317" max="3317" width="14.5546875" style="1" customWidth="1"/>
    <col min="3318" max="3318" width="10.33203125" style="1"/>
    <col min="3319" max="3319" width="7.44140625" style="1" customWidth="1"/>
    <col min="3320" max="3320" width="12.88671875" style="1" customWidth="1"/>
    <col min="3321" max="3321" width="11.109375" style="1" customWidth="1"/>
    <col min="3322" max="3322" width="14" style="1" customWidth="1"/>
    <col min="3323" max="3323" width="33" style="1" customWidth="1"/>
    <col min="3324" max="3324" width="6.6640625" style="1" customWidth="1"/>
    <col min="3325" max="3325" width="19" style="1" customWidth="1"/>
    <col min="3326" max="3326" width="19.109375" style="1" customWidth="1"/>
    <col min="3327" max="3327" width="21.33203125" style="1" customWidth="1"/>
    <col min="3328" max="3328" width="32.5546875" style="1" customWidth="1"/>
    <col min="3329" max="3329" width="16.88671875" style="1" customWidth="1"/>
    <col min="3330" max="3330" width="16.33203125" style="1" customWidth="1"/>
    <col min="3331" max="3561" width="10.33203125" style="1"/>
    <col min="3562" max="3562" width="4.44140625" style="1" customWidth="1"/>
    <col min="3563" max="3563" width="21.6640625" style="1" customWidth="1"/>
    <col min="3564" max="3564" width="15" style="1" customWidth="1"/>
    <col min="3565" max="3565" width="15.44140625" style="1" customWidth="1"/>
    <col min="3566" max="3566" width="11.5546875" style="1" customWidth="1"/>
    <col min="3567" max="3567" width="7.44140625" style="1" customWidth="1"/>
    <col min="3568" max="3568" width="14.109375" style="1" customWidth="1"/>
    <col min="3569" max="3569" width="10.6640625" style="1" customWidth="1"/>
    <col min="3570" max="3570" width="13.44140625" style="1" customWidth="1"/>
    <col min="3571" max="3571" width="11.44140625" style="1" customWidth="1"/>
    <col min="3572" max="3572" width="15" style="1" customWidth="1"/>
    <col min="3573" max="3573" width="14.5546875" style="1" customWidth="1"/>
    <col min="3574" max="3574" width="10.33203125" style="1"/>
    <col min="3575" max="3575" width="7.44140625" style="1" customWidth="1"/>
    <col min="3576" max="3576" width="12.88671875" style="1" customWidth="1"/>
    <col min="3577" max="3577" width="11.109375" style="1" customWidth="1"/>
    <col min="3578" max="3578" width="14" style="1" customWidth="1"/>
    <col min="3579" max="3579" width="33" style="1" customWidth="1"/>
    <col min="3580" max="3580" width="6.6640625" style="1" customWidth="1"/>
    <col min="3581" max="3581" width="19" style="1" customWidth="1"/>
    <col min="3582" max="3582" width="19.109375" style="1" customWidth="1"/>
    <col min="3583" max="3583" width="21.33203125" style="1" customWidth="1"/>
    <col min="3584" max="3584" width="32.5546875" style="1" customWidth="1"/>
    <col min="3585" max="3585" width="16.88671875" style="1" customWidth="1"/>
    <col min="3586" max="3586" width="16.33203125" style="1" customWidth="1"/>
    <col min="3587" max="3817" width="10.33203125" style="1"/>
    <col min="3818" max="3818" width="4.44140625" style="1" customWidth="1"/>
    <col min="3819" max="3819" width="21.6640625" style="1" customWidth="1"/>
    <col min="3820" max="3820" width="15" style="1" customWidth="1"/>
    <col min="3821" max="3821" width="15.44140625" style="1" customWidth="1"/>
    <col min="3822" max="3822" width="11.5546875" style="1" customWidth="1"/>
    <col min="3823" max="3823" width="7.44140625" style="1" customWidth="1"/>
    <col min="3824" max="3824" width="14.109375" style="1" customWidth="1"/>
    <col min="3825" max="3825" width="10.6640625" style="1" customWidth="1"/>
    <col min="3826" max="3826" width="13.44140625" style="1" customWidth="1"/>
    <col min="3827" max="3827" width="11.44140625" style="1" customWidth="1"/>
    <col min="3828" max="3828" width="15" style="1" customWidth="1"/>
    <col min="3829" max="3829" width="14.5546875" style="1" customWidth="1"/>
    <col min="3830" max="3830" width="10.33203125" style="1"/>
    <col min="3831" max="3831" width="7.44140625" style="1" customWidth="1"/>
    <col min="3832" max="3832" width="12.88671875" style="1" customWidth="1"/>
    <col min="3833" max="3833" width="11.109375" style="1" customWidth="1"/>
    <col min="3834" max="3834" width="14" style="1" customWidth="1"/>
    <col min="3835" max="3835" width="33" style="1" customWidth="1"/>
    <col min="3836" max="3836" width="6.6640625" style="1" customWidth="1"/>
    <col min="3837" max="3837" width="19" style="1" customWidth="1"/>
    <col min="3838" max="3838" width="19.109375" style="1" customWidth="1"/>
    <col min="3839" max="3839" width="21.33203125" style="1" customWidth="1"/>
    <col min="3840" max="3840" width="32.5546875" style="1" customWidth="1"/>
    <col min="3841" max="3841" width="16.88671875" style="1" customWidth="1"/>
    <col min="3842" max="3842" width="16.33203125" style="1" customWidth="1"/>
    <col min="3843" max="4073" width="10.33203125" style="1"/>
    <col min="4074" max="4074" width="4.44140625" style="1" customWidth="1"/>
    <col min="4075" max="4075" width="21.6640625" style="1" customWidth="1"/>
    <col min="4076" max="4076" width="15" style="1" customWidth="1"/>
    <col min="4077" max="4077" width="15.44140625" style="1" customWidth="1"/>
    <col min="4078" max="4078" width="11.5546875" style="1" customWidth="1"/>
    <col min="4079" max="4079" width="7.44140625" style="1" customWidth="1"/>
    <col min="4080" max="4080" width="14.109375" style="1" customWidth="1"/>
    <col min="4081" max="4081" width="10.6640625" style="1" customWidth="1"/>
    <col min="4082" max="4082" width="13.44140625" style="1" customWidth="1"/>
    <col min="4083" max="4083" width="11.44140625" style="1" customWidth="1"/>
    <col min="4084" max="4084" width="15" style="1" customWidth="1"/>
    <col min="4085" max="4085" width="14.5546875" style="1" customWidth="1"/>
    <col min="4086" max="4086" width="10.33203125" style="1"/>
    <col min="4087" max="4087" width="7.44140625" style="1" customWidth="1"/>
    <col min="4088" max="4088" width="12.88671875" style="1" customWidth="1"/>
    <col min="4089" max="4089" width="11.109375" style="1" customWidth="1"/>
    <col min="4090" max="4090" width="14" style="1" customWidth="1"/>
    <col min="4091" max="4091" width="33" style="1" customWidth="1"/>
    <col min="4092" max="4092" width="6.6640625" style="1" customWidth="1"/>
    <col min="4093" max="4093" width="19" style="1" customWidth="1"/>
    <col min="4094" max="4094" width="19.109375" style="1" customWidth="1"/>
    <col min="4095" max="4095" width="21.33203125" style="1" customWidth="1"/>
    <col min="4096" max="4096" width="32.5546875" style="1" customWidth="1"/>
    <col min="4097" max="4097" width="16.88671875" style="1" customWidth="1"/>
    <col min="4098" max="4098" width="16.33203125" style="1" customWidth="1"/>
    <col min="4099" max="4329" width="10.33203125" style="1"/>
    <col min="4330" max="4330" width="4.44140625" style="1" customWidth="1"/>
    <col min="4331" max="4331" width="21.6640625" style="1" customWidth="1"/>
    <col min="4332" max="4332" width="15" style="1" customWidth="1"/>
    <col min="4333" max="4333" width="15.44140625" style="1" customWidth="1"/>
    <col min="4334" max="4334" width="11.5546875" style="1" customWidth="1"/>
    <col min="4335" max="4335" width="7.44140625" style="1" customWidth="1"/>
    <col min="4336" max="4336" width="14.109375" style="1" customWidth="1"/>
    <col min="4337" max="4337" width="10.6640625" style="1" customWidth="1"/>
    <col min="4338" max="4338" width="13.44140625" style="1" customWidth="1"/>
    <col min="4339" max="4339" width="11.44140625" style="1" customWidth="1"/>
    <col min="4340" max="4340" width="15" style="1" customWidth="1"/>
    <col min="4341" max="4341" width="14.5546875" style="1" customWidth="1"/>
    <col min="4342" max="4342" width="10.33203125" style="1"/>
    <col min="4343" max="4343" width="7.44140625" style="1" customWidth="1"/>
    <col min="4344" max="4344" width="12.88671875" style="1" customWidth="1"/>
    <col min="4345" max="4345" width="11.109375" style="1" customWidth="1"/>
    <col min="4346" max="4346" width="14" style="1" customWidth="1"/>
    <col min="4347" max="4347" width="33" style="1" customWidth="1"/>
    <col min="4348" max="4348" width="6.6640625" style="1" customWidth="1"/>
    <col min="4349" max="4349" width="19" style="1" customWidth="1"/>
    <col min="4350" max="4350" width="19.109375" style="1" customWidth="1"/>
    <col min="4351" max="4351" width="21.33203125" style="1" customWidth="1"/>
    <col min="4352" max="4352" width="32.5546875" style="1" customWidth="1"/>
    <col min="4353" max="4353" width="16.88671875" style="1" customWidth="1"/>
    <col min="4354" max="4354" width="16.33203125" style="1" customWidth="1"/>
    <col min="4355" max="4585" width="10.33203125" style="1"/>
    <col min="4586" max="4586" width="4.44140625" style="1" customWidth="1"/>
    <col min="4587" max="4587" width="21.6640625" style="1" customWidth="1"/>
    <col min="4588" max="4588" width="15" style="1" customWidth="1"/>
    <col min="4589" max="4589" width="15.44140625" style="1" customWidth="1"/>
    <col min="4590" max="4590" width="11.5546875" style="1" customWidth="1"/>
    <col min="4591" max="4591" width="7.44140625" style="1" customWidth="1"/>
    <col min="4592" max="4592" width="14.109375" style="1" customWidth="1"/>
    <col min="4593" max="4593" width="10.6640625" style="1" customWidth="1"/>
    <col min="4594" max="4594" width="13.44140625" style="1" customWidth="1"/>
    <col min="4595" max="4595" width="11.44140625" style="1" customWidth="1"/>
    <col min="4596" max="4596" width="15" style="1" customWidth="1"/>
    <col min="4597" max="4597" width="14.5546875" style="1" customWidth="1"/>
    <col min="4598" max="4598" width="10.33203125" style="1"/>
    <col min="4599" max="4599" width="7.44140625" style="1" customWidth="1"/>
    <col min="4600" max="4600" width="12.88671875" style="1" customWidth="1"/>
    <col min="4601" max="4601" width="11.109375" style="1" customWidth="1"/>
    <col min="4602" max="4602" width="14" style="1" customWidth="1"/>
    <col min="4603" max="4603" width="33" style="1" customWidth="1"/>
    <col min="4604" max="4604" width="6.6640625" style="1" customWidth="1"/>
    <col min="4605" max="4605" width="19" style="1" customWidth="1"/>
    <col min="4606" max="4606" width="19.109375" style="1" customWidth="1"/>
    <col min="4607" max="4607" width="21.33203125" style="1" customWidth="1"/>
    <col min="4608" max="4608" width="32.5546875" style="1" customWidth="1"/>
    <col min="4609" max="4609" width="16.88671875" style="1" customWidth="1"/>
    <col min="4610" max="4610" width="16.33203125" style="1" customWidth="1"/>
    <col min="4611" max="4841" width="10.33203125" style="1"/>
    <col min="4842" max="4842" width="4.44140625" style="1" customWidth="1"/>
    <col min="4843" max="4843" width="21.6640625" style="1" customWidth="1"/>
    <col min="4844" max="4844" width="15" style="1" customWidth="1"/>
    <col min="4845" max="4845" width="15.44140625" style="1" customWidth="1"/>
    <col min="4846" max="4846" width="11.5546875" style="1" customWidth="1"/>
    <col min="4847" max="4847" width="7.44140625" style="1" customWidth="1"/>
    <col min="4848" max="4848" width="14.109375" style="1" customWidth="1"/>
    <col min="4849" max="4849" width="10.6640625" style="1" customWidth="1"/>
    <col min="4850" max="4850" width="13.44140625" style="1" customWidth="1"/>
    <col min="4851" max="4851" width="11.44140625" style="1" customWidth="1"/>
    <col min="4852" max="4852" width="15" style="1" customWidth="1"/>
    <col min="4853" max="4853" width="14.5546875" style="1" customWidth="1"/>
    <col min="4854" max="4854" width="10.33203125" style="1"/>
    <col min="4855" max="4855" width="7.44140625" style="1" customWidth="1"/>
    <col min="4856" max="4856" width="12.88671875" style="1" customWidth="1"/>
    <col min="4857" max="4857" width="11.109375" style="1" customWidth="1"/>
    <col min="4858" max="4858" width="14" style="1" customWidth="1"/>
    <col min="4859" max="4859" width="33" style="1" customWidth="1"/>
    <col min="4860" max="4860" width="6.6640625" style="1" customWidth="1"/>
    <col min="4861" max="4861" width="19" style="1" customWidth="1"/>
    <col min="4862" max="4862" width="19.109375" style="1" customWidth="1"/>
    <col min="4863" max="4863" width="21.33203125" style="1" customWidth="1"/>
    <col min="4864" max="4864" width="32.5546875" style="1" customWidth="1"/>
    <col min="4865" max="4865" width="16.88671875" style="1" customWidth="1"/>
    <col min="4866" max="4866" width="16.33203125" style="1" customWidth="1"/>
    <col min="4867" max="5097" width="10.33203125" style="1"/>
    <col min="5098" max="5098" width="4.44140625" style="1" customWidth="1"/>
    <col min="5099" max="5099" width="21.6640625" style="1" customWidth="1"/>
    <col min="5100" max="5100" width="15" style="1" customWidth="1"/>
    <col min="5101" max="5101" width="15.44140625" style="1" customWidth="1"/>
    <col min="5102" max="5102" width="11.5546875" style="1" customWidth="1"/>
    <col min="5103" max="5103" width="7.44140625" style="1" customWidth="1"/>
    <col min="5104" max="5104" width="14.109375" style="1" customWidth="1"/>
    <col min="5105" max="5105" width="10.6640625" style="1" customWidth="1"/>
    <col min="5106" max="5106" width="13.44140625" style="1" customWidth="1"/>
    <col min="5107" max="5107" width="11.44140625" style="1" customWidth="1"/>
    <col min="5108" max="5108" width="15" style="1" customWidth="1"/>
    <col min="5109" max="5109" width="14.5546875" style="1" customWidth="1"/>
    <col min="5110" max="5110" width="10.33203125" style="1"/>
    <col min="5111" max="5111" width="7.44140625" style="1" customWidth="1"/>
    <col min="5112" max="5112" width="12.88671875" style="1" customWidth="1"/>
    <col min="5113" max="5113" width="11.109375" style="1" customWidth="1"/>
    <col min="5114" max="5114" width="14" style="1" customWidth="1"/>
    <col min="5115" max="5115" width="33" style="1" customWidth="1"/>
    <col min="5116" max="5116" width="6.6640625" style="1" customWidth="1"/>
    <col min="5117" max="5117" width="19" style="1" customWidth="1"/>
    <col min="5118" max="5118" width="19.109375" style="1" customWidth="1"/>
    <col min="5119" max="5119" width="21.33203125" style="1" customWidth="1"/>
    <col min="5120" max="5120" width="32.5546875" style="1" customWidth="1"/>
    <col min="5121" max="5121" width="16.88671875" style="1" customWidth="1"/>
    <col min="5122" max="5122" width="16.33203125" style="1" customWidth="1"/>
    <col min="5123" max="5353" width="10.33203125" style="1"/>
    <col min="5354" max="5354" width="4.44140625" style="1" customWidth="1"/>
    <col min="5355" max="5355" width="21.6640625" style="1" customWidth="1"/>
    <col min="5356" max="5356" width="15" style="1" customWidth="1"/>
    <col min="5357" max="5357" width="15.44140625" style="1" customWidth="1"/>
    <col min="5358" max="5358" width="11.5546875" style="1" customWidth="1"/>
    <col min="5359" max="5359" width="7.44140625" style="1" customWidth="1"/>
    <col min="5360" max="5360" width="14.109375" style="1" customWidth="1"/>
    <col min="5361" max="5361" width="10.6640625" style="1" customWidth="1"/>
    <col min="5362" max="5362" width="13.44140625" style="1" customWidth="1"/>
    <col min="5363" max="5363" width="11.44140625" style="1" customWidth="1"/>
    <col min="5364" max="5364" width="15" style="1" customWidth="1"/>
    <col min="5365" max="5365" width="14.5546875" style="1" customWidth="1"/>
    <col min="5366" max="5366" width="10.33203125" style="1"/>
    <col min="5367" max="5367" width="7.44140625" style="1" customWidth="1"/>
    <col min="5368" max="5368" width="12.88671875" style="1" customWidth="1"/>
    <col min="5369" max="5369" width="11.109375" style="1" customWidth="1"/>
    <col min="5370" max="5370" width="14" style="1" customWidth="1"/>
    <col min="5371" max="5371" width="33" style="1" customWidth="1"/>
    <col min="5372" max="5372" width="6.6640625" style="1" customWidth="1"/>
    <col min="5373" max="5373" width="19" style="1" customWidth="1"/>
    <col min="5374" max="5374" width="19.109375" style="1" customWidth="1"/>
    <col min="5375" max="5375" width="21.33203125" style="1" customWidth="1"/>
    <col min="5376" max="5376" width="32.5546875" style="1" customWidth="1"/>
    <col min="5377" max="5377" width="16.88671875" style="1" customWidth="1"/>
    <col min="5378" max="5378" width="16.33203125" style="1" customWidth="1"/>
    <col min="5379" max="5609" width="10.33203125" style="1"/>
    <col min="5610" max="5610" width="4.44140625" style="1" customWidth="1"/>
    <col min="5611" max="5611" width="21.6640625" style="1" customWidth="1"/>
    <col min="5612" max="5612" width="15" style="1" customWidth="1"/>
    <col min="5613" max="5613" width="15.44140625" style="1" customWidth="1"/>
    <col min="5614" max="5614" width="11.5546875" style="1" customWidth="1"/>
    <col min="5615" max="5615" width="7.44140625" style="1" customWidth="1"/>
    <col min="5616" max="5616" width="14.109375" style="1" customWidth="1"/>
    <col min="5617" max="5617" width="10.6640625" style="1" customWidth="1"/>
    <col min="5618" max="5618" width="13.44140625" style="1" customWidth="1"/>
    <col min="5619" max="5619" width="11.44140625" style="1" customWidth="1"/>
    <col min="5620" max="5620" width="15" style="1" customWidth="1"/>
    <col min="5621" max="5621" width="14.5546875" style="1" customWidth="1"/>
    <col min="5622" max="5622" width="10.33203125" style="1"/>
    <col min="5623" max="5623" width="7.44140625" style="1" customWidth="1"/>
    <col min="5624" max="5624" width="12.88671875" style="1" customWidth="1"/>
    <col min="5625" max="5625" width="11.109375" style="1" customWidth="1"/>
    <col min="5626" max="5626" width="14" style="1" customWidth="1"/>
    <col min="5627" max="5627" width="33" style="1" customWidth="1"/>
    <col min="5628" max="5628" width="6.6640625" style="1" customWidth="1"/>
    <col min="5629" max="5629" width="19" style="1" customWidth="1"/>
    <col min="5630" max="5630" width="19.109375" style="1" customWidth="1"/>
    <col min="5631" max="5631" width="21.33203125" style="1" customWidth="1"/>
    <col min="5632" max="5632" width="32.5546875" style="1" customWidth="1"/>
    <col min="5633" max="5633" width="16.88671875" style="1" customWidth="1"/>
    <col min="5634" max="5634" width="16.33203125" style="1" customWidth="1"/>
    <col min="5635" max="5865" width="10.33203125" style="1"/>
    <col min="5866" max="5866" width="4.44140625" style="1" customWidth="1"/>
    <col min="5867" max="5867" width="21.6640625" style="1" customWidth="1"/>
    <col min="5868" max="5868" width="15" style="1" customWidth="1"/>
    <col min="5869" max="5869" width="15.44140625" style="1" customWidth="1"/>
    <col min="5870" max="5870" width="11.5546875" style="1" customWidth="1"/>
    <col min="5871" max="5871" width="7.44140625" style="1" customWidth="1"/>
    <col min="5872" max="5872" width="14.109375" style="1" customWidth="1"/>
    <col min="5873" max="5873" width="10.6640625" style="1" customWidth="1"/>
    <col min="5874" max="5874" width="13.44140625" style="1" customWidth="1"/>
    <col min="5875" max="5875" width="11.44140625" style="1" customWidth="1"/>
    <col min="5876" max="5876" width="15" style="1" customWidth="1"/>
    <col min="5877" max="5877" width="14.5546875" style="1" customWidth="1"/>
    <col min="5878" max="5878" width="10.33203125" style="1"/>
    <col min="5879" max="5879" width="7.44140625" style="1" customWidth="1"/>
    <col min="5880" max="5880" width="12.88671875" style="1" customWidth="1"/>
    <col min="5881" max="5881" width="11.109375" style="1" customWidth="1"/>
    <col min="5882" max="5882" width="14" style="1" customWidth="1"/>
    <col min="5883" max="5883" width="33" style="1" customWidth="1"/>
    <col min="5884" max="5884" width="6.6640625" style="1" customWidth="1"/>
    <col min="5885" max="5885" width="19" style="1" customWidth="1"/>
    <col min="5886" max="5886" width="19.109375" style="1" customWidth="1"/>
    <col min="5887" max="5887" width="21.33203125" style="1" customWidth="1"/>
    <col min="5888" max="5888" width="32.5546875" style="1" customWidth="1"/>
    <col min="5889" max="5889" width="16.88671875" style="1" customWidth="1"/>
    <col min="5890" max="5890" width="16.33203125" style="1" customWidth="1"/>
    <col min="5891" max="6121" width="10.33203125" style="1"/>
    <col min="6122" max="6122" width="4.44140625" style="1" customWidth="1"/>
    <col min="6123" max="6123" width="21.6640625" style="1" customWidth="1"/>
    <col min="6124" max="6124" width="15" style="1" customWidth="1"/>
    <col min="6125" max="6125" width="15.44140625" style="1" customWidth="1"/>
    <col min="6126" max="6126" width="11.5546875" style="1" customWidth="1"/>
    <col min="6127" max="6127" width="7.44140625" style="1" customWidth="1"/>
    <col min="6128" max="6128" width="14.109375" style="1" customWidth="1"/>
    <col min="6129" max="6129" width="10.6640625" style="1" customWidth="1"/>
    <col min="6130" max="6130" width="13.44140625" style="1" customWidth="1"/>
    <col min="6131" max="6131" width="11.44140625" style="1" customWidth="1"/>
    <col min="6132" max="6132" width="15" style="1" customWidth="1"/>
    <col min="6133" max="6133" width="14.5546875" style="1" customWidth="1"/>
    <col min="6134" max="6134" width="10.33203125" style="1"/>
    <col min="6135" max="6135" width="7.44140625" style="1" customWidth="1"/>
    <col min="6136" max="6136" width="12.88671875" style="1" customWidth="1"/>
    <col min="6137" max="6137" width="11.109375" style="1" customWidth="1"/>
    <col min="6138" max="6138" width="14" style="1" customWidth="1"/>
    <col min="6139" max="6139" width="33" style="1" customWidth="1"/>
    <col min="6140" max="6140" width="6.6640625" style="1" customWidth="1"/>
    <col min="6141" max="6141" width="19" style="1" customWidth="1"/>
    <col min="6142" max="6142" width="19.109375" style="1" customWidth="1"/>
    <col min="6143" max="6143" width="21.33203125" style="1" customWidth="1"/>
    <col min="6144" max="6144" width="32.5546875" style="1" customWidth="1"/>
    <col min="6145" max="6145" width="16.88671875" style="1" customWidth="1"/>
    <col min="6146" max="6146" width="16.33203125" style="1" customWidth="1"/>
    <col min="6147" max="6377" width="10.33203125" style="1"/>
    <col min="6378" max="6378" width="4.44140625" style="1" customWidth="1"/>
    <col min="6379" max="6379" width="21.6640625" style="1" customWidth="1"/>
    <col min="6380" max="6380" width="15" style="1" customWidth="1"/>
    <col min="6381" max="6381" width="15.44140625" style="1" customWidth="1"/>
    <col min="6382" max="6382" width="11.5546875" style="1" customWidth="1"/>
    <col min="6383" max="6383" width="7.44140625" style="1" customWidth="1"/>
    <col min="6384" max="6384" width="14.109375" style="1" customWidth="1"/>
    <col min="6385" max="6385" width="10.6640625" style="1" customWidth="1"/>
    <col min="6386" max="6386" width="13.44140625" style="1" customWidth="1"/>
    <col min="6387" max="6387" width="11.44140625" style="1" customWidth="1"/>
    <col min="6388" max="6388" width="15" style="1" customWidth="1"/>
    <col min="6389" max="6389" width="14.5546875" style="1" customWidth="1"/>
    <col min="6390" max="6390" width="10.33203125" style="1"/>
    <col min="6391" max="6391" width="7.44140625" style="1" customWidth="1"/>
    <col min="6392" max="6392" width="12.88671875" style="1" customWidth="1"/>
    <col min="6393" max="6393" width="11.109375" style="1" customWidth="1"/>
    <col min="6394" max="6394" width="14" style="1" customWidth="1"/>
    <col min="6395" max="6395" width="33" style="1" customWidth="1"/>
    <col min="6396" max="6396" width="6.6640625" style="1" customWidth="1"/>
    <col min="6397" max="6397" width="19" style="1" customWidth="1"/>
    <col min="6398" max="6398" width="19.109375" style="1" customWidth="1"/>
    <col min="6399" max="6399" width="21.33203125" style="1" customWidth="1"/>
    <col min="6400" max="6400" width="32.5546875" style="1" customWidth="1"/>
    <col min="6401" max="6401" width="16.88671875" style="1" customWidth="1"/>
    <col min="6402" max="6402" width="16.33203125" style="1" customWidth="1"/>
    <col min="6403" max="6633" width="10.33203125" style="1"/>
    <col min="6634" max="6634" width="4.44140625" style="1" customWidth="1"/>
    <col min="6635" max="6635" width="21.6640625" style="1" customWidth="1"/>
    <col min="6636" max="6636" width="15" style="1" customWidth="1"/>
    <col min="6637" max="6637" width="15.44140625" style="1" customWidth="1"/>
    <col min="6638" max="6638" width="11.5546875" style="1" customWidth="1"/>
    <col min="6639" max="6639" width="7.44140625" style="1" customWidth="1"/>
    <col min="6640" max="6640" width="14.109375" style="1" customWidth="1"/>
    <col min="6641" max="6641" width="10.6640625" style="1" customWidth="1"/>
    <col min="6642" max="6642" width="13.44140625" style="1" customWidth="1"/>
    <col min="6643" max="6643" width="11.44140625" style="1" customWidth="1"/>
    <col min="6644" max="6644" width="15" style="1" customWidth="1"/>
    <col min="6645" max="6645" width="14.5546875" style="1" customWidth="1"/>
    <col min="6646" max="6646" width="10.33203125" style="1"/>
    <col min="6647" max="6647" width="7.44140625" style="1" customWidth="1"/>
    <col min="6648" max="6648" width="12.88671875" style="1" customWidth="1"/>
    <col min="6649" max="6649" width="11.109375" style="1" customWidth="1"/>
    <col min="6650" max="6650" width="14" style="1" customWidth="1"/>
    <col min="6651" max="6651" width="33" style="1" customWidth="1"/>
    <col min="6652" max="6652" width="6.6640625" style="1" customWidth="1"/>
    <col min="6653" max="6653" width="19" style="1" customWidth="1"/>
    <col min="6654" max="6654" width="19.109375" style="1" customWidth="1"/>
    <col min="6655" max="6655" width="21.33203125" style="1" customWidth="1"/>
    <col min="6656" max="6656" width="32.5546875" style="1" customWidth="1"/>
    <col min="6657" max="6657" width="16.88671875" style="1" customWidth="1"/>
    <col min="6658" max="6658" width="16.33203125" style="1" customWidth="1"/>
    <col min="6659" max="6889" width="10.33203125" style="1"/>
    <col min="6890" max="6890" width="4.44140625" style="1" customWidth="1"/>
    <col min="6891" max="6891" width="21.6640625" style="1" customWidth="1"/>
    <col min="6892" max="6892" width="15" style="1" customWidth="1"/>
    <col min="6893" max="6893" width="15.44140625" style="1" customWidth="1"/>
    <col min="6894" max="6894" width="11.5546875" style="1" customWidth="1"/>
    <col min="6895" max="6895" width="7.44140625" style="1" customWidth="1"/>
    <col min="6896" max="6896" width="14.109375" style="1" customWidth="1"/>
    <col min="6897" max="6897" width="10.6640625" style="1" customWidth="1"/>
    <col min="6898" max="6898" width="13.44140625" style="1" customWidth="1"/>
    <col min="6899" max="6899" width="11.44140625" style="1" customWidth="1"/>
    <col min="6900" max="6900" width="15" style="1" customWidth="1"/>
    <col min="6901" max="6901" width="14.5546875" style="1" customWidth="1"/>
    <col min="6902" max="6902" width="10.33203125" style="1"/>
    <col min="6903" max="6903" width="7.44140625" style="1" customWidth="1"/>
    <col min="6904" max="6904" width="12.88671875" style="1" customWidth="1"/>
    <col min="6905" max="6905" width="11.109375" style="1" customWidth="1"/>
    <col min="6906" max="6906" width="14" style="1" customWidth="1"/>
    <col min="6907" max="6907" width="33" style="1" customWidth="1"/>
    <col min="6908" max="6908" width="6.6640625" style="1" customWidth="1"/>
    <col min="6909" max="6909" width="19" style="1" customWidth="1"/>
    <col min="6910" max="6910" width="19.109375" style="1" customWidth="1"/>
    <col min="6911" max="6911" width="21.33203125" style="1" customWidth="1"/>
    <col min="6912" max="6912" width="32.5546875" style="1" customWidth="1"/>
    <col min="6913" max="6913" width="16.88671875" style="1" customWidth="1"/>
    <col min="6914" max="6914" width="16.33203125" style="1" customWidth="1"/>
    <col min="6915" max="7145" width="10.33203125" style="1"/>
    <col min="7146" max="7146" width="4.44140625" style="1" customWidth="1"/>
    <col min="7147" max="7147" width="21.6640625" style="1" customWidth="1"/>
    <col min="7148" max="7148" width="15" style="1" customWidth="1"/>
    <col min="7149" max="7149" width="15.44140625" style="1" customWidth="1"/>
    <col min="7150" max="7150" width="11.5546875" style="1" customWidth="1"/>
    <col min="7151" max="7151" width="7.44140625" style="1" customWidth="1"/>
    <col min="7152" max="7152" width="14.109375" style="1" customWidth="1"/>
    <col min="7153" max="7153" width="10.6640625" style="1" customWidth="1"/>
    <col min="7154" max="7154" width="13.44140625" style="1" customWidth="1"/>
    <col min="7155" max="7155" width="11.44140625" style="1" customWidth="1"/>
    <col min="7156" max="7156" width="15" style="1" customWidth="1"/>
    <col min="7157" max="7157" width="14.5546875" style="1" customWidth="1"/>
    <col min="7158" max="7158" width="10.33203125" style="1"/>
    <col min="7159" max="7159" width="7.44140625" style="1" customWidth="1"/>
    <col min="7160" max="7160" width="12.88671875" style="1" customWidth="1"/>
    <col min="7161" max="7161" width="11.109375" style="1" customWidth="1"/>
    <col min="7162" max="7162" width="14" style="1" customWidth="1"/>
    <col min="7163" max="7163" width="33" style="1" customWidth="1"/>
    <col min="7164" max="7164" width="6.6640625" style="1" customWidth="1"/>
    <col min="7165" max="7165" width="19" style="1" customWidth="1"/>
    <col min="7166" max="7166" width="19.109375" style="1" customWidth="1"/>
    <col min="7167" max="7167" width="21.33203125" style="1" customWidth="1"/>
    <col min="7168" max="7168" width="32.5546875" style="1" customWidth="1"/>
    <col min="7169" max="7169" width="16.88671875" style="1" customWidth="1"/>
    <col min="7170" max="7170" width="16.33203125" style="1" customWidth="1"/>
    <col min="7171" max="7401" width="10.33203125" style="1"/>
    <col min="7402" max="7402" width="4.44140625" style="1" customWidth="1"/>
    <col min="7403" max="7403" width="21.6640625" style="1" customWidth="1"/>
    <col min="7404" max="7404" width="15" style="1" customWidth="1"/>
    <col min="7405" max="7405" width="15.44140625" style="1" customWidth="1"/>
    <col min="7406" max="7406" width="11.5546875" style="1" customWidth="1"/>
    <col min="7407" max="7407" width="7.44140625" style="1" customWidth="1"/>
    <col min="7408" max="7408" width="14.109375" style="1" customWidth="1"/>
    <col min="7409" max="7409" width="10.6640625" style="1" customWidth="1"/>
    <col min="7410" max="7410" width="13.44140625" style="1" customWidth="1"/>
    <col min="7411" max="7411" width="11.44140625" style="1" customWidth="1"/>
    <col min="7412" max="7412" width="15" style="1" customWidth="1"/>
    <col min="7413" max="7413" width="14.5546875" style="1" customWidth="1"/>
    <col min="7414" max="7414" width="10.33203125" style="1"/>
    <col min="7415" max="7415" width="7.44140625" style="1" customWidth="1"/>
    <col min="7416" max="7416" width="12.88671875" style="1" customWidth="1"/>
    <col min="7417" max="7417" width="11.109375" style="1" customWidth="1"/>
    <col min="7418" max="7418" width="14" style="1" customWidth="1"/>
    <col min="7419" max="7419" width="33" style="1" customWidth="1"/>
    <col min="7420" max="7420" width="6.6640625" style="1" customWidth="1"/>
    <col min="7421" max="7421" width="19" style="1" customWidth="1"/>
    <col min="7422" max="7422" width="19.109375" style="1" customWidth="1"/>
    <col min="7423" max="7423" width="21.33203125" style="1" customWidth="1"/>
    <col min="7424" max="7424" width="32.5546875" style="1" customWidth="1"/>
    <col min="7425" max="7425" width="16.88671875" style="1" customWidth="1"/>
    <col min="7426" max="7426" width="16.33203125" style="1" customWidth="1"/>
    <col min="7427" max="7657" width="10.33203125" style="1"/>
    <col min="7658" max="7658" width="4.44140625" style="1" customWidth="1"/>
    <col min="7659" max="7659" width="21.6640625" style="1" customWidth="1"/>
    <col min="7660" max="7660" width="15" style="1" customWidth="1"/>
    <col min="7661" max="7661" width="15.44140625" style="1" customWidth="1"/>
    <col min="7662" max="7662" width="11.5546875" style="1" customWidth="1"/>
    <col min="7663" max="7663" width="7.44140625" style="1" customWidth="1"/>
    <col min="7664" max="7664" width="14.109375" style="1" customWidth="1"/>
    <col min="7665" max="7665" width="10.6640625" style="1" customWidth="1"/>
    <col min="7666" max="7666" width="13.44140625" style="1" customWidth="1"/>
    <col min="7667" max="7667" width="11.44140625" style="1" customWidth="1"/>
    <col min="7668" max="7668" width="15" style="1" customWidth="1"/>
    <col min="7669" max="7669" width="14.5546875" style="1" customWidth="1"/>
    <col min="7670" max="7670" width="10.33203125" style="1"/>
    <col min="7671" max="7671" width="7.44140625" style="1" customWidth="1"/>
    <col min="7672" max="7672" width="12.88671875" style="1" customWidth="1"/>
    <col min="7673" max="7673" width="11.109375" style="1" customWidth="1"/>
    <col min="7674" max="7674" width="14" style="1" customWidth="1"/>
    <col min="7675" max="7675" width="33" style="1" customWidth="1"/>
    <col min="7676" max="7676" width="6.6640625" style="1" customWidth="1"/>
    <col min="7677" max="7677" width="19" style="1" customWidth="1"/>
    <col min="7678" max="7678" width="19.109375" style="1" customWidth="1"/>
    <col min="7679" max="7679" width="21.33203125" style="1" customWidth="1"/>
    <col min="7680" max="7680" width="32.5546875" style="1" customWidth="1"/>
    <col min="7681" max="7681" width="16.88671875" style="1" customWidth="1"/>
    <col min="7682" max="7682" width="16.33203125" style="1" customWidth="1"/>
    <col min="7683" max="7913" width="10.33203125" style="1"/>
    <col min="7914" max="7914" width="4.44140625" style="1" customWidth="1"/>
    <col min="7915" max="7915" width="21.6640625" style="1" customWidth="1"/>
    <col min="7916" max="7916" width="15" style="1" customWidth="1"/>
    <col min="7917" max="7917" width="15.44140625" style="1" customWidth="1"/>
    <col min="7918" max="7918" width="11.5546875" style="1" customWidth="1"/>
    <col min="7919" max="7919" width="7.44140625" style="1" customWidth="1"/>
    <col min="7920" max="7920" width="14.109375" style="1" customWidth="1"/>
    <col min="7921" max="7921" width="10.6640625" style="1" customWidth="1"/>
    <col min="7922" max="7922" width="13.44140625" style="1" customWidth="1"/>
    <col min="7923" max="7923" width="11.44140625" style="1" customWidth="1"/>
    <col min="7924" max="7924" width="15" style="1" customWidth="1"/>
    <col min="7925" max="7925" width="14.5546875" style="1" customWidth="1"/>
    <col min="7926" max="7926" width="10.33203125" style="1"/>
    <col min="7927" max="7927" width="7.44140625" style="1" customWidth="1"/>
    <col min="7928" max="7928" width="12.88671875" style="1" customWidth="1"/>
    <col min="7929" max="7929" width="11.109375" style="1" customWidth="1"/>
    <col min="7930" max="7930" width="14" style="1" customWidth="1"/>
    <col min="7931" max="7931" width="33" style="1" customWidth="1"/>
    <col min="7932" max="7932" width="6.6640625" style="1" customWidth="1"/>
    <col min="7933" max="7933" width="19" style="1" customWidth="1"/>
    <col min="7934" max="7934" width="19.109375" style="1" customWidth="1"/>
    <col min="7935" max="7935" width="21.33203125" style="1" customWidth="1"/>
    <col min="7936" max="7936" width="32.5546875" style="1" customWidth="1"/>
    <col min="7937" max="7937" width="16.88671875" style="1" customWidth="1"/>
    <col min="7938" max="7938" width="16.33203125" style="1" customWidth="1"/>
    <col min="7939" max="8169" width="10.33203125" style="1"/>
    <col min="8170" max="8170" width="4.44140625" style="1" customWidth="1"/>
    <col min="8171" max="8171" width="21.6640625" style="1" customWidth="1"/>
    <col min="8172" max="8172" width="15" style="1" customWidth="1"/>
    <col min="8173" max="8173" width="15.44140625" style="1" customWidth="1"/>
    <col min="8174" max="8174" width="11.5546875" style="1" customWidth="1"/>
    <col min="8175" max="8175" width="7.44140625" style="1" customWidth="1"/>
    <col min="8176" max="8176" width="14.109375" style="1" customWidth="1"/>
    <col min="8177" max="8177" width="10.6640625" style="1" customWidth="1"/>
    <col min="8178" max="8178" width="13.44140625" style="1" customWidth="1"/>
    <col min="8179" max="8179" width="11.44140625" style="1" customWidth="1"/>
    <col min="8180" max="8180" width="15" style="1" customWidth="1"/>
    <col min="8181" max="8181" width="14.5546875" style="1" customWidth="1"/>
    <col min="8182" max="8182" width="10.33203125" style="1"/>
    <col min="8183" max="8183" width="7.44140625" style="1" customWidth="1"/>
    <col min="8184" max="8184" width="12.88671875" style="1" customWidth="1"/>
    <col min="8185" max="8185" width="11.109375" style="1" customWidth="1"/>
    <col min="8186" max="8186" width="14" style="1" customWidth="1"/>
    <col min="8187" max="8187" width="33" style="1" customWidth="1"/>
    <col min="8188" max="8188" width="6.6640625" style="1" customWidth="1"/>
    <col min="8189" max="8189" width="19" style="1" customWidth="1"/>
    <col min="8190" max="8190" width="19.109375" style="1" customWidth="1"/>
    <col min="8191" max="8191" width="21.33203125" style="1" customWidth="1"/>
    <col min="8192" max="8192" width="32.5546875" style="1" customWidth="1"/>
    <col min="8193" max="8193" width="16.88671875" style="1" customWidth="1"/>
    <col min="8194" max="8194" width="16.33203125" style="1" customWidth="1"/>
    <col min="8195" max="8425" width="10.33203125" style="1"/>
    <col min="8426" max="8426" width="4.44140625" style="1" customWidth="1"/>
    <col min="8427" max="8427" width="21.6640625" style="1" customWidth="1"/>
    <col min="8428" max="8428" width="15" style="1" customWidth="1"/>
    <col min="8429" max="8429" width="15.44140625" style="1" customWidth="1"/>
    <col min="8430" max="8430" width="11.5546875" style="1" customWidth="1"/>
    <col min="8431" max="8431" width="7.44140625" style="1" customWidth="1"/>
    <col min="8432" max="8432" width="14.109375" style="1" customWidth="1"/>
    <col min="8433" max="8433" width="10.6640625" style="1" customWidth="1"/>
    <col min="8434" max="8434" width="13.44140625" style="1" customWidth="1"/>
    <col min="8435" max="8435" width="11.44140625" style="1" customWidth="1"/>
    <col min="8436" max="8436" width="15" style="1" customWidth="1"/>
    <col min="8437" max="8437" width="14.5546875" style="1" customWidth="1"/>
    <col min="8438" max="8438" width="10.33203125" style="1"/>
    <col min="8439" max="8439" width="7.44140625" style="1" customWidth="1"/>
    <col min="8440" max="8440" width="12.88671875" style="1" customWidth="1"/>
    <col min="8441" max="8441" width="11.109375" style="1" customWidth="1"/>
    <col min="8442" max="8442" width="14" style="1" customWidth="1"/>
    <col min="8443" max="8443" width="33" style="1" customWidth="1"/>
    <col min="8444" max="8444" width="6.6640625" style="1" customWidth="1"/>
    <col min="8445" max="8445" width="19" style="1" customWidth="1"/>
    <col min="8446" max="8446" width="19.109375" style="1" customWidth="1"/>
    <col min="8447" max="8447" width="21.33203125" style="1" customWidth="1"/>
    <col min="8448" max="8448" width="32.5546875" style="1" customWidth="1"/>
    <col min="8449" max="8449" width="16.88671875" style="1" customWidth="1"/>
    <col min="8450" max="8450" width="16.33203125" style="1" customWidth="1"/>
    <col min="8451" max="8681" width="10.33203125" style="1"/>
    <col min="8682" max="8682" width="4.44140625" style="1" customWidth="1"/>
    <col min="8683" max="8683" width="21.6640625" style="1" customWidth="1"/>
    <col min="8684" max="8684" width="15" style="1" customWidth="1"/>
    <col min="8685" max="8685" width="15.44140625" style="1" customWidth="1"/>
    <col min="8686" max="8686" width="11.5546875" style="1" customWidth="1"/>
    <col min="8687" max="8687" width="7.44140625" style="1" customWidth="1"/>
    <col min="8688" max="8688" width="14.109375" style="1" customWidth="1"/>
    <col min="8689" max="8689" width="10.6640625" style="1" customWidth="1"/>
    <col min="8690" max="8690" width="13.44140625" style="1" customWidth="1"/>
    <col min="8691" max="8691" width="11.44140625" style="1" customWidth="1"/>
    <col min="8692" max="8692" width="15" style="1" customWidth="1"/>
    <col min="8693" max="8693" width="14.5546875" style="1" customWidth="1"/>
    <col min="8694" max="8694" width="10.33203125" style="1"/>
    <col min="8695" max="8695" width="7.44140625" style="1" customWidth="1"/>
    <col min="8696" max="8696" width="12.88671875" style="1" customWidth="1"/>
    <col min="8697" max="8697" width="11.109375" style="1" customWidth="1"/>
    <col min="8698" max="8698" width="14" style="1" customWidth="1"/>
    <col min="8699" max="8699" width="33" style="1" customWidth="1"/>
    <col min="8700" max="8700" width="6.6640625" style="1" customWidth="1"/>
    <col min="8701" max="8701" width="19" style="1" customWidth="1"/>
    <col min="8702" max="8702" width="19.109375" style="1" customWidth="1"/>
    <col min="8703" max="8703" width="21.33203125" style="1" customWidth="1"/>
    <col min="8704" max="8704" width="32.5546875" style="1" customWidth="1"/>
    <col min="8705" max="8705" width="16.88671875" style="1" customWidth="1"/>
    <col min="8706" max="8706" width="16.33203125" style="1" customWidth="1"/>
    <col min="8707" max="8937" width="10.33203125" style="1"/>
    <col min="8938" max="8938" width="4.44140625" style="1" customWidth="1"/>
    <col min="8939" max="8939" width="21.6640625" style="1" customWidth="1"/>
    <col min="8940" max="8940" width="15" style="1" customWidth="1"/>
    <col min="8941" max="8941" width="15.44140625" style="1" customWidth="1"/>
    <col min="8942" max="8942" width="11.5546875" style="1" customWidth="1"/>
    <col min="8943" max="8943" width="7.44140625" style="1" customWidth="1"/>
    <col min="8944" max="8944" width="14.109375" style="1" customWidth="1"/>
    <col min="8945" max="8945" width="10.6640625" style="1" customWidth="1"/>
    <col min="8946" max="8946" width="13.44140625" style="1" customWidth="1"/>
    <col min="8947" max="8947" width="11.44140625" style="1" customWidth="1"/>
    <col min="8948" max="8948" width="15" style="1" customWidth="1"/>
    <col min="8949" max="8949" width="14.5546875" style="1" customWidth="1"/>
    <col min="8950" max="8950" width="10.33203125" style="1"/>
    <col min="8951" max="8951" width="7.44140625" style="1" customWidth="1"/>
    <col min="8952" max="8952" width="12.88671875" style="1" customWidth="1"/>
    <col min="8953" max="8953" width="11.109375" style="1" customWidth="1"/>
    <col min="8954" max="8954" width="14" style="1" customWidth="1"/>
    <col min="8955" max="8955" width="33" style="1" customWidth="1"/>
    <col min="8956" max="8956" width="6.6640625" style="1" customWidth="1"/>
    <col min="8957" max="8957" width="19" style="1" customWidth="1"/>
    <col min="8958" max="8958" width="19.109375" style="1" customWidth="1"/>
    <col min="8959" max="8959" width="21.33203125" style="1" customWidth="1"/>
    <col min="8960" max="8960" width="32.5546875" style="1" customWidth="1"/>
    <col min="8961" max="8961" width="16.88671875" style="1" customWidth="1"/>
    <col min="8962" max="8962" width="16.33203125" style="1" customWidth="1"/>
    <col min="8963" max="9193" width="10.33203125" style="1"/>
    <col min="9194" max="9194" width="4.44140625" style="1" customWidth="1"/>
    <col min="9195" max="9195" width="21.6640625" style="1" customWidth="1"/>
    <col min="9196" max="9196" width="15" style="1" customWidth="1"/>
    <col min="9197" max="9197" width="15.44140625" style="1" customWidth="1"/>
    <col min="9198" max="9198" width="11.5546875" style="1" customWidth="1"/>
    <col min="9199" max="9199" width="7.44140625" style="1" customWidth="1"/>
    <col min="9200" max="9200" width="14.109375" style="1" customWidth="1"/>
    <col min="9201" max="9201" width="10.6640625" style="1" customWidth="1"/>
    <col min="9202" max="9202" width="13.44140625" style="1" customWidth="1"/>
    <col min="9203" max="9203" width="11.44140625" style="1" customWidth="1"/>
    <col min="9204" max="9204" width="15" style="1" customWidth="1"/>
    <col min="9205" max="9205" width="14.5546875" style="1" customWidth="1"/>
    <col min="9206" max="9206" width="10.33203125" style="1"/>
    <col min="9207" max="9207" width="7.44140625" style="1" customWidth="1"/>
    <col min="9208" max="9208" width="12.88671875" style="1" customWidth="1"/>
    <col min="9209" max="9209" width="11.109375" style="1" customWidth="1"/>
    <col min="9210" max="9210" width="14" style="1" customWidth="1"/>
    <col min="9211" max="9211" width="33" style="1" customWidth="1"/>
    <col min="9212" max="9212" width="6.6640625" style="1" customWidth="1"/>
    <col min="9213" max="9213" width="19" style="1" customWidth="1"/>
    <col min="9214" max="9214" width="19.109375" style="1" customWidth="1"/>
    <col min="9215" max="9215" width="21.33203125" style="1" customWidth="1"/>
    <col min="9216" max="9216" width="32.5546875" style="1" customWidth="1"/>
    <col min="9217" max="9217" width="16.88671875" style="1" customWidth="1"/>
    <col min="9218" max="9218" width="16.33203125" style="1" customWidth="1"/>
    <col min="9219" max="9449" width="10.33203125" style="1"/>
    <col min="9450" max="9450" width="4.44140625" style="1" customWidth="1"/>
    <col min="9451" max="9451" width="21.6640625" style="1" customWidth="1"/>
    <col min="9452" max="9452" width="15" style="1" customWidth="1"/>
    <col min="9453" max="9453" width="15.44140625" style="1" customWidth="1"/>
    <col min="9454" max="9454" width="11.5546875" style="1" customWidth="1"/>
    <col min="9455" max="9455" width="7.44140625" style="1" customWidth="1"/>
    <col min="9456" max="9456" width="14.109375" style="1" customWidth="1"/>
    <col min="9457" max="9457" width="10.6640625" style="1" customWidth="1"/>
    <col min="9458" max="9458" width="13.44140625" style="1" customWidth="1"/>
    <col min="9459" max="9459" width="11.44140625" style="1" customWidth="1"/>
    <col min="9460" max="9460" width="15" style="1" customWidth="1"/>
    <col min="9461" max="9461" width="14.5546875" style="1" customWidth="1"/>
    <col min="9462" max="9462" width="10.33203125" style="1"/>
    <col min="9463" max="9463" width="7.44140625" style="1" customWidth="1"/>
    <col min="9464" max="9464" width="12.88671875" style="1" customWidth="1"/>
    <col min="9465" max="9465" width="11.109375" style="1" customWidth="1"/>
    <col min="9466" max="9466" width="14" style="1" customWidth="1"/>
    <col min="9467" max="9467" width="33" style="1" customWidth="1"/>
    <col min="9468" max="9468" width="6.6640625" style="1" customWidth="1"/>
    <col min="9469" max="9469" width="19" style="1" customWidth="1"/>
    <col min="9470" max="9470" width="19.109375" style="1" customWidth="1"/>
    <col min="9471" max="9471" width="21.33203125" style="1" customWidth="1"/>
    <col min="9472" max="9472" width="32.5546875" style="1" customWidth="1"/>
    <col min="9473" max="9473" width="16.88671875" style="1" customWidth="1"/>
    <col min="9474" max="9474" width="16.33203125" style="1" customWidth="1"/>
    <col min="9475" max="9705" width="10.33203125" style="1"/>
    <col min="9706" max="9706" width="4.44140625" style="1" customWidth="1"/>
    <col min="9707" max="9707" width="21.6640625" style="1" customWidth="1"/>
    <col min="9708" max="9708" width="15" style="1" customWidth="1"/>
    <col min="9709" max="9709" width="15.44140625" style="1" customWidth="1"/>
    <col min="9710" max="9710" width="11.5546875" style="1" customWidth="1"/>
    <col min="9711" max="9711" width="7.44140625" style="1" customWidth="1"/>
    <col min="9712" max="9712" width="14.109375" style="1" customWidth="1"/>
    <col min="9713" max="9713" width="10.6640625" style="1" customWidth="1"/>
    <col min="9714" max="9714" width="13.44140625" style="1" customWidth="1"/>
    <col min="9715" max="9715" width="11.44140625" style="1" customWidth="1"/>
    <col min="9716" max="9716" width="15" style="1" customWidth="1"/>
    <col min="9717" max="9717" width="14.5546875" style="1" customWidth="1"/>
    <col min="9718" max="9718" width="10.33203125" style="1"/>
    <col min="9719" max="9719" width="7.44140625" style="1" customWidth="1"/>
    <col min="9720" max="9720" width="12.88671875" style="1" customWidth="1"/>
    <col min="9721" max="9721" width="11.109375" style="1" customWidth="1"/>
    <col min="9722" max="9722" width="14" style="1" customWidth="1"/>
    <col min="9723" max="9723" width="33" style="1" customWidth="1"/>
    <col min="9724" max="9724" width="6.6640625" style="1" customWidth="1"/>
    <col min="9725" max="9725" width="19" style="1" customWidth="1"/>
    <col min="9726" max="9726" width="19.109375" style="1" customWidth="1"/>
    <col min="9727" max="9727" width="21.33203125" style="1" customWidth="1"/>
    <col min="9728" max="9728" width="32.5546875" style="1" customWidth="1"/>
    <col min="9729" max="9729" width="16.88671875" style="1" customWidth="1"/>
    <col min="9730" max="9730" width="16.33203125" style="1" customWidth="1"/>
    <col min="9731" max="9961" width="10.33203125" style="1"/>
    <col min="9962" max="9962" width="4.44140625" style="1" customWidth="1"/>
    <col min="9963" max="9963" width="21.6640625" style="1" customWidth="1"/>
    <col min="9964" max="9964" width="15" style="1" customWidth="1"/>
    <col min="9965" max="9965" width="15.44140625" style="1" customWidth="1"/>
    <col min="9966" max="9966" width="11.5546875" style="1" customWidth="1"/>
    <col min="9967" max="9967" width="7.44140625" style="1" customWidth="1"/>
    <col min="9968" max="9968" width="14.109375" style="1" customWidth="1"/>
    <col min="9969" max="9969" width="10.6640625" style="1" customWidth="1"/>
    <col min="9970" max="9970" width="13.44140625" style="1" customWidth="1"/>
    <col min="9971" max="9971" width="11.44140625" style="1" customWidth="1"/>
    <col min="9972" max="9972" width="15" style="1" customWidth="1"/>
    <col min="9973" max="9973" width="14.5546875" style="1" customWidth="1"/>
    <col min="9974" max="9974" width="10.33203125" style="1"/>
    <col min="9975" max="9975" width="7.44140625" style="1" customWidth="1"/>
    <col min="9976" max="9976" width="12.88671875" style="1" customWidth="1"/>
    <col min="9977" max="9977" width="11.109375" style="1" customWidth="1"/>
    <col min="9978" max="9978" width="14" style="1" customWidth="1"/>
    <col min="9979" max="9979" width="33" style="1" customWidth="1"/>
    <col min="9980" max="9980" width="6.6640625" style="1" customWidth="1"/>
    <col min="9981" max="9981" width="19" style="1" customWidth="1"/>
    <col min="9982" max="9982" width="19.109375" style="1" customWidth="1"/>
    <col min="9983" max="9983" width="21.33203125" style="1" customWidth="1"/>
    <col min="9984" max="9984" width="32.5546875" style="1" customWidth="1"/>
    <col min="9985" max="9985" width="16.88671875" style="1" customWidth="1"/>
    <col min="9986" max="9986" width="16.33203125" style="1" customWidth="1"/>
    <col min="9987" max="10217" width="10.33203125" style="1"/>
    <col min="10218" max="10218" width="4.44140625" style="1" customWidth="1"/>
    <col min="10219" max="10219" width="21.6640625" style="1" customWidth="1"/>
    <col min="10220" max="10220" width="15" style="1" customWidth="1"/>
    <col min="10221" max="10221" width="15.44140625" style="1" customWidth="1"/>
    <col min="10222" max="10222" width="11.5546875" style="1" customWidth="1"/>
    <col min="10223" max="10223" width="7.44140625" style="1" customWidth="1"/>
    <col min="10224" max="10224" width="14.109375" style="1" customWidth="1"/>
    <col min="10225" max="10225" width="10.6640625" style="1" customWidth="1"/>
    <col min="10226" max="10226" width="13.44140625" style="1" customWidth="1"/>
    <col min="10227" max="10227" width="11.44140625" style="1" customWidth="1"/>
    <col min="10228" max="10228" width="15" style="1" customWidth="1"/>
    <col min="10229" max="10229" width="14.5546875" style="1" customWidth="1"/>
    <col min="10230" max="10230" width="10.33203125" style="1"/>
    <col min="10231" max="10231" width="7.44140625" style="1" customWidth="1"/>
    <col min="10232" max="10232" width="12.88671875" style="1" customWidth="1"/>
    <col min="10233" max="10233" width="11.109375" style="1" customWidth="1"/>
    <col min="10234" max="10234" width="14" style="1" customWidth="1"/>
    <col min="10235" max="10235" width="33" style="1" customWidth="1"/>
    <col min="10236" max="10236" width="6.6640625" style="1" customWidth="1"/>
    <col min="10237" max="10237" width="19" style="1" customWidth="1"/>
    <col min="10238" max="10238" width="19.109375" style="1" customWidth="1"/>
    <col min="10239" max="10239" width="21.33203125" style="1" customWidth="1"/>
    <col min="10240" max="10240" width="32.5546875" style="1" customWidth="1"/>
    <col min="10241" max="10241" width="16.88671875" style="1" customWidth="1"/>
    <col min="10242" max="10242" width="16.33203125" style="1" customWidth="1"/>
    <col min="10243" max="10473" width="10.33203125" style="1"/>
    <col min="10474" max="10474" width="4.44140625" style="1" customWidth="1"/>
    <col min="10475" max="10475" width="21.6640625" style="1" customWidth="1"/>
    <col min="10476" max="10476" width="15" style="1" customWidth="1"/>
    <col min="10477" max="10477" width="15.44140625" style="1" customWidth="1"/>
    <col min="10478" max="10478" width="11.5546875" style="1" customWidth="1"/>
    <col min="10479" max="10479" width="7.44140625" style="1" customWidth="1"/>
    <col min="10480" max="10480" width="14.109375" style="1" customWidth="1"/>
    <col min="10481" max="10481" width="10.6640625" style="1" customWidth="1"/>
    <col min="10482" max="10482" width="13.44140625" style="1" customWidth="1"/>
    <col min="10483" max="10483" width="11.44140625" style="1" customWidth="1"/>
    <col min="10484" max="10484" width="15" style="1" customWidth="1"/>
    <col min="10485" max="10485" width="14.5546875" style="1" customWidth="1"/>
    <col min="10486" max="10486" width="10.33203125" style="1"/>
    <col min="10487" max="10487" width="7.44140625" style="1" customWidth="1"/>
    <col min="10488" max="10488" width="12.88671875" style="1" customWidth="1"/>
    <col min="10489" max="10489" width="11.109375" style="1" customWidth="1"/>
    <col min="10490" max="10490" width="14" style="1" customWidth="1"/>
    <col min="10491" max="10491" width="33" style="1" customWidth="1"/>
    <col min="10492" max="10492" width="6.6640625" style="1" customWidth="1"/>
    <col min="10493" max="10493" width="19" style="1" customWidth="1"/>
    <col min="10494" max="10494" width="19.109375" style="1" customWidth="1"/>
    <col min="10495" max="10495" width="21.33203125" style="1" customWidth="1"/>
    <col min="10496" max="10496" width="32.5546875" style="1" customWidth="1"/>
    <col min="10497" max="10497" width="16.88671875" style="1" customWidth="1"/>
    <col min="10498" max="10498" width="16.33203125" style="1" customWidth="1"/>
    <col min="10499" max="10729" width="10.33203125" style="1"/>
    <col min="10730" max="10730" width="4.44140625" style="1" customWidth="1"/>
    <col min="10731" max="10731" width="21.6640625" style="1" customWidth="1"/>
    <col min="10732" max="10732" width="15" style="1" customWidth="1"/>
    <col min="10733" max="10733" width="15.44140625" style="1" customWidth="1"/>
    <col min="10734" max="10734" width="11.5546875" style="1" customWidth="1"/>
    <col min="10735" max="10735" width="7.44140625" style="1" customWidth="1"/>
    <col min="10736" max="10736" width="14.109375" style="1" customWidth="1"/>
    <col min="10737" max="10737" width="10.6640625" style="1" customWidth="1"/>
    <col min="10738" max="10738" width="13.44140625" style="1" customWidth="1"/>
    <col min="10739" max="10739" width="11.44140625" style="1" customWidth="1"/>
    <col min="10740" max="10740" width="15" style="1" customWidth="1"/>
    <col min="10741" max="10741" width="14.5546875" style="1" customWidth="1"/>
    <col min="10742" max="10742" width="10.33203125" style="1"/>
    <col min="10743" max="10743" width="7.44140625" style="1" customWidth="1"/>
    <col min="10744" max="10744" width="12.88671875" style="1" customWidth="1"/>
    <col min="10745" max="10745" width="11.109375" style="1" customWidth="1"/>
    <col min="10746" max="10746" width="14" style="1" customWidth="1"/>
    <col min="10747" max="10747" width="33" style="1" customWidth="1"/>
    <col min="10748" max="10748" width="6.6640625" style="1" customWidth="1"/>
    <col min="10749" max="10749" width="19" style="1" customWidth="1"/>
    <col min="10750" max="10750" width="19.109375" style="1" customWidth="1"/>
    <col min="10751" max="10751" width="21.33203125" style="1" customWidth="1"/>
    <col min="10752" max="10752" width="32.5546875" style="1" customWidth="1"/>
    <col min="10753" max="10753" width="16.88671875" style="1" customWidth="1"/>
    <col min="10754" max="10754" width="16.33203125" style="1" customWidth="1"/>
    <col min="10755" max="10985" width="10.33203125" style="1"/>
    <col min="10986" max="10986" width="4.44140625" style="1" customWidth="1"/>
    <col min="10987" max="10987" width="21.6640625" style="1" customWidth="1"/>
    <col min="10988" max="10988" width="15" style="1" customWidth="1"/>
    <col min="10989" max="10989" width="15.44140625" style="1" customWidth="1"/>
    <col min="10990" max="10990" width="11.5546875" style="1" customWidth="1"/>
    <col min="10991" max="10991" width="7.44140625" style="1" customWidth="1"/>
    <col min="10992" max="10992" width="14.109375" style="1" customWidth="1"/>
    <col min="10993" max="10993" width="10.6640625" style="1" customWidth="1"/>
    <col min="10994" max="10994" width="13.44140625" style="1" customWidth="1"/>
    <col min="10995" max="10995" width="11.44140625" style="1" customWidth="1"/>
    <col min="10996" max="10996" width="15" style="1" customWidth="1"/>
    <col min="10997" max="10997" width="14.5546875" style="1" customWidth="1"/>
    <col min="10998" max="10998" width="10.33203125" style="1"/>
    <col min="10999" max="10999" width="7.44140625" style="1" customWidth="1"/>
    <col min="11000" max="11000" width="12.88671875" style="1" customWidth="1"/>
    <col min="11001" max="11001" width="11.109375" style="1" customWidth="1"/>
    <col min="11002" max="11002" width="14" style="1" customWidth="1"/>
    <col min="11003" max="11003" width="33" style="1" customWidth="1"/>
    <col min="11004" max="11004" width="6.6640625" style="1" customWidth="1"/>
    <col min="11005" max="11005" width="19" style="1" customWidth="1"/>
    <col min="11006" max="11006" width="19.109375" style="1" customWidth="1"/>
    <col min="11007" max="11007" width="21.33203125" style="1" customWidth="1"/>
    <col min="11008" max="11008" width="32.5546875" style="1" customWidth="1"/>
    <col min="11009" max="11009" width="16.88671875" style="1" customWidth="1"/>
    <col min="11010" max="11010" width="16.33203125" style="1" customWidth="1"/>
    <col min="11011" max="11241" width="10.33203125" style="1"/>
    <col min="11242" max="11242" width="4.44140625" style="1" customWidth="1"/>
    <col min="11243" max="11243" width="21.6640625" style="1" customWidth="1"/>
    <col min="11244" max="11244" width="15" style="1" customWidth="1"/>
    <col min="11245" max="11245" width="15.44140625" style="1" customWidth="1"/>
    <col min="11246" max="11246" width="11.5546875" style="1" customWidth="1"/>
    <col min="11247" max="11247" width="7.44140625" style="1" customWidth="1"/>
    <col min="11248" max="11248" width="14.109375" style="1" customWidth="1"/>
    <col min="11249" max="11249" width="10.6640625" style="1" customWidth="1"/>
    <col min="11250" max="11250" width="13.44140625" style="1" customWidth="1"/>
    <col min="11251" max="11251" width="11.44140625" style="1" customWidth="1"/>
    <col min="11252" max="11252" width="15" style="1" customWidth="1"/>
    <col min="11253" max="11253" width="14.5546875" style="1" customWidth="1"/>
    <col min="11254" max="11254" width="10.33203125" style="1"/>
    <col min="11255" max="11255" width="7.44140625" style="1" customWidth="1"/>
    <col min="11256" max="11256" width="12.88671875" style="1" customWidth="1"/>
    <col min="11257" max="11257" width="11.109375" style="1" customWidth="1"/>
    <col min="11258" max="11258" width="14" style="1" customWidth="1"/>
    <col min="11259" max="11259" width="33" style="1" customWidth="1"/>
    <col min="11260" max="11260" width="6.6640625" style="1" customWidth="1"/>
    <col min="11261" max="11261" width="19" style="1" customWidth="1"/>
    <col min="11262" max="11262" width="19.109375" style="1" customWidth="1"/>
    <col min="11263" max="11263" width="21.33203125" style="1" customWidth="1"/>
    <col min="11264" max="11264" width="32.5546875" style="1" customWidth="1"/>
    <col min="11265" max="11265" width="16.88671875" style="1" customWidth="1"/>
    <col min="11266" max="11266" width="16.33203125" style="1" customWidth="1"/>
    <col min="11267" max="11497" width="10.33203125" style="1"/>
    <col min="11498" max="11498" width="4.44140625" style="1" customWidth="1"/>
    <col min="11499" max="11499" width="21.6640625" style="1" customWidth="1"/>
    <col min="11500" max="11500" width="15" style="1" customWidth="1"/>
    <col min="11501" max="11501" width="15.44140625" style="1" customWidth="1"/>
    <col min="11502" max="11502" width="11.5546875" style="1" customWidth="1"/>
    <col min="11503" max="11503" width="7.44140625" style="1" customWidth="1"/>
    <col min="11504" max="11504" width="14.109375" style="1" customWidth="1"/>
    <col min="11505" max="11505" width="10.6640625" style="1" customWidth="1"/>
    <col min="11506" max="11506" width="13.44140625" style="1" customWidth="1"/>
    <col min="11507" max="11507" width="11.44140625" style="1" customWidth="1"/>
    <col min="11508" max="11508" width="15" style="1" customWidth="1"/>
    <col min="11509" max="11509" width="14.5546875" style="1" customWidth="1"/>
    <col min="11510" max="11510" width="10.33203125" style="1"/>
    <col min="11511" max="11511" width="7.44140625" style="1" customWidth="1"/>
    <col min="11512" max="11512" width="12.88671875" style="1" customWidth="1"/>
    <col min="11513" max="11513" width="11.109375" style="1" customWidth="1"/>
    <col min="11514" max="11514" width="14" style="1" customWidth="1"/>
    <col min="11515" max="11515" width="33" style="1" customWidth="1"/>
    <col min="11516" max="11516" width="6.6640625" style="1" customWidth="1"/>
    <col min="11517" max="11517" width="19" style="1" customWidth="1"/>
    <col min="11518" max="11518" width="19.109375" style="1" customWidth="1"/>
    <col min="11519" max="11519" width="21.33203125" style="1" customWidth="1"/>
    <col min="11520" max="11520" width="32.5546875" style="1" customWidth="1"/>
    <col min="11521" max="11521" width="16.88671875" style="1" customWidth="1"/>
    <col min="11522" max="11522" width="16.33203125" style="1" customWidth="1"/>
    <col min="11523" max="11753" width="10.33203125" style="1"/>
    <col min="11754" max="11754" width="4.44140625" style="1" customWidth="1"/>
    <col min="11755" max="11755" width="21.6640625" style="1" customWidth="1"/>
    <col min="11756" max="11756" width="15" style="1" customWidth="1"/>
    <col min="11757" max="11757" width="15.44140625" style="1" customWidth="1"/>
    <col min="11758" max="11758" width="11.5546875" style="1" customWidth="1"/>
    <col min="11759" max="11759" width="7.44140625" style="1" customWidth="1"/>
    <col min="11760" max="11760" width="14.109375" style="1" customWidth="1"/>
    <col min="11761" max="11761" width="10.6640625" style="1" customWidth="1"/>
    <col min="11762" max="11762" width="13.44140625" style="1" customWidth="1"/>
    <col min="11763" max="11763" width="11.44140625" style="1" customWidth="1"/>
    <col min="11764" max="11764" width="15" style="1" customWidth="1"/>
    <col min="11765" max="11765" width="14.5546875" style="1" customWidth="1"/>
    <col min="11766" max="11766" width="10.33203125" style="1"/>
    <col min="11767" max="11767" width="7.44140625" style="1" customWidth="1"/>
    <col min="11768" max="11768" width="12.88671875" style="1" customWidth="1"/>
    <col min="11769" max="11769" width="11.109375" style="1" customWidth="1"/>
    <col min="11770" max="11770" width="14" style="1" customWidth="1"/>
    <col min="11771" max="11771" width="33" style="1" customWidth="1"/>
    <col min="11772" max="11772" width="6.6640625" style="1" customWidth="1"/>
    <col min="11773" max="11773" width="19" style="1" customWidth="1"/>
    <col min="11774" max="11774" width="19.109375" style="1" customWidth="1"/>
    <col min="11775" max="11775" width="21.33203125" style="1" customWidth="1"/>
    <col min="11776" max="11776" width="32.5546875" style="1" customWidth="1"/>
    <col min="11777" max="11777" width="16.88671875" style="1" customWidth="1"/>
    <col min="11778" max="11778" width="16.33203125" style="1" customWidth="1"/>
    <col min="11779" max="12009" width="10.33203125" style="1"/>
    <col min="12010" max="12010" width="4.44140625" style="1" customWidth="1"/>
    <col min="12011" max="12011" width="21.6640625" style="1" customWidth="1"/>
    <col min="12012" max="12012" width="15" style="1" customWidth="1"/>
    <col min="12013" max="12013" width="15.44140625" style="1" customWidth="1"/>
    <col min="12014" max="12014" width="11.5546875" style="1" customWidth="1"/>
    <col min="12015" max="12015" width="7.44140625" style="1" customWidth="1"/>
    <col min="12016" max="12016" width="14.109375" style="1" customWidth="1"/>
    <col min="12017" max="12017" width="10.6640625" style="1" customWidth="1"/>
    <col min="12018" max="12018" width="13.44140625" style="1" customWidth="1"/>
    <col min="12019" max="12019" width="11.44140625" style="1" customWidth="1"/>
    <col min="12020" max="12020" width="15" style="1" customWidth="1"/>
    <col min="12021" max="12021" width="14.5546875" style="1" customWidth="1"/>
    <col min="12022" max="12022" width="10.33203125" style="1"/>
    <col min="12023" max="12023" width="7.44140625" style="1" customWidth="1"/>
    <col min="12024" max="12024" width="12.88671875" style="1" customWidth="1"/>
    <col min="12025" max="12025" width="11.109375" style="1" customWidth="1"/>
    <col min="12026" max="12026" width="14" style="1" customWidth="1"/>
    <col min="12027" max="12027" width="33" style="1" customWidth="1"/>
    <col min="12028" max="12028" width="6.6640625" style="1" customWidth="1"/>
    <col min="12029" max="12029" width="19" style="1" customWidth="1"/>
    <col min="12030" max="12030" width="19.109375" style="1" customWidth="1"/>
    <col min="12031" max="12031" width="21.33203125" style="1" customWidth="1"/>
    <col min="12032" max="12032" width="32.5546875" style="1" customWidth="1"/>
    <col min="12033" max="12033" width="16.88671875" style="1" customWidth="1"/>
    <col min="12034" max="12034" width="16.33203125" style="1" customWidth="1"/>
    <col min="12035" max="12265" width="10.33203125" style="1"/>
    <col min="12266" max="12266" width="4.44140625" style="1" customWidth="1"/>
    <col min="12267" max="12267" width="21.6640625" style="1" customWidth="1"/>
    <col min="12268" max="12268" width="15" style="1" customWidth="1"/>
    <col min="12269" max="12269" width="15.44140625" style="1" customWidth="1"/>
    <col min="12270" max="12270" width="11.5546875" style="1" customWidth="1"/>
    <col min="12271" max="12271" width="7.44140625" style="1" customWidth="1"/>
    <col min="12272" max="12272" width="14.109375" style="1" customWidth="1"/>
    <col min="12273" max="12273" width="10.6640625" style="1" customWidth="1"/>
    <col min="12274" max="12274" width="13.44140625" style="1" customWidth="1"/>
    <col min="12275" max="12275" width="11.44140625" style="1" customWidth="1"/>
    <col min="12276" max="12276" width="15" style="1" customWidth="1"/>
    <col min="12277" max="12277" width="14.5546875" style="1" customWidth="1"/>
    <col min="12278" max="12278" width="10.33203125" style="1"/>
    <col min="12279" max="12279" width="7.44140625" style="1" customWidth="1"/>
    <col min="12280" max="12280" width="12.88671875" style="1" customWidth="1"/>
    <col min="12281" max="12281" width="11.109375" style="1" customWidth="1"/>
    <col min="12282" max="12282" width="14" style="1" customWidth="1"/>
    <col min="12283" max="12283" width="33" style="1" customWidth="1"/>
    <col min="12284" max="12284" width="6.6640625" style="1" customWidth="1"/>
    <col min="12285" max="12285" width="19" style="1" customWidth="1"/>
    <col min="12286" max="12286" width="19.109375" style="1" customWidth="1"/>
    <col min="12287" max="12287" width="21.33203125" style="1" customWidth="1"/>
    <col min="12288" max="12288" width="32.5546875" style="1" customWidth="1"/>
    <col min="12289" max="12289" width="16.88671875" style="1" customWidth="1"/>
    <col min="12290" max="12290" width="16.33203125" style="1" customWidth="1"/>
    <col min="12291" max="12521" width="10.33203125" style="1"/>
    <col min="12522" max="12522" width="4.44140625" style="1" customWidth="1"/>
    <col min="12523" max="12523" width="21.6640625" style="1" customWidth="1"/>
    <col min="12524" max="12524" width="15" style="1" customWidth="1"/>
    <col min="12525" max="12525" width="15.44140625" style="1" customWidth="1"/>
    <col min="12526" max="12526" width="11.5546875" style="1" customWidth="1"/>
    <col min="12527" max="12527" width="7.44140625" style="1" customWidth="1"/>
    <col min="12528" max="12528" width="14.109375" style="1" customWidth="1"/>
    <col min="12529" max="12529" width="10.6640625" style="1" customWidth="1"/>
    <col min="12530" max="12530" width="13.44140625" style="1" customWidth="1"/>
    <col min="12531" max="12531" width="11.44140625" style="1" customWidth="1"/>
    <col min="12532" max="12532" width="15" style="1" customWidth="1"/>
    <col min="12533" max="12533" width="14.5546875" style="1" customWidth="1"/>
    <col min="12534" max="12534" width="10.33203125" style="1"/>
    <col min="12535" max="12535" width="7.44140625" style="1" customWidth="1"/>
    <col min="12536" max="12536" width="12.88671875" style="1" customWidth="1"/>
    <col min="12537" max="12537" width="11.109375" style="1" customWidth="1"/>
    <col min="12538" max="12538" width="14" style="1" customWidth="1"/>
    <col min="12539" max="12539" width="33" style="1" customWidth="1"/>
    <col min="12540" max="12540" width="6.6640625" style="1" customWidth="1"/>
    <col min="12541" max="12541" width="19" style="1" customWidth="1"/>
    <col min="12542" max="12542" width="19.109375" style="1" customWidth="1"/>
    <col min="12543" max="12543" width="21.33203125" style="1" customWidth="1"/>
    <col min="12544" max="12544" width="32.5546875" style="1" customWidth="1"/>
    <col min="12545" max="12545" width="16.88671875" style="1" customWidth="1"/>
    <col min="12546" max="12546" width="16.33203125" style="1" customWidth="1"/>
    <col min="12547" max="12777" width="10.33203125" style="1"/>
    <col min="12778" max="12778" width="4.44140625" style="1" customWidth="1"/>
    <col min="12779" max="12779" width="21.6640625" style="1" customWidth="1"/>
    <col min="12780" max="12780" width="15" style="1" customWidth="1"/>
    <col min="12781" max="12781" width="15.44140625" style="1" customWidth="1"/>
    <col min="12782" max="12782" width="11.5546875" style="1" customWidth="1"/>
    <col min="12783" max="12783" width="7.44140625" style="1" customWidth="1"/>
    <col min="12784" max="12784" width="14.109375" style="1" customWidth="1"/>
    <col min="12785" max="12785" width="10.6640625" style="1" customWidth="1"/>
    <col min="12786" max="12786" width="13.44140625" style="1" customWidth="1"/>
    <col min="12787" max="12787" width="11.44140625" style="1" customWidth="1"/>
    <col min="12788" max="12788" width="15" style="1" customWidth="1"/>
    <col min="12789" max="12789" width="14.5546875" style="1" customWidth="1"/>
    <col min="12790" max="12790" width="10.33203125" style="1"/>
    <col min="12791" max="12791" width="7.44140625" style="1" customWidth="1"/>
    <col min="12792" max="12792" width="12.88671875" style="1" customWidth="1"/>
    <col min="12793" max="12793" width="11.109375" style="1" customWidth="1"/>
    <col min="12794" max="12794" width="14" style="1" customWidth="1"/>
    <col min="12795" max="12795" width="33" style="1" customWidth="1"/>
    <col min="12796" max="12796" width="6.6640625" style="1" customWidth="1"/>
    <col min="12797" max="12797" width="19" style="1" customWidth="1"/>
    <col min="12798" max="12798" width="19.109375" style="1" customWidth="1"/>
    <col min="12799" max="12799" width="21.33203125" style="1" customWidth="1"/>
    <col min="12800" max="12800" width="32.5546875" style="1" customWidth="1"/>
    <col min="12801" max="12801" width="16.88671875" style="1" customWidth="1"/>
    <col min="12802" max="12802" width="16.33203125" style="1" customWidth="1"/>
    <col min="12803" max="13033" width="10.33203125" style="1"/>
    <col min="13034" max="13034" width="4.44140625" style="1" customWidth="1"/>
    <col min="13035" max="13035" width="21.6640625" style="1" customWidth="1"/>
    <col min="13036" max="13036" width="15" style="1" customWidth="1"/>
    <col min="13037" max="13037" width="15.44140625" style="1" customWidth="1"/>
    <col min="13038" max="13038" width="11.5546875" style="1" customWidth="1"/>
    <col min="13039" max="13039" width="7.44140625" style="1" customWidth="1"/>
    <col min="13040" max="13040" width="14.109375" style="1" customWidth="1"/>
    <col min="13041" max="13041" width="10.6640625" style="1" customWidth="1"/>
    <col min="13042" max="13042" width="13.44140625" style="1" customWidth="1"/>
    <col min="13043" max="13043" width="11.44140625" style="1" customWidth="1"/>
    <col min="13044" max="13044" width="15" style="1" customWidth="1"/>
    <col min="13045" max="13045" width="14.5546875" style="1" customWidth="1"/>
    <col min="13046" max="13046" width="10.33203125" style="1"/>
    <col min="13047" max="13047" width="7.44140625" style="1" customWidth="1"/>
    <col min="13048" max="13048" width="12.88671875" style="1" customWidth="1"/>
    <col min="13049" max="13049" width="11.109375" style="1" customWidth="1"/>
    <col min="13050" max="13050" width="14" style="1" customWidth="1"/>
    <col min="13051" max="13051" width="33" style="1" customWidth="1"/>
    <col min="13052" max="13052" width="6.6640625" style="1" customWidth="1"/>
    <col min="13053" max="13053" width="19" style="1" customWidth="1"/>
    <col min="13054" max="13054" width="19.109375" style="1" customWidth="1"/>
    <col min="13055" max="13055" width="21.33203125" style="1" customWidth="1"/>
    <col min="13056" max="13056" width="32.5546875" style="1" customWidth="1"/>
    <col min="13057" max="13057" width="16.88671875" style="1" customWidth="1"/>
    <col min="13058" max="13058" width="16.33203125" style="1" customWidth="1"/>
    <col min="13059" max="13289" width="10.33203125" style="1"/>
    <col min="13290" max="13290" width="4.44140625" style="1" customWidth="1"/>
    <col min="13291" max="13291" width="21.6640625" style="1" customWidth="1"/>
    <col min="13292" max="13292" width="15" style="1" customWidth="1"/>
    <col min="13293" max="13293" width="15.44140625" style="1" customWidth="1"/>
    <col min="13294" max="13294" width="11.5546875" style="1" customWidth="1"/>
    <col min="13295" max="13295" width="7.44140625" style="1" customWidth="1"/>
    <col min="13296" max="13296" width="14.109375" style="1" customWidth="1"/>
    <col min="13297" max="13297" width="10.6640625" style="1" customWidth="1"/>
    <col min="13298" max="13298" width="13.44140625" style="1" customWidth="1"/>
    <col min="13299" max="13299" width="11.44140625" style="1" customWidth="1"/>
    <col min="13300" max="13300" width="15" style="1" customWidth="1"/>
    <col min="13301" max="13301" width="14.5546875" style="1" customWidth="1"/>
    <col min="13302" max="13302" width="10.33203125" style="1"/>
    <col min="13303" max="13303" width="7.44140625" style="1" customWidth="1"/>
    <col min="13304" max="13304" width="12.88671875" style="1" customWidth="1"/>
    <col min="13305" max="13305" width="11.109375" style="1" customWidth="1"/>
    <col min="13306" max="13306" width="14" style="1" customWidth="1"/>
    <col min="13307" max="13307" width="33" style="1" customWidth="1"/>
    <col min="13308" max="13308" width="6.6640625" style="1" customWidth="1"/>
    <col min="13309" max="13309" width="19" style="1" customWidth="1"/>
    <col min="13310" max="13310" width="19.109375" style="1" customWidth="1"/>
    <col min="13311" max="13311" width="21.33203125" style="1" customWidth="1"/>
    <col min="13312" max="13312" width="32.5546875" style="1" customWidth="1"/>
    <col min="13313" max="13313" width="16.88671875" style="1" customWidth="1"/>
    <col min="13314" max="13314" width="16.33203125" style="1" customWidth="1"/>
    <col min="13315" max="13545" width="10.33203125" style="1"/>
    <col min="13546" max="13546" width="4.44140625" style="1" customWidth="1"/>
    <col min="13547" max="13547" width="21.6640625" style="1" customWidth="1"/>
    <col min="13548" max="13548" width="15" style="1" customWidth="1"/>
    <col min="13549" max="13549" width="15.44140625" style="1" customWidth="1"/>
    <col min="13550" max="13550" width="11.5546875" style="1" customWidth="1"/>
    <col min="13551" max="13551" width="7.44140625" style="1" customWidth="1"/>
    <col min="13552" max="13552" width="14.109375" style="1" customWidth="1"/>
    <col min="13553" max="13553" width="10.6640625" style="1" customWidth="1"/>
    <col min="13554" max="13554" width="13.44140625" style="1" customWidth="1"/>
    <col min="13555" max="13555" width="11.44140625" style="1" customWidth="1"/>
    <col min="13556" max="13556" width="15" style="1" customWidth="1"/>
    <col min="13557" max="13557" width="14.5546875" style="1" customWidth="1"/>
    <col min="13558" max="13558" width="10.33203125" style="1"/>
    <col min="13559" max="13559" width="7.44140625" style="1" customWidth="1"/>
    <col min="13560" max="13560" width="12.88671875" style="1" customWidth="1"/>
    <col min="13561" max="13561" width="11.109375" style="1" customWidth="1"/>
    <col min="13562" max="13562" width="14" style="1" customWidth="1"/>
    <col min="13563" max="13563" width="33" style="1" customWidth="1"/>
    <col min="13564" max="13564" width="6.6640625" style="1" customWidth="1"/>
    <col min="13565" max="13565" width="19" style="1" customWidth="1"/>
    <col min="13566" max="13566" width="19.109375" style="1" customWidth="1"/>
    <col min="13567" max="13567" width="21.33203125" style="1" customWidth="1"/>
    <col min="13568" max="13568" width="32.5546875" style="1" customWidth="1"/>
    <col min="13569" max="13569" width="16.88671875" style="1" customWidth="1"/>
    <col min="13570" max="13570" width="16.33203125" style="1" customWidth="1"/>
    <col min="13571" max="13801" width="10.33203125" style="1"/>
    <col min="13802" max="13802" width="4.44140625" style="1" customWidth="1"/>
    <col min="13803" max="13803" width="21.6640625" style="1" customWidth="1"/>
    <col min="13804" max="13804" width="15" style="1" customWidth="1"/>
    <col min="13805" max="13805" width="15.44140625" style="1" customWidth="1"/>
    <col min="13806" max="13806" width="11.5546875" style="1" customWidth="1"/>
    <col min="13807" max="13807" width="7.44140625" style="1" customWidth="1"/>
    <col min="13808" max="13808" width="14.109375" style="1" customWidth="1"/>
    <col min="13809" max="13809" width="10.6640625" style="1" customWidth="1"/>
    <col min="13810" max="13810" width="13.44140625" style="1" customWidth="1"/>
    <col min="13811" max="13811" width="11.44140625" style="1" customWidth="1"/>
    <col min="13812" max="13812" width="15" style="1" customWidth="1"/>
    <col min="13813" max="13813" width="14.5546875" style="1" customWidth="1"/>
    <col min="13814" max="13814" width="10.33203125" style="1"/>
    <col min="13815" max="13815" width="7.44140625" style="1" customWidth="1"/>
    <col min="13816" max="13816" width="12.88671875" style="1" customWidth="1"/>
    <col min="13817" max="13817" width="11.109375" style="1" customWidth="1"/>
    <col min="13818" max="13818" width="14" style="1" customWidth="1"/>
    <col min="13819" max="13819" width="33" style="1" customWidth="1"/>
    <col min="13820" max="13820" width="6.6640625" style="1" customWidth="1"/>
    <col min="13821" max="13821" width="19" style="1" customWidth="1"/>
    <col min="13822" max="13822" width="19.109375" style="1" customWidth="1"/>
    <col min="13823" max="13823" width="21.33203125" style="1" customWidth="1"/>
    <col min="13824" max="13824" width="32.5546875" style="1" customWidth="1"/>
    <col min="13825" max="13825" width="16.88671875" style="1" customWidth="1"/>
    <col min="13826" max="13826" width="16.33203125" style="1" customWidth="1"/>
    <col min="13827" max="14057" width="10.33203125" style="1"/>
    <col min="14058" max="14058" width="4.44140625" style="1" customWidth="1"/>
    <col min="14059" max="14059" width="21.6640625" style="1" customWidth="1"/>
    <col min="14060" max="14060" width="15" style="1" customWidth="1"/>
    <col min="14061" max="14061" width="15.44140625" style="1" customWidth="1"/>
    <col min="14062" max="14062" width="11.5546875" style="1" customWidth="1"/>
    <col min="14063" max="14063" width="7.44140625" style="1" customWidth="1"/>
    <col min="14064" max="14064" width="14.109375" style="1" customWidth="1"/>
    <col min="14065" max="14065" width="10.6640625" style="1" customWidth="1"/>
    <col min="14066" max="14066" width="13.44140625" style="1" customWidth="1"/>
    <col min="14067" max="14067" width="11.44140625" style="1" customWidth="1"/>
    <col min="14068" max="14068" width="15" style="1" customWidth="1"/>
    <col min="14069" max="14069" width="14.5546875" style="1" customWidth="1"/>
    <col min="14070" max="14070" width="10.33203125" style="1"/>
    <col min="14071" max="14071" width="7.44140625" style="1" customWidth="1"/>
    <col min="14072" max="14072" width="12.88671875" style="1" customWidth="1"/>
    <col min="14073" max="14073" width="11.109375" style="1" customWidth="1"/>
    <col min="14074" max="14074" width="14" style="1" customWidth="1"/>
    <col min="14075" max="14075" width="33" style="1" customWidth="1"/>
    <col min="14076" max="14076" width="6.6640625" style="1" customWidth="1"/>
    <col min="14077" max="14077" width="19" style="1" customWidth="1"/>
    <col min="14078" max="14078" width="19.109375" style="1" customWidth="1"/>
    <col min="14079" max="14079" width="21.33203125" style="1" customWidth="1"/>
    <col min="14080" max="14080" width="32.5546875" style="1" customWidth="1"/>
    <col min="14081" max="14081" width="16.88671875" style="1" customWidth="1"/>
    <col min="14082" max="14082" width="16.33203125" style="1" customWidth="1"/>
    <col min="14083" max="14313" width="10.33203125" style="1"/>
    <col min="14314" max="14314" width="4.44140625" style="1" customWidth="1"/>
    <col min="14315" max="14315" width="21.6640625" style="1" customWidth="1"/>
    <col min="14316" max="14316" width="15" style="1" customWidth="1"/>
    <col min="14317" max="14317" width="15.44140625" style="1" customWidth="1"/>
    <col min="14318" max="14318" width="11.5546875" style="1" customWidth="1"/>
    <col min="14319" max="14319" width="7.44140625" style="1" customWidth="1"/>
    <col min="14320" max="14320" width="14.109375" style="1" customWidth="1"/>
    <col min="14321" max="14321" width="10.6640625" style="1" customWidth="1"/>
    <col min="14322" max="14322" width="13.44140625" style="1" customWidth="1"/>
    <col min="14323" max="14323" width="11.44140625" style="1" customWidth="1"/>
    <col min="14324" max="14324" width="15" style="1" customWidth="1"/>
    <col min="14325" max="14325" width="14.5546875" style="1" customWidth="1"/>
    <col min="14326" max="14326" width="10.33203125" style="1"/>
    <col min="14327" max="14327" width="7.44140625" style="1" customWidth="1"/>
    <col min="14328" max="14328" width="12.88671875" style="1" customWidth="1"/>
    <col min="14329" max="14329" width="11.109375" style="1" customWidth="1"/>
    <col min="14330" max="14330" width="14" style="1" customWidth="1"/>
    <col min="14331" max="14331" width="33" style="1" customWidth="1"/>
    <col min="14332" max="14332" width="6.6640625" style="1" customWidth="1"/>
    <col min="14333" max="14333" width="19" style="1" customWidth="1"/>
    <col min="14334" max="14334" width="19.109375" style="1" customWidth="1"/>
    <col min="14335" max="14335" width="21.33203125" style="1" customWidth="1"/>
    <col min="14336" max="14336" width="32.5546875" style="1" customWidth="1"/>
    <col min="14337" max="14337" width="16.88671875" style="1" customWidth="1"/>
    <col min="14338" max="14338" width="16.33203125" style="1" customWidth="1"/>
    <col min="14339" max="14569" width="10.33203125" style="1"/>
    <col min="14570" max="14570" width="4.44140625" style="1" customWidth="1"/>
    <col min="14571" max="14571" width="21.6640625" style="1" customWidth="1"/>
    <col min="14572" max="14572" width="15" style="1" customWidth="1"/>
    <col min="14573" max="14573" width="15.44140625" style="1" customWidth="1"/>
    <col min="14574" max="14574" width="11.5546875" style="1" customWidth="1"/>
    <col min="14575" max="14575" width="7.44140625" style="1" customWidth="1"/>
    <col min="14576" max="14576" width="14.109375" style="1" customWidth="1"/>
    <col min="14577" max="14577" width="10.6640625" style="1" customWidth="1"/>
    <col min="14578" max="14578" width="13.44140625" style="1" customWidth="1"/>
    <col min="14579" max="14579" width="11.44140625" style="1" customWidth="1"/>
    <col min="14580" max="14580" width="15" style="1" customWidth="1"/>
    <col min="14581" max="14581" width="14.5546875" style="1" customWidth="1"/>
    <col min="14582" max="14582" width="10.33203125" style="1"/>
    <col min="14583" max="14583" width="7.44140625" style="1" customWidth="1"/>
    <col min="14584" max="14584" width="12.88671875" style="1" customWidth="1"/>
    <col min="14585" max="14585" width="11.109375" style="1" customWidth="1"/>
    <col min="14586" max="14586" width="14" style="1" customWidth="1"/>
    <col min="14587" max="14587" width="33" style="1" customWidth="1"/>
    <col min="14588" max="14588" width="6.6640625" style="1" customWidth="1"/>
    <col min="14589" max="14589" width="19" style="1" customWidth="1"/>
    <col min="14590" max="14590" width="19.109375" style="1" customWidth="1"/>
    <col min="14591" max="14591" width="21.33203125" style="1" customWidth="1"/>
    <col min="14592" max="14592" width="32.5546875" style="1" customWidth="1"/>
    <col min="14593" max="14593" width="16.88671875" style="1" customWidth="1"/>
    <col min="14594" max="14594" width="16.33203125" style="1" customWidth="1"/>
    <col min="14595" max="14825" width="10.33203125" style="1"/>
    <col min="14826" max="14826" width="4.44140625" style="1" customWidth="1"/>
    <col min="14827" max="14827" width="21.6640625" style="1" customWidth="1"/>
    <col min="14828" max="14828" width="15" style="1" customWidth="1"/>
    <col min="14829" max="14829" width="15.44140625" style="1" customWidth="1"/>
    <col min="14830" max="14830" width="11.5546875" style="1" customWidth="1"/>
    <col min="14831" max="14831" width="7.44140625" style="1" customWidth="1"/>
    <col min="14832" max="14832" width="14.109375" style="1" customWidth="1"/>
    <col min="14833" max="14833" width="10.6640625" style="1" customWidth="1"/>
    <col min="14834" max="14834" width="13.44140625" style="1" customWidth="1"/>
    <col min="14835" max="14835" width="11.44140625" style="1" customWidth="1"/>
    <col min="14836" max="14836" width="15" style="1" customWidth="1"/>
    <col min="14837" max="14837" width="14.5546875" style="1" customWidth="1"/>
    <col min="14838" max="14838" width="10.33203125" style="1"/>
    <col min="14839" max="14839" width="7.44140625" style="1" customWidth="1"/>
    <col min="14840" max="14840" width="12.88671875" style="1" customWidth="1"/>
    <col min="14841" max="14841" width="11.109375" style="1" customWidth="1"/>
    <col min="14842" max="14842" width="14" style="1" customWidth="1"/>
    <col min="14843" max="14843" width="33" style="1" customWidth="1"/>
    <col min="14844" max="14844" width="6.6640625" style="1" customWidth="1"/>
    <col min="14845" max="14845" width="19" style="1" customWidth="1"/>
    <col min="14846" max="14846" width="19.109375" style="1" customWidth="1"/>
    <col min="14847" max="14847" width="21.33203125" style="1" customWidth="1"/>
    <col min="14848" max="14848" width="32.5546875" style="1" customWidth="1"/>
    <col min="14849" max="14849" width="16.88671875" style="1" customWidth="1"/>
    <col min="14850" max="14850" width="16.33203125" style="1" customWidth="1"/>
    <col min="14851" max="15081" width="10.33203125" style="1"/>
    <col min="15082" max="15082" width="4.44140625" style="1" customWidth="1"/>
    <col min="15083" max="15083" width="21.6640625" style="1" customWidth="1"/>
    <col min="15084" max="15084" width="15" style="1" customWidth="1"/>
    <col min="15085" max="15085" width="15.44140625" style="1" customWidth="1"/>
    <col min="15086" max="15086" width="11.5546875" style="1" customWidth="1"/>
    <col min="15087" max="15087" width="7.44140625" style="1" customWidth="1"/>
    <col min="15088" max="15088" width="14.109375" style="1" customWidth="1"/>
    <col min="15089" max="15089" width="10.6640625" style="1" customWidth="1"/>
    <col min="15090" max="15090" width="13.44140625" style="1" customWidth="1"/>
    <col min="15091" max="15091" width="11.44140625" style="1" customWidth="1"/>
    <col min="15092" max="15092" width="15" style="1" customWidth="1"/>
    <col min="15093" max="15093" width="14.5546875" style="1" customWidth="1"/>
    <col min="15094" max="15094" width="10.33203125" style="1"/>
    <col min="15095" max="15095" width="7.44140625" style="1" customWidth="1"/>
    <col min="15096" max="15096" width="12.88671875" style="1" customWidth="1"/>
    <col min="15097" max="15097" width="11.109375" style="1" customWidth="1"/>
    <col min="15098" max="15098" width="14" style="1" customWidth="1"/>
    <col min="15099" max="15099" width="33" style="1" customWidth="1"/>
    <col min="15100" max="15100" width="6.6640625" style="1" customWidth="1"/>
    <col min="15101" max="15101" width="19" style="1" customWidth="1"/>
    <col min="15102" max="15102" width="19.109375" style="1" customWidth="1"/>
    <col min="15103" max="15103" width="21.33203125" style="1" customWidth="1"/>
    <col min="15104" max="15104" width="32.5546875" style="1" customWidth="1"/>
    <col min="15105" max="15105" width="16.88671875" style="1" customWidth="1"/>
    <col min="15106" max="15106" width="16.33203125" style="1" customWidth="1"/>
    <col min="15107" max="15337" width="10.33203125" style="1"/>
    <col min="15338" max="15338" width="4.44140625" style="1" customWidth="1"/>
    <col min="15339" max="15339" width="21.6640625" style="1" customWidth="1"/>
    <col min="15340" max="15340" width="15" style="1" customWidth="1"/>
    <col min="15341" max="15341" width="15.44140625" style="1" customWidth="1"/>
    <col min="15342" max="15342" width="11.5546875" style="1" customWidth="1"/>
    <col min="15343" max="15343" width="7.44140625" style="1" customWidth="1"/>
    <col min="15344" max="15344" width="14.109375" style="1" customWidth="1"/>
    <col min="15345" max="15345" width="10.6640625" style="1" customWidth="1"/>
    <col min="15346" max="15346" width="13.44140625" style="1" customWidth="1"/>
    <col min="15347" max="15347" width="11.44140625" style="1" customWidth="1"/>
    <col min="15348" max="15348" width="15" style="1" customWidth="1"/>
    <col min="15349" max="15349" width="14.5546875" style="1" customWidth="1"/>
    <col min="15350" max="15350" width="10.33203125" style="1"/>
    <col min="15351" max="15351" width="7.44140625" style="1" customWidth="1"/>
    <col min="15352" max="15352" width="12.88671875" style="1" customWidth="1"/>
    <col min="15353" max="15353" width="11.109375" style="1" customWidth="1"/>
    <col min="15354" max="15354" width="14" style="1" customWidth="1"/>
    <col min="15355" max="15355" width="33" style="1" customWidth="1"/>
    <col min="15356" max="15356" width="6.6640625" style="1" customWidth="1"/>
    <col min="15357" max="15357" width="19" style="1" customWidth="1"/>
    <col min="15358" max="15358" width="19.109375" style="1" customWidth="1"/>
    <col min="15359" max="15359" width="21.33203125" style="1" customWidth="1"/>
    <col min="15360" max="15360" width="32.5546875" style="1" customWidth="1"/>
    <col min="15361" max="15361" width="16.88671875" style="1" customWidth="1"/>
    <col min="15362" max="15362" width="16.33203125" style="1" customWidth="1"/>
    <col min="15363" max="15593" width="10.33203125" style="1"/>
    <col min="15594" max="15594" width="4.44140625" style="1" customWidth="1"/>
    <col min="15595" max="15595" width="21.6640625" style="1" customWidth="1"/>
    <col min="15596" max="15596" width="15" style="1" customWidth="1"/>
    <col min="15597" max="15597" width="15.44140625" style="1" customWidth="1"/>
    <col min="15598" max="15598" width="11.5546875" style="1" customWidth="1"/>
    <col min="15599" max="15599" width="7.44140625" style="1" customWidth="1"/>
    <col min="15600" max="15600" width="14.109375" style="1" customWidth="1"/>
    <col min="15601" max="15601" width="10.6640625" style="1" customWidth="1"/>
    <col min="15602" max="15602" width="13.44140625" style="1" customWidth="1"/>
    <col min="15603" max="15603" width="11.44140625" style="1" customWidth="1"/>
    <col min="15604" max="15604" width="15" style="1" customWidth="1"/>
    <col min="15605" max="15605" width="14.5546875" style="1" customWidth="1"/>
    <col min="15606" max="15606" width="10.33203125" style="1"/>
    <col min="15607" max="15607" width="7.44140625" style="1" customWidth="1"/>
    <col min="15608" max="15608" width="12.88671875" style="1" customWidth="1"/>
    <col min="15609" max="15609" width="11.109375" style="1" customWidth="1"/>
    <col min="15610" max="15610" width="14" style="1" customWidth="1"/>
    <col min="15611" max="15611" width="33" style="1" customWidth="1"/>
    <col min="15612" max="15612" width="6.6640625" style="1" customWidth="1"/>
    <col min="15613" max="15613" width="19" style="1" customWidth="1"/>
    <col min="15614" max="15614" width="19.109375" style="1" customWidth="1"/>
    <col min="15615" max="15615" width="21.33203125" style="1" customWidth="1"/>
    <col min="15616" max="15616" width="32.5546875" style="1" customWidth="1"/>
    <col min="15617" max="15617" width="16.88671875" style="1" customWidth="1"/>
    <col min="15618" max="15618" width="16.33203125" style="1" customWidth="1"/>
    <col min="15619" max="15849" width="10.33203125" style="1"/>
    <col min="15850" max="15850" width="4.44140625" style="1" customWidth="1"/>
    <col min="15851" max="15851" width="21.6640625" style="1" customWidth="1"/>
    <col min="15852" max="15852" width="15" style="1" customWidth="1"/>
    <col min="15853" max="15853" width="15.44140625" style="1" customWidth="1"/>
    <col min="15854" max="15854" width="11.5546875" style="1" customWidth="1"/>
    <col min="15855" max="15855" width="7.44140625" style="1" customWidth="1"/>
    <col min="15856" max="15856" width="14.109375" style="1" customWidth="1"/>
    <col min="15857" max="15857" width="10.6640625" style="1" customWidth="1"/>
    <col min="15858" max="15858" width="13.44140625" style="1" customWidth="1"/>
    <col min="15859" max="15859" width="11.44140625" style="1" customWidth="1"/>
    <col min="15860" max="15860" width="15" style="1" customWidth="1"/>
    <col min="15861" max="15861" width="14.5546875" style="1" customWidth="1"/>
    <col min="15862" max="15862" width="10.33203125" style="1"/>
    <col min="15863" max="15863" width="7.44140625" style="1" customWidth="1"/>
    <col min="15864" max="15864" width="12.88671875" style="1" customWidth="1"/>
    <col min="15865" max="15865" width="11.109375" style="1" customWidth="1"/>
    <col min="15866" max="15866" width="14" style="1" customWidth="1"/>
    <col min="15867" max="15867" width="33" style="1" customWidth="1"/>
    <col min="15868" max="15868" width="6.6640625" style="1" customWidth="1"/>
    <col min="15869" max="15869" width="19" style="1" customWidth="1"/>
    <col min="15870" max="15870" width="19.109375" style="1" customWidth="1"/>
    <col min="15871" max="15871" width="21.33203125" style="1" customWidth="1"/>
    <col min="15872" max="15872" width="32.5546875" style="1" customWidth="1"/>
    <col min="15873" max="15873" width="16.88671875" style="1" customWidth="1"/>
    <col min="15874" max="15874" width="16.33203125" style="1" customWidth="1"/>
    <col min="15875" max="16105" width="10.33203125" style="1"/>
    <col min="16106" max="16106" width="4.44140625" style="1" customWidth="1"/>
    <col min="16107" max="16107" width="21.6640625" style="1" customWidth="1"/>
    <col min="16108" max="16108" width="15" style="1" customWidth="1"/>
    <col min="16109" max="16109" width="15.44140625" style="1" customWidth="1"/>
    <col min="16110" max="16110" width="11.5546875" style="1" customWidth="1"/>
    <col min="16111" max="16111" width="7.44140625" style="1" customWidth="1"/>
    <col min="16112" max="16112" width="14.109375" style="1" customWidth="1"/>
    <col min="16113" max="16113" width="10.6640625" style="1" customWidth="1"/>
    <col min="16114" max="16114" width="13.44140625" style="1" customWidth="1"/>
    <col min="16115" max="16115" width="11.44140625" style="1" customWidth="1"/>
    <col min="16116" max="16116" width="15" style="1" customWidth="1"/>
    <col min="16117" max="16117" width="14.5546875" style="1" customWidth="1"/>
    <col min="16118" max="16118" width="10.33203125" style="1"/>
    <col min="16119" max="16119" width="7.44140625" style="1" customWidth="1"/>
    <col min="16120" max="16120" width="12.88671875" style="1" customWidth="1"/>
    <col min="16121" max="16121" width="11.109375" style="1" customWidth="1"/>
    <col min="16122" max="16122" width="14" style="1" customWidth="1"/>
    <col min="16123" max="16123" width="33" style="1" customWidth="1"/>
    <col min="16124" max="16124" width="6.6640625" style="1" customWidth="1"/>
    <col min="16125" max="16125" width="19" style="1" customWidth="1"/>
    <col min="16126" max="16126" width="19.109375" style="1" customWidth="1"/>
    <col min="16127" max="16127" width="21.33203125" style="1" customWidth="1"/>
    <col min="16128" max="16128" width="32.5546875" style="1" customWidth="1"/>
    <col min="16129" max="16129" width="16.88671875" style="1" customWidth="1"/>
    <col min="16130" max="16130" width="16.33203125" style="1" customWidth="1"/>
    <col min="16131" max="16384" width="10.33203125" style="1"/>
  </cols>
  <sheetData>
    <row r="1" spans="1:11" ht="24.6">
      <c r="A1" s="726" t="s">
        <v>0</v>
      </c>
      <c r="B1" s="726"/>
      <c r="C1" s="726"/>
      <c r="D1" s="726"/>
      <c r="E1" s="726"/>
      <c r="F1" s="726"/>
      <c r="G1" s="726"/>
    </row>
    <row r="2" spans="1:11" ht="24.6">
      <c r="A2" s="726" t="s">
        <v>1</v>
      </c>
      <c r="B2" s="726"/>
      <c r="C2" s="726"/>
      <c r="D2" s="726"/>
      <c r="E2" s="726"/>
      <c r="F2" s="726"/>
      <c r="G2" s="726"/>
    </row>
    <row r="3" spans="1:11" ht="24.6">
      <c r="A3" s="727" t="s">
        <v>274</v>
      </c>
      <c r="B3" s="727"/>
      <c r="C3" s="727"/>
      <c r="D3" s="727"/>
      <c r="E3" s="727"/>
      <c r="F3" s="727"/>
      <c r="G3" s="727"/>
    </row>
    <row r="4" spans="1:11" ht="24.6">
      <c r="A4" s="3" t="s">
        <v>3</v>
      </c>
      <c r="B4" s="3" t="s">
        <v>4</v>
      </c>
      <c r="C4" s="3" t="s">
        <v>5</v>
      </c>
      <c r="D4" s="261"/>
      <c r="E4" s="728" t="s">
        <v>9</v>
      </c>
      <c r="F4" s="729"/>
      <c r="G4" s="730"/>
    </row>
    <row r="5" spans="1:11" ht="24.6">
      <c r="A5" s="3"/>
      <c r="B5" s="13"/>
      <c r="C5" s="3"/>
      <c r="D5" s="9" t="s">
        <v>296</v>
      </c>
      <c r="E5" s="9" t="s">
        <v>21</v>
      </c>
      <c r="F5" s="9" t="s">
        <v>22</v>
      </c>
      <c r="G5" s="7"/>
    </row>
    <row r="6" spans="1:11" ht="24.6">
      <c r="A6" s="29"/>
      <c r="B6" s="45" t="s">
        <v>52</v>
      </c>
      <c r="C6" s="29"/>
      <c r="D6" s="46"/>
      <c r="E6" s="46"/>
      <c r="F6" s="28"/>
      <c r="G6" s="57"/>
    </row>
    <row r="7" spans="1:11" ht="24.6">
      <c r="A7" s="25">
        <v>10</v>
      </c>
      <c r="B7" s="29" t="s">
        <v>73</v>
      </c>
      <c r="C7" s="120">
        <v>84282</v>
      </c>
      <c r="D7" s="120"/>
      <c r="E7" s="122">
        <v>25143</v>
      </c>
      <c r="F7" s="123">
        <v>1</v>
      </c>
      <c r="G7" s="72">
        <v>2430</v>
      </c>
    </row>
    <row r="8" spans="1:11" ht="24.6">
      <c r="A8" s="25">
        <v>1</v>
      </c>
      <c r="B8" s="29" t="s">
        <v>105</v>
      </c>
      <c r="C8" s="29"/>
      <c r="D8" s="29"/>
      <c r="E8" s="126">
        <v>25143</v>
      </c>
      <c r="F8" s="25">
        <v>1</v>
      </c>
      <c r="G8" s="73">
        <v>5000</v>
      </c>
    </row>
    <row r="9" spans="1:11" ht="24.6">
      <c r="A9" s="25">
        <v>2</v>
      </c>
      <c r="B9" s="29" t="s">
        <v>105</v>
      </c>
      <c r="C9" s="29"/>
      <c r="D9" s="29"/>
      <c r="E9" s="126">
        <v>25143</v>
      </c>
      <c r="F9" s="25">
        <v>1</v>
      </c>
      <c r="G9" s="73">
        <v>4650</v>
      </c>
    </row>
    <row r="10" spans="1:11" ht="25.2" thickBot="1">
      <c r="A10" s="29"/>
      <c r="B10" s="25" t="s">
        <v>26</v>
      </c>
      <c r="C10" s="74"/>
      <c r="D10" s="74"/>
      <c r="E10" s="78"/>
      <c r="F10" s="135"/>
      <c r="G10" s="136">
        <v>12080</v>
      </c>
      <c r="I10" s="175">
        <f>SUM(G7:G9)</f>
        <v>12080</v>
      </c>
    </row>
    <row r="11" spans="1:11" ht="25.2" thickTop="1">
      <c r="A11" s="29"/>
      <c r="B11" s="116" t="s">
        <v>117</v>
      </c>
      <c r="C11" s="46"/>
      <c r="D11" s="46"/>
      <c r="E11" s="28"/>
      <c r="F11" s="28"/>
      <c r="G11" s="140">
        <v>0</v>
      </c>
    </row>
    <row r="12" spans="1:11" ht="24.6">
      <c r="A12" s="25">
        <v>1</v>
      </c>
      <c r="B12" s="29" t="s">
        <v>137</v>
      </c>
      <c r="C12" s="29"/>
      <c r="D12" s="29"/>
      <c r="E12" s="68" t="s">
        <v>295</v>
      </c>
      <c r="F12" s="25">
        <v>1</v>
      </c>
      <c r="G12" s="73">
        <v>5000</v>
      </c>
    </row>
    <row r="13" spans="1:11" ht="25.2" thickBot="1">
      <c r="A13" s="29"/>
      <c r="B13" s="25" t="s">
        <v>26</v>
      </c>
      <c r="C13" s="64"/>
      <c r="D13" s="64"/>
      <c r="E13" s="63"/>
      <c r="F13" s="105"/>
      <c r="G13" s="106">
        <v>5000</v>
      </c>
      <c r="I13" s="175">
        <f>SUM(G12)</f>
        <v>5000</v>
      </c>
    </row>
    <row r="14" spans="1:11" ht="24.75" customHeight="1" thickTop="1">
      <c r="A14" s="14"/>
      <c r="B14" s="173"/>
      <c r="G14" s="174"/>
      <c r="J14" s="260">
        <f>SUM(I10:I13)</f>
        <v>17080</v>
      </c>
      <c r="K14" s="1" t="s">
        <v>269</v>
      </c>
    </row>
    <row r="15" spans="1:11" ht="24.75" customHeight="1">
      <c r="A15" s="731" t="s">
        <v>211</v>
      </c>
      <c r="B15" s="732"/>
      <c r="C15" s="732"/>
      <c r="D15" s="732"/>
      <c r="E15" s="732"/>
      <c r="F15" s="732"/>
      <c r="G15" s="732"/>
    </row>
    <row r="16" spans="1:11" ht="24.75" customHeight="1">
      <c r="A16" s="46">
        <v>1</v>
      </c>
      <c r="B16" s="180" t="s">
        <v>32</v>
      </c>
      <c r="C16" s="46" t="s">
        <v>104</v>
      </c>
      <c r="D16" s="46"/>
      <c r="E16" s="46" t="s">
        <v>275</v>
      </c>
      <c r="F16" s="28">
        <v>5</v>
      </c>
      <c r="G16" s="57">
        <v>23250</v>
      </c>
    </row>
    <row r="17" spans="1:9" ht="24" customHeight="1">
      <c r="A17" s="25">
        <v>2</v>
      </c>
      <c r="B17" s="29" t="s">
        <v>215</v>
      </c>
      <c r="C17" s="29" t="s">
        <v>104</v>
      </c>
      <c r="D17" s="46"/>
      <c r="E17" s="46" t="s">
        <v>275</v>
      </c>
      <c r="F17" s="25">
        <v>5</v>
      </c>
      <c r="G17" s="57">
        <v>28750</v>
      </c>
    </row>
    <row r="18" spans="1:9" ht="24.75" customHeight="1" thickBot="1">
      <c r="A18" s="34"/>
      <c r="B18" s="34" t="s">
        <v>26</v>
      </c>
      <c r="C18" s="74"/>
      <c r="D18" s="74"/>
      <c r="E18" s="74"/>
      <c r="F18" s="34"/>
      <c r="G18" s="110">
        <v>52000</v>
      </c>
      <c r="I18" s="175">
        <f>SUM(G16:G17)</f>
        <v>52000</v>
      </c>
    </row>
    <row r="19" spans="1:9" ht="24.75" customHeight="1" thickTop="1">
      <c r="A19" s="14"/>
      <c r="B19" s="173"/>
      <c r="G19" s="174"/>
    </row>
    <row r="20" spans="1:9" ht="24.75" customHeight="1">
      <c r="A20" s="4"/>
      <c r="B20" s="188" t="s">
        <v>217</v>
      </c>
      <c r="C20" s="53"/>
      <c r="D20" s="53"/>
      <c r="E20" s="53"/>
      <c r="F20" s="4"/>
      <c r="G20" s="127"/>
    </row>
    <row r="21" spans="1:9" s="96" customFormat="1" ht="24.75" customHeight="1">
      <c r="A21" s="190">
        <v>1</v>
      </c>
      <c r="B21" s="191" t="s">
        <v>68</v>
      </c>
      <c r="C21" s="192">
        <v>268</v>
      </c>
      <c r="D21" s="192"/>
      <c r="E21" s="190" t="s">
        <v>276</v>
      </c>
      <c r="F21" s="190">
        <v>100</v>
      </c>
      <c r="G21" s="198">
        <v>113130</v>
      </c>
    </row>
    <row r="22" spans="1:9" ht="24.75" customHeight="1">
      <c r="A22" s="199"/>
      <c r="B22" s="200" t="s">
        <v>221</v>
      </c>
      <c r="C22" s="201" t="s">
        <v>222</v>
      </c>
      <c r="D22" s="262"/>
      <c r="E22" s="208"/>
      <c r="F22" s="209" t="s">
        <v>172</v>
      </c>
      <c r="G22" s="210">
        <v>19700</v>
      </c>
    </row>
    <row r="23" spans="1:9" ht="24.75" customHeight="1">
      <c r="A23" s="199"/>
      <c r="B23" s="201"/>
      <c r="C23" s="201" t="s">
        <v>223</v>
      </c>
      <c r="D23" s="201"/>
      <c r="E23" s="203"/>
      <c r="F23" s="199" t="s">
        <v>172</v>
      </c>
      <c r="G23" s="210">
        <v>19700</v>
      </c>
    </row>
    <row r="24" spans="1:9" ht="24.75" customHeight="1">
      <c r="A24" s="199"/>
      <c r="B24" s="201"/>
      <c r="C24" s="201" t="s">
        <v>224</v>
      </c>
      <c r="D24" s="201"/>
      <c r="E24" s="203"/>
      <c r="F24" s="199" t="s">
        <v>172</v>
      </c>
      <c r="G24" s="210">
        <v>19700</v>
      </c>
    </row>
    <row r="25" spans="1:9" ht="24.75" customHeight="1">
      <c r="A25" s="199">
        <v>2</v>
      </c>
      <c r="B25" s="200" t="s">
        <v>225</v>
      </c>
      <c r="C25" s="203"/>
      <c r="D25" s="203"/>
      <c r="E25" s="199" t="s">
        <v>226</v>
      </c>
      <c r="F25" s="199">
        <v>88</v>
      </c>
      <c r="G25" s="210">
        <v>193600</v>
      </c>
    </row>
    <row r="26" spans="1:9" ht="24.75" customHeight="1">
      <c r="A26" s="199">
        <v>3</v>
      </c>
      <c r="B26" s="200" t="s">
        <v>85</v>
      </c>
      <c r="C26" s="203" t="s">
        <v>86</v>
      </c>
      <c r="D26" s="203"/>
      <c r="E26" s="203" t="s">
        <v>229</v>
      </c>
      <c r="F26" s="199">
        <v>7</v>
      </c>
      <c r="G26" s="210">
        <v>30800</v>
      </c>
    </row>
    <row r="27" spans="1:9" s="96" customFormat="1" ht="24.75" customHeight="1">
      <c r="A27" s="190"/>
      <c r="B27" s="191" t="s">
        <v>232</v>
      </c>
      <c r="C27" s="192" t="s">
        <v>194</v>
      </c>
      <c r="D27" s="192"/>
      <c r="E27" s="192"/>
      <c r="F27" s="190"/>
      <c r="G27" s="210">
        <v>64400</v>
      </c>
    </row>
    <row r="28" spans="1:9" ht="24.6">
      <c r="A28" s="199">
        <v>4</v>
      </c>
      <c r="B28" s="203" t="s">
        <v>32</v>
      </c>
      <c r="C28" s="222" t="s">
        <v>104</v>
      </c>
      <c r="D28" s="222"/>
      <c r="E28" s="199" t="s">
        <v>234</v>
      </c>
      <c r="F28" s="199">
        <v>4</v>
      </c>
      <c r="G28" s="210">
        <v>18600</v>
      </c>
    </row>
    <row r="29" spans="1:9" ht="24.6">
      <c r="A29" s="199">
        <v>5</v>
      </c>
      <c r="B29" s="203" t="s">
        <v>215</v>
      </c>
      <c r="C29" s="222" t="s">
        <v>104</v>
      </c>
      <c r="D29" s="222"/>
      <c r="E29" s="199" t="s">
        <v>236</v>
      </c>
      <c r="F29" s="199">
        <v>4</v>
      </c>
      <c r="G29" s="210">
        <v>23000</v>
      </c>
    </row>
    <row r="30" spans="1:9" ht="24.75" customHeight="1" thickBot="1">
      <c r="A30" s="34"/>
      <c r="B30" s="239"/>
      <c r="C30" s="74"/>
      <c r="D30" s="74"/>
      <c r="E30" s="110"/>
      <c r="F30" s="240"/>
      <c r="G30" s="171">
        <v>502630</v>
      </c>
      <c r="I30" s="175">
        <f>SUM(G21:G29)</f>
        <v>502630</v>
      </c>
    </row>
    <row r="31" spans="1:9" ht="25.2" thickTop="1">
      <c r="A31" s="46"/>
      <c r="B31" s="161" t="s">
        <v>238</v>
      </c>
      <c r="C31" s="46"/>
      <c r="D31" s="46"/>
      <c r="E31" s="46"/>
      <c r="F31" s="28"/>
      <c r="G31" s="46"/>
    </row>
    <row r="32" spans="1:9" ht="24.6">
      <c r="A32" s="25">
        <v>1</v>
      </c>
      <c r="B32" s="53" t="s">
        <v>239</v>
      </c>
      <c r="C32" s="109"/>
      <c r="D32" s="109"/>
      <c r="E32" s="109" t="s">
        <v>240</v>
      </c>
      <c r="F32" s="115"/>
      <c r="G32" s="162">
        <v>0</v>
      </c>
    </row>
    <row r="33" spans="1:12" ht="24.6">
      <c r="A33" s="25"/>
      <c r="B33" s="29" t="s">
        <v>241</v>
      </c>
      <c r="C33" s="29"/>
      <c r="D33" s="29"/>
      <c r="E33" s="29" t="s">
        <v>242</v>
      </c>
      <c r="F33" s="25"/>
      <c r="G33" s="73">
        <v>133707.98000000001</v>
      </c>
    </row>
    <row r="34" spans="1:12" ht="24.6">
      <c r="A34" s="25"/>
      <c r="B34" s="29" t="s">
        <v>244</v>
      </c>
      <c r="C34" s="29"/>
      <c r="D34" s="29"/>
      <c r="E34" s="29"/>
      <c r="F34" s="25"/>
      <c r="G34" s="73">
        <v>73800</v>
      </c>
    </row>
    <row r="35" spans="1:12" ht="24.6">
      <c r="A35" s="25"/>
      <c r="B35" s="29" t="s">
        <v>245</v>
      </c>
      <c r="C35" s="29"/>
      <c r="D35" s="29"/>
      <c r="E35" s="29"/>
      <c r="F35" s="25"/>
      <c r="G35" s="73">
        <v>7596.82</v>
      </c>
    </row>
    <row r="36" spans="1:12" ht="24.6">
      <c r="A36" s="25"/>
      <c r="B36" s="29" t="s">
        <v>246</v>
      </c>
      <c r="C36" s="29"/>
      <c r="D36" s="53"/>
      <c r="E36" s="53"/>
      <c r="F36" s="4"/>
      <c r="G36" s="49"/>
    </row>
    <row r="37" spans="1:12" ht="25.2" thickBot="1">
      <c r="A37" s="25"/>
      <c r="B37" s="29"/>
      <c r="C37" s="29" t="s">
        <v>247</v>
      </c>
      <c r="D37" s="53"/>
      <c r="E37" s="74"/>
      <c r="F37" s="34"/>
      <c r="G37" s="171"/>
    </row>
    <row r="38" spans="1:12" s="249" customFormat="1" ht="25.8" thickTop="1" thickBot="1">
      <c r="A38" s="134"/>
      <c r="B38" s="246" t="s">
        <v>26</v>
      </c>
      <c r="C38" s="103"/>
      <c r="D38" s="103"/>
      <c r="E38" s="103"/>
      <c r="F38" s="247"/>
      <c r="G38" s="103">
        <v>215104.80000000002</v>
      </c>
      <c r="I38" s="249">
        <f>SUM(G33:G35)</f>
        <v>215104.80000000002</v>
      </c>
      <c r="K38" s="263">
        <f>SUM(J14+I30+I38)</f>
        <v>734814.8</v>
      </c>
      <c r="L38" s="249" t="s">
        <v>298</v>
      </c>
    </row>
    <row r="39" spans="1:12" ht="25.8" thickTop="1" thickBot="1">
      <c r="A39" s="29"/>
      <c r="B39" s="25" t="s">
        <v>248</v>
      </c>
      <c r="C39" s="64"/>
      <c r="D39" s="64"/>
      <c r="E39" s="63"/>
      <c r="F39" s="105"/>
      <c r="G39" s="63">
        <v>786814.8</v>
      </c>
      <c r="J39" s="256">
        <f>SUM(J14+I18+I30+I38)</f>
        <v>786814.8</v>
      </c>
      <c r="K39" s="1" t="s">
        <v>297</v>
      </c>
    </row>
    <row r="40" spans="1:12" ht="25.2" thickTop="1"/>
    <row r="41" spans="1:12" ht="24.6">
      <c r="G41" s="249"/>
    </row>
    <row r="42" spans="1:12" ht="24.6">
      <c r="G42" s="249"/>
    </row>
    <row r="43" spans="1:12" ht="24.6">
      <c r="G43" s="249"/>
    </row>
    <row r="44" spans="1:12" ht="24.6"/>
    <row r="45" spans="1:12" ht="24.6"/>
    <row r="46" spans="1:12" ht="24.6"/>
    <row r="47" spans="1:12" ht="24.6"/>
    <row r="48" spans="1:12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</sheetData>
  <mergeCells count="5">
    <mergeCell ref="A15:G15"/>
    <mergeCell ref="A1:G1"/>
    <mergeCell ref="A2:G2"/>
    <mergeCell ref="A3:G3"/>
    <mergeCell ref="E4:G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9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9BF2-58EF-4BC4-9B28-2AED72DB94DF}">
  <sheetPr codeName="Sheet5">
    <tabColor rgb="FF92D050"/>
  </sheetPr>
  <dimension ref="A1:K809"/>
  <sheetViews>
    <sheetView zoomScale="90" zoomScaleNormal="90" zoomScaleSheetLayoutView="87" workbookViewId="0">
      <pane ySplit="5" topLeftCell="A21" activePane="bottomLeft" state="frozen"/>
      <selection activeCell="I147" sqref="I147"/>
      <selection pane="bottomLeft" activeCell="L25" sqref="L25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10" width="12.109375" style="1" bestFit="1" customWidth="1"/>
    <col min="11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10" ht="24.6">
      <c r="A1" s="726" t="s">
        <v>0</v>
      </c>
      <c r="B1" s="726"/>
      <c r="C1" s="726"/>
      <c r="D1" s="726"/>
      <c r="E1" s="726"/>
      <c r="F1" s="726"/>
    </row>
    <row r="2" spans="1:10" ht="24.6">
      <c r="A2" s="726" t="s">
        <v>1</v>
      </c>
      <c r="B2" s="726"/>
      <c r="C2" s="726"/>
      <c r="D2" s="726"/>
      <c r="E2" s="726"/>
      <c r="F2" s="726"/>
    </row>
    <row r="3" spans="1:10" ht="24.6">
      <c r="A3" s="727" t="s">
        <v>274</v>
      </c>
      <c r="B3" s="727"/>
      <c r="C3" s="727"/>
      <c r="D3" s="727"/>
      <c r="E3" s="727"/>
      <c r="F3" s="727"/>
    </row>
    <row r="4" spans="1:10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10" ht="24.6">
      <c r="A5" s="3"/>
      <c r="B5" s="13"/>
      <c r="C5" s="3"/>
      <c r="D5" s="9" t="s">
        <v>21</v>
      </c>
      <c r="E5" s="9" t="s">
        <v>22</v>
      </c>
      <c r="F5" s="7"/>
    </row>
    <row r="6" spans="1:10" ht="24.6">
      <c r="A6" s="766" t="s">
        <v>299</v>
      </c>
      <c r="B6" s="767"/>
      <c r="C6" s="767"/>
      <c r="D6" s="767"/>
      <c r="E6" s="767"/>
      <c r="F6" s="768"/>
    </row>
    <row r="7" spans="1:10" ht="24.6">
      <c r="A7" s="25">
        <v>1</v>
      </c>
      <c r="B7" s="29" t="s">
        <v>73</v>
      </c>
      <c r="C7" s="120">
        <v>84282</v>
      </c>
      <c r="D7" s="122">
        <v>25143</v>
      </c>
      <c r="E7" s="123">
        <v>1</v>
      </c>
      <c r="F7" s="72">
        <v>2430</v>
      </c>
    </row>
    <row r="8" spans="1:10" ht="24.6">
      <c r="A8" s="25">
        <v>2</v>
      </c>
      <c r="B8" s="29" t="s">
        <v>105</v>
      </c>
      <c r="C8" s="29"/>
      <c r="D8" s="126">
        <v>25143</v>
      </c>
      <c r="E8" s="25">
        <v>1</v>
      </c>
      <c r="F8" s="73">
        <v>5000</v>
      </c>
    </row>
    <row r="9" spans="1:10" ht="24.6">
      <c r="A9" s="25">
        <v>3</v>
      </c>
      <c r="B9" s="29" t="s">
        <v>105</v>
      </c>
      <c r="C9" s="29"/>
      <c r="D9" s="126">
        <v>25143</v>
      </c>
      <c r="E9" s="25">
        <v>1</v>
      </c>
      <c r="F9" s="73">
        <v>4650</v>
      </c>
    </row>
    <row r="10" spans="1:10" ht="24.6">
      <c r="A10" s="25">
        <v>4</v>
      </c>
      <c r="B10" s="29" t="s">
        <v>137</v>
      </c>
      <c r="C10" s="29"/>
      <c r="D10" s="68" t="s">
        <v>295</v>
      </c>
      <c r="E10" s="25">
        <v>1</v>
      </c>
      <c r="F10" s="73">
        <v>5000</v>
      </c>
    </row>
    <row r="11" spans="1:10" ht="25.2" thickBot="1">
      <c r="A11" s="29"/>
      <c r="B11" s="25" t="s">
        <v>26</v>
      </c>
      <c r="C11" s="64"/>
      <c r="D11" s="63"/>
      <c r="E11" s="105"/>
      <c r="F11" s="106">
        <f>SUM(F7:F10)</f>
        <v>17080</v>
      </c>
      <c r="H11" s="175"/>
    </row>
    <row r="12" spans="1:10" ht="24.75" customHeight="1" thickTop="1">
      <c r="A12" s="14"/>
      <c r="B12" s="173"/>
      <c r="F12" s="174"/>
      <c r="I12" s="260">
        <f>SUM(H10:H11)</f>
        <v>0</v>
      </c>
      <c r="J12" s="1" t="s">
        <v>269</v>
      </c>
    </row>
    <row r="13" spans="1:10" ht="24.75" customHeight="1">
      <c r="A13" s="731" t="s">
        <v>211</v>
      </c>
      <c r="B13" s="732"/>
      <c r="C13" s="732"/>
      <c r="D13" s="732"/>
      <c r="E13" s="732"/>
      <c r="F13" s="732"/>
    </row>
    <row r="14" spans="1:10" ht="24.75" customHeight="1">
      <c r="A14" s="46">
        <v>1</v>
      </c>
      <c r="B14" s="180" t="s">
        <v>32</v>
      </c>
      <c r="C14" s="46" t="s">
        <v>104</v>
      </c>
      <c r="D14" s="46" t="s">
        <v>275</v>
      </c>
      <c r="E14" s="28">
        <v>5</v>
      </c>
      <c r="F14" s="57">
        <v>23250</v>
      </c>
    </row>
    <row r="15" spans="1:10" ht="24" customHeight="1">
      <c r="A15" s="25">
        <v>2</v>
      </c>
      <c r="B15" s="29" t="s">
        <v>215</v>
      </c>
      <c r="C15" s="29" t="s">
        <v>104</v>
      </c>
      <c r="D15" s="46" t="s">
        <v>275</v>
      </c>
      <c r="E15" s="25">
        <v>5</v>
      </c>
      <c r="F15" s="57">
        <v>28750</v>
      </c>
    </row>
    <row r="16" spans="1:10" ht="24.75" customHeight="1" thickBot="1">
      <c r="A16" s="34"/>
      <c r="B16" s="34" t="s">
        <v>26</v>
      </c>
      <c r="C16" s="74"/>
      <c r="D16" s="74"/>
      <c r="E16" s="34"/>
      <c r="F16" s="110">
        <v>52000</v>
      </c>
      <c r="H16" s="175">
        <f>SUM(F14:F15)</f>
        <v>52000</v>
      </c>
    </row>
    <row r="17" spans="1:8" ht="24.75" customHeight="1" thickTop="1">
      <c r="A17" s="14"/>
      <c r="B17" s="173"/>
      <c r="F17" s="174"/>
    </row>
    <row r="18" spans="1:8" ht="24.75" customHeight="1">
      <c r="A18" s="4"/>
      <c r="B18" s="188" t="s">
        <v>217</v>
      </c>
      <c r="C18" s="53"/>
      <c r="D18" s="53"/>
      <c r="E18" s="4"/>
      <c r="F18" s="127"/>
    </row>
    <row r="19" spans="1:8" s="96" customFormat="1" ht="24.75" customHeight="1">
      <c r="A19" s="190">
        <v>1</v>
      </c>
      <c r="B19" s="191" t="s">
        <v>68</v>
      </c>
      <c r="C19" s="192">
        <v>268</v>
      </c>
      <c r="D19" s="190" t="s">
        <v>276</v>
      </c>
      <c r="E19" s="190">
        <v>100</v>
      </c>
      <c r="F19" s="198">
        <v>113130</v>
      </c>
    </row>
    <row r="20" spans="1:8" ht="24.75" customHeight="1">
      <c r="A20" s="199"/>
      <c r="B20" s="200" t="s">
        <v>221</v>
      </c>
      <c r="C20" s="201" t="s">
        <v>222</v>
      </c>
      <c r="D20" s="208"/>
      <c r="E20" s="209" t="s">
        <v>172</v>
      </c>
      <c r="F20" s="210">
        <v>19700</v>
      </c>
    </row>
    <row r="21" spans="1:8" ht="24.75" customHeight="1">
      <c r="A21" s="199"/>
      <c r="B21" s="201"/>
      <c r="C21" s="201" t="s">
        <v>223</v>
      </c>
      <c r="D21" s="203"/>
      <c r="E21" s="199" t="s">
        <v>172</v>
      </c>
      <c r="F21" s="210">
        <v>19700</v>
      </c>
    </row>
    <row r="22" spans="1:8" ht="24.75" customHeight="1">
      <c r="A22" s="199"/>
      <c r="B22" s="201"/>
      <c r="C22" s="201" t="s">
        <v>224</v>
      </c>
      <c r="D22" s="203"/>
      <c r="E22" s="199" t="s">
        <v>172</v>
      </c>
      <c r="F22" s="210">
        <v>19700</v>
      </c>
    </row>
    <row r="23" spans="1:8" ht="24.75" customHeight="1">
      <c r="A23" s="199">
        <v>2</v>
      </c>
      <c r="B23" s="200" t="s">
        <v>225</v>
      </c>
      <c r="C23" s="203"/>
      <c r="D23" s="199" t="s">
        <v>226</v>
      </c>
      <c r="E23" s="199">
        <v>88</v>
      </c>
      <c r="F23" s="210">
        <v>193600</v>
      </c>
    </row>
    <row r="24" spans="1:8" ht="24.75" customHeight="1">
      <c r="A24" s="199">
        <v>3</v>
      </c>
      <c r="B24" s="200" t="s">
        <v>85</v>
      </c>
      <c r="C24" s="203" t="s">
        <v>86</v>
      </c>
      <c r="D24" s="203" t="s">
        <v>229</v>
      </c>
      <c r="E24" s="199">
        <v>7</v>
      </c>
      <c r="F24" s="210">
        <v>30800</v>
      </c>
    </row>
    <row r="25" spans="1:8" s="96" customFormat="1" ht="24.75" customHeight="1">
      <c r="A25" s="190"/>
      <c r="B25" s="191" t="s">
        <v>232</v>
      </c>
      <c r="C25" s="192" t="s">
        <v>194</v>
      </c>
      <c r="D25" s="192"/>
      <c r="E25" s="190"/>
      <c r="F25" s="210">
        <v>64400</v>
      </c>
    </row>
    <row r="26" spans="1:8" ht="24.6">
      <c r="A26" s="199">
        <v>4</v>
      </c>
      <c r="B26" s="203" t="s">
        <v>32</v>
      </c>
      <c r="C26" s="222" t="s">
        <v>104</v>
      </c>
      <c r="D26" s="199" t="s">
        <v>234</v>
      </c>
      <c r="E26" s="199">
        <v>4</v>
      </c>
      <c r="F26" s="210">
        <v>18600</v>
      </c>
    </row>
    <row r="27" spans="1:8" ht="24.6">
      <c r="A27" s="199">
        <v>5</v>
      </c>
      <c r="B27" s="203" t="s">
        <v>215</v>
      </c>
      <c r="C27" s="222" t="s">
        <v>104</v>
      </c>
      <c r="D27" s="199" t="s">
        <v>236</v>
      </c>
      <c r="E27" s="199">
        <v>4</v>
      </c>
      <c r="F27" s="210">
        <v>23000</v>
      </c>
    </row>
    <row r="28" spans="1:8" ht="24.75" customHeight="1" thickBot="1">
      <c r="A28" s="34"/>
      <c r="B28" s="239"/>
      <c r="C28" s="74"/>
      <c r="D28" s="110"/>
      <c r="E28" s="240"/>
      <c r="F28" s="171">
        <v>502630</v>
      </c>
      <c r="H28" s="175">
        <f>SUM(F19:F27)</f>
        <v>502630</v>
      </c>
    </row>
    <row r="29" spans="1:8" ht="25.2" thickTop="1">
      <c r="A29" s="46"/>
      <c r="B29" s="161" t="s">
        <v>238</v>
      </c>
      <c r="C29" s="46"/>
      <c r="D29" s="46"/>
      <c r="E29" s="28"/>
      <c r="F29" s="46"/>
    </row>
    <row r="30" spans="1:8" ht="24.6">
      <c r="A30" s="25">
        <v>1</v>
      </c>
      <c r="B30" s="53" t="s">
        <v>239</v>
      </c>
      <c r="C30" s="109"/>
      <c r="D30" s="109" t="s">
        <v>240</v>
      </c>
      <c r="E30" s="115"/>
      <c r="F30" s="162">
        <v>0</v>
      </c>
    </row>
    <row r="31" spans="1:8" ht="24.6">
      <c r="A31" s="25"/>
      <c r="B31" s="29" t="s">
        <v>241</v>
      </c>
      <c r="C31" s="29"/>
      <c r="D31" s="29" t="s">
        <v>242</v>
      </c>
      <c r="E31" s="25"/>
      <c r="F31" s="73">
        <v>133707.98000000001</v>
      </c>
    </row>
    <row r="32" spans="1:8" ht="24.6">
      <c r="A32" s="25"/>
      <c r="B32" s="29" t="s">
        <v>244</v>
      </c>
      <c r="C32" s="29"/>
      <c r="D32" s="29"/>
      <c r="E32" s="25"/>
      <c r="F32" s="73">
        <v>73800</v>
      </c>
    </row>
    <row r="33" spans="1:11" ht="24.6">
      <c r="A33" s="25"/>
      <c r="B33" s="29" t="s">
        <v>245</v>
      </c>
      <c r="C33" s="29"/>
      <c r="D33" s="29"/>
      <c r="E33" s="25"/>
      <c r="F33" s="73">
        <v>7596.82</v>
      </c>
    </row>
    <row r="34" spans="1:11" ht="24.6">
      <c r="A34" s="25"/>
      <c r="B34" s="29" t="s">
        <v>246</v>
      </c>
      <c r="C34" s="29"/>
      <c r="D34" s="53"/>
      <c r="E34" s="4"/>
      <c r="F34" s="49"/>
    </row>
    <row r="35" spans="1:11" ht="25.2" thickBot="1">
      <c r="A35" s="25"/>
      <c r="B35" s="29"/>
      <c r="C35" s="29" t="s">
        <v>247</v>
      </c>
      <c r="D35" s="74"/>
      <c r="E35" s="34"/>
      <c r="F35" s="171"/>
    </row>
    <row r="36" spans="1:11" s="249" customFormat="1" ht="25.8" thickTop="1" thickBot="1">
      <c r="A36" s="134"/>
      <c r="B36" s="246" t="s">
        <v>26</v>
      </c>
      <c r="C36" s="103"/>
      <c r="D36" s="103"/>
      <c r="E36" s="247"/>
      <c r="F36" s="103">
        <v>215104.80000000002</v>
      </c>
      <c r="H36" s="249">
        <f>SUM(F31:F33)</f>
        <v>215104.80000000002</v>
      </c>
      <c r="J36" s="263">
        <f>SUM(I12+H28+H36)</f>
        <v>717734.8</v>
      </c>
      <c r="K36" s="249" t="s">
        <v>298</v>
      </c>
    </row>
    <row r="37" spans="1:11" ht="25.8" thickTop="1" thickBot="1">
      <c r="A37" s="29"/>
      <c r="B37" s="25" t="s">
        <v>248</v>
      </c>
      <c r="C37" s="64"/>
      <c r="D37" s="63"/>
      <c r="E37" s="105"/>
      <c r="F37" s="63">
        <v>786814.8</v>
      </c>
      <c r="I37" s="256">
        <f>SUM(I12+H16+H28+H36)</f>
        <v>769734.8</v>
      </c>
      <c r="J37" s="1" t="s">
        <v>297</v>
      </c>
    </row>
    <row r="38" spans="1:11" ht="25.2" thickTop="1"/>
    <row r="39" spans="1:11" ht="24.6">
      <c r="F39" s="249"/>
    </row>
    <row r="40" spans="1:11" ht="24.6">
      <c r="F40" s="249"/>
    </row>
    <row r="41" spans="1:11" ht="24.6">
      <c r="F41" s="249"/>
    </row>
    <row r="42" spans="1:11" ht="24.6"/>
    <row r="43" spans="1:11" ht="24.6"/>
    <row r="44" spans="1:11" ht="24.6"/>
    <row r="45" spans="1:11" ht="24.6"/>
    <row r="46" spans="1:11" ht="24.6"/>
    <row r="47" spans="1:11" ht="24.6"/>
    <row r="48" spans="1:11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</sheetData>
  <mergeCells count="6">
    <mergeCell ref="A1:F1"/>
    <mergeCell ref="A2:F2"/>
    <mergeCell ref="A3:F3"/>
    <mergeCell ref="D4:F4"/>
    <mergeCell ref="A13:F13"/>
    <mergeCell ref="A6:F6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350D-A2ED-44E7-8154-2AB0267B34AA}">
  <sheetPr codeName="Sheet6">
    <tabColor rgb="FF92D050"/>
  </sheetPr>
  <dimension ref="A1:AD984"/>
  <sheetViews>
    <sheetView zoomScale="90" zoomScaleNormal="90" zoomScaleSheetLayoutView="87" workbookViewId="0">
      <pane ySplit="6" topLeftCell="A78" activePane="bottomLeft" state="frozen"/>
      <selection activeCell="I147" sqref="I147"/>
      <selection pane="bottomLeft" activeCell="E59" sqref="E59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249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 hidden="1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5.75" hidden="1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25" hidden="1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5.2" hidden="1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 hidden="1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5.2" hidden="1" thickBot="1">
      <c r="A12" s="25"/>
      <c r="B12" s="29"/>
      <c r="C12" s="29"/>
      <c r="D12" s="49"/>
      <c r="E12" s="25"/>
      <c r="F12" s="25"/>
      <c r="G12" s="49"/>
      <c r="H12" s="49"/>
      <c r="I12" s="49"/>
      <c r="J12" s="26"/>
      <c r="K12" s="16"/>
      <c r="L12" s="51"/>
      <c r="M12" s="25"/>
      <c r="N12" s="25"/>
      <c r="O12" s="52"/>
      <c r="P12" s="52"/>
      <c r="Q12" s="52"/>
      <c r="R12" s="53"/>
    </row>
    <row r="13" spans="1:30" ht="25.8" hidden="1" thickTop="1" thickBot="1">
      <c r="A13" s="29"/>
      <c r="B13" s="25" t="s">
        <v>26</v>
      </c>
      <c r="C13" s="29"/>
      <c r="D13" s="54">
        <v>0</v>
      </c>
      <c r="E13" s="54"/>
      <c r="F13" s="54"/>
      <c r="G13" s="54">
        <v>0</v>
      </c>
      <c r="H13" s="54">
        <v>0</v>
      </c>
      <c r="I13" s="54">
        <v>0</v>
      </c>
      <c r="J13" s="55"/>
      <c r="K13" s="55"/>
      <c r="L13" s="55"/>
      <c r="M13" s="54"/>
      <c r="N13" s="56"/>
      <c r="O13" s="54">
        <v>0</v>
      </c>
      <c r="P13" s="54">
        <v>0</v>
      </c>
      <c r="Q13" s="54">
        <v>0</v>
      </c>
      <c r="R13" s="29"/>
    </row>
    <row r="14" spans="1:30" ht="25.2" hidden="1" thickTop="1">
      <c r="A14" s="29"/>
      <c r="B14" s="45" t="s">
        <v>33</v>
      </c>
      <c r="C14" s="29"/>
      <c r="D14" s="57"/>
      <c r="E14" s="46"/>
      <c r="F14" s="46"/>
      <c r="G14" s="57"/>
      <c r="H14" s="57"/>
      <c r="I14" s="57"/>
      <c r="J14" s="47"/>
      <c r="K14" s="48"/>
      <c r="L14" s="58"/>
      <c r="M14" s="46"/>
      <c r="N14" s="28"/>
      <c r="O14" s="57"/>
      <c r="P14" s="57"/>
      <c r="Q14" s="57"/>
      <c r="R14" s="46"/>
    </row>
    <row r="15" spans="1:30" ht="24.6" hidden="1">
      <c r="A15" s="25"/>
      <c r="B15" s="25"/>
      <c r="C15" s="29"/>
      <c r="D15" s="59"/>
      <c r="E15" s="29"/>
      <c r="F15" s="29"/>
      <c r="G15" s="59" t="s">
        <v>34</v>
      </c>
      <c r="H15" s="59" t="s">
        <v>34</v>
      </c>
      <c r="I15" s="59" t="s">
        <v>34</v>
      </c>
      <c r="J15" s="60"/>
      <c r="K15" s="61"/>
      <c r="L15" s="62"/>
      <c r="M15" s="29"/>
      <c r="N15" s="25"/>
      <c r="O15" s="59" t="s">
        <v>34</v>
      </c>
      <c r="P15" s="59" t="s">
        <v>34</v>
      </c>
      <c r="Q15" s="59" t="s">
        <v>34</v>
      </c>
      <c r="R15" s="29"/>
    </row>
    <row r="16" spans="1:30" ht="25.2" hidden="1" thickBot="1">
      <c r="A16" s="29"/>
      <c r="B16" s="25" t="s">
        <v>26</v>
      </c>
      <c r="C16" s="29"/>
      <c r="D16" s="63">
        <v>0</v>
      </c>
      <c r="E16" s="64"/>
      <c r="F16" s="64"/>
      <c r="G16" s="63">
        <v>0</v>
      </c>
      <c r="H16" s="63">
        <v>0</v>
      </c>
      <c r="I16" s="63">
        <v>0</v>
      </c>
      <c r="J16" s="65"/>
      <c r="K16" s="66"/>
      <c r="L16" s="67"/>
      <c r="M16" s="64"/>
      <c r="N16" s="41"/>
      <c r="O16" s="63">
        <v>0</v>
      </c>
      <c r="P16" s="63">
        <v>0</v>
      </c>
      <c r="Q16" s="63">
        <v>0</v>
      </c>
      <c r="R16" s="29"/>
      <c r="V16" s="49"/>
    </row>
    <row r="17" spans="1:20" ht="24.6">
      <c r="A17" s="29"/>
      <c r="B17" s="45" t="s">
        <v>35</v>
      </c>
      <c r="C17" s="29"/>
      <c r="D17" s="46"/>
      <c r="E17" s="46"/>
      <c r="F17" s="46"/>
      <c r="G17" s="46"/>
      <c r="H17" s="46"/>
      <c r="I17" s="46"/>
      <c r="J17" s="47"/>
      <c r="K17" s="48"/>
      <c r="L17" s="48"/>
      <c r="M17" s="46"/>
      <c r="N17" s="28"/>
      <c r="O17" s="46"/>
      <c r="P17" s="46"/>
      <c r="Q17" s="46"/>
      <c r="R17" s="46"/>
    </row>
    <row r="18" spans="1:20" ht="24.6">
      <c r="A18" s="25">
        <v>1</v>
      </c>
      <c r="B18" s="29" t="s">
        <v>36</v>
      </c>
      <c r="C18" s="29"/>
      <c r="D18" s="49">
        <v>0</v>
      </c>
      <c r="E18" s="68"/>
      <c r="F18" s="25"/>
      <c r="G18" s="59">
        <v>0</v>
      </c>
      <c r="H18" s="59">
        <v>0</v>
      </c>
      <c r="I18" s="59">
        <v>0</v>
      </c>
      <c r="J18" s="69"/>
      <c r="K18" s="70"/>
      <c r="L18" s="71"/>
      <c r="M18" s="68"/>
      <c r="N18" s="25"/>
      <c r="O18" s="72">
        <v>0</v>
      </c>
      <c r="P18" s="73">
        <v>0</v>
      </c>
      <c r="Q18" s="73">
        <v>0</v>
      </c>
      <c r="R18" s="29"/>
    </row>
    <row r="19" spans="1:20" ht="25.2" thickBot="1">
      <c r="A19" s="29"/>
      <c r="B19" s="29"/>
      <c r="C19" s="29"/>
      <c r="D19" s="74"/>
      <c r="E19" s="74"/>
      <c r="F19" s="74"/>
      <c r="G19" s="34"/>
      <c r="H19" s="74"/>
      <c r="I19" s="74"/>
      <c r="J19" s="75"/>
      <c r="K19" s="76"/>
      <c r="L19" s="77"/>
      <c r="M19" s="74"/>
      <c r="N19" s="34"/>
      <c r="O19" s="74"/>
      <c r="P19" s="74"/>
      <c r="Q19" s="74"/>
      <c r="R19" s="53"/>
    </row>
    <row r="20" spans="1:20" ht="25.8" thickTop="1" thickBot="1">
      <c r="A20" s="29"/>
      <c r="B20" s="25" t="s">
        <v>26</v>
      </c>
      <c r="C20" s="29"/>
      <c r="D20" s="54">
        <v>0</v>
      </c>
      <c r="E20" s="54"/>
      <c r="F20" s="54"/>
      <c r="G20" s="54">
        <v>0</v>
      </c>
      <c r="H20" s="54">
        <v>0</v>
      </c>
      <c r="I20" s="54">
        <v>0</v>
      </c>
      <c r="J20" s="55"/>
      <c r="K20" s="55"/>
      <c r="L20" s="55"/>
      <c r="M20" s="54"/>
      <c r="N20" s="56"/>
      <c r="O20" s="54">
        <v>0</v>
      </c>
      <c r="P20" s="54">
        <v>0</v>
      </c>
      <c r="Q20" s="54">
        <v>0</v>
      </c>
      <c r="R20" s="53"/>
    </row>
    <row r="21" spans="1:20" ht="25.2" hidden="1" thickTop="1">
      <c r="A21" s="29"/>
      <c r="B21" s="45" t="s">
        <v>37</v>
      </c>
      <c r="C21" s="29"/>
      <c r="D21" s="57"/>
      <c r="E21" s="46"/>
      <c r="F21" s="46"/>
      <c r="G21" s="57"/>
      <c r="H21" s="57"/>
      <c r="I21" s="57"/>
      <c r="J21" s="47"/>
      <c r="K21" s="48"/>
      <c r="L21" s="58"/>
      <c r="M21" s="46"/>
      <c r="N21" s="28"/>
      <c r="O21" s="57"/>
      <c r="P21" s="57"/>
      <c r="Q21" s="57"/>
      <c r="R21" s="29"/>
    </row>
    <row r="22" spans="1:20" ht="25.2" hidden="1" thickBot="1">
      <c r="A22" s="25">
        <v>1</v>
      </c>
      <c r="B22" s="25"/>
      <c r="C22" s="29"/>
      <c r="D22" s="78"/>
      <c r="E22" s="74"/>
      <c r="F22" s="74"/>
      <c r="G22" s="78"/>
      <c r="H22" s="78"/>
      <c r="I22" s="78"/>
      <c r="J22" s="75"/>
      <c r="K22" s="76"/>
      <c r="L22" s="77"/>
      <c r="M22" s="74"/>
      <c r="N22" s="34"/>
      <c r="O22" s="78"/>
      <c r="P22" s="78"/>
      <c r="Q22" s="78"/>
      <c r="R22" s="29"/>
    </row>
    <row r="23" spans="1:20" ht="25.8" hidden="1" thickTop="1" thickBot="1">
      <c r="A23" s="25"/>
      <c r="B23" s="25" t="s">
        <v>26</v>
      </c>
      <c r="C23" s="29"/>
      <c r="D23" s="54"/>
      <c r="E23" s="79"/>
      <c r="F23" s="79"/>
      <c r="G23" s="54"/>
      <c r="H23" s="54"/>
      <c r="I23" s="54"/>
      <c r="J23" s="80"/>
      <c r="K23" s="81"/>
      <c r="L23" s="55"/>
      <c r="M23" s="79"/>
      <c r="N23" s="82"/>
      <c r="O23" s="54"/>
      <c r="P23" s="54"/>
      <c r="Q23" s="54"/>
      <c r="R23" s="46"/>
    </row>
    <row r="24" spans="1:20" ht="25.2" hidden="1" thickTop="1">
      <c r="A24" s="25"/>
      <c r="B24" s="45" t="s">
        <v>38</v>
      </c>
      <c r="C24" s="29"/>
      <c r="D24" s="57"/>
      <c r="E24" s="46"/>
      <c r="F24" s="46"/>
      <c r="G24" s="57"/>
      <c r="H24" s="57"/>
      <c r="I24" s="57"/>
      <c r="J24" s="47"/>
      <c r="K24" s="48"/>
      <c r="L24" s="58"/>
      <c r="M24" s="46"/>
      <c r="N24" s="28"/>
      <c r="O24" s="57"/>
      <c r="P24" s="57"/>
      <c r="Q24" s="57"/>
      <c r="R24" s="46"/>
    </row>
    <row r="25" spans="1:20" ht="25.2" hidden="1" thickBot="1">
      <c r="A25" s="25">
        <v>1</v>
      </c>
      <c r="B25" s="25"/>
      <c r="C25" s="29"/>
      <c r="D25" s="78"/>
      <c r="E25" s="74"/>
      <c r="F25" s="74"/>
      <c r="G25" s="78"/>
      <c r="H25" s="78"/>
      <c r="I25" s="78"/>
      <c r="J25" s="75"/>
      <c r="K25" s="76"/>
      <c r="L25" s="77"/>
      <c r="M25" s="74"/>
      <c r="N25" s="34"/>
      <c r="O25" s="78"/>
      <c r="P25" s="78"/>
      <c r="Q25" s="78"/>
      <c r="R25" s="46"/>
    </row>
    <row r="26" spans="1:20" ht="25.8" hidden="1" thickTop="1" thickBot="1">
      <c r="A26" s="25"/>
      <c r="B26" s="25" t="s">
        <v>26</v>
      </c>
      <c r="C26" s="29"/>
      <c r="D26" s="63"/>
      <c r="E26" s="64"/>
      <c r="F26" s="64"/>
      <c r="G26" s="63"/>
      <c r="H26" s="63"/>
      <c r="I26" s="63"/>
      <c r="J26" s="65"/>
      <c r="K26" s="66"/>
      <c r="L26" s="67"/>
      <c r="M26" s="64"/>
      <c r="N26" s="41"/>
      <c r="O26" s="63"/>
      <c r="P26" s="63"/>
      <c r="Q26" s="63"/>
      <c r="R26" s="46"/>
    </row>
    <row r="27" spans="1:20" ht="25.2" thickTop="1">
      <c r="A27" s="29"/>
      <c r="B27" s="45" t="s">
        <v>39</v>
      </c>
      <c r="C27" s="29"/>
      <c r="D27" s="46"/>
      <c r="E27" s="46"/>
      <c r="F27" s="46"/>
      <c r="G27" s="46"/>
      <c r="H27" s="46"/>
      <c r="I27" s="46"/>
      <c r="J27" s="47"/>
      <c r="K27" s="48"/>
      <c r="L27" s="48"/>
      <c r="M27" s="46"/>
      <c r="N27" s="28"/>
      <c r="O27" s="46"/>
      <c r="P27" s="46"/>
      <c r="Q27" s="46"/>
      <c r="R27" s="46"/>
    </row>
    <row r="28" spans="1:20" ht="24.6">
      <c r="A28" s="25">
        <v>1</v>
      </c>
      <c r="B28" s="29" t="s">
        <v>40</v>
      </c>
      <c r="C28" s="29"/>
      <c r="D28" s="49">
        <v>0</v>
      </c>
      <c r="E28" s="68"/>
      <c r="F28" s="25"/>
      <c r="G28" s="52">
        <v>0</v>
      </c>
      <c r="H28" s="59">
        <v>0</v>
      </c>
      <c r="I28" s="52">
        <v>0</v>
      </c>
      <c r="J28" s="69"/>
      <c r="K28" s="70"/>
      <c r="L28" s="83"/>
      <c r="M28" s="68"/>
      <c r="N28" s="25"/>
      <c r="O28" s="72">
        <v>0</v>
      </c>
      <c r="P28" s="73">
        <v>0</v>
      </c>
      <c r="Q28" s="73">
        <v>0</v>
      </c>
      <c r="R28" s="29" t="s">
        <v>41</v>
      </c>
    </row>
    <row r="29" spans="1:20" ht="24.6">
      <c r="A29" s="25">
        <v>2</v>
      </c>
      <c r="B29" s="29" t="s">
        <v>42</v>
      </c>
      <c r="C29" s="29"/>
      <c r="D29" s="49">
        <v>535</v>
      </c>
      <c r="E29" s="25"/>
      <c r="F29" s="25"/>
      <c r="G29" s="52">
        <v>0</v>
      </c>
      <c r="H29" s="59">
        <v>0</v>
      </c>
      <c r="I29" s="52">
        <v>0</v>
      </c>
      <c r="J29" s="69">
        <v>25114</v>
      </c>
      <c r="K29" s="84" t="s">
        <v>252</v>
      </c>
      <c r="L29" s="85">
        <v>535</v>
      </c>
      <c r="M29" s="25"/>
      <c r="N29" s="25"/>
      <c r="O29" s="72">
        <v>0</v>
      </c>
      <c r="P29" s="73">
        <v>0</v>
      </c>
      <c r="Q29" s="73">
        <v>0</v>
      </c>
      <c r="R29" s="29"/>
    </row>
    <row r="30" spans="1:20" s="96" customFormat="1" ht="24.6">
      <c r="A30" s="86">
        <v>3</v>
      </c>
      <c r="B30" s="87" t="s">
        <v>44</v>
      </c>
      <c r="C30" s="88"/>
      <c r="D30" s="89">
        <v>1070</v>
      </c>
      <c r="E30" s="90"/>
      <c r="F30" s="86"/>
      <c r="G30" s="91">
        <v>0</v>
      </c>
      <c r="H30" s="92">
        <v>0</v>
      </c>
      <c r="I30" s="91">
        <v>0</v>
      </c>
      <c r="J30" s="93">
        <v>25142</v>
      </c>
      <c r="K30" s="94" t="s">
        <v>253</v>
      </c>
      <c r="L30" s="95">
        <v>1070</v>
      </c>
      <c r="M30" s="90"/>
      <c r="N30" s="86"/>
      <c r="O30" s="72">
        <v>0</v>
      </c>
      <c r="P30" s="73">
        <v>0</v>
      </c>
      <c r="Q30" s="73">
        <v>0</v>
      </c>
      <c r="R30" s="87"/>
      <c r="T30" s="97"/>
    </row>
    <row r="31" spans="1:20" ht="24.6">
      <c r="A31" s="25">
        <v>4</v>
      </c>
      <c r="B31" s="29" t="s">
        <v>46</v>
      </c>
      <c r="C31" s="29"/>
      <c r="D31" s="98">
        <v>535</v>
      </c>
      <c r="E31" s="28"/>
      <c r="F31" s="28"/>
      <c r="G31" s="99"/>
      <c r="H31" s="59"/>
      <c r="I31" s="52"/>
      <c r="J31" s="69">
        <v>25142</v>
      </c>
      <c r="K31" s="70" t="s">
        <v>254</v>
      </c>
      <c r="L31" s="100">
        <v>535</v>
      </c>
      <c r="M31" s="28"/>
      <c r="N31" s="28"/>
      <c r="O31" s="72">
        <v>0</v>
      </c>
      <c r="P31" s="101">
        <v>0</v>
      </c>
      <c r="Q31" s="101">
        <v>0</v>
      </c>
      <c r="R31" s="102" t="s">
        <v>48</v>
      </c>
    </row>
    <row r="32" spans="1:20" ht="25.2" thickBot="1">
      <c r="A32" s="29"/>
      <c r="B32" s="25" t="s">
        <v>26</v>
      </c>
      <c r="C32" s="29"/>
      <c r="D32" s="103">
        <v>2140</v>
      </c>
      <c r="E32" s="63"/>
      <c r="F32" s="63"/>
      <c r="G32" s="103">
        <v>0</v>
      </c>
      <c r="H32" s="103">
        <v>0</v>
      </c>
      <c r="I32" s="103">
        <v>0</v>
      </c>
      <c r="J32" s="67"/>
      <c r="K32" s="67"/>
      <c r="L32" s="104">
        <f>SUM(L29:L31)</f>
        <v>2140</v>
      </c>
      <c r="M32" s="63"/>
      <c r="N32" s="105"/>
      <c r="O32" s="106">
        <v>0</v>
      </c>
      <c r="P32" s="107">
        <v>0</v>
      </c>
      <c r="Q32" s="107">
        <v>0</v>
      </c>
      <c r="R32" s="53"/>
    </row>
    <row r="33" spans="1:18" ht="25.2" hidden="1" thickTop="1">
      <c r="A33" s="29"/>
      <c r="B33" s="45" t="s">
        <v>49</v>
      </c>
      <c r="C33" s="29"/>
      <c r="D33" s="57"/>
      <c r="E33" s="108"/>
      <c r="F33" s="108"/>
      <c r="G33" s="57"/>
      <c r="H33" s="57"/>
      <c r="I33" s="57"/>
      <c r="J33" s="47"/>
      <c r="K33" s="48"/>
      <c r="L33" s="58"/>
      <c r="M33" s="46"/>
      <c r="N33" s="28"/>
      <c r="O33" s="57"/>
      <c r="P33" s="57"/>
      <c r="Q33" s="57"/>
      <c r="R33" s="29"/>
    </row>
    <row r="34" spans="1:18" ht="16.5" hidden="1" customHeight="1" thickBot="1">
      <c r="A34" s="25">
        <v>1</v>
      </c>
      <c r="B34" s="25"/>
      <c r="C34" s="29"/>
      <c r="D34" s="78"/>
      <c r="E34" s="74"/>
      <c r="F34" s="74"/>
      <c r="G34" s="78"/>
      <c r="H34" s="78"/>
      <c r="I34" s="78"/>
      <c r="J34" s="75"/>
      <c r="K34" s="76"/>
      <c r="L34" s="77"/>
      <c r="M34" s="74"/>
      <c r="N34" s="34"/>
      <c r="O34" s="78"/>
      <c r="P34" s="78"/>
      <c r="Q34" s="78"/>
      <c r="R34" s="29"/>
    </row>
    <row r="35" spans="1:18" ht="25.8" hidden="1" thickTop="1" thickBot="1">
      <c r="A35" s="25"/>
      <c r="B35" s="25" t="s">
        <v>26</v>
      </c>
      <c r="C35" s="29"/>
      <c r="D35" s="54"/>
      <c r="E35" s="64"/>
      <c r="F35" s="64"/>
      <c r="G35" s="54"/>
      <c r="H35" s="54"/>
      <c r="I35" s="54"/>
      <c r="J35" s="80"/>
      <c r="K35" s="81"/>
      <c r="L35" s="55"/>
      <c r="M35" s="79"/>
      <c r="N35" s="82"/>
      <c r="O35" s="54"/>
      <c r="P35" s="54"/>
      <c r="Q35" s="54"/>
      <c r="R35" s="29"/>
    </row>
    <row r="36" spans="1:18" ht="25.2" hidden="1" thickTop="1">
      <c r="A36" s="25"/>
      <c r="B36" s="45" t="s">
        <v>50</v>
      </c>
      <c r="C36" s="29"/>
      <c r="D36" s="57"/>
      <c r="E36" s="109"/>
      <c r="F36" s="109"/>
      <c r="G36" s="57"/>
      <c r="H36" s="57"/>
      <c r="I36" s="57"/>
      <c r="J36" s="47"/>
      <c r="K36" s="48"/>
      <c r="L36" s="58"/>
      <c r="M36" s="46"/>
      <c r="N36" s="28"/>
      <c r="O36" s="57"/>
      <c r="P36" s="57"/>
      <c r="Q36" s="57"/>
      <c r="R36" s="29"/>
    </row>
    <row r="37" spans="1:18" ht="25.2" hidden="1" thickBot="1">
      <c r="A37" s="25"/>
      <c r="B37" s="25"/>
      <c r="C37" s="29"/>
      <c r="D37" s="78"/>
      <c r="E37" s="74"/>
      <c r="F37" s="74"/>
      <c r="G37" s="78">
        <v>0</v>
      </c>
      <c r="H37" s="78">
        <v>0</v>
      </c>
      <c r="I37" s="78">
        <v>0</v>
      </c>
      <c r="J37" s="75"/>
      <c r="K37" s="76"/>
      <c r="L37" s="77"/>
      <c r="M37" s="74"/>
      <c r="N37" s="34"/>
      <c r="O37" s="110">
        <v>0</v>
      </c>
      <c r="P37" s="110">
        <v>0</v>
      </c>
      <c r="Q37" s="110">
        <v>0</v>
      </c>
      <c r="R37" s="29"/>
    </row>
    <row r="38" spans="1:18" ht="25.2" hidden="1" thickTop="1">
      <c r="A38" s="25"/>
      <c r="B38" s="25" t="s">
        <v>26</v>
      </c>
      <c r="C38" s="29"/>
      <c r="D38" s="111">
        <v>0</v>
      </c>
      <c r="E38" s="46"/>
      <c r="F38" s="46"/>
      <c r="G38" s="111">
        <v>0</v>
      </c>
      <c r="H38" s="111"/>
      <c r="I38" s="111">
        <v>0</v>
      </c>
      <c r="J38" s="112"/>
      <c r="K38" s="113"/>
      <c r="L38" s="114"/>
      <c r="M38" s="109"/>
      <c r="N38" s="115"/>
      <c r="O38" s="111">
        <v>0</v>
      </c>
      <c r="P38" s="111"/>
      <c r="Q38" s="111">
        <v>0</v>
      </c>
      <c r="R38" s="53"/>
    </row>
    <row r="39" spans="1:18" ht="24.6" hidden="1">
      <c r="A39" s="25"/>
      <c r="B39" s="45" t="s">
        <v>51</v>
      </c>
      <c r="C39" s="29"/>
      <c r="D39" s="59"/>
      <c r="E39" s="109"/>
      <c r="F39" s="109"/>
      <c r="G39" s="59"/>
      <c r="H39" s="59"/>
      <c r="I39" s="59"/>
      <c r="J39" s="60"/>
      <c r="K39" s="61"/>
      <c r="L39" s="62"/>
      <c r="M39" s="29"/>
      <c r="N39" s="25"/>
      <c r="O39" s="59"/>
      <c r="P39" s="59"/>
      <c r="Q39" s="59"/>
      <c r="R39" s="29"/>
    </row>
    <row r="40" spans="1:18" ht="25.2" hidden="1" thickBot="1">
      <c r="A40" s="25">
        <v>1</v>
      </c>
      <c r="B40" s="25"/>
      <c r="C40" s="29"/>
      <c r="D40" s="78"/>
      <c r="E40" s="74"/>
      <c r="F40" s="74"/>
      <c r="G40" s="78"/>
      <c r="H40" s="78"/>
      <c r="I40" s="78"/>
      <c r="J40" s="75"/>
      <c r="K40" s="76"/>
      <c r="L40" s="77"/>
      <c r="M40" s="74"/>
      <c r="N40" s="34"/>
      <c r="O40" s="78"/>
      <c r="P40" s="78"/>
      <c r="Q40" s="78"/>
      <c r="R40" s="29"/>
    </row>
    <row r="41" spans="1:18" ht="25.8" hidden="1" thickTop="1" thickBot="1">
      <c r="A41" s="25"/>
      <c r="B41" s="25" t="s">
        <v>26</v>
      </c>
      <c r="C41" s="29"/>
      <c r="D41" s="63"/>
      <c r="E41" s="79"/>
      <c r="F41" s="79"/>
      <c r="G41" s="63"/>
      <c r="H41" s="63"/>
      <c r="I41" s="63"/>
      <c r="J41" s="65"/>
      <c r="K41" s="66"/>
      <c r="L41" s="67"/>
      <c r="M41" s="64"/>
      <c r="N41" s="41"/>
      <c r="O41" s="63"/>
      <c r="P41" s="63"/>
      <c r="Q41" s="63"/>
      <c r="R41" s="29"/>
    </row>
    <row r="42" spans="1:18" ht="25.2" thickTop="1">
      <c r="A42" s="29"/>
      <c r="B42" s="45" t="s">
        <v>52</v>
      </c>
      <c r="C42" s="29"/>
      <c r="D42" s="57"/>
      <c r="E42" s="28"/>
      <c r="F42" s="28"/>
      <c r="G42" s="57"/>
      <c r="H42" s="57"/>
      <c r="I42" s="57"/>
      <c r="J42" s="47"/>
      <c r="K42" s="48"/>
      <c r="L42" s="58"/>
      <c r="M42" s="46"/>
      <c r="N42" s="28"/>
      <c r="O42" s="57"/>
      <c r="P42" s="57"/>
      <c r="Q42" s="57"/>
      <c r="R42" s="29"/>
    </row>
    <row r="43" spans="1:18" ht="24.6">
      <c r="A43" s="29"/>
      <c r="B43" s="116" t="s">
        <v>53</v>
      </c>
      <c r="C43" s="29"/>
      <c r="D43" s="57"/>
      <c r="E43" s="25"/>
      <c r="F43" s="25"/>
      <c r="G43" s="57"/>
      <c r="H43" s="57"/>
      <c r="I43" s="57"/>
      <c r="J43" s="47"/>
      <c r="K43" s="48"/>
      <c r="L43" s="58"/>
      <c r="M43" s="46"/>
      <c r="N43" s="28"/>
      <c r="O43" s="57"/>
      <c r="P43" s="57"/>
      <c r="Q43" s="57"/>
      <c r="R43" s="29"/>
    </row>
    <row r="44" spans="1:18" ht="24.6">
      <c r="A44" s="25">
        <v>1</v>
      </c>
      <c r="B44" s="29" t="s">
        <v>54</v>
      </c>
      <c r="C44" s="25" t="s">
        <v>55</v>
      </c>
      <c r="D44" s="49">
        <v>0</v>
      </c>
      <c r="E44" s="25"/>
      <c r="F44" s="25"/>
      <c r="G44" s="49">
        <v>0</v>
      </c>
      <c r="H44" s="49">
        <v>0</v>
      </c>
      <c r="I44" s="49">
        <v>0</v>
      </c>
      <c r="J44" s="26"/>
      <c r="K44" s="117"/>
      <c r="L44" s="118"/>
      <c r="M44" s="25"/>
      <c r="N44" s="25"/>
      <c r="O44" s="72">
        <f t="shared" ref="O44:O49" si="0">D44</f>
        <v>0</v>
      </c>
      <c r="P44" s="73">
        <v>0</v>
      </c>
      <c r="Q44" s="73">
        <f t="shared" ref="Q44:Q49" si="1">D44</f>
        <v>0</v>
      </c>
      <c r="R44" s="29" t="s">
        <v>56</v>
      </c>
    </row>
    <row r="45" spans="1:18" ht="24.6">
      <c r="A45" s="25">
        <v>2</v>
      </c>
      <c r="B45" s="119" t="s">
        <v>57</v>
      </c>
      <c r="C45" s="25">
        <v>259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58</v>
      </c>
    </row>
    <row r="46" spans="1:18" ht="24.6">
      <c r="A46" s="25">
        <v>3</v>
      </c>
      <c r="B46" s="119" t="s">
        <v>57</v>
      </c>
      <c r="C46" s="25">
        <v>260</v>
      </c>
      <c r="D46" s="49"/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3">
        <f t="shared" si="1"/>
        <v>0</v>
      </c>
      <c r="R46" s="29"/>
    </row>
    <row r="47" spans="1:18" ht="24.6">
      <c r="A47" s="25">
        <v>4</v>
      </c>
      <c r="B47" s="119" t="s">
        <v>57</v>
      </c>
      <c r="C47" s="25" t="s">
        <v>59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26"/>
      <c r="K47" s="16"/>
      <c r="L47" s="118"/>
      <c r="M47" s="25"/>
      <c r="N47" s="25"/>
      <c r="O47" s="72">
        <f t="shared" si="0"/>
        <v>0</v>
      </c>
      <c r="P47" s="73">
        <v>0</v>
      </c>
      <c r="Q47" s="73">
        <f t="shared" si="1"/>
        <v>0</v>
      </c>
      <c r="R47" s="29" t="s">
        <v>60</v>
      </c>
    </row>
    <row r="48" spans="1:18" ht="24.6">
      <c r="A48" s="25">
        <v>5</v>
      </c>
      <c r="B48" s="119" t="s">
        <v>57</v>
      </c>
      <c r="C48" s="25" t="s">
        <v>61</v>
      </c>
      <c r="D48" s="49">
        <v>0</v>
      </c>
      <c r="E48" s="25"/>
      <c r="F48" s="25"/>
      <c r="G48" s="49">
        <v>0</v>
      </c>
      <c r="H48" s="49">
        <v>0</v>
      </c>
      <c r="I48" s="49">
        <v>0</v>
      </c>
      <c r="J48" s="26"/>
      <c r="K48" s="16"/>
      <c r="L48" s="118"/>
      <c r="M48" s="25"/>
      <c r="N48" s="25"/>
      <c r="O48" s="72">
        <f t="shared" si="0"/>
        <v>0</v>
      </c>
      <c r="P48" s="73">
        <v>0</v>
      </c>
      <c r="Q48" s="73">
        <f t="shared" si="1"/>
        <v>0</v>
      </c>
      <c r="R48" s="29"/>
    </row>
    <row r="49" spans="1:18" ht="24.6">
      <c r="A49" s="25">
        <v>6</v>
      </c>
      <c r="B49" s="29" t="s">
        <v>62</v>
      </c>
      <c r="C49" s="25" t="s">
        <v>63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69"/>
      <c r="K49" s="70"/>
      <c r="L49" s="83"/>
      <c r="M49" s="25"/>
      <c r="N49" s="25"/>
      <c r="O49" s="72">
        <f t="shared" si="0"/>
        <v>0</v>
      </c>
      <c r="P49" s="73">
        <v>0</v>
      </c>
      <c r="Q49" s="73">
        <f t="shared" si="1"/>
        <v>0</v>
      </c>
      <c r="R49" s="29" t="s">
        <v>64</v>
      </c>
    </row>
    <row r="50" spans="1:18" ht="24.6">
      <c r="A50" s="25">
        <v>7</v>
      </c>
      <c r="B50" s="29" t="s">
        <v>65</v>
      </c>
      <c r="C50" s="25">
        <v>267</v>
      </c>
      <c r="D50" s="49">
        <v>1215</v>
      </c>
      <c r="E50" s="25"/>
      <c r="F50" s="25"/>
      <c r="G50" s="49">
        <v>0</v>
      </c>
      <c r="H50" s="49">
        <v>0</v>
      </c>
      <c r="I50" s="49">
        <v>0</v>
      </c>
      <c r="J50" s="69">
        <v>25118</v>
      </c>
      <c r="K50" s="70" t="s">
        <v>255</v>
      </c>
      <c r="L50" s="83">
        <v>1215</v>
      </c>
      <c r="M50" s="25"/>
      <c r="N50" s="25"/>
      <c r="O50" s="72">
        <f>D50+G50-L50</f>
        <v>0</v>
      </c>
      <c r="P50" s="72">
        <f t="shared" ref="P50:Q61" si="2">E50+H50-M50</f>
        <v>0</v>
      </c>
      <c r="Q50" s="72">
        <f t="shared" si="2"/>
        <v>0</v>
      </c>
      <c r="R50" s="29" t="s">
        <v>67</v>
      </c>
    </row>
    <row r="51" spans="1:18" ht="24.6">
      <c r="A51" s="25">
        <v>8</v>
      </c>
      <c r="B51" s="29" t="s">
        <v>68</v>
      </c>
      <c r="C51" s="120">
        <v>268</v>
      </c>
      <c r="D51" s="49">
        <v>0</v>
      </c>
      <c r="E51" s="25"/>
      <c r="F51" s="25"/>
      <c r="G51" s="49">
        <v>0</v>
      </c>
      <c r="H51" s="49">
        <v>0</v>
      </c>
      <c r="I51" s="49">
        <v>0</v>
      </c>
      <c r="J51" s="121"/>
      <c r="K51" s="121"/>
      <c r="L51" s="121"/>
      <c r="M51" s="25"/>
      <c r="N51" s="25"/>
      <c r="O51" s="72">
        <f t="shared" ref="O51:O62" si="3">D51+G51-L51</f>
        <v>0</v>
      </c>
      <c r="P51" s="73">
        <v>0</v>
      </c>
      <c r="Q51" s="72">
        <f t="shared" si="2"/>
        <v>0</v>
      </c>
      <c r="R51" s="29" t="s">
        <v>69</v>
      </c>
    </row>
    <row r="52" spans="1:18" ht="24.6">
      <c r="A52" s="25">
        <v>9</v>
      </c>
      <c r="B52" s="29" t="s">
        <v>70</v>
      </c>
      <c r="C52" s="25" t="s">
        <v>71</v>
      </c>
      <c r="D52" s="49">
        <v>2430</v>
      </c>
      <c r="E52" s="25"/>
      <c r="F52" s="25"/>
      <c r="G52" s="49">
        <v>0</v>
      </c>
      <c r="H52" s="49">
        <v>0</v>
      </c>
      <c r="I52" s="49">
        <v>0</v>
      </c>
      <c r="J52" s="69">
        <v>25119</v>
      </c>
      <c r="K52" s="70" t="s">
        <v>256</v>
      </c>
      <c r="L52" s="83">
        <v>2430</v>
      </c>
      <c r="M52" s="25"/>
      <c r="N52" s="25"/>
      <c r="O52" s="72">
        <f t="shared" si="3"/>
        <v>0</v>
      </c>
      <c r="P52" s="73">
        <v>0</v>
      </c>
      <c r="Q52" s="72">
        <f t="shared" si="2"/>
        <v>0</v>
      </c>
      <c r="R52" s="29"/>
    </row>
    <row r="53" spans="1:18" ht="24.6">
      <c r="A53" s="25">
        <v>10</v>
      </c>
      <c r="B53" s="29" t="s">
        <v>73</v>
      </c>
      <c r="C53" s="120">
        <v>84282</v>
      </c>
      <c r="D53" s="49">
        <v>2430</v>
      </c>
      <c r="E53" s="25"/>
      <c r="F53" s="25"/>
      <c r="G53" s="49">
        <v>0</v>
      </c>
      <c r="H53" s="49">
        <v>0</v>
      </c>
      <c r="I53" s="49">
        <v>0</v>
      </c>
      <c r="J53" s="69">
        <v>25142</v>
      </c>
      <c r="K53" s="70" t="s">
        <v>257</v>
      </c>
      <c r="L53" s="83">
        <v>2430</v>
      </c>
      <c r="M53" s="122"/>
      <c r="N53" s="123"/>
      <c r="O53" s="72">
        <f>D53+G53-L53</f>
        <v>0</v>
      </c>
      <c r="P53" s="73">
        <v>0</v>
      </c>
      <c r="Q53" s="72">
        <f>D53+I53-L53</f>
        <v>0</v>
      </c>
      <c r="R53" s="29"/>
    </row>
    <row r="54" spans="1:18" ht="24.6">
      <c r="A54" s="25">
        <v>11</v>
      </c>
      <c r="B54" s="29" t="s">
        <v>76</v>
      </c>
      <c r="C54" s="25">
        <v>281</v>
      </c>
      <c r="D54" s="49">
        <v>0</v>
      </c>
      <c r="E54" s="25"/>
      <c r="F54" s="25"/>
      <c r="G54" s="49">
        <v>0</v>
      </c>
      <c r="H54" s="49">
        <v>0</v>
      </c>
      <c r="I54" s="49">
        <v>0</v>
      </c>
      <c r="J54" s="69"/>
      <c r="K54" s="70"/>
      <c r="L54" s="83"/>
      <c r="M54" s="25"/>
      <c r="N54" s="25"/>
      <c r="O54" s="72">
        <f t="shared" si="3"/>
        <v>0</v>
      </c>
      <c r="P54" s="73">
        <v>0</v>
      </c>
      <c r="Q54" s="72">
        <f t="shared" si="2"/>
        <v>0</v>
      </c>
      <c r="R54" s="29" t="s">
        <v>77</v>
      </c>
    </row>
    <row r="55" spans="1:18" ht="24.6">
      <c r="A55" s="25">
        <v>12</v>
      </c>
      <c r="B55" s="29" t="s">
        <v>57</v>
      </c>
      <c r="C55" s="25">
        <v>280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3"/>
        <v>0</v>
      </c>
      <c r="P55" s="73">
        <v>0</v>
      </c>
      <c r="Q55" s="72">
        <f t="shared" si="2"/>
        <v>0</v>
      </c>
      <c r="R55" s="29"/>
    </row>
    <row r="56" spans="1:18" ht="24.6">
      <c r="A56" s="25">
        <v>13</v>
      </c>
      <c r="B56" s="29" t="s">
        <v>78</v>
      </c>
      <c r="C56" s="25" t="s">
        <v>79</v>
      </c>
      <c r="D56" s="49">
        <v>2430</v>
      </c>
      <c r="E56" s="25"/>
      <c r="F56" s="25"/>
      <c r="G56" s="49">
        <v>0</v>
      </c>
      <c r="H56" s="49">
        <v>0</v>
      </c>
      <c r="I56" s="49">
        <v>0</v>
      </c>
      <c r="J56" s="69">
        <v>25117</v>
      </c>
      <c r="K56" s="70" t="s">
        <v>258</v>
      </c>
      <c r="L56" s="83">
        <v>2430</v>
      </c>
      <c r="M56" s="25"/>
      <c r="N56" s="25"/>
      <c r="O56" s="72">
        <f t="shared" si="3"/>
        <v>0</v>
      </c>
      <c r="P56" s="73">
        <v>0</v>
      </c>
      <c r="Q56" s="72">
        <f t="shared" si="2"/>
        <v>0</v>
      </c>
      <c r="R56" s="29"/>
    </row>
    <row r="57" spans="1:18" ht="24.6">
      <c r="A57" s="25">
        <v>14</v>
      </c>
      <c r="B57" s="29" t="s">
        <v>81</v>
      </c>
      <c r="C57" s="25" t="s">
        <v>82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69"/>
      <c r="K57" s="70"/>
      <c r="L57" s="83"/>
      <c r="M57" s="25"/>
      <c r="N57" s="25"/>
      <c r="O57" s="72">
        <f t="shared" si="3"/>
        <v>0</v>
      </c>
      <c r="P57" s="73">
        <v>0</v>
      </c>
      <c r="Q57" s="72">
        <f t="shared" si="2"/>
        <v>0</v>
      </c>
      <c r="R57" s="29"/>
    </row>
    <row r="58" spans="1:18" ht="24.6">
      <c r="A58" s="25">
        <v>15</v>
      </c>
      <c r="B58" s="29" t="s">
        <v>83</v>
      </c>
      <c r="C58" s="25">
        <v>277</v>
      </c>
      <c r="D58" s="49">
        <v>1215</v>
      </c>
      <c r="E58" s="25"/>
      <c r="F58" s="25"/>
      <c r="G58" s="49">
        <v>0</v>
      </c>
      <c r="H58" s="49">
        <v>0</v>
      </c>
      <c r="I58" s="49">
        <v>0</v>
      </c>
      <c r="J58" s="69">
        <v>25142</v>
      </c>
      <c r="K58" s="70" t="s">
        <v>259</v>
      </c>
      <c r="L58" s="83">
        <v>1215</v>
      </c>
      <c r="M58" s="25"/>
      <c r="N58" s="25"/>
      <c r="O58" s="72">
        <f t="shared" si="3"/>
        <v>0</v>
      </c>
      <c r="P58" s="73">
        <v>0</v>
      </c>
      <c r="Q58" s="72">
        <f t="shared" si="2"/>
        <v>0</v>
      </c>
      <c r="R58" s="29"/>
    </row>
    <row r="59" spans="1:18" ht="24.6">
      <c r="A59" s="25">
        <v>16</v>
      </c>
      <c r="B59" s="29" t="s">
        <v>85</v>
      </c>
      <c r="C59" s="25" t="s">
        <v>86</v>
      </c>
      <c r="D59" s="49">
        <v>0</v>
      </c>
      <c r="E59" s="25"/>
      <c r="F59" s="25"/>
      <c r="G59" s="49">
        <v>0</v>
      </c>
      <c r="H59" s="49">
        <v>0</v>
      </c>
      <c r="I59" s="49">
        <v>0</v>
      </c>
      <c r="J59" s="26"/>
      <c r="K59" s="16"/>
      <c r="L59" s="118"/>
      <c r="M59" s="25"/>
      <c r="N59" s="25"/>
      <c r="O59" s="72">
        <f t="shared" si="3"/>
        <v>0</v>
      </c>
      <c r="P59" s="73">
        <v>0</v>
      </c>
      <c r="Q59" s="72">
        <f t="shared" si="2"/>
        <v>0</v>
      </c>
      <c r="R59" s="29" t="s">
        <v>87</v>
      </c>
    </row>
    <row r="60" spans="1:18" ht="24.6">
      <c r="A60" s="25">
        <v>17</v>
      </c>
      <c r="B60" s="29" t="s">
        <v>57</v>
      </c>
      <c r="C60" s="25" t="s">
        <v>88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3"/>
        <v>0</v>
      </c>
      <c r="P60" s="73">
        <v>0</v>
      </c>
      <c r="Q60" s="72">
        <f t="shared" si="2"/>
        <v>0</v>
      </c>
      <c r="R60" s="29"/>
    </row>
    <row r="61" spans="1:18" ht="24.6">
      <c r="A61" s="25"/>
      <c r="B61" s="116" t="s">
        <v>89</v>
      </c>
      <c r="C61" s="29"/>
      <c r="D61" s="29"/>
      <c r="E61" s="25"/>
      <c r="F61" s="25"/>
      <c r="G61" s="2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si="3"/>
        <v>0</v>
      </c>
      <c r="P61" s="49"/>
      <c r="Q61" s="72">
        <f t="shared" si="2"/>
        <v>0</v>
      </c>
      <c r="R61" s="29"/>
    </row>
    <row r="62" spans="1:18" ht="24.6">
      <c r="A62" s="25">
        <v>1</v>
      </c>
      <c r="B62" s="29" t="s">
        <v>57</v>
      </c>
      <c r="C62" s="25" t="s">
        <v>90</v>
      </c>
      <c r="D62" s="49">
        <v>0</v>
      </c>
      <c r="E62" s="25"/>
      <c r="F62" s="25"/>
      <c r="G62" s="49">
        <v>0</v>
      </c>
      <c r="H62" s="49">
        <v>0</v>
      </c>
      <c r="I62" s="49">
        <v>0</v>
      </c>
      <c r="J62" s="26"/>
      <c r="K62" s="16"/>
      <c r="L62" s="118"/>
      <c r="M62" s="25"/>
      <c r="N62" s="25"/>
      <c r="O62" s="72">
        <f t="shared" si="3"/>
        <v>0</v>
      </c>
      <c r="P62" s="73">
        <v>0</v>
      </c>
      <c r="Q62" s="73">
        <f t="shared" ref="Q62:Q72" si="4">D62+I62</f>
        <v>0</v>
      </c>
      <c r="R62" s="29" t="s">
        <v>91</v>
      </c>
    </row>
    <row r="63" spans="1:18" ht="24.6">
      <c r="A63" s="25">
        <v>2</v>
      </c>
      <c r="B63" s="119" t="s">
        <v>57</v>
      </c>
      <c r="C63" s="25" t="s">
        <v>92</v>
      </c>
      <c r="D63" s="49"/>
      <c r="E63" s="25"/>
      <c r="F63" s="25"/>
      <c r="G63" s="49">
        <v>0</v>
      </c>
      <c r="H63" s="49"/>
      <c r="I63" s="49">
        <v>0</v>
      </c>
      <c r="J63" s="26"/>
      <c r="K63" s="16"/>
      <c r="L63" s="118"/>
      <c r="M63" s="25"/>
      <c r="N63" s="25"/>
      <c r="O63" s="72">
        <f t="shared" ref="O63:O72" si="5">D63+G63</f>
        <v>0</v>
      </c>
      <c r="P63" s="49"/>
      <c r="Q63" s="73">
        <f t="shared" si="4"/>
        <v>0</v>
      </c>
      <c r="R63" s="29"/>
    </row>
    <row r="64" spans="1:18" ht="24.6">
      <c r="A64" s="25">
        <v>3</v>
      </c>
      <c r="B64" s="29" t="s">
        <v>93</v>
      </c>
      <c r="C64" s="25" t="s">
        <v>94</v>
      </c>
      <c r="D64" s="49">
        <v>0</v>
      </c>
      <c r="E64" s="25"/>
      <c r="F64" s="25"/>
      <c r="G64" s="89">
        <v>0</v>
      </c>
      <c r="H64" s="89">
        <v>0</v>
      </c>
      <c r="I64" s="89">
        <v>0</v>
      </c>
      <c r="J64" s="69"/>
      <c r="K64" s="84"/>
      <c r="L64" s="83"/>
      <c r="M64" s="25"/>
      <c r="N64" s="25"/>
      <c r="O64" s="72">
        <f t="shared" si="5"/>
        <v>0</v>
      </c>
      <c r="P64" s="73">
        <v>0</v>
      </c>
      <c r="Q64" s="73">
        <f t="shared" si="4"/>
        <v>0</v>
      </c>
      <c r="R64" s="29"/>
    </row>
    <row r="65" spans="1:20" ht="24.6">
      <c r="A65" s="25">
        <v>4</v>
      </c>
      <c r="B65" s="119" t="s">
        <v>57</v>
      </c>
      <c r="C65" s="25" t="s">
        <v>95</v>
      </c>
      <c r="D65" s="52">
        <v>0</v>
      </c>
      <c r="E65" s="25"/>
      <c r="F65" s="25"/>
      <c r="G65" s="49">
        <v>0</v>
      </c>
      <c r="H65" s="49"/>
      <c r="I65" s="49">
        <v>0</v>
      </c>
      <c r="J65" s="69"/>
      <c r="K65" s="84"/>
      <c r="L65" s="83"/>
      <c r="M65" s="25"/>
      <c r="N65" s="25"/>
      <c r="O65" s="72">
        <f t="shared" si="5"/>
        <v>0</v>
      </c>
      <c r="P65" s="49"/>
      <c r="Q65" s="73">
        <f t="shared" si="4"/>
        <v>0</v>
      </c>
      <c r="R65" s="29"/>
    </row>
    <row r="66" spans="1:20" ht="24.6">
      <c r="A66" s="25">
        <v>5</v>
      </c>
      <c r="B66" s="29" t="s">
        <v>40</v>
      </c>
      <c r="C66" s="25" t="s">
        <v>96</v>
      </c>
      <c r="D66" s="49">
        <v>0</v>
      </c>
      <c r="E66" s="25"/>
      <c r="F66" s="25"/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5"/>
        <v>0</v>
      </c>
      <c r="P66" s="73">
        <v>0</v>
      </c>
      <c r="Q66" s="73">
        <f t="shared" si="4"/>
        <v>0</v>
      </c>
      <c r="R66" s="29" t="s">
        <v>41</v>
      </c>
    </row>
    <row r="67" spans="1:20" ht="24.6">
      <c r="A67" s="25"/>
      <c r="B67" s="53"/>
      <c r="C67" s="25"/>
      <c r="D67" s="49"/>
      <c r="E67" s="25"/>
      <c r="F67" s="25"/>
      <c r="G67" s="4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5"/>
        <v>0</v>
      </c>
      <c r="P67" s="49"/>
      <c r="Q67" s="73">
        <f t="shared" si="4"/>
        <v>0</v>
      </c>
      <c r="R67" s="29"/>
    </row>
    <row r="68" spans="1:20" ht="24.6">
      <c r="A68" s="25"/>
      <c r="B68" s="124" t="s">
        <v>97</v>
      </c>
      <c r="C68" s="29"/>
      <c r="D68" s="29"/>
      <c r="E68" s="25"/>
      <c r="F68" s="25"/>
      <c r="G68" s="29">
        <v>0</v>
      </c>
      <c r="H68" s="49"/>
      <c r="I68" s="49">
        <v>0</v>
      </c>
      <c r="J68" s="26"/>
      <c r="K68" s="16"/>
      <c r="L68" s="118"/>
      <c r="M68" s="25"/>
      <c r="N68" s="25"/>
      <c r="O68" s="72">
        <f t="shared" si="5"/>
        <v>0</v>
      </c>
      <c r="P68" s="49"/>
      <c r="Q68" s="73">
        <f t="shared" si="4"/>
        <v>0</v>
      </c>
      <c r="R68" s="29"/>
    </row>
    <row r="69" spans="1:20" ht="24.6">
      <c r="A69" s="25">
        <v>1</v>
      </c>
      <c r="B69" s="125" t="s">
        <v>98</v>
      </c>
      <c r="C69" s="25" t="s">
        <v>99</v>
      </c>
      <c r="D69" s="49">
        <v>0</v>
      </c>
      <c r="E69" s="68"/>
      <c r="F69" s="25"/>
      <c r="G69" s="49">
        <v>0</v>
      </c>
      <c r="H69" s="49">
        <v>0</v>
      </c>
      <c r="I69" s="49">
        <v>0</v>
      </c>
      <c r="J69" s="69"/>
      <c r="K69" s="70"/>
      <c r="L69" s="83"/>
      <c r="M69" s="25"/>
      <c r="N69" s="25"/>
      <c r="O69" s="72">
        <f t="shared" si="5"/>
        <v>0</v>
      </c>
      <c r="P69" s="73">
        <v>0</v>
      </c>
      <c r="Q69" s="73">
        <f t="shared" si="4"/>
        <v>0</v>
      </c>
      <c r="R69" s="29" t="s">
        <v>100</v>
      </c>
      <c r="T69" s="2" t="s">
        <v>101</v>
      </c>
    </row>
    <row r="70" spans="1:20" ht="24.6">
      <c r="A70" s="25"/>
      <c r="B70" s="116" t="s">
        <v>102</v>
      </c>
      <c r="C70" s="29"/>
      <c r="D70" s="29"/>
      <c r="E70" s="25"/>
      <c r="F70" s="25"/>
      <c r="G70" s="29">
        <v>0</v>
      </c>
      <c r="H70" s="49"/>
      <c r="I70" s="49">
        <v>0</v>
      </c>
      <c r="J70" s="69"/>
      <c r="K70" s="70"/>
      <c r="L70" s="83"/>
      <c r="M70" s="25"/>
      <c r="N70" s="25"/>
      <c r="O70" s="72">
        <f t="shared" si="5"/>
        <v>0</v>
      </c>
      <c r="P70" s="49"/>
      <c r="Q70" s="73">
        <f t="shared" si="4"/>
        <v>0</v>
      </c>
      <c r="R70" s="29"/>
    </row>
    <row r="71" spans="1:20" ht="20.25" customHeight="1">
      <c r="A71" s="25">
        <v>1</v>
      </c>
      <c r="B71" s="29" t="s">
        <v>36</v>
      </c>
      <c r="C71" s="29"/>
      <c r="D71" s="49">
        <v>0</v>
      </c>
      <c r="E71" s="25"/>
      <c r="F71" s="25"/>
      <c r="G71" s="49">
        <v>0</v>
      </c>
      <c r="H71" s="49">
        <v>0</v>
      </c>
      <c r="I71" s="49">
        <v>0</v>
      </c>
      <c r="J71" s="69"/>
      <c r="K71" s="84"/>
      <c r="L71" s="83"/>
      <c r="M71" s="25"/>
      <c r="N71" s="25"/>
      <c r="O71" s="72">
        <f t="shared" si="5"/>
        <v>0</v>
      </c>
      <c r="P71" s="73">
        <v>0</v>
      </c>
      <c r="Q71" s="73">
        <f t="shared" si="4"/>
        <v>0</v>
      </c>
      <c r="R71" s="29" t="s">
        <v>103</v>
      </c>
    </row>
    <row r="72" spans="1:20" ht="24.6">
      <c r="A72" s="25"/>
      <c r="B72" s="116" t="s">
        <v>104</v>
      </c>
      <c r="C72" s="29"/>
      <c r="D72" s="29"/>
      <c r="E72" s="25"/>
      <c r="F72" s="25"/>
      <c r="G72" s="49">
        <v>0</v>
      </c>
      <c r="H72" s="49"/>
      <c r="I72" s="49">
        <v>0</v>
      </c>
      <c r="J72" s="69"/>
      <c r="K72" s="84"/>
      <c r="L72" s="83"/>
      <c r="M72" s="25"/>
      <c r="N72" s="25"/>
      <c r="O72" s="72">
        <f t="shared" si="5"/>
        <v>0</v>
      </c>
      <c r="P72" s="49"/>
      <c r="Q72" s="73">
        <f t="shared" si="4"/>
        <v>0</v>
      </c>
      <c r="R72" s="29"/>
    </row>
    <row r="73" spans="1:20" ht="24.6">
      <c r="A73" s="25">
        <v>1</v>
      </c>
      <c r="B73" s="29" t="s">
        <v>105</v>
      </c>
      <c r="C73" s="29"/>
      <c r="D73" s="49">
        <v>5000</v>
      </c>
      <c r="E73" s="126"/>
      <c r="F73" s="25"/>
      <c r="G73" s="49">
        <v>0</v>
      </c>
      <c r="H73" s="49">
        <v>0</v>
      </c>
      <c r="I73" s="49">
        <v>0</v>
      </c>
      <c r="J73" s="69"/>
      <c r="K73" s="70"/>
      <c r="L73" s="83"/>
      <c r="M73" s="126">
        <v>25112</v>
      </c>
      <c r="N73" s="25">
        <v>1</v>
      </c>
      <c r="O73" s="72">
        <f>D73+G73-L73</f>
        <v>5000</v>
      </c>
      <c r="P73" s="73">
        <v>0</v>
      </c>
      <c r="Q73" s="73">
        <f>D73+I73-L73</f>
        <v>5000</v>
      </c>
      <c r="R73" s="29"/>
    </row>
    <row r="74" spans="1:20" ht="24.6">
      <c r="A74" s="25">
        <v>2</v>
      </c>
      <c r="B74" s="29" t="s">
        <v>105</v>
      </c>
      <c r="C74" s="29"/>
      <c r="D74" s="49">
        <v>4650</v>
      </c>
      <c r="E74" s="126"/>
      <c r="F74" s="25"/>
      <c r="G74" s="49">
        <v>0</v>
      </c>
      <c r="H74" s="49">
        <v>0</v>
      </c>
      <c r="I74" s="49">
        <v>0</v>
      </c>
      <c r="J74" s="69"/>
      <c r="K74" s="70"/>
      <c r="L74" s="83"/>
      <c r="M74" s="126">
        <v>25112</v>
      </c>
      <c r="N74" s="25">
        <v>1</v>
      </c>
      <c r="O74" s="72">
        <f>D74+G74-L74</f>
        <v>4650</v>
      </c>
      <c r="P74" s="73">
        <v>0</v>
      </c>
      <c r="Q74" s="73">
        <f>D74+I74-L74</f>
        <v>4650</v>
      </c>
      <c r="R74" s="29" t="s">
        <v>108</v>
      </c>
    </row>
    <row r="75" spans="1:20" ht="24.6">
      <c r="A75" s="25">
        <v>3</v>
      </c>
      <c r="B75" s="29" t="s">
        <v>109</v>
      </c>
      <c r="C75" s="53"/>
      <c r="D75" s="127">
        <v>3450</v>
      </c>
      <c r="E75" s="25"/>
      <c r="F75" s="25"/>
      <c r="G75" s="127">
        <v>0</v>
      </c>
      <c r="H75" s="127">
        <v>0</v>
      </c>
      <c r="I75" s="49">
        <v>0</v>
      </c>
      <c r="J75" s="128">
        <v>25117</v>
      </c>
      <c r="K75" s="129" t="s">
        <v>260</v>
      </c>
      <c r="L75" s="130">
        <v>3450</v>
      </c>
      <c r="M75" s="25"/>
      <c r="N75" s="25"/>
      <c r="O75" s="72">
        <f>D75+G75-L75</f>
        <v>0</v>
      </c>
      <c r="P75" s="73">
        <v>0</v>
      </c>
      <c r="Q75" s="73">
        <f>D75+I75-L75</f>
        <v>0</v>
      </c>
      <c r="R75" s="29" t="s">
        <v>111</v>
      </c>
    </row>
    <row r="76" spans="1:20" ht="24.6">
      <c r="A76" s="25">
        <v>4</v>
      </c>
      <c r="B76" s="29" t="s">
        <v>112</v>
      </c>
      <c r="C76" s="29"/>
      <c r="D76" s="49">
        <v>3795</v>
      </c>
      <c r="E76" s="25"/>
      <c r="F76" s="25"/>
      <c r="G76" s="49">
        <v>0</v>
      </c>
      <c r="H76" s="49">
        <v>0</v>
      </c>
      <c r="I76" s="49">
        <v>0</v>
      </c>
      <c r="J76" s="128">
        <v>25119</v>
      </c>
      <c r="K76" s="129" t="s">
        <v>261</v>
      </c>
      <c r="L76" s="130">
        <v>3795</v>
      </c>
      <c r="M76" s="25"/>
      <c r="N76" s="25"/>
      <c r="O76" s="72">
        <f>D76+G76-L76</f>
        <v>0</v>
      </c>
      <c r="P76" s="73">
        <v>0</v>
      </c>
      <c r="Q76" s="73">
        <f>D76+I76-L76</f>
        <v>0</v>
      </c>
      <c r="R76" s="131" t="s">
        <v>114</v>
      </c>
    </row>
    <row r="77" spans="1:20" ht="25.5" customHeight="1">
      <c r="A77" s="25">
        <v>5</v>
      </c>
      <c r="B77" s="132" t="s">
        <v>115</v>
      </c>
      <c r="C77" s="132"/>
      <c r="D77" s="133">
        <v>8000</v>
      </c>
      <c r="E77" s="29"/>
      <c r="F77" s="29"/>
      <c r="G77" s="134">
        <v>0</v>
      </c>
      <c r="H77" s="134">
        <v>0</v>
      </c>
      <c r="I77" s="134">
        <v>0</v>
      </c>
      <c r="J77" s="128">
        <v>25117</v>
      </c>
      <c r="K77" s="129" t="s">
        <v>262</v>
      </c>
      <c r="L77" s="130">
        <v>8000</v>
      </c>
      <c r="M77" s="29"/>
      <c r="N77" s="25"/>
      <c r="O77" s="72">
        <f>D77+G77-L77</f>
        <v>0</v>
      </c>
      <c r="P77" s="73">
        <v>0</v>
      </c>
      <c r="Q77" s="73">
        <f>D77+I77-L77</f>
        <v>0</v>
      </c>
    </row>
    <row r="78" spans="1:20" ht="25.2" thickBot="1">
      <c r="A78" s="29"/>
      <c r="B78" s="25" t="s">
        <v>26</v>
      </c>
      <c r="C78" s="74"/>
      <c r="D78" s="78">
        <f>SUM(D44:D77)</f>
        <v>34615</v>
      </c>
      <c r="E78" s="78"/>
      <c r="F78" s="78"/>
      <c r="G78" s="78">
        <f>SUM(G44:G77)</f>
        <v>0</v>
      </c>
      <c r="H78" s="78">
        <f>SUM(H44:H77)</f>
        <v>0</v>
      </c>
      <c r="I78" s="78">
        <f>SUM(I44:I77)</f>
        <v>0</v>
      </c>
      <c r="J78" s="77"/>
      <c r="K78" s="77"/>
      <c r="L78" s="77">
        <f>SUM(L44:L77)</f>
        <v>24965</v>
      </c>
      <c r="M78" s="78"/>
      <c r="N78" s="135"/>
      <c r="O78" s="106">
        <f>SUM(O44:O77)</f>
        <v>9650</v>
      </c>
      <c r="P78" s="78">
        <v>0</v>
      </c>
      <c r="Q78" s="136">
        <f>SUM(Q44:Q77)</f>
        <v>9650</v>
      </c>
      <c r="R78" s="29"/>
    </row>
    <row r="79" spans="1:20" ht="25.2" thickTop="1">
      <c r="A79" s="29"/>
      <c r="B79" s="116" t="s">
        <v>117</v>
      </c>
      <c r="C79" s="46"/>
      <c r="D79" s="46"/>
      <c r="E79" s="28"/>
      <c r="F79" s="28"/>
      <c r="G79" s="46"/>
      <c r="H79" s="46"/>
      <c r="I79" s="46"/>
      <c r="J79" s="137"/>
      <c r="K79" s="138"/>
      <c r="L79" s="139"/>
      <c r="M79" s="28"/>
      <c r="N79" s="28"/>
      <c r="O79" s="72">
        <v>0</v>
      </c>
      <c r="P79" s="46"/>
      <c r="Q79" s="140">
        <v>0</v>
      </c>
      <c r="R79" s="46"/>
    </row>
    <row r="80" spans="1:20" ht="24.6">
      <c r="A80" s="29"/>
      <c r="B80" s="116" t="s">
        <v>118</v>
      </c>
      <c r="C80" s="46"/>
      <c r="D80" s="46"/>
      <c r="E80" s="25"/>
      <c r="F80" s="28"/>
      <c r="G80" s="46"/>
      <c r="H80" s="46"/>
      <c r="I80" s="46"/>
      <c r="J80" s="137"/>
      <c r="K80" s="138"/>
      <c r="L80" s="139"/>
      <c r="M80" s="28"/>
      <c r="N80" s="28"/>
      <c r="O80" s="72">
        <v>0</v>
      </c>
      <c r="P80" s="46"/>
      <c r="Q80" s="73">
        <v>0</v>
      </c>
      <c r="R80" s="29"/>
    </row>
    <row r="81" spans="1:18" ht="24.6">
      <c r="A81" s="25">
        <v>1</v>
      </c>
      <c r="B81" s="119" t="s">
        <v>119</v>
      </c>
      <c r="C81" s="46"/>
      <c r="D81" s="98">
        <v>0</v>
      </c>
      <c r="E81" s="25"/>
      <c r="F81" s="28"/>
      <c r="G81" s="49">
        <v>0</v>
      </c>
      <c r="H81" s="49">
        <v>0</v>
      </c>
      <c r="I81" s="49">
        <v>0</v>
      </c>
      <c r="J81" s="26"/>
      <c r="K81" s="16"/>
      <c r="L81" s="118">
        <v>0</v>
      </c>
      <c r="M81" s="119"/>
      <c r="N81" s="28"/>
      <c r="O81" s="72">
        <v>0</v>
      </c>
      <c r="P81" s="141">
        <v>0</v>
      </c>
      <c r="Q81" s="73">
        <v>0</v>
      </c>
      <c r="R81" s="29" t="s">
        <v>120</v>
      </c>
    </row>
    <row r="82" spans="1:18" ht="24.6">
      <c r="A82" s="25"/>
      <c r="B82" s="29" t="s">
        <v>120</v>
      </c>
      <c r="C82" s="46"/>
      <c r="D82" s="98"/>
      <c r="E82" s="25"/>
      <c r="F82" s="28"/>
      <c r="G82" s="49"/>
      <c r="H82" s="49"/>
      <c r="I82" s="49"/>
      <c r="J82" s="26"/>
      <c r="K82" s="16"/>
      <c r="L82" s="118"/>
      <c r="M82" s="25"/>
      <c r="N82" s="28"/>
      <c r="O82" s="72">
        <v>0</v>
      </c>
      <c r="P82" s="46"/>
      <c r="Q82" s="73">
        <v>0</v>
      </c>
      <c r="R82" s="29"/>
    </row>
    <row r="83" spans="1:18" ht="24.6">
      <c r="A83" s="25">
        <v>2</v>
      </c>
      <c r="B83" s="119" t="s">
        <v>121</v>
      </c>
      <c r="C83" s="46"/>
      <c r="D83" s="98">
        <v>6000</v>
      </c>
      <c r="E83" s="25"/>
      <c r="F83" s="25"/>
      <c r="G83" s="49">
        <v>0</v>
      </c>
      <c r="H83" s="49">
        <v>0</v>
      </c>
      <c r="I83" s="49">
        <v>0</v>
      </c>
      <c r="J83" s="69">
        <v>25117</v>
      </c>
      <c r="K83" s="70" t="s">
        <v>263</v>
      </c>
      <c r="L83" s="83">
        <v>6000</v>
      </c>
      <c r="M83" s="25"/>
      <c r="N83" s="25"/>
      <c r="O83" s="72">
        <v>0</v>
      </c>
      <c r="P83" s="73">
        <v>0</v>
      </c>
      <c r="Q83" s="73">
        <v>0</v>
      </c>
      <c r="R83" s="29"/>
    </row>
    <row r="84" spans="1:18" ht="24.6">
      <c r="A84" s="29"/>
      <c r="B84" s="45" t="s">
        <v>123</v>
      </c>
      <c r="C84" s="46"/>
      <c r="D84" s="46"/>
      <c r="E84" s="28"/>
      <c r="F84" s="28"/>
      <c r="G84" s="46"/>
      <c r="H84" s="46"/>
      <c r="I84" s="49"/>
      <c r="J84" s="142"/>
      <c r="K84" s="143"/>
      <c r="L84" s="144"/>
      <c r="M84" s="28"/>
      <c r="N84" s="28"/>
      <c r="O84" s="72">
        <v>0</v>
      </c>
      <c r="P84" s="46"/>
      <c r="Q84" s="73">
        <v>0</v>
      </c>
      <c r="R84" s="29"/>
    </row>
    <row r="85" spans="1:18" ht="24.6">
      <c r="A85" s="25">
        <v>1</v>
      </c>
      <c r="B85" s="29" t="s">
        <v>124</v>
      </c>
      <c r="C85" s="29"/>
      <c r="D85" s="49">
        <v>600</v>
      </c>
      <c r="E85" s="25"/>
      <c r="F85" s="25"/>
      <c r="G85" s="49">
        <v>0</v>
      </c>
      <c r="H85" s="49">
        <v>0</v>
      </c>
      <c r="I85" s="49">
        <v>0</v>
      </c>
      <c r="J85" s="69">
        <v>25139</v>
      </c>
      <c r="K85" s="70" t="s">
        <v>264</v>
      </c>
      <c r="L85" s="83">
        <v>600</v>
      </c>
      <c r="M85" s="25"/>
      <c r="N85" s="25"/>
      <c r="O85" s="72">
        <v>0</v>
      </c>
      <c r="P85" s="73">
        <v>0</v>
      </c>
      <c r="Q85" s="73">
        <v>0</v>
      </c>
      <c r="R85" s="29"/>
    </row>
    <row r="86" spans="1:18" ht="24.6">
      <c r="A86" s="25">
        <v>2</v>
      </c>
      <c r="B86" s="29" t="s">
        <v>40</v>
      </c>
      <c r="C86" s="29"/>
      <c r="D86" s="49">
        <v>0</v>
      </c>
      <c r="E86" s="25"/>
      <c r="F86" s="25"/>
      <c r="G86" s="49">
        <v>0</v>
      </c>
      <c r="H86" s="49">
        <v>0</v>
      </c>
      <c r="I86" s="49">
        <v>0</v>
      </c>
      <c r="J86" s="69"/>
      <c r="K86" s="70"/>
      <c r="L86" s="83"/>
      <c r="M86" s="25"/>
      <c r="N86" s="25"/>
      <c r="O86" s="72">
        <v>0</v>
      </c>
      <c r="P86" s="73">
        <v>0</v>
      </c>
      <c r="Q86" s="73">
        <v>0</v>
      </c>
      <c r="R86" s="29" t="s">
        <v>126</v>
      </c>
    </row>
    <row r="87" spans="1:18" ht="24.6">
      <c r="A87" s="25"/>
      <c r="B87" s="124" t="s">
        <v>127</v>
      </c>
      <c r="C87" s="29"/>
      <c r="D87" s="49"/>
      <c r="E87" s="25"/>
      <c r="F87" s="25"/>
      <c r="G87" s="49"/>
      <c r="H87" s="29"/>
      <c r="I87" s="49"/>
      <c r="J87" s="26"/>
      <c r="K87" s="16"/>
      <c r="L87" s="118"/>
      <c r="M87" s="25"/>
      <c r="N87" s="25"/>
      <c r="O87" s="72">
        <v>0</v>
      </c>
      <c r="P87" s="49"/>
      <c r="Q87" s="73">
        <v>0</v>
      </c>
      <c r="R87" s="29"/>
    </row>
    <row r="88" spans="1:18" ht="24.6">
      <c r="A88" s="25">
        <v>1</v>
      </c>
      <c r="B88" s="119" t="s">
        <v>128</v>
      </c>
      <c r="C88" s="29"/>
      <c r="D88" s="49"/>
      <c r="E88" s="25"/>
      <c r="F88" s="25"/>
      <c r="G88" s="49">
        <v>0</v>
      </c>
      <c r="H88" s="49">
        <v>0</v>
      </c>
      <c r="I88" s="49">
        <v>0</v>
      </c>
      <c r="J88" s="26"/>
      <c r="K88" s="16"/>
      <c r="L88" s="118"/>
      <c r="M88" s="25"/>
      <c r="N88" s="25"/>
      <c r="O88" s="72">
        <v>0</v>
      </c>
      <c r="P88" s="73">
        <v>0</v>
      </c>
      <c r="Q88" s="73">
        <v>0</v>
      </c>
      <c r="R88" s="29" t="s">
        <v>129</v>
      </c>
    </row>
    <row r="89" spans="1:18" ht="24.6">
      <c r="A89" s="25">
        <v>2</v>
      </c>
      <c r="B89" s="29" t="s">
        <v>130</v>
      </c>
      <c r="C89" s="29"/>
      <c r="D89" s="49">
        <v>550</v>
      </c>
      <c r="E89" s="25"/>
      <c r="F89" s="25"/>
      <c r="G89" s="49">
        <v>0</v>
      </c>
      <c r="H89" s="49">
        <v>0</v>
      </c>
      <c r="I89" s="49">
        <v>0</v>
      </c>
      <c r="J89" s="69">
        <v>25142</v>
      </c>
      <c r="K89" s="70" t="s">
        <v>265</v>
      </c>
      <c r="L89" s="83">
        <v>550</v>
      </c>
      <c r="M89" s="25"/>
      <c r="N89" s="25"/>
      <c r="O89" s="72">
        <v>0</v>
      </c>
      <c r="P89" s="73">
        <v>0</v>
      </c>
      <c r="Q89" s="73">
        <v>0</v>
      </c>
      <c r="R89" s="29"/>
    </row>
    <row r="90" spans="1:18" ht="24.6">
      <c r="A90" s="25">
        <v>3</v>
      </c>
      <c r="B90" s="29" t="s">
        <v>132</v>
      </c>
      <c r="C90" s="29"/>
      <c r="D90" s="49">
        <v>1100</v>
      </c>
      <c r="E90" s="25"/>
      <c r="F90" s="25"/>
      <c r="G90" s="89">
        <v>0</v>
      </c>
      <c r="H90" s="49">
        <v>0</v>
      </c>
      <c r="I90" s="49">
        <v>0</v>
      </c>
      <c r="J90" s="69">
        <v>25142</v>
      </c>
      <c r="K90" s="70" t="s">
        <v>266</v>
      </c>
      <c r="L90" s="83">
        <v>1100</v>
      </c>
      <c r="M90" s="25"/>
      <c r="N90" s="25"/>
      <c r="O90" s="72">
        <v>0</v>
      </c>
      <c r="P90" s="73">
        <v>0</v>
      </c>
      <c r="Q90" s="73">
        <v>0</v>
      </c>
      <c r="R90" s="29"/>
    </row>
    <row r="91" spans="1:18" ht="24.6">
      <c r="A91" s="25">
        <v>4</v>
      </c>
      <c r="B91" s="29" t="s">
        <v>134</v>
      </c>
      <c r="C91" s="29"/>
      <c r="D91" s="49">
        <v>1650</v>
      </c>
      <c r="E91" s="25"/>
      <c r="F91" s="25"/>
      <c r="G91" s="89">
        <v>0</v>
      </c>
      <c r="H91" s="49">
        <v>0</v>
      </c>
      <c r="I91" s="49">
        <v>0</v>
      </c>
      <c r="J91" s="69">
        <v>25142</v>
      </c>
      <c r="K91" s="84" t="s">
        <v>267</v>
      </c>
      <c r="L91" s="83">
        <v>1650</v>
      </c>
      <c r="M91" s="25"/>
      <c r="N91" s="25"/>
      <c r="O91" s="72">
        <v>0</v>
      </c>
      <c r="P91" s="73">
        <v>0</v>
      </c>
      <c r="Q91" s="73">
        <v>0</v>
      </c>
      <c r="R91" s="29"/>
    </row>
    <row r="92" spans="1:18" ht="24.6">
      <c r="A92" s="25"/>
      <c r="B92" s="116" t="s">
        <v>136</v>
      </c>
      <c r="C92" s="29"/>
      <c r="D92" s="49"/>
      <c r="E92" s="25"/>
      <c r="F92" s="25"/>
      <c r="G92" s="89"/>
      <c r="H92" s="29"/>
      <c r="I92" s="49"/>
      <c r="J92" s="69"/>
      <c r="K92" s="70"/>
      <c r="L92" s="83"/>
      <c r="M92" s="25"/>
      <c r="N92" s="25"/>
      <c r="O92" s="72">
        <v>0</v>
      </c>
      <c r="P92" s="49"/>
      <c r="Q92" s="73">
        <v>0</v>
      </c>
      <c r="R92" s="29"/>
    </row>
    <row r="93" spans="1:18" ht="24.6">
      <c r="A93" s="25">
        <v>1</v>
      </c>
      <c r="B93" s="29" t="s">
        <v>137</v>
      </c>
      <c r="C93" s="29"/>
      <c r="D93" s="49">
        <v>5000</v>
      </c>
      <c r="E93" s="25"/>
      <c r="F93" s="25"/>
      <c r="G93" s="89"/>
      <c r="H93" s="49"/>
      <c r="I93" s="49"/>
      <c r="J93" s="69">
        <v>25142</v>
      </c>
      <c r="K93" s="70" t="s">
        <v>268</v>
      </c>
      <c r="L93" s="83">
        <v>5000</v>
      </c>
      <c r="M93" s="68"/>
      <c r="N93" s="25"/>
      <c r="O93" s="72">
        <v>0</v>
      </c>
      <c r="P93" s="73">
        <v>0</v>
      </c>
      <c r="Q93" s="73">
        <v>0</v>
      </c>
      <c r="R93" s="29" t="s">
        <v>139</v>
      </c>
    </row>
    <row r="94" spans="1:18" ht="24.6">
      <c r="A94" s="25"/>
      <c r="B94" s="29"/>
      <c r="C94" s="29"/>
      <c r="D94" s="49"/>
      <c r="E94" s="25"/>
      <c r="F94" s="25"/>
      <c r="G94" s="49"/>
      <c r="H94" s="49"/>
      <c r="I94" s="49"/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/>
      <c r="B95" s="116" t="s">
        <v>140</v>
      </c>
      <c r="C95" s="29"/>
      <c r="D95" s="49"/>
      <c r="E95" s="25"/>
      <c r="F95" s="25"/>
      <c r="G95" s="49"/>
      <c r="H95" s="49"/>
      <c r="I95" s="49"/>
      <c r="J95" s="69"/>
      <c r="K95" s="84"/>
      <c r="L95" s="83"/>
      <c r="M95" s="25"/>
      <c r="N95" s="25"/>
      <c r="O95" s="72">
        <v>0</v>
      </c>
      <c r="P95" s="49"/>
      <c r="Q95" s="73">
        <v>0</v>
      </c>
      <c r="R95" s="29"/>
    </row>
    <row r="96" spans="1:18" ht="24.6">
      <c r="A96" s="25">
        <v>1</v>
      </c>
      <c r="B96" s="29" t="s">
        <v>141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69"/>
      <c r="K96" s="70"/>
      <c r="L96" s="83"/>
      <c r="M96" s="25"/>
      <c r="N96" s="25"/>
      <c r="O96" s="72">
        <v>0</v>
      </c>
      <c r="P96" s="73">
        <v>0</v>
      </c>
      <c r="Q96" s="73">
        <v>0</v>
      </c>
      <c r="R96" s="29"/>
    </row>
    <row r="97" spans="1:18" ht="24.6">
      <c r="A97" s="25"/>
      <c r="B97" s="116" t="s">
        <v>142</v>
      </c>
      <c r="C97" s="29"/>
      <c r="D97" s="49"/>
      <c r="E97" s="25"/>
      <c r="F97" s="25"/>
      <c r="G97" s="49"/>
      <c r="H97" s="29"/>
      <c r="I97" s="49">
        <v>0</v>
      </c>
      <c r="J97" s="69"/>
      <c r="K97" s="70"/>
      <c r="L97" s="83"/>
      <c r="M97" s="25"/>
      <c r="N97" s="25"/>
      <c r="O97" s="72">
        <v>0</v>
      </c>
      <c r="P97" s="49"/>
      <c r="Q97" s="73">
        <v>0</v>
      </c>
      <c r="R97" s="29"/>
    </row>
    <row r="98" spans="1:18" ht="24.6">
      <c r="A98" s="25">
        <v>1</v>
      </c>
      <c r="B98" s="29" t="s">
        <v>143</v>
      </c>
      <c r="C98" s="29"/>
      <c r="D98" s="49">
        <v>0</v>
      </c>
      <c r="E98" s="25"/>
      <c r="F98" s="25"/>
      <c r="G98" s="49">
        <v>0</v>
      </c>
      <c r="H98" s="49">
        <v>0</v>
      </c>
      <c r="I98" s="49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64</v>
      </c>
    </row>
    <row r="99" spans="1:18" ht="24.6">
      <c r="A99" s="25"/>
      <c r="B99" s="29"/>
      <c r="C99" s="29"/>
      <c r="D99" s="49"/>
      <c r="E99" s="25"/>
      <c r="F99" s="25"/>
      <c r="G99" s="49"/>
      <c r="H99" s="49"/>
      <c r="I99" s="49"/>
      <c r="J99" s="26"/>
      <c r="K99" s="16"/>
      <c r="L99" s="118"/>
      <c r="M99" s="25"/>
      <c r="N99" s="25"/>
      <c r="O99" s="72">
        <v>0</v>
      </c>
      <c r="P99" s="49"/>
      <c r="Q99" s="73">
        <v>0</v>
      </c>
      <c r="R99" s="29"/>
    </row>
    <row r="100" spans="1:18" ht="24.6">
      <c r="A100" s="25">
        <v>2</v>
      </c>
      <c r="B100" s="29" t="s">
        <v>144</v>
      </c>
      <c r="C100" s="29"/>
      <c r="D100" s="49">
        <v>0</v>
      </c>
      <c r="E100" s="25"/>
      <c r="F100" s="25"/>
      <c r="G100" s="49">
        <v>0</v>
      </c>
      <c r="H100" s="49">
        <v>0</v>
      </c>
      <c r="I100" s="49">
        <v>0</v>
      </c>
      <c r="J100" s="145"/>
      <c r="K100" s="146"/>
      <c r="L100" s="147"/>
      <c r="M100" s="25"/>
      <c r="N100" s="25"/>
      <c r="O100" s="72">
        <v>0</v>
      </c>
      <c r="P100" s="73">
        <v>0</v>
      </c>
      <c r="Q100" s="73">
        <v>0</v>
      </c>
      <c r="R100" s="29" t="s">
        <v>145</v>
      </c>
    </row>
    <row r="101" spans="1:18" ht="24.6">
      <c r="A101" s="25"/>
      <c r="B101" s="29"/>
      <c r="C101" s="29"/>
      <c r="D101" s="49"/>
      <c r="E101" s="25"/>
      <c r="F101" s="25"/>
      <c r="G101" s="49"/>
      <c r="H101" s="49"/>
      <c r="I101" s="49"/>
      <c r="J101" s="26"/>
      <c r="K101" s="16"/>
      <c r="L101" s="118"/>
      <c r="M101" s="25"/>
      <c r="N101" s="25"/>
      <c r="O101" s="72">
        <v>0</v>
      </c>
      <c r="P101" s="49"/>
      <c r="Q101" s="73">
        <v>0</v>
      </c>
      <c r="R101" s="29"/>
    </row>
    <row r="102" spans="1:18" ht="24.6">
      <c r="A102" s="25">
        <v>3</v>
      </c>
      <c r="B102" s="29" t="s">
        <v>146</v>
      </c>
      <c r="C102" s="29"/>
      <c r="D102" s="49">
        <v>0</v>
      </c>
      <c r="E102" s="25"/>
      <c r="F102" s="25"/>
      <c r="G102" s="52">
        <v>0</v>
      </c>
      <c r="H102" s="49">
        <v>0</v>
      </c>
      <c r="I102" s="49">
        <v>0</v>
      </c>
      <c r="J102" s="69"/>
      <c r="K102" s="70"/>
      <c r="L102" s="83"/>
      <c r="M102" s="25"/>
      <c r="N102" s="25"/>
      <c r="O102" s="72">
        <v>0</v>
      </c>
      <c r="P102" s="73">
        <v>0</v>
      </c>
      <c r="Q102" s="73">
        <v>0</v>
      </c>
      <c r="R102" s="29"/>
    </row>
    <row r="103" spans="1:18" ht="24.6">
      <c r="A103" s="25"/>
      <c r="B103" s="29"/>
      <c r="C103" s="29"/>
      <c r="D103" s="49">
        <v>0</v>
      </c>
      <c r="E103" s="25"/>
      <c r="F103" s="25"/>
      <c r="G103" s="52"/>
      <c r="H103" s="49"/>
      <c r="I103" s="49"/>
      <c r="J103" s="26"/>
      <c r="K103" s="16"/>
      <c r="L103" s="118"/>
      <c r="M103" s="25"/>
      <c r="N103" s="25"/>
      <c r="O103" s="72">
        <v>0</v>
      </c>
      <c r="P103" s="49"/>
      <c r="Q103" s="73">
        <v>0</v>
      </c>
      <c r="R103" s="29"/>
    </row>
    <row r="104" spans="1:18" ht="24.6">
      <c r="A104" s="25">
        <v>4</v>
      </c>
      <c r="B104" s="29" t="s">
        <v>147</v>
      </c>
      <c r="C104" s="29"/>
      <c r="D104" s="49">
        <v>0</v>
      </c>
      <c r="E104" s="25"/>
      <c r="F104" s="25"/>
      <c r="G104" s="72">
        <v>0</v>
      </c>
      <c r="H104" s="73">
        <v>0</v>
      </c>
      <c r="I104" s="73">
        <v>0</v>
      </c>
      <c r="J104" s="69"/>
      <c r="K104" s="70"/>
      <c r="L104" s="83"/>
      <c r="M104" s="25"/>
      <c r="N104" s="25"/>
      <c r="O104" s="72">
        <v>0</v>
      </c>
      <c r="P104" s="73">
        <v>0</v>
      </c>
      <c r="Q104" s="73">
        <v>0</v>
      </c>
      <c r="R104" s="29" t="s">
        <v>148</v>
      </c>
    </row>
    <row r="105" spans="1:18" ht="24.6">
      <c r="A105" s="25">
        <v>5</v>
      </c>
      <c r="B105" s="29" t="s">
        <v>149</v>
      </c>
      <c r="C105" s="29"/>
      <c r="D105" s="49">
        <v>0</v>
      </c>
      <c r="E105" s="25"/>
      <c r="F105" s="25"/>
      <c r="G105" s="72"/>
      <c r="H105" s="73"/>
      <c r="I105" s="73"/>
      <c r="J105" s="69"/>
      <c r="K105" s="70"/>
      <c r="L105" s="83"/>
      <c r="M105" s="25"/>
      <c r="N105" s="25"/>
      <c r="O105" s="72">
        <v>0</v>
      </c>
      <c r="P105" s="73">
        <v>0</v>
      </c>
      <c r="Q105" s="73">
        <v>0</v>
      </c>
      <c r="R105" s="29" t="s">
        <v>150</v>
      </c>
    </row>
    <row r="106" spans="1:18" ht="24.6">
      <c r="A106" s="25">
        <v>6</v>
      </c>
      <c r="B106" s="29" t="s">
        <v>151</v>
      </c>
      <c r="C106" s="29"/>
      <c r="D106" s="49"/>
      <c r="E106" s="25"/>
      <c r="F106" s="25"/>
      <c r="G106" s="72"/>
      <c r="H106" s="73"/>
      <c r="I106" s="73"/>
      <c r="J106" s="69"/>
      <c r="K106" s="70"/>
      <c r="L106" s="83"/>
      <c r="M106" s="25"/>
      <c r="N106" s="25"/>
      <c r="O106" s="72">
        <v>0</v>
      </c>
      <c r="P106" s="73"/>
      <c r="Q106" s="73">
        <v>0</v>
      </c>
      <c r="R106" s="29" t="s">
        <v>152</v>
      </c>
    </row>
    <row r="107" spans="1:18" ht="24.6">
      <c r="A107" s="25">
        <v>7</v>
      </c>
      <c r="B107" s="29" t="s">
        <v>153</v>
      </c>
      <c r="C107" s="29"/>
      <c r="D107" s="49"/>
      <c r="E107" s="25"/>
      <c r="F107" s="25"/>
      <c r="G107" s="72"/>
      <c r="H107" s="73"/>
      <c r="I107" s="73"/>
      <c r="J107" s="69"/>
      <c r="K107" s="70"/>
      <c r="L107" s="83"/>
      <c r="M107" s="25"/>
      <c r="N107" s="25"/>
      <c r="O107" s="72">
        <v>0</v>
      </c>
      <c r="P107" s="73"/>
      <c r="Q107" s="73">
        <v>0</v>
      </c>
      <c r="R107" s="29" t="s">
        <v>64</v>
      </c>
    </row>
    <row r="108" spans="1:18" ht="24.6">
      <c r="A108" s="25">
        <v>8</v>
      </c>
      <c r="B108" s="29" t="s">
        <v>154</v>
      </c>
      <c r="C108" s="29"/>
      <c r="D108" s="49"/>
      <c r="E108" s="25"/>
      <c r="F108" s="25"/>
      <c r="G108" s="72"/>
      <c r="H108" s="73"/>
      <c r="I108" s="73"/>
      <c r="J108" s="69"/>
      <c r="K108" s="70"/>
      <c r="L108" s="83"/>
      <c r="M108" s="25"/>
      <c r="N108" s="25"/>
      <c r="O108" s="72">
        <v>0</v>
      </c>
      <c r="P108" s="73"/>
      <c r="Q108" s="73">
        <v>0</v>
      </c>
      <c r="R108" s="29" t="s">
        <v>155</v>
      </c>
    </row>
    <row r="109" spans="1:18" ht="24.6">
      <c r="A109" s="25">
        <v>9</v>
      </c>
      <c r="B109" s="29" t="s">
        <v>156</v>
      </c>
      <c r="C109" s="29"/>
      <c r="D109" s="49"/>
      <c r="E109" s="25"/>
      <c r="F109" s="25"/>
      <c r="G109" s="72"/>
      <c r="H109" s="73"/>
      <c r="I109" s="73"/>
      <c r="J109" s="69"/>
      <c r="K109" s="70"/>
      <c r="L109" s="83"/>
      <c r="M109" s="25"/>
      <c r="N109" s="25"/>
      <c r="O109" s="72">
        <v>0</v>
      </c>
      <c r="P109" s="73"/>
      <c r="Q109" s="73">
        <v>0</v>
      </c>
      <c r="R109" s="29" t="s">
        <v>64</v>
      </c>
    </row>
    <row r="110" spans="1:18" ht="24.6">
      <c r="A110" s="25">
        <v>10</v>
      </c>
      <c r="B110" s="29" t="s">
        <v>157</v>
      </c>
      <c r="C110" s="29"/>
      <c r="D110" s="49"/>
      <c r="E110" s="25"/>
      <c r="F110" s="25"/>
      <c r="G110" s="72"/>
      <c r="H110" s="73"/>
      <c r="I110" s="73"/>
      <c r="J110" s="69"/>
      <c r="K110" s="70"/>
      <c r="L110" s="83"/>
      <c r="M110" s="25"/>
      <c r="N110" s="25"/>
      <c r="O110" s="72">
        <v>0</v>
      </c>
      <c r="P110" s="73"/>
      <c r="Q110" s="73">
        <v>0</v>
      </c>
      <c r="R110" s="29" t="s">
        <v>158</v>
      </c>
    </row>
    <row r="111" spans="1:18" ht="24.6">
      <c r="A111" s="25">
        <v>11</v>
      </c>
      <c r="B111" s="148" t="s">
        <v>159</v>
      </c>
      <c r="C111" s="29"/>
      <c r="D111" s="49">
        <v>0</v>
      </c>
      <c r="E111" s="25"/>
      <c r="F111" s="25"/>
      <c r="G111" s="72">
        <v>0</v>
      </c>
      <c r="H111" s="73">
        <v>0</v>
      </c>
      <c r="I111" s="73">
        <v>0</v>
      </c>
      <c r="J111" s="69"/>
      <c r="K111" s="83"/>
      <c r="L111" s="83"/>
      <c r="M111" s="25"/>
      <c r="N111" s="25"/>
      <c r="O111" s="72">
        <v>0</v>
      </c>
      <c r="P111" s="73">
        <v>0</v>
      </c>
      <c r="Q111" s="73">
        <v>0</v>
      </c>
      <c r="R111" s="29"/>
    </row>
    <row r="112" spans="1:18" ht="24.6">
      <c r="A112" s="25">
        <v>12</v>
      </c>
      <c r="B112" s="29" t="s">
        <v>160</v>
      </c>
      <c r="C112" s="29"/>
      <c r="D112" s="49">
        <v>0</v>
      </c>
      <c r="E112" s="25"/>
      <c r="F112" s="25"/>
      <c r="G112" s="72">
        <v>0</v>
      </c>
      <c r="H112" s="73">
        <v>0</v>
      </c>
      <c r="I112" s="73">
        <v>0</v>
      </c>
      <c r="J112" s="69"/>
      <c r="K112" s="70"/>
      <c r="L112" s="83"/>
      <c r="M112" s="25"/>
      <c r="N112" s="25"/>
      <c r="O112" s="72">
        <v>0</v>
      </c>
      <c r="P112" s="73">
        <v>0</v>
      </c>
      <c r="Q112" s="73">
        <v>0</v>
      </c>
      <c r="R112" s="149" t="s">
        <v>161</v>
      </c>
    </row>
    <row r="113" spans="1:18" ht="24.6">
      <c r="A113" s="25">
        <v>13</v>
      </c>
      <c r="B113" s="148" t="s">
        <v>162</v>
      </c>
      <c r="C113" s="29"/>
      <c r="D113" s="49">
        <v>0</v>
      </c>
      <c r="E113" s="25"/>
      <c r="F113" s="25"/>
      <c r="G113" s="72">
        <v>0</v>
      </c>
      <c r="H113" s="73">
        <v>0</v>
      </c>
      <c r="I113" s="73">
        <v>0</v>
      </c>
      <c r="J113" s="69"/>
      <c r="K113" s="70"/>
      <c r="L113" s="150"/>
      <c r="M113" s="25"/>
      <c r="N113" s="25"/>
      <c r="O113" s="72">
        <v>0</v>
      </c>
      <c r="P113" s="73">
        <v>0</v>
      </c>
      <c r="Q113" s="73">
        <v>0</v>
      </c>
      <c r="R113" s="29" t="s">
        <v>163</v>
      </c>
    </row>
    <row r="114" spans="1:18" ht="24.6">
      <c r="A114" s="25">
        <v>14</v>
      </c>
      <c r="B114" s="148" t="s">
        <v>164</v>
      </c>
      <c r="C114" s="29"/>
      <c r="D114" s="49">
        <v>0</v>
      </c>
      <c r="E114" s="25"/>
      <c r="F114" s="25"/>
      <c r="G114" s="72">
        <v>0</v>
      </c>
      <c r="H114" s="73">
        <v>0</v>
      </c>
      <c r="I114" s="73">
        <v>0</v>
      </c>
      <c r="J114" s="69"/>
      <c r="K114" s="70"/>
      <c r="L114" s="150"/>
      <c r="M114" s="25"/>
      <c r="N114" s="25"/>
      <c r="O114" s="72">
        <v>0</v>
      </c>
      <c r="P114" s="73">
        <v>0</v>
      </c>
      <c r="Q114" s="73">
        <v>0</v>
      </c>
      <c r="R114" s="29" t="s">
        <v>165</v>
      </c>
    </row>
    <row r="115" spans="1:18" ht="24.6">
      <c r="A115" s="25">
        <v>15</v>
      </c>
      <c r="B115" s="148" t="s">
        <v>166</v>
      </c>
      <c r="C115" s="29"/>
      <c r="D115" s="49">
        <v>0</v>
      </c>
      <c r="E115" s="25"/>
      <c r="F115" s="25"/>
      <c r="G115" s="72">
        <v>0</v>
      </c>
      <c r="H115" s="73">
        <v>0</v>
      </c>
      <c r="I115" s="73">
        <v>0</v>
      </c>
      <c r="J115" s="69"/>
      <c r="K115" s="70"/>
      <c r="L115" s="150"/>
      <c r="M115" s="25"/>
      <c r="N115" s="25"/>
      <c r="O115" s="72">
        <v>0</v>
      </c>
      <c r="P115" s="73">
        <v>0</v>
      </c>
      <c r="Q115" s="73">
        <v>0</v>
      </c>
      <c r="R115" s="29" t="s">
        <v>64</v>
      </c>
    </row>
    <row r="116" spans="1:18" ht="18.75" customHeight="1">
      <c r="A116" s="3">
        <v>16</v>
      </c>
      <c r="B116" s="151" t="s">
        <v>167</v>
      </c>
      <c r="C116" s="29"/>
      <c r="D116" s="49">
        <v>0</v>
      </c>
      <c r="E116" s="25"/>
      <c r="F116" s="25"/>
      <c r="G116" s="72">
        <v>0</v>
      </c>
      <c r="H116" s="73">
        <v>0</v>
      </c>
      <c r="I116" s="73">
        <v>0</v>
      </c>
      <c r="J116" s="69"/>
      <c r="K116" s="70"/>
      <c r="L116" s="150"/>
      <c r="M116" s="25"/>
      <c r="N116" s="25"/>
      <c r="O116" s="72">
        <v>0</v>
      </c>
      <c r="P116" s="73">
        <v>0</v>
      </c>
      <c r="Q116" s="73">
        <v>0</v>
      </c>
      <c r="R116" s="29" t="s">
        <v>145</v>
      </c>
    </row>
    <row r="117" spans="1:18" ht="25.2" thickBot="1">
      <c r="A117" s="29"/>
      <c r="B117" s="25" t="s">
        <v>26</v>
      </c>
      <c r="C117" s="64"/>
      <c r="D117" s="63">
        <f>SUM(D81:D116)</f>
        <v>14900</v>
      </c>
      <c r="E117" s="63"/>
      <c r="F117" s="63"/>
      <c r="G117" s="63">
        <v>0</v>
      </c>
      <c r="H117" s="63">
        <v>0</v>
      </c>
      <c r="I117" s="63">
        <v>0</v>
      </c>
      <c r="J117" s="67"/>
      <c r="K117" s="67"/>
      <c r="L117" s="67">
        <f>SUM(L81:L116)</f>
        <v>14900</v>
      </c>
      <c r="M117" s="63"/>
      <c r="N117" s="105"/>
      <c r="O117" s="106">
        <v>0</v>
      </c>
      <c r="P117" s="63">
        <v>0</v>
      </c>
      <c r="Q117" s="136">
        <v>0</v>
      </c>
      <c r="R117" s="29"/>
    </row>
    <row r="118" spans="1:18" ht="25.2" thickTop="1">
      <c r="A118" s="29"/>
      <c r="B118" s="25"/>
      <c r="C118" s="46"/>
      <c r="D118" s="57"/>
      <c r="E118" s="46"/>
      <c r="F118" s="46"/>
      <c r="G118" s="57"/>
      <c r="H118" s="57"/>
      <c r="I118" s="57"/>
      <c r="J118" s="137"/>
      <c r="K118" s="48"/>
      <c r="L118" s="58"/>
      <c r="M118" s="46"/>
      <c r="N118" s="28"/>
      <c r="O118" s="57"/>
      <c r="P118" s="57"/>
      <c r="Q118" s="57"/>
      <c r="R118" s="46"/>
    </row>
    <row r="119" spans="1:18" ht="24.6">
      <c r="A119" s="29"/>
      <c r="B119" s="45" t="s">
        <v>168</v>
      </c>
      <c r="C119" s="29"/>
      <c r="D119" s="59"/>
      <c r="E119" s="29"/>
      <c r="F119" s="29"/>
      <c r="G119" s="59"/>
      <c r="H119" s="59"/>
      <c r="I119" s="59"/>
      <c r="J119" s="26"/>
      <c r="K119" s="61"/>
      <c r="L119" s="62"/>
      <c r="M119" s="29"/>
      <c r="N119" s="25"/>
      <c r="O119" s="59"/>
      <c r="P119" s="59"/>
      <c r="Q119" s="59"/>
      <c r="R119" s="46"/>
    </row>
    <row r="120" spans="1:18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18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18" ht="25.2" thickTop="1">
      <c r="A122" s="29"/>
      <c r="B122" s="45" t="s">
        <v>169</v>
      </c>
      <c r="C122" s="46"/>
      <c r="D122" s="57"/>
      <c r="E122" s="46"/>
      <c r="F122" s="46"/>
      <c r="G122" s="57"/>
      <c r="H122" s="57"/>
      <c r="I122" s="57"/>
      <c r="J122" s="137"/>
      <c r="K122" s="48"/>
      <c r="L122" s="58"/>
      <c r="M122" s="46"/>
      <c r="N122" s="28"/>
      <c r="O122" s="57"/>
      <c r="P122" s="57"/>
      <c r="Q122" s="57"/>
      <c r="R122" s="46"/>
    </row>
    <row r="123" spans="1:18" ht="25.2" thickBot="1">
      <c r="A123" s="25">
        <v>1</v>
      </c>
      <c r="B123" s="25"/>
      <c r="C123" s="74"/>
      <c r="D123" s="78"/>
      <c r="E123" s="74"/>
      <c r="F123" s="74"/>
      <c r="G123" s="78"/>
      <c r="H123" s="78"/>
      <c r="I123" s="78"/>
      <c r="J123" s="35"/>
      <c r="K123" s="76"/>
      <c r="L123" s="77"/>
      <c r="M123" s="74"/>
      <c r="N123" s="34"/>
      <c r="O123" s="78"/>
      <c r="P123" s="78"/>
      <c r="Q123" s="78"/>
      <c r="R123" s="46"/>
    </row>
    <row r="124" spans="1:18" ht="25.8" thickTop="1" thickBot="1">
      <c r="A124" s="29"/>
      <c r="B124" s="25" t="s">
        <v>26</v>
      </c>
      <c r="C124" s="79"/>
      <c r="D124" s="54"/>
      <c r="E124" s="79"/>
      <c r="F124" s="79"/>
      <c r="G124" s="54"/>
      <c r="H124" s="54"/>
      <c r="I124" s="54"/>
      <c r="J124" s="152"/>
      <c r="K124" s="81"/>
      <c r="L124" s="55"/>
      <c r="M124" s="79"/>
      <c r="N124" s="82"/>
      <c r="O124" s="54"/>
      <c r="P124" s="54"/>
      <c r="Q124" s="54"/>
      <c r="R124" s="46"/>
    </row>
    <row r="125" spans="1:18" ht="25.2" thickTop="1">
      <c r="A125" s="29"/>
      <c r="B125" s="45" t="s">
        <v>170</v>
      </c>
      <c r="C125" s="46"/>
      <c r="D125" s="57"/>
      <c r="E125" s="46"/>
      <c r="F125" s="46"/>
      <c r="G125" s="57"/>
      <c r="H125" s="57"/>
      <c r="I125" s="57"/>
      <c r="J125" s="137"/>
      <c r="K125" s="48"/>
      <c r="L125" s="58"/>
      <c r="M125" s="46"/>
      <c r="N125" s="28"/>
      <c r="O125" s="57"/>
      <c r="P125" s="57"/>
      <c r="Q125" s="57"/>
      <c r="R125" s="46"/>
    </row>
    <row r="126" spans="1:18" ht="25.2" thickBot="1">
      <c r="A126" s="25">
        <v>1</v>
      </c>
      <c r="B126" s="25"/>
      <c r="C126" s="74"/>
      <c r="D126" s="78"/>
      <c r="E126" s="74"/>
      <c r="F126" s="74"/>
      <c r="G126" s="78"/>
      <c r="H126" s="78"/>
      <c r="I126" s="78"/>
      <c r="J126" s="35"/>
      <c r="K126" s="76"/>
      <c r="L126" s="77"/>
      <c r="M126" s="74"/>
      <c r="N126" s="34"/>
      <c r="O126" s="78"/>
      <c r="P126" s="78"/>
      <c r="Q126" s="78"/>
      <c r="R126" s="46"/>
    </row>
    <row r="127" spans="1:18" ht="25.8" thickTop="1" thickBot="1">
      <c r="A127" s="29"/>
      <c r="B127" s="25" t="s">
        <v>26</v>
      </c>
      <c r="C127" s="64"/>
      <c r="D127" s="63"/>
      <c r="E127" s="64"/>
      <c r="F127" s="64"/>
      <c r="G127" s="63"/>
      <c r="H127" s="63"/>
      <c r="I127" s="63"/>
      <c r="J127" s="42"/>
      <c r="K127" s="66"/>
      <c r="L127" s="67"/>
      <c r="M127" s="64"/>
      <c r="N127" s="41"/>
      <c r="O127" s="63"/>
      <c r="P127" s="63"/>
      <c r="Q127" s="63"/>
      <c r="R127" s="46"/>
    </row>
    <row r="128" spans="1:18" ht="25.2" thickTop="1">
      <c r="A128" s="29"/>
      <c r="B128" s="116" t="s">
        <v>171</v>
      </c>
      <c r="C128" s="46"/>
      <c r="D128" s="46"/>
      <c r="E128" s="46"/>
      <c r="F128" s="46"/>
      <c r="G128" s="46"/>
      <c r="H128" s="46"/>
      <c r="I128" s="46"/>
      <c r="J128" s="137"/>
      <c r="K128" s="48"/>
      <c r="L128" s="48"/>
      <c r="M128" s="46"/>
      <c r="N128" s="28"/>
      <c r="O128" s="46"/>
      <c r="P128" s="46"/>
      <c r="Q128" s="46"/>
      <c r="R128" s="46"/>
    </row>
    <row r="129" spans="1:20" ht="24.6">
      <c r="A129" s="29"/>
      <c r="B129" s="116" t="s">
        <v>53</v>
      </c>
      <c r="C129" s="46"/>
      <c r="D129" s="46"/>
      <c r="E129" s="46"/>
      <c r="F129" s="46"/>
      <c r="G129" s="46"/>
      <c r="H129" s="46"/>
      <c r="I129" s="46"/>
      <c r="J129" s="137"/>
      <c r="K129" s="48"/>
      <c r="L129" s="48"/>
      <c r="M129" s="46"/>
      <c r="N129" s="28"/>
      <c r="O129" s="46"/>
      <c r="P129" s="46"/>
      <c r="Q129" s="46"/>
      <c r="R129" s="46"/>
    </row>
    <row r="130" spans="1:20" s="96" customFormat="1" ht="24.6">
      <c r="A130" s="86">
        <v>1</v>
      </c>
      <c r="B130" s="87" t="s">
        <v>54</v>
      </c>
      <c r="C130" s="87"/>
      <c r="D130" s="89">
        <v>0</v>
      </c>
      <c r="E130" s="87"/>
      <c r="F130" s="87" t="s">
        <v>172</v>
      </c>
      <c r="G130" s="89">
        <v>0</v>
      </c>
      <c r="H130" s="89">
        <v>0</v>
      </c>
      <c r="I130" s="89">
        <v>0</v>
      </c>
      <c r="J130" s="153"/>
      <c r="K130" s="154"/>
      <c r="L130" s="155"/>
      <c r="M130" s="87"/>
      <c r="N130" s="86" t="s">
        <v>172</v>
      </c>
      <c r="O130" s="72">
        <v>0</v>
      </c>
      <c r="P130" s="73">
        <v>0</v>
      </c>
      <c r="Q130" s="73">
        <v>0</v>
      </c>
      <c r="R130" s="87" t="s">
        <v>173</v>
      </c>
      <c r="T130" s="97"/>
    </row>
    <row r="131" spans="1:20" ht="24.6">
      <c r="A131" s="25">
        <v>2</v>
      </c>
      <c r="B131" s="29" t="s">
        <v>174</v>
      </c>
      <c r="C131" s="29"/>
      <c r="D131" s="49">
        <v>0</v>
      </c>
      <c r="E131" s="29"/>
      <c r="F131" s="156"/>
      <c r="G131" s="157">
        <v>0</v>
      </c>
      <c r="H131" s="157">
        <v>0</v>
      </c>
      <c r="I131" s="157">
        <v>0</v>
      </c>
      <c r="J131" s="26"/>
      <c r="K131" s="16"/>
      <c r="L131" s="51"/>
      <c r="M131" s="29"/>
      <c r="N131" s="25"/>
      <c r="O131" s="72">
        <v>0</v>
      </c>
      <c r="P131" s="73">
        <v>0</v>
      </c>
      <c r="Q131" s="73">
        <v>0</v>
      </c>
      <c r="R131" s="29" t="s">
        <v>173</v>
      </c>
    </row>
    <row r="132" spans="1:20" ht="24.6">
      <c r="A132" s="25">
        <v>3</v>
      </c>
      <c r="B132" s="29" t="s">
        <v>175</v>
      </c>
      <c r="C132" s="29"/>
      <c r="D132" s="49">
        <v>0</v>
      </c>
      <c r="E132" s="29"/>
      <c r="F132" s="29"/>
      <c r="G132" s="49">
        <v>0</v>
      </c>
      <c r="H132" s="49">
        <v>0</v>
      </c>
      <c r="I132" s="49">
        <v>0</v>
      </c>
      <c r="J132" s="26"/>
      <c r="K132" s="61"/>
      <c r="L132" s="51"/>
      <c r="M132" s="29"/>
      <c r="N132" s="25"/>
      <c r="O132" s="72">
        <v>0</v>
      </c>
      <c r="P132" s="73">
        <v>0</v>
      </c>
      <c r="Q132" s="73">
        <v>0</v>
      </c>
      <c r="R132" s="29" t="s">
        <v>176</v>
      </c>
    </row>
    <row r="133" spans="1:20" ht="24.6">
      <c r="A133" s="25"/>
      <c r="B133" s="29" t="s">
        <v>177</v>
      </c>
      <c r="C133" s="29"/>
      <c r="D133" s="49"/>
      <c r="E133" s="29"/>
      <c r="F133" s="29"/>
      <c r="G133" s="49">
        <v>0</v>
      </c>
      <c r="H133" s="49">
        <v>0</v>
      </c>
      <c r="I133" s="49">
        <v>0</v>
      </c>
      <c r="J133" s="26"/>
      <c r="K133" s="61"/>
      <c r="L133" s="51"/>
      <c r="M133" s="29"/>
      <c r="N133" s="25"/>
      <c r="O133" s="72">
        <v>0</v>
      </c>
      <c r="P133" s="73">
        <v>0</v>
      </c>
      <c r="Q133" s="73">
        <v>0</v>
      </c>
      <c r="R133" s="29" t="s">
        <v>178</v>
      </c>
    </row>
    <row r="134" spans="1:20" ht="24.6">
      <c r="A134" s="25"/>
      <c r="B134" s="29"/>
      <c r="C134" s="29"/>
      <c r="D134" s="49"/>
      <c r="E134" s="29"/>
      <c r="F134" s="29"/>
      <c r="G134" s="49"/>
      <c r="H134" s="49"/>
      <c r="I134" s="49"/>
      <c r="J134" s="26"/>
      <c r="K134" s="61"/>
      <c r="L134" s="51"/>
      <c r="M134" s="29"/>
      <c r="N134" s="25"/>
      <c r="O134" s="72"/>
      <c r="P134" s="73"/>
      <c r="Q134" s="73"/>
      <c r="R134" s="29" t="s">
        <v>179</v>
      </c>
    </row>
    <row r="135" spans="1:20" ht="24.6">
      <c r="A135" s="25">
        <v>4</v>
      </c>
      <c r="B135" s="29" t="s">
        <v>62</v>
      </c>
      <c r="C135" s="29"/>
      <c r="D135" s="49">
        <v>0</v>
      </c>
      <c r="E135" s="29"/>
      <c r="F135" s="29"/>
      <c r="G135" s="49">
        <v>0</v>
      </c>
      <c r="H135" s="49">
        <v>0</v>
      </c>
      <c r="I135" s="49">
        <v>0</v>
      </c>
      <c r="J135" s="26"/>
      <c r="K135" s="16"/>
      <c r="L135" s="51"/>
      <c r="M135" s="29"/>
      <c r="N135" s="25"/>
      <c r="O135" s="72">
        <v>0</v>
      </c>
      <c r="P135" s="73">
        <v>0</v>
      </c>
      <c r="Q135" s="73">
        <v>0</v>
      </c>
      <c r="R135" s="29"/>
    </row>
    <row r="136" spans="1:20" ht="24.6">
      <c r="A136" s="25">
        <v>5</v>
      </c>
      <c r="B136" s="29" t="s">
        <v>180</v>
      </c>
      <c r="C136" s="29"/>
      <c r="D136" s="49">
        <v>0</v>
      </c>
      <c r="E136" s="29"/>
      <c r="F136" s="29" t="s">
        <v>172</v>
      </c>
      <c r="G136" s="49">
        <v>0</v>
      </c>
      <c r="H136" s="49">
        <v>0</v>
      </c>
      <c r="I136" s="49">
        <v>0</v>
      </c>
      <c r="J136" s="26"/>
      <c r="K136" s="61"/>
      <c r="L136" s="51"/>
      <c r="M136" s="29"/>
      <c r="N136" s="25" t="s">
        <v>172</v>
      </c>
      <c r="O136" s="72">
        <v>0</v>
      </c>
      <c r="P136" s="73">
        <v>0</v>
      </c>
      <c r="Q136" s="73">
        <v>0</v>
      </c>
      <c r="R136" s="29" t="s">
        <v>176</v>
      </c>
    </row>
    <row r="137" spans="1:20" ht="24.6">
      <c r="A137" s="25"/>
      <c r="B137" s="29" t="s">
        <v>181</v>
      </c>
      <c r="C137" s="29"/>
      <c r="D137" s="49"/>
      <c r="E137" s="29"/>
      <c r="F137" s="29"/>
      <c r="G137" s="49"/>
      <c r="H137" s="49"/>
      <c r="I137" s="49"/>
      <c r="J137" s="26"/>
      <c r="K137" s="61"/>
      <c r="L137" s="51"/>
      <c r="M137" s="29"/>
      <c r="N137" s="25"/>
      <c r="O137" s="59"/>
      <c r="P137" s="49"/>
      <c r="Q137" s="59"/>
      <c r="R137" s="29" t="s">
        <v>178</v>
      </c>
    </row>
    <row r="138" spans="1:20" ht="24.6">
      <c r="A138" s="25"/>
      <c r="B138" s="29"/>
      <c r="C138" s="29"/>
      <c r="D138" s="49"/>
      <c r="E138" s="29"/>
      <c r="F138" s="29"/>
      <c r="G138" s="49"/>
      <c r="H138" s="49"/>
      <c r="I138" s="49"/>
      <c r="J138" s="26"/>
      <c r="K138" s="61"/>
      <c r="L138" s="51"/>
      <c r="M138" s="29"/>
      <c r="N138" s="25"/>
      <c r="O138" s="59"/>
      <c r="P138" s="49"/>
      <c r="Q138" s="59"/>
      <c r="R138" s="29" t="s">
        <v>179</v>
      </c>
    </row>
    <row r="139" spans="1:20" ht="24.6">
      <c r="A139" s="25"/>
      <c r="B139" s="29"/>
      <c r="C139" s="29"/>
      <c r="D139" s="49"/>
      <c r="E139" s="29"/>
      <c r="F139" s="29"/>
      <c r="G139" s="49"/>
      <c r="H139" s="49"/>
      <c r="I139" s="49"/>
      <c r="J139" s="26"/>
      <c r="K139" s="61"/>
      <c r="L139" s="51"/>
      <c r="M139" s="29"/>
      <c r="N139" s="25"/>
      <c r="O139" s="59"/>
      <c r="P139" s="49"/>
      <c r="Q139" s="59"/>
      <c r="R139" s="29" t="s">
        <v>182</v>
      </c>
    </row>
    <row r="140" spans="1:20" ht="24.6">
      <c r="A140" s="25">
        <v>6</v>
      </c>
      <c r="B140" s="29" t="s">
        <v>183</v>
      </c>
      <c r="C140" s="29"/>
      <c r="D140" s="158" t="s">
        <v>172</v>
      </c>
      <c r="E140" s="29"/>
      <c r="F140" s="29"/>
      <c r="G140" s="49">
        <v>0</v>
      </c>
      <c r="H140" s="49">
        <v>0</v>
      </c>
      <c r="I140" s="49">
        <v>0</v>
      </c>
      <c r="J140" s="26"/>
      <c r="K140" s="61"/>
      <c r="L140" s="51"/>
      <c r="M140" s="29"/>
      <c r="N140" s="25"/>
      <c r="O140" s="159">
        <v>0</v>
      </c>
      <c r="P140" s="73">
        <v>0</v>
      </c>
      <c r="Q140" s="73">
        <v>0</v>
      </c>
      <c r="R140" s="29" t="s">
        <v>184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185</v>
      </c>
    </row>
    <row r="142" spans="1:20" ht="24.6">
      <c r="A142" s="25"/>
      <c r="B142" s="29"/>
      <c r="C142" s="29"/>
      <c r="D142" s="49"/>
      <c r="E142" s="29"/>
      <c r="F142" s="29"/>
      <c r="G142" s="49"/>
      <c r="H142" s="49"/>
      <c r="I142" s="49"/>
      <c r="J142" s="26"/>
      <c r="K142" s="61"/>
      <c r="L142" s="51"/>
      <c r="M142" s="29"/>
      <c r="N142" s="25"/>
      <c r="O142" s="59"/>
      <c r="P142" s="49"/>
      <c r="Q142" s="59"/>
      <c r="R142" s="29" t="s">
        <v>186</v>
      </c>
    </row>
    <row r="143" spans="1:20" ht="24.6">
      <c r="A143" s="25">
        <v>7</v>
      </c>
      <c r="B143" s="29" t="s">
        <v>70</v>
      </c>
      <c r="C143" s="29"/>
      <c r="D143" s="49">
        <v>0</v>
      </c>
      <c r="E143" s="29"/>
      <c r="F143" s="29"/>
      <c r="G143" s="49">
        <v>0</v>
      </c>
      <c r="H143" s="49">
        <v>0</v>
      </c>
      <c r="I143" s="49">
        <v>0</v>
      </c>
      <c r="J143" s="26"/>
      <c r="K143" s="16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187</v>
      </c>
    </row>
    <row r="144" spans="1:20" ht="24.6">
      <c r="A144" s="25">
        <v>8</v>
      </c>
      <c r="B144" s="29" t="s">
        <v>188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 t="s">
        <v>187</v>
      </c>
    </row>
    <row r="145" spans="1:20" ht="24.6">
      <c r="A145" s="25">
        <v>9</v>
      </c>
      <c r="B145" s="29" t="s">
        <v>189</v>
      </c>
      <c r="C145" s="29"/>
      <c r="D145" s="49">
        <v>0</v>
      </c>
      <c r="E145" s="29"/>
      <c r="F145" s="29"/>
      <c r="G145" s="49">
        <v>0</v>
      </c>
      <c r="H145" s="49">
        <v>0</v>
      </c>
      <c r="I145" s="49">
        <v>0</v>
      </c>
      <c r="J145" s="26"/>
      <c r="K145" s="61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190</v>
      </c>
      <c r="T145" s="2" t="s">
        <v>191</v>
      </c>
    </row>
    <row r="146" spans="1:20" ht="24.6">
      <c r="A146" s="25"/>
      <c r="B146" s="29"/>
      <c r="C146" s="29"/>
      <c r="D146" s="49"/>
      <c r="E146" s="29"/>
      <c r="F146" s="29"/>
      <c r="G146" s="49"/>
      <c r="H146" s="49"/>
      <c r="I146" s="49"/>
      <c r="J146" s="26"/>
      <c r="K146" s="61"/>
      <c r="L146" s="51"/>
      <c r="M146" s="29"/>
      <c r="N146" s="25"/>
      <c r="O146" s="59"/>
      <c r="P146" s="49"/>
      <c r="Q146" s="59"/>
      <c r="R146" s="29" t="s">
        <v>192</v>
      </c>
    </row>
    <row r="147" spans="1:20" ht="24.6">
      <c r="A147" s="25"/>
      <c r="B147" s="29"/>
      <c r="C147" s="29"/>
      <c r="D147" s="49"/>
      <c r="E147" s="29"/>
      <c r="F147" s="29"/>
      <c r="G147" s="49"/>
      <c r="H147" s="49"/>
      <c r="I147" s="49"/>
      <c r="J147" s="26"/>
      <c r="K147" s="61"/>
      <c r="L147" s="51"/>
      <c r="M147" s="29"/>
      <c r="N147" s="25"/>
      <c r="O147" s="59"/>
      <c r="P147" s="49"/>
      <c r="Q147" s="59"/>
      <c r="R147" s="29" t="s">
        <v>187</v>
      </c>
    </row>
    <row r="148" spans="1:20" ht="24.6">
      <c r="A148" s="25">
        <v>10</v>
      </c>
      <c r="B148" s="29" t="s">
        <v>193</v>
      </c>
      <c r="C148" s="29"/>
      <c r="D148" s="49">
        <v>0</v>
      </c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194</v>
      </c>
    </row>
    <row r="149" spans="1:20" ht="24.6">
      <c r="A149" s="25">
        <v>11</v>
      </c>
      <c r="B149" s="29" t="s">
        <v>78</v>
      </c>
      <c r="C149" s="29"/>
      <c r="D149" s="49"/>
      <c r="E149" s="29"/>
      <c r="F149" s="29"/>
      <c r="G149" s="49">
        <v>0</v>
      </c>
      <c r="H149" s="49">
        <v>0</v>
      </c>
      <c r="I149" s="49">
        <v>0</v>
      </c>
      <c r="J149" s="160"/>
      <c r="K149" s="50"/>
      <c r="L149" s="51"/>
      <c r="M149" s="29"/>
      <c r="N149" s="25"/>
      <c r="O149" s="72">
        <v>0</v>
      </c>
      <c r="P149" s="73">
        <v>0</v>
      </c>
      <c r="Q149" s="73">
        <v>0</v>
      </c>
      <c r="R149" s="29" t="s">
        <v>195</v>
      </c>
    </row>
    <row r="150" spans="1:20" ht="24.6">
      <c r="A150" s="25">
        <v>12</v>
      </c>
      <c r="B150" s="29" t="s">
        <v>196</v>
      </c>
      <c r="C150" s="29"/>
      <c r="D150" s="49">
        <v>0</v>
      </c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20" ht="24.6">
      <c r="A151" s="25">
        <v>13</v>
      </c>
      <c r="B151" s="29" t="s">
        <v>83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50"/>
      <c r="L151" s="51"/>
      <c r="M151" s="29"/>
      <c r="N151" s="25"/>
      <c r="O151" s="72">
        <v>0</v>
      </c>
      <c r="P151" s="73">
        <v>0</v>
      </c>
      <c r="Q151" s="73">
        <v>0</v>
      </c>
      <c r="R151" s="29" t="s">
        <v>195</v>
      </c>
    </row>
    <row r="152" spans="1:20" ht="24.6">
      <c r="A152" s="25">
        <v>14</v>
      </c>
      <c r="B152" s="29" t="s">
        <v>85</v>
      </c>
      <c r="C152" s="29"/>
      <c r="D152" s="49">
        <v>0</v>
      </c>
      <c r="E152" s="29"/>
      <c r="F152" s="29" t="s">
        <v>172</v>
      </c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 t="s">
        <v>172</v>
      </c>
      <c r="O152" s="72">
        <v>0</v>
      </c>
      <c r="P152" s="73">
        <v>0</v>
      </c>
      <c r="Q152" s="73">
        <v>0</v>
      </c>
      <c r="R152" s="29"/>
    </row>
    <row r="153" spans="1:20" ht="24.6">
      <c r="A153" s="25">
        <v>15</v>
      </c>
      <c r="B153" s="29" t="s">
        <v>197</v>
      </c>
      <c r="C153" s="29"/>
      <c r="D153" s="49">
        <v>0</v>
      </c>
      <c r="E153" s="29"/>
      <c r="F153" s="29"/>
      <c r="G153" s="49">
        <v>0</v>
      </c>
      <c r="H153" s="49">
        <v>0</v>
      </c>
      <c r="I153" s="49">
        <v>0</v>
      </c>
      <c r="J153" s="26"/>
      <c r="K153" s="61"/>
      <c r="L153" s="51"/>
      <c r="M153" s="29"/>
      <c r="N153" s="25"/>
      <c r="O153" s="72">
        <v>0</v>
      </c>
      <c r="P153" s="73">
        <v>0</v>
      </c>
      <c r="Q153" s="73">
        <v>0</v>
      </c>
      <c r="R153" s="29" t="s">
        <v>198</v>
      </c>
    </row>
    <row r="154" spans="1:20" ht="24.6">
      <c r="A154" s="25">
        <v>16</v>
      </c>
      <c r="B154" s="29" t="s">
        <v>199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200</v>
      </c>
    </row>
    <row r="155" spans="1:20" ht="24.6">
      <c r="A155" s="25"/>
      <c r="B155" s="116" t="s">
        <v>89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20" ht="24" customHeight="1">
      <c r="A156" s="25">
        <v>16</v>
      </c>
      <c r="B156" s="29" t="s">
        <v>62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20" ht="22.5" customHeight="1">
      <c r="A157" s="25">
        <v>17</v>
      </c>
      <c r="B157" s="25" t="s">
        <v>57</v>
      </c>
      <c r="C157" s="29"/>
      <c r="D157" s="49"/>
      <c r="E157" s="29"/>
      <c r="F157" s="29"/>
      <c r="G157" s="49">
        <v>0</v>
      </c>
      <c r="H157" s="49">
        <v>0</v>
      </c>
      <c r="I157" s="49">
        <v>0</v>
      </c>
      <c r="J157" s="26"/>
      <c r="K157" s="16"/>
      <c r="L157" s="51"/>
      <c r="M157" s="29"/>
      <c r="N157" s="25"/>
      <c r="O157" s="72">
        <v>0</v>
      </c>
      <c r="P157" s="73">
        <v>0</v>
      </c>
      <c r="Q157" s="73">
        <v>0</v>
      </c>
      <c r="R157" s="29"/>
    </row>
    <row r="158" spans="1:20" ht="22.5" customHeight="1">
      <c r="A158" s="25">
        <v>18</v>
      </c>
      <c r="B158" s="29" t="s">
        <v>93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59">
        <v>0</v>
      </c>
      <c r="P158" s="49">
        <v>0</v>
      </c>
      <c r="Q158" s="59">
        <v>0</v>
      </c>
      <c r="R158" s="29" t="s">
        <v>201</v>
      </c>
    </row>
    <row r="159" spans="1:20" ht="24.6">
      <c r="A159" s="25"/>
      <c r="B159" s="29"/>
      <c r="C159" s="29"/>
      <c r="D159" s="49"/>
      <c r="E159" s="29"/>
      <c r="F159" s="29"/>
      <c r="G159" s="49"/>
      <c r="H159" s="49"/>
      <c r="I159" s="49"/>
      <c r="J159" s="26"/>
      <c r="K159" s="61"/>
      <c r="L159" s="51"/>
      <c r="M159" s="29"/>
      <c r="N159" s="25"/>
      <c r="O159" s="59"/>
      <c r="P159" s="49"/>
      <c r="Q159" s="59"/>
      <c r="R159" s="29" t="s">
        <v>202</v>
      </c>
    </row>
    <row r="160" spans="1:20" ht="24.6">
      <c r="A160" s="25">
        <v>19</v>
      </c>
      <c r="B160" s="25" t="s">
        <v>57</v>
      </c>
      <c r="C160" s="29"/>
      <c r="D160" s="49"/>
      <c r="E160" s="29"/>
      <c r="F160" s="29"/>
      <c r="G160" s="49"/>
      <c r="H160" s="49"/>
      <c r="I160" s="49"/>
      <c r="J160" s="26"/>
      <c r="K160" s="61"/>
      <c r="L160" s="51"/>
      <c r="M160" s="29"/>
      <c r="N160" s="25"/>
      <c r="O160" s="59"/>
      <c r="P160" s="49"/>
      <c r="Q160" s="59"/>
      <c r="R160" s="29"/>
    </row>
    <row r="161" spans="1:18" ht="24.6">
      <c r="A161" s="25">
        <v>20</v>
      </c>
      <c r="B161" s="29" t="s">
        <v>40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203</v>
      </c>
    </row>
    <row r="162" spans="1:18" ht="24.6">
      <c r="A162" s="28"/>
      <c r="B162" s="124" t="s">
        <v>97</v>
      </c>
      <c r="C162" s="29"/>
      <c r="D162" s="49"/>
      <c r="E162" s="29"/>
      <c r="F162" s="29"/>
      <c r="G162" s="49"/>
      <c r="H162" s="49"/>
      <c r="I162" s="49"/>
      <c r="J162" s="26"/>
      <c r="K162" s="61"/>
      <c r="L162" s="51"/>
      <c r="M162" s="29"/>
      <c r="N162" s="25"/>
      <c r="O162" s="59"/>
      <c r="P162" s="49"/>
      <c r="Q162" s="59"/>
      <c r="R162" s="29"/>
    </row>
    <row r="163" spans="1:18" ht="24.6">
      <c r="A163" s="28">
        <v>21</v>
      </c>
      <c r="B163" s="119" t="s">
        <v>98</v>
      </c>
      <c r="C163" s="29"/>
      <c r="D163" s="49"/>
      <c r="E163" s="29"/>
      <c r="F163" s="29"/>
      <c r="G163" s="49">
        <v>0</v>
      </c>
      <c r="H163" s="49">
        <v>0</v>
      </c>
      <c r="I163" s="49">
        <v>0</v>
      </c>
      <c r="J163" s="26"/>
      <c r="K163" s="16"/>
      <c r="L163" s="51"/>
      <c r="M163" s="29"/>
      <c r="N163" s="25"/>
      <c r="O163" s="72">
        <v>0</v>
      </c>
      <c r="P163" s="73">
        <v>0</v>
      </c>
      <c r="Q163" s="73">
        <v>0</v>
      </c>
      <c r="R163" s="29"/>
    </row>
    <row r="164" spans="1:18" ht="24.6">
      <c r="A164" s="28"/>
      <c r="B164" s="161" t="s">
        <v>204</v>
      </c>
      <c r="C164" s="29"/>
      <c r="D164" s="49"/>
      <c r="E164" s="29"/>
      <c r="F164" s="29"/>
      <c r="G164" s="49"/>
      <c r="H164" s="49"/>
      <c r="I164" s="49"/>
      <c r="J164" s="26"/>
      <c r="K164" s="61"/>
      <c r="L164" s="51"/>
      <c r="M164" s="29"/>
      <c r="N164" s="25"/>
      <c r="O164" s="59"/>
      <c r="P164" s="49"/>
      <c r="Q164" s="59"/>
      <c r="R164" s="29"/>
    </row>
    <row r="165" spans="1:18" ht="24.6">
      <c r="A165" s="28">
        <v>1</v>
      </c>
      <c r="B165" s="46" t="s">
        <v>166</v>
      </c>
      <c r="C165" s="29"/>
      <c r="D165" s="49"/>
      <c r="E165" s="29"/>
      <c r="F165" s="29"/>
      <c r="G165" s="49">
        <v>0</v>
      </c>
      <c r="H165" s="49">
        <v>0</v>
      </c>
      <c r="I165" s="49">
        <v>0</v>
      </c>
      <c r="J165" s="26"/>
      <c r="K165" s="61"/>
      <c r="L165" s="51"/>
      <c r="M165" s="29"/>
      <c r="N165" s="25"/>
      <c r="O165" s="72">
        <v>0</v>
      </c>
      <c r="P165" s="73">
        <v>0</v>
      </c>
      <c r="Q165" s="73">
        <v>0</v>
      </c>
      <c r="R165" s="29"/>
    </row>
    <row r="166" spans="1:18" ht="24.6">
      <c r="A166" s="28">
        <v>2</v>
      </c>
      <c r="B166" s="46" t="s">
        <v>167</v>
      </c>
      <c r="C166" s="29"/>
      <c r="D166" s="49"/>
      <c r="E166" s="29"/>
      <c r="F166" s="29"/>
      <c r="G166" s="49">
        <v>0</v>
      </c>
      <c r="H166" s="49">
        <v>0</v>
      </c>
      <c r="I166" s="49">
        <v>0</v>
      </c>
      <c r="J166" s="26"/>
      <c r="K166" s="61"/>
      <c r="L166" s="51"/>
      <c r="M166" s="29"/>
      <c r="N166" s="25"/>
      <c r="O166" s="72">
        <v>0</v>
      </c>
      <c r="P166" s="73">
        <v>0</v>
      </c>
      <c r="Q166" s="73">
        <v>0</v>
      </c>
      <c r="R166" s="29"/>
    </row>
    <row r="167" spans="1:18" ht="24.6">
      <c r="A167" s="28"/>
      <c r="B167" s="161" t="s">
        <v>205</v>
      </c>
      <c r="C167" s="109"/>
      <c r="D167" s="162"/>
      <c r="E167" s="109"/>
      <c r="F167" s="109"/>
      <c r="G167" s="162"/>
      <c r="H167" s="162"/>
      <c r="I167" s="162"/>
      <c r="J167" s="163"/>
      <c r="K167" s="113"/>
      <c r="L167" s="164"/>
      <c r="M167" s="109"/>
      <c r="N167" s="115"/>
      <c r="O167" s="59"/>
      <c r="P167" s="162"/>
      <c r="Q167" s="111"/>
      <c r="R167" s="29"/>
    </row>
    <row r="168" spans="1:18" ht="24.6">
      <c r="A168" s="28">
        <v>1</v>
      </c>
      <c r="B168" s="46" t="s">
        <v>32</v>
      </c>
      <c r="C168" s="29"/>
      <c r="D168" s="49"/>
      <c r="E168" s="29"/>
      <c r="F168" s="29"/>
      <c r="G168" s="49">
        <v>0</v>
      </c>
      <c r="H168" s="49">
        <v>0</v>
      </c>
      <c r="I168" s="49">
        <v>0</v>
      </c>
      <c r="J168" s="26"/>
      <c r="K168" s="61"/>
      <c r="L168" s="51"/>
      <c r="M168" s="29"/>
      <c r="N168" s="25"/>
      <c r="O168" s="72">
        <v>0</v>
      </c>
      <c r="P168" s="73">
        <v>0</v>
      </c>
      <c r="Q168" s="73">
        <v>0</v>
      </c>
      <c r="R168" s="29" t="s">
        <v>206</v>
      </c>
    </row>
    <row r="169" spans="1:18" ht="25.2" thickBot="1">
      <c r="A169" s="28">
        <v>2</v>
      </c>
      <c r="B169" s="46" t="s">
        <v>207</v>
      </c>
      <c r="C169" s="109"/>
      <c r="D169" s="162"/>
      <c r="E169" s="109"/>
      <c r="F169" s="109"/>
      <c r="G169" s="49">
        <v>0</v>
      </c>
      <c r="H169" s="49">
        <v>0</v>
      </c>
      <c r="I169" s="49">
        <v>0</v>
      </c>
      <c r="J169" s="163"/>
      <c r="K169" s="113"/>
      <c r="L169" s="164"/>
      <c r="M169" s="109"/>
      <c r="N169" s="115"/>
      <c r="O169" s="72">
        <v>0</v>
      </c>
      <c r="P169" s="73">
        <v>0</v>
      </c>
      <c r="Q169" s="73">
        <v>0</v>
      </c>
      <c r="R169" s="29"/>
    </row>
    <row r="170" spans="1:18" ht="25.8" thickTop="1" thickBot="1">
      <c r="A170" s="46"/>
      <c r="B170" s="28" t="s">
        <v>26</v>
      </c>
      <c r="C170" s="79"/>
      <c r="D170" s="165"/>
      <c r="E170" s="165"/>
      <c r="F170" s="165"/>
      <c r="G170" s="165">
        <v>0</v>
      </c>
      <c r="H170" s="165">
        <v>0</v>
      </c>
      <c r="I170" s="165">
        <v>0</v>
      </c>
      <c r="J170" s="166"/>
      <c r="K170" s="166"/>
      <c r="L170" s="166"/>
      <c r="M170" s="165"/>
      <c r="N170" s="167"/>
      <c r="O170" s="165">
        <v>0</v>
      </c>
      <c r="P170" s="165">
        <v>0</v>
      </c>
      <c r="Q170" s="165">
        <v>0</v>
      </c>
      <c r="R170" s="29"/>
    </row>
    <row r="171" spans="1:18" ht="25.2" thickTop="1">
      <c r="A171" s="46"/>
      <c r="B171" s="168" t="s">
        <v>208</v>
      </c>
      <c r="C171" s="46"/>
      <c r="D171" s="98"/>
      <c r="E171" s="46"/>
      <c r="F171" s="46"/>
      <c r="G171" s="57"/>
      <c r="H171" s="57"/>
      <c r="I171" s="57"/>
      <c r="J171" s="137"/>
      <c r="K171" s="48"/>
      <c r="L171" s="169"/>
      <c r="M171" s="46"/>
      <c r="N171" s="28"/>
      <c r="O171" s="57"/>
      <c r="P171" s="57"/>
      <c r="Q171" s="57"/>
      <c r="R171" s="46"/>
    </row>
    <row r="172" spans="1:18" ht="25.2" thickBot="1">
      <c r="A172" s="28">
        <v>1</v>
      </c>
      <c r="B172" s="28"/>
      <c r="C172" s="74"/>
      <c r="D172" s="110"/>
      <c r="E172" s="74"/>
      <c r="F172" s="74"/>
      <c r="G172" s="78"/>
      <c r="H172" s="78"/>
      <c r="I172" s="78"/>
      <c r="J172" s="35"/>
      <c r="K172" s="76"/>
      <c r="L172" s="170"/>
      <c r="M172" s="74"/>
      <c r="N172" s="34"/>
      <c r="O172" s="78"/>
      <c r="P172" s="78"/>
      <c r="Q172" s="78"/>
      <c r="R172" s="46"/>
    </row>
    <row r="173" spans="1:18" ht="25.2" thickTop="1">
      <c r="A173" s="46"/>
      <c r="B173" s="28" t="s">
        <v>26</v>
      </c>
      <c r="C173" s="109"/>
      <c r="D173" s="162"/>
      <c r="E173" s="109"/>
      <c r="F173" s="109"/>
      <c r="G173" s="111"/>
      <c r="H173" s="111"/>
      <c r="I173" s="111"/>
      <c r="J173" s="163"/>
      <c r="K173" s="113"/>
      <c r="L173" s="164"/>
      <c r="M173" s="109"/>
      <c r="N173" s="115"/>
      <c r="O173" s="111"/>
      <c r="P173" s="111"/>
      <c r="Q173" s="111"/>
      <c r="R173" s="46"/>
    </row>
    <row r="174" spans="1:18" ht="24.6">
      <c r="A174" s="46"/>
      <c r="B174" s="168" t="s">
        <v>209</v>
      </c>
      <c r="C174" s="29"/>
      <c r="D174" s="49"/>
      <c r="E174" s="29"/>
      <c r="F174" s="29"/>
      <c r="G174" s="59"/>
      <c r="H174" s="59"/>
      <c r="I174" s="59"/>
      <c r="J174" s="26"/>
      <c r="K174" s="61"/>
      <c r="L174" s="51"/>
      <c r="M174" s="29"/>
      <c r="N174" s="25"/>
      <c r="O174" s="59"/>
      <c r="P174" s="59"/>
      <c r="Q174" s="59"/>
      <c r="R174" s="46"/>
    </row>
    <row r="175" spans="1:18" ht="29.25" customHeight="1" thickBot="1">
      <c r="A175" s="115">
        <v>1</v>
      </c>
      <c r="B175" s="115"/>
      <c r="C175" s="74"/>
      <c r="D175" s="110"/>
      <c r="E175" s="74"/>
      <c r="F175" s="74"/>
      <c r="G175" s="78"/>
      <c r="H175" s="78"/>
      <c r="I175" s="78"/>
      <c r="J175" s="35"/>
      <c r="K175" s="76"/>
      <c r="L175" s="170"/>
      <c r="M175" s="74"/>
      <c r="N175" s="34"/>
      <c r="O175" s="78"/>
      <c r="P175" s="78"/>
      <c r="Q175" s="78"/>
      <c r="R175" s="109"/>
    </row>
    <row r="176" spans="1:18" ht="26.25" customHeight="1" thickTop="1" thickBot="1">
      <c r="A176" s="29"/>
      <c r="B176" s="25" t="s">
        <v>26</v>
      </c>
      <c r="C176" s="64"/>
      <c r="D176" s="171"/>
      <c r="E176" s="64"/>
      <c r="F176" s="64"/>
      <c r="G176" s="63"/>
      <c r="H176" s="63"/>
      <c r="I176" s="63"/>
      <c r="J176" s="42"/>
      <c r="K176" s="66"/>
      <c r="L176" s="172"/>
      <c r="M176" s="64"/>
      <c r="N176" s="41"/>
      <c r="O176" s="63"/>
      <c r="P176" s="63"/>
      <c r="Q176" s="63"/>
      <c r="R176" s="29"/>
    </row>
    <row r="177" spans="1:23" ht="24.75" customHeight="1" thickTop="1">
      <c r="A177" s="46"/>
      <c r="B177" s="168" t="s">
        <v>210</v>
      </c>
      <c r="C177" s="46"/>
      <c r="D177" s="98"/>
      <c r="E177" s="46"/>
      <c r="F177" s="46"/>
      <c r="G177" s="46"/>
      <c r="H177" s="46"/>
      <c r="I177" s="46"/>
      <c r="J177" s="137"/>
      <c r="K177" s="48"/>
      <c r="L177" s="48"/>
      <c r="M177" s="46"/>
      <c r="N177" s="28"/>
      <c r="O177" s="46"/>
      <c r="P177" s="46"/>
      <c r="Q177" s="46"/>
      <c r="R177" s="46"/>
    </row>
    <row r="178" spans="1:23" ht="24" customHeight="1">
      <c r="A178" s="25"/>
      <c r="B178" s="29"/>
      <c r="C178" s="29"/>
      <c r="D178" s="49"/>
      <c r="E178" s="29"/>
      <c r="F178" s="29"/>
      <c r="G178" s="49">
        <v>0</v>
      </c>
      <c r="H178" s="49">
        <v>0</v>
      </c>
      <c r="I178" s="59">
        <v>0</v>
      </c>
      <c r="J178" s="26"/>
      <c r="K178" s="61"/>
      <c r="L178" s="51"/>
      <c r="M178" s="29"/>
      <c r="N178" s="25"/>
      <c r="O178" s="72">
        <v>0</v>
      </c>
      <c r="P178" s="73">
        <v>0</v>
      </c>
      <c r="Q178" s="73">
        <v>0</v>
      </c>
      <c r="R178" s="29"/>
    </row>
    <row r="179" spans="1:23" ht="24.75" customHeight="1" thickBot="1">
      <c r="A179" s="34"/>
      <c r="B179" s="34" t="s">
        <v>26</v>
      </c>
      <c r="C179" s="74"/>
      <c r="D179" s="110"/>
      <c r="E179" s="74"/>
      <c r="F179" s="74"/>
      <c r="G179" s="78">
        <v>0</v>
      </c>
      <c r="H179" s="78">
        <v>0</v>
      </c>
      <c r="I179" s="78">
        <v>0</v>
      </c>
      <c r="J179" s="75"/>
      <c r="K179" s="76"/>
      <c r="L179" s="170"/>
      <c r="M179" s="74"/>
      <c r="N179" s="34"/>
      <c r="O179" s="110">
        <v>0</v>
      </c>
      <c r="P179" s="110">
        <v>0</v>
      </c>
      <c r="Q179" s="110">
        <v>0</v>
      </c>
      <c r="R179" s="74"/>
    </row>
    <row r="180" spans="1:23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3" ht="24.75" customHeight="1">
      <c r="A181" s="731" t="s">
        <v>211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3"/>
    </row>
    <row r="182" spans="1:23" ht="24.75" customHeight="1">
      <c r="A182" s="46">
        <v>1</v>
      </c>
      <c r="B182" s="180" t="s">
        <v>32</v>
      </c>
      <c r="C182" s="46" t="s">
        <v>104</v>
      </c>
      <c r="D182" s="98">
        <v>4650</v>
      </c>
      <c r="E182" s="141" t="s">
        <v>213</v>
      </c>
      <c r="F182" s="254">
        <v>3</v>
      </c>
      <c r="G182" s="141">
        <v>13950</v>
      </c>
      <c r="H182" s="141" t="s">
        <v>172</v>
      </c>
      <c r="I182" s="141">
        <v>13950</v>
      </c>
      <c r="J182" s="137"/>
      <c r="K182" s="48"/>
      <c r="L182" s="48"/>
      <c r="M182" s="46" t="s">
        <v>250</v>
      </c>
      <c r="N182" s="28">
        <v>4</v>
      </c>
      <c r="O182" s="57">
        <f>SUM(D182+I182-L182)</f>
        <v>18600</v>
      </c>
      <c r="P182" s="28" t="s">
        <v>172</v>
      </c>
      <c r="Q182" s="57">
        <f>O182</f>
        <v>18600</v>
      </c>
      <c r="R182" s="46" t="s">
        <v>214</v>
      </c>
    </row>
    <row r="183" spans="1:23" ht="24" customHeight="1">
      <c r="A183" s="25">
        <v>2</v>
      </c>
      <c r="B183" s="29" t="s">
        <v>215</v>
      </c>
      <c r="C183" s="29" t="s">
        <v>104</v>
      </c>
      <c r="D183" s="49">
        <v>5750</v>
      </c>
      <c r="E183" s="134" t="s">
        <v>213</v>
      </c>
      <c r="F183" s="255">
        <v>3</v>
      </c>
      <c r="G183" s="134">
        <v>17250</v>
      </c>
      <c r="H183" s="134">
        <v>0</v>
      </c>
      <c r="I183" s="134">
        <v>17250</v>
      </c>
      <c r="J183" s="26"/>
      <c r="K183" s="61"/>
      <c r="L183" s="51"/>
      <c r="M183" s="46" t="s">
        <v>250</v>
      </c>
      <c r="N183" s="25">
        <v>4</v>
      </c>
      <c r="O183" s="57">
        <f>SUM(D183+I183-L183)</f>
        <v>23000</v>
      </c>
      <c r="P183" s="73">
        <v>0</v>
      </c>
      <c r="Q183" s="57">
        <f>O183</f>
        <v>23000</v>
      </c>
      <c r="R183" s="29" t="s">
        <v>214</v>
      </c>
    </row>
    <row r="184" spans="1:23" ht="24.75" customHeight="1" thickBot="1">
      <c r="A184" s="34"/>
      <c r="B184" s="34" t="s">
        <v>26</v>
      </c>
      <c r="C184" s="74"/>
      <c r="D184" s="110">
        <f>SUM(D182:D183)</f>
        <v>10400</v>
      </c>
      <c r="E184" s="74"/>
      <c r="F184" s="74"/>
      <c r="G184" s="78">
        <f>SUM(G182:G183)</f>
        <v>31200</v>
      </c>
      <c r="H184" s="78">
        <f>SUM(H182:H183)</f>
        <v>0</v>
      </c>
      <c r="I184" s="78">
        <f>SUM(I182:I183)</f>
        <v>31200</v>
      </c>
      <c r="J184" s="75"/>
      <c r="K184" s="76"/>
      <c r="L184" s="170"/>
      <c r="M184" s="74"/>
      <c r="N184" s="34"/>
      <c r="O184" s="110">
        <f>SUM(O182:O183)</f>
        <v>41600</v>
      </c>
      <c r="P184" s="110">
        <v>0</v>
      </c>
      <c r="Q184" s="110">
        <f>SUM(Q182:Q183)</f>
        <v>41600</v>
      </c>
      <c r="R184" s="74"/>
    </row>
    <row r="185" spans="1:23" ht="24.75" customHeight="1" thickTop="1">
      <c r="A185" s="14"/>
      <c r="B185" s="173"/>
      <c r="D185" s="174"/>
      <c r="G185" s="175"/>
      <c r="H185" s="175"/>
      <c r="I185" s="175"/>
      <c r="L185" s="178"/>
      <c r="O185" s="174"/>
      <c r="P185" s="174"/>
      <c r="Q185" s="174"/>
      <c r="R185" s="179"/>
    </row>
    <row r="186" spans="1:23" ht="24.6">
      <c r="A186" s="734" t="s">
        <v>216</v>
      </c>
      <c r="B186" s="735"/>
      <c r="C186" s="735"/>
      <c r="D186" s="735"/>
      <c r="E186" s="735"/>
      <c r="F186" s="735"/>
      <c r="G186" s="735"/>
      <c r="H186" s="735"/>
      <c r="I186" s="735"/>
      <c r="J186" s="735"/>
      <c r="K186" s="735"/>
      <c r="L186" s="735"/>
      <c r="M186" s="735"/>
      <c r="N186" s="735"/>
      <c r="O186" s="735"/>
      <c r="P186" s="735"/>
      <c r="Q186" s="735"/>
      <c r="R186" s="736"/>
    </row>
    <row r="187" spans="1:23" ht="29.25" customHeight="1">
      <c r="A187" s="115"/>
      <c r="B187" s="115"/>
      <c r="C187" s="181"/>
      <c r="D187" s="182"/>
      <c r="E187" s="181"/>
      <c r="F187" s="181"/>
      <c r="G187" s="183"/>
      <c r="H187" s="183"/>
      <c r="I187" s="183"/>
      <c r="J187" s="184"/>
      <c r="K187" s="185"/>
      <c r="L187" s="186"/>
      <c r="M187" s="181"/>
      <c r="N187" s="187"/>
      <c r="O187" s="183"/>
      <c r="P187" s="183"/>
      <c r="Q187" s="183"/>
      <c r="R187" s="109"/>
    </row>
    <row r="188" spans="1:23" ht="29.25" customHeight="1" thickBot="1">
      <c r="A188" s="115"/>
      <c r="B188" s="115"/>
      <c r="C188" s="64"/>
      <c r="D188" s="171"/>
      <c r="E188" s="64"/>
      <c r="F188" s="64"/>
      <c r="G188" s="63"/>
      <c r="H188" s="63"/>
      <c r="I188" s="63"/>
      <c r="J188" s="42"/>
      <c r="K188" s="66"/>
      <c r="L188" s="172"/>
      <c r="M188" s="64"/>
      <c r="N188" s="41"/>
      <c r="O188" s="63"/>
      <c r="P188" s="63"/>
      <c r="Q188" s="63"/>
      <c r="R188" s="109"/>
    </row>
    <row r="189" spans="1:23" ht="26.25" customHeight="1" thickTop="1" thickBot="1">
      <c r="A189" s="29"/>
      <c r="B189" s="25" t="s">
        <v>26</v>
      </c>
      <c r="C189" s="64"/>
      <c r="D189" s="171"/>
      <c r="E189" s="64"/>
      <c r="F189" s="64"/>
      <c r="G189" s="63">
        <f>SUM(G187:G187)</f>
        <v>0</v>
      </c>
      <c r="H189" s="63">
        <f>SUM(H187:H187)</f>
        <v>0</v>
      </c>
      <c r="I189" s="63">
        <f>SUM(I187:I187)</f>
        <v>0</v>
      </c>
      <c r="J189" s="42"/>
      <c r="K189" s="66"/>
      <c r="L189" s="172"/>
      <c r="M189" s="64"/>
      <c r="N189" s="41"/>
      <c r="O189" s="63">
        <f>SUM(O187:O187)</f>
        <v>0</v>
      </c>
      <c r="P189" s="63">
        <f>SUM(P187:P187)</f>
        <v>0</v>
      </c>
      <c r="Q189" s="63">
        <f>SUM(Q187:Q187)</f>
        <v>0</v>
      </c>
      <c r="R189" s="29"/>
    </row>
    <row r="190" spans="1:23" ht="24.75" customHeight="1" thickTop="1">
      <c r="A190" s="4"/>
      <c r="B190" s="188" t="s">
        <v>217</v>
      </c>
      <c r="C190" s="53"/>
      <c r="D190" s="127"/>
      <c r="E190" s="53"/>
      <c r="F190" s="53"/>
      <c r="G190" s="183"/>
      <c r="H190" s="183"/>
      <c r="I190" s="183"/>
      <c r="J190" s="189"/>
      <c r="K190" s="185"/>
      <c r="L190" s="186"/>
      <c r="M190" s="53"/>
      <c r="N190" s="4"/>
      <c r="O190" s="127"/>
      <c r="P190" s="127"/>
      <c r="Q190" s="127"/>
      <c r="R190" s="181"/>
    </row>
    <row r="191" spans="1:23" s="96" customFormat="1" ht="24.75" customHeight="1">
      <c r="A191" s="190">
        <v>1</v>
      </c>
      <c r="B191" s="191" t="s">
        <v>68</v>
      </c>
      <c r="C191" s="192">
        <v>268</v>
      </c>
      <c r="D191" s="193">
        <v>1215</v>
      </c>
      <c r="E191" s="190" t="s">
        <v>219</v>
      </c>
      <c r="F191" s="194">
        <v>98</v>
      </c>
      <c r="G191" s="193">
        <v>110700</v>
      </c>
      <c r="H191" s="193" t="s">
        <v>172</v>
      </c>
      <c r="I191" s="193">
        <v>110700</v>
      </c>
      <c r="J191" s="195"/>
      <c r="K191" s="196"/>
      <c r="L191" s="197"/>
      <c r="M191" s="190" t="s">
        <v>251</v>
      </c>
      <c r="N191" s="190">
        <v>99</v>
      </c>
      <c r="O191" s="198">
        <f>SUM(D191+G191)</f>
        <v>111915</v>
      </c>
      <c r="P191" s="198" t="s">
        <v>172</v>
      </c>
      <c r="Q191" s="198">
        <f>SUM(D191+I191)</f>
        <v>111915</v>
      </c>
      <c r="R191" s="192" t="s">
        <v>220</v>
      </c>
      <c r="T191" s="97">
        <v>82995</v>
      </c>
    </row>
    <row r="192" spans="1:23" ht="24.75" customHeight="1">
      <c r="A192" s="199"/>
      <c r="B192" s="200" t="s">
        <v>221</v>
      </c>
      <c r="C192" s="201" t="s">
        <v>222</v>
      </c>
      <c r="D192" s="202">
        <v>0</v>
      </c>
      <c r="E192" s="203"/>
      <c r="F192" s="204" t="s">
        <v>172</v>
      </c>
      <c r="G192" s="202">
        <v>19700</v>
      </c>
      <c r="H192" s="202">
        <v>0</v>
      </c>
      <c r="I192" s="202">
        <v>19700</v>
      </c>
      <c r="J192" s="205"/>
      <c r="K192" s="206"/>
      <c r="L192" s="207">
        <v>0</v>
      </c>
      <c r="M192" s="208"/>
      <c r="N192" s="209" t="s">
        <v>172</v>
      </c>
      <c r="O192" s="198">
        <v>19700</v>
      </c>
      <c r="P192" s="210">
        <v>0</v>
      </c>
      <c r="Q192" s="210">
        <v>19700</v>
      </c>
      <c r="R192" s="203" t="s">
        <v>184</v>
      </c>
      <c r="V192" s="211"/>
      <c r="W192" s="211"/>
    </row>
    <row r="193" spans="1:22" ht="24.75" customHeight="1">
      <c r="A193" s="199"/>
      <c r="B193" s="201"/>
      <c r="C193" s="201" t="s">
        <v>223</v>
      </c>
      <c r="D193" s="202"/>
      <c r="E193" s="203"/>
      <c r="F193" s="204" t="s">
        <v>172</v>
      </c>
      <c r="G193" s="202">
        <v>19700</v>
      </c>
      <c r="H193" s="202">
        <v>0</v>
      </c>
      <c r="I193" s="202">
        <v>19700</v>
      </c>
      <c r="J193" s="205"/>
      <c r="K193" s="206"/>
      <c r="L193" s="207">
        <v>0</v>
      </c>
      <c r="M193" s="203"/>
      <c r="N193" s="199" t="s">
        <v>172</v>
      </c>
      <c r="O193" s="198">
        <v>19700</v>
      </c>
      <c r="P193" s="210">
        <v>0</v>
      </c>
      <c r="Q193" s="210">
        <v>19700</v>
      </c>
      <c r="R193" s="203" t="s">
        <v>185</v>
      </c>
      <c r="V193" s="211"/>
    </row>
    <row r="194" spans="1:22" ht="24.75" customHeight="1">
      <c r="A194" s="199"/>
      <c r="B194" s="201"/>
      <c r="C194" s="201" t="s">
        <v>224</v>
      </c>
      <c r="D194" s="202"/>
      <c r="E194" s="203"/>
      <c r="F194" s="204" t="s">
        <v>172</v>
      </c>
      <c r="G194" s="202">
        <v>19700</v>
      </c>
      <c r="H194" s="202">
        <v>0</v>
      </c>
      <c r="I194" s="202">
        <v>19700</v>
      </c>
      <c r="J194" s="205"/>
      <c r="K194" s="206"/>
      <c r="L194" s="207">
        <v>0</v>
      </c>
      <c r="M194" s="203"/>
      <c r="N194" s="199" t="s">
        <v>172</v>
      </c>
      <c r="O194" s="198">
        <v>19700</v>
      </c>
      <c r="P194" s="210">
        <v>0</v>
      </c>
      <c r="Q194" s="210">
        <v>19700</v>
      </c>
      <c r="R194" s="203" t="s">
        <v>186</v>
      </c>
    </row>
    <row r="195" spans="1:22" ht="24.75" customHeight="1">
      <c r="A195" s="199">
        <v>2</v>
      </c>
      <c r="B195" s="200" t="s">
        <v>225</v>
      </c>
      <c r="C195" s="203"/>
      <c r="D195" s="202"/>
      <c r="E195" s="199" t="s">
        <v>226</v>
      </c>
      <c r="F195" s="204">
        <v>88</v>
      </c>
      <c r="G195" s="202">
        <v>193600</v>
      </c>
      <c r="H195" s="202">
        <v>0</v>
      </c>
      <c r="I195" s="202">
        <v>193600</v>
      </c>
      <c r="J195" s="205"/>
      <c r="K195" s="206"/>
      <c r="L195" s="207"/>
      <c r="M195" s="199" t="s">
        <v>226</v>
      </c>
      <c r="N195" s="199">
        <v>88</v>
      </c>
      <c r="O195" s="198">
        <v>193600</v>
      </c>
      <c r="P195" s="210">
        <v>0</v>
      </c>
      <c r="Q195" s="210">
        <v>193600</v>
      </c>
      <c r="R195" s="203" t="s">
        <v>227</v>
      </c>
    </row>
    <row r="196" spans="1:22" ht="24.75" customHeight="1">
      <c r="A196" s="199"/>
      <c r="B196" s="200"/>
      <c r="C196" s="203"/>
      <c r="D196" s="202"/>
      <c r="E196" s="199"/>
      <c r="F196" s="204"/>
      <c r="G196" s="202"/>
      <c r="H196" s="202"/>
      <c r="I196" s="202"/>
      <c r="J196" s="205"/>
      <c r="L196" s="207"/>
      <c r="M196" s="199"/>
      <c r="N196" s="199"/>
      <c r="O196" s="198"/>
      <c r="P196" s="210"/>
      <c r="Q196" s="210"/>
      <c r="R196" s="203" t="s">
        <v>228</v>
      </c>
    </row>
    <row r="197" spans="1:22" ht="24.75" customHeight="1">
      <c r="A197" s="199">
        <v>3</v>
      </c>
      <c r="B197" s="200" t="s">
        <v>85</v>
      </c>
      <c r="C197" s="203" t="s">
        <v>86</v>
      </c>
      <c r="D197" s="202">
        <v>0</v>
      </c>
      <c r="E197" s="199" t="s">
        <v>229</v>
      </c>
      <c r="F197" s="204">
        <v>7</v>
      </c>
      <c r="G197" s="202">
        <v>30800</v>
      </c>
      <c r="H197" s="202">
        <v>0</v>
      </c>
      <c r="I197" s="202">
        <v>30800</v>
      </c>
      <c r="J197" s="205"/>
      <c r="K197" s="206"/>
      <c r="L197" s="207"/>
      <c r="M197" s="203" t="s">
        <v>229</v>
      </c>
      <c r="N197" s="199">
        <v>7</v>
      </c>
      <c r="O197" s="198">
        <v>30800</v>
      </c>
      <c r="P197" s="210">
        <v>0</v>
      </c>
      <c r="Q197" s="210">
        <v>30800</v>
      </c>
      <c r="R197" s="203" t="s">
        <v>230</v>
      </c>
    </row>
    <row r="198" spans="1:22" ht="24.75" customHeight="1">
      <c r="A198" s="115"/>
      <c r="B198" s="212"/>
      <c r="C198" s="109"/>
      <c r="D198" s="162"/>
      <c r="E198" s="115"/>
      <c r="F198" s="213"/>
      <c r="G198" s="162"/>
      <c r="H198" s="214"/>
      <c r="I198" s="214"/>
      <c r="J198" s="215"/>
      <c r="K198" s="216"/>
      <c r="L198" s="217"/>
      <c r="M198" s="218"/>
      <c r="N198" s="219"/>
      <c r="O198" s="220"/>
      <c r="P198" s="221"/>
      <c r="Q198" s="221"/>
      <c r="R198" s="218" t="s">
        <v>231</v>
      </c>
    </row>
    <row r="199" spans="1:22" s="96" customFormat="1" ht="24.75" customHeight="1">
      <c r="A199" s="190"/>
      <c r="B199" s="191" t="s">
        <v>232</v>
      </c>
      <c r="C199" s="192" t="s">
        <v>194</v>
      </c>
      <c r="D199" s="193">
        <v>0</v>
      </c>
      <c r="E199" s="192"/>
      <c r="F199" s="192"/>
      <c r="G199" s="193">
        <v>64400</v>
      </c>
      <c r="H199" s="193">
        <v>0</v>
      </c>
      <c r="I199" s="193">
        <v>64400</v>
      </c>
      <c r="J199" s="195"/>
      <c r="K199" s="196"/>
      <c r="L199" s="197">
        <v>0</v>
      </c>
      <c r="M199" s="192"/>
      <c r="N199" s="190"/>
      <c r="O199" s="198">
        <v>64400</v>
      </c>
      <c r="P199" s="210">
        <v>0</v>
      </c>
      <c r="Q199" s="210">
        <v>64400</v>
      </c>
      <c r="R199" s="192" t="s">
        <v>233</v>
      </c>
      <c r="T199" s="97"/>
    </row>
    <row r="200" spans="1:22" ht="24.6">
      <c r="A200" s="199">
        <v>4</v>
      </c>
      <c r="B200" s="203" t="s">
        <v>32</v>
      </c>
      <c r="C200" s="222" t="s">
        <v>104</v>
      </c>
      <c r="D200" s="202"/>
      <c r="E200" s="223" t="s">
        <v>234</v>
      </c>
      <c r="F200" s="224">
        <v>4</v>
      </c>
      <c r="G200" s="225">
        <v>18600</v>
      </c>
      <c r="H200" s="225">
        <v>0</v>
      </c>
      <c r="I200" s="225">
        <v>18600</v>
      </c>
      <c r="J200" s="226"/>
      <c r="K200" s="227"/>
      <c r="L200" s="228"/>
      <c r="M200" s="199" t="s">
        <v>234</v>
      </c>
      <c r="N200" s="199">
        <v>4</v>
      </c>
      <c r="O200" s="198">
        <f>D200+G200</f>
        <v>18600</v>
      </c>
      <c r="P200" s="210">
        <v>0</v>
      </c>
      <c r="Q200" s="210">
        <f>D200+I200</f>
        <v>18600</v>
      </c>
      <c r="R200" s="203" t="s">
        <v>235</v>
      </c>
    </row>
    <row r="201" spans="1:22" ht="24.6">
      <c r="A201" s="199">
        <v>5</v>
      </c>
      <c r="B201" s="203" t="s">
        <v>215</v>
      </c>
      <c r="C201" s="222" t="s">
        <v>104</v>
      </c>
      <c r="D201" s="202"/>
      <c r="E201" s="199" t="s">
        <v>236</v>
      </c>
      <c r="F201" s="199">
        <v>4</v>
      </c>
      <c r="G201" s="202">
        <v>23000</v>
      </c>
      <c r="H201" s="202">
        <v>0</v>
      </c>
      <c r="I201" s="202">
        <v>23000</v>
      </c>
      <c r="J201" s="226"/>
      <c r="K201" s="227"/>
      <c r="L201" s="228"/>
      <c r="M201" s="199" t="s">
        <v>236</v>
      </c>
      <c r="N201" s="199">
        <v>4</v>
      </c>
      <c r="O201" s="198">
        <f>D201+G201</f>
        <v>23000</v>
      </c>
      <c r="P201" s="210">
        <v>0</v>
      </c>
      <c r="Q201" s="210">
        <f>D201+I201</f>
        <v>23000</v>
      </c>
      <c r="R201" s="203" t="s">
        <v>237</v>
      </c>
    </row>
    <row r="202" spans="1:22" s="96" customFormat="1" ht="24.75" customHeight="1">
      <c r="A202" s="229"/>
      <c r="B202" s="230"/>
      <c r="C202" s="231"/>
      <c r="D202" s="232"/>
      <c r="E202" s="231"/>
      <c r="F202" s="231"/>
      <c r="G202" s="232"/>
      <c r="H202" s="232"/>
      <c r="I202" s="232"/>
      <c r="J202" s="233"/>
      <c r="K202" s="234"/>
      <c r="L202" s="235"/>
      <c r="M202" s="231"/>
      <c r="N202" s="229"/>
      <c r="O202" s="236"/>
      <c r="P202" s="237"/>
      <c r="Q202" s="237"/>
      <c r="R202" s="238"/>
      <c r="T202" s="97"/>
    </row>
    <row r="203" spans="1:22" ht="24.75" customHeight="1" thickBot="1">
      <c r="A203" s="34"/>
      <c r="B203" s="239"/>
      <c r="C203" s="74"/>
      <c r="D203" s="110">
        <v>1215</v>
      </c>
      <c r="E203" s="110"/>
      <c r="F203" s="110"/>
      <c r="G203" s="110">
        <f>SUM(G191:G201)</f>
        <v>500200</v>
      </c>
      <c r="H203" s="110">
        <v>0</v>
      </c>
      <c r="I203" s="110">
        <f>SUM(I191:I201)</f>
        <v>500200</v>
      </c>
      <c r="J203" s="170"/>
      <c r="K203" s="170"/>
      <c r="L203" s="170">
        <v>0</v>
      </c>
      <c r="M203" s="110"/>
      <c r="N203" s="240"/>
      <c r="O203" s="171">
        <f>SUM(O191:O201)</f>
        <v>501415</v>
      </c>
      <c r="P203" s="171">
        <v>0</v>
      </c>
      <c r="Q203" s="171">
        <f>SUM(Q191:Q201)</f>
        <v>501415</v>
      </c>
      <c r="R203" s="208"/>
    </row>
    <row r="204" spans="1:22" ht="25.2" thickTop="1">
      <c r="A204" s="46"/>
      <c r="B204" s="161" t="s">
        <v>238</v>
      </c>
      <c r="C204" s="46"/>
      <c r="D204" s="46"/>
      <c r="E204" s="46"/>
      <c r="F204" s="46"/>
      <c r="G204" s="46"/>
      <c r="H204" s="46"/>
      <c r="I204" s="46"/>
      <c r="J204" s="47"/>
      <c r="K204" s="48"/>
      <c r="L204" s="48"/>
      <c r="M204" s="46"/>
      <c r="N204" s="28"/>
      <c r="O204" s="46"/>
      <c r="P204" s="46"/>
      <c r="Q204" s="46"/>
      <c r="R204" s="46"/>
    </row>
    <row r="205" spans="1:22" ht="24.6">
      <c r="A205" s="25">
        <v>1</v>
      </c>
      <c r="B205" s="53" t="s">
        <v>239</v>
      </c>
      <c r="C205" s="109"/>
      <c r="D205" s="109"/>
      <c r="E205" s="109" t="s">
        <v>240</v>
      </c>
      <c r="F205" s="109"/>
      <c r="G205" s="162"/>
      <c r="H205" s="109"/>
      <c r="I205" s="162">
        <v>0</v>
      </c>
      <c r="J205" s="112"/>
      <c r="K205" s="113"/>
      <c r="L205" s="241"/>
      <c r="M205" s="109" t="s">
        <v>240</v>
      </c>
      <c r="N205" s="115"/>
      <c r="O205" s="49"/>
      <c r="P205" s="127"/>
      <c r="Q205" s="162">
        <v>0</v>
      </c>
      <c r="R205" s="29"/>
    </row>
    <row r="206" spans="1:22" ht="24.6">
      <c r="A206" s="25"/>
      <c r="B206" s="29" t="s">
        <v>241</v>
      </c>
      <c r="C206" s="29"/>
      <c r="D206" s="29"/>
      <c r="E206" s="25" t="s">
        <v>242</v>
      </c>
      <c r="F206" s="29"/>
      <c r="G206" s="49">
        <v>133707.98000000001</v>
      </c>
      <c r="H206" s="134">
        <v>0</v>
      </c>
      <c r="I206" s="49">
        <v>133707.98000000001</v>
      </c>
      <c r="J206" s="60"/>
      <c r="K206" s="61"/>
      <c r="L206" s="242"/>
      <c r="M206" s="29" t="s">
        <v>242</v>
      </c>
      <c r="N206" s="25"/>
      <c r="O206" s="72">
        <v>133707.98000000001</v>
      </c>
      <c r="P206" s="73">
        <v>0</v>
      </c>
      <c r="Q206" s="73">
        <v>133707.98000000001</v>
      </c>
      <c r="R206" s="29" t="s">
        <v>243</v>
      </c>
    </row>
    <row r="207" spans="1:22" ht="24.6">
      <c r="A207" s="25"/>
      <c r="B207" s="29" t="s">
        <v>244</v>
      </c>
      <c r="C207" s="29"/>
      <c r="D207" s="29"/>
      <c r="E207" s="29"/>
      <c r="F207" s="29"/>
      <c r="G207" s="49">
        <v>73800</v>
      </c>
      <c r="H207" s="134">
        <v>0</v>
      </c>
      <c r="I207" s="49">
        <v>73800</v>
      </c>
      <c r="J207" s="60"/>
      <c r="K207" s="61"/>
      <c r="L207" s="242"/>
      <c r="M207" s="29"/>
      <c r="N207" s="25"/>
      <c r="O207" s="72">
        <v>73800</v>
      </c>
      <c r="P207" s="73">
        <v>0</v>
      </c>
      <c r="Q207" s="73">
        <v>73800</v>
      </c>
      <c r="R207" s="29"/>
    </row>
    <row r="208" spans="1:22" ht="24.6">
      <c r="A208" s="25"/>
      <c r="B208" s="29" t="s">
        <v>245</v>
      </c>
      <c r="C208" s="29"/>
      <c r="D208" s="29"/>
      <c r="E208" s="29"/>
      <c r="F208" s="29"/>
      <c r="G208" s="49">
        <v>7596.82</v>
      </c>
      <c r="H208" s="134">
        <v>0</v>
      </c>
      <c r="I208" s="89">
        <v>7596.82</v>
      </c>
      <c r="J208" s="60"/>
      <c r="K208" s="61"/>
      <c r="L208" s="242"/>
      <c r="M208" s="29"/>
      <c r="N208" s="25"/>
      <c r="O208" s="72">
        <v>7596.82</v>
      </c>
      <c r="P208" s="73">
        <v>0</v>
      </c>
      <c r="Q208" s="73">
        <v>7596.82</v>
      </c>
      <c r="R208" s="29" t="s">
        <v>243</v>
      </c>
    </row>
    <row r="209" spans="1:21" ht="24.6">
      <c r="A209" s="25"/>
      <c r="B209" s="29" t="s">
        <v>246</v>
      </c>
      <c r="C209" s="29"/>
      <c r="D209" s="53"/>
      <c r="E209" s="53"/>
      <c r="F209" s="53"/>
      <c r="G209" s="127"/>
      <c r="H209" s="53"/>
      <c r="I209" s="127"/>
      <c r="J209" s="243"/>
      <c r="K209" s="244"/>
      <c r="L209" s="245"/>
      <c r="M209" s="53"/>
      <c r="N209" s="4"/>
      <c r="O209" s="127"/>
      <c r="P209" s="127"/>
      <c r="Q209" s="49"/>
      <c r="R209" s="29"/>
      <c r="U209" s="1">
        <v>763210.28</v>
      </c>
    </row>
    <row r="210" spans="1:21" ht="25.2" thickBot="1">
      <c r="A210" s="25"/>
      <c r="B210" s="29"/>
      <c r="C210" s="29" t="s">
        <v>247</v>
      </c>
      <c r="D210" s="74"/>
      <c r="E210" s="74"/>
      <c r="F210" s="74"/>
      <c r="G210" s="74"/>
      <c r="H210" s="74"/>
      <c r="I210" s="74"/>
      <c r="J210" s="75"/>
      <c r="K210" s="76"/>
      <c r="L210" s="76"/>
      <c r="M210" s="74"/>
      <c r="N210" s="34"/>
      <c r="O210" s="110"/>
      <c r="P210" s="74"/>
      <c r="Q210" s="171"/>
      <c r="R210" s="29"/>
    </row>
    <row r="211" spans="1:21" s="249" customFormat="1" ht="25.8" thickTop="1" thickBot="1">
      <c r="A211" s="134"/>
      <c r="B211" s="246" t="s">
        <v>26</v>
      </c>
      <c r="C211" s="103"/>
      <c r="D211" s="103">
        <v>0</v>
      </c>
      <c r="E211" s="103"/>
      <c r="F211" s="103"/>
      <c r="G211" s="103">
        <f>SUM(G206:G210)</f>
        <v>215104.80000000002</v>
      </c>
      <c r="H211" s="103">
        <v>0</v>
      </c>
      <c r="I211" s="103">
        <v>215104.80000000002</v>
      </c>
      <c r="J211" s="104"/>
      <c r="K211" s="104"/>
      <c r="L211" s="104">
        <v>0</v>
      </c>
      <c r="M211" s="103"/>
      <c r="N211" s="247"/>
      <c r="O211" s="103">
        <v>215104.80000000002</v>
      </c>
      <c r="P211" s="103">
        <v>0</v>
      </c>
      <c r="Q211" s="103">
        <v>215104.80000000002</v>
      </c>
      <c r="R211" s="248"/>
    </row>
    <row r="212" spans="1:21" ht="25.8" thickTop="1" thickBot="1">
      <c r="A212" s="29"/>
      <c r="B212" s="25" t="s">
        <v>248</v>
      </c>
      <c r="C212" s="64"/>
      <c r="D212" s="63">
        <f>SUM(D32+D78+D117+D184+D189+D203+D211)</f>
        <v>63270</v>
      </c>
      <c r="E212" s="63"/>
      <c r="F212" s="63"/>
      <c r="G212" s="63">
        <f>SUM(G32+G78+G117+G170+G184+G189+G203+G211)</f>
        <v>746504.8</v>
      </c>
      <c r="H212" s="63">
        <v>0</v>
      </c>
      <c r="I212" s="63">
        <f>SUM(I9+I13+I16+I20+I23+I26+I32+I35+I37+I41+I78+I117+I121+I124+I127+I170+I176+I179+I184+I189+I203+I211)</f>
        <v>746504.8</v>
      </c>
      <c r="J212" s="67"/>
      <c r="K212" s="67"/>
      <c r="L212" s="67">
        <f>SUM(L32+L78+L117)</f>
        <v>42005</v>
      </c>
      <c r="M212" s="63"/>
      <c r="N212" s="105"/>
      <c r="O212" s="63">
        <f>SUM(O32+O78+O117+O184+O189+O203+O211)</f>
        <v>767769.8</v>
      </c>
      <c r="P212" s="63">
        <f>SUM(P32+P78+P117+P184+P189+P203+P211)</f>
        <v>0</v>
      </c>
      <c r="Q212" s="63">
        <f>SUM(Q32+Q78+Q117+Q184+Q189+Q203+Q211)</f>
        <v>767769.8</v>
      </c>
      <c r="R212" s="59"/>
      <c r="T212" s="63"/>
    </row>
    <row r="213" spans="1:21" ht="25.2" thickTop="1"/>
    <row r="214" spans="1:21" ht="24.6">
      <c r="K214" s="250"/>
      <c r="Q214" s="249"/>
    </row>
    <row r="215" spans="1:21" ht="24.6">
      <c r="K215" s="251"/>
      <c r="Q215" s="249"/>
    </row>
    <row r="216" spans="1:21" ht="24.6">
      <c r="F216" s="1">
        <v>1010.6000000000058</v>
      </c>
      <c r="K216" s="250"/>
      <c r="Q216" s="249"/>
    </row>
    <row r="217" spans="1:21" ht="24.6">
      <c r="K217" s="250"/>
      <c r="L217" s="252"/>
    </row>
    <row r="218" spans="1:21" ht="24.6">
      <c r="H218" s="253"/>
      <c r="K218" s="250"/>
    </row>
    <row r="219" spans="1:21" ht="24.6"/>
    <row r="220" spans="1:21" ht="24.6"/>
    <row r="221" spans="1:21" ht="24.6"/>
    <row r="222" spans="1:21" ht="24.6"/>
    <row r="223" spans="1:21" ht="24.6"/>
    <row r="224" spans="1:21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  <row r="980" ht="24.6"/>
    <row r="981" ht="24.6"/>
    <row r="982" ht="24.6"/>
    <row r="983" ht="24.6"/>
    <row r="984" ht="24.6"/>
  </sheetData>
  <mergeCells count="8">
    <mergeCell ref="A181:R181"/>
    <mergeCell ref="A186:R186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8" max="29" man="1"/>
    <brk id="202" max="16383" man="1"/>
  </rowBreaks>
  <colBreaks count="1" manualBreakCount="1">
    <brk id="18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F3E0-600E-4FC8-A991-69492393CBB9}">
  <sheetPr codeName="Sheet7">
    <tabColor rgb="FF92D050"/>
  </sheetPr>
  <dimension ref="A1:I817"/>
  <sheetViews>
    <sheetView zoomScale="90" zoomScaleNormal="90" zoomScaleSheetLayoutView="87" workbookViewId="0">
      <pane ySplit="6" topLeftCell="A32" activePane="bottomLeft" state="frozen"/>
      <selection activeCell="I147" sqref="I147"/>
      <selection pane="bottomLeft" activeCell="I46" sqref="I46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1.44140625" style="176" customWidth="1"/>
    <col min="5" max="5" width="15" style="177" customWidth="1"/>
    <col min="6" max="6" width="14.5546875" style="177" customWidth="1"/>
    <col min="7" max="7" width="10.33203125" style="1"/>
    <col min="8" max="9" width="11" style="1" bestFit="1" customWidth="1"/>
    <col min="10" max="227" width="10.33203125" style="1"/>
    <col min="228" max="228" width="4.44140625" style="1" customWidth="1"/>
    <col min="229" max="229" width="21.6640625" style="1" customWidth="1"/>
    <col min="230" max="230" width="15" style="1" customWidth="1"/>
    <col min="231" max="231" width="15.44140625" style="1" customWidth="1"/>
    <col min="232" max="232" width="11.5546875" style="1" customWidth="1"/>
    <col min="233" max="233" width="7.44140625" style="1" customWidth="1"/>
    <col min="234" max="234" width="14.109375" style="1" customWidth="1"/>
    <col min="235" max="235" width="10.6640625" style="1" customWidth="1"/>
    <col min="236" max="236" width="13.44140625" style="1" customWidth="1"/>
    <col min="237" max="237" width="11.44140625" style="1" customWidth="1"/>
    <col min="238" max="238" width="15" style="1" customWidth="1"/>
    <col min="239" max="239" width="14.5546875" style="1" customWidth="1"/>
    <col min="240" max="240" width="10.33203125" style="1"/>
    <col min="241" max="241" width="7.44140625" style="1" customWidth="1"/>
    <col min="242" max="242" width="12.88671875" style="1" customWidth="1"/>
    <col min="243" max="243" width="11.109375" style="1" customWidth="1"/>
    <col min="244" max="244" width="14" style="1" customWidth="1"/>
    <col min="245" max="245" width="33" style="1" customWidth="1"/>
    <col min="246" max="246" width="6.6640625" style="1" customWidth="1"/>
    <col min="247" max="247" width="19" style="1" customWidth="1"/>
    <col min="248" max="248" width="19.109375" style="1" customWidth="1"/>
    <col min="249" max="249" width="21.33203125" style="1" customWidth="1"/>
    <col min="250" max="250" width="32.5546875" style="1" customWidth="1"/>
    <col min="251" max="251" width="16.88671875" style="1" customWidth="1"/>
    <col min="252" max="252" width="16.33203125" style="1" customWidth="1"/>
    <col min="253" max="483" width="10.33203125" style="1"/>
    <col min="484" max="484" width="4.44140625" style="1" customWidth="1"/>
    <col min="485" max="485" width="21.6640625" style="1" customWidth="1"/>
    <col min="486" max="486" width="15" style="1" customWidth="1"/>
    <col min="487" max="487" width="15.44140625" style="1" customWidth="1"/>
    <col min="488" max="488" width="11.5546875" style="1" customWidth="1"/>
    <col min="489" max="489" width="7.44140625" style="1" customWidth="1"/>
    <col min="490" max="490" width="14.109375" style="1" customWidth="1"/>
    <col min="491" max="491" width="10.6640625" style="1" customWidth="1"/>
    <col min="492" max="492" width="13.44140625" style="1" customWidth="1"/>
    <col min="493" max="493" width="11.44140625" style="1" customWidth="1"/>
    <col min="494" max="494" width="15" style="1" customWidth="1"/>
    <col min="495" max="495" width="14.5546875" style="1" customWidth="1"/>
    <col min="496" max="496" width="10.33203125" style="1"/>
    <col min="497" max="497" width="7.44140625" style="1" customWidth="1"/>
    <col min="498" max="498" width="12.88671875" style="1" customWidth="1"/>
    <col min="499" max="499" width="11.109375" style="1" customWidth="1"/>
    <col min="500" max="500" width="14" style="1" customWidth="1"/>
    <col min="501" max="501" width="33" style="1" customWidth="1"/>
    <col min="502" max="502" width="6.6640625" style="1" customWidth="1"/>
    <col min="503" max="503" width="19" style="1" customWidth="1"/>
    <col min="504" max="504" width="19.109375" style="1" customWidth="1"/>
    <col min="505" max="505" width="21.33203125" style="1" customWidth="1"/>
    <col min="506" max="506" width="32.5546875" style="1" customWidth="1"/>
    <col min="507" max="507" width="16.88671875" style="1" customWidth="1"/>
    <col min="508" max="508" width="16.33203125" style="1" customWidth="1"/>
    <col min="509" max="739" width="10.33203125" style="1"/>
    <col min="740" max="740" width="4.44140625" style="1" customWidth="1"/>
    <col min="741" max="741" width="21.6640625" style="1" customWidth="1"/>
    <col min="742" max="742" width="15" style="1" customWidth="1"/>
    <col min="743" max="743" width="15.44140625" style="1" customWidth="1"/>
    <col min="744" max="744" width="11.5546875" style="1" customWidth="1"/>
    <col min="745" max="745" width="7.44140625" style="1" customWidth="1"/>
    <col min="746" max="746" width="14.109375" style="1" customWidth="1"/>
    <col min="747" max="747" width="10.6640625" style="1" customWidth="1"/>
    <col min="748" max="748" width="13.44140625" style="1" customWidth="1"/>
    <col min="749" max="749" width="11.44140625" style="1" customWidth="1"/>
    <col min="750" max="750" width="15" style="1" customWidth="1"/>
    <col min="751" max="751" width="14.5546875" style="1" customWidth="1"/>
    <col min="752" max="752" width="10.33203125" style="1"/>
    <col min="753" max="753" width="7.44140625" style="1" customWidth="1"/>
    <col min="754" max="754" width="12.88671875" style="1" customWidth="1"/>
    <col min="755" max="755" width="11.109375" style="1" customWidth="1"/>
    <col min="756" max="756" width="14" style="1" customWidth="1"/>
    <col min="757" max="757" width="33" style="1" customWidth="1"/>
    <col min="758" max="758" width="6.6640625" style="1" customWidth="1"/>
    <col min="759" max="759" width="19" style="1" customWidth="1"/>
    <col min="760" max="760" width="19.109375" style="1" customWidth="1"/>
    <col min="761" max="761" width="21.33203125" style="1" customWidth="1"/>
    <col min="762" max="762" width="32.5546875" style="1" customWidth="1"/>
    <col min="763" max="763" width="16.88671875" style="1" customWidth="1"/>
    <col min="764" max="764" width="16.33203125" style="1" customWidth="1"/>
    <col min="765" max="995" width="10.33203125" style="1"/>
    <col min="996" max="996" width="4.44140625" style="1" customWidth="1"/>
    <col min="997" max="997" width="21.6640625" style="1" customWidth="1"/>
    <col min="998" max="998" width="15" style="1" customWidth="1"/>
    <col min="999" max="999" width="15.44140625" style="1" customWidth="1"/>
    <col min="1000" max="1000" width="11.5546875" style="1" customWidth="1"/>
    <col min="1001" max="1001" width="7.44140625" style="1" customWidth="1"/>
    <col min="1002" max="1002" width="14.109375" style="1" customWidth="1"/>
    <col min="1003" max="1003" width="10.6640625" style="1" customWidth="1"/>
    <col min="1004" max="1004" width="13.44140625" style="1" customWidth="1"/>
    <col min="1005" max="1005" width="11.44140625" style="1" customWidth="1"/>
    <col min="1006" max="1006" width="15" style="1" customWidth="1"/>
    <col min="1007" max="1007" width="14.5546875" style="1" customWidth="1"/>
    <col min="1008" max="1008" width="10.33203125" style="1"/>
    <col min="1009" max="1009" width="7.44140625" style="1" customWidth="1"/>
    <col min="1010" max="1010" width="12.88671875" style="1" customWidth="1"/>
    <col min="1011" max="1011" width="11.109375" style="1" customWidth="1"/>
    <col min="1012" max="1012" width="14" style="1" customWidth="1"/>
    <col min="1013" max="1013" width="33" style="1" customWidth="1"/>
    <col min="1014" max="1014" width="6.6640625" style="1" customWidth="1"/>
    <col min="1015" max="1015" width="19" style="1" customWidth="1"/>
    <col min="1016" max="1016" width="19.109375" style="1" customWidth="1"/>
    <col min="1017" max="1017" width="21.33203125" style="1" customWidth="1"/>
    <col min="1018" max="1018" width="32.5546875" style="1" customWidth="1"/>
    <col min="1019" max="1019" width="16.88671875" style="1" customWidth="1"/>
    <col min="1020" max="1020" width="16.33203125" style="1" customWidth="1"/>
    <col min="1021" max="1251" width="10.33203125" style="1"/>
    <col min="1252" max="1252" width="4.44140625" style="1" customWidth="1"/>
    <col min="1253" max="1253" width="21.6640625" style="1" customWidth="1"/>
    <col min="1254" max="1254" width="15" style="1" customWidth="1"/>
    <col min="1255" max="1255" width="15.44140625" style="1" customWidth="1"/>
    <col min="1256" max="1256" width="11.5546875" style="1" customWidth="1"/>
    <col min="1257" max="1257" width="7.44140625" style="1" customWidth="1"/>
    <col min="1258" max="1258" width="14.109375" style="1" customWidth="1"/>
    <col min="1259" max="1259" width="10.6640625" style="1" customWidth="1"/>
    <col min="1260" max="1260" width="13.44140625" style="1" customWidth="1"/>
    <col min="1261" max="1261" width="11.44140625" style="1" customWidth="1"/>
    <col min="1262" max="1262" width="15" style="1" customWidth="1"/>
    <col min="1263" max="1263" width="14.5546875" style="1" customWidth="1"/>
    <col min="1264" max="1264" width="10.33203125" style="1"/>
    <col min="1265" max="1265" width="7.44140625" style="1" customWidth="1"/>
    <col min="1266" max="1266" width="12.88671875" style="1" customWidth="1"/>
    <col min="1267" max="1267" width="11.109375" style="1" customWidth="1"/>
    <col min="1268" max="1268" width="14" style="1" customWidth="1"/>
    <col min="1269" max="1269" width="33" style="1" customWidth="1"/>
    <col min="1270" max="1270" width="6.6640625" style="1" customWidth="1"/>
    <col min="1271" max="1271" width="19" style="1" customWidth="1"/>
    <col min="1272" max="1272" width="19.109375" style="1" customWidth="1"/>
    <col min="1273" max="1273" width="21.33203125" style="1" customWidth="1"/>
    <col min="1274" max="1274" width="32.5546875" style="1" customWidth="1"/>
    <col min="1275" max="1275" width="16.88671875" style="1" customWidth="1"/>
    <col min="1276" max="1276" width="16.33203125" style="1" customWidth="1"/>
    <col min="1277" max="1507" width="10.33203125" style="1"/>
    <col min="1508" max="1508" width="4.44140625" style="1" customWidth="1"/>
    <col min="1509" max="1509" width="21.6640625" style="1" customWidth="1"/>
    <col min="1510" max="1510" width="15" style="1" customWidth="1"/>
    <col min="1511" max="1511" width="15.44140625" style="1" customWidth="1"/>
    <col min="1512" max="1512" width="11.5546875" style="1" customWidth="1"/>
    <col min="1513" max="1513" width="7.44140625" style="1" customWidth="1"/>
    <col min="1514" max="1514" width="14.109375" style="1" customWidth="1"/>
    <col min="1515" max="1515" width="10.6640625" style="1" customWidth="1"/>
    <col min="1516" max="1516" width="13.44140625" style="1" customWidth="1"/>
    <col min="1517" max="1517" width="11.44140625" style="1" customWidth="1"/>
    <col min="1518" max="1518" width="15" style="1" customWidth="1"/>
    <col min="1519" max="1519" width="14.5546875" style="1" customWidth="1"/>
    <col min="1520" max="1520" width="10.33203125" style="1"/>
    <col min="1521" max="1521" width="7.44140625" style="1" customWidth="1"/>
    <col min="1522" max="1522" width="12.88671875" style="1" customWidth="1"/>
    <col min="1523" max="1523" width="11.109375" style="1" customWidth="1"/>
    <col min="1524" max="1524" width="14" style="1" customWidth="1"/>
    <col min="1525" max="1525" width="33" style="1" customWidth="1"/>
    <col min="1526" max="1526" width="6.6640625" style="1" customWidth="1"/>
    <col min="1527" max="1527" width="19" style="1" customWidth="1"/>
    <col min="1528" max="1528" width="19.109375" style="1" customWidth="1"/>
    <col min="1529" max="1529" width="21.33203125" style="1" customWidth="1"/>
    <col min="1530" max="1530" width="32.5546875" style="1" customWidth="1"/>
    <col min="1531" max="1531" width="16.88671875" style="1" customWidth="1"/>
    <col min="1532" max="1532" width="16.33203125" style="1" customWidth="1"/>
    <col min="1533" max="1763" width="10.33203125" style="1"/>
    <col min="1764" max="1764" width="4.44140625" style="1" customWidth="1"/>
    <col min="1765" max="1765" width="21.6640625" style="1" customWidth="1"/>
    <col min="1766" max="1766" width="15" style="1" customWidth="1"/>
    <col min="1767" max="1767" width="15.44140625" style="1" customWidth="1"/>
    <col min="1768" max="1768" width="11.5546875" style="1" customWidth="1"/>
    <col min="1769" max="1769" width="7.44140625" style="1" customWidth="1"/>
    <col min="1770" max="1770" width="14.109375" style="1" customWidth="1"/>
    <col min="1771" max="1771" width="10.6640625" style="1" customWidth="1"/>
    <col min="1772" max="1772" width="13.44140625" style="1" customWidth="1"/>
    <col min="1773" max="1773" width="11.44140625" style="1" customWidth="1"/>
    <col min="1774" max="1774" width="15" style="1" customWidth="1"/>
    <col min="1775" max="1775" width="14.5546875" style="1" customWidth="1"/>
    <col min="1776" max="1776" width="10.33203125" style="1"/>
    <col min="1777" max="1777" width="7.44140625" style="1" customWidth="1"/>
    <col min="1778" max="1778" width="12.88671875" style="1" customWidth="1"/>
    <col min="1779" max="1779" width="11.109375" style="1" customWidth="1"/>
    <col min="1780" max="1780" width="14" style="1" customWidth="1"/>
    <col min="1781" max="1781" width="33" style="1" customWidth="1"/>
    <col min="1782" max="1782" width="6.6640625" style="1" customWidth="1"/>
    <col min="1783" max="1783" width="19" style="1" customWidth="1"/>
    <col min="1784" max="1784" width="19.109375" style="1" customWidth="1"/>
    <col min="1785" max="1785" width="21.33203125" style="1" customWidth="1"/>
    <col min="1786" max="1786" width="32.5546875" style="1" customWidth="1"/>
    <col min="1787" max="1787" width="16.88671875" style="1" customWidth="1"/>
    <col min="1788" max="1788" width="16.33203125" style="1" customWidth="1"/>
    <col min="1789" max="2019" width="10.33203125" style="1"/>
    <col min="2020" max="2020" width="4.44140625" style="1" customWidth="1"/>
    <col min="2021" max="2021" width="21.6640625" style="1" customWidth="1"/>
    <col min="2022" max="2022" width="15" style="1" customWidth="1"/>
    <col min="2023" max="2023" width="15.44140625" style="1" customWidth="1"/>
    <col min="2024" max="2024" width="11.5546875" style="1" customWidth="1"/>
    <col min="2025" max="2025" width="7.44140625" style="1" customWidth="1"/>
    <col min="2026" max="2026" width="14.109375" style="1" customWidth="1"/>
    <col min="2027" max="2027" width="10.6640625" style="1" customWidth="1"/>
    <col min="2028" max="2028" width="13.44140625" style="1" customWidth="1"/>
    <col min="2029" max="2029" width="11.44140625" style="1" customWidth="1"/>
    <col min="2030" max="2030" width="15" style="1" customWidth="1"/>
    <col min="2031" max="2031" width="14.5546875" style="1" customWidth="1"/>
    <col min="2032" max="2032" width="10.33203125" style="1"/>
    <col min="2033" max="2033" width="7.44140625" style="1" customWidth="1"/>
    <col min="2034" max="2034" width="12.88671875" style="1" customWidth="1"/>
    <col min="2035" max="2035" width="11.109375" style="1" customWidth="1"/>
    <col min="2036" max="2036" width="14" style="1" customWidth="1"/>
    <col min="2037" max="2037" width="33" style="1" customWidth="1"/>
    <col min="2038" max="2038" width="6.6640625" style="1" customWidth="1"/>
    <col min="2039" max="2039" width="19" style="1" customWidth="1"/>
    <col min="2040" max="2040" width="19.109375" style="1" customWidth="1"/>
    <col min="2041" max="2041" width="21.33203125" style="1" customWidth="1"/>
    <col min="2042" max="2042" width="32.5546875" style="1" customWidth="1"/>
    <col min="2043" max="2043" width="16.88671875" style="1" customWidth="1"/>
    <col min="2044" max="2044" width="16.33203125" style="1" customWidth="1"/>
    <col min="2045" max="2275" width="10.33203125" style="1"/>
    <col min="2276" max="2276" width="4.44140625" style="1" customWidth="1"/>
    <col min="2277" max="2277" width="21.6640625" style="1" customWidth="1"/>
    <col min="2278" max="2278" width="15" style="1" customWidth="1"/>
    <col min="2279" max="2279" width="15.44140625" style="1" customWidth="1"/>
    <col min="2280" max="2280" width="11.5546875" style="1" customWidth="1"/>
    <col min="2281" max="2281" width="7.44140625" style="1" customWidth="1"/>
    <col min="2282" max="2282" width="14.109375" style="1" customWidth="1"/>
    <col min="2283" max="2283" width="10.6640625" style="1" customWidth="1"/>
    <col min="2284" max="2284" width="13.44140625" style="1" customWidth="1"/>
    <col min="2285" max="2285" width="11.44140625" style="1" customWidth="1"/>
    <col min="2286" max="2286" width="15" style="1" customWidth="1"/>
    <col min="2287" max="2287" width="14.5546875" style="1" customWidth="1"/>
    <col min="2288" max="2288" width="10.33203125" style="1"/>
    <col min="2289" max="2289" width="7.44140625" style="1" customWidth="1"/>
    <col min="2290" max="2290" width="12.88671875" style="1" customWidth="1"/>
    <col min="2291" max="2291" width="11.109375" style="1" customWidth="1"/>
    <col min="2292" max="2292" width="14" style="1" customWidth="1"/>
    <col min="2293" max="2293" width="33" style="1" customWidth="1"/>
    <col min="2294" max="2294" width="6.6640625" style="1" customWidth="1"/>
    <col min="2295" max="2295" width="19" style="1" customWidth="1"/>
    <col min="2296" max="2296" width="19.109375" style="1" customWidth="1"/>
    <col min="2297" max="2297" width="21.33203125" style="1" customWidth="1"/>
    <col min="2298" max="2298" width="32.5546875" style="1" customWidth="1"/>
    <col min="2299" max="2299" width="16.88671875" style="1" customWidth="1"/>
    <col min="2300" max="2300" width="16.33203125" style="1" customWidth="1"/>
    <col min="2301" max="2531" width="10.33203125" style="1"/>
    <col min="2532" max="2532" width="4.44140625" style="1" customWidth="1"/>
    <col min="2533" max="2533" width="21.6640625" style="1" customWidth="1"/>
    <col min="2534" max="2534" width="15" style="1" customWidth="1"/>
    <col min="2535" max="2535" width="15.44140625" style="1" customWidth="1"/>
    <col min="2536" max="2536" width="11.5546875" style="1" customWidth="1"/>
    <col min="2537" max="2537" width="7.44140625" style="1" customWidth="1"/>
    <col min="2538" max="2538" width="14.109375" style="1" customWidth="1"/>
    <col min="2539" max="2539" width="10.6640625" style="1" customWidth="1"/>
    <col min="2540" max="2540" width="13.44140625" style="1" customWidth="1"/>
    <col min="2541" max="2541" width="11.44140625" style="1" customWidth="1"/>
    <col min="2542" max="2542" width="15" style="1" customWidth="1"/>
    <col min="2543" max="2543" width="14.5546875" style="1" customWidth="1"/>
    <col min="2544" max="2544" width="10.33203125" style="1"/>
    <col min="2545" max="2545" width="7.44140625" style="1" customWidth="1"/>
    <col min="2546" max="2546" width="12.88671875" style="1" customWidth="1"/>
    <col min="2547" max="2547" width="11.109375" style="1" customWidth="1"/>
    <col min="2548" max="2548" width="14" style="1" customWidth="1"/>
    <col min="2549" max="2549" width="33" style="1" customWidth="1"/>
    <col min="2550" max="2550" width="6.6640625" style="1" customWidth="1"/>
    <col min="2551" max="2551" width="19" style="1" customWidth="1"/>
    <col min="2552" max="2552" width="19.109375" style="1" customWidth="1"/>
    <col min="2553" max="2553" width="21.33203125" style="1" customWidth="1"/>
    <col min="2554" max="2554" width="32.5546875" style="1" customWidth="1"/>
    <col min="2555" max="2555" width="16.88671875" style="1" customWidth="1"/>
    <col min="2556" max="2556" width="16.33203125" style="1" customWidth="1"/>
    <col min="2557" max="2787" width="10.33203125" style="1"/>
    <col min="2788" max="2788" width="4.44140625" style="1" customWidth="1"/>
    <col min="2789" max="2789" width="21.6640625" style="1" customWidth="1"/>
    <col min="2790" max="2790" width="15" style="1" customWidth="1"/>
    <col min="2791" max="2791" width="15.44140625" style="1" customWidth="1"/>
    <col min="2792" max="2792" width="11.5546875" style="1" customWidth="1"/>
    <col min="2793" max="2793" width="7.44140625" style="1" customWidth="1"/>
    <col min="2794" max="2794" width="14.109375" style="1" customWidth="1"/>
    <col min="2795" max="2795" width="10.6640625" style="1" customWidth="1"/>
    <col min="2796" max="2796" width="13.44140625" style="1" customWidth="1"/>
    <col min="2797" max="2797" width="11.44140625" style="1" customWidth="1"/>
    <col min="2798" max="2798" width="15" style="1" customWidth="1"/>
    <col min="2799" max="2799" width="14.5546875" style="1" customWidth="1"/>
    <col min="2800" max="2800" width="10.33203125" style="1"/>
    <col min="2801" max="2801" width="7.44140625" style="1" customWidth="1"/>
    <col min="2802" max="2802" width="12.88671875" style="1" customWidth="1"/>
    <col min="2803" max="2803" width="11.109375" style="1" customWidth="1"/>
    <col min="2804" max="2804" width="14" style="1" customWidth="1"/>
    <col min="2805" max="2805" width="33" style="1" customWidth="1"/>
    <col min="2806" max="2806" width="6.6640625" style="1" customWidth="1"/>
    <col min="2807" max="2807" width="19" style="1" customWidth="1"/>
    <col min="2808" max="2808" width="19.109375" style="1" customWidth="1"/>
    <col min="2809" max="2809" width="21.33203125" style="1" customWidth="1"/>
    <col min="2810" max="2810" width="32.5546875" style="1" customWidth="1"/>
    <col min="2811" max="2811" width="16.88671875" style="1" customWidth="1"/>
    <col min="2812" max="2812" width="16.33203125" style="1" customWidth="1"/>
    <col min="2813" max="3043" width="10.33203125" style="1"/>
    <col min="3044" max="3044" width="4.44140625" style="1" customWidth="1"/>
    <col min="3045" max="3045" width="21.6640625" style="1" customWidth="1"/>
    <col min="3046" max="3046" width="15" style="1" customWidth="1"/>
    <col min="3047" max="3047" width="15.44140625" style="1" customWidth="1"/>
    <col min="3048" max="3048" width="11.5546875" style="1" customWidth="1"/>
    <col min="3049" max="3049" width="7.44140625" style="1" customWidth="1"/>
    <col min="3050" max="3050" width="14.109375" style="1" customWidth="1"/>
    <col min="3051" max="3051" width="10.6640625" style="1" customWidth="1"/>
    <col min="3052" max="3052" width="13.44140625" style="1" customWidth="1"/>
    <col min="3053" max="3053" width="11.44140625" style="1" customWidth="1"/>
    <col min="3054" max="3054" width="15" style="1" customWidth="1"/>
    <col min="3055" max="3055" width="14.5546875" style="1" customWidth="1"/>
    <col min="3056" max="3056" width="10.33203125" style="1"/>
    <col min="3057" max="3057" width="7.44140625" style="1" customWidth="1"/>
    <col min="3058" max="3058" width="12.88671875" style="1" customWidth="1"/>
    <col min="3059" max="3059" width="11.109375" style="1" customWidth="1"/>
    <col min="3060" max="3060" width="14" style="1" customWidth="1"/>
    <col min="3061" max="3061" width="33" style="1" customWidth="1"/>
    <col min="3062" max="3062" width="6.6640625" style="1" customWidth="1"/>
    <col min="3063" max="3063" width="19" style="1" customWidth="1"/>
    <col min="3064" max="3064" width="19.109375" style="1" customWidth="1"/>
    <col min="3065" max="3065" width="21.33203125" style="1" customWidth="1"/>
    <col min="3066" max="3066" width="32.5546875" style="1" customWidth="1"/>
    <col min="3067" max="3067" width="16.88671875" style="1" customWidth="1"/>
    <col min="3068" max="3068" width="16.33203125" style="1" customWidth="1"/>
    <col min="3069" max="3299" width="10.33203125" style="1"/>
    <col min="3300" max="3300" width="4.44140625" style="1" customWidth="1"/>
    <col min="3301" max="3301" width="21.6640625" style="1" customWidth="1"/>
    <col min="3302" max="3302" width="15" style="1" customWidth="1"/>
    <col min="3303" max="3303" width="15.44140625" style="1" customWidth="1"/>
    <col min="3304" max="3304" width="11.5546875" style="1" customWidth="1"/>
    <col min="3305" max="3305" width="7.44140625" style="1" customWidth="1"/>
    <col min="3306" max="3306" width="14.109375" style="1" customWidth="1"/>
    <col min="3307" max="3307" width="10.6640625" style="1" customWidth="1"/>
    <col min="3308" max="3308" width="13.44140625" style="1" customWidth="1"/>
    <col min="3309" max="3309" width="11.44140625" style="1" customWidth="1"/>
    <col min="3310" max="3310" width="15" style="1" customWidth="1"/>
    <col min="3311" max="3311" width="14.5546875" style="1" customWidth="1"/>
    <col min="3312" max="3312" width="10.33203125" style="1"/>
    <col min="3313" max="3313" width="7.44140625" style="1" customWidth="1"/>
    <col min="3314" max="3314" width="12.88671875" style="1" customWidth="1"/>
    <col min="3315" max="3315" width="11.109375" style="1" customWidth="1"/>
    <col min="3316" max="3316" width="14" style="1" customWidth="1"/>
    <col min="3317" max="3317" width="33" style="1" customWidth="1"/>
    <col min="3318" max="3318" width="6.6640625" style="1" customWidth="1"/>
    <col min="3319" max="3319" width="19" style="1" customWidth="1"/>
    <col min="3320" max="3320" width="19.109375" style="1" customWidth="1"/>
    <col min="3321" max="3321" width="21.33203125" style="1" customWidth="1"/>
    <col min="3322" max="3322" width="32.5546875" style="1" customWidth="1"/>
    <col min="3323" max="3323" width="16.88671875" style="1" customWidth="1"/>
    <col min="3324" max="3324" width="16.33203125" style="1" customWidth="1"/>
    <col min="3325" max="3555" width="10.33203125" style="1"/>
    <col min="3556" max="3556" width="4.44140625" style="1" customWidth="1"/>
    <col min="3557" max="3557" width="21.6640625" style="1" customWidth="1"/>
    <col min="3558" max="3558" width="15" style="1" customWidth="1"/>
    <col min="3559" max="3559" width="15.44140625" style="1" customWidth="1"/>
    <col min="3560" max="3560" width="11.5546875" style="1" customWidth="1"/>
    <col min="3561" max="3561" width="7.44140625" style="1" customWidth="1"/>
    <col min="3562" max="3562" width="14.109375" style="1" customWidth="1"/>
    <col min="3563" max="3563" width="10.6640625" style="1" customWidth="1"/>
    <col min="3564" max="3564" width="13.44140625" style="1" customWidth="1"/>
    <col min="3565" max="3565" width="11.44140625" style="1" customWidth="1"/>
    <col min="3566" max="3566" width="15" style="1" customWidth="1"/>
    <col min="3567" max="3567" width="14.5546875" style="1" customWidth="1"/>
    <col min="3568" max="3568" width="10.33203125" style="1"/>
    <col min="3569" max="3569" width="7.44140625" style="1" customWidth="1"/>
    <col min="3570" max="3570" width="12.88671875" style="1" customWidth="1"/>
    <col min="3571" max="3571" width="11.109375" style="1" customWidth="1"/>
    <col min="3572" max="3572" width="14" style="1" customWidth="1"/>
    <col min="3573" max="3573" width="33" style="1" customWidth="1"/>
    <col min="3574" max="3574" width="6.6640625" style="1" customWidth="1"/>
    <col min="3575" max="3575" width="19" style="1" customWidth="1"/>
    <col min="3576" max="3576" width="19.109375" style="1" customWidth="1"/>
    <col min="3577" max="3577" width="21.33203125" style="1" customWidth="1"/>
    <col min="3578" max="3578" width="32.5546875" style="1" customWidth="1"/>
    <col min="3579" max="3579" width="16.88671875" style="1" customWidth="1"/>
    <col min="3580" max="3580" width="16.33203125" style="1" customWidth="1"/>
    <col min="3581" max="3811" width="10.33203125" style="1"/>
    <col min="3812" max="3812" width="4.44140625" style="1" customWidth="1"/>
    <col min="3813" max="3813" width="21.6640625" style="1" customWidth="1"/>
    <col min="3814" max="3814" width="15" style="1" customWidth="1"/>
    <col min="3815" max="3815" width="15.44140625" style="1" customWidth="1"/>
    <col min="3816" max="3816" width="11.5546875" style="1" customWidth="1"/>
    <col min="3817" max="3817" width="7.44140625" style="1" customWidth="1"/>
    <col min="3818" max="3818" width="14.109375" style="1" customWidth="1"/>
    <col min="3819" max="3819" width="10.6640625" style="1" customWidth="1"/>
    <col min="3820" max="3820" width="13.44140625" style="1" customWidth="1"/>
    <col min="3821" max="3821" width="11.44140625" style="1" customWidth="1"/>
    <col min="3822" max="3822" width="15" style="1" customWidth="1"/>
    <col min="3823" max="3823" width="14.5546875" style="1" customWidth="1"/>
    <col min="3824" max="3824" width="10.33203125" style="1"/>
    <col min="3825" max="3825" width="7.44140625" style="1" customWidth="1"/>
    <col min="3826" max="3826" width="12.88671875" style="1" customWidth="1"/>
    <col min="3827" max="3827" width="11.109375" style="1" customWidth="1"/>
    <col min="3828" max="3828" width="14" style="1" customWidth="1"/>
    <col min="3829" max="3829" width="33" style="1" customWidth="1"/>
    <col min="3830" max="3830" width="6.6640625" style="1" customWidth="1"/>
    <col min="3831" max="3831" width="19" style="1" customWidth="1"/>
    <col min="3832" max="3832" width="19.109375" style="1" customWidth="1"/>
    <col min="3833" max="3833" width="21.33203125" style="1" customWidth="1"/>
    <col min="3834" max="3834" width="32.5546875" style="1" customWidth="1"/>
    <col min="3835" max="3835" width="16.88671875" style="1" customWidth="1"/>
    <col min="3836" max="3836" width="16.33203125" style="1" customWidth="1"/>
    <col min="3837" max="4067" width="10.33203125" style="1"/>
    <col min="4068" max="4068" width="4.44140625" style="1" customWidth="1"/>
    <col min="4069" max="4069" width="21.6640625" style="1" customWidth="1"/>
    <col min="4070" max="4070" width="15" style="1" customWidth="1"/>
    <col min="4071" max="4071" width="15.44140625" style="1" customWidth="1"/>
    <col min="4072" max="4072" width="11.5546875" style="1" customWidth="1"/>
    <col min="4073" max="4073" width="7.44140625" style="1" customWidth="1"/>
    <col min="4074" max="4074" width="14.109375" style="1" customWidth="1"/>
    <col min="4075" max="4075" width="10.6640625" style="1" customWidth="1"/>
    <col min="4076" max="4076" width="13.44140625" style="1" customWidth="1"/>
    <col min="4077" max="4077" width="11.44140625" style="1" customWidth="1"/>
    <col min="4078" max="4078" width="15" style="1" customWidth="1"/>
    <col min="4079" max="4079" width="14.5546875" style="1" customWidth="1"/>
    <col min="4080" max="4080" width="10.33203125" style="1"/>
    <col min="4081" max="4081" width="7.44140625" style="1" customWidth="1"/>
    <col min="4082" max="4082" width="12.88671875" style="1" customWidth="1"/>
    <col min="4083" max="4083" width="11.109375" style="1" customWidth="1"/>
    <col min="4084" max="4084" width="14" style="1" customWidth="1"/>
    <col min="4085" max="4085" width="33" style="1" customWidth="1"/>
    <col min="4086" max="4086" width="6.6640625" style="1" customWidth="1"/>
    <col min="4087" max="4087" width="19" style="1" customWidth="1"/>
    <col min="4088" max="4088" width="19.109375" style="1" customWidth="1"/>
    <col min="4089" max="4089" width="21.33203125" style="1" customWidth="1"/>
    <col min="4090" max="4090" width="32.5546875" style="1" customWidth="1"/>
    <col min="4091" max="4091" width="16.88671875" style="1" customWidth="1"/>
    <col min="4092" max="4092" width="16.33203125" style="1" customWidth="1"/>
    <col min="4093" max="4323" width="10.33203125" style="1"/>
    <col min="4324" max="4324" width="4.44140625" style="1" customWidth="1"/>
    <col min="4325" max="4325" width="21.6640625" style="1" customWidth="1"/>
    <col min="4326" max="4326" width="15" style="1" customWidth="1"/>
    <col min="4327" max="4327" width="15.44140625" style="1" customWidth="1"/>
    <col min="4328" max="4328" width="11.5546875" style="1" customWidth="1"/>
    <col min="4329" max="4329" width="7.44140625" style="1" customWidth="1"/>
    <col min="4330" max="4330" width="14.109375" style="1" customWidth="1"/>
    <col min="4331" max="4331" width="10.6640625" style="1" customWidth="1"/>
    <col min="4332" max="4332" width="13.44140625" style="1" customWidth="1"/>
    <col min="4333" max="4333" width="11.44140625" style="1" customWidth="1"/>
    <col min="4334" max="4334" width="15" style="1" customWidth="1"/>
    <col min="4335" max="4335" width="14.5546875" style="1" customWidth="1"/>
    <col min="4336" max="4336" width="10.33203125" style="1"/>
    <col min="4337" max="4337" width="7.44140625" style="1" customWidth="1"/>
    <col min="4338" max="4338" width="12.88671875" style="1" customWidth="1"/>
    <col min="4339" max="4339" width="11.109375" style="1" customWidth="1"/>
    <col min="4340" max="4340" width="14" style="1" customWidth="1"/>
    <col min="4341" max="4341" width="33" style="1" customWidth="1"/>
    <col min="4342" max="4342" width="6.6640625" style="1" customWidth="1"/>
    <col min="4343" max="4343" width="19" style="1" customWidth="1"/>
    <col min="4344" max="4344" width="19.109375" style="1" customWidth="1"/>
    <col min="4345" max="4345" width="21.33203125" style="1" customWidth="1"/>
    <col min="4346" max="4346" width="32.5546875" style="1" customWidth="1"/>
    <col min="4347" max="4347" width="16.88671875" style="1" customWidth="1"/>
    <col min="4348" max="4348" width="16.33203125" style="1" customWidth="1"/>
    <col min="4349" max="4579" width="10.33203125" style="1"/>
    <col min="4580" max="4580" width="4.44140625" style="1" customWidth="1"/>
    <col min="4581" max="4581" width="21.6640625" style="1" customWidth="1"/>
    <col min="4582" max="4582" width="15" style="1" customWidth="1"/>
    <col min="4583" max="4583" width="15.44140625" style="1" customWidth="1"/>
    <col min="4584" max="4584" width="11.5546875" style="1" customWidth="1"/>
    <col min="4585" max="4585" width="7.44140625" style="1" customWidth="1"/>
    <col min="4586" max="4586" width="14.109375" style="1" customWidth="1"/>
    <col min="4587" max="4587" width="10.6640625" style="1" customWidth="1"/>
    <col min="4588" max="4588" width="13.44140625" style="1" customWidth="1"/>
    <col min="4589" max="4589" width="11.44140625" style="1" customWidth="1"/>
    <col min="4590" max="4590" width="15" style="1" customWidth="1"/>
    <col min="4591" max="4591" width="14.5546875" style="1" customWidth="1"/>
    <col min="4592" max="4592" width="10.33203125" style="1"/>
    <col min="4593" max="4593" width="7.44140625" style="1" customWidth="1"/>
    <col min="4594" max="4594" width="12.88671875" style="1" customWidth="1"/>
    <col min="4595" max="4595" width="11.109375" style="1" customWidth="1"/>
    <col min="4596" max="4596" width="14" style="1" customWidth="1"/>
    <col min="4597" max="4597" width="33" style="1" customWidth="1"/>
    <col min="4598" max="4598" width="6.6640625" style="1" customWidth="1"/>
    <col min="4599" max="4599" width="19" style="1" customWidth="1"/>
    <col min="4600" max="4600" width="19.109375" style="1" customWidth="1"/>
    <col min="4601" max="4601" width="21.33203125" style="1" customWidth="1"/>
    <col min="4602" max="4602" width="32.5546875" style="1" customWidth="1"/>
    <col min="4603" max="4603" width="16.88671875" style="1" customWidth="1"/>
    <col min="4604" max="4604" width="16.33203125" style="1" customWidth="1"/>
    <col min="4605" max="4835" width="10.33203125" style="1"/>
    <col min="4836" max="4836" width="4.44140625" style="1" customWidth="1"/>
    <col min="4837" max="4837" width="21.6640625" style="1" customWidth="1"/>
    <col min="4838" max="4838" width="15" style="1" customWidth="1"/>
    <col min="4839" max="4839" width="15.44140625" style="1" customWidth="1"/>
    <col min="4840" max="4840" width="11.5546875" style="1" customWidth="1"/>
    <col min="4841" max="4841" width="7.44140625" style="1" customWidth="1"/>
    <col min="4842" max="4842" width="14.109375" style="1" customWidth="1"/>
    <col min="4843" max="4843" width="10.6640625" style="1" customWidth="1"/>
    <col min="4844" max="4844" width="13.44140625" style="1" customWidth="1"/>
    <col min="4845" max="4845" width="11.44140625" style="1" customWidth="1"/>
    <col min="4846" max="4846" width="15" style="1" customWidth="1"/>
    <col min="4847" max="4847" width="14.5546875" style="1" customWidth="1"/>
    <col min="4848" max="4848" width="10.33203125" style="1"/>
    <col min="4849" max="4849" width="7.44140625" style="1" customWidth="1"/>
    <col min="4850" max="4850" width="12.88671875" style="1" customWidth="1"/>
    <col min="4851" max="4851" width="11.109375" style="1" customWidth="1"/>
    <col min="4852" max="4852" width="14" style="1" customWidth="1"/>
    <col min="4853" max="4853" width="33" style="1" customWidth="1"/>
    <col min="4854" max="4854" width="6.6640625" style="1" customWidth="1"/>
    <col min="4855" max="4855" width="19" style="1" customWidth="1"/>
    <col min="4856" max="4856" width="19.109375" style="1" customWidth="1"/>
    <col min="4857" max="4857" width="21.33203125" style="1" customWidth="1"/>
    <col min="4858" max="4858" width="32.5546875" style="1" customWidth="1"/>
    <col min="4859" max="4859" width="16.88671875" style="1" customWidth="1"/>
    <col min="4860" max="4860" width="16.33203125" style="1" customWidth="1"/>
    <col min="4861" max="5091" width="10.33203125" style="1"/>
    <col min="5092" max="5092" width="4.44140625" style="1" customWidth="1"/>
    <col min="5093" max="5093" width="21.6640625" style="1" customWidth="1"/>
    <col min="5094" max="5094" width="15" style="1" customWidth="1"/>
    <col min="5095" max="5095" width="15.44140625" style="1" customWidth="1"/>
    <col min="5096" max="5096" width="11.5546875" style="1" customWidth="1"/>
    <col min="5097" max="5097" width="7.44140625" style="1" customWidth="1"/>
    <col min="5098" max="5098" width="14.109375" style="1" customWidth="1"/>
    <col min="5099" max="5099" width="10.6640625" style="1" customWidth="1"/>
    <col min="5100" max="5100" width="13.44140625" style="1" customWidth="1"/>
    <col min="5101" max="5101" width="11.44140625" style="1" customWidth="1"/>
    <col min="5102" max="5102" width="15" style="1" customWidth="1"/>
    <col min="5103" max="5103" width="14.5546875" style="1" customWidth="1"/>
    <col min="5104" max="5104" width="10.33203125" style="1"/>
    <col min="5105" max="5105" width="7.44140625" style="1" customWidth="1"/>
    <col min="5106" max="5106" width="12.88671875" style="1" customWidth="1"/>
    <col min="5107" max="5107" width="11.109375" style="1" customWidth="1"/>
    <col min="5108" max="5108" width="14" style="1" customWidth="1"/>
    <col min="5109" max="5109" width="33" style="1" customWidth="1"/>
    <col min="5110" max="5110" width="6.6640625" style="1" customWidth="1"/>
    <col min="5111" max="5111" width="19" style="1" customWidth="1"/>
    <col min="5112" max="5112" width="19.109375" style="1" customWidth="1"/>
    <col min="5113" max="5113" width="21.33203125" style="1" customWidth="1"/>
    <col min="5114" max="5114" width="32.5546875" style="1" customWidth="1"/>
    <col min="5115" max="5115" width="16.88671875" style="1" customWidth="1"/>
    <col min="5116" max="5116" width="16.33203125" style="1" customWidth="1"/>
    <col min="5117" max="5347" width="10.33203125" style="1"/>
    <col min="5348" max="5348" width="4.44140625" style="1" customWidth="1"/>
    <col min="5349" max="5349" width="21.6640625" style="1" customWidth="1"/>
    <col min="5350" max="5350" width="15" style="1" customWidth="1"/>
    <col min="5351" max="5351" width="15.44140625" style="1" customWidth="1"/>
    <col min="5352" max="5352" width="11.5546875" style="1" customWidth="1"/>
    <col min="5353" max="5353" width="7.44140625" style="1" customWidth="1"/>
    <col min="5354" max="5354" width="14.109375" style="1" customWidth="1"/>
    <col min="5355" max="5355" width="10.6640625" style="1" customWidth="1"/>
    <col min="5356" max="5356" width="13.44140625" style="1" customWidth="1"/>
    <col min="5357" max="5357" width="11.44140625" style="1" customWidth="1"/>
    <col min="5358" max="5358" width="15" style="1" customWidth="1"/>
    <col min="5359" max="5359" width="14.5546875" style="1" customWidth="1"/>
    <col min="5360" max="5360" width="10.33203125" style="1"/>
    <col min="5361" max="5361" width="7.44140625" style="1" customWidth="1"/>
    <col min="5362" max="5362" width="12.88671875" style="1" customWidth="1"/>
    <col min="5363" max="5363" width="11.109375" style="1" customWidth="1"/>
    <col min="5364" max="5364" width="14" style="1" customWidth="1"/>
    <col min="5365" max="5365" width="33" style="1" customWidth="1"/>
    <col min="5366" max="5366" width="6.6640625" style="1" customWidth="1"/>
    <col min="5367" max="5367" width="19" style="1" customWidth="1"/>
    <col min="5368" max="5368" width="19.109375" style="1" customWidth="1"/>
    <col min="5369" max="5369" width="21.33203125" style="1" customWidth="1"/>
    <col min="5370" max="5370" width="32.5546875" style="1" customWidth="1"/>
    <col min="5371" max="5371" width="16.88671875" style="1" customWidth="1"/>
    <col min="5372" max="5372" width="16.33203125" style="1" customWidth="1"/>
    <col min="5373" max="5603" width="10.33203125" style="1"/>
    <col min="5604" max="5604" width="4.44140625" style="1" customWidth="1"/>
    <col min="5605" max="5605" width="21.6640625" style="1" customWidth="1"/>
    <col min="5606" max="5606" width="15" style="1" customWidth="1"/>
    <col min="5607" max="5607" width="15.44140625" style="1" customWidth="1"/>
    <col min="5608" max="5608" width="11.5546875" style="1" customWidth="1"/>
    <col min="5609" max="5609" width="7.44140625" style="1" customWidth="1"/>
    <col min="5610" max="5610" width="14.109375" style="1" customWidth="1"/>
    <col min="5611" max="5611" width="10.6640625" style="1" customWidth="1"/>
    <col min="5612" max="5612" width="13.44140625" style="1" customWidth="1"/>
    <col min="5613" max="5613" width="11.44140625" style="1" customWidth="1"/>
    <col min="5614" max="5614" width="15" style="1" customWidth="1"/>
    <col min="5615" max="5615" width="14.5546875" style="1" customWidth="1"/>
    <col min="5616" max="5616" width="10.33203125" style="1"/>
    <col min="5617" max="5617" width="7.44140625" style="1" customWidth="1"/>
    <col min="5618" max="5618" width="12.88671875" style="1" customWidth="1"/>
    <col min="5619" max="5619" width="11.109375" style="1" customWidth="1"/>
    <col min="5620" max="5620" width="14" style="1" customWidth="1"/>
    <col min="5621" max="5621" width="33" style="1" customWidth="1"/>
    <col min="5622" max="5622" width="6.6640625" style="1" customWidth="1"/>
    <col min="5623" max="5623" width="19" style="1" customWidth="1"/>
    <col min="5624" max="5624" width="19.109375" style="1" customWidth="1"/>
    <col min="5625" max="5625" width="21.33203125" style="1" customWidth="1"/>
    <col min="5626" max="5626" width="32.5546875" style="1" customWidth="1"/>
    <col min="5627" max="5627" width="16.88671875" style="1" customWidth="1"/>
    <col min="5628" max="5628" width="16.33203125" style="1" customWidth="1"/>
    <col min="5629" max="5859" width="10.33203125" style="1"/>
    <col min="5860" max="5860" width="4.44140625" style="1" customWidth="1"/>
    <col min="5861" max="5861" width="21.6640625" style="1" customWidth="1"/>
    <col min="5862" max="5862" width="15" style="1" customWidth="1"/>
    <col min="5863" max="5863" width="15.44140625" style="1" customWidth="1"/>
    <col min="5864" max="5864" width="11.5546875" style="1" customWidth="1"/>
    <col min="5865" max="5865" width="7.44140625" style="1" customWidth="1"/>
    <col min="5866" max="5866" width="14.109375" style="1" customWidth="1"/>
    <col min="5867" max="5867" width="10.6640625" style="1" customWidth="1"/>
    <col min="5868" max="5868" width="13.44140625" style="1" customWidth="1"/>
    <col min="5869" max="5869" width="11.44140625" style="1" customWidth="1"/>
    <col min="5870" max="5870" width="15" style="1" customWidth="1"/>
    <col min="5871" max="5871" width="14.5546875" style="1" customWidth="1"/>
    <col min="5872" max="5872" width="10.33203125" style="1"/>
    <col min="5873" max="5873" width="7.44140625" style="1" customWidth="1"/>
    <col min="5874" max="5874" width="12.88671875" style="1" customWidth="1"/>
    <col min="5875" max="5875" width="11.109375" style="1" customWidth="1"/>
    <col min="5876" max="5876" width="14" style="1" customWidth="1"/>
    <col min="5877" max="5877" width="33" style="1" customWidth="1"/>
    <col min="5878" max="5878" width="6.6640625" style="1" customWidth="1"/>
    <col min="5879" max="5879" width="19" style="1" customWidth="1"/>
    <col min="5880" max="5880" width="19.109375" style="1" customWidth="1"/>
    <col min="5881" max="5881" width="21.33203125" style="1" customWidth="1"/>
    <col min="5882" max="5882" width="32.5546875" style="1" customWidth="1"/>
    <col min="5883" max="5883" width="16.88671875" style="1" customWidth="1"/>
    <col min="5884" max="5884" width="16.33203125" style="1" customWidth="1"/>
    <col min="5885" max="6115" width="10.33203125" style="1"/>
    <col min="6116" max="6116" width="4.44140625" style="1" customWidth="1"/>
    <col min="6117" max="6117" width="21.6640625" style="1" customWidth="1"/>
    <col min="6118" max="6118" width="15" style="1" customWidth="1"/>
    <col min="6119" max="6119" width="15.44140625" style="1" customWidth="1"/>
    <col min="6120" max="6120" width="11.5546875" style="1" customWidth="1"/>
    <col min="6121" max="6121" width="7.44140625" style="1" customWidth="1"/>
    <col min="6122" max="6122" width="14.109375" style="1" customWidth="1"/>
    <col min="6123" max="6123" width="10.6640625" style="1" customWidth="1"/>
    <col min="6124" max="6124" width="13.44140625" style="1" customWidth="1"/>
    <col min="6125" max="6125" width="11.44140625" style="1" customWidth="1"/>
    <col min="6126" max="6126" width="15" style="1" customWidth="1"/>
    <col min="6127" max="6127" width="14.5546875" style="1" customWidth="1"/>
    <col min="6128" max="6128" width="10.33203125" style="1"/>
    <col min="6129" max="6129" width="7.44140625" style="1" customWidth="1"/>
    <col min="6130" max="6130" width="12.88671875" style="1" customWidth="1"/>
    <col min="6131" max="6131" width="11.109375" style="1" customWidth="1"/>
    <col min="6132" max="6132" width="14" style="1" customWidth="1"/>
    <col min="6133" max="6133" width="33" style="1" customWidth="1"/>
    <col min="6134" max="6134" width="6.6640625" style="1" customWidth="1"/>
    <col min="6135" max="6135" width="19" style="1" customWidth="1"/>
    <col min="6136" max="6136" width="19.109375" style="1" customWidth="1"/>
    <col min="6137" max="6137" width="21.33203125" style="1" customWidth="1"/>
    <col min="6138" max="6138" width="32.5546875" style="1" customWidth="1"/>
    <col min="6139" max="6139" width="16.88671875" style="1" customWidth="1"/>
    <col min="6140" max="6140" width="16.33203125" style="1" customWidth="1"/>
    <col min="6141" max="6371" width="10.33203125" style="1"/>
    <col min="6372" max="6372" width="4.44140625" style="1" customWidth="1"/>
    <col min="6373" max="6373" width="21.6640625" style="1" customWidth="1"/>
    <col min="6374" max="6374" width="15" style="1" customWidth="1"/>
    <col min="6375" max="6375" width="15.44140625" style="1" customWidth="1"/>
    <col min="6376" max="6376" width="11.5546875" style="1" customWidth="1"/>
    <col min="6377" max="6377" width="7.44140625" style="1" customWidth="1"/>
    <col min="6378" max="6378" width="14.109375" style="1" customWidth="1"/>
    <col min="6379" max="6379" width="10.6640625" style="1" customWidth="1"/>
    <col min="6380" max="6380" width="13.44140625" style="1" customWidth="1"/>
    <col min="6381" max="6381" width="11.44140625" style="1" customWidth="1"/>
    <col min="6382" max="6382" width="15" style="1" customWidth="1"/>
    <col min="6383" max="6383" width="14.5546875" style="1" customWidth="1"/>
    <col min="6384" max="6384" width="10.33203125" style="1"/>
    <col min="6385" max="6385" width="7.44140625" style="1" customWidth="1"/>
    <col min="6386" max="6386" width="12.88671875" style="1" customWidth="1"/>
    <col min="6387" max="6387" width="11.109375" style="1" customWidth="1"/>
    <col min="6388" max="6388" width="14" style="1" customWidth="1"/>
    <col min="6389" max="6389" width="33" style="1" customWidth="1"/>
    <col min="6390" max="6390" width="6.6640625" style="1" customWidth="1"/>
    <col min="6391" max="6391" width="19" style="1" customWidth="1"/>
    <col min="6392" max="6392" width="19.109375" style="1" customWidth="1"/>
    <col min="6393" max="6393" width="21.33203125" style="1" customWidth="1"/>
    <col min="6394" max="6394" width="32.5546875" style="1" customWidth="1"/>
    <col min="6395" max="6395" width="16.88671875" style="1" customWidth="1"/>
    <col min="6396" max="6396" width="16.33203125" style="1" customWidth="1"/>
    <col min="6397" max="6627" width="10.33203125" style="1"/>
    <col min="6628" max="6628" width="4.44140625" style="1" customWidth="1"/>
    <col min="6629" max="6629" width="21.6640625" style="1" customWidth="1"/>
    <col min="6630" max="6630" width="15" style="1" customWidth="1"/>
    <col min="6631" max="6631" width="15.44140625" style="1" customWidth="1"/>
    <col min="6632" max="6632" width="11.5546875" style="1" customWidth="1"/>
    <col min="6633" max="6633" width="7.44140625" style="1" customWidth="1"/>
    <col min="6634" max="6634" width="14.109375" style="1" customWidth="1"/>
    <col min="6635" max="6635" width="10.6640625" style="1" customWidth="1"/>
    <col min="6636" max="6636" width="13.44140625" style="1" customWidth="1"/>
    <col min="6637" max="6637" width="11.44140625" style="1" customWidth="1"/>
    <col min="6638" max="6638" width="15" style="1" customWidth="1"/>
    <col min="6639" max="6639" width="14.5546875" style="1" customWidth="1"/>
    <col min="6640" max="6640" width="10.33203125" style="1"/>
    <col min="6641" max="6641" width="7.44140625" style="1" customWidth="1"/>
    <col min="6642" max="6642" width="12.88671875" style="1" customWidth="1"/>
    <col min="6643" max="6643" width="11.109375" style="1" customWidth="1"/>
    <col min="6644" max="6644" width="14" style="1" customWidth="1"/>
    <col min="6645" max="6645" width="33" style="1" customWidth="1"/>
    <col min="6646" max="6646" width="6.6640625" style="1" customWidth="1"/>
    <col min="6647" max="6647" width="19" style="1" customWidth="1"/>
    <col min="6648" max="6648" width="19.109375" style="1" customWidth="1"/>
    <col min="6649" max="6649" width="21.33203125" style="1" customWidth="1"/>
    <col min="6650" max="6650" width="32.5546875" style="1" customWidth="1"/>
    <col min="6651" max="6651" width="16.88671875" style="1" customWidth="1"/>
    <col min="6652" max="6652" width="16.33203125" style="1" customWidth="1"/>
    <col min="6653" max="6883" width="10.33203125" style="1"/>
    <col min="6884" max="6884" width="4.44140625" style="1" customWidth="1"/>
    <col min="6885" max="6885" width="21.6640625" style="1" customWidth="1"/>
    <col min="6886" max="6886" width="15" style="1" customWidth="1"/>
    <col min="6887" max="6887" width="15.44140625" style="1" customWidth="1"/>
    <col min="6888" max="6888" width="11.5546875" style="1" customWidth="1"/>
    <col min="6889" max="6889" width="7.44140625" style="1" customWidth="1"/>
    <col min="6890" max="6890" width="14.109375" style="1" customWidth="1"/>
    <col min="6891" max="6891" width="10.6640625" style="1" customWidth="1"/>
    <col min="6892" max="6892" width="13.44140625" style="1" customWidth="1"/>
    <col min="6893" max="6893" width="11.44140625" style="1" customWidth="1"/>
    <col min="6894" max="6894" width="15" style="1" customWidth="1"/>
    <col min="6895" max="6895" width="14.5546875" style="1" customWidth="1"/>
    <col min="6896" max="6896" width="10.33203125" style="1"/>
    <col min="6897" max="6897" width="7.44140625" style="1" customWidth="1"/>
    <col min="6898" max="6898" width="12.88671875" style="1" customWidth="1"/>
    <col min="6899" max="6899" width="11.109375" style="1" customWidth="1"/>
    <col min="6900" max="6900" width="14" style="1" customWidth="1"/>
    <col min="6901" max="6901" width="33" style="1" customWidth="1"/>
    <col min="6902" max="6902" width="6.6640625" style="1" customWidth="1"/>
    <col min="6903" max="6903" width="19" style="1" customWidth="1"/>
    <col min="6904" max="6904" width="19.109375" style="1" customWidth="1"/>
    <col min="6905" max="6905" width="21.33203125" style="1" customWidth="1"/>
    <col min="6906" max="6906" width="32.5546875" style="1" customWidth="1"/>
    <col min="6907" max="6907" width="16.88671875" style="1" customWidth="1"/>
    <col min="6908" max="6908" width="16.33203125" style="1" customWidth="1"/>
    <col min="6909" max="7139" width="10.33203125" style="1"/>
    <col min="7140" max="7140" width="4.44140625" style="1" customWidth="1"/>
    <col min="7141" max="7141" width="21.6640625" style="1" customWidth="1"/>
    <col min="7142" max="7142" width="15" style="1" customWidth="1"/>
    <col min="7143" max="7143" width="15.44140625" style="1" customWidth="1"/>
    <col min="7144" max="7144" width="11.5546875" style="1" customWidth="1"/>
    <col min="7145" max="7145" width="7.44140625" style="1" customWidth="1"/>
    <col min="7146" max="7146" width="14.109375" style="1" customWidth="1"/>
    <col min="7147" max="7147" width="10.6640625" style="1" customWidth="1"/>
    <col min="7148" max="7148" width="13.44140625" style="1" customWidth="1"/>
    <col min="7149" max="7149" width="11.44140625" style="1" customWidth="1"/>
    <col min="7150" max="7150" width="15" style="1" customWidth="1"/>
    <col min="7151" max="7151" width="14.5546875" style="1" customWidth="1"/>
    <col min="7152" max="7152" width="10.33203125" style="1"/>
    <col min="7153" max="7153" width="7.44140625" style="1" customWidth="1"/>
    <col min="7154" max="7154" width="12.88671875" style="1" customWidth="1"/>
    <col min="7155" max="7155" width="11.109375" style="1" customWidth="1"/>
    <col min="7156" max="7156" width="14" style="1" customWidth="1"/>
    <col min="7157" max="7157" width="33" style="1" customWidth="1"/>
    <col min="7158" max="7158" width="6.6640625" style="1" customWidth="1"/>
    <col min="7159" max="7159" width="19" style="1" customWidth="1"/>
    <col min="7160" max="7160" width="19.109375" style="1" customWidth="1"/>
    <col min="7161" max="7161" width="21.33203125" style="1" customWidth="1"/>
    <col min="7162" max="7162" width="32.5546875" style="1" customWidth="1"/>
    <col min="7163" max="7163" width="16.88671875" style="1" customWidth="1"/>
    <col min="7164" max="7164" width="16.33203125" style="1" customWidth="1"/>
    <col min="7165" max="7395" width="10.33203125" style="1"/>
    <col min="7396" max="7396" width="4.44140625" style="1" customWidth="1"/>
    <col min="7397" max="7397" width="21.6640625" style="1" customWidth="1"/>
    <col min="7398" max="7398" width="15" style="1" customWidth="1"/>
    <col min="7399" max="7399" width="15.44140625" style="1" customWidth="1"/>
    <col min="7400" max="7400" width="11.5546875" style="1" customWidth="1"/>
    <col min="7401" max="7401" width="7.44140625" style="1" customWidth="1"/>
    <col min="7402" max="7402" width="14.109375" style="1" customWidth="1"/>
    <col min="7403" max="7403" width="10.6640625" style="1" customWidth="1"/>
    <col min="7404" max="7404" width="13.44140625" style="1" customWidth="1"/>
    <col min="7405" max="7405" width="11.44140625" style="1" customWidth="1"/>
    <col min="7406" max="7406" width="15" style="1" customWidth="1"/>
    <col min="7407" max="7407" width="14.5546875" style="1" customWidth="1"/>
    <col min="7408" max="7408" width="10.33203125" style="1"/>
    <col min="7409" max="7409" width="7.44140625" style="1" customWidth="1"/>
    <col min="7410" max="7410" width="12.88671875" style="1" customWidth="1"/>
    <col min="7411" max="7411" width="11.109375" style="1" customWidth="1"/>
    <col min="7412" max="7412" width="14" style="1" customWidth="1"/>
    <col min="7413" max="7413" width="33" style="1" customWidth="1"/>
    <col min="7414" max="7414" width="6.6640625" style="1" customWidth="1"/>
    <col min="7415" max="7415" width="19" style="1" customWidth="1"/>
    <col min="7416" max="7416" width="19.109375" style="1" customWidth="1"/>
    <col min="7417" max="7417" width="21.33203125" style="1" customWidth="1"/>
    <col min="7418" max="7418" width="32.5546875" style="1" customWidth="1"/>
    <col min="7419" max="7419" width="16.88671875" style="1" customWidth="1"/>
    <col min="7420" max="7420" width="16.33203125" style="1" customWidth="1"/>
    <col min="7421" max="7651" width="10.33203125" style="1"/>
    <col min="7652" max="7652" width="4.44140625" style="1" customWidth="1"/>
    <col min="7653" max="7653" width="21.6640625" style="1" customWidth="1"/>
    <col min="7654" max="7654" width="15" style="1" customWidth="1"/>
    <col min="7655" max="7655" width="15.44140625" style="1" customWidth="1"/>
    <col min="7656" max="7656" width="11.5546875" style="1" customWidth="1"/>
    <col min="7657" max="7657" width="7.44140625" style="1" customWidth="1"/>
    <col min="7658" max="7658" width="14.109375" style="1" customWidth="1"/>
    <col min="7659" max="7659" width="10.6640625" style="1" customWidth="1"/>
    <col min="7660" max="7660" width="13.44140625" style="1" customWidth="1"/>
    <col min="7661" max="7661" width="11.44140625" style="1" customWidth="1"/>
    <col min="7662" max="7662" width="15" style="1" customWidth="1"/>
    <col min="7663" max="7663" width="14.5546875" style="1" customWidth="1"/>
    <col min="7664" max="7664" width="10.33203125" style="1"/>
    <col min="7665" max="7665" width="7.44140625" style="1" customWidth="1"/>
    <col min="7666" max="7666" width="12.88671875" style="1" customWidth="1"/>
    <col min="7667" max="7667" width="11.109375" style="1" customWidth="1"/>
    <col min="7668" max="7668" width="14" style="1" customWidth="1"/>
    <col min="7669" max="7669" width="33" style="1" customWidth="1"/>
    <col min="7670" max="7670" width="6.6640625" style="1" customWidth="1"/>
    <col min="7671" max="7671" width="19" style="1" customWidth="1"/>
    <col min="7672" max="7672" width="19.109375" style="1" customWidth="1"/>
    <col min="7673" max="7673" width="21.33203125" style="1" customWidth="1"/>
    <col min="7674" max="7674" width="32.5546875" style="1" customWidth="1"/>
    <col min="7675" max="7675" width="16.88671875" style="1" customWidth="1"/>
    <col min="7676" max="7676" width="16.33203125" style="1" customWidth="1"/>
    <col min="7677" max="7907" width="10.33203125" style="1"/>
    <col min="7908" max="7908" width="4.44140625" style="1" customWidth="1"/>
    <col min="7909" max="7909" width="21.6640625" style="1" customWidth="1"/>
    <col min="7910" max="7910" width="15" style="1" customWidth="1"/>
    <col min="7911" max="7911" width="15.44140625" style="1" customWidth="1"/>
    <col min="7912" max="7912" width="11.5546875" style="1" customWidth="1"/>
    <col min="7913" max="7913" width="7.44140625" style="1" customWidth="1"/>
    <col min="7914" max="7914" width="14.109375" style="1" customWidth="1"/>
    <col min="7915" max="7915" width="10.6640625" style="1" customWidth="1"/>
    <col min="7916" max="7916" width="13.44140625" style="1" customWidth="1"/>
    <col min="7917" max="7917" width="11.44140625" style="1" customWidth="1"/>
    <col min="7918" max="7918" width="15" style="1" customWidth="1"/>
    <col min="7919" max="7919" width="14.5546875" style="1" customWidth="1"/>
    <col min="7920" max="7920" width="10.33203125" style="1"/>
    <col min="7921" max="7921" width="7.44140625" style="1" customWidth="1"/>
    <col min="7922" max="7922" width="12.88671875" style="1" customWidth="1"/>
    <col min="7923" max="7923" width="11.109375" style="1" customWidth="1"/>
    <col min="7924" max="7924" width="14" style="1" customWidth="1"/>
    <col min="7925" max="7925" width="33" style="1" customWidth="1"/>
    <col min="7926" max="7926" width="6.6640625" style="1" customWidth="1"/>
    <col min="7927" max="7927" width="19" style="1" customWidth="1"/>
    <col min="7928" max="7928" width="19.109375" style="1" customWidth="1"/>
    <col min="7929" max="7929" width="21.33203125" style="1" customWidth="1"/>
    <col min="7930" max="7930" width="32.5546875" style="1" customWidth="1"/>
    <col min="7931" max="7931" width="16.88671875" style="1" customWidth="1"/>
    <col min="7932" max="7932" width="16.33203125" style="1" customWidth="1"/>
    <col min="7933" max="8163" width="10.33203125" style="1"/>
    <col min="8164" max="8164" width="4.44140625" style="1" customWidth="1"/>
    <col min="8165" max="8165" width="21.6640625" style="1" customWidth="1"/>
    <col min="8166" max="8166" width="15" style="1" customWidth="1"/>
    <col min="8167" max="8167" width="15.44140625" style="1" customWidth="1"/>
    <col min="8168" max="8168" width="11.5546875" style="1" customWidth="1"/>
    <col min="8169" max="8169" width="7.44140625" style="1" customWidth="1"/>
    <col min="8170" max="8170" width="14.109375" style="1" customWidth="1"/>
    <col min="8171" max="8171" width="10.6640625" style="1" customWidth="1"/>
    <col min="8172" max="8172" width="13.44140625" style="1" customWidth="1"/>
    <col min="8173" max="8173" width="11.44140625" style="1" customWidth="1"/>
    <col min="8174" max="8174" width="15" style="1" customWidth="1"/>
    <col min="8175" max="8175" width="14.5546875" style="1" customWidth="1"/>
    <col min="8176" max="8176" width="10.33203125" style="1"/>
    <col min="8177" max="8177" width="7.44140625" style="1" customWidth="1"/>
    <col min="8178" max="8178" width="12.88671875" style="1" customWidth="1"/>
    <col min="8179" max="8179" width="11.109375" style="1" customWidth="1"/>
    <col min="8180" max="8180" width="14" style="1" customWidth="1"/>
    <col min="8181" max="8181" width="33" style="1" customWidth="1"/>
    <col min="8182" max="8182" width="6.6640625" style="1" customWidth="1"/>
    <col min="8183" max="8183" width="19" style="1" customWidth="1"/>
    <col min="8184" max="8184" width="19.109375" style="1" customWidth="1"/>
    <col min="8185" max="8185" width="21.33203125" style="1" customWidth="1"/>
    <col min="8186" max="8186" width="32.5546875" style="1" customWidth="1"/>
    <col min="8187" max="8187" width="16.88671875" style="1" customWidth="1"/>
    <col min="8188" max="8188" width="16.33203125" style="1" customWidth="1"/>
    <col min="8189" max="8419" width="10.33203125" style="1"/>
    <col min="8420" max="8420" width="4.44140625" style="1" customWidth="1"/>
    <col min="8421" max="8421" width="21.6640625" style="1" customWidth="1"/>
    <col min="8422" max="8422" width="15" style="1" customWidth="1"/>
    <col min="8423" max="8423" width="15.44140625" style="1" customWidth="1"/>
    <col min="8424" max="8424" width="11.5546875" style="1" customWidth="1"/>
    <col min="8425" max="8425" width="7.44140625" style="1" customWidth="1"/>
    <col min="8426" max="8426" width="14.109375" style="1" customWidth="1"/>
    <col min="8427" max="8427" width="10.6640625" style="1" customWidth="1"/>
    <col min="8428" max="8428" width="13.44140625" style="1" customWidth="1"/>
    <col min="8429" max="8429" width="11.44140625" style="1" customWidth="1"/>
    <col min="8430" max="8430" width="15" style="1" customWidth="1"/>
    <col min="8431" max="8431" width="14.5546875" style="1" customWidth="1"/>
    <col min="8432" max="8432" width="10.33203125" style="1"/>
    <col min="8433" max="8433" width="7.44140625" style="1" customWidth="1"/>
    <col min="8434" max="8434" width="12.88671875" style="1" customWidth="1"/>
    <col min="8435" max="8435" width="11.109375" style="1" customWidth="1"/>
    <col min="8436" max="8436" width="14" style="1" customWidth="1"/>
    <col min="8437" max="8437" width="33" style="1" customWidth="1"/>
    <col min="8438" max="8438" width="6.6640625" style="1" customWidth="1"/>
    <col min="8439" max="8439" width="19" style="1" customWidth="1"/>
    <col min="8440" max="8440" width="19.109375" style="1" customWidth="1"/>
    <col min="8441" max="8441" width="21.33203125" style="1" customWidth="1"/>
    <col min="8442" max="8442" width="32.5546875" style="1" customWidth="1"/>
    <col min="8443" max="8443" width="16.88671875" style="1" customWidth="1"/>
    <col min="8444" max="8444" width="16.33203125" style="1" customWidth="1"/>
    <col min="8445" max="8675" width="10.33203125" style="1"/>
    <col min="8676" max="8676" width="4.44140625" style="1" customWidth="1"/>
    <col min="8677" max="8677" width="21.6640625" style="1" customWidth="1"/>
    <col min="8678" max="8678" width="15" style="1" customWidth="1"/>
    <col min="8679" max="8679" width="15.44140625" style="1" customWidth="1"/>
    <col min="8680" max="8680" width="11.5546875" style="1" customWidth="1"/>
    <col min="8681" max="8681" width="7.44140625" style="1" customWidth="1"/>
    <col min="8682" max="8682" width="14.109375" style="1" customWidth="1"/>
    <col min="8683" max="8683" width="10.6640625" style="1" customWidth="1"/>
    <col min="8684" max="8684" width="13.44140625" style="1" customWidth="1"/>
    <col min="8685" max="8685" width="11.44140625" style="1" customWidth="1"/>
    <col min="8686" max="8686" width="15" style="1" customWidth="1"/>
    <col min="8687" max="8687" width="14.5546875" style="1" customWidth="1"/>
    <col min="8688" max="8688" width="10.33203125" style="1"/>
    <col min="8689" max="8689" width="7.44140625" style="1" customWidth="1"/>
    <col min="8690" max="8690" width="12.88671875" style="1" customWidth="1"/>
    <col min="8691" max="8691" width="11.109375" style="1" customWidth="1"/>
    <col min="8692" max="8692" width="14" style="1" customWidth="1"/>
    <col min="8693" max="8693" width="33" style="1" customWidth="1"/>
    <col min="8694" max="8694" width="6.6640625" style="1" customWidth="1"/>
    <col min="8695" max="8695" width="19" style="1" customWidth="1"/>
    <col min="8696" max="8696" width="19.109375" style="1" customWidth="1"/>
    <col min="8697" max="8697" width="21.33203125" style="1" customWidth="1"/>
    <col min="8698" max="8698" width="32.5546875" style="1" customWidth="1"/>
    <col min="8699" max="8699" width="16.88671875" style="1" customWidth="1"/>
    <col min="8700" max="8700" width="16.33203125" style="1" customWidth="1"/>
    <col min="8701" max="8931" width="10.33203125" style="1"/>
    <col min="8932" max="8932" width="4.44140625" style="1" customWidth="1"/>
    <col min="8933" max="8933" width="21.6640625" style="1" customWidth="1"/>
    <col min="8934" max="8934" width="15" style="1" customWidth="1"/>
    <col min="8935" max="8935" width="15.44140625" style="1" customWidth="1"/>
    <col min="8936" max="8936" width="11.5546875" style="1" customWidth="1"/>
    <col min="8937" max="8937" width="7.44140625" style="1" customWidth="1"/>
    <col min="8938" max="8938" width="14.109375" style="1" customWidth="1"/>
    <col min="8939" max="8939" width="10.6640625" style="1" customWidth="1"/>
    <col min="8940" max="8940" width="13.44140625" style="1" customWidth="1"/>
    <col min="8941" max="8941" width="11.44140625" style="1" customWidth="1"/>
    <col min="8942" max="8942" width="15" style="1" customWidth="1"/>
    <col min="8943" max="8943" width="14.5546875" style="1" customWidth="1"/>
    <col min="8944" max="8944" width="10.33203125" style="1"/>
    <col min="8945" max="8945" width="7.44140625" style="1" customWidth="1"/>
    <col min="8946" max="8946" width="12.88671875" style="1" customWidth="1"/>
    <col min="8947" max="8947" width="11.109375" style="1" customWidth="1"/>
    <col min="8948" max="8948" width="14" style="1" customWidth="1"/>
    <col min="8949" max="8949" width="33" style="1" customWidth="1"/>
    <col min="8950" max="8950" width="6.6640625" style="1" customWidth="1"/>
    <col min="8951" max="8951" width="19" style="1" customWidth="1"/>
    <col min="8952" max="8952" width="19.109375" style="1" customWidth="1"/>
    <col min="8953" max="8953" width="21.33203125" style="1" customWidth="1"/>
    <col min="8954" max="8954" width="32.5546875" style="1" customWidth="1"/>
    <col min="8955" max="8955" width="16.88671875" style="1" customWidth="1"/>
    <col min="8956" max="8956" width="16.33203125" style="1" customWidth="1"/>
    <col min="8957" max="9187" width="10.33203125" style="1"/>
    <col min="9188" max="9188" width="4.44140625" style="1" customWidth="1"/>
    <col min="9189" max="9189" width="21.6640625" style="1" customWidth="1"/>
    <col min="9190" max="9190" width="15" style="1" customWidth="1"/>
    <col min="9191" max="9191" width="15.44140625" style="1" customWidth="1"/>
    <col min="9192" max="9192" width="11.5546875" style="1" customWidth="1"/>
    <col min="9193" max="9193" width="7.44140625" style="1" customWidth="1"/>
    <col min="9194" max="9194" width="14.109375" style="1" customWidth="1"/>
    <col min="9195" max="9195" width="10.6640625" style="1" customWidth="1"/>
    <col min="9196" max="9196" width="13.44140625" style="1" customWidth="1"/>
    <col min="9197" max="9197" width="11.44140625" style="1" customWidth="1"/>
    <col min="9198" max="9198" width="15" style="1" customWidth="1"/>
    <col min="9199" max="9199" width="14.5546875" style="1" customWidth="1"/>
    <col min="9200" max="9200" width="10.33203125" style="1"/>
    <col min="9201" max="9201" width="7.44140625" style="1" customWidth="1"/>
    <col min="9202" max="9202" width="12.88671875" style="1" customWidth="1"/>
    <col min="9203" max="9203" width="11.109375" style="1" customWidth="1"/>
    <col min="9204" max="9204" width="14" style="1" customWidth="1"/>
    <col min="9205" max="9205" width="33" style="1" customWidth="1"/>
    <col min="9206" max="9206" width="6.6640625" style="1" customWidth="1"/>
    <col min="9207" max="9207" width="19" style="1" customWidth="1"/>
    <col min="9208" max="9208" width="19.109375" style="1" customWidth="1"/>
    <col min="9209" max="9209" width="21.33203125" style="1" customWidth="1"/>
    <col min="9210" max="9210" width="32.5546875" style="1" customWidth="1"/>
    <col min="9211" max="9211" width="16.88671875" style="1" customWidth="1"/>
    <col min="9212" max="9212" width="16.33203125" style="1" customWidth="1"/>
    <col min="9213" max="9443" width="10.33203125" style="1"/>
    <col min="9444" max="9444" width="4.44140625" style="1" customWidth="1"/>
    <col min="9445" max="9445" width="21.6640625" style="1" customWidth="1"/>
    <col min="9446" max="9446" width="15" style="1" customWidth="1"/>
    <col min="9447" max="9447" width="15.44140625" style="1" customWidth="1"/>
    <col min="9448" max="9448" width="11.5546875" style="1" customWidth="1"/>
    <col min="9449" max="9449" width="7.44140625" style="1" customWidth="1"/>
    <col min="9450" max="9450" width="14.109375" style="1" customWidth="1"/>
    <col min="9451" max="9451" width="10.6640625" style="1" customWidth="1"/>
    <col min="9452" max="9452" width="13.44140625" style="1" customWidth="1"/>
    <col min="9453" max="9453" width="11.44140625" style="1" customWidth="1"/>
    <col min="9454" max="9454" width="15" style="1" customWidth="1"/>
    <col min="9455" max="9455" width="14.5546875" style="1" customWidth="1"/>
    <col min="9456" max="9456" width="10.33203125" style="1"/>
    <col min="9457" max="9457" width="7.44140625" style="1" customWidth="1"/>
    <col min="9458" max="9458" width="12.88671875" style="1" customWidth="1"/>
    <col min="9459" max="9459" width="11.109375" style="1" customWidth="1"/>
    <col min="9460" max="9460" width="14" style="1" customWidth="1"/>
    <col min="9461" max="9461" width="33" style="1" customWidth="1"/>
    <col min="9462" max="9462" width="6.6640625" style="1" customWidth="1"/>
    <col min="9463" max="9463" width="19" style="1" customWidth="1"/>
    <col min="9464" max="9464" width="19.109375" style="1" customWidth="1"/>
    <col min="9465" max="9465" width="21.33203125" style="1" customWidth="1"/>
    <col min="9466" max="9466" width="32.5546875" style="1" customWidth="1"/>
    <col min="9467" max="9467" width="16.88671875" style="1" customWidth="1"/>
    <col min="9468" max="9468" width="16.33203125" style="1" customWidth="1"/>
    <col min="9469" max="9699" width="10.33203125" style="1"/>
    <col min="9700" max="9700" width="4.44140625" style="1" customWidth="1"/>
    <col min="9701" max="9701" width="21.6640625" style="1" customWidth="1"/>
    <col min="9702" max="9702" width="15" style="1" customWidth="1"/>
    <col min="9703" max="9703" width="15.44140625" style="1" customWidth="1"/>
    <col min="9704" max="9704" width="11.5546875" style="1" customWidth="1"/>
    <col min="9705" max="9705" width="7.44140625" style="1" customWidth="1"/>
    <col min="9706" max="9706" width="14.109375" style="1" customWidth="1"/>
    <col min="9707" max="9707" width="10.6640625" style="1" customWidth="1"/>
    <col min="9708" max="9708" width="13.44140625" style="1" customWidth="1"/>
    <col min="9709" max="9709" width="11.44140625" style="1" customWidth="1"/>
    <col min="9710" max="9710" width="15" style="1" customWidth="1"/>
    <col min="9711" max="9711" width="14.5546875" style="1" customWidth="1"/>
    <col min="9712" max="9712" width="10.33203125" style="1"/>
    <col min="9713" max="9713" width="7.44140625" style="1" customWidth="1"/>
    <col min="9714" max="9714" width="12.88671875" style="1" customWidth="1"/>
    <col min="9715" max="9715" width="11.109375" style="1" customWidth="1"/>
    <col min="9716" max="9716" width="14" style="1" customWidth="1"/>
    <col min="9717" max="9717" width="33" style="1" customWidth="1"/>
    <col min="9718" max="9718" width="6.6640625" style="1" customWidth="1"/>
    <col min="9719" max="9719" width="19" style="1" customWidth="1"/>
    <col min="9720" max="9720" width="19.109375" style="1" customWidth="1"/>
    <col min="9721" max="9721" width="21.33203125" style="1" customWidth="1"/>
    <col min="9722" max="9722" width="32.5546875" style="1" customWidth="1"/>
    <col min="9723" max="9723" width="16.88671875" style="1" customWidth="1"/>
    <col min="9724" max="9724" width="16.33203125" style="1" customWidth="1"/>
    <col min="9725" max="9955" width="10.33203125" style="1"/>
    <col min="9956" max="9956" width="4.44140625" style="1" customWidth="1"/>
    <col min="9957" max="9957" width="21.6640625" style="1" customWidth="1"/>
    <col min="9958" max="9958" width="15" style="1" customWidth="1"/>
    <col min="9959" max="9959" width="15.44140625" style="1" customWidth="1"/>
    <col min="9960" max="9960" width="11.5546875" style="1" customWidth="1"/>
    <col min="9961" max="9961" width="7.44140625" style="1" customWidth="1"/>
    <col min="9962" max="9962" width="14.109375" style="1" customWidth="1"/>
    <col min="9963" max="9963" width="10.6640625" style="1" customWidth="1"/>
    <col min="9964" max="9964" width="13.44140625" style="1" customWidth="1"/>
    <col min="9965" max="9965" width="11.44140625" style="1" customWidth="1"/>
    <col min="9966" max="9966" width="15" style="1" customWidth="1"/>
    <col min="9967" max="9967" width="14.5546875" style="1" customWidth="1"/>
    <col min="9968" max="9968" width="10.33203125" style="1"/>
    <col min="9969" max="9969" width="7.44140625" style="1" customWidth="1"/>
    <col min="9970" max="9970" width="12.88671875" style="1" customWidth="1"/>
    <col min="9971" max="9971" width="11.109375" style="1" customWidth="1"/>
    <col min="9972" max="9972" width="14" style="1" customWidth="1"/>
    <col min="9973" max="9973" width="33" style="1" customWidth="1"/>
    <col min="9974" max="9974" width="6.6640625" style="1" customWidth="1"/>
    <col min="9975" max="9975" width="19" style="1" customWidth="1"/>
    <col min="9976" max="9976" width="19.109375" style="1" customWidth="1"/>
    <col min="9977" max="9977" width="21.33203125" style="1" customWidth="1"/>
    <col min="9978" max="9978" width="32.5546875" style="1" customWidth="1"/>
    <col min="9979" max="9979" width="16.88671875" style="1" customWidth="1"/>
    <col min="9980" max="9980" width="16.33203125" style="1" customWidth="1"/>
    <col min="9981" max="10211" width="10.33203125" style="1"/>
    <col min="10212" max="10212" width="4.44140625" style="1" customWidth="1"/>
    <col min="10213" max="10213" width="21.6640625" style="1" customWidth="1"/>
    <col min="10214" max="10214" width="15" style="1" customWidth="1"/>
    <col min="10215" max="10215" width="15.44140625" style="1" customWidth="1"/>
    <col min="10216" max="10216" width="11.5546875" style="1" customWidth="1"/>
    <col min="10217" max="10217" width="7.44140625" style="1" customWidth="1"/>
    <col min="10218" max="10218" width="14.109375" style="1" customWidth="1"/>
    <col min="10219" max="10219" width="10.6640625" style="1" customWidth="1"/>
    <col min="10220" max="10220" width="13.44140625" style="1" customWidth="1"/>
    <col min="10221" max="10221" width="11.44140625" style="1" customWidth="1"/>
    <col min="10222" max="10222" width="15" style="1" customWidth="1"/>
    <col min="10223" max="10223" width="14.5546875" style="1" customWidth="1"/>
    <col min="10224" max="10224" width="10.33203125" style="1"/>
    <col min="10225" max="10225" width="7.44140625" style="1" customWidth="1"/>
    <col min="10226" max="10226" width="12.88671875" style="1" customWidth="1"/>
    <col min="10227" max="10227" width="11.109375" style="1" customWidth="1"/>
    <col min="10228" max="10228" width="14" style="1" customWidth="1"/>
    <col min="10229" max="10229" width="33" style="1" customWidth="1"/>
    <col min="10230" max="10230" width="6.6640625" style="1" customWidth="1"/>
    <col min="10231" max="10231" width="19" style="1" customWidth="1"/>
    <col min="10232" max="10232" width="19.109375" style="1" customWidth="1"/>
    <col min="10233" max="10233" width="21.33203125" style="1" customWidth="1"/>
    <col min="10234" max="10234" width="32.5546875" style="1" customWidth="1"/>
    <col min="10235" max="10235" width="16.88671875" style="1" customWidth="1"/>
    <col min="10236" max="10236" width="16.33203125" style="1" customWidth="1"/>
    <col min="10237" max="10467" width="10.33203125" style="1"/>
    <col min="10468" max="10468" width="4.44140625" style="1" customWidth="1"/>
    <col min="10469" max="10469" width="21.6640625" style="1" customWidth="1"/>
    <col min="10470" max="10470" width="15" style="1" customWidth="1"/>
    <col min="10471" max="10471" width="15.44140625" style="1" customWidth="1"/>
    <col min="10472" max="10472" width="11.5546875" style="1" customWidth="1"/>
    <col min="10473" max="10473" width="7.44140625" style="1" customWidth="1"/>
    <col min="10474" max="10474" width="14.109375" style="1" customWidth="1"/>
    <col min="10475" max="10475" width="10.6640625" style="1" customWidth="1"/>
    <col min="10476" max="10476" width="13.44140625" style="1" customWidth="1"/>
    <col min="10477" max="10477" width="11.44140625" style="1" customWidth="1"/>
    <col min="10478" max="10478" width="15" style="1" customWidth="1"/>
    <col min="10479" max="10479" width="14.5546875" style="1" customWidth="1"/>
    <col min="10480" max="10480" width="10.33203125" style="1"/>
    <col min="10481" max="10481" width="7.44140625" style="1" customWidth="1"/>
    <col min="10482" max="10482" width="12.88671875" style="1" customWidth="1"/>
    <col min="10483" max="10483" width="11.109375" style="1" customWidth="1"/>
    <col min="10484" max="10484" width="14" style="1" customWidth="1"/>
    <col min="10485" max="10485" width="33" style="1" customWidth="1"/>
    <col min="10486" max="10486" width="6.6640625" style="1" customWidth="1"/>
    <col min="10487" max="10487" width="19" style="1" customWidth="1"/>
    <col min="10488" max="10488" width="19.109375" style="1" customWidth="1"/>
    <col min="10489" max="10489" width="21.33203125" style="1" customWidth="1"/>
    <col min="10490" max="10490" width="32.5546875" style="1" customWidth="1"/>
    <col min="10491" max="10491" width="16.88671875" style="1" customWidth="1"/>
    <col min="10492" max="10492" width="16.33203125" style="1" customWidth="1"/>
    <col min="10493" max="10723" width="10.33203125" style="1"/>
    <col min="10724" max="10724" width="4.44140625" style="1" customWidth="1"/>
    <col min="10725" max="10725" width="21.6640625" style="1" customWidth="1"/>
    <col min="10726" max="10726" width="15" style="1" customWidth="1"/>
    <col min="10727" max="10727" width="15.44140625" style="1" customWidth="1"/>
    <col min="10728" max="10728" width="11.5546875" style="1" customWidth="1"/>
    <col min="10729" max="10729" width="7.44140625" style="1" customWidth="1"/>
    <col min="10730" max="10730" width="14.109375" style="1" customWidth="1"/>
    <col min="10731" max="10731" width="10.6640625" style="1" customWidth="1"/>
    <col min="10732" max="10732" width="13.44140625" style="1" customWidth="1"/>
    <col min="10733" max="10733" width="11.44140625" style="1" customWidth="1"/>
    <col min="10734" max="10734" width="15" style="1" customWidth="1"/>
    <col min="10735" max="10735" width="14.5546875" style="1" customWidth="1"/>
    <col min="10736" max="10736" width="10.33203125" style="1"/>
    <col min="10737" max="10737" width="7.44140625" style="1" customWidth="1"/>
    <col min="10738" max="10738" width="12.88671875" style="1" customWidth="1"/>
    <col min="10739" max="10739" width="11.109375" style="1" customWidth="1"/>
    <col min="10740" max="10740" width="14" style="1" customWidth="1"/>
    <col min="10741" max="10741" width="33" style="1" customWidth="1"/>
    <col min="10742" max="10742" width="6.6640625" style="1" customWidth="1"/>
    <col min="10743" max="10743" width="19" style="1" customWidth="1"/>
    <col min="10744" max="10744" width="19.109375" style="1" customWidth="1"/>
    <col min="10745" max="10745" width="21.33203125" style="1" customWidth="1"/>
    <col min="10746" max="10746" width="32.5546875" style="1" customWidth="1"/>
    <col min="10747" max="10747" width="16.88671875" style="1" customWidth="1"/>
    <col min="10748" max="10748" width="16.33203125" style="1" customWidth="1"/>
    <col min="10749" max="10979" width="10.33203125" style="1"/>
    <col min="10980" max="10980" width="4.44140625" style="1" customWidth="1"/>
    <col min="10981" max="10981" width="21.6640625" style="1" customWidth="1"/>
    <col min="10982" max="10982" width="15" style="1" customWidth="1"/>
    <col min="10983" max="10983" width="15.44140625" style="1" customWidth="1"/>
    <col min="10984" max="10984" width="11.5546875" style="1" customWidth="1"/>
    <col min="10985" max="10985" width="7.44140625" style="1" customWidth="1"/>
    <col min="10986" max="10986" width="14.109375" style="1" customWidth="1"/>
    <col min="10987" max="10987" width="10.6640625" style="1" customWidth="1"/>
    <col min="10988" max="10988" width="13.44140625" style="1" customWidth="1"/>
    <col min="10989" max="10989" width="11.44140625" style="1" customWidth="1"/>
    <col min="10990" max="10990" width="15" style="1" customWidth="1"/>
    <col min="10991" max="10991" width="14.5546875" style="1" customWidth="1"/>
    <col min="10992" max="10992" width="10.33203125" style="1"/>
    <col min="10993" max="10993" width="7.44140625" style="1" customWidth="1"/>
    <col min="10994" max="10994" width="12.88671875" style="1" customWidth="1"/>
    <col min="10995" max="10995" width="11.109375" style="1" customWidth="1"/>
    <col min="10996" max="10996" width="14" style="1" customWidth="1"/>
    <col min="10997" max="10997" width="33" style="1" customWidth="1"/>
    <col min="10998" max="10998" width="6.6640625" style="1" customWidth="1"/>
    <col min="10999" max="10999" width="19" style="1" customWidth="1"/>
    <col min="11000" max="11000" width="19.109375" style="1" customWidth="1"/>
    <col min="11001" max="11001" width="21.33203125" style="1" customWidth="1"/>
    <col min="11002" max="11002" width="32.5546875" style="1" customWidth="1"/>
    <col min="11003" max="11003" width="16.88671875" style="1" customWidth="1"/>
    <col min="11004" max="11004" width="16.33203125" style="1" customWidth="1"/>
    <col min="11005" max="11235" width="10.33203125" style="1"/>
    <col min="11236" max="11236" width="4.44140625" style="1" customWidth="1"/>
    <col min="11237" max="11237" width="21.6640625" style="1" customWidth="1"/>
    <col min="11238" max="11238" width="15" style="1" customWidth="1"/>
    <col min="11239" max="11239" width="15.44140625" style="1" customWidth="1"/>
    <col min="11240" max="11240" width="11.5546875" style="1" customWidth="1"/>
    <col min="11241" max="11241" width="7.44140625" style="1" customWidth="1"/>
    <col min="11242" max="11242" width="14.109375" style="1" customWidth="1"/>
    <col min="11243" max="11243" width="10.6640625" style="1" customWidth="1"/>
    <col min="11244" max="11244" width="13.44140625" style="1" customWidth="1"/>
    <col min="11245" max="11245" width="11.44140625" style="1" customWidth="1"/>
    <col min="11246" max="11246" width="15" style="1" customWidth="1"/>
    <col min="11247" max="11247" width="14.5546875" style="1" customWidth="1"/>
    <col min="11248" max="11248" width="10.33203125" style="1"/>
    <col min="11249" max="11249" width="7.44140625" style="1" customWidth="1"/>
    <col min="11250" max="11250" width="12.88671875" style="1" customWidth="1"/>
    <col min="11251" max="11251" width="11.109375" style="1" customWidth="1"/>
    <col min="11252" max="11252" width="14" style="1" customWidth="1"/>
    <col min="11253" max="11253" width="33" style="1" customWidth="1"/>
    <col min="11254" max="11254" width="6.6640625" style="1" customWidth="1"/>
    <col min="11255" max="11255" width="19" style="1" customWidth="1"/>
    <col min="11256" max="11256" width="19.109375" style="1" customWidth="1"/>
    <col min="11257" max="11257" width="21.33203125" style="1" customWidth="1"/>
    <col min="11258" max="11258" width="32.5546875" style="1" customWidth="1"/>
    <col min="11259" max="11259" width="16.88671875" style="1" customWidth="1"/>
    <col min="11260" max="11260" width="16.33203125" style="1" customWidth="1"/>
    <col min="11261" max="11491" width="10.33203125" style="1"/>
    <col min="11492" max="11492" width="4.44140625" style="1" customWidth="1"/>
    <col min="11493" max="11493" width="21.6640625" style="1" customWidth="1"/>
    <col min="11494" max="11494" width="15" style="1" customWidth="1"/>
    <col min="11495" max="11495" width="15.44140625" style="1" customWidth="1"/>
    <col min="11496" max="11496" width="11.5546875" style="1" customWidth="1"/>
    <col min="11497" max="11497" width="7.44140625" style="1" customWidth="1"/>
    <col min="11498" max="11498" width="14.109375" style="1" customWidth="1"/>
    <col min="11499" max="11499" width="10.6640625" style="1" customWidth="1"/>
    <col min="11500" max="11500" width="13.44140625" style="1" customWidth="1"/>
    <col min="11501" max="11501" width="11.44140625" style="1" customWidth="1"/>
    <col min="11502" max="11502" width="15" style="1" customWidth="1"/>
    <col min="11503" max="11503" width="14.5546875" style="1" customWidth="1"/>
    <col min="11504" max="11504" width="10.33203125" style="1"/>
    <col min="11505" max="11505" width="7.44140625" style="1" customWidth="1"/>
    <col min="11506" max="11506" width="12.88671875" style="1" customWidth="1"/>
    <col min="11507" max="11507" width="11.109375" style="1" customWidth="1"/>
    <col min="11508" max="11508" width="14" style="1" customWidth="1"/>
    <col min="11509" max="11509" width="33" style="1" customWidth="1"/>
    <col min="11510" max="11510" width="6.6640625" style="1" customWidth="1"/>
    <col min="11511" max="11511" width="19" style="1" customWidth="1"/>
    <col min="11512" max="11512" width="19.109375" style="1" customWidth="1"/>
    <col min="11513" max="11513" width="21.33203125" style="1" customWidth="1"/>
    <col min="11514" max="11514" width="32.5546875" style="1" customWidth="1"/>
    <col min="11515" max="11515" width="16.88671875" style="1" customWidth="1"/>
    <col min="11516" max="11516" width="16.33203125" style="1" customWidth="1"/>
    <col min="11517" max="11747" width="10.33203125" style="1"/>
    <col min="11748" max="11748" width="4.44140625" style="1" customWidth="1"/>
    <col min="11749" max="11749" width="21.6640625" style="1" customWidth="1"/>
    <col min="11750" max="11750" width="15" style="1" customWidth="1"/>
    <col min="11751" max="11751" width="15.44140625" style="1" customWidth="1"/>
    <col min="11752" max="11752" width="11.5546875" style="1" customWidth="1"/>
    <col min="11753" max="11753" width="7.44140625" style="1" customWidth="1"/>
    <col min="11754" max="11754" width="14.109375" style="1" customWidth="1"/>
    <col min="11755" max="11755" width="10.6640625" style="1" customWidth="1"/>
    <col min="11756" max="11756" width="13.44140625" style="1" customWidth="1"/>
    <col min="11757" max="11757" width="11.44140625" style="1" customWidth="1"/>
    <col min="11758" max="11758" width="15" style="1" customWidth="1"/>
    <col min="11759" max="11759" width="14.5546875" style="1" customWidth="1"/>
    <col min="11760" max="11760" width="10.33203125" style="1"/>
    <col min="11761" max="11761" width="7.44140625" style="1" customWidth="1"/>
    <col min="11762" max="11762" width="12.88671875" style="1" customWidth="1"/>
    <col min="11763" max="11763" width="11.109375" style="1" customWidth="1"/>
    <col min="11764" max="11764" width="14" style="1" customWidth="1"/>
    <col min="11765" max="11765" width="33" style="1" customWidth="1"/>
    <col min="11766" max="11766" width="6.6640625" style="1" customWidth="1"/>
    <col min="11767" max="11767" width="19" style="1" customWidth="1"/>
    <col min="11768" max="11768" width="19.109375" style="1" customWidth="1"/>
    <col min="11769" max="11769" width="21.33203125" style="1" customWidth="1"/>
    <col min="11770" max="11770" width="32.5546875" style="1" customWidth="1"/>
    <col min="11771" max="11771" width="16.88671875" style="1" customWidth="1"/>
    <col min="11772" max="11772" width="16.33203125" style="1" customWidth="1"/>
    <col min="11773" max="12003" width="10.33203125" style="1"/>
    <col min="12004" max="12004" width="4.44140625" style="1" customWidth="1"/>
    <col min="12005" max="12005" width="21.6640625" style="1" customWidth="1"/>
    <col min="12006" max="12006" width="15" style="1" customWidth="1"/>
    <col min="12007" max="12007" width="15.44140625" style="1" customWidth="1"/>
    <col min="12008" max="12008" width="11.5546875" style="1" customWidth="1"/>
    <col min="12009" max="12009" width="7.44140625" style="1" customWidth="1"/>
    <col min="12010" max="12010" width="14.109375" style="1" customWidth="1"/>
    <col min="12011" max="12011" width="10.6640625" style="1" customWidth="1"/>
    <col min="12012" max="12012" width="13.44140625" style="1" customWidth="1"/>
    <col min="12013" max="12013" width="11.44140625" style="1" customWidth="1"/>
    <col min="12014" max="12014" width="15" style="1" customWidth="1"/>
    <col min="12015" max="12015" width="14.5546875" style="1" customWidth="1"/>
    <col min="12016" max="12016" width="10.33203125" style="1"/>
    <col min="12017" max="12017" width="7.44140625" style="1" customWidth="1"/>
    <col min="12018" max="12018" width="12.88671875" style="1" customWidth="1"/>
    <col min="12019" max="12019" width="11.109375" style="1" customWidth="1"/>
    <col min="12020" max="12020" width="14" style="1" customWidth="1"/>
    <col min="12021" max="12021" width="33" style="1" customWidth="1"/>
    <col min="12022" max="12022" width="6.6640625" style="1" customWidth="1"/>
    <col min="12023" max="12023" width="19" style="1" customWidth="1"/>
    <col min="12024" max="12024" width="19.109375" style="1" customWidth="1"/>
    <col min="12025" max="12025" width="21.33203125" style="1" customWidth="1"/>
    <col min="12026" max="12026" width="32.5546875" style="1" customWidth="1"/>
    <col min="12027" max="12027" width="16.88671875" style="1" customWidth="1"/>
    <col min="12028" max="12028" width="16.33203125" style="1" customWidth="1"/>
    <col min="12029" max="12259" width="10.33203125" style="1"/>
    <col min="12260" max="12260" width="4.44140625" style="1" customWidth="1"/>
    <col min="12261" max="12261" width="21.6640625" style="1" customWidth="1"/>
    <col min="12262" max="12262" width="15" style="1" customWidth="1"/>
    <col min="12263" max="12263" width="15.44140625" style="1" customWidth="1"/>
    <col min="12264" max="12264" width="11.5546875" style="1" customWidth="1"/>
    <col min="12265" max="12265" width="7.44140625" style="1" customWidth="1"/>
    <col min="12266" max="12266" width="14.109375" style="1" customWidth="1"/>
    <col min="12267" max="12267" width="10.6640625" style="1" customWidth="1"/>
    <col min="12268" max="12268" width="13.44140625" style="1" customWidth="1"/>
    <col min="12269" max="12269" width="11.44140625" style="1" customWidth="1"/>
    <col min="12270" max="12270" width="15" style="1" customWidth="1"/>
    <col min="12271" max="12271" width="14.5546875" style="1" customWidth="1"/>
    <col min="12272" max="12272" width="10.33203125" style="1"/>
    <col min="12273" max="12273" width="7.44140625" style="1" customWidth="1"/>
    <col min="12274" max="12274" width="12.88671875" style="1" customWidth="1"/>
    <col min="12275" max="12275" width="11.109375" style="1" customWidth="1"/>
    <col min="12276" max="12276" width="14" style="1" customWidth="1"/>
    <col min="12277" max="12277" width="33" style="1" customWidth="1"/>
    <col min="12278" max="12278" width="6.6640625" style="1" customWidth="1"/>
    <col min="12279" max="12279" width="19" style="1" customWidth="1"/>
    <col min="12280" max="12280" width="19.109375" style="1" customWidth="1"/>
    <col min="12281" max="12281" width="21.33203125" style="1" customWidth="1"/>
    <col min="12282" max="12282" width="32.5546875" style="1" customWidth="1"/>
    <col min="12283" max="12283" width="16.88671875" style="1" customWidth="1"/>
    <col min="12284" max="12284" width="16.33203125" style="1" customWidth="1"/>
    <col min="12285" max="12515" width="10.33203125" style="1"/>
    <col min="12516" max="12516" width="4.44140625" style="1" customWidth="1"/>
    <col min="12517" max="12517" width="21.6640625" style="1" customWidth="1"/>
    <col min="12518" max="12518" width="15" style="1" customWidth="1"/>
    <col min="12519" max="12519" width="15.44140625" style="1" customWidth="1"/>
    <col min="12520" max="12520" width="11.5546875" style="1" customWidth="1"/>
    <col min="12521" max="12521" width="7.44140625" style="1" customWidth="1"/>
    <col min="12522" max="12522" width="14.109375" style="1" customWidth="1"/>
    <col min="12523" max="12523" width="10.6640625" style="1" customWidth="1"/>
    <col min="12524" max="12524" width="13.44140625" style="1" customWidth="1"/>
    <col min="12525" max="12525" width="11.44140625" style="1" customWidth="1"/>
    <col min="12526" max="12526" width="15" style="1" customWidth="1"/>
    <col min="12527" max="12527" width="14.5546875" style="1" customWidth="1"/>
    <col min="12528" max="12528" width="10.33203125" style="1"/>
    <col min="12529" max="12529" width="7.44140625" style="1" customWidth="1"/>
    <col min="12530" max="12530" width="12.88671875" style="1" customWidth="1"/>
    <col min="12531" max="12531" width="11.109375" style="1" customWidth="1"/>
    <col min="12532" max="12532" width="14" style="1" customWidth="1"/>
    <col min="12533" max="12533" width="33" style="1" customWidth="1"/>
    <col min="12534" max="12534" width="6.6640625" style="1" customWidth="1"/>
    <col min="12535" max="12535" width="19" style="1" customWidth="1"/>
    <col min="12536" max="12536" width="19.109375" style="1" customWidth="1"/>
    <col min="12537" max="12537" width="21.33203125" style="1" customWidth="1"/>
    <col min="12538" max="12538" width="32.5546875" style="1" customWidth="1"/>
    <col min="12539" max="12539" width="16.88671875" style="1" customWidth="1"/>
    <col min="12540" max="12540" width="16.33203125" style="1" customWidth="1"/>
    <col min="12541" max="12771" width="10.33203125" style="1"/>
    <col min="12772" max="12772" width="4.44140625" style="1" customWidth="1"/>
    <col min="12773" max="12773" width="21.6640625" style="1" customWidth="1"/>
    <col min="12774" max="12774" width="15" style="1" customWidth="1"/>
    <col min="12775" max="12775" width="15.44140625" style="1" customWidth="1"/>
    <col min="12776" max="12776" width="11.5546875" style="1" customWidth="1"/>
    <col min="12777" max="12777" width="7.44140625" style="1" customWidth="1"/>
    <col min="12778" max="12778" width="14.109375" style="1" customWidth="1"/>
    <col min="12779" max="12779" width="10.6640625" style="1" customWidth="1"/>
    <col min="12780" max="12780" width="13.44140625" style="1" customWidth="1"/>
    <col min="12781" max="12781" width="11.44140625" style="1" customWidth="1"/>
    <col min="12782" max="12782" width="15" style="1" customWidth="1"/>
    <col min="12783" max="12783" width="14.5546875" style="1" customWidth="1"/>
    <col min="12784" max="12784" width="10.33203125" style="1"/>
    <col min="12785" max="12785" width="7.44140625" style="1" customWidth="1"/>
    <col min="12786" max="12786" width="12.88671875" style="1" customWidth="1"/>
    <col min="12787" max="12787" width="11.109375" style="1" customWidth="1"/>
    <col min="12788" max="12788" width="14" style="1" customWidth="1"/>
    <col min="12789" max="12789" width="33" style="1" customWidth="1"/>
    <col min="12790" max="12790" width="6.6640625" style="1" customWidth="1"/>
    <col min="12791" max="12791" width="19" style="1" customWidth="1"/>
    <col min="12792" max="12792" width="19.109375" style="1" customWidth="1"/>
    <col min="12793" max="12793" width="21.33203125" style="1" customWidth="1"/>
    <col min="12794" max="12794" width="32.5546875" style="1" customWidth="1"/>
    <col min="12795" max="12795" width="16.88671875" style="1" customWidth="1"/>
    <col min="12796" max="12796" width="16.33203125" style="1" customWidth="1"/>
    <col min="12797" max="13027" width="10.33203125" style="1"/>
    <col min="13028" max="13028" width="4.44140625" style="1" customWidth="1"/>
    <col min="13029" max="13029" width="21.6640625" style="1" customWidth="1"/>
    <col min="13030" max="13030" width="15" style="1" customWidth="1"/>
    <col min="13031" max="13031" width="15.44140625" style="1" customWidth="1"/>
    <col min="13032" max="13032" width="11.5546875" style="1" customWidth="1"/>
    <col min="13033" max="13033" width="7.44140625" style="1" customWidth="1"/>
    <col min="13034" max="13034" width="14.109375" style="1" customWidth="1"/>
    <col min="13035" max="13035" width="10.6640625" style="1" customWidth="1"/>
    <col min="13036" max="13036" width="13.44140625" style="1" customWidth="1"/>
    <col min="13037" max="13037" width="11.44140625" style="1" customWidth="1"/>
    <col min="13038" max="13038" width="15" style="1" customWidth="1"/>
    <col min="13039" max="13039" width="14.5546875" style="1" customWidth="1"/>
    <col min="13040" max="13040" width="10.33203125" style="1"/>
    <col min="13041" max="13041" width="7.44140625" style="1" customWidth="1"/>
    <col min="13042" max="13042" width="12.88671875" style="1" customWidth="1"/>
    <col min="13043" max="13043" width="11.109375" style="1" customWidth="1"/>
    <col min="13044" max="13044" width="14" style="1" customWidth="1"/>
    <col min="13045" max="13045" width="33" style="1" customWidth="1"/>
    <col min="13046" max="13046" width="6.6640625" style="1" customWidth="1"/>
    <col min="13047" max="13047" width="19" style="1" customWidth="1"/>
    <col min="13048" max="13048" width="19.109375" style="1" customWidth="1"/>
    <col min="13049" max="13049" width="21.33203125" style="1" customWidth="1"/>
    <col min="13050" max="13050" width="32.5546875" style="1" customWidth="1"/>
    <col min="13051" max="13051" width="16.88671875" style="1" customWidth="1"/>
    <col min="13052" max="13052" width="16.33203125" style="1" customWidth="1"/>
    <col min="13053" max="13283" width="10.33203125" style="1"/>
    <col min="13284" max="13284" width="4.44140625" style="1" customWidth="1"/>
    <col min="13285" max="13285" width="21.6640625" style="1" customWidth="1"/>
    <col min="13286" max="13286" width="15" style="1" customWidth="1"/>
    <col min="13287" max="13287" width="15.44140625" style="1" customWidth="1"/>
    <col min="13288" max="13288" width="11.5546875" style="1" customWidth="1"/>
    <col min="13289" max="13289" width="7.44140625" style="1" customWidth="1"/>
    <col min="13290" max="13290" width="14.109375" style="1" customWidth="1"/>
    <col min="13291" max="13291" width="10.6640625" style="1" customWidth="1"/>
    <col min="13292" max="13292" width="13.44140625" style="1" customWidth="1"/>
    <col min="13293" max="13293" width="11.44140625" style="1" customWidth="1"/>
    <col min="13294" max="13294" width="15" style="1" customWidth="1"/>
    <col min="13295" max="13295" width="14.5546875" style="1" customWidth="1"/>
    <col min="13296" max="13296" width="10.33203125" style="1"/>
    <col min="13297" max="13297" width="7.44140625" style="1" customWidth="1"/>
    <col min="13298" max="13298" width="12.88671875" style="1" customWidth="1"/>
    <col min="13299" max="13299" width="11.109375" style="1" customWidth="1"/>
    <col min="13300" max="13300" width="14" style="1" customWidth="1"/>
    <col min="13301" max="13301" width="33" style="1" customWidth="1"/>
    <col min="13302" max="13302" width="6.6640625" style="1" customWidth="1"/>
    <col min="13303" max="13303" width="19" style="1" customWidth="1"/>
    <col min="13304" max="13304" width="19.109375" style="1" customWidth="1"/>
    <col min="13305" max="13305" width="21.33203125" style="1" customWidth="1"/>
    <col min="13306" max="13306" width="32.5546875" style="1" customWidth="1"/>
    <col min="13307" max="13307" width="16.88671875" style="1" customWidth="1"/>
    <col min="13308" max="13308" width="16.33203125" style="1" customWidth="1"/>
    <col min="13309" max="13539" width="10.33203125" style="1"/>
    <col min="13540" max="13540" width="4.44140625" style="1" customWidth="1"/>
    <col min="13541" max="13541" width="21.6640625" style="1" customWidth="1"/>
    <col min="13542" max="13542" width="15" style="1" customWidth="1"/>
    <col min="13543" max="13543" width="15.44140625" style="1" customWidth="1"/>
    <col min="13544" max="13544" width="11.5546875" style="1" customWidth="1"/>
    <col min="13545" max="13545" width="7.44140625" style="1" customWidth="1"/>
    <col min="13546" max="13546" width="14.109375" style="1" customWidth="1"/>
    <col min="13547" max="13547" width="10.6640625" style="1" customWidth="1"/>
    <col min="13548" max="13548" width="13.44140625" style="1" customWidth="1"/>
    <col min="13549" max="13549" width="11.44140625" style="1" customWidth="1"/>
    <col min="13550" max="13550" width="15" style="1" customWidth="1"/>
    <col min="13551" max="13551" width="14.5546875" style="1" customWidth="1"/>
    <col min="13552" max="13552" width="10.33203125" style="1"/>
    <col min="13553" max="13553" width="7.44140625" style="1" customWidth="1"/>
    <col min="13554" max="13554" width="12.88671875" style="1" customWidth="1"/>
    <col min="13555" max="13555" width="11.109375" style="1" customWidth="1"/>
    <col min="13556" max="13556" width="14" style="1" customWidth="1"/>
    <col min="13557" max="13557" width="33" style="1" customWidth="1"/>
    <col min="13558" max="13558" width="6.6640625" style="1" customWidth="1"/>
    <col min="13559" max="13559" width="19" style="1" customWidth="1"/>
    <col min="13560" max="13560" width="19.109375" style="1" customWidth="1"/>
    <col min="13561" max="13561" width="21.33203125" style="1" customWidth="1"/>
    <col min="13562" max="13562" width="32.5546875" style="1" customWidth="1"/>
    <col min="13563" max="13563" width="16.88671875" style="1" customWidth="1"/>
    <col min="13564" max="13564" width="16.33203125" style="1" customWidth="1"/>
    <col min="13565" max="13795" width="10.33203125" style="1"/>
    <col min="13796" max="13796" width="4.44140625" style="1" customWidth="1"/>
    <col min="13797" max="13797" width="21.6640625" style="1" customWidth="1"/>
    <col min="13798" max="13798" width="15" style="1" customWidth="1"/>
    <col min="13799" max="13799" width="15.44140625" style="1" customWidth="1"/>
    <col min="13800" max="13800" width="11.5546875" style="1" customWidth="1"/>
    <col min="13801" max="13801" width="7.44140625" style="1" customWidth="1"/>
    <col min="13802" max="13802" width="14.109375" style="1" customWidth="1"/>
    <col min="13803" max="13803" width="10.6640625" style="1" customWidth="1"/>
    <col min="13804" max="13804" width="13.44140625" style="1" customWidth="1"/>
    <col min="13805" max="13805" width="11.44140625" style="1" customWidth="1"/>
    <col min="13806" max="13806" width="15" style="1" customWidth="1"/>
    <col min="13807" max="13807" width="14.5546875" style="1" customWidth="1"/>
    <col min="13808" max="13808" width="10.33203125" style="1"/>
    <col min="13809" max="13809" width="7.44140625" style="1" customWidth="1"/>
    <col min="13810" max="13810" width="12.88671875" style="1" customWidth="1"/>
    <col min="13811" max="13811" width="11.109375" style="1" customWidth="1"/>
    <col min="13812" max="13812" width="14" style="1" customWidth="1"/>
    <col min="13813" max="13813" width="33" style="1" customWidth="1"/>
    <col min="13814" max="13814" width="6.6640625" style="1" customWidth="1"/>
    <col min="13815" max="13815" width="19" style="1" customWidth="1"/>
    <col min="13816" max="13816" width="19.109375" style="1" customWidth="1"/>
    <col min="13817" max="13817" width="21.33203125" style="1" customWidth="1"/>
    <col min="13818" max="13818" width="32.5546875" style="1" customWidth="1"/>
    <col min="13819" max="13819" width="16.88671875" style="1" customWidth="1"/>
    <col min="13820" max="13820" width="16.33203125" style="1" customWidth="1"/>
    <col min="13821" max="14051" width="10.33203125" style="1"/>
    <col min="14052" max="14052" width="4.44140625" style="1" customWidth="1"/>
    <col min="14053" max="14053" width="21.6640625" style="1" customWidth="1"/>
    <col min="14054" max="14054" width="15" style="1" customWidth="1"/>
    <col min="14055" max="14055" width="15.44140625" style="1" customWidth="1"/>
    <col min="14056" max="14056" width="11.5546875" style="1" customWidth="1"/>
    <col min="14057" max="14057" width="7.44140625" style="1" customWidth="1"/>
    <col min="14058" max="14058" width="14.109375" style="1" customWidth="1"/>
    <col min="14059" max="14059" width="10.6640625" style="1" customWidth="1"/>
    <col min="14060" max="14060" width="13.44140625" style="1" customWidth="1"/>
    <col min="14061" max="14061" width="11.44140625" style="1" customWidth="1"/>
    <col min="14062" max="14062" width="15" style="1" customWidth="1"/>
    <col min="14063" max="14063" width="14.5546875" style="1" customWidth="1"/>
    <col min="14064" max="14064" width="10.33203125" style="1"/>
    <col min="14065" max="14065" width="7.44140625" style="1" customWidth="1"/>
    <col min="14066" max="14066" width="12.88671875" style="1" customWidth="1"/>
    <col min="14067" max="14067" width="11.109375" style="1" customWidth="1"/>
    <col min="14068" max="14068" width="14" style="1" customWidth="1"/>
    <col min="14069" max="14069" width="33" style="1" customWidth="1"/>
    <col min="14070" max="14070" width="6.6640625" style="1" customWidth="1"/>
    <col min="14071" max="14071" width="19" style="1" customWidth="1"/>
    <col min="14072" max="14072" width="19.109375" style="1" customWidth="1"/>
    <col min="14073" max="14073" width="21.33203125" style="1" customWidth="1"/>
    <col min="14074" max="14074" width="32.5546875" style="1" customWidth="1"/>
    <col min="14075" max="14075" width="16.88671875" style="1" customWidth="1"/>
    <col min="14076" max="14076" width="16.33203125" style="1" customWidth="1"/>
    <col min="14077" max="14307" width="10.33203125" style="1"/>
    <col min="14308" max="14308" width="4.44140625" style="1" customWidth="1"/>
    <col min="14309" max="14309" width="21.6640625" style="1" customWidth="1"/>
    <col min="14310" max="14310" width="15" style="1" customWidth="1"/>
    <col min="14311" max="14311" width="15.44140625" style="1" customWidth="1"/>
    <col min="14312" max="14312" width="11.5546875" style="1" customWidth="1"/>
    <col min="14313" max="14313" width="7.44140625" style="1" customWidth="1"/>
    <col min="14314" max="14314" width="14.109375" style="1" customWidth="1"/>
    <col min="14315" max="14315" width="10.6640625" style="1" customWidth="1"/>
    <col min="14316" max="14316" width="13.44140625" style="1" customWidth="1"/>
    <col min="14317" max="14317" width="11.44140625" style="1" customWidth="1"/>
    <col min="14318" max="14318" width="15" style="1" customWidth="1"/>
    <col min="14319" max="14319" width="14.5546875" style="1" customWidth="1"/>
    <col min="14320" max="14320" width="10.33203125" style="1"/>
    <col min="14321" max="14321" width="7.44140625" style="1" customWidth="1"/>
    <col min="14322" max="14322" width="12.88671875" style="1" customWidth="1"/>
    <col min="14323" max="14323" width="11.109375" style="1" customWidth="1"/>
    <col min="14324" max="14324" width="14" style="1" customWidth="1"/>
    <col min="14325" max="14325" width="33" style="1" customWidth="1"/>
    <col min="14326" max="14326" width="6.6640625" style="1" customWidth="1"/>
    <col min="14327" max="14327" width="19" style="1" customWidth="1"/>
    <col min="14328" max="14328" width="19.109375" style="1" customWidth="1"/>
    <col min="14329" max="14329" width="21.33203125" style="1" customWidth="1"/>
    <col min="14330" max="14330" width="32.5546875" style="1" customWidth="1"/>
    <col min="14331" max="14331" width="16.88671875" style="1" customWidth="1"/>
    <col min="14332" max="14332" width="16.33203125" style="1" customWidth="1"/>
    <col min="14333" max="14563" width="10.33203125" style="1"/>
    <col min="14564" max="14564" width="4.44140625" style="1" customWidth="1"/>
    <col min="14565" max="14565" width="21.6640625" style="1" customWidth="1"/>
    <col min="14566" max="14566" width="15" style="1" customWidth="1"/>
    <col min="14567" max="14567" width="15.44140625" style="1" customWidth="1"/>
    <col min="14568" max="14568" width="11.5546875" style="1" customWidth="1"/>
    <col min="14569" max="14569" width="7.44140625" style="1" customWidth="1"/>
    <col min="14570" max="14570" width="14.109375" style="1" customWidth="1"/>
    <col min="14571" max="14571" width="10.6640625" style="1" customWidth="1"/>
    <col min="14572" max="14572" width="13.44140625" style="1" customWidth="1"/>
    <col min="14573" max="14573" width="11.44140625" style="1" customWidth="1"/>
    <col min="14574" max="14574" width="15" style="1" customWidth="1"/>
    <col min="14575" max="14575" width="14.5546875" style="1" customWidth="1"/>
    <col min="14576" max="14576" width="10.33203125" style="1"/>
    <col min="14577" max="14577" width="7.44140625" style="1" customWidth="1"/>
    <col min="14578" max="14578" width="12.88671875" style="1" customWidth="1"/>
    <col min="14579" max="14579" width="11.109375" style="1" customWidth="1"/>
    <col min="14580" max="14580" width="14" style="1" customWidth="1"/>
    <col min="14581" max="14581" width="33" style="1" customWidth="1"/>
    <col min="14582" max="14582" width="6.6640625" style="1" customWidth="1"/>
    <col min="14583" max="14583" width="19" style="1" customWidth="1"/>
    <col min="14584" max="14584" width="19.109375" style="1" customWidth="1"/>
    <col min="14585" max="14585" width="21.33203125" style="1" customWidth="1"/>
    <col min="14586" max="14586" width="32.5546875" style="1" customWidth="1"/>
    <col min="14587" max="14587" width="16.88671875" style="1" customWidth="1"/>
    <col min="14588" max="14588" width="16.33203125" style="1" customWidth="1"/>
    <col min="14589" max="14819" width="10.33203125" style="1"/>
    <col min="14820" max="14820" width="4.44140625" style="1" customWidth="1"/>
    <col min="14821" max="14821" width="21.6640625" style="1" customWidth="1"/>
    <col min="14822" max="14822" width="15" style="1" customWidth="1"/>
    <col min="14823" max="14823" width="15.44140625" style="1" customWidth="1"/>
    <col min="14824" max="14824" width="11.5546875" style="1" customWidth="1"/>
    <col min="14825" max="14825" width="7.44140625" style="1" customWidth="1"/>
    <col min="14826" max="14826" width="14.109375" style="1" customWidth="1"/>
    <col min="14827" max="14827" width="10.6640625" style="1" customWidth="1"/>
    <col min="14828" max="14828" width="13.44140625" style="1" customWidth="1"/>
    <col min="14829" max="14829" width="11.44140625" style="1" customWidth="1"/>
    <col min="14830" max="14830" width="15" style="1" customWidth="1"/>
    <col min="14831" max="14831" width="14.5546875" style="1" customWidth="1"/>
    <col min="14832" max="14832" width="10.33203125" style="1"/>
    <col min="14833" max="14833" width="7.44140625" style="1" customWidth="1"/>
    <col min="14834" max="14834" width="12.88671875" style="1" customWidth="1"/>
    <col min="14835" max="14835" width="11.109375" style="1" customWidth="1"/>
    <col min="14836" max="14836" width="14" style="1" customWidth="1"/>
    <col min="14837" max="14837" width="33" style="1" customWidth="1"/>
    <col min="14838" max="14838" width="6.6640625" style="1" customWidth="1"/>
    <col min="14839" max="14839" width="19" style="1" customWidth="1"/>
    <col min="14840" max="14840" width="19.109375" style="1" customWidth="1"/>
    <col min="14841" max="14841" width="21.33203125" style="1" customWidth="1"/>
    <col min="14842" max="14842" width="32.5546875" style="1" customWidth="1"/>
    <col min="14843" max="14843" width="16.88671875" style="1" customWidth="1"/>
    <col min="14844" max="14844" width="16.33203125" style="1" customWidth="1"/>
    <col min="14845" max="15075" width="10.33203125" style="1"/>
    <col min="15076" max="15076" width="4.44140625" style="1" customWidth="1"/>
    <col min="15077" max="15077" width="21.6640625" style="1" customWidth="1"/>
    <col min="15078" max="15078" width="15" style="1" customWidth="1"/>
    <col min="15079" max="15079" width="15.44140625" style="1" customWidth="1"/>
    <col min="15080" max="15080" width="11.5546875" style="1" customWidth="1"/>
    <col min="15081" max="15081" width="7.44140625" style="1" customWidth="1"/>
    <col min="15082" max="15082" width="14.109375" style="1" customWidth="1"/>
    <col min="15083" max="15083" width="10.6640625" style="1" customWidth="1"/>
    <col min="15084" max="15084" width="13.44140625" style="1" customWidth="1"/>
    <col min="15085" max="15085" width="11.44140625" style="1" customWidth="1"/>
    <col min="15086" max="15086" width="15" style="1" customWidth="1"/>
    <col min="15087" max="15087" width="14.5546875" style="1" customWidth="1"/>
    <col min="15088" max="15088" width="10.33203125" style="1"/>
    <col min="15089" max="15089" width="7.44140625" style="1" customWidth="1"/>
    <col min="15090" max="15090" width="12.88671875" style="1" customWidth="1"/>
    <col min="15091" max="15091" width="11.109375" style="1" customWidth="1"/>
    <col min="15092" max="15092" width="14" style="1" customWidth="1"/>
    <col min="15093" max="15093" width="33" style="1" customWidth="1"/>
    <col min="15094" max="15094" width="6.6640625" style="1" customWidth="1"/>
    <col min="15095" max="15095" width="19" style="1" customWidth="1"/>
    <col min="15096" max="15096" width="19.109375" style="1" customWidth="1"/>
    <col min="15097" max="15097" width="21.33203125" style="1" customWidth="1"/>
    <col min="15098" max="15098" width="32.5546875" style="1" customWidth="1"/>
    <col min="15099" max="15099" width="16.88671875" style="1" customWidth="1"/>
    <col min="15100" max="15100" width="16.33203125" style="1" customWidth="1"/>
    <col min="15101" max="15331" width="10.33203125" style="1"/>
    <col min="15332" max="15332" width="4.44140625" style="1" customWidth="1"/>
    <col min="15333" max="15333" width="21.6640625" style="1" customWidth="1"/>
    <col min="15334" max="15334" width="15" style="1" customWidth="1"/>
    <col min="15335" max="15335" width="15.44140625" style="1" customWidth="1"/>
    <col min="15336" max="15336" width="11.5546875" style="1" customWidth="1"/>
    <col min="15337" max="15337" width="7.44140625" style="1" customWidth="1"/>
    <col min="15338" max="15338" width="14.109375" style="1" customWidth="1"/>
    <col min="15339" max="15339" width="10.6640625" style="1" customWidth="1"/>
    <col min="15340" max="15340" width="13.44140625" style="1" customWidth="1"/>
    <col min="15341" max="15341" width="11.44140625" style="1" customWidth="1"/>
    <col min="15342" max="15342" width="15" style="1" customWidth="1"/>
    <col min="15343" max="15343" width="14.5546875" style="1" customWidth="1"/>
    <col min="15344" max="15344" width="10.33203125" style="1"/>
    <col min="15345" max="15345" width="7.44140625" style="1" customWidth="1"/>
    <col min="15346" max="15346" width="12.88671875" style="1" customWidth="1"/>
    <col min="15347" max="15347" width="11.109375" style="1" customWidth="1"/>
    <col min="15348" max="15348" width="14" style="1" customWidth="1"/>
    <col min="15349" max="15349" width="33" style="1" customWidth="1"/>
    <col min="15350" max="15350" width="6.6640625" style="1" customWidth="1"/>
    <col min="15351" max="15351" width="19" style="1" customWidth="1"/>
    <col min="15352" max="15352" width="19.109375" style="1" customWidth="1"/>
    <col min="15353" max="15353" width="21.33203125" style="1" customWidth="1"/>
    <col min="15354" max="15354" width="32.5546875" style="1" customWidth="1"/>
    <col min="15355" max="15355" width="16.88671875" style="1" customWidth="1"/>
    <col min="15356" max="15356" width="16.33203125" style="1" customWidth="1"/>
    <col min="15357" max="15587" width="10.33203125" style="1"/>
    <col min="15588" max="15588" width="4.44140625" style="1" customWidth="1"/>
    <col min="15589" max="15589" width="21.6640625" style="1" customWidth="1"/>
    <col min="15590" max="15590" width="15" style="1" customWidth="1"/>
    <col min="15591" max="15591" width="15.44140625" style="1" customWidth="1"/>
    <col min="15592" max="15592" width="11.5546875" style="1" customWidth="1"/>
    <col min="15593" max="15593" width="7.44140625" style="1" customWidth="1"/>
    <col min="15594" max="15594" width="14.109375" style="1" customWidth="1"/>
    <col min="15595" max="15595" width="10.6640625" style="1" customWidth="1"/>
    <col min="15596" max="15596" width="13.44140625" style="1" customWidth="1"/>
    <col min="15597" max="15597" width="11.44140625" style="1" customWidth="1"/>
    <col min="15598" max="15598" width="15" style="1" customWidth="1"/>
    <col min="15599" max="15599" width="14.5546875" style="1" customWidth="1"/>
    <col min="15600" max="15600" width="10.33203125" style="1"/>
    <col min="15601" max="15601" width="7.44140625" style="1" customWidth="1"/>
    <col min="15602" max="15602" width="12.88671875" style="1" customWidth="1"/>
    <col min="15603" max="15603" width="11.109375" style="1" customWidth="1"/>
    <col min="15604" max="15604" width="14" style="1" customWidth="1"/>
    <col min="15605" max="15605" width="33" style="1" customWidth="1"/>
    <col min="15606" max="15606" width="6.6640625" style="1" customWidth="1"/>
    <col min="15607" max="15607" width="19" style="1" customWidth="1"/>
    <col min="15608" max="15608" width="19.109375" style="1" customWidth="1"/>
    <col min="15609" max="15609" width="21.33203125" style="1" customWidth="1"/>
    <col min="15610" max="15610" width="32.5546875" style="1" customWidth="1"/>
    <col min="15611" max="15611" width="16.88671875" style="1" customWidth="1"/>
    <col min="15612" max="15612" width="16.33203125" style="1" customWidth="1"/>
    <col min="15613" max="15843" width="10.33203125" style="1"/>
    <col min="15844" max="15844" width="4.44140625" style="1" customWidth="1"/>
    <col min="15845" max="15845" width="21.6640625" style="1" customWidth="1"/>
    <col min="15846" max="15846" width="15" style="1" customWidth="1"/>
    <col min="15847" max="15847" width="15.44140625" style="1" customWidth="1"/>
    <col min="15848" max="15848" width="11.5546875" style="1" customWidth="1"/>
    <col min="15849" max="15849" width="7.44140625" style="1" customWidth="1"/>
    <col min="15850" max="15850" width="14.109375" style="1" customWidth="1"/>
    <col min="15851" max="15851" width="10.6640625" style="1" customWidth="1"/>
    <col min="15852" max="15852" width="13.44140625" style="1" customWidth="1"/>
    <col min="15853" max="15853" width="11.44140625" style="1" customWidth="1"/>
    <col min="15854" max="15854" width="15" style="1" customWidth="1"/>
    <col min="15855" max="15855" width="14.5546875" style="1" customWidth="1"/>
    <col min="15856" max="15856" width="10.33203125" style="1"/>
    <col min="15857" max="15857" width="7.44140625" style="1" customWidth="1"/>
    <col min="15858" max="15858" width="12.88671875" style="1" customWidth="1"/>
    <col min="15859" max="15859" width="11.109375" style="1" customWidth="1"/>
    <col min="15860" max="15860" width="14" style="1" customWidth="1"/>
    <col min="15861" max="15861" width="33" style="1" customWidth="1"/>
    <col min="15862" max="15862" width="6.6640625" style="1" customWidth="1"/>
    <col min="15863" max="15863" width="19" style="1" customWidth="1"/>
    <col min="15864" max="15864" width="19.109375" style="1" customWidth="1"/>
    <col min="15865" max="15865" width="21.33203125" style="1" customWidth="1"/>
    <col min="15866" max="15866" width="32.5546875" style="1" customWidth="1"/>
    <col min="15867" max="15867" width="16.88671875" style="1" customWidth="1"/>
    <col min="15868" max="15868" width="16.33203125" style="1" customWidth="1"/>
    <col min="15869" max="16099" width="10.33203125" style="1"/>
    <col min="16100" max="16100" width="4.44140625" style="1" customWidth="1"/>
    <col min="16101" max="16101" width="21.6640625" style="1" customWidth="1"/>
    <col min="16102" max="16102" width="15" style="1" customWidth="1"/>
    <col min="16103" max="16103" width="15.44140625" style="1" customWidth="1"/>
    <col min="16104" max="16104" width="11.5546875" style="1" customWidth="1"/>
    <col min="16105" max="16105" width="7.44140625" style="1" customWidth="1"/>
    <col min="16106" max="16106" width="14.109375" style="1" customWidth="1"/>
    <col min="16107" max="16107" width="10.6640625" style="1" customWidth="1"/>
    <col min="16108" max="16108" width="13.44140625" style="1" customWidth="1"/>
    <col min="16109" max="16109" width="11.44140625" style="1" customWidth="1"/>
    <col min="16110" max="16110" width="15" style="1" customWidth="1"/>
    <col min="16111" max="16111" width="14.5546875" style="1" customWidth="1"/>
    <col min="16112" max="16112" width="10.33203125" style="1"/>
    <col min="16113" max="16113" width="7.44140625" style="1" customWidth="1"/>
    <col min="16114" max="16114" width="12.88671875" style="1" customWidth="1"/>
    <col min="16115" max="16115" width="11.109375" style="1" customWidth="1"/>
    <col min="16116" max="16116" width="14" style="1" customWidth="1"/>
    <col min="16117" max="16117" width="33" style="1" customWidth="1"/>
    <col min="16118" max="16118" width="6.6640625" style="1" customWidth="1"/>
    <col min="16119" max="16119" width="19" style="1" customWidth="1"/>
    <col min="16120" max="16120" width="19.109375" style="1" customWidth="1"/>
    <col min="16121" max="16121" width="21.33203125" style="1" customWidth="1"/>
    <col min="16122" max="16122" width="32.5546875" style="1" customWidth="1"/>
    <col min="16123" max="16123" width="16.88671875" style="1" customWidth="1"/>
    <col min="16124" max="16124" width="16.33203125" style="1" customWidth="1"/>
    <col min="16125" max="16384" width="10.33203125" style="1"/>
  </cols>
  <sheetData>
    <row r="1" spans="1:6" ht="25.2" thickBot="1">
      <c r="A1" s="726" t="s">
        <v>0</v>
      </c>
      <c r="B1" s="726"/>
      <c r="C1" s="726"/>
      <c r="D1" s="726"/>
      <c r="E1" s="726"/>
      <c r="F1" s="726"/>
    </row>
    <row r="2" spans="1:6" ht="24.6">
      <c r="A2" s="726" t="s">
        <v>1</v>
      </c>
      <c r="B2" s="726"/>
      <c r="C2" s="726"/>
      <c r="D2" s="726"/>
      <c r="E2" s="726"/>
      <c r="F2" s="726"/>
    </row>
    <row r="3" spans="1:6" ht="24.6">
      <c r="A3" s="727" t="s">
        <v>249</v>
      </c>
      <c r="B3" s="727"/>
      <c r="C3" s="727"/>
      <c r="D3" s="727"/>
      <c r="E3" s="727"/>
      <c r="F3" s="727"/>
    </row>
    <row r="4" spans="1:6" ht="24.6">
      <c r="A4" s="3" t="s">
        <v>3</v>
      </c>
      <c r="B4" s="3" t="s">
        <v>4</v>
      </c>
      <c r="C4" s="3" t="s">
        <v>5</v>
      </c>
      <c r="D4" s="740" t="s">
        <v>8</v>
      </c>
      <c r="E4" s="741"/>
      <c r="F4" s="742"/>
    </row>
    <row r="5" spans="1:6" ht="24.6">
      <c r="A5" s="3"/>
      <c r="B5" s="13"/>
      <c r="C5" s="3"/>
      <c r="D5" s="15"/>
      <c r="E5" s="16"/>
      <c r="F5" s="8"/>
    </row>
    <row r="6" spans="1:6" ht="24.6">
      <c r="A6" s="3"/>
      <c r="B6" s="3"/>
      <c r="C6" s="3"/>
      <c r="D6" s="26" t="s">
        <v>27</v>
      </c>
      <c r="E6" s="16" t="s">
        <v>28</v>
      </c>
      <c r="F6" s="8" t="s">
        <v>29</v>
      </c>
    </row>
    <row r="7" spans="1:6" ht="25.2" hidden="1" thickTop="1">
      <c r="A7" s="29"/>
      <c r="B7" s="45" t="s">
        <v>37</v>
      </c>
      <c r="C7" s="29"/>
      <c r="D7" s="47"/>
      <c r="E7" s="48"/>
      <c r="F7" s="58"/>
    </row>
    <row r="8" spans="1:6" ht="25.8" hidden="1" thickTop="1" thickBot="1">
      <c r="A8" s="25">
        <v>1</v>
      </c>
      <c r="B8" s="25"/>
      <c r="C8" s="29"/>
      <c r="D8" s="75"/>
      <c r="E8" s="76"/>
      <c r="F8" s="77"/>
    </row>
    <row r="9" spans="1:6" ht="25.8" hidden="1" thickTop="1" thickBot="1">
      <c r="A9" s="25"/>
      <c r="B9" s="25" t="s">
        <v>26</v>
      </c>
      <c r="C9" s="29"/>
      <c r="D9" s="80"/>
      <c r="E9" s="81"/>
      <c r="F9" s="55"/>
    </row>
    <row r="10" spans="1:6" ht="25.2" hidden="1" thickTop="1">
      <c r="A10" s="25"/>
      <c r="B10" s="45" t="s">
        <v>38</v>
      </c>
      <c r="C10" s="29"/>
      <c r="D10" s="47"/>
      <c r="E10" s="48"/>
      <c r="F10" s="58"/>
    </row>
    <row r="11" spans="1:6" ht="25.8" hidden="1" thickTop="1" thickBot="1">
      <c r="A11" s="25">
        <v>1</v>
      </c>
      <c r="B11" s="25"/>
      <c r="C11" s="29"/>
      <c r="D11" s="75"/>
      <c r="E11" s="76"/>
      <c r="F11" s="77"/>
    </row>
    <row r="12" spans="1:6" ht="25.8" hidden="1" thickTop="1" thickBot="1">
      <c r="A12" s="25"/>
      <c r="B12" s="25" t="s">
        <v>26</v>
      </c>
      <c r="C12" s="29"/>
      <c r="D12" s="65"/>
      <c r="E12" s="66"/>
      <c r="F12" s="67"/>
    </row>
    <row r="13" spans="1:6" ht="24.6">
      <c r="A13" s="29"/>
      <c r="B13" s="45" t="s">
        <v>39</v>
      </c>
      <c r="C13" s="29"/>
      <c r="D13" s="47"/>
      <c r="E13" s="48"/>
      <c r="F13" s="48"/>
    </row>
    <row r="14" spans="1:6" ht="24.6">
      <c r="A14" s="25">
        <v>1</v>
      </c>
      <c r="B14" s="29" t="s">
        <v>42</v>
      </c>
      <c r="C14" s="29"/>
      <c r="D14" s="69">
        <v>25114</v>
      </c>
      <c r="E14" s="84" t="s">
        <v>252</v>
      </c>
      <c r="F14" s="85">
        <v>535</v>
      </c>
    </row>
    <row r="15" spans="1:6" s="96" customFormat="1" ht="24.6">
      <c r="A15" s="86">
        <v>2</v>
      </c>
      <c r="B15" s="87" t="s">
        <v>44</v>
      </c>
      <c r="C15" s="88"/>
      <c r="D15" s="93">
        <v>25142</v>
      </c>
      <c r="E15" s="94" t="s">
        <v>253</v>
      </c>
      <c r="F15" s="95">
        <v>1070</v>
      </c>
    </row>
    <row r="16" spans="1:6" ht="24.6">
      <c r="A16" s="25">
        <v>3</v>
      </c>
      <c r="B16" s="29" t="s">
        <v>46</v>
      </c>
      <c r="C16" s="29"/>
      <c r="D16" s="69">
        <v>25142</v>
      </c>
      <c r="E16" s="70" t="s">
        <v>254</v>
      </c>
      <c r="F16" s="100">
        <v>535</v>
      </c>
    </row>
    <row r="17" spans="1:8" ht="25.2" thickBot="1">
      <c r="A17" s="29"/>
      <c r="B17" s="25" t="s">
        <v>26</v>
      </c>
      <c r="C17" s="29"/>
      <c r="D17" s="67"/>
      <c r="E17" s="67"/>
      <c r="F17" s="104">
        <v>2140</v>
      </c>
      <c r="H17" s="175">
        <f>SUM(F14:F16)</f>
        <v>2140</v>
      </c>
    </row>
    <row r="18" spans="1:8" ht="25.2" hidden="1" thickTop="1">
      <c r="A18" s="29"/>
      <c r="B18" s="45" t="s">
        <v>49</v>
      </c>
      <c r="C18" s="29"/>
      <c r="D18" s="47"/>
      <c r="E18" s="48"/>
      <c r="F18" s="58"/>
    </row>
    <row r="19" spans="1:8" ht="16.5" hidden="1" customHeight="1" thickTop="1">
      <c r="A19" s="25">
        <v>1</v>
      </c>
      <c r="B19" s="25"/>
      <c r="C19" s="29"/>
      <c r="D19" s="75"/>
      <c r="E19" s="76"/>
      <c r="F19" s="77"/>
    </row>
    <row r="20" spans="1:8" ht="25.8" hidden="1" thickTop="1" thickBot="1">
      <c r="A20" s="25"/>
      <c r="B20" s="25" t="s">
        <v>26</v>
      </c>
      <c r="C20" s="29"/>
      <c r="D20" s="80"/>
      <c r="E20" s="81"/>
      <c r="F20" s="55"/>
    </row>
    <row r="21" spans="1:8" ht="25.2" hidden="1" thickTop="1">
      <c r="A21" s="25"/>
      <c r="B21" s="45" t="s">
        <v>50</v>
      </c>
      <c r="C21" s="29"/>
      <c r="D21" s="47"/>
      <c r="E21" s="48"/>
      <c r="F21" s="58"/>
    </row>
    <row r="22" spans="1:8" ht="25.8" hidden="1" thickTop="1" thickBot="1">
      <c r="A22" s="25"/>
      <c r="B22" s="25"/>
      <c r="C22" s="29"/>
      <c r="D22" s="75"/>
      <c r="E22" s="76"/>
      <c r="F22" s="77"/>
    </row>
    <row r="23" spans="1:8" ht="25.2" hidden="1" thickTop="1">
      <c r="A23" s="25"/>
      <c r="B23" s="25" t="s">
        <v>26</v>
      </c>
      <c r="C23" s="29"/>
      <c r="D23" s="112"/>
      <c r="E23" s="113"/>
      <c r="F23" s="114"/>
    </row>
    <row r="24" spans="1:8" ht="25.2" hidden="1" thickTop="1">
      <c r="A24" s="25"/>
      <c r="B24" s="45" t="s">
        <v>51</v>
      </c>
      <c r="C24" s="29"/>
      <c r="D24" s="60"/>
      <c r="E24" s="61"/>
      <c r="F24" s="62"/>
    </row>
    <row r="25" spans="1:8" ht="25.8" hidden="1" thickTop="1" thickBot="1">
      <c r="A25" s="25">
        <v>1</v>
      </c>
      <c r="B25" s="25"/>
      <c r="C25" s="29"/>
      <c r="D25" s="75"/>
      <c r="E25" s="76"/>
      <c r="F25" s="77"/>
    </row>
    <row r="26" spans="1:8" ht="25.8" hidden="1" thickTop="1" thickBot="1">
      <c r="A26" s="25"/>
      <c r="B26" s="25" t="s">
        <v>26</v>
      </c>
      <c r="C26" s="29"/>
      <c r="D26" s="65"/>
      <c r="E26" s="66"/>
      <c r="F26" s="67"/>
    </row>
    <row r="27" spans="1:8" ht="25.2" thickTop="1">
      <c r="A27" s="29"/>
      <c r="B27" s="45" t="s">
        <v>52</v>
      </c>
      <c r="C27" s="29"/>
      <c r="D27" s="47"/>
      <c r="E27" s="48"/>
      <c r="F27" s="58"/>
    </row>
    <row r="28" spans="1:8" ht="24.6">
      <c r="A28" s="25">
        <v>1</v>
      </c>
      <c r="B28" s="29" t="s">
        <v>65</v>
      </c>
      <c r="C28" s="25">
        <v>267</v>
      </c>
      <c r="D28" s="69">
        <v>25118</v>
      </c>
      <c r="E28" s="70" t="s">
        <v>255</v>
      </c>
      <c r="F28" s="83">
        <v>1215</v>
      </c>
    </row>
    <row r="29" spans="1:8" ht="24.6">
      <c r="A29" s="25">
        <v>2</v>
      </c>
      <c r="B29" s="29" t="s">
        <v>70</v>
      </c>
      <c r="C29" s="25" t="s">
        <v>71</v>
      </c>
      <c r="D29" s="69">
        <v>25119</v>
      </c>
      <c r="E29" s="70" t="s">
        <v>256</v>
      </c>
      <c r="F29" s="83">
        <v>2430</v>
      </c>
    </row>
    <row r="30" spans="1:8" ht="24.6">
      <c r="A30" s="25">
        <v>3</v>
      </c>
      <c r="B30" s="29" t="s">
        <v>73</v>
      </c>
      <c r="C30" s="120">
        <v>84282</v>
      </c>
      <c r="D30" s="69">
        <v>25142</v>
      </c>
      <c r="E30" s="70" t="s">
        <v>257</v>
      </c>
      <c r="F30" s="83">
        <v>2430</v>
      </c>
    </row>
    <row r="31" spans="1:8" ht="24.6">
      <c r="A31" s="25">
        <v>4</v>
      </c>
      <c r="B31" s="29" t="s">
        <v>78</v>
      </c>
      <c r="C31" s="25" t="s">
        <v>79</v>
      </c>
      <c r="D31" s="69">
        <v>25117</v>
      </c>
      <c r="E31" s="70" t="s">
        <v>258</v>
      </c>
      <c r="F31" s="83">
        <v>2430</v>
      </c>
    </row>
    <row r="32" spans="1:8" ht="24.6">
      <c r="A32" s="25">
        <v>5</v>
      </c>
      <c r="B32" s="29" t="s">
        <v>83</v>
      </c>
      <c r="C32" s="25">
        <v>277</v>
      </c>
      <c r="D32" s="69">
        <v>25142</v>
      </c>
      <c r="E32" s="70" t="s">
        <v>259</v>
      </c>
      <c r="F32" s="83">
        <v>1215</v>
      </c>
    </row>
    <row r="33" spans="1:9" ht="24.6">
      <c r="A33" s="25">
        <v>6</v>
      </c>
      <c r="B33" s="29" t="s">
        <v>109</v>
      </c>
      <c r="C33" s="53"/>
      <c r="D33" s="128">
        <v>25117</v>
      </c>
      <c r="E33" s="129" t="s">
        <v>260</v>
      </c>
      <c r="F33" s="130">
        <v>3450</v>
      </c>
    </row>
    <row r="34" spans="1:9" ht="24.6">
      <c r="A34" s="25">
        <v>7</v>
      </c>
      <c r="B34" s="29" t="s">
        <v>112</v>
      </c>
      <c r="C34" s="29"/>
      <c r="D34" s="128">
        <v>25119</v>
      </c>
      <c r="E34" s="129" t="s">
        <v>261</v>
      </c>
      <c r="F34" s="130">
        <v>3795</v>
      </c>
    </row>
    <row r="35" spans="1:9" ht="25.5" customHeight="1">
      <c r="A35" s="25">
        <v>8</v>
      </c>
      <c r="B35" s="132" t="s">
        <v>115</v>
      </c>
      <c r="C35" s="132"/>
      <c r="D35" s="128">
        <v>25117</v>
      </c>
      <c r="E35" s="129" t="s">
        <v>262</v>
      </c>
      <c r="F35" s="130">
        <v>8000</v>
      </c>
    </row>
    <row r="36" spans="1:9" ht="25.2" thickBot="1">
      <c r="A36" s="29"/>
      <c r="B36" s="25" t="s">
        <v>26</v>
      </c>
      <c r="C36" s="74"/>
      <c r="D36" s="77"/>
      <c r="E36" s="77"/>
      <c r="F36" s="77">
        <v>24965</v>
      </c>
      <c r="H36" s="175">
        <f>SUM(F28:F35)</f>
        <v>24965</v>
      </c>
    </row>
    <row r="37" spans="1:9" ht="25.2" thickTop="1">
      <c r="A37" s="29"/>
      <c r="B37" s="116" t="s">
        <v>117</v>
      </c>
      <c r="C37" s="46"/>
      <c r="D37" s="137"/>
      <c r="E37" s="138"/>
      <c r="F37" s="139"/>
    </row>
    <row r="38" spans="1:9" ht="24.6">
      <c r="A38" s="25">
        <v>1</v>
      </c>
      <c r="B38" s="119" t="s">
        <v>121</v>
      </c>
      <c r="C38" s="46"/>
      <c r="D38" s="69">
        <v>25117</v>
      </c>
      <c r="E38" s="70" t="s">
        <v>263</v>
      </c>
      <c r="F38" s="83">
        <v>6000</v>
      </c>
    </row>
    <row r="39" spans="1:9" ht="24.6">
      <c r="A39" s="25">
        <v>2</v>
      </c>
      <c r="B39" s="29" t="s">
        <v>124</v>
      </c>
      <c r="C39" s="29"/>
      <c r="D39" s="69">
        <v>25139</v>
      </c>
      <c r="E39" s="70" t="s">
        <v>264</v>
      </c>
      <c r="F39" s="83">
        <v>600</v>
      </c>
    </row>
    <row r="40" spans="1:9" ht="24.6">
      <c r="A40" s="25">
        <v>3</v>
      </c>
      <c r="B40" s="29" t="s">
        <v>130</v>
      </c>
      <c r="C40" s="29"/>
      <c r="D40" s="69">
        <v>25142</v>
      </c>
      <c r="E40" s="70" t="s">
        <v>265</v>
      </c>
      <c r="F40" s="83">
        <v>550</v>
      </c>
    </row>
    <row r="41" spans="1:9" ht="24.6">
      <c r="A41" s="25">
        <v>4</v>
      </c>
      <c r="B41" s="29" t="s">
        <v>132</v>
      </c>
      <c r="C41" s="29"/>
      <c r="D41" s="69">
        <v>25142</v>
      </c>
      <c r="E41" s="70" t="s">
        <v>266</v>
      </c>
      <c r="F41" s="83">
        <v>1100</v>
      </c>
    </row>
    <row r="42" spans="1:9" ht="24.6">
      <c r="A42" s="25">
        <v>5</v>
      </c>
      <c r="B42" s="29" t="s">
        <v>134</v>
      </c>
      <c r="C42" s="29"/>
      <c r="D42" s="69">
        <v>25142</v>
      </c>
      <c r="E42" s="84" t="s">
        <v>267</v>
      </c>
      <c r="F42" s="83">
        <v>1650</v>
      </c>
    </row>
    <row r="43" spans="1:9" ht="24.6">
      <c r="A43" s="25">
        <v>6</v>
      </c>
      <c r="B43" s="29" t="s">
        <v>137</v>
      </c>
      <c r="C43" s="29"/>
      <c r="D43" s="69">
        <v>25142</v>
      </c>
      <c r="E43" s="70" t="s">
        <v>268</v>
      </c>
      <c r="F43" s="83">
        <v>5000</v>
      </c>
    </row>
    <row r="44" spans="1:9" ht="25.2" thickBot="1">
      <c r="A44" s="29"/>
      <c r="B44" s="25" t="s">
        <v>26</v>
      </c>
      <c r="C44" s="64"/>
      <c r="D44" s="67"/>
      <c r="E44" s="67"/>
      <c r="F44" s="67">
        <v>14900</v>
      </c>
      <c r="H44" s="175">
        <f>SUM(F38:F43)</f>
        <v>14900</v>
      </c>
    </row>
    <row r="45" spans="1:9" ht="25.8" thickTop="1" thickBot="1">
      <c r="A45" s="29"/>
      <c r="B45" s="25" t="s">
        <v>248</v>
      </c>
      <c r="C45" s="64"/>
      <c r="D45" s="67"/>
      <c r="E45" s="67"/>
      <c r="F45" s="67">
        <v>42005</v>
      </c>
      <c r="I45" s="256">
        <f>SUM(H17:H44)</f>
        <v>42005</v>
      </c>
    </row>
    <row r="46" spans="1:9" ht="25.2" thickTop="1"/>
    <row r="47" spans="1:9" ht="24.6">
      <c r="E47" s="250"/>
    </row>
    <row r="48" spans="1:9" ht="24.6">
      <c r="E48" s="251"/>
    </row>
    <row r="49" spans="5:6" ht="24.6">
      <c r="E49" s="250"/>
    </row>
    <row r="50" spans="5:6" ht="24.6">
      <c r="E50" s="250"/>
      <c r="F50" s="252"/>
    </row>
    <row r="51" spans="5:6" ht="24.6">
      <c r="E51" s="250"/>
    </row>
    <row r="52" spans="5:6" ht="24.6"/>
    <row r="53" spans="5:6" ht="24.6"/>
    <row r="54" spans="5:6" ht="24.6"/>
    <row r="55" spans="5:6" ht="24.6"/>
    <row r="56" spans="5:6" ht="24.6"/>
    <row r="57" spans="5:6" ht="24.6"/>
    <row r="58" spans="5:6" ht="24.6"/>
    <row r="59" spans="5:6" ht="24.6"/>
    <row r="60" spans="5:6" ht="24.6"/>
    <row r="61" spans="5:6" ht="24.6"/>
    <row r="62" spans="5:6" ht="24.6"/>
    <row r="63" spans="5:6" ht="24.6"/>
    <row r="64" spans="5:6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</sheetData>
  <mergeCells count="4"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10A9-6A5A-4970-9287-1B0C5022CEEA}">
  <sheetPr codeName="Sheet8">
    <tabColor rgb="FF92D050"/>
  </sheetPr>
  <dimension ref="A1:I808"/>
  <sheetViews>
    <sheetView zoomScale="90" zoomScaleNormal="90" zoomScaleSheetLayoutView="87" workbookViewId="0">
      <pane ySplit="6" topLeftCell="A22" activePane="bottomLeft" state="frozen"/>
      <selection activeCell="I147" sqref="I147"/>
      <selection pane="bottomLeft" activeCell="I21" sqref="I21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8" width="12.109375" style="1" bestFit="1" customWidth="1"/>
    <col min="9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9" ht="24.6">
      <c r="A1" s="726" t="s">
        <v>0</v>
      </c>
      <c r="B1" s="726"/>
      <c r="C1" s="726"/>
      <c r="D1" s="726"/>
      <c r="E1" s="726"/>
      <c r="F1" s="726"/>
    </row>
    <row r="2" spans="1:9" ht="24.6">
      <c r="A2" s="726" t="s">
        <v>1</v>
      </c>
      <c r="B2" s="726"/>
      <c r="C2" s="726"/>
      <c r="D2" s="726"/>
      <c r="E2" s="726"/>
      <c r="F2" s="726"/>
    </row>
    <row r="3" spans="1:9" ht="24.6">
      <c r="A3" s="727" t="s">
        <v>249</v>
      </c>
      <c r="B3" s="727"/>
      <c r="C3" s="727"/>
      <c r="D3" s="727"/>
      <c r="E3" s="727"/>
      <c r="F3" s="727"/>
    </row>
    <row r="4" spans="1:9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9" ht="24.6">
      <c r="A5" s="3"/>
      <c r="B5" s="13"/>
      <c r="C5" s="3"/>
      <c r="D5" s="9" t="s">
        <v>21</v>
      </c>
      <c r="E5" s="9" t="s">
        <v>22</v>
      </c>
      <c r="F5" s="7"/>
    </row>
    <row r="6" spans="1:9" ht="24.6">
      <c r="A6" s="3"/>
      <c r="B6" s="3"/>
      <c r="C6" s="3"/>
      <c r="D6" s="18"/>
      <c r="E6" s="18"/>
      <c r="F6" s="28" t="s">
        <v>26</v>
      </c>
    </row>
    <row r="7" spans="1:9" ht="24.6">
      <c r="A7" s="29"/>
      <c r="B7" s="45" t="s">
        <v>52</v>
      </c>
      <c r="C7" s="29"/>
      <c r="D7" s="46"/>
      <c r="E7" s="28"/>
      <c r="F7" s="57"/>
    </row>
    <row r="8" spans="1:9" ht="24.6">
      <c r="A8" s="25">
        <v>1</v>
      </c>
      <c r="B8" s="29" t="s">
        <v>105</v>
      </c>
      <c r="C8" s="29"/>
      <c r="D8" s="126">
        <v>25112</v>
      </c>
      <c r="E8" s="25">
        <v>1</v>
      </c>
      <c r="F8" s="73">
        <v>5000</v>
      </c>
    </row>
    <row r="9" spans="1:9" ht="24.6">
      <c r="A9" s="25">
        <v>2</v>
      </c>
      <c r="B9" s="29" t="s">
        <v>105</v>
      </c>
      <c r="C9" s="29"/>
      <c r="D9" s="126">
        <v>25112</v>
      </c>
      <c r="E9" s="25">
        <v>1</v>
      </c>
      <c r="F9" s="73">
        <v>4650</v>
      </c>
    </row>
    <row r="10" spans="1:9" ht="25.2" thickBot="1">
      <c r="A10" s="29"/>
      <c r="B10" s="25" t="s">
        <v>26</v>
      </c>
      <c r="C10" s="74"/>
      <c r="D10" s="78"/>
      <c r="E10" s="135"/>
      <c r="F10" s="136">
        <v>9650</v>
      </c>
      <c r="H10" s="256">
        <f>SUM(F8:F9)</f>
        <v>9650</v>
      </c>
      <c r="I10" s="1" t="s">
        <v>269</v>
      </c>
    </row>
    <row r="11" spans="1:9" ht="24.75" customHeight="1" thickTop="1">
      <c r="A11" s="14"/>
      <c r="B11" s="173"/>
      <c r="F11" s="174"/>
    </row>
    <row r="12" spans="1:9" ht="24.75" customHeight="1">
      <c r="A12" s="731" t="s">
        <v>211</v>
      </c>
      <c r="B12" s="732"/>
      <c r="C12" s="732"/>
      <c r="D12" s="732"/>
      <c r="E12" s="732"/>
      <c r="F12" s="732"/>
    </row>
    <row r="13" spans="1:9" ht="24.75" customHeight="1">
      <c r="A13" s="46">
        <v>1</v>
      </c>
      <c r="B13" s="180" t="s">
        <v>32</v>
      </c>
      <c r="C13" s="46" t="s">
        <v>104</v>
      </c>
      <c r="D13" s="46" t="s">
        <v>250</v>
      </c>
      <c r="E13" s="28">
        <v>4</v>
      </c>
      <c r="F13" s="57">
        <v>18600</v>
      </c>
    </row>
    <row r="14" spans="1:9" ht="24" customHeight="1">
      <c r="A14" s="25">
        <v>2</v>
      </c>
      <c r="B14" s="29" t="s">
        <v>215</v>
      </c>
      <c r="C14" s="29" t="s">
        <v>104</v>
      </c>
      <c r="D14" s="46" t="s">
        <v>250</v>
      </c>
      <c r="E14" s="25">
        <v>4</v>
      </c>
      <c r="F14" s="57">
        <v>23000</v>
      </c>
    </row>
    <row r="15" spans="1:9" ht="24.75" customHeight="1" thickBot="1">
      <c r="A15" s="34"/>
      <c r="B15" s="34" t="s">
        <v>26</v>
      </c>
      <c r="C15" s="74"/>
      <c r="D15" s="74"/>
      <c r="E15" s="34"/>
      <c r="F15" s="110">
        <v>41600</v>
      </c>
      <c r="H15" s="175">
        <f>SUM(F13:F14)</f>
        <v>41600</v>
      </c>
      <c r="I15" s="1" t="s">
        <v>270</v>
      </c>
    </row>
    <row r="16" spans="1:9" ht="24.75" customHeight="1" thickTop="1">
      <c r="A16" s="14"/>
      <c r="B16" s="173"/>
      <c r="F16" s="174"/>
    </row>
    <row r="17" spans="1:9" ht="24.75" customHeight="1">
      <c r="A17" s="4"/>
      <c r="B17" s="188" t="s">
        <v>217</v>
      </c>
      <c r="C17" s="53"/>
      <c r="D17" s="53"/>
      <c r="E17" s="4"/>
      <c r="F17" s="127"/>
    </row>
    <row r="18" spans="1:9" s="96" customFormat="1" ht="24.75" customHeight="1">
      <c r="A18" s="190">
        <v>1</v>
      </c>
      <c r="B18" s="191" t="s">
        <v>68</v>
      </c>
      <c r="C18" s="192">
        <v>268</v>
      </c>
      <c r="D18" s="190" t="s">
        <v>251</v>
      </c>
      <c r="E18" s="190">
        <v>99</v>
      </c>
      <c r="F18" s="198">
        <v>111915</v>
      </c>
    </row>
    <row r="19" spans="1:9" ht="24.75" customHeight="1">
      <c r="A19" s="199"/>
      <c r="B19" s="200" t="s">
        <v>221</v>
      </c>
      <c r="C19" s="201" t="s">
        <v>222</v>
      </c>
      <c r="D19" s="208"/>
      <c r="E19" s="209" t="s">
        <v>172</v>
      </c>
      <c r="F19" s="210">
        <v>19700</v>
      </c>
    </row>
    <row r="20" spans="1:9" ht="24.75" customHeight="1">
      <c r="A20" s="199"/>
      <c r="B20" s="201"/>
      <c r="C20" s="201" t="s">
        <v>223</v>
      </c>
      <c r="D20" s="203"/>
      <c r="E20" s="199" t="s">
        <v>172</v>
      </c>
      <c r="F20" s="210">
        <v>19700</v>
      </c>
    </row>
    <row r="21" spans="1:9" ht="24.75" customHeight="1">
      <c r="A21" s="199"/>
      <c r="B21" s="201"/>
      <c r="C21" s="201" t="s">
        <v>224</v>
      </c>
      <c r="D21" s="203"/>
      <c r="E21" s="199" t="s">
        <v>172</v>
      </c>
      <c r="F21" s="210">
        <v>19700</v>
      </c>
    </row>
    <row r="22" spans="1:9" ht="24.75" customHeight="1">
      <c r="A22" s="199">
        <v>2</v>
      </c>
      <c r="B22" s="200" t="s">
        <v>225</v>
      </c>
      <c r="C22" s="203"/>
      <c r="D22" s="199" t="s">
        <v>226</v>
      </c>
      <c r="E22" s="199">
        <v>88</v>
      </c>
      <c r="F22" s="210">
        <v>193600</v>
      </c>
    </row>
    <row r="23" spans="1:9" ht="24.75" customHeight="1">
      <c r="A23" s="199">
        <v>3</v>
      </c>
      <c r="B23" s="200" t="s">
        <v>85</v>
      </c>
      <c r="C23" s="203" t="s">
        <v>86</v>
      </c>
      <c r="D23" s="203" t="s">
        <v>229</v>
      </c>
      <c r="E23" s="199">
        <v>7</v>
      </c>
      <c r="F23" s="210">
        <v>30800</v>
      </c>
    </row>
    <row r="24" spans="1:9" s="96" customFormat="1" ht="24.75" customHeight="1">
      <c r="A24" s="190"/>
      <c r="B24" s="191" t="s">
        <v>232</v>
      </c>
      <c r="C24" s="192" t="s">
        <v>194</v>
      </c>
      <c r="D24" s="192"/>
      <c r="E24" s="190"/>
      <c r="F24" s="210">
        <v>64400</v>
      </c>
    </row>
    <row r="25" spans="1:9" ht="24.6">
      <c r="A25" s="199">
        <v>4</v>
      </c>
      <c r="B25" s="203" t="s">
        <v>32</v>
      </c>
      <c r="C25" s="222" t="s">
        <v>104</v>
      </c>
      <c r="D25" s="199" t="s">
        <v>234</v>
      </c>
      <c r="E25" s="199">
        <v>4</v>
      </c>
      <c r="F25" s="210">
        <v>18600</v>
      </c>
    </row>
    <row r="26" spans="1:9" ht="24.6">
      <c r="A26" s="199">
        <v>5</v>
      </c>
      <c r="B26" s="203" t="s">
        <v>215</v>
      </c>
      <c r="C26" s="222" t="s">
        <v>104</v>
      </c>
      <c r="D26" s="199" t="s">
        <v>236</v>
      </c>
      <c r="E26" s="199">
        <v>4</v>
      </c>
      <c r="F26" s="210">
        <v>23000</v>
      </c>
    </row>
    <row r="27" spans="1:9" ht="24.75" customHeight="1" thickBot="1">
      <c r="A27" s="34"/>
      <c r="B27" s="239"/>
      <c r="C27" s="74"/>
      <c r="D27" s="110"/>
      <c r="E27" s="240"/>
      <c r="F27" s="171">
        <v>501415</v>
      </c>
      <c r="H27" s="175">
        <f>SUM(F18:F26)</f>
        <v>501415</v>
      </c>
      <c r="I27" s="1" t="s">
        <v>217</v>
      </c>
    </row>
    <row r="28" spans="1:9" ht="25.2" thickTop="1">
      <c r="A28" s="46"/>
      <c r="B28" s="161" t="s">
        <v>238</v>
      </c>
      <c r="C28" s="46"/>
      <c r="D28" s="46"/>
      <c r="E28" s="28"/>
      <c r="F28" s="46"/>
    </row>
    <row r="29" spans="1:9" ht="24.6">
      <c r="A29" s="25">
        <v>1</v>
      </c>
      <c r="B29" s="53" t="s">
        <v>239</v>
      </c>
      <c r="C29" s="109"/>
      <c r="D29" s="109" t="s">
        <v>240</v>
      </c>
      <c r="E29" s="115"/>
      <c r="F29" s="162">
        <v>0</v>
      </c>
    </row>
    <row r="30" spans="1:9" ht="24.6">
      <c r="A30" s="25"/>
      <c r="B30" s="29" t="s">
        <v>241</v>
      </c>
      <c r="C30" s="29"/>
      <c r="D30" s="29" t="s">
        <v>242</v>
      </c>
      <c r="E30" s="25"/>
      <c r="F30" s="73">
        <v>133707.98000000001</v>
      </c>
    </row>
    <row r="31" spans="1:9" ht="24.6">
      <c r="A31" s="25"/>
      <c r="B31" s="29" t="s">
        <v>244</v>
      </c>
      <c r="C31" s="29"/>
      <c r="D31" s="29"/>
      <c r="E31" s="25"/>
      <c r="F31" s="73">
        <v>73800</v>
      </c>
    </row>
    <row r="32" spans="1:9" ht="24.6">
      <c r="A32" s="25"/>
      <c r="B32" s="29" t="s">
        <v>245</v>
      </c>
      <c r="C32" s="29"/>
      <c r="D32" s="29"/>
      <c r="E32" s="25"/>
      <c r="F32" s="73">
        <v>7596.82</v>
      </c>
    </row>
    <row r="33" spans="1:9" ht="24.6">
      <c r="A33" s="25"/>
      <c r="B33" s="29" t="s">
        <v>246</v>
      </c>
      <c r="C33" s="29"/>
      <c r="D33" s="53"/>
      <c r="E33" s="4"/>
      <c r="F33" s="49"/>
    </row>
    <row r="34" spans="1:9" ht="25.2" thickBot="1">
      <c r="A34" s="25"/>
      <c r="B34" s="29"/>
      <c r="C34" s="29" t="s">
        <v>247</v>
      </c>
      <c r="D34" s="74"/>
      <c r="E34" s="34"/>
      <c r="F34" s="171"/>
    </row>
    <row r="35" spans="1:9" s="249" customFormat="1" ht="25.8" thickTop="1" thickBot="1">
      <c r="A35" s="134"/>
      <c r="B35" s="246" t="s">
        <v>26</v>
      </c>
      <c r="C35" s="103"/>
      <c r="D35" s="103"/>
      <c r="E35" s="247"/>
      <c r="F35" s="103">
        <v>215104.80000000002</v>
      </c>
      <c r="H35" s="249">
        <f>SUM(F29:F32)</f>
        <v>215104.80000000002</v>
      </c>
      <c r="I35" s="249" t="s">
        <v>271</v>
      </c>
    </row>
    <row r="36" spans="1:9" ht="25.8" thickTop="1" thickBot="1">
      <c r="A36" s="29"/>
      <c r="B36" s="25" t="s">
        <v>248</v>
      </c>
      <c r="C36" s="64"/>
      <c r="D36" s="63"/>
      <c r="E36" s="105"/>
      <c r="F36" s="63">
        <v>767769.8</v>
      </c>
      <c r="H36" s="256">
        <f>SUM(H10:H35)</f>
        <v>767769.8</v>
      </c>
      <c r="I36" s="1" t="s">
        <v>272</v>
      </c>
    </row>
    <row r="37" spans="1:9" ht="25.2" thickTop="1"/>
    <row r="38" spans="1:9" ht="24.6">
      <c r="F38" s="249"/>
    </row>
    <row r="39" spans="1:9" ht="24.6">
      <c r="F39" s="249"/>
    </row>
    <row r="40" spans="1:9" ht="24.6">
      <c r="F40" s="249"/>
    </row>
    <row r="41" spans="1:9" ht="24.6"/>
    <row r="42" spans="1:9" ht="24.6"/>
    <row r="43" spans="1:9" ht="24.6"/>
    <row r="44" spans="1:9" ht="24.6"/>
    <row r="45" spans="1:9" ht="24.6"/>
    <row r="46" spans="1:9" ht="24.6"/>
    <row r="47" spans="1:9" ht="24.6"/>
    <row r="48" spans="1:9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</sheetData>
  <mergeCells count="5">
    <mergeCell ref="A12:F12"/>
    <mergeCell ref="A1:F1"/>
    <mergeCell ref="A2:F2"/>
    <mergeCell ref="A3:F3"/>
    <mergeCell ref="D4:F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F53D-FD05-4CEC-8607-A86DF605DB0B}">
  <sheetPr codeName="Sheet9">
    <tabColor rgb="FF92D050"/>
  </sheetPr>
  <dimension ref="A1:I808"/>
  <sheetViews>
    <sheetView zoomScale="90" zoomScaleNormal="90" zoomScaleSheetLayoutView="87" workbookViewId="0">
      <pane ySplit="6" topLeftCell="A7" activePane="bottomLeft" state="frozen"/>
      <selection activeCell="I147" sqref="I147"/>
      <selection pane="bottomLeft" activeCell="D22" sqref="D22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0.33203125" style="1" customWidth="1"/>
    <col min="5" max="5" width="7.44140625" style="173" customWidth="1"/>
    <col min="6" max="6" width="14" style="1" customWidth="1"/>
    <col min="7" max="7" width="10.33203125" style="1"/>
    <col min="8" max="8" width="12.109375" style="1" bestFit="1" customWidth="1"/>
    <col min="9" max="232" width="10.33203125" style="1"/>
    <col min="233" max="233" width="4.44140625" style="1" customWidth="1"/>
    <col min="234" max="234" width="21.6640625" style="1" customWidth="1"/>
    <col min="235" max="235" width="15" style="1" customWidth="1"/>
    <col min="236" max="236" width="15.44140625" style="1" customWidth="1"/>
    <col min="237" max="237" width="11.5546875" style="1" customWidth="1"/>
    <col min="238" max="238" width="7.44140625" style="1" customWidth="1"/>
    <col min="239" max="239" width="14.109375" style="1" customWidth="1"/>
    <col min="240" max="240" width="10.6640625" style="1" customWidth="1"/>
    <col min="241" max="241" width="13.44140625" style="1" customWidth="1"/>
    <col min="242" max="242" width="11.44140625" style="1" customWidth="1"/>
    <col min="243" max="243" width="15" style="1" customWidth="1"/>
    <col min="244" max="244" width="14.5546875" style="1" customWidth="1"/>
    <col min="245" max="245" width="10.33203125" style="1"/>
    <col min="246" max="246" width="7.44140625" style="1" customWidth="1"/>
    <col min="247" max="247" width="12.88671875" style="1" customWidth="1"/>
    <col min="248" max="248" width="11.109375" style="1" customWidth="1"/>
    <col min="249" max="249" width="14" style="1" customWidth="1"/>
    <col min="250" max="250" width="33" style="1" customWidth="1"/>
    <col min="251" max="251" width="6.6640625" style="1" customWidth="1"/>
    <col min="252" max="252" width="19" style="1" customWidth="1"/>
    <col min="253" max="253" width="19.109375" style="1" customWidth="1"/>
    <col min="254" max="254" width="21.33203125" style="1" customWidth="1"/>
    <col min="255" max="255" width="32.5546875" style="1" customWidth="1"/>
    <col min="256" max="256" width="16.88671875" style="1" customWidth="1"/>
    <col min="257" max="257" width="16.33203125" style="1" customWidth="1"/>
    <col min="258" max="488" width="10.33203125" style="1"/>
    <col min="489" max="489" width="4.44140625" style="1" customWidth="1"/>
    <col min="490" max="490" width="21.6640625" style="1" customWidth="1"/>
    <col min="491" max="491" width="15" style="1" customWidth="1"/>
    <col min="492" max="492" width="15.44140625" style="1" customWidth="1"/>
    <col min="493" max="493" width="11.5546875" style="1" customWidth="1"/>
    <col min="494" max="494" width="7.44140625" style="1" customWidth="1"/>
    <col min="495" max="495" width="14.109375" style="1" customWidth="1"/>
    <col min="496" max="496" width="10.6640625" style="1" customWidth="1"/>
    <col min="497" max="497" width="13.44140625" style="1" customWidth="1"/>
    <col min="498" max="498" width="11.44140625" style="1" customWidth="1"/>
    <col min="499" max="499" width="15" style="1" customWidth="1"/>
    <col min="500" max="500" width="14.5546875" style="1" customWidth="1"/>
    <col min="501" max="501" width="10.33203125" style="1"/>
    <col min="502" max="502" width="7.44140625" style="1" customWidth="1"/>
    <col min="503" max="503" width="12.88671875" style="1" customWidth="1"/>
    <col min="504" max="504" width="11.109375" style="1" customWidth="1"/>
    <col min="505" max="505" width="14" style="1" customWidth="1"/>
    <col min="506" max="506" width="33" style="1" customWidth="1"/>
    <col min="507" max="507" width="6.6640625" style="1" customWidth="1"/>
    <col min="508" max="508" width="19" style="1" customWidth="1"/>
    <col min="509" max="509" width="19.109375" style="1" customWidth="1"/>
    <col min="510" max="510" width="21.33203125" style="1" customWidth="1"/>
    <col min="511" max="511" width="32.5546875" style="1" customWidth="1"/>
    <col min="512" max="512" width="16.88671875" style="1" customWidth="1"/>
    <col min="513" max="513" width="16.33203125" style="1" customWidth="1"/>
    <col min="514" max="744" width="10.33203125" style="1"/>
    <col min="745" max="745" width="4.44140625" style="1" customWidth="1"/>
    <col min="746" max="746" width="21.6640625" style="1" customWidth="1"/>
    <col min="747" max="747" width="15" style="1" customWidth="1"/>
    <col min="748" max="748" width="15.44140625" style="1" customWidth="1"/>
    <col min="749" max="749" width="11.5546875" style="1" customWidth="1"/>
    <col min="750" max="750" width="7.44140625" style="1" customWidth="1"/>
    <col min="751" max="751" width="14.109375" style="1" customWidth="1"/>
    <col min="752" max="752" width="10.6640625" style="1" customWidth="1"/>
    <col min="753" max="753" width="13.44140625" style="1" customWidth="1"/>
    <col min="754" max="754" width="11.44140625" style="1" customWidth="1"/>
    <col min="755" max="755" width="15" style="1" customWidth="1"/>
    <col min="756" max="756" width="14.5546875" style="1" customWidth="1"/>
    <col min="757" max="757" width="10.33203125" style="1"/>
    <col min="758" max="758" width="7.44140625" style="1" customWidth="1"/>
    <col min="759" max="759" width="12.88671875" style="1" customWidth="1"/>
    <col min="760" max="760" width="11.109375" style="1" customWidth="1"/>
    <col min="761" max="761" width="14" style="1" customWidth="1"/>
    <col min="762" max="762" width="33" style="1" customWidth="1"/>
    <col min="763" max="763" width="6.6640625" style="1" customWidth="1"/>
    <col min="764" max="764" width="19" style="1" customWidth="1"/>
    <col min="765" max="765" width="19.109375" style="1" customWidth="1"/>
    <col min="766" max="766" width="21.33203125" style="1" customWidth="1"/>
    <col min="767" max="767" width="32.5546875" style="1" customWidth="1"/>
    <col min="768" max="768" width="16.88671875" style="1" customWidth="1"/>
    <col min="769" max="769" width="16.33203125" style="1" customWidth="1"/>
    <col min="770" max="1000" width="10.33203125" style="1"/>
    <col min="1001" max="1001" width="4.44140625" style="1" customWidth="1"/>
    <col min="1002" max="1002" width="21.6640625" style="1" customWidth="1"/>
    <col min="1003" max="1003" width="15" style="1" customWidth="1"/>
    <col min="1004" max="1004" width="15.44140625" style="1" customWidth="1"/>
    <col min="1005" max="1005" width="11.5546875" style="1" customWidth="1"/>
    <col min="1006" max="1006" width="7.44140625" style="1" customWidth="1"/>
    <col min="1007" max="1007" width="14.109375" style="1" customWidth="1"/>
    <col min="1008" max="1008" width="10.6640625" style="1" customWidth="1"/>
    <col min="1009" max="1009" width="13.44140625" style="1" customWidth="1"/>
    <col min="1010" max="1010" width="11.44140625" style="1" customWidth="1"/>
    <col min="1011" max="1011" width="15" style="1" customWidth="1"/>
    <col min="1012" max="1012" width="14.5546875" style="1" customWidth="1"/>
    <col min="1013" max="1013" width="10.33203125" style="1"/>
    <col min="1014" max="1014" width="7.44140625" style="1" customWidth="1"/>
    <col min="1015" max="1015" width="12.88671875" style="1" customWidth="1"/>
    <col min="1016" max="1016" width="11.109375" style="1" customWidth="1"/>
    <col min="1017" max="1017" width="14" style="1" customWidth="1"/>
    <col min="1018" max="1018" width="33" style="1" customWidth="1"/>
    <col min="1019" max="1019" width="6.6640625" style="1" customWidth="1"/>
    <col min="1020" max="1020" width="19" style="1" customWidth="1"/>
    <col min="1021" max="1021" width="19.109375" style="1" customWidth="1"/>
    <col min="1022" max="1022" width="21.33203125" style="1" customWidth="1"/>
    <col min="1023" max="1023" width="32.5546875" style="1" customWidth="1"/>
    <col min="1024" max="1024" width="16.88671875" style="1" customWidth="1"/>
    <col min="1025" max="1025" width="16.33203125" style="1" customWidth="1"/>
    <col min="1026" max="1256" width="10.33203125" style="1"/>
    <col min="1257" max="1257" width="4.44140625" style="1" customWidth="1"/>
    <col min="1258" max="1258" width="21.6640625" style="1" customWidth="1"/>
    <col min="1259" max="1259" width="15" style="1" customWidth="1"/>
    <col min="1260" max="1260" width="15.44140625" style="1" customWidth="1"/>
    <col min="1261" max="1261" width="11.5546875" style="1" customWidth="1"/>
    <col min="1262" max="1262" width="7.44140625" style="1" customWidth="1"/>
    <col min="1263" max="1263" width="14.109375" style="1" customWidth="1"/>
    <col min="1264" max="1264" width="10.6640625" style="1" customWidth="1"/>
    <col min="1265" max="1265" width="13.44140625" style="1" customWidth="1"/>
    <col min="1266" max="1266" width="11.44140625" style="1" customWidth="1"/>
    <col min="1267" max="1267" width="15" style="1" customWidth="1"/>
    <col min="1268" max="1268" width="14.5546875" style="1" customWidth="1"/>
    <col min="1269" max="1269" width="10.33203125" style="1"/>
    <col min="1270" max="1270" width="7.44140625" style="1" customWidth="1"/>
    <col min="1271" max="1271" width="12.88671875" style="1" customWidth="1"/>
    <col min="1272" max="1272" width="11.109375" style="1" customWidth="1"/>
    <col min="1273" max="1273" width="14" style="1" customWidth="1"/>
    <col min="1274" max="1274" width="33" style="1" customWidth="1"/>
    <col min="1275" max="1275" width="6.6640625" style="1" customWidth="1"/>
    <col min="1276" max="1276" width="19" style="1" customWidth="1"/>
    <col min="1277" max="1277" width="19.109375" style="1" customWidth="1"/>
    <col min="1278" max="1278" width="21.33203125" style="1" customWidth="1"/>
    <col min="1279" max="1279" width="32.5546875" style="1" customWidth="1"/>
    <col min="1280" max="1280" width="16.88671875" style="1" customWidth="1"/>
    <col min="1281" max="1281" width="16.33203125" style="1" customWidth="1"/>
    <col min="1282" max="1512" width="10.33203125" style="1"/>
    <col min="1513" max="1513" width="4.44140625" style="1" customWidth="1"/>
    <col min="1514" max="1514" width="21.6640625" style="1" customWidth="1"/>
    <col min="1515" max="1515" width="15" style="1" customWidth="1"/>
    <col min="1516" max="1516" width="15.44140625" style="1" customWidth="1"/>
    <col min="1517" max="1517" width="11.5546875" style="1" customWidth="1"/>
    <col min="1518" max="1518" width="7.44140625" style="1" customWidth="1"/>
    <col min="1519" max="1519" width="14.109375" style="1" customWidth="1"/>
    <col min="1520" max="1520" width="10.6640625" style="1" customWidth="1"/>
    <col min="1521" max="1521" width="13.44140625" style="1" customWidth="1"/>
    <col min="1522" max="1522" width="11.44140625" style="1" customWidth="1"/>
    <col min="1523" max="1523" width="15" style="1" customWidth="1"/>
    <col min="1524" max="1524" width="14.5546875" style="1" customWidth="1"/>
    <col min="1525" max="1525" width="10.33203125" style="1"/>
    <col min="1526" max="1526" width="7.44140625" style="1" customWidth="1"/>
    <col min="1527" max="1527" width="12.88671875" style="1" customWidth="1"/>
    <col min="1528" max="1528" width="11.109375" style="1" customWidth="1"/>
    <col min="1529" max="1529" width="14" style="1" customWidth="1"/>
    <col min="1530" max="1530" width="33" style="1" customWidth="1"/>
    <col min="1531" max="1531" width="6.6640625" style="1" customWidth="1"/>
    <col min="1532" max="1532" width="19" style="1" customWidth="1"/>
    <col min="1533" max="1533" width="19.109375" style="1" customWidth="1"/>
    <col min="1534" max="1534" width="21.33203125" style="1" customWidth="1"/>
    <col min="1535" max="1535" width="32.5546875" style="1" customWidth="1"/>
    <col min="1536" max="1536" width="16.88671875" style="1" customWidth="1"/>
    <col min="1537" max="1537" width="16.33203125" style="1" customWidth="1"/>
    <col min="1538" max="1768" width="10.33203125" style="1"/>
    <col min="1769" max="1769" width="4.44140625" style="1" customWidth="1"/>
    <col min="1770" max="1770" width="21.6640625" style="1" customWidth="1"/>
    <col min="1771" max="1771" width="15" style="1" customWidth="1"/>
    <col min="1772" max="1772" width="15.44140625" style="1" customWidth="1"/>
    <col min="1773" max="1773" width="11.5546875" style="1" customWidth="1"/>
    <col min="1774" max="1774" width="7.44140625" style="1" customWidth="1"/>
    <col min="1775" max="1775" width="14.109375" style="1" customWidth="1"/>
    <col min="1776" max="1776" width="10.6640625" style="1" customWidth="1"/>
    <col min="1777" max="1777" width="13.44140625" style="1" customWidth="1"/>
    <col min="1778" max="1778" width="11.44140625" style="1" customWidth="1"/>
    <col min="1779" max="1779" width="15" style="1" customWidth="1"/>
    <col min="1780" max="1780" width="14.5546875" style="1" customWidth="1"/>
    <col min="1781" max="1781" width="10.33203125" style="1"/>
    <col min="1782" max="1782" width="7.44140625" style="1" customWidth="1"/>
    <col min="1783" max="1783" width="12.88671875" style="1" customWidth="1"/>
    <col min="1784" max="1784" width="11.109375" style="1" customWidth="1"/>
    <col min="1785" max="1785" width="14" style="1" customWidth="1"/>
    <col min="1786" max="1786" width="33" style="1" customWidth="1"/>
    <col min="1787" max="1787" width="6.6640625" style="1" customWidth="1"/>
    <col min="1788" max="1788" width="19" style="1" customWidth="1"/>
    <col min="1789" max="1789" width="19.109375" style="1" customWidth="1"/>
    <col min="1790" max="1790" width="21.33203125" style="1" customWidth="1"/>
    <col min="1791" max="1791" width="32.5546875" style="1" customWidth="1"/>
    <col min="1792" max="1792" width="16.88671875" style="1" customWidth="1"/>
    <col min="1793" max="1793" width="16.33203125" style="1" customWidth="1"/>
    <col min="1794" max="2024" width="10.33203125" style="1"/>
    <col min="2025" max="2025" width="4.44140625" style="1" customWidth="1"/>
    <col min="2026" max="2026" width="21.6640625" style="1" customWidth="1"/>
    <col min="2027" max="2027" width="15" style="1" customWidth="1"/>
    <col min="2028" max="2028" width="15.44140625" style="1" customWidth="1"/>
    <col min="2029" max="2029" width="11.5546875" style="1" customWidth="1"/>
    <col min="2030" max="2030" width="7.44140625" style="1" customWidth="1"/>
    <col min="2031" max="2031" width="14.109375" style="1" customWidth="1"/>
    <col min="2032" max="2032" width="10.6640625" style="1" customWidth="1"/>
    <col min="2033" max="2033" width="13.44140625" style="1" customWidth="1"/>
    <col min="2034" max="2034" width="11.44140625" style="1" customWidth="1"/>
    <col min="2035" max="2035" width="15" style="1" customWidth="1"/>
    <col min="2036" max="2036" width="14.5546875" style="1" customWidth="1"/>
    <col min="2037" max="2037" width="10.33203125" style="1"/>
    <col min="2038" max="2038" width="7.44140625" style="1" customWidth="1"/>
    <col min="2039" max="2039" width="12.88671875" style="1" customWidth="1"/>
    <col min="2040" max="2040" width="11.109375" style="1" customWidth="1"/>
    <col min="2041" max="2041" width="14" style="1" customWidth="1"/>
    <col min="2042" max="2042" width="33" style="1" customWidth="1"/>
    <col min="2043" max="2043" width="6.6640625" style="1" customWidth="1"/>
    <col min="2044" max="2044" width="19" style="1" customWidth="1"/>
    <col min="2045" max="2045" width="19.109375" style="1" customWidth="1"/>
    <col min="2046" max="2046" width="21.33203125" style="1" customWidth="1"/>
    <col min="2047" max="2047" width="32.5546875" style="1" customWidth="1"/>
    <col min="2048" max="2048" width="16.88671875" style="1" customWidth="1"/>
    <col min="2049" max="2049" width="16.33203125" style="1" customWidth="1"/>
    <col min="2050" max="2280" width="10.33203125" style="1"/>
    <col min="2281" max="2281" width="4.44140625" style="1" customWidth="1"/>
    <col min="2282" max="2282" width="21.6640625" style="1" customWidth="1"/>
    <col min="2283" max="2283" width="15" style="1" customWidth="1"/>
    <col min="2284" max="2284" width="15.44140625" style="1" customWidth="1"/>
    <col min="2285" max="2285" width="11.5546875" style="1" customWidth="1"/>
    <col min="2286" max="2286" width="7.44140625" style="1" customWidth="1"/>
    <col min="2287" max="2287" width="14.109375" style="1" customWidth="1"/>
    <col min="2288" max="2288" width="10.6640625" style="1" customWidth="1"/>
    <col min="2289" max="2289" width="13.44140625" style="1" customWidth="1"/>
    <col min="2290" max="2290" width="11.44140625" style="1" customWidth="1"/>
    <col min="2291" max="2291" width="15" style="1" customWidth="1"/>
    <col min="2292" max="2292" width="14.5546875" style="1" customWidth="1"/>
    <col min="2293" max="2293" width="10.33203125" style="1"/>
    <col min="2294" max="2294" width="7.44140625" style="1" customWidth="1"/>
    <col min="2295" max="2295" width="12.88671875" style="1" customWidth="1"/>
    <col min="2296" max="2296" width="11.109375" style="1" customWidth="1"/>
    <col min="2297" max="2297" width="14" style="1" customWidth="1"/>
    <col min="2298" max="2298" width="33" style="1" customWidth="1"/>
    <col min="2299" max="2299" width="6.6640625" style="1" customWidth="1"/>
    <col min="2300" max="2300" width="19" style="1" customWidth="1"/>
    <col min="2301" max="2301" width="19.109375" style="1" customWidth="1"/>
    <col min="2302" max="2302" width="21.33203125" style="1" customWidth="1"/>
    <col min="2303" max="2303" width="32.5546875" style="1" customWidth="1"/>
    <col min="2304" max="2304" width="16.88671875" style="1" customWidth="1"/>
    <col min="2305" max="2305" width="16.33203125" style="1" customWidth="1"/>
    <col min="2306" max="2536" width="10.33203125" style="1"/>
    <col min="2537" max="2537" width="4.44140625" style="1" customWidth="1"/>
    <col min="2538" max="2538" width="21.6640625" style="1" customWidth="1"/>
    <col min="2539" max="2539" width="15" style="1" customWidth="1"/>
    <col min="2540" max="2540" width="15.44140625" style="1" customWidth="1"/>
    <col min="2541" max="2541" width="11.5546875" style="1" customWidth="1"/>
    <col min="2542" max="2542" width="7.44140625" style="1" customWidth="1"/>
    <col min="2543" max="2543" width="14.109375" style="1" customWidth="1"/>
    <col min="2544" max="2544" width="10.6640625" style="1" customWidth="1"/>
    <col min="2545" max="2545" width="13.44140625" style="1" customWidth="1"/>
    <col min="2546" max="2546" width="11.44140625" style="1" customWidth="1"/>
    <col min="2547" max="2547" width="15" style="1" customWidth="1"/>
    <col min="2548" max="2548" width="14.5546875" style="1" customWidth="1"/>
    <col min="2549" max="2549" width="10.33203125" style="1"/>
    <col min="2550" max="2550" width="7.44140625" style="1" customWidth="1"/>
    <col min="2551" max="2551" width="12.88671875" style="1" customWidth="1"/>
    <col min="2552" max="2552" width="11.109375" style="1" customWidth="1"/>
    <col min="2553" max="2553" width="14" style="1" customWidth="1"/>
    <col min="2554" max="2554" width="33" style="1" customWidth="1"/>
    <col min="2555" max="2555" width="6.6640625" style="1" customWidth="1"/>
    <col min="2556" max="2556" width="19" style="1" customWidth="1"/>
    <col min="2557" max="2557" width="19.109375" style="1" customWidth="1"/>
    <col min="2558" max="2558" width="21.33203125" style="1" customWidth="1"/>
    <col min="2559" max="2559" width="32.5546875" style="1" customWidth="1"/>
    <col min="2560" max="2560" width="16.88671875" style="1" customWidth="1"/>
    <col min="2561" max="2561" width="16.33203125" style="1" customWidth="1"/>
    <col min="2562" max="2792" width="10.33203125" style="1"/>
    <col min="2793" max="2793" width="4.44140625" style="1" customWidth="1"/>
    <col min="2794" max="2794" width="21.6640625" style="1" customWidth="1"/>
    <col min="2795" max="2795" width="15" style="1" customWidth="1"/>
    <col min="2796" max="2796" width="15.44140625" style="1" customWidth="1"/>
    <col min="2797" max="2797" width="11.5546875" style="1" customWidth="1"/>
    <col min="2798" max="2798" width="7.44140625" style="1" customWidth="1"/>
    <col min="2799" max="2799" width="14.109375" style="1" customWidth="1"/>
    <col min="2800" max="2800" width="10.6640625" style="1" customWidth="1"/>
    <col min="2801" max="2801" width="13.44140625" style="1" customWidth="1"/>
    <col min="2802" max="2802" width="11.44140625" style="1" customWidth="1"/>
    <col min="2803" max="2803" width="15" style="1" customWidth="1"/>
    <col min="2804" max="2804" width="14.5546875" style="1" customWidth="1"/>
    <col min="2805" max="2805" width="10.33203125" style="1"/>
    <col min="2806" max="2806" width="7.44140625" style="1" customWidth="1"/>
    <col min="2807" max="2807" width="12.88671875" style="1" customWidth="1"/>
    <col min="2808" max="2808" width="11.109375" style="1" customWidth="1"/>
    <col min="2809" max="2809" width="14" style="1" customWidth="1"/>
    <col min="2810" max="2810" width="33" style="1" customWidth="1"/>
    <col min="2811" max="2811" width="6.6640625" style="1" customWidth="1"/>
    <col min="2812" max="2812" width="19" style="1" customWidth="1"/>
    <col min="2813" max="2813" width="19.109375" style="1" customWidth="1"/>
    <col min="2814" max="2814" width="21.33203125" style="1" customWidth="1"/>
    <col min="2815" max="2815" width="32.5546875" style="1" customWidth="1"/>
    <col min="2816" max="2816" width="16.88671875" style="1" customWidth="1"/>
    <col min="2817" max="2817" width="16.33203125" style="1" customWidth="1"/>
    <col min="2818" max="3048" width="10.33203125" style="1"/>
    <col min="3049" max="3049" width="4.44140625" style="1" customWidth="1"/>
    <col min="3050" max="3050" width="21.6640625" style="1" customWidth="1"/>
    <col min="3051" max="3051" width="15" style="1" customWidth="1"/>
    <col min="3052" max="3052" width="15.44140625" style="1" customWidth="1"/>
    <col min="3053" max="3053" width="11.5546875" style="1" customWidth="1"/>
    <col min="3054" max="3054" width="7.44140625" style="1" customWidth="1"/>
    <col min="3055" max="3055" width="14.109375" style="1" customWidth="1"/>
    <col min="3056" max="3056" width="10.6640625" style="1" customWidth="1"/>
    <col min="3057" max="3057" width="13.44140625" style="1" customWidth="1"/>
    <col min="3058" max="3058" width="11.44140625" style="1" customWidth="1"/>
    <col min="3059" max="3059" width="15" style="1" customWidth="1"/>
    <col min="3060" max="3060" width="14.5546875" style="1" customWidth="1"/>
    <col min="3061" max="3061" width="10.33203125" style="1"/>
    <col min="3062" max="3062" width="7.44140625" style="1" customWidth="1"/>
    <col min="3063" max="3063" width="12.88671875" style="1" customWidth="1"/>
    <col min="3064" max="3064" width="11.109375" style="1" customWidth="1"/>
    <col min="3065" max="3065" width="14" style="1" customWidth="1"/>
    <col min="3066" max="3066" width="33" style="1" customWidth="1"/>
    <col min="3067" max="3067" width="6.6640625" style="1" customWidth="1"/>
    <col min="3068" max="3068" width="19" style="1" customWidth="1"/>
    <col min="3069" max="3069" width="19.109375" style="1" customWidth="1"/>
    <col min="3070" max="3070" width="21.33203125" style="1" customWidth="1"/>
    <col min="3071" max="3071" width="32.5546875" style="1" customWidth="1"/>
    <col min="3072" max="3072" width="16.88671875" style="1" customWidth="1"/>
    <col min="3073" max="3073" width="16.33203125" style="1" customWidth="1"/>
    <col min="3074" max="3304" width="10.33203125" style="1"/>
    <col min="3305" max="3305" width="4.44140625" style="1" customWidth="1"/>
    <col min="3306" max="3306" width="21.6640625" style="1" customWidth="1"/>
    <col min="3307" max="3307" width="15" style="1" customWidth="1"/>
    <col min="3308" max="3308" width="15.44140625" style="1" customWidth="1"/>
    <col min="3309" max="3309" width="11.5546875" style="1" customWidth="1"/>
    <col min="3310" max="3310" width="7.44140625" style="1" customWidth="1"/>
    <col min="3311" max="3311" width="14.109375" style="1" customWidth="1"/>
    <col min="3312" max="3312" width="10.6640625" style="1" customWidth="1"/>
    <col min="3313" max="3313" width="13.44140625" style="1" customWidth="1"/>
    <col min="3314" max="3314" width="11.44140625" style="1" customWidth="1"/>
    <col min="3315" max="3315" width="15" style="1" customWidth="1"/>
    <col min="3316" max="3316" width="14.5546875" style="1" customWidth="1"/>
    <col min="3317" max="3317" width="10.33203125" style="1"/>
    <col min="3318" max="3318" width="7.44140625" style="1" customWidth="1"/>
    <col min="3319" max="3319" width="12.88671875" style="1" customWidth="1"/>
    <col min="3320" max="3320" width="11.109375" style="1" customWidth="1"/>
    <col min="3321" max="3321" width="14" style="1" customWidth="1"/>
    <col min="3322" max="3322" width="33" style="1" customWidth="1"/>
    <col min="3323" max="3323" width="6.6640625" style="1" customWidth="1"/>
    <col min="3324" max="3324" width="19" style="1" customWidth="1"/>
    <col min="3325" max="3325" width="19.109375" style="1" customWidth="1"/>
    <col min="3326" max="3326" width="21.33203125" style="1" customWidth="1"/>
    <col min="3327" max="3327" width="32.5546875" style="1" customWidth="1"/>
    <col min="3328" max="3328" width="16.88671875" style="1" customWidth="1"/>
    <col min="3329" max="3329" width="16.33203125" style="1" customWidth="1"/>
    <col min="3330" max="3560" width="10.33203125" style="1"/>
    <col min="3561" max="3561" width="4.44140625" style="1" customWidth="1"/>
    <col min="3562" max="3562" width="21.6640625" style="1" customWidth="1"/>
    <col min="3563" max="3563" width="15" style="1" customWidth="1"/>
    <col min="3564" max="3564" width="15.44140625" style="1" customWidth="1"/>
    <col min="3565" max="3565" width="11.5546875" style="1" customWidth="1"/>
    <col min="3566" max="3566" width="7.44140625" style="1" customWidth="1"/>
    <col min="3567" max="3567" width="14.109375" style="1" customWidth="1"/>
    <col min="3568" max="3568" width="10.6640625" style="1" customWidth="1"/>
    <col min="3569" max="3569" width="13.44140625" style="1" customWidth="1"/>
    <col min="3570" max="3570" width="11.44140625" style="1" customWidth="1"/>
    <col min="3571" max="3571" width="15" style="1" customWidth="1"/>
    <col min="3572" max="3572" width="14.5546875" style="1" customWidth="1"/>
    <col min="3573" max="3573" width="10.33203125" style="1"/>
    <col min="3574" max="3574" width="7.44140625" style="1" customWidth="1"/>
    <col min="3575" max="3575" width="12.88671875" style="1" customWidth="1"/>
    <col min="3576" max="3576" width="11.109375" style="1" customWidth="1"/>
    <col min="3577" max="3577" width="14" style="1" customWidth="1"/>
    <col min="3578" max="3578" width="33" style="1" customWidth="1"/>
    <col min="3579" max="3579" width="6.6640625" style="1" customWidth="1"/>
    <col min="3580" max="3580" width="19" style="1" customWidth="1"/>
    <col min="3581" max="3581" width="19.109375" style="1" customWidth="1"/>
    <col min="3582" max="3582" width="21.33203125" style="1" customWidth="1"/>
    <col min="3583" max="3583" width="32.5546875" style="1" customWidth="1"/>
    <col min="3584" max="3584" width="16.88671875" style="1" customWidth="1"/>
    <col min="3585" max="3585" width="16.33203125" style="1" customWidth="1"/>
    <col min="3586" max="3816" width="10.33203125" style="1"/>
    <col min="3817" max="3817" width="4.44140625" style="1" customWidth="1"/>
    <col min="3818" max="3818" width="21.6640625" style="1" customWidth="1"/>
    <col min="3819" max="3819" width="15" style="1" customWidth="1"/>
    <col min="3820" max="3820" width="15.44140625" style="1" customWidth="1"/>
    <col min="3821" max="3821" width="11.5546875" style="1" customWidth="1"/>
    <col min="3822" max="3822" width="7.44140625" style="1" customWidth="1"/>
    <col min="3823" max="3823" width="14.109375" style="1" customWidth="1"/>
    <col min="3824" max="3824" width="10.6640625" style="1" customWidth="1"/>
    <col min="3825" max="3825" width="13.44140625" style="1" customWidth="1"/>
    <col min="3826" max="3826" width="11.44140625" style="1" customWidth="1"/>
    <col min="3827" max="3827" width="15" style="1" customWidth="1"/>
    <col min="3828" max="3828" width="14.5546875" style="1" customWidth="1"/>
    <col min="3829" max="3829" width="10.33203125" style="1"/>
    <col min="3830" max="3830" width="7.44140625" style="1" customWidth="1"/>
    <col min="3831" max="3831" width="12.88671875" style="1" customWidth="1"/>
    <col min="3832" max="3832" width="11.109375" style="1" customWidth="1"/>
    <col min="3833" max="3833" width="14" style="1" customWidth="1"/>
    <col min="3834" max="3834" width="33" style="1" customWidth="1"/>
    <col min="3835" max="3835" width="6.6640625" style="1" customWidth="1"/>
    <col min="3836" max="3836" width="19" style="1" customWidth="1"/>
    <col min="3837" max="3837" width="19.109375" style="1" customWidth="1"/>
    <col min="3838" max="3838" width="21.33203125" style="1" customWidth="1"/>
    <col min="3839" max="3839" width="32.5546875" style="1" customWidth="1"/>
    <col min="3840" max="3840" width="16.88671875" style="1" customWidth="1"/>
    <col min="3841" max="3841" width="16.33203125" style="1" customWidth="1"/>
    <col min="3842" max="4072" width="10.33203125" style="1"/>
    <col min="4073" max="4073" width="4.44140625" style="1" customWidth="1"/>
    <col min="4074" max="4074" width="21.6640625" style="1" customWidth="1"/>
    <col min="4075" max="4075" width="15" style="1" customWidth="1"/>
    <col min="4076" max="4076" width="15.44140625" style="1" customWidth="1"/>
    <col min="4077" max="4077" width="11.5546875" style="1" customWidth="1"/>
    <col min="4078" max="4078" width="7.44140625" style="1" customWidth="1"/>
    <col min="4079" max="4079" width="14.109375" style="1" customWidth="1"/>
    <col min="4080" max="4080" width="10.6640625" style="1" customWidth="1"/>
    <col min="4081" max="4081" width="13.44140625" style="1" customWidth="1"/>
    <col min="4082" max="4082" width="11.44140625" style="1" customWidth="1"/>
    <col min="4083" max="4083" width="15" style="1" customWidth="1"/>
    <col min="4084" max="4084" width="14.5546875" style="1" customWidth="1"/>
    <col min="4085" max="4085" width="10.33203125" style="1"/>
    <col min="4086" max="4086" width="7.44140625" style="1" customWidth="1"/>
    <col min="4087" max="4087" width="12.88671875" style="1" customWidth="1"/>
    <col min="4088" max="4088" width="11.109375" style="1" customWidth="1"/>
    <col min="4089" max="4089" width="14" style="1" customWidth="1"/>
    <col min="4090" max="4090" width="33" style="1" customWidth="1"/>
    <col min="4091" max="4091" width="6.6640625" style="1" customWidth="1"/>
    <col min="4092" max="4092" width="19" style="1" customWidth="1"/>
    <col min="4093" max="4093" width="19.109375" style="1" customWidth="1"/>
    <col min="4094" max="4094" width="21.33203125" style="1" customWidth="1"/>
    <col min="4095" max="4095" width="32.5546875" style="1" customWidth="1"/>
    <col min="4096" max="4096" width="16.88671875" style="1" customWidth="1"/>
    <col min="4097" max="4097" width="16.33203125" style="1" customWidth="1"/>
    <col min="4098" max="4328" width="10.33203125" style="1"/>
    <col min="4329" max="4329" width="4.44140625" style="1" customWidth="1"/>
    <col min="4330" max="4330" width="21.6640625" style="1" customWidth="1"/>
    <col min="4331" max="4331" width="15" style="1" customWidth="1"/>
    <col min="4332" max="4332" width="15.44140625" style="1" customWidth="1"/>
    <col min="4333" max="4333" width="11.5546875" style="1" customWidth="1"/>
    <col min="4334" max="4334" width="7.44140625" style="1" customWidth="1"/>
    <col min="4335" max="4335" width="14.109375" style="1" customWidth="1"/>
    <col min="4336" max="4336" width="10.6640625" style="1" customWidth="1"/>
    <col min="4337" max="4337" width="13.44140625" style="1" customWidth="1"/>
    <col min="4338" max="4338" width="11.44140625" style="1" customWidth="1"/>
    <col min="4339" max="4339" width="15" style="1" customWidth="1"/>
    <col min="4340" max="4340" width="14.5546875" style="1" customWidth="1"/>
    <col min="4341" max="4341" width="10.33203125" style="1"/>
    <col min="4342" max="4342" width="7.44140625" style="1" customWidth="1"/>
    <col min="4343" max="4343" width="12.88671875" style="1" customWidth="1"/>
    <col min="4344" max="4344" width="11.109375" style="1" customWidth="1"/>
    <col min="4345" max="4345" width="14" style="1" customWidth="1"/>
    <col min="4346" max="4346" width="33" style="1" customWidth="1"/>
    <col min="4347" max="4347" width="6.6640625" style="1" customWidth="1"/>
    <col min="4348" max="4348" width="19" style="1" customWidth="1"/>
    <col min="4349" max="4349" width="19.109375" style="1" customWidth="1"/>
    <col min="4350" max="4350" width="21.33203125" style="1" customWidth="1"/>
    <col min="4351" max="4351" width="32.5546875" style="1" customWidth="1"/>
    <col min="4352" max="4352" width="16.88671875" style="1" customWidth="1"/>
    <col min="4353" max="4353" width="16.33203125" style="1" customWidth="1"/>
    <col min="4354" max="4584" width="10.33203125" style="1"/>
    <col min="4585" max="4585" width="4.44140625" style="1" customWidth="1"/>
    <col min="4586" max="4586" width="21.6640625" style="1" customWidth="1"/>
    <col min="4587" max="4587" width="15" style="1" customWidth="1"/>
    <col min="4588" max="4588" width="15.44140625" style="1" customWidth="1"/>
    <col min="4589" max="4589" width="11.5546875" style="1" customWidth="1"/>
    <col min="4590" max="4590" width="7.44140625" style="1" customWidth="1"/>
    <col min="4591" max="4591" width="14.109375" style="1" customWidth="1"/>
    <col min="4592" max="4592" width="10.6640625" style="1" customWidth="1"/>
    <col min="4593" max="4593" width="13.44140625" style="1" customWidth="1"/>
    <col min="4594" max="4594" width="11.44140625" style="1" customWidth="1"/>
    <col min="4595" max="4595" width="15" style="1" customWidth="1"/>
    <col min="4596" max="4596" width="14.5546875" style="1" customWidth="1"/>
    <col min="4597" max="4597" width="10.33203125" style="1"/>
    <col min="4598" max="4598" width="7.44140625" style="1" customWidth="1"/>
    <col min="4599" max="4599" width="12.88671875" style="1" customWidth="1"/>
    <col min="4600" max="4600" width="11.109375" style="1" customWidth="1"/>
    <col min="4601" max="4601" width="14" style="1" customWidth="1"/>
    <col min="4602" max="4602" width="33" style="1" customWidth="1"/>
    <col min="4603" max="4603" width="6.6640625" style="1" customWidth="1"/>
    <col min="4604" max="4604" width="19" style="1" customWidth="1"/>
    <col min="4605" max="4605" width="19.109375" style="1" customWidth="1"/>
    <col min="4606" max="4606" width="21.33203125" style="1" customWidth="1"/>
    <col min="4607" max="4607" width="32.5546875" style="1" customWidth="1"/>
    <col min="4608" max="4608" width="16.88671875" style="1" customWidth="1"/>
    <col min="4609" max="4609" width="16.33203125" style="1" customWidth="1"/>
    <col min="4610" max="4840" width="10.33203125" style="1"/>
    <col min="4841" max="4841" width="4.44140625" style="1" customWidth="1"/>
    <col min="4842" max="4842" width="21.6640625" style="1" customWidth="1"/>
    <col min="4843" max="4843" width="15" style="1" customWidth="1"/>
    <col min="4844" max="4844" width="15.44140625" style="1" customWidth="1"/>
    <col min="4845" max="4845" width="11.5546875" style="1" customWidth="1"/>
    <col min="4846" max="4846" width="7.44140625" style="1" customWidth="1"/>
    <col min="4847" max="4847" width="14.109375" style="1" customWidth="1"/>
    <col min="4848" max="4848" width="10.6640625" style="1" customWidth="1"/>
    <col min="4849" max="4849" width="13.44140625" style="1" customWidth="1"/>
    <col min="4850" max="4850" width="11.44140625" style="1" customWidth="1"/>
    <col min="4851" max="4851" width="15" style="1" customWidth="1"/>
    <col min="4852" max="4852" width="14.5546875" style="1" customWidth="1"/>
    <col min="4853" max="4853" width="10.33203125" style="1"/>
    <col min="4854" max="4854" width="7.44140625" style="1" customWidth="1"/>
    <col min="4855" max="4855" width="12.88671875" style="1" customWidth="1"/>
    <col min="4856" max="4856" width="11.109375" style="1" customWidth="1"/>
    <col min="4857" max="4857" width="14" style="1" customWidth="1"/>
    <col min="4858" max="4858" width="33" style="1" customWidth="1"/>
    <col min="4859" max="4859" width="6.6640625" style="1" customWidth="1"/>
    <col min="4860" max="4860" width="19" style="1" customWidth="1"/>
    <col min="4861" max="4861" width="19.109375" style="1" customWidth="1"/>
    <col min="4862" max="4862" width="21.33203125" style="1" customWidth="1"/>
    <col min="4863" max="4863" width="32.5546875" style="1" customWidth="1"/>
    <col min="4864" max="4864" width="16.88671875" style="1" customWidth="1"/>
    <col min="4865" max="4865" width="16.33203125" style="1" customWidth="1"/>
    <col min="4866" max="5096" width="10.33203125" style="1"/>
    <col min="5097" max="5097" width="4.44140625" style="1" customWidth="1"/>
    <col min="5098" max="5098" width="21.6640625" style="1" customWidth="1"/>
    <col min="5099" max="5099" width="15" style="1" customWidth="1"/>
    <col min="5100" max="5100" width="15.44140625" style="1" customWidth="1"/>
    <col min="5101" max="5101" width="11.5546875" style="1" customWidth="1"/>
    <col min="5102" max="5102" width="7.44140625" style="1" customWidth="1"/>
    <col min="5103" max="5103" width="14.109375" style="1" customWidth="1"/>
    <col min="5104" max="5104" width="10.6640625" style="1" customWidth="1"/>
    <col min="5105" max="5105" width="13.44140625" style="1" customWidth="1"/>
    <col min="5106" max="5106" width="11.44140625" style="1" customWidth="1"/>
    <col min="5107" max="5107" width="15" style="1" customWidth="1"/>
    <col min="5108" max="5108" width="14.5546875" style="1" customWidth="1"/>
    <col min="5109" max="5109" width="10.33203125" style="1"/>
    <col min="5110" max="5110" width="7.44140625" style="1" customWidth="1"/>
    <col min="5111" max="5111" width="12.88671875" style="1" customWidth="1"/>
    <col min="5112" max="5112" width="11.109375" style="1" customWidth="1"/>
    <col min="5113" max="5113" width="14" style="1" customWidth="1"/>
    <col min="5114" max="5114" width="33" style="1" customWidth="1"/>
    <col min="5115" max="5115" width="6.6640625" style="1" customWidth="1"/>
    <col min="5116" max="5116" width="19" style="1" customWidth="1"/>
    <col min="5117" max="5117" width="19.109375" style="1" customWidth="1"/>
    <col min="5118" max="5118" width="21.33203125" style="1" customWidth="1"/>
    <col min="5119" max="5119" width="32.5546875" style="1" customWidth="1"/>
    <col min="5120" max="5120" width="16.88671875" style="1" customWidth="1"/>
    <col min="5121" max="5121" width="16.33203125" style="1" customWidth="1"/>
    <col min="5122" max="5352" width="10.33203125" style="1"/>
    <col min="5353" max="5353" width="4.44140625" style="1" customWidth="1"/>
    <col min="5354" max="5354" width="21.6640625" style="1" customWidth="1"/>
    <col min="5355" max="5355" width="15" style="1" customWidth="1"/>
    <col min="5356" max="5356" width="15.44140625" style="1" customWidth="1"/>
    <col min="5357" max="5357" width="11.5546875" style="1" customWidth="1"/>
    <col min="5358" max="5358" width="7.44140625" style="1" customWidth="1"/>
    <col min="5359" max="5359" width="14.109375" style="1" customWidth="1"/>
    <col min="5360" max="5360" width="10.6640625" style="1" customWidth="1"/>
    <col min="5361" max="5361" width="13.44140625" style="1" customWidth="1"/>
    <col min="5362" max="5362" width="11.44140625" style="1" customWidth="1"/>
    <col min="5363" max="5363" width="15" style="1" customWidth="1"/>
    <col min="5364" max="5364" width="14.5546875" style="1" customWidth="1"/>
    <col min="5365" max="5365" width="10.33203125" style="1"/>
    <col min="5366" max="5366" width="7.44140625" style="1" customWidth="1"/>
    <col min="5367" max="5367" width="12.88671875" style="1" customWidth="1"/>
    <col min="5368" max="5368" width="11.109375" style="1" customWidth="1"/>
    <col min="5369" max="5369" width="14" style="1" customWidth="1"/>
    <col min="5370" max="5370" width="33" style="1" customWidth="1"/>
    <col min="5371" max="5371" width="6.6640625" style="1" customWidth="1"/>
    <col min="5372" max="5372" width="19" style="1" customWidth="1"/>
    <col min="5373" max="5373" width="19.109375" style="1" customWidth="1"/>
    <col min="5374" max="5374" width="21.33203125" style="1" customWidth="1"/>
    <col min="5375" max="5375" width="32.5546875" style="1" customWidth="1"/>
    <col min="5376" max="5376" width="16.88671875" style="1" customWidth="1"/>
    <col min="5377" max="5377" width="16.33203125" style="1" customWidth="1"/>
    <col min="5378" max="5608" width="10.33203125" style="1"/>
    <col min="5609" max="5609" width="4.44140625" style="1" customWidth="1"/>
    <col min="5610" max="5610" width="21.6640625" style="1" customWidth="1"/>
    <col min="5611" max="5611" width="15" style="1" customWidth="1"/>
    <col min="5612" max="5612" width="15.44140625" style="1" customWidth="1"/>
    <col min="5613" max="5613" width="11.5546875" style="1" customWidth="1"/>
    <col min="5614" max="5614" width="7.44140625" style="1" customWidth="1"/>
    <col min="5615" max="5615" width="14.109375" style="1" customWidth="1"/>
    <col min="5616" max="5616" width="10.6640625" style="1" customWidth="1"/>
    <col min="5617" max="5617" width="13.44140625" style="1" customWidth="1"/>
    <col min="5618" max="5618" width="11.44140625" style="1" customWidth="1"/>
    <col min="5619" max="5619" width="15" style="1" customWidth="1"/>
    <col min="5620" max="5620" width="14.5546875" style="1" customWidth="1"/>
    <col min="5621" max="5621" width="10.33203125" style="1"/>
    <col min="5622" max="5622" width="7.44140625" style="1" customWidth="1"/>
    <col min="5623" max="5623" width="12.88671875" style="1" customWidth="1"/>
    <col min="5624" max="5624" width="11.109375" style="1" customWidth="1"/>
    <col min="5625" max="5625" width="14" style="1" customWidth="1"/>
    <col min="5626" max="5626" width="33" style="1" customWidth="1"/>
    <col min="5627" max="5627" width="6.6640625" style="1" customWidth="1"/>
    <col min="5628" max="5628" width="19" style="1" customWidth="1"/>
    <col min="5629" max="5629" width="19.109375" style="1" customWidth="1"/>
    <col min="5630" max="5630" width="21.33203125" style="1" customWidth="1"/>
    <col min="5631" max="5631" width="32.5546875" style="1" customWidth="1"/>
    <col min="5632" max="5632" width="16.88671875" style="1" customWidth="1"/>
    <col min="5633" max="5633" width="16.33203125" style="1" customWidth="1"/>
    <col min="5634" max="5864" width="10.33203125" style="1"/>
    <col min="5865" max="5865" width="4.44140625" style="1" customWidth="1"/>
    <col min="5866" max="5866" width="21.6640625" style="1" customWidth="1"/>
    <col min="5867" max="5867" width="15" style="1" customWidth="1"/>
    <col min="5868" max="5868" width="15.44140625" style="1" customWidth="1"/>
    <col min="5869" max="5869" width="11.5546875" style="1" customWidth="1"/>
    <col min="5870" max="5870" width="7.44140625" style="1" customWidth="1"/>
    <col min="5871" max="5871" width="14.109375" style="1" customWidth="1"/>
    <col min="5872" max="5872" width="10.6640625" style="1" customWidth="1"/>
    <col min="5873" max="5873" width="13.44140625" style="1" customWidth="1"/>
    <col min="5874" max="5874" width="11.44140625" style="1" customWidth="1"/>
    <col min="5875" max="5875" width="15" style="1" customWidth="1"/>
    <col min="5876" max="5876" width="14.5546875" style="1" customWidth="1"/>
    <col min="5877" max="5877" width="10.33203125" style="1"/>
    <col min="5878" max="5878" width="7.44140625" style="1" customWidth="1"/>
    <col min="5879" max="5879" width="12.88671875" style="1" customWidth="1"/>
    <col min="5880" max="5880" width="11.109375" style="1" customWidth="1"/>
    <col min="5881" max="5881" width="14" style="1" customWidth="1"/>
    <col min="5882" max="5882" width="33" style="1" customWidth="1"/>
    <col min="5883" max="5883" width="6.6640625" style="1" customWidth="1"/>
    <col min="5884" max="5884" width="19" style="1" customWidth="1"/>
    <col min="5885" max="5885" width="19.109375" style="1" customWidth="1"/>
    <col min="5886" max="5886" width="21.33203125" style="1" customWidth="1"/>
    <col min="5887" max="5887" width="32.5546875" style="1" customWidth="1"/>
    <col min="5888" max="5888" width="16.88671875" style="1" customWidth="1"/>
    <col min="5889" max="5889" width="16.33203125" style="1" customWidth="1"/>
    <col min="5890" max="6120" width="10.33203125" style="1"/>
    <col min="6121" max="6121" width="4.44140625" style="1" customWidth="1"/>
    <col min="6122" max="6122" width="21.6640625" style="1" customWidth="1"/>
    <col min="6123" max="6123" width="15" style="1" customWidth="1"/>
    <col min="6124" max="6124" width="15.44140625" style="1" customWidth="1"/>
    <col min="6125" max="6125" width="11.5546875" style="1" customWidth="1"/>
    <col min="6126" max="6126" width="7.44140625" style="1" customWidth="1"/>
    <col min="6127" max="6127" width="14.109375" style="1" customWidth="1"/>
    <col min="6128" max="6128" width="10.6640625" style="1" customWidth="1"/>
    <col min="6129" max="6129" width="13.44140625" style="1" customWidth="1"/>
    <col min="6130" max="6130" width="11.44140625" style="1" customWidth="1"/>
    <col min="6131" max="6131" width="15" style="1" customWidth="1"/>
    <col min="6132" max="6132" width="14.5546875" style="1" customWidth="1"/>
    <col min="6133" max="6133" width="10.33203125" style="1"/>
    <col min="6134" max="6134" width="7.44140625" style="1" customWidth="1"/>
    <col min="6135" max="6135" width="12.88671875" style="1" customWidth="1"/>
    <col min="6136" max="6136" width="11.109375" style="1" customWidth="1"/>
    <col min="6137" max="6137" width="14" style="1" customWidth="1"/>
    <col min="6138" max="6138" width="33" style="1" customWidth="1"/>
    <col min="6139" max="6139" width="6.6640625" style="1" customWidth="1"/>
    <col min="6140" max="6140" width="19" style="1" customWidth="1"/>
    <col min="6141" max="6141" width="19.109375" style="1" customWidth="1"/>
    <col min="6142" max="6142" width="21.33203125" style="1" customWidth="1"/>
    <col min="6143" max="6143" width="32.5546875" style="1" customWidth="1"/>
    <col min="6144" max="6144" width="16.88671875" style="1" customWidth="1"/>
    <col min="6145" max="6145" width="16.33203125" style="1" customWidth="1"/>
    <col min="6146" max="6376" width="10.33203125" style="1"/>
    <col min="6377" max="6377" width="4.44140625" style="1" customWidth="1"/>
    <col min="6378" max="6378" width="21.6640625" style="1" customWidth="1"/>
    <col min="6379" max="6379" width="15" style="1" customWidth="1"/>
    <col min="6380" max="6380" width="15.44140625" style="1" customWidth="1"/>
    <col min="6381" max="6381" width="11.5546875" style="1" customWidth="1"/>
    <col min="6382" max="6382" width="7.44140625" style="1" customWidth="1"/>
    <col min="6383" max="6383" width="14.109375" style="1" customWidth="1"/>
    <col min="6384" max="6384" width="10.6640625" style="1" customWidth="1"/>
    <col min="6385" max="6385" width="13.44140625" style="1" customWidth="1"/>
    <col min="6386" max="6386" width="11.44140625" style="1" customWidth="1"/>
    <col min="6387" max="6387" width="15" style="1" customWidth="1"/>
    <col min="6388" max="6388" width="14.5546875" style="1" customWidth="1"/>
    <col min="6389" max="6389" width="10.33203125" style="1"/>
    <col min="6390" max="6390" width="7.44140625" style="1" customWidth="1"/>
    <col min="6391" max="6391" width="12.88671875" style="1" customWidth="1"/>
    <col min="6392" max="6392" width="11.109375" style="1" customWidth="1"/>
    <col min="6393" max="6393" width="14" style="1" customWidth="1"/>
    <col min="6394" max="6394" width="33" style="1" customWidth="1"/>
    <col min="6395" max="6395" width="6.6640625" style="1" customWidth="1"/>
    <col min="6396" max="6396" width="19" style="1" customWidth="1"/>
    <col min="6397" max="6397" width="19.109375" style="1" customWidth="1"/>
    <col min="6398" max="6398" width="21.33203125" style="1" customWidth="1"/>
    <col min="6399" max="6399" width="32.5546875" style="1" customWidth="1"/>
    <col min="6400" max="6400" width="16.88671875" style="1" customWidth="1"/>
    <col min="6401" max="6401" width="16.33203125" style="1" customWidth="1"/>
    <col min="6402" max="6632" width="10.33203125" style="1"/>
    <col min="6633" max="6633" width="4.44140625" style="1" customWidth="1"/>
    <col min="6634" max="6634" width="21.6640625" style="1" customWidth="1"/>
    <col min="6635" max="6635" width="15" style="1" customWidth="1"/>
    <col min="6636" max="6636" width="15.44140625" style="1" customWidth="1"/>
    <col min="6637" max="6637" width="11.5546875" style="1" customWidth="1"/>
    <col min="6638" max="6638" width="7.44140625" style="1" customWidth="1"/>
    <col min="6639" max="6639" width="14.109375" style="1" customWidth="1"/>
    <col min="6640" max="6640" width="10.6640625" style="1" customWidth="1"/>
    <col min="6641" max="6641" width="13.44140625" style="1" customWidth="1"/>
    <col min="6642" max="6642" width="11.44140625" style="1" customWidth="1"/>
    <col min="6643" max="6643" width="15" style="1" customWidth="1"/>
    <col min="6644" max="6644" width="14.5546875" style="1" customWidth="1"/>
    <col min="6645" max="6645" width="10.33203125" style="1"/>
    <col min="6646" max="6646" width="7.44140625" style="1" customWidth="1"/>
    <col min="6647" max="6647" width="12.88671875" style="1" customWidth="1"/>
    <col min="6648" max="6648" width="11.109375" style="1" customWidth="1"/>
    <col min="6649" max="6649" width="14" style="1" customWidth="1"/>
    <col min="6650" max="6650" width="33" style="1" customWidth="1"/>
    <col min="6651" max="6651" width="6.6640625" style="1" customWidth="1"/>
    <col min="6652" max="6652" width="19" style="1" customWidth="1"/>
    <col min="6653" max="6653" width="19.109375" style="1" customWidth="1"/>
    <col min="6654" max="6654" width="21.33203125" style="1" customWidth="1"/>
    <col min="6655" max="6655" width="32.5546875" style="1" customWidth="1"/>
    <col min="6656" max="6656" width="16.88671875" style="1" customWidth="1"/>
    <col min="6657" max="6657" width="16.33203125" style="1" customWidth="1"/>
    <col min="6658" max="6888" width="10.33203125" style="1"/>
    <col min="6889" max="6889" width="4.44140625" style="1" customWidth="1"/>
    <col min="6890" max="6890" width="21.6640625" style="1" customWidth="1"/>
    <col min="6891" max="6891" width="15" style="1" customWidth="1"/>
    <col min="6892" max="6892" width="15.44140625" style="1" customWidth="1"/>
    <col min="6893" max="6893" width="11.5546875" style="1" customWidth="1"/>
    <col min="6894" max="6894" width="7.44140625" style="1" customWidth="1"/>
    <col min="6895" max="6895" width="14.109375" style="1" customWidth="1"/>
    <col min="6896" max="6896" width="10.6640625" style="1" customWidth="1"/>
    <col min="6897" max="6897" width="13.44140625" style="1" customWidth="1"/>
    <col min="6898" max="6898" width="11.44140625" style="1" customWidth="1"/>
    <col min="6899" max="6899" width="15" style="1" customWidth="1"/>
    <col min="6900" max="6900" width="14.5546875" style="1" customWidth="1"/>
    <col min="6901" max="6901" width="10.33203125" style="1"/>
    <col min="6902" max="6902" width="7.44140625" style="1" customWidth="1"/>
    <col min="6903" max="6903" width="12.88671875" style="1" customWidth="1"/>
    <col min="6904" max="6904" width="11.109375" style="1" customWidth="1"/>
    <col min="6905" max="6905" width="14" style="1" customWidth="1"/>
    <col min="6906" max="6906" width="33" style="1" customWidth="1"/>
    <col min="6907" max="6907" width="6.6640625" style="1" customWidth="1"/>
    <col min="6908" max="6908" width="19" style="1" customWidth="1"/>
    <col min="6909" max="6909" width="19.109375" style="1" customWidth="1"/>
    <col min="6910" max="6910" width="21.33203125" style="1" customWidth="1"/>
    <col min="6911" max="6911" width="32.5546875" style="1" customWidth="1"/>
    <col min="6912" max="6912" width="16.88671875" style="1" customWidth="1"/>
    <col min="6913" max="6913" width="16.33203125" style="1" customWidth="1"/>
    <col min="6914" max="7144" width="10.33203125" style="1"/>
    <col min="7145" max="7145" width="4.44140625" style="1" customWidth="1"/>
    <col min="7146" max="7146" width="21.6640625" style="1" customWidth="1"/>
    <col min="7147" max="7147" width="15" style="1" customWidth="1"/>
    <col min="7148" max="7148" width="15.44140625" style="1" customWidth="1"/>
    <col min="7149" max="7149" width="11.5546875" style="1" customWidth="1"/>
    <col min="7150" max="7150" width="7.44140625" style="1" customWidth="1"/>
    <col min="7151" max="7151" width="14.109375" style="1" customWidth="1"/>
    <col min="7152" max="7152" width="10.6640625" style="1" customWidth="1"/>
    <col min="7153" max="7153" width="13.44140625" style="1" customWidth="1"/>
    <col min="7154" max="7154" width="11.44140625" style="1" customWidth="1"/>
    <col min="7155" max="7155" width="15" style="1" customWidth="1"/>
    <col min="7156" max="7156" width="14.5546875" style="1" customWidth="1"/>
    <col min="7157" max="7157" width="10.33203125" style="1"/>
    <col min="7158" max="7158" width="7.44140625" style="1" customWidth="1"/>
    <col min="7159" max="7159" width="12.88671875" style="1" customWidth="1"/>
    <col min="7160" max="7160" width="11.109375" style="1" customWidth="1"/>
    <col min="7161" max="7161" width="14" style="1" customWidth="1"/>
    <col min="7162" max="7162" width="33" style="1" customWidth="1"/>
    <col min="7163" max="7163" width="6.6640625" style="1" customWidth="1"/>
    <col min="7164" max="7164" width="19" style="1" customWidth="1"/>
    <col min="7165" max="7165" width="19.109375" style="1" customWidth="1"/>
    <col min="7166" max="7166" width="21.33203125" style="1" customWidth="1"/>
    <col min="7167" max="7167" width="32.5546875" style="1" customWidth="1"/>
    <col min="7168" max="7168" width="16.88671875" style="1" customWidth="1"/>
    <col min="7169" max="7169" width="16.33203125" style="1" customWidth="1"/>
    <col min="7170" max="7400" width="10.33203125" style="1"/>
    <col min="7401" max="7401" width="4.44140625" style="1" customWidth="1"/>
    <col min="7402" max="7402" width="21.6640625" style="1" customWidth="1"/>
    <col min="7403" max="7403" width="15" style="1" customWidth="1"/>
    <col min="7404" max="7404" width="15.44140625" style="1" customWidth="1"/>
    <col min="7405" max="7405" width="11.5546875" style="1" customWidth="1"/>
    <col min="7406" max="7406" width="7.44140625" style="1" customWidth="1"/>
    <col min="7407" max="7407" width="14.109375" style="1" customWidth="1"/>
    <col min="7408" max="7408" width="10.6640625" style="1" customWidth="1"/>
    <col min="7409" max="7409" width="13.44140625" style="1" customWidth="1"/>
    <col min="7410" max="7410" width="11.44140625" style="1" customWidth="1"/>
    <col min="7411" max="7411" width="15" style="1" customWidth="1"/>
    <col min="7412" max="7412" width="14.5546875" style="1" customWidth="1"/>
    <col min="7413" max="7413" width="10.33203125" style="1"/>
    <col min="7414" max="7414" width="7.44140625" style="1" customWidth="1"/>
    <col min="7415" max="7415" width="12.88671875" style="1" customWidth="1"/>
    <col min="7416" max="7416" width="11.109375" style="1" customWidth="1"/>
    <col min="7417" max="7417" width="14" style="1" customWidth="1"/>
    <col min="7418" max="7418" width="33" style="1" customWidth="1"/>
    <col min="7419" max="7419" width="6.6640625" style="1" customWidth="1"/>
    <col min="7420" max="7420" width="19" style="1" customWidth="1"/>
    <col min="7421" max="7421" width="19.109375" style="1" customWidth="1"/>
    <col min="7422" max="7422" width="21.33203125" style="1" customWidth="1"/>
    <col min="7423" max="7423" width="32.5546875" style="1" customWidth="1"/>
    <col min="7424" max="7424" width="16.88671875" style="1" customWidth="1"/>
    <col min="7425" max="7425" width="16.33203125" style="1" customWidth="1"/>
    <col min="7426" max="7656" width="10.33203125" style="1"/>
    <col min="7657" max="7657" width="4.44140625" style="1" customWidth="1"/>
    <col min="7658" max="7658" width="21.6640625" style="1" customWidth="1"/>
    <col min="7659" max="7659" width="15" style="1" customWidth="1"/>
    <col min="7660" max="7660" width="15.44140625" style="1" customWidth="1"/>
    <col min="7661" max="7661" width="11.5546875" style="1" customWidth="1"/>
    <col min="7662" max="7662" width="7.44140625" style="1" customWidth="1"/>
    <col min="7663" max="7663" width="14.109375" style="1" customWidth="1"/>
    <col min="7664" max="7664" width="10.6640625" style="1" customWidth="1"/>
    <col min="7665" max="7665" width="13.44140625" style="1" customWidth="1"/>
    <col min="7666" max="7666" width="11.44140625" style="1" customWidth="1"/>
    <col min="7667" max="7667" width="15" style="1" customWidth="1"/>
    <col min="7668" max="7668" width="14.5546875" style="1" customWidth="1"/>
    <col min="7669" max="7669" width="10.33203125" style="1"/>
    <col min="7670" max="7670" width="7.44140625" style="1" customWidth="1"/>
    <col min="7671" max="7671" width="12.88671875" style="1" customWidth="1"/>
    <col min="7672" max="7672" width="11.109375" style="1" customWidth="1"/>
    <col min="7673" max="7673" width="14" style="1" customWidth="1"/>
    <col min="7674" max="7674" width="33" style="1" customWidth="1"/>
    <col min="7675" max="7675" width="6.6640625" style="1" customWidth="1"/>
    <col min="7676" max="7676" width="19" style="1" customWidth="1"/>
    <col min="7677" max="7677" width="19.109375" style="1" customWidth="1"/>
    <col min="7678" max="7678" width="21.33203125" style="1" customWidth="1"/>
    <col min="7679" max="7679" width="32.5546875" style="1" customWidth="1"/>
    <col min="7680" max="7680" width="16.88671875" style="1" customWidth="1"/>
    <col min="7681" max="7681" width="16.33203125" style="1" customWidth="1"/>
    <col min="7682" max="7912" width="10.33203125" style="1"/>
    <col min="7913" max="7913" width="4.44140625" style="1" customWidth="1"/>
    <col min="7914" max="7914" width="21.6640625" style="1" customWidth="1"/>
    <col min="7915" max="7915" width="15" style="1" customWidth="1"/>
    <col min="7916" max="7916" width="15.44140625" style="1" customWidth="1"/>
    <col min="7917" max="7917" width="11.5546875" style="1" customWidth="1"/>
    <col min="7918" max="7918" width="7.44140625" style="1" customWidth="1"/>
    <col min="7919" max="7919" width="14.109375" style="1" customWidth="1"/>
    <col min="7920" max="7920" width="10.6640625" style="1" customWidth="1"/>
    <col min="7921" max="7921" width="13.44140625" style="1" customWidth="1"/>
    <col min="7922" max="7922" width="11.44140625" style="1" customWidth="1"/>
    <col min="7923" max="7923" width="15" style="1" customWidth="1"/>
    <col min="7924" max="7924" width="14.5546875" style="1" customWidth="1"/>
    <col min="7925" max="7925" width="10.33203125" style="1"/>
    <col min="7926" max="7926" width="7.44140625" style="1" customWidth="1"/>
    <col min="7927" max="7927" width="12.88671875" style="1" customWidth="1"/>
    <col min="7928" max="7928" width="11.109375" style="1" customWidth="1"/>
    <col min="7929" max="7929" width="14" style="1" customWidth="1"/>
    <col min="7930" max="7930" width="33" style="1" customWidth="1"/>
    <col min="7931" max="7931" width="6.6640625" style="1" customWidth="1"/>
    <col min="7932" max="7932" width="19" style="1" customWidth="1"/>
    <col min="7933" max="7933" width="19.109375" style="1" customWidth="1"/>
    <col min="7934" max="7934" width="21.33203125" style="1" customWidth="1"/>
    <col min="7935" max="7935" width="32.5546875" style="1" customWidth="1"/>
    <col min="7936" max="7936" width="16.88671875" style="1" customWidth="1"/>
    <col min="7937" max="7937" width="16.33203125" style="1" customWidth="1"/>
    <col min="7938" max="8168" width="10.33203125" style="1"/>
    <col min="8169" max="8169" width="4.44140625" style="1" customWidth="1"/>
    <col min="8170" max="8170" width="21.6640625" style="1" customWidth="1"/>
    <col min="8171" max="8171" width="15" style="1" customWidth="1"/>
    <col min="8172" max="8172" width="15.44140625" style="1" customWidth="1"/>
    <col min="8173" max="8173" width="11.5546875" style="1" customWidth="1"/>
    <col min="8174" max="8174" width="7.44140625" style="1" customWidth="1"/>
    <col min="8175" max="8175" width="14.109375" style="1" customWidth="1"/>
    <col min="8176" max="8176" width="10.6640625" style="1" customWidth="1"/>
    <col min="8177" max="8177" width="13.44140625" style="1" customWidth="1"/>
    <col min="8178" max="8178" width="11.44140625" style="1" customWidth="1"/>
    <col min="8179" max="8179" width="15" style="1" customWidth="1"/>
    <col min="8180" max="8180" width="14.5546875" style="1" customWidth="1"/>
    <col min="8181" max="8181" width="10.33203125" style="1"/>
    <col min="8182" max="8182" width="7.44140625" style="1" customWidth="1"/>
    <col min="8183" max="8183" width="12.88671875" style="1" customWidth="1"/>
    <col min="8184" max="8184" width="11.109375" style="1" customWidth="1"/>
    <col min="8185" max="8185" width="14" style="1" customWidth="1"/>
    <col min="8186" max="8186" width="33" style="1" customWidth="1"/>
    <col min="8187" max="8187" width="6.6640625" style="1" customWidth="1"/>
    <col min="8188" max="8188" width="19" style="1" customWidth="1"/>
    <col min="8189" max="8189" width="19.109375" style="1" customWidth="1"/>
    <col min="8190" max="8190" width="21.33203125" style="1" customWidth="1"/>
    <col min="8191" max="8191" width="32.5546875" style="1" customWidth="1"/>
    <col min="8192" max="8192" width="16.88671875" style="1" customWidth="1"/>
    <col min="8193" max="8193" width="16.33203125" style="1" customWidth="1"/>
    <col min="8194" max="8424" width="10.33203125" style="1"/>
    <col min="8425" max="8425" width="4.44140625" style="1" customWidth="1"/>
    <col min="8426" max="8426" width="21.6640625" style="1" customWidth="1"/>
    <col min="8427" max="8427" width="15" style="1" customWidth="1"/>
    <col min="8428" max="8428" width="15.44140625" style="1" customWidth="1"/>
    <col min="8429" max="8429" width="11.5546875" style="1" customWidth="1"/>
    <col min="8430" max="8430" width="7.44140625" style="1" customWidth="1"/>
    <col min="8431" max="8431" width="14.109375" style="1" customWidth="1"/>
    <col min="8432" max="8432" width="10.6640625" style="1" customWidth="1"/>
    <col min="8433" max="8433" width="13.44140625" style="1" customWidth="1"/>
    <col min="8434" max="8434" width="11.44140625" style="1" customWidth="1"/>
    <col min="8435" max="8435" width="15" style="1" customWidth="1"/>
    <col min="8436" max="8436" width="14.5546875" style="1" customWidth="1"/>
    <col min="8437" max="8437" width="10.33203125" style="1"/>
    <col min="8438" max="8438" width="7.44140625" style="1" customWidth="1"/>
    <col min="8439" max="8439" width="12.88671875" style="1" customWidth="1"/>
    <col min="8440" max="8440" width="11.109375" style="1" customWidth="1"/>
    <col min="8441" max="8441" width="14" style="1" customWidth="1"/>
    <col min="8442" max="8442" width="33" style="1" customWidth="1"/>
    <col min="8443" max="8443" width="6.6640625" style="1" customWidth="1"/>
    <col min="8444" max="8444" width="19" style="1" customWidth="1"/>
    <col min="8445" max="8445" width="19.109375" style="1" customWidth="1"/>
    <col min="8446" max="8446" width="21.33203125" style="1" customWidth="1"/>
    <col min="8447" max="8447" width="32.5546875" style="1" customWidth="1"/>
    <col min="8448" max="8448" width="16.88671875" style="1" customWidth="1"/>
    <col min="8449" max="8449" width="16.33203125" style="1" customWidth="1"/>
    <col min="8450" max="8680" width="10.33203125" style="1"/>
    <col min="8681" max="8681" width="4.44140625" style="1" customWidth="1"/>
    <col min="8682" max="8682" width="21.6640625" style="1" customWidth="1"/>
    <col min="8683" max="8683" width="15" style="1" customWidth="1"/>
    <col min="8684" max="8684" width="15.44140625" style="1" customWidth="1"/>
    <col min="8685" max="8685" width="11.5546875" style="1" customWidth="1"/>
    <col min="8686" max="8686" width="7.44140625" style="1" customWidth="1"/>
    <col min="8687" max="8687" width="14.109375" style="1" customWidth="1"/>
    <col min="8688" max="8688" width="10.6640625" style="1" customWidth="1"/>
    <col min="8689" max="8689" width="13.44140625" style="1" customWidth="1"/>
    <col min="8690" max="8690" width="11.44140625" style="1" customWidth="1"/>
    <col min="8691" max="8691" width="15" style="1" customWidth="1"/>
    <col min="8692" max="8692" width="14.5546875" style="1" customWidth="1"/>
    <col min="8693" max="8693" width="10.33203125" style="1"/>
    <col min="8694" max="8694" width="7.44140625" style="1" customWidth="1"/>
    <col min="8695" max="8695" width="12.88671875" style="1" customWidth="1"/>
    <col min="8696" max="8696" width="11.109375" style="1" customWidth="1"/>
    <col min="8697" max="8697" width="14" style="1" customWidth="1"/>
    <col min="8698" max="8698" width="33" style="1" customWidth="1"/>
    <col min="8699" max="8699" width="6.6640625" style="1" customWidth="1"/>
    <col min="8700" max="8700" width="19" style="1" customWidth="1"/>
    <col min="8701" max="8701" width="19.109375" style="1" customWidth="1"/>
    <col min="8702" max="8702" width="21.33203125" style="1" customWidth="1"/>
    <col min="8703" max="8703" width="32.5546875" style="1" customWidth="1"/>
    <col min="8704" max="8704" width="16.88671875" style="1" customWidth="1"/>
    <col min="8705" max="8705" width="16.33203125" style="1" customWidth="1"/>
    <col min="8706" max="8936" width="10.33203125" style="1"/>
    <col min="8937" max="8937" width="4.44140625" style="1" customWidth="1"/>
    <col min="8938" max="8938" width="21.6640625" style="1" customWidth="1"/>
    <col min="8939" max="8939" width="15" style="1" customWidth="1"/>
    <col min="8940" max="8940" width="15.44140625" style="1" customWidth="1"/>
    <col min="8941" max="8941" width="11.5546875" style="1" customWidth="1"/>
    <col min="8942" max="8942" width="7.44140625" style="1" customWidth="1"/>
    <col min="8943" max="8943" width="14.109375" style="1" customWidth="1"/>
    <col min="8944" max="8944" width="10.6640625" style="1" customWidth="1"/>
    <col min="8945" max="8945" width="13.44140625" style="1" customWidth="1"/>
    <col min="8946" max="8946" width="11.44140625" style="1" customWidth="1"/>
    <col min="8947" max="8947" width="15" style="1" customWidth="1"/>
    <col min="8948" max="8948" width="14.5546875" style="1" customWidth="1"/>
    <col min="8949" max="8949" width="10.33203125" style="1"/>
    <col min="8950" max="8950" width="7.44140625" style="1" customWidth="1"/>
    <col min="8951" max="8951" width="12.88671875" style="1" customWidth="1"/>
    <col min="8952" max="8952" width="11.109375" style="1" customWidth="1"/>
    <col min="8953" max="8953" width="14" style="1" customWidth="1"/>
    <col min="8954" max="8954" width="33" style="1" customWidth="1"/>
    <col min="8955" max="8955" width="6.6640625" style="1" customWidth="1"/>
    <col min="8956" max="8956" width="19" style="1" customWidth="1"/>
    <col min="8957" max="8957" width="19.109375" style="1" customWidth="1"/>
    <col min="8958" max="8958" width="21.33203125" style="1" customWidth="1"/>
    <col min="8959" max="8959" width="32.5546875" style="1" customWidth="1"/>
    <col min="8960" max="8960" width="16.88671875" style="1" customWidth="1"/>
    <col min="8961" max="8961" width="16.33203125" style="1" customWidth="1"/>
    <col min="8962" max="9192" width="10.33203125" style="1"/>
    <col min="9193" max="9193" width="4.44140625" style="1" customWidth="1"/>
    <col min="9194" max="9194" width="21.6640625" style="1" customWidth="1"/>
    <col min="9195" max="9195" width="15" style="1" customWidth="1"/>
    <col min="9196" max="9196" width="15.44140625" style="1" customWidth="1"/>
    <col min="9197" max="9197" width="11.5546875" style="1" customWidth="1"/>
    <col min="9198" max="9198" width="7.44140625" style="1" customWidth="1"/>
    <col min="9199" max="9199" width="14.109375" style="1" customWidth="1"/>
    <col min="9200" max="9200" width="10.6640625" style="1" customWidth="1"/>
    <col min="9201" max="9201" width="13.44140625" style="1" customWidth="1"/>
    <col min="9202" max="9202" width="11.44140625" style="1" customWidth="1"/>
    <col min="9203" max="9203" width="15" style="1" customWidth="1"/>
    <col min="9204" max="9204" width="14.5546875" style="1" customWidth="1"/>
    <col min="9205" max="9205" width="10.33203125" style="1"/>
    <col min="9206" max="9206" width="7.44140625" style="1" customWidth="1"/>
    <col min="9207" max="9207" width="12.88671875" style="1" customWidth="1"/>
    <col min="9208" max="9208" width="11.109375" style="1" customWidth="1"/>
    <col min="9209" max="9209" width="14" style="1" customWidth="1"/>
    <col min="9210" max="9210" width="33" style="1" customWidth="1"/>
    <col min="9211" max="9211" width="6.6640625" style="1" customWidth="1"/>
    <col min="9212" max="9212" width="19" style="1" customWidth="1"/>
    <col min="9213" max="9213" width="19.109375" style="1" customWidth="1"/>
    <col min="9214" max="9214" width="21.33203125" style="1" customWidth="1"/>
    <col min="9215" max="9215" width="32.5546875" style="1" customWidth="1"/>
    <col min="9216" max="9216" width="16.88671875" style="1" customWidth="1"/>
    <col min="9217" max="9217" width="16.33203125" style="1" customWidth="1"/>
    <col min="9218" max="9448" width="10.33203125" style="1"/>
    <col min="9449" max="9449" width="4.44140625" style="1" customWidth="1"/>
    <col min="9450" max="9450" width="21.6640625" style="1" customWidth="1"/>
    <col min="9451" max="9451" width="15" style="1" customWidth="1"/>
    <col min="9452" max="9452" width="15.44140625" style="1" customWidth="1"/>
    <col min="9453" max="9453" width="11.5546875" style="1" customWidth="1"/>
    <col min="9454" max="9454" width="7.44140625" style="1" customWidth="1"/>
    <col min="9455" max="9455" width="14.109375" style="1" customWidth="1"/>
    <col min="9456" max="9456" width="10.6640625" style="1" customWidth="1"/>
    <col min="9457" max="9457" width="13.44140625" style="1" customWidth="1"/>
    <col min="9458" max="9458" width="11.44140625" style="1" customWidth="1"/>
    <col min="9459" max="9459" width="15" style="1" customWidth="1"/>
    <col min="9460" max="9460" width="14.5546875" style="1" customWidth="1"/>
    <col min="9461" max="9461" width="10.33203125" style="1"/>
    <col min="9462" max="9462" width="7.44140625" style="1" customWidth="1"/>
    <col min="9463" max="9463" width="12.88671875" style="1" customWidth="1"/>
    <col min="9464" max="9464" width="11.109375" style="1" customWidth="1"/>
    <col min="9465" max="9465" width="14" style="1" customWidth="1"/>
    <col min="9466" max="9466" width="33" style="1" customWidth="1"/>
    <col min="9467" max="9467" width="6.6640625" style="1" customWidth="1"/>
    <col min="9468" max="9468" width="19" style="1" customWidth="1"/>
    <col min="9469" max="9469" width="19.109375" style="1" customWidth="1"/>
    <col min="9470" max="9470" width="21.33203125" style="1" customWidth="1"/>
    <col min="9471" max="9471" width="32.5546875" style="1" customWidth="1"/>
    <col min="9472" max="9472" width="16.88671875" style="1" customWidth="1"/>
    <col min="9473" max="9473" width="16.33203125" style="1" customWidth="1"/>
    <col min="9474" max="9704" width="10.33203125" style="1"/>
    <col min="9705" max="9705" width="4.44140625" style="1" customWidth="1"/>
    <col min="9706" max="9706" width="21.6640625" style="1" customWidth="1"/>
    <col min="9707" max="9707" width="15" style="1" customWidth="1"/>
    <col min="9708" max="9708" width="15.44140625" style="1" customWidth="1"/>
    <col min="9709" max="9709" width="11.5546875" style="1" customWidth="1"/>
    <col min="9710" max="9710" width="7.44140625" style="1" customWidth="1"/>
    <col min="9711" max="9711" width="14.109375" style="1" customWidth="1"/>
    <col min="9712" max="9712" width="10.6640625" style="1" customWidth="1"/>
    <col min="9713" max="9713" width="13.44140625" style="1" customWidth="1"/>
    <col min="9714" max="9714" width="11.44140625" style="1" customWidth="1"/>
    <col min="9715" max="9715" width="15" style="1" customWidth="1"/>
    <col min="9716" max="9716" width="14.5546875" style="1" customWidth="1"/>
    <col min="9717" max="9717" width="10.33203125" style="1"/>
    <col min="9718" max="9718" width="7.44140625" style="1" customWidth="1"/>
    <col min="9719" max="9719" width="12.88671875" style="1" customWidth="1"/>
    <col min="9720" max="9720" width="11.109375" style="1" customWidth="1"/>
    <col min="9721" max="9721" width="14" style="1" customWidth="1"/>
    <col min="9722" max="9722" width="33" style="1" customWidth="1"/>
    <col min="9723" max="9723" width="6.6640625" style="1" customWidth="1"/>
    <col min="9724" max="9724" width="19" style="1" customWidth="1"/>
    <col min="9725" max="9725" width="19.109375" style="1" customWidth="1"/>
    <col min="9726" max="9726" width="21.33203125" style="1" customWidth="1"/>
    <col min="9727" max="9727" width="32.5546875" style="1" customWidth="1"/>
    <col min="9728" max="9728" width="16.88671875" style="1" customWidth="1"/>
    <col min="9729" max="9729" width="16.33203125" style="1" customWidth="1"/>
    <col min="9730" max="9960" width="10.33203125" style="1"/>
    <col min="9961" max="9961" width="4.44140625" style="1" customWidth="1"/>
    <col min="9962" max="9962" width="21.6640625" style="1" customWidth="1"/>
    <col min="9963" max="9963" width="15" style="1" customWidth="1"/>
    <col min="9964" max="9964" width="15.44140625" style="1" customWidth="1"/>
    <col min="9965" max="9965" width="11.5546875" style="1" customWidth="1"/>
    <col min="9966" max="9966" width="7.44140625" style="1" customWidth="1"/>
    <col min="9967" max="9967" width="14.109375" style="1" customWidth="1"/>
    <col min="9968" max="9968" width="10.6640625" style="1" customWidth="1"/>
    <col min="9969" max="9969" width="13.44140625" style="1" customWidth="1"/>
    <col min="9970" max="9970" width="11.44140625" style="1" customWidth="1"/>
    <col min="9971" max="9971" width="15" style="1" customWidth="1"/>
    <col min="9972" max="9972" width="14.5546875" style="1" customWidth="1"/>
    <col min="9973" max="9973" width="10.33203125" style="1"/>
    <col min="9974" max="9974" width="7.44140625" style="1" customWidth="1"/>
    <col min="9975" max="9975" width="12.88671875" style="1" customWidth="1"/>
    <col min="9976" max="9976" width="11.109375" style="1" customWidth="1"/>
    <col min="9977" max="9977" width="14" style="1" customWidth="1"/>
    <col min="9978" max="9978" width="33" style="1" customWidth="1"/>
    <col min="9979" max="9979" width="6.6640625" style="1" customWidth="1"/>
    <col min="9980" max="9980" width="19" style="1" customWidth="1"/>
    <col min="9981" max="9981" width="19.109375" style="1" customWidth="1"/>
    <col min="9982" max="9982" width="21.33203125" style="1" customWidth="1"/>
    <col min="9983" max="9983" width="32.5546875" style="1" customWidth="1"/>
    <col min="9984" max="9984" width="16.88671875" style="1" customWidth="1"/>
    <col min="9985" max="9985" width="16.33203125" style="1" customWidth="1"/>
    <col min="9986" max="10216" width="10.33203125" style="1"/>
    <col min="10217" max="10217" width="4.44140625" style="1" customWidth="1"/>
    <col min="10218" max="10218" width="21.6640625" style="1" customWidth="1"/>
    <col min="10219" max="10219" width="15" style="1" customWidth="1"/>
    <col min="10220" max="10220" width="15.44140625" style="1" customWidth="1"/>
    <col min="10221" max="10221" width="11.5546875" style="1" customWidth="1"/>
    <col min="10222" max="10222" width="7.44140625" style="1" customWidth="1"/>
    <col min="10223" max="10223" width="14.109375" style="1" customWidth="1"/>
    <col min="10224" max="10224" width="10.6640625" style="1" customWidth="1"/>
    <col min="10225" max="10225" width="13.44140625" style="1" customWidth="1"/>
    <col min="10226" max="10226" width="11.44140625" style="1" customWidth="1"/>
    <col min="10227" max="10227" width="15" style="1" customWidth="1"/>
    <col min="10228" max="10228" width="14.5546875" style="1" customWidth="1"/>
    <col min="10229" max="10229" width="10.33203125" style="1"/>
    <col min="10230" max="10230" width="7.44140625" style="1" customWidth="1"/>
    <col min="10231" max="10231" width="12.88671875" style="1" customWidth="1"/>
    <col min="10232" max="10232" width="11.109375" style="1" customWidth="1"/>
    <col min="10233" max="10233" width="14" style="1" customWidth="1"/>
    <col min="10234" max="10234" width="33" style="1" customWidth="1"/>
    <col min="10235" max="10235" width="6.6640625" style="1" customWidth="1"/>
    <col min="10236" max="10236" width="19" style="1" customWidth="1"/>
    <col min="10237" max="10237" width="19.109375" style="1" customWidth="1"/>
    <col min="10238" max="10238" width="21.33203125" style="1" customWidth="1"/>
    <col min="10239" max="10239" width="32.5546875" style="1" customWidth="1"/>
    <col min="10240" max="10240" width="16.88671875" style="1" customWidth="1"/>
    <col min="10241" max="10241" width="16.33203125" style="1" customWidth="1"/>
    <col min="10242" max="10472" width="10.33203125" style="1"/>
    <col min="10473" max="10473" width="4.44140625" style="1" customWidth="1"/>
    <col min="10474" max="10474" width="21.6640625" style="1" customWidth="1"/>
    <col min="10475" max="10475" width="15" style="1" customWidth="1"/>
    <col min="10476" max="10476" width="15.44140625" style="1" customWidth="1"/>
    <col min="10477" max="10477" width="11.5546875" style="1" customWidth="1"/>
    <col min="10478" max="10478" width="7.44140625" style="1" customWidth="1"/>
    <col min="10479" max="10479" width="14.109375" style="1" customWidth="1"/>
    <col min="10480" max="10480" width="10.6640625" style="1" customWidth="1"/>
    <col min="10481" max="10481" width="13.44140625" style="1" customWidth="1"/>
    <col min="10482" max="10482" width="11.44140625" style="1" customWidth="1"/>
    <col min="10483" max="10483" width="15" style="1" customWidth="1"/>
    <col min="10484" max="10484" width="14.5546875" style="1" customWidth="1"/>
    <col min="10485" max="10485" width="10.33203125" style="1"/>
    <col min="10486" max="10486" width="7.44140625" style="1" customWidth="1"/>
    <col min="10487" max="10487" width="12.88671875" style="1" customWidth="1"/>
    <col min="10488" max="10488" width="11.109375" style="1" customWidth="1"/>
    <col min="10489" max="10489" width="14" style="1" customWidth="1"/>
    <col min="10490" max="10490" width="33" style="1" customWidth="1"/>
    <col min="10491" max="10491" width="6.6640625" style="1" customWidth="1"/>
    <col min="10492" max="10492" width="19" style="1" customWidth="1"/>
    <col min="10493" max="10493" width="19.109375" style="1" customWidth="1"/>
    <col min="10494" max="10494" width="21.33203125" style="1" customWidth="1"/>
    <col min="10495" max="10495" width="32.5546875" style="1" customWidth="1"/>
    <col min="10496" max="10496" width="16.88671875" style="1" customWidth="1"/>
    <col min="10497" max="10497" width="16.33203125" style="1" customWidth="1"/>
    <col min="10498" max="10728" width="10.33203125" style="1"/>
    <col min="10729" max="10729" width="4.44140625" style="1" customWidth="1"/>
    <col min="10730" max="10730" width="21.6640625" style="1" customWidth="1"/>
    <col min="10731" max="10731" width="15" style="1" customWidth="1"/>
    <col min="10732" max="10732" width="15.44140625" style="1" customWidth="1"/>
    <col min="10733" max="10733" width="11.5546875" style="1" customWidth="1"/>
    <col min="10734" max="10734" width="7.44140625" style="1" customWidth="1"/>
    <col min="10735" max="10735" width="14.109375" style="1" customWidth="1"/>
    <col min="10736" max="10736" width="10.6640625" style="1" customWidth="1"/>
    <col min="10737" max="10737" width="13.44140625" style="1" customWidth="1"/>
    <col min="10738" max="10738" width="11.44140625" style="1" customWidth="1"/>
    <col min="10739" max="10739" width="15" style="1" customWidth="1"/>
    <col min="10740" max="10740" width="14.5546875" style="1" customWidth="1"/>
    <col min="10741" max="10741" width="10.33203125" style="1"/>
    <col min="10742" max="10742" width="7.44140625" style="1" customWidth="1"/>
    <col min="10743" max="10743" width="12.88671875" style="1" customWidth="1"/>
    <col min="10744" max="10744" width="11.109375" style="1" customWidth="1"/>
    <col min="10745" max="10745" width="14" style="1" customWidth="1"/>
    <col min="10746" max="10746" width="33" style="1" customWidth="1"/>
    <col min="10747" max="10747" width="6.6640625" style="1" customWidth="1"/>
    <col min="10748" max="10748" width="19" style="1" customWidth="1"/>
    <col min="10749" max="10749" width="19.109375" style="1" customWidth="1"/>
    <col min="10750" max="10750" width="21.33203125" style="1" customWidth="1"/>
    <col min="10751" max="10751" width="32.5546875" style="1" customWidth="1"/>
    <col min="10752" max="10752" width="16.88671875" style="1" customWidth="1"/>
    <col min="10753" max="10753" width="16.33203125" style="1" customWidth="1"/>
    <col min="10754" max="10984" width="10.33203125" style="1"/>
    <col min="10985" max="10985" width="4.44140625" style="1" customWidth="1"/>
    <col min="10986" max="10986" width="21.6640625" style="1" customWidth="1"/>
    <col min="10987" max="10987" width="15" style="1" customWidth="1"/>
    <col min="10988" max="10988" width="15.44140625" style="1" customWidth="1"/>
    <col min="10989" max="10989" width="11.5546875" style="1" customWidth="1"/>
    <col min="10990" max="10990" width="7.44140625" style="1" customWidth="1"/>
    <col min="10991" max="10991" width="14.109375" style="1" customWidth="1"/>
    <col min="10992" max="10992" width="10.6640625" style="1" customWidth="1"/>
    <col min="10993" max="10993" width="13.44140625" style="1" customWidth="1"/>
    <col min="10994" max="10994" width="11.44140625" style="1" customWidth="1"/>
    <col min="10995" max="10995" width="15" style="1" customWidth="1"/>
    <col min="10996" max="10996" width="14.5546875" style="1" customWidth="1"/>
    <col min="10997" max="10997" width="10.33203125" style="1"/>
    <col min="10998" max="10998" width="7.44140625" style="1" customWidth="1"/>
    <col min="10999" max="10999" width="12.88671875" style="1" customWidth="1"/>
    <col min="11000" max="11000" width="11.109375" style="1" customWidth="1"/>
    <col min="11001" max="11001" width="14" style="1" customWidth="1"/>
    <col min="11002" max="11002" width="33" style="1" customWidth="1"/>
    <col min="11003" max="11003" width="6.6640625" style="1" customWidth="1"/>
    <col min="11004" max="11004" width="19" style="1" customWidth="1"/>
    <col min="11005" max="11005" width="19.109375" style="1" customWidth="1"/>
    <col min="11006" max="11006" width="21.33203125" style="1" customWidth="1"/>
    <col min="11007" max="11007" width="32.5546875" style="1" customWidth="1"/>
    <col min="11008" max="11008" width="16.88671875" style="1" customWidth="1"/>
    <col min="11009" max="11009" width="16.33203125" style="1" customWidth="1"/>
    <col min="11010" max="11240" width="10.33203125" style="1"/>
    <col min="11241" max="11241" width="4.44140625" style="1" customWidth="1"/>
    <col min="11242" max="11242" width="21.6640625" style="1" customWidth="1"/>
    <col min="11243" max="11243" width="15" style="1" customWidth="1"/>
    <col min="11244" max="11244" width="15.44140625" style="1" customWidth="1"/>
    <col min="11245" max="11245" width="11.5546875" style="1" customWidth="1"/>
    <col min="11246" max="11246" width="7.44140625" style="1" customWidth="1"/>
    <col min="11247" max="11247" width="14.109375" style="1" customWidth="1"/>
    <col min="11248" max="11248" width="10.6640625" style="1" customWidth="1"/>
    <col min="11249" max="11249" width="13.44140625" style="1" customWidth="1"/>
    <col min="11250" max="11250" width="11.44140625" style="1" customWidth="1"/>
    <col min="11251" max="11251" width="15" style="1" customWidth="1"/>
    <col min="11252" max="11252" width="14.5546875" style="1" customWidth="1"/>
    <col min="11253" max="11253" width="10.33203125" style="1"/>
    <col min="11254" max="11254" width="7.44140625" style="1" customWidth="1"/>
    <col min="11255" max="11255" width="12.88671875" style="1" customWidth="1"/>
    <col min="11256" max="11256" width="11.109375" style="1" customWidth="1"/>
    <col min="11257" max="11257" width="14" style="1" customWidth="1"/>
    <col min="11258" max="11258" width="33" style="1" customWidth="1"/>
    <col min="11259" max="11259" width="6.6640625" style="1" customWidth="1"/>
    <col min="11260" max="11260" width="19" style="1" customWidth="1"/>
    <col min="11261" max="11261" width="19.109375" style="1" customWidth="1"/>
    <col min="11262" max="11262" width="21.33203125" style="1" customWidth="1"/>
    <col min="11263" max="11263" width="32.5546875" style="1" customWidth="1"/>
    <col min="11264" max="11264" width="16.88671875" style="1" customWidth="1"/>
    <col min="11265" max="11265" width="16.33203125" style="1" customWidth="1"/>
    <col min="11266" max="11496" width="10.33203125" style="1"/>
    <col min="11497" max="11497" width="4.44140625" style="1" customWidth="1"/>
    <col min="11498" max="11498" width="21.6640625" style="1" customWidth="1"/>
    <col min="11499" max="11499" width="15" style="1" customWidth="1"/>
    <col min="11500" max="11500" width="15.44140625" style="1" customWidth="1"/>
    <col min="11501" max="11501" width="11.5546875" style="1" customWidth="1"/>
    <col min="11502" max="11502" width="7.44140625" style="1" customWidth="1"/>
    <col min="11503" max="11503" width="14.109375" style="1" customWidth="1"/>
    <col min="11504" max="11504" width="10.6640625" style="1" customWidth="1"/>
    <col min="11505" max="11505" width="13.44140625" style="1" customWidth="1"/>
    <col min="11506" max="11506" width="11.44140625" style="1" customWidth="1"/>
    <col min="11507" max="11507" width="15" style="1" customWidth="1"/>
    <col min="11508" max="11508" width="14.5546875" style="1" customWidth="1"/>
    <col min="11509" max="11509" width="10.33203125" style="1"/>
    <col min="11510" max="11510" width="7.44140625" style="1" customWidth="1"/>
    <col min="11511" max="11511" width="12.88671875" style="1" customWidth="1"/>
    <col min="11512" max="11512" width="11.109375" style="1" customWidth="1"/>
    <col min="11513" max="11513" width="14" style="1" customWidth="1"/>
    <col min="11514" max="11514" width="33" style="1" customWidth="1"/>
    <col min="11515" max="11515" width="6.6640625" style="1" customWidth="1"/>
    <col min="11516" max="11516" width="19" style="1" customWidth="1"/>
    <col min="11517" max="11517" width="19.109375" style="1" customWidth="1"/>
    <col min="11518" max="11518" width="21.33203125" style="1" customWidth="1"/>
    <col min="11519" max="11519" width="32.5546875" style="1" customWidth="1"/>
    <col min="11520" max="11520" width="16.88671875" style="1" customWidth="1"/>
    <col min="11521" max="11521" width="16.33203125" style="1" customWidth="1"/>
    <col min="11522" max="11752" width="10.33203125" style="1"/>
    <col min="11753" max="11753" width="4.44140625" style="1" customWidth="1"/>
    <col min="11754" max="11754" width="21.6640625" style="1" customWidth="1"/>
    <col min="11755" max="11755" width="15" style="1" customWidth="1"/>
    <col min="11756" max="11756" width="15.44140625" style="1" customWidth="1"/>
    <col min="11757" max="11757" width="11.5546875" style="1" customWidth="1"/>
    <col min="11758" max="11758" width="7.44140625" style="1" customWidth="1"/>
    <col min="11759" max="11759" width="14.109375" style="1" customWidth="1"/>
    <col min="11760" max="11760" width="10.6640625" style="1" customWidth="1"/>
    <col min="11761" max="11761" width="13.44140625" style="1" customWidth="1"/>
    <col min="11762" max="11762" width="11.44140625" style="1" customWidth="1"/>
    <col min="11763" max="11763" width="15" style="1" customWidth="1"/>
    <col min="11764" max="11764" width="14.5546875" style="1" customWidth="1"/>
    <col min="11765" max="11765" width="10.33203125" style="1"/>
    <col min="11766" max="11766" width="7.44140625" style="1" customWidth="1"/>
    <col min="11767" max="11767" width="12.88671875" style="1" customWidth="1"/>
    <col min="11768" max="11768" width="11.109375" style="1" customWidth="1"/>
    <col min="11769" max="11769" width="14" style="1" customWidth="1"/>
    <col min="11770" max="11770" width="33" style="1" customWidth="1"/>
    <col min="11771" max="11771" width="6.6640625" style="1" customWidth="1"/>
    <col min="11772" max="11772" width="19" style="1" customWidth="1"/>
    <col min="11773" max="11773" width="19.109375" style="1" customWidth="1"/>
    <col min="11774" max="11774" width="21.33203125" style="1" customWidth="1"/>
    <col min="11775" max="11775" width="32.5546875" style="1" customWidth="1"/>
    <col min="11776" max="11776" width="16.88671875" style="1" customWidth="1"/>
    <col min="11777" max="11777" width="16.33203125" style="1" customWidth="1"/>
    <col min="11778" max="12008" width="10.33203125" style="1"/>
    <col min="12009" max="12009" width="4.44140625" style="1" customWidth="1"/>
    <col min="12010" max="12010" width="21.6640625" style="1" customWidth="1"/>
    <col min="12011" max="12011" width="15" style="1" customWidth="1"/>
    <col min="12012" max="12012" width="15.44140625" style="1" customWidth="1"/>
    <col min="12013" max="12013" width="11.5546875" style="1" customWidth="1"/>
    <col min="12014" max="12014" width="7.44140625" style="1" customWidth="1"/>
    <col min="12015" max="12015" width="14.109375" style="1" customWidth="1"/>
    <col min="12016" max="12016" width="10.6640625" style="1" customWidth="1"/>
    <col min="12017" max="12017" width="13.44140625" style="1" customWidth="1"/>
    <col min="12018" max="12018" width="11.44140625" style="1" customWidth="1"/>
    <col min="12019" max="12019" width="15" style="1" customWidth="1"/>
    <col min="12020" max="12020" width="14.5546875" style="1" customWidth="1"/>
    <col min="12021" max="12021" width="10.33203125" style="1"/>
    <col min="12022" max="12022" width="7.44140625" style="1" customWidth="1"/>
    <col min="12023" max="12023" width="12.88671875" style="1" customWidth="1"/>
    <col min="12024" max="12024" width="11.109375" style="1" customWidth="1"/>
    <col min="12025" max="12025" width="14" style="1" customWidth="1"/>
    <col min="12026" max="12026" width="33" style="1" customWidth="1"/>
    <col min="12027" max="12027" width="6.6640625" style="1" customWidth="1"/>
    <col min="12028" max="12028" width="19" style="1" customWidth="1"/>
    <col min="12029" max="12029" width="19.109375" style="1" customWidth="1"/>
    <col min="12030" max="12030" width="21.33203125" style="1" customWidth="1"/>
    <col min="12031" max="12031" width="32.5546875" style="1" customWidth="1"/>
    <col min="12032" max="12032" width="16.88671875" style="1" customWidth="1"/>
    <col min="12033" max="12033" width="16.33203125" style="1" customWidth="1"/>
    <col min="12034" max="12264" width="10.33203125" style="1"/>
    <col min="12265" max="12265" width="4.44140625" style="1" customWidth="1"/>
    <col min="12266" max="12266" width="21.6640625" style="1" customWidth="1"/>
    <col min="12267" max="12267" width="15" style="1" customWidth="1"/>
    <col min="12268" max="12268" width="15.44140625" style="1" customWidth="1"/>
    <col min="12269" max="12269" width="11.5546875" style="1" customWidth="1"/>
    <col min="12270" max="12270" width="7.44140625" style="1" customWidth="1"/>
    <col min="12271" max="12271" width="14.109375" style="1" customWidth="1"/>
    <col min="12272" max="12272" width="10.6640625" style="1" customWidth="1"/>
    <col min="12273" max="12273" width="13.44140625" style="1" customWidth="1"/>
    <col min="12274" max="12274" width="11.44140625" style="1" customWidth="1"/>
    <col min="12275" max="12275" width="15" style="1" customWidth="1"/>
    <col min="12276" max="12276" width="14.5546875" style="1" customWidth="1"/>
    <col min="12277" max="12277" width="10.33203125" style="1"/>
    <col min="12278" max="12278" width="7.44140625" style="1" customWidth="1"/>
    <col min="12279" max="12279" width="12.88671875" style="1" customWidth="1"/>
    <col min="12280" max="12280" width="11.109375" style="1" customWidth="1"/>
    <col min="12281" max="12281" width="14" style="1" customWidth="1"/>
    <col min="12282" max="12282" width="33" style="1" customWidth="1"/>
    <col min="12283" max="12283" width="6.6640625" style="1" customWidth="1"/>
    <col min="12284" max="12284" width="19" style="1" customWidth="1"/>
    <col min="12285" max="12285" width="19.109375" style="1" customWidth="1"/>
    <col min="12286" max="12286" width="21.33203125" style="1" customWidth="1"/>
    <col min="12287" max="12287" width="32.5546875" style="1" customWidth="1"/>
    <col min="12288" max="12288" width="16.88671875" style="1" customWidth="1"/>
    <col min="12289" max="12289" width="16.33203125" style="1" customWidth="1"/>
    <col min="12290" max="12520" width="10.33203125" style="1"/>
    <col min="12521" max="12521" width="4.44140625" style="1" customWidth="1"/>
    <col min="12522" max="12522" width="21.6640625" style="1" customWidth="1"/>
    <col min="12523" max="12523" width="15" style="1" customWidth="1"/>
    <col min="12524" max="12524" width="15.44140625" style="1" customWidth="1"/>
    <col min="12525" max="12525" width="11.5546875" style="1" customWidth="1"/>
    <col min="12526" max="12526" width="7.44140625" style="1" customWidth="1"/>
    <col min="12527" max="12527" width="14.109375" style="1" customWidth="1"/>
    <col min="12528" max="12528" width="10.6640625" style="1" customWidth="1"/>
    <col min="12529" max="12529" width="13.44140625" style="1" customWidth="1"/>
    <col min="12530" max="12530" width="11.44140625" style="1" customWidth="1"/>
    <col min="12531" max="12531" width="15" style="1" customWidth="1"/>
    <col min="12532" max="12532" width="14.5546875" style="1" customWidth="1"/>
    <col min="12533" max="12533" width="10.33203125" style="1"/>
    <col min="12534" max="12534" width="7.44140625" style="1" customWidth="1"/>
    <col min="12535" max="12535" width="12.88671875" style="1" customWidth="1"/>
    <col min="12536" max="12536" width="11.109375" style="1" customWidth="1"/>
    <col min="12537" max="12537" width="14" style="1" customWidth="1"/>
    <col min="12538" max="12538" width="33" style="1" customWidth="1"/>
    <col min="12539" max="12539" width="6.6640625" style="1" customWidth="1"/>
    <col min="12540" max="12540" width="19" style="1" customWidth="1"/>
    <col min="12541" max="12541" width="19.109375" style="1" customWidth="1"/>
    <col min="12542" max="12542" width="21.33203125" style="1" customWidth="1"/>
    <col min="12543" max="12543" width="32.5546875" style="1" customWidth="1"/>
    <col min="12544" max="12544" width="16.88671875" style="1" customWidth="1"/>
    <col min="12545" max="12545" width="16.33203125" style="1" customWidth="1"/>
    <col min="12546" max="12776" width="10.33203125" style="1"/>
    <col min="12777" max="12777" width="4.44140625" style="1" customWidth="1"/>
    <col min="12778" max="12778" width="21.6640625" style="1" customWidth="1"/>
    <col min="12779" max="12779" width="15" style="1" customWidth="1"/>
    <col min="12780" max="12780" width="15.44140625" style="1" customWidth="1"/>
    <col min="12781" max="12781" width="11.5546875" style="1" customWidth="1"/>
    <col min="12782" max="12782" width="7.44140625" style="1" customWidth="1"/>
    <col min="12783" max="12783" width="14.109375" style="1" customWidth="1"/>
    <col min="12784" max="12784" width="10.6640625" style="1" customWidth="1"/>
    <col min="12785" max="12785" width="13.44140625" style="1" customWidth="1"/>
    <col min="12786" max="12786" width="11.44140625" style="1" customWidth="1"/>
    <col min="12787" max="12787" width="15" style="1" customWidth="1"/>
    <col min="12788" max="12788" width="14.5546875" style="1" customWidth="1"/>
    <col min="12789" max="12789" width="10.33203125" style="1"/>
    <col min="12790" max="12790" width="7.44140625" style="1" customWidth="1"/>
    <col min="12791" max="12791" width="12.88671875" style="1" customWidth="1"/>
    <col min="12792" max="12792" width="11.109375" style="1" customWidth="1"/>
    <col min="12793" max="12793" width="14" style="1" customWidth="1"/>
    <col min="12794" max="12794" width="33" style="1" customWidth="1"/>
    <col min="12795" max="12795" width="6.6640625" style="1" customWidth="1"/>
    <col min="12796" max="12796" width="19" style="1" customWidth="1"/>
    <col min="12797" max="12797" width="19.109375" style="1" customWidth="1"/>
    <col min="12798" max="12798" width="21.33203125" style="1" customWidth="1"/>
    <col min="12799" max="12799" width="32.5546875" style="1" customWidth="1"/>
    <col min="12800" max="12800" width="16.88671875" style="1" customWidth="1"/>
    <col min="12801" max="12801" width="16.33203125" style="1" customWidth="1"/>
    <col min="12802" max="13032" width="10.33203125" style="1"/>
    <col min="13033" max="13033" width="4.44140625" style="1" customWidth="1"/>
    <col min="13034" max="13034" width="21.6640625" style="1" customWidth="1"/>
    <col min="13035" max="13035" width="15" style="1" customWidth="1"/>
    <col min="13036" max="13036" width="15.44140625" style="1" customWidth="1"/>
    <col min="13037" max="13037" width="11.5546875" style="1" customWidth="1"/>
    <col min="13038" max="13038" width="7.44140625" style="1" customWidth="1"/>
    <col min="13039" max="13039" width="14.109375" style="1" customWidth="1"/>
    <col min="13040" max="13040" width="10.6640625" style="1" customWidth="1"/>
    <col min="13041" max="13041" width="13.44140625" style="1" customWidth="1"/>
    <col min="13042" max="13042" width="11.44140625" style="1" customWidth="1"/>
    <col min="13043" max="13043" width="15" style="1" customWidth="1"/>
    <col min="13044" max="13044" width="14.5546875" style="1" customWidth="1"/>
    <col min="13045" max="13045" width="10.33203125" style="1"/>
    <col min="13046" max="13046" width="7.44140625" style="1" customWidth="1"/>
    <col min="13047" max="13047" width="12.88671875" style="1" customWidth="1"/>
    <col min="13048" max="13048" width="11.109375" style="1" customWidth="1"/>
    <col min="13049" max="13049" width="14" style="1" customWidth="1"/>
    <col min="13050" max="13050" width="33" style="1" customWidth="1"/>
    <col min="13051" max="13051" width="6.6640625" style="1" customWidth="1"/>
    <col min="13052" max="13052" width="19" style="1" customWidth="1"/>
    <col min="13053" max="13053" width="19.109375" style="1" customWidth="1"/>
    <col min="13054" max="13054" width="21.33203125" style="1" customWidth="1"/>
    <col min="13055" max="13055" width="32.5546875" style="1" customWidth="1"/>
    <col min="13056" max="13056" width="16.88671875" style="1" customWidth="1"/>
    <col min="13057" max="13057" width="16.33203125" style="1" customWidth="1"/>
    <col min="13058" max="13288" width="10.33203125" style="1"/>
    <col min="13289" max="13289" width="4.44140625" style="1" customWidth="1"/>
    <col min="13290" max="13290" width="21.6640625" style="1" customWidth="1"/>
    <col min="13291" max="13291" width="15" style="1" customWidth="1"/>
    <col min="13292" max="13292" width="15.44140625" style="1" customWidth="1"/>
    <col min="13293" max="13293" width="11.5546875" style="1" customWidth="1"/>
    <col min="13294" max="13294" width="7.44140625" style="1" customWidth="1"/>
    <col min="13295" max="13295" width="14.109375" style="1" customWidth="1"/>
    <col min="13296" max="13296" width="10.6640625" style="1" customWidth="1"/>
    <col min="13297" max="13297" width="13.44140625" style="1" customWidth="1"/>
    <col min="13298" max="13298" width="11.44140625" style="1" customWidth="1"/>
    <col min="13299" max="13299" width="15" style="1" customWidth="1"/>
    <col min="13300" max="13300" width="14.5546875" style="1" customWidth="1"/>
    <col min="13301" max="13301" width="10.33203125" style="1"/>
    <col min="13302" max="13302" width="7.44140625" style="1" customWidth="1"/>
    <col min="13303" max="13303" width="12.88671875" style="1" customWidth="1"/>
    <col min="13304" max="13304" width="11.109375" style="1" customWidth="1"/>
    <col min="13305" max="13305" width="14" style="1" customWidth="1"/>
    <col min="13306" max="13306" width="33" style="1" customWidth="1"/>
    <col min="13307" max="13307" width="6.6640625" style="1" customWidth="1"/>
    <col min="13308" max="13308" width="19" style="1" customWidth="1"/>
    <col min="13309" max="13309" width="19.109375" style="1" customWidth="1"/>
    <col min="13310" max="13310" width="21.33203125" style="1" customWidth="1"/>
    <col min="13311" max="13311" width="32.5546875" style="1" customWidth="1"/>
    <col min="13312" max="13312" width="16.88671875" style="1" customWidth="1"/>
    <col min="13313" max="13313" width="16.33203125" style="1" customWidth="1"/>
    <col min="13314" max="13544" width="10.33203125" style="1"/>
    <col min="13545" max="13545" width="4.44140625" style="1" customWidth="1"/>
    <col min="13546" max="13546" width="21.6640625" style="1" customWidth="1"/>
    <col min="13547" max="13547" width="15" style="1" customWidth="1"/>
    <col min="13548" max="13548" width="15.44140625" style="1" customWidth="1"/>
    <col min="13549" max="13549" width="11.5546875" style="1" customWidth="1"/>
    <col min="13550" max="13550" width="7.44140625" style="1" customWidth="1"/>
    <col min="13551" max="13551" width="14.109375" style="1" customWidth="1"/>
    <col min="13552" max="13552" width="10.6640625" style="1" customWidth="1"/>
    <col min="13553" max="13553" width="13.44140625" style="1" customWidth="1"/>
    <col min="13554" max="13554" width="11.44140625" style="1" customWidth="1"/>
    <col min="13555" max="13555" width="15" style="1" customWidth="1"/>
    <col min="13556" max="13556" width="14.5546875" style="1" customWidth="1"/>
    <col min="13557" max="13557" width="10.33203125" style="1"/>
    <col min="13558" max="13558" width="7.44140625" style="1" customWidth="1"/>
    <col min="13559" max="13559" width="12.88671875" style="1" customWidth="1"/>
    <col min="13560" max="13560" width="11.109375" style="1" customWidth="1"/>
    <col min="13561" max="13561" width="14" style="1" customWidth="1"/>
    <col min="13562" max="13562" width="33" style="1" customWidth="1"/>
    <col min="13563" max="13563" width="6.6640625" style="1" customWidth="1"/>
    <col min="13564" max="13564" width="19" style="1" customWidth="1"/>
    <col min="13565" max="13565" width="19.109375" style="1" customWidth="1"/>
    <col min="13566" max="13566" width="21.33203125" style="1" customWidth="1"/>
    <col min="13567" max="13567" width="32.5546875" style="1" customWidth="1"/>
    <col min="13568" max="13568" width="16.88671875" style="1" customWidth="1"/>
    <col min="13569" max="13569" width="16.33203125" style="1" customWidth="1"/>
    <col min="13570" max="13800" width="10.33203125" style="1"/>
    <col min="13801" max="13801" width="4.44140625" style="1" customWidth="1"/>
    <col min="13802" max="13802" width="21.6640625" style="1" customWidth="1"/>
    <col min="13803" max="13803" width="15" style="1" customWidth="1"/>
    <col min="13804" max="13804" width="15.44140625" style="1" customWidth="1"/>
    <col min="13805" max="13805" width="11.5546875" style="1" customWidth="1"/>
    <col min="13806" max="13806" width="7.44140625" style="1" customWidth="1"/>
    <col min="13807" max="13807" width="14.109375" style="1" customWidth="1"/>
    <col min="13808" max="13808" width="10.6640625" style="1" customWidth="1"/>
    <col min="13809" max="13809" width="13.44140625" style="1" customWidth="1"/>
    <col min="13810" max="13810" width="11.44140625" style="1" customWidth="1"/>
    <col min="13811" max="13811" width="15" style="1" customWidth="1"/>
    <col min="13812" max="13812" width="14.5546875" style="1" customWidth="1"/>
    <col min="13813" max="13813" width="10.33203125" style="1"/>
    <col min="13814" max="13814" width="7.44140625" style="1" customWidth="1"/>
    <col min="13815" max="13815" width="12.88671875" style="1" customWidth="1"/>
    <col min="13816" max="13816" width="11.109375" style="1" customWidth="1"/>
    <col min="13817" max="13817" width="14" style="1" customWidth="1"/>
    <col min="13818" max="13818" width="33" style="1" customWidth="1"/>
    <col min="13819" max="13819" width="6.6640625" style="1" customWidth="1"/>
    <col min="13820" max="13820" width="19" style="1" customWidth="1"/>
    <col min="13821" max="13821" width="19.109375" style="1" customWidth="1"/>
    <col min="13822" max="13822" width="21.33203125" style="1" customWidth="1"/>
    <col min="13823" max="13823" width="32.5546875" style="1" customWidth="1"/>
    <col min="13824" max="13824" width="16.88671875" style="1" customWidth="1"/>
    <col min="13825" max="13825" width="16.33203125" style="1" customWidth="1"/>
    <col min="13826" max="14056" width="10.33203125" style="1"/>
    <col min="14057" max="14057" width="4.44140625" style="1" customWidth="1"/>
    <col min="14058" max="14058" width="21.6640625" style="1" customWidth="1"/>
    <col min="14059" max="14059" width="15" style="1" customWidth="1"/>
    <col min="14060" max="14060" width="15.44140625" style="1" customWidth="1"/>
    <col min="14061" max="14061" width="11.5546875" style="1" customWidth="1"/>
    <col min="14062" max="14062" width="7.44140625" style="1" customWidth="1"/>
    <col min="14063" max="14063" width="14.109375" style="1" customWidth="1"/>
    <col min="14064" max="14064" width="10.6640625" style="1" customWidth="1"/>
    <col min="14065" max="14065" width="13.44140625" style="1" customWidth="1"/>
    <col min="14066" max="14066" width="11.44140625" style="1" customWidth="1"/>
    <col min="14067" max="14067" width="15" style="1" customWidth="1"/>
    <col min="14068" max="14068" width="14.5546875" style="1" customWidth="1"/>
    <col min="14069" max="14069" width="10.33203125" style="1"/>
    <col min="14070" max="14070" width="7.44140625" style="1" customWidth="1"/>
    <col min="14071" max="14071" width="12.88671875" style="1" customWidth="1"/>
    <col min="14072" max="14072" width="11.109375" style="1" customWidth="1"/>
    <col min="14073" max="14073" width="14" style="1" customWidth="1"/>
    <col min="14074" max="14074" width="33" style="1" customWidth="1"/>
    <col min="14075" max="14075" width="6.6640625" style="1" customWidth="1"/>
    <col min="14076" max="14076" width="19" style="1" customWidth="1"/>
    <col min="14077" max="14077" width="19.109375" style="1" customWidth="1"/>
    <col min="14078" max="14078" width="21.33203125" style="1" customWidth="1"/>
    <col min="14079" max="14079" width="32.5546875" style="1" customWidth="1"/>
    <col min="14080" max="14080" width="16.88671875" style="1" customWidth="1"/>
    <col min="14081" max="14081" width="16.33203125" style="1" customWidth="1"/>
    <col min="14082" max="14312" width="10.33203125" style="1"/>
    <col min="14313" max="14313" width="4.44140625" style="1" customWidth="1"/>
    <col min="14314" max="14314" width="21.6640625" style="1" customWidth="1"/>
    <col min="14315" max="14315" width="15" style="1" customWidth="1"/>
    <col min="14316" max="14316" width="15.44140625" style="1" customWidth="1"/>
    <col min="14317" max="14317" width="11.5546875" style="1" customWidth="1"/>
    <col min="14318" max="14318" width="7.44140625" style="1" customWidth="1"/>
    <col min="14319" max="14319" width="14.109375" style="1" customWidth="1"/>
    <col min="14320" max="14320" width="10.6640625" style="1" customWidth="1"/>
    <col min="14321" max="14321" width="13.44140625" style="1" customWidth="1"/>
    <col min="14322" max="14322" width="11.44140625" style="1" customWidth="1"/>
    <col min="14323" max="14323" width="15" style="1" customWidth="1"/>
    <col min="14324" max="14324" width="14.5546875" style="1" customWidth="1"/>
    <col min="14325" max="14325" width="10.33203125" style="1"/>
    <col min="14326" max="14326" width="7.44140625" style="1" customWidth="1"/>
    <col min="14327" max="14327" width="12.88671875" style="1" customWidth="1"/>
    <col min="14328" max="14328" width="11.109375" style="1" customWidth="1"/>
    <col min="14329" max="14329" width="14" style="1" customWidth="1"/>
    <col min="14330" max="14330" width="33" style="1" customWidth="1"/>
    <col min="14331" max="14331" width="6.6640625" style="1" customWidth="1"/>
    <col min="14332" max="14332" width="19" style="1" customWidth="1"/>
    <col min="14333" max="14333" width="19.109375" style="1" customWidth="1"/>
    <col min="14334" max="14334" width="21.33203125" style="1" customWidth="1"/>
    <col min="14335" max="14335" width="32.5546875" style="1" customWidth="1"/>
    <col min="14336" max="14336" width="16.88671875" style="1" customWidth="1"/>
    <col min="14337" max="14337" width="16.33203125" style="1" customWidth="1"/>
    <col min="14338" max="14568" width="10.33203125" style="1"/>
    <col min="14569" max="14569" width="4.44140625" style="1" customWidth="1"/>
    <col min="14570" max="14570" width="21.6640625" style="1" customWidth="1"/>
    <col min="14571" max="14571" width="15" style="1" customWidth="1"/>
    <col min="14572" max="14572" width="15.44140625" style="1" customWidth="1"/>
    <col min="14573" max="14573" width="11.5546875" style="1" customWidth="1"/>
    <col min="14574" max="14574" width="7.44140625" style="1" customWidth="1"/>
    <col min="14575" max="14575" width="14.109375" style="1" customWidth="1"/>
    <col min="14576" max="14576" width="10.6640625" style="1" customWidth="1"/>
    <col min="14577" max="14577" width="13.44140625" style="1" customWidth="1"/>
    <col min="14578" max="14578" width="11.44140625" style="1" customWidth="1"/>
    <col min="14579" max="14579" width="15" style="1" customWidth="1"/>
    <col min="14580" max="14580" width="14.5546875" style="1" customWidth="1"/>
    <col min="14581" max="14581" width="10.33203125" style="1"/>
    <col min="14582" max="14582" width="7.44140625" style="1" customWidth="1"/>
    <col min="14583" max="14583" width="12.88671875" style="1" customWidth="1"/>
    <col min="14584" max="14584" width="11.109375" style="1" customWidth="1"/>
    <col min="14585" max="14585" width="14" style="1" customWidth="1"/>
    <col min="14586" max="14586" width="33" style="1" customWidth="1"/>
    <col min="14587" max="14587" width="6.6640625" style="1" customWidth="1"/>
    <col min="14588" max="14588" width="19" style="1" customWidth="1"/>
    <col min="14589" max="14589" width="19.109375" style="1" customWidth="1"/>
    <col min="14590" max="14590" width="21.33203125" style="1" customWidth="1"/>
    <col min="14591" max="14591" width="32.5546875" style="1" customWidth="1"/>
    <col min="14592" max="14592" width="16.88671875" style="1" customWidth="1"/>
    <col min="14593" max="14593" width="16.33203125" style="1" customWidth="1"/>
    <col min="14594" max="14824" width="10.33203125" style="1"/>
    <col min="14825" max="14825" width="4.44140625" style="1" customWidth="1"/>
    <col min="14826" max="14826" width="21.6640625" style="1" customWidth="1"/>
    <col min="14827" max="14827" width="15" style="1" customWidth="1"/>
    <col min="14828" max="14828" width="15.44140625" style="1" customWidth="1"/>
    <col min="14829" max="14829" width="11.5546875" style="1" customWidth="1"/>
    <col min="14830" max="14830" width="7.44140625" style="1" customWidth="1"/>
    <col min="14831" max="14831" width="14.109375" style="1" customWidth="1"/>
    <col min="14832" max="14832" width="10.6640625" style="1" customWidth="1"/>
    <col min="14833" max="14833" width="13.44140625" style="1" customWidth="1"/>
    <col min="14834" max="14834" width="11.44140625" style="1" customWidth="1"/>
    <col min="14835" max="14835" width="15" style="1" customWidth="1"/>
    <col min="14836" max="14836" width="14.5546875" style="1" customWidth="1"/>
    <col min="14837" max="14837" width="10.33203125" style="1"/>
    <col min="14838" max="14838" width="7.44140625" style="1" customWidth="1"/>
    <col min="14839" max="14839" width="12.88671875" style="1" customWidth="1"/>
    <col min="14840" max="14840" width="11.109375" style="1" customWidth="1"/>
    <col min="14841" max="14841" width="14" style="1" customWidth="1"/>
    <col min="14842" max="14842" width="33" style="1" customWidth="1"/>
    <col min="14843" max="14843" width="6.6640625" style="1" customWidth="1"/>
    <col min="14844" max="14844" width="19" style="1" customWidth="1"/>
    <col min="14845" max="14845" width="19.109375" style="1" customWidth="1"/>
    <col min="14846" max="14846" width="21.33203125" style="1" customWidth="1"/>
    <col min="14847" max="14847" width="32.5546875" style="1" customWidth="1"/>
    <col min="14848" max="14848" width="16.88671875" style="1" customWidth="1"/>
    <col min="14849" max="14849" width="16.33203125" style="1" customWidth="1"/>
    <col min="14850" max="15080" width="10.33203125" style="1"/>
    <col min="15081" max="15081" width="4.44140625" style="1" customWidth="1"/>
    <col min="15082" max="15082" width="21.6640625" style="1" customWidth="1"/>
    <col min="15083" max="15083" width="15" style="1" customWidth="1"/>
    <col min="15084" max="15084" width="15.44140625" style="1" customWidth="1"/>
    <col min="15085" max="15085" width="11.5546875" style="1" customWidth="1"/>
    <col min="15086" max="15086" width="7.44140625" style="1" customWidth="1"/>
    <col min="15087" max="15087" width="14.109375" style="1" customWidth="1"/>
    <col min="15088" max="15088" width="10.6640625" style="1" customWidth="1"/>
    <col min="15089" max="15089" width="13.44140625" style="1" customWidth="1"/>
    <col min="15090" max="15090" width="11.44140625" style="1" customWidth="1"/>
    <col min="15091" max="15091" width="15" style="1" customWidth="1"/>
    <col min="15092" max="15092" width="14.5546875" style="1" customWidth="1"/>
    <col min="15093" max="15093" width="10.33203125" style="1"/>
    <col min="15094" max="15094" width="7.44140625" style="1" customWidth="1"/>
    <col min="15095" max="15095" width="12.88671875" style="1" customWidth="1"/>
    <col min="15096" max="15096" width="11.109375" style="1" customWidth="1"/>
    <col min="15097" max="15097" width="14" style="1" customWidth="1"/>
    <col min="15098" max="15098" width="33" style="1" customWidth="1"/>
    <col min="15099" max="15099" width="6.6640625" style="1" customWidth="1"/>
    <col min="15100" max="15100" width="19" style="1" customWidth="1"/>
    <col min="15101" max="15101" width="19.109375" style="1" customWidth="1"/>
    <col min="15102" max="15102" width="21.33203125" style="1" customWidth="1"/>
    <col min="15103" max="15103" width="32.5546875" style="1" customWidth="1"/>
    <col min="15104" max="15104" width="16.88671875" style="1" customWidth="1"/>
    <col min="15105" max="15105" width="16.33203125" style="1" customWidth="1"/>
    <col min="15106" max="15336" width="10.33203125" style="1"/>
    <col min="15337" max="15337" width="4.44140625" style="1" customWidth="1"/>
    <col min="15338" max="15338" width="21.6640625" style="1" customWidth="1"/>
    <col min="15339" max="15339" width="15" style="1" customWidth="1"/>
    <col min="15340" max="15340" width="15.44140625" style="1" customWidth="1"/>
    <col min="15341" max="15341" width="11.5546875" style="1" customWidth="1"/>
    <col min="15342" max="15342" width="7.44140625" style="1" customWidth="1"/>
    <col min="15343" max="15343" width="14.109375" style="1" customWidth="1"/>
    <col min="15344" max="15344" width="10.6640625" style="1" customWidth="1"/>
    <col min="15345" max="15345" width="13.44140625" style="1" customWidth="1"/>
    <col min="15346" max="15346" width="11.44140625" style="1" customWidth="1"/>
    <col min="15347" max="15347" width="15" style="1" customWidth="1"/>
    <col min="15348" max="15348" width="14.5546875" style="1" customWidth="1"/>
    <col min="15349" max="15349" width="10.33203125" style="1"/>
    <col min="15350" max="15350" width="7.44140625" style="1" customWidth="1"/>
    <col min="15351" max="15351" width="12.88671875" style="1" customWidth="1"/>
    <col min="15352" max="15352" width="11.109375" style="1" customWidth="1"/>
    <col min="15353" max="15353" width="14" style="1" customWidth="1"/>
    <col min="15354" max="15354" width="33" style="1" customWidth="1"/>
    <col min="15355" max="15355" width="6.6640625" style="1" customWidth="1"/>
    <col min="15356" max="15356" width="19" style="1" customWidth="1"/>
    <col min="15357" max="15357" width="19.109375" style="1" customWidth="1"/>
    <col min="15358" max="15358" width="21.33203125" style="1" customWidth="1"/>
    <col min="15359" max="15359" width="32.5546875" style="1" customWidth="1"/>
    <col min="15360" max="15360" width="16.88671875" style="1" customWidth="1"/>
    <col min="15361" max="15361" width="16.33203125" style="1" customWidth="1"/>
    <col min="15362" max="15592" width="10.33203125" style="1"/>
    <col min="15593" max="15593" width="4.44140625" style="1" customWidth="1"/>
    <col min="15594" max="15594" width="21.6640625" style="1" customWidth="1"/>
    <col min="15595" max="15595" width="15" style="1" customWidth="1"/>
    <col min="15596" max="15596" width="15.44140625" style="1" customWidth="1"/>
    <col min="15597" max="15597" width="11.5546875" style="1" customWidth="1"/>
    <col min="15598" max="15598" width="7.44140625" style="1" customWidth="1"/>
    <col min="15599" max="15599" width="14.109375" style="1" customWidth="1"/>
    <col min="15600" max="15600" width="10.6640625" style="1" customWidth="1"/>
    <col min="15601" max="15601" width="13.44140625" style="1" customWidth="1"/>
    <col min="15602" max="15602" width="11.44140625" style="1" customWidth="1"/>
    <col min="15603" max="15603" width="15" style="1" customWidth="1"/>
    <col min="15604" max="15604" width="14.5546875" style="1" customWidth="1"/>
    <col min="15605" max="15605" width="10.33203125" style="1"/>
    <col min="15606" max="15606" width="7.44140625" style="1" customWidth="1"/>
    <col min="15607" max="15607" width="12.88671875" style="1" customWidth="1"/>
    <col min="15608" max="15608" width="11.109375" style="1" customWidth="1"/>
    <col min="15609" max="15609" width="14" style="1" customWidth="1"/>
    <col min="15610" max="15610" width="33" style="1" customWidth="1"/>
    <col min="15611" max="15611" width="6.6640625" style="1" customWidth="1"/>
    <col min="15612" max="15612" width="19" style="1" customWidth="1"/>
    <col min="15613" max="15613" width="19.109375" style="1" customWidth="1"/>
    <col min="15614" max="15614" width="21.33203125" style="1" customWidth="1"/>
    <col min="15615" max="15615" width="32.5546875" style="1" customWidth="1"/>
    <col min="15616" max="15616" width="16.88671875" style="1" customWidth="1"/>
    <col min="15617" max="15617" width="16.33203125" style="1" customWidth="1"/>
    <col min="15618" max="15848" width="10.33203125" style="1"/>
    <col min="15849" max="15849" width="4.44140625" style="1" customWidth="1"/>
    <col min="15850" max="15850" width="21.6640625" style="1" customWidth="1"/>
    <col min="15851" max="15851" width="15" style="1" customWidth="1"/>
    <col min="15852" max="15852" width="15.44140625" style="1" customWidth="1"/>
    <col min="15853" max="15853" width="11.5546875" style="1" customWidth="1"/>
    <col min="15854" max="15854" width="7.44140625" style="1" customWidth="1"/>
    <col min="15855" max="15855" width="14.109375" style="1" customWidth="1"/>
    <col min="15856" max="15856" width="10.6640625" style="1" customWidth="1"/>
    <col min="15857" max="15857" width="13.44140625" style="1" customWidth="1"/>
    <col min="15858" max="15858" width="11.44140625" style="1" customWidth="1"/>
    <col min="15859" max="15859" width="15" style="1" customWidth="1"/>
    <col min="15860" max="15860" width="14.5546875" style="1" customWidth="1"/>
    <col min="15861" max="15861" width="10.33203125" style="1"/>
    <col min="15862" max="15862" width="7.44140625" style="1" customWidth="1"/>
    <col min="15863" max="15863" width="12.88671875" style="1" customWidth="1"/>
    <col min="15864" max="15864" width="11.109375" style="1" customWidth="1"/>
    <col min="15865" max="15865" width="14" style="1" customWidth="1"/>
    <col min="15866" max="15866" width="33" style="1" customWidth="1"/>
    <col min="15867" max="15867" width="6.6640625" style="1" customWidth="1"/>
    <col min="15868" max="15868" width="19" style="1" customWidth="1"/>
    <col min="15869" max="15869" width="19.109375" style="1" customWidth="1"/>
    <col min="15870" max="15870" width="21.33203125" style="1" customWidth="1"/>
    <col min="15871" max="15871" width="32.5546875" style="1" customWidth="1"/>
    <col min="15872" max="15872" width="16.88671875" style="1" customWidth="1"/>
    <col min="15873" max="15873" width="16.33203125" style="1" customWidth="1"/>
    <col min="15874" max="16104" width="10.33203125" style="1"/>
    <col min="16105" max="16105" width="4.44140625" style="1" customWidth="1"/>
    <col min="16106" max="16106" width="21.6640625" style="1" customWidth="1"/>
    <col min="16107" max="16107" width="15" style="1" customWidth="1"/>
    <col min="16108" max="16108" width="15.44140625" style="1" customWidth="1"/>
    <col min="16109" max="16109" width="11.5546875" style="1" customWidth="1"/>
    <col min="16110" max="16110" width="7.44140625" style="1" customWidth="1"/>
    <col min="16111" max="16111" width="14.109375" style="1" customWidth="1"/>
    <col min="16112" max="16112" width="10.6640625" style="1" customWidth="1"/>
    <col min="16113" max="16113" width="13.44140625" style="1" customWidth="1"/>
    <col min="16114" max="16114" width="11.44140625" style="1" customWidth="1"/>
    <col min="16115" max="16115" width="15" style="1" customWidth="1"/>
    <col min="16116" max="16116" width="14.5546875" style="1" customWidth="1"/>
    <col min="16117" max="16117" width="10.33203125" style="1"/>
    <col min="16118" max="16118" width="7.44140625" style="1" customWidth="1"/>
    <col min="16119" max="16119" width="12.88671875" style="1" customWidth="1"/>
    <col min="16120" max="16120" width="11.109375" style="1" customWidth="1"/>
    <col min="16121" max="16121" width="14" style="1" customWidth="1"/>
    <col min="16122" max="16122" width="33" style="1" customWidth="1"/>
    <col min="16123" max="16123" width="6.6640625" style="1" customWidth="1"/>
    <col min="16124" max="16124" width="19" style="1" customWidth="1"/>
    <col min="16125" max="16125" width="19.109375" style="1" customWidth="1"/>
    <col min="16126" max="16126" width="21.33203125" style="1" customWidth="1"/>
    <col min="16127" max="16127" width="32.5546875" style="1" customWidth="1"/>
    <col min="16128" max="16128" width="16.88671875" style="1" customWidth="1"/>
    <col min="16129" max="16129" width="16.33203125" style="1" customWidth="1"/>
    <col min="16130" max="16384" width="10.33203125" style="1"/>
  </cols>
  <sheetData>
    <row r="1" spans="1:9" ht="24.6">
      <c r="A1" s="726" t="s">
        <v>0</v>
      </c>
      <c r="B1" s="726"/>
      <c r="C1" s="726"/>
      <c r="D1" s="726"/>
      <c r="E1" s="726"/>
      <c r="F1" s="726"/>
    </row>
    <row r="2" spans="1:9" ht="24.6">
      <c r="A2" s="726" t="s">
        <v>1</v>
      </c>
      <c r="B2" s="726"/>
      <c r="C2" s="726"/>
      <c r="D2" s="726"/>
      <c r="E2" s="726"/>
      <c r="F2" s="726"/>
    </row>
    <row r="3" spans="1:9" ht="24.6">
      <c r="A3" s="727" t="s">
        <v>249</v>
      </c>
      <c r="B3" s="727"/>
      <c r="C3" s="727"/>
      <c r="D3" s="727"/>
      <c r="E3" s="727"/>
      <c r="F3" s="727"/>
    </row>
    <row r="4" spans="1:9" ht="24.6">
      <c r="A4" s="3" t="s">
        <v>3</v>
      </c>
      <c r="B4" s="3" t="s">
        <v>4</v>
      </c>
      <c r="C4" s="3" t="s">
        <v>5</v>
      </c>
      <c r="D4" s="728" t="s">
        <v>9</v>
      </c>
      <c r="E4" s="729"/>
      <c r="F4" s="730"/>
    </row>
    <row r="5" spans="1:9" ht="24.6">
      <c r="A5" s="3"/>
      <c r="B5" s="13"/>
      <c r="C5" s="3"/>
      <c r="D5" s="9" t="s">
        <v>21</v>
      </c>
      <c r="E5" s="9" t="s">
        <v>22</v>
      </c>
      <c r="F5" s="7"/>
    </row>
    <row r="6" spans="1:9" ht="24.6">
      <c r="A6" s="3"/>
      <c r="B6" s="3"/>
      <c r="C6" s="3"/>
      <c r="D6" s="18"/>
      <c r="E6" s="18"/>
      <c r="F6" s="28" t="s">
        <v>26</v>
      </c>
    </row>
    <row r="7" spans="1:9" ht="24.6">
      <c r="A7" s="29"/>
      <c r="B7" s="45" t="s">
        <v>273</v>
      </c>
      <c r="C7" s="29"/>
      <c r="D7" s="46"/>
      <c r="E7" s="28"/>
      <c r="F7" s="57"/>
    </row>
    <row r="8" spans="1:9" ht="24.6">
      <c r="A8" s="25">
        <v>1</v>
      </c>
      <c r="B8" s="29" t="s">
        <v>105</v>
      </c>
      <c r="C8" s="29"/>
      <c r="D8" s="126">
        <v>25112</v>
      </c>
      <c r="E8" s="25">
        <v>1</v>
      </c>
      <c r="F8" s="73">
        <v>5000</v>
      </c>
    </row>
    <row r="9" spans="1:9" ht="24.6">
      <c r="A9" s="25">
        <v>2</v>
      </c>
      <c r="B9" s="29" t="s">
        <v>105</v>
      </c>
      <c r="C9" s="29"/>
      <c r="D9" s="126">
        <v>25112</v>
      </c>
      <c r="E9" s="25">
        <v>1</v>
      </c>
      <c r="F9" s="73">
        <v>4650</v>
      </c>
    </row>
    <row r="10" spans="1:9" ht="25.2" thickBot="1">
      <c r="A10" s="29"/>
      <c r="B10" s="25" t="s">
        <v>26</v>
      </c>
      <c r="C10" s="74"/>
      <c r="D10" s="78"/>
      <c r="E10" s="135"/>
      <c r="F10" s="136">
        <v>9650</v>
      </c>
      <c r="H10" s="256">
        <f>SUM(F8:F9)</f>
        <v>9650</v>
      </c>
      <c r="I10" s="1" t="s">
        <v>269</v>
      </c>
    </row>
    <row r="11" spans="1:9" ht="24.75" customHeight="1" thickTop="1">
      <c r="A11" s="14"/>
      <c r="B11" s="173"/>
      <c r="F11" s="174"/>
    </row>
    <row r="12" spans="1:9" ht="24.75" customHeight="1">
      <c r="A12" s="731" t="s">
        <v>211</v>
      </c>
      <c r="B12" s="732"/>
      <c r="C12" s="732"/>
      <c r="D12" s="732"/>
      <c r="E12" s="732"/>
      <c r="F12" s="732"/>
    </row>
    <row r="13" spans="1:9" ht="24.75" customHeight="1">
      <c r="A13" s="46">
        <v>1</v>
      </c>
      <c r="B13" s="180" t="s">
        <v>32</v>
      </c>
      <c r="C13" s="46" t="s">
        <v>104</v>
      </c>
      <c r="D13" s="46" t="s">
        <v>250</v>
      </c>
      <c r="E13" s="28">
        <v>4</v>
      </c>
      <c r="F13" s="57">
        <v>18600</v>
      </c>
    </row>
    <row r="14" spans="1:9" ht="24" customHeight="1">
      <c r="A14" s="25">
        <v>2</v>
      </c>
      <c r="B14" s="29" t="s">
        <v>215</v>
      </c>
      <c r="C14" s="29" t="s">
        <v>104</v>
      </c>
      <c r="D14" s="46" t="s">
        <v>250</v>
      </c>
      <c r="E14" s="25">
        <v>4</v>
      </c>
      <c r="F14" s="57">
        <v>23000</v>
      </c>
    </row>
    <row r="15" spans="1:9" ht="24.75" customHeight="1" thickBot="1">
      <c r="A15" s="34"/>
      <c r="B15" s="34" t="s">
        <v>26</v>
      </c>
      <c r="C15" s="74"/>
      <c r="D15" s="74"/>
      <c r="E15" s="34"/>
      <c r="F15" s="110">
        <v>41600</v>
      </c>
      <c r="H15" s="175">
        <f>SUM(F13:F14)</f>
        <v>41600</v>
      </c>
      <c r="I15" s="1" t="s">
        <v>270</v>
      </c>
    </row>
    <row r="16" spans="1:9" ht="24.75" customHeight="1" thickTop="1">
      <c r="A16" s="14"/>
      <c r="B16" s="173"/>
      <c r="F16" s="174"/>
    </row>
    <row r="17" spans="1:9" ht="24.75" customHeight="1">
      <c r="A17" s="4"/>
      <c r="B17" s="188" t="s">
        <v>217</v>
      </c>
      <c r="C17" s="53"/>
      <c r="D17" s="53"/>
      <c r="E17" s="4"/>
      <c r="F17" s="127"/>
    </row>
    <row r="18" spans="1:9" s="96" customFormat="1" ht="24.75" customHeight="1">
      <c r="A18" s="190">
        <v>1</v>
      </c>
      <c r="B18" s="191" t="s">
        <v>68</v>
      </c>
      <c r="C18" s="192">
        <v>268</v>
      </c>
      <c r="D18" s="190" t="s">
        <v>251</v>
      </c>
      <c r="E18" s="190">
        <v>99</v>
      </c>
      <c r="F18" s="198">
        <v>111915</v>
      </c>
    </row>
    <row r="19" spans="1:9" ht="24.75" customHeight="1">
      <c r="A19" s="199"/>
      <c r="B19" s="200" t="s">
        <v>221</v>
      </c>
      <c r="C19" s="201" t="s">
        <v>222</v>
      </c>
      <c r="D19" s="208"/>
      <c r="E19" s="209" t="s">
        <v>172</v>
      </c>
      <c r="F19" s="210">
        <v>19700</v>
      </c>
    </row>
    <row r="20" spans="1:9" ht="24.75" customHeight="1">
      <c r="A20" s="199"/>
      <c r="B20" s="201"/>
      <c r="C20" s="201" t="s">
        <v>223</v>
      </c>
      <c r="D20" s="203"/>
      <c r="E20" s="199" t="s">
        <v>172</v>
      </c>
      <c r="F20" s="210">
        <v>19700</v>
      </c>
    </row>
    <row r="21" spans="1:9" ht="24.75" customHeight="1">
      <c r="A21" s="199"/>
      <c r="B21" s="201"/>
      <c r="C21" s="201" t="s">
        <v>224</v>
      </c>
      <c r="D21" s="203"/>
      <c r="E21" s="199" t="s">
        <v>172</v>
      </c>
      <c r="F21" s="210">
        <v>19700</v>
      </c>
    </row>
    <row r="22" spans="1:9" ht="24.75" customHeight="1">
      <c r="A22" s="199">
        <v>2</v>
      </c>
      <c r="B22" s="200" t="s">
        <v>225</v>
      </c>
      <c r="C22" s="203"/>
      <c r="D22" s="199" t="s">
        <v>226</v>
      </c>
      <c r="E22" s="199">
        <v>88</v>
      </c>
      <c r="F22" s="210">
        <v>193600</v>
      </c>
    </row>
    <row r="23" spans="1:9" ht="24.75" customHeight="1">
      <c r="A23" s="199">
        <v>3</v>
      </c>
      <c r="B23" s="200" t="s">
        <v>85</v>
      </c>
      <c r="C23" s="203" t="s">
        <v>86</v>
      </c>
      <c r="D23" s="203" t="s">
        <v>229</v>
      </c>
      <c r="E23" s="199">
        <v>7</v>
      </c>
      <c r="F23" s="210">
        <v>30800</v>
      </c>
    </row>
    <row r="24" spans="1:9" s="96" customFormat="1" ht="24.75" customHeight="1">
      <c r="A24" s="190"/>
      <c r="B24" s="191" t="s">
        <v>232</v>
      </c>
      <c r="C24" s="192" t="s">
        <v>194</v>
      </c>
      <c r="D24" s="192"/>
      <c r="E24" s="190"/>
      <c r="F24" s="210">
        <v>64400</v>
      </c>
    </row>
    <row r="25" spans="1:9" ht="24.6">
      <c r="A25" s="199">
        <v>4</v>
      </c>
      <c r="B25" s="203" t="s">
        <v>32</v>
      </c>
      <c r="C25" s="222" t="s">
        <v>104</v>
      </c>
      <c r="D25" s="199" t="s">
        <v>234</v>
      </c>
      <c r="E25" s="199">
        <v>4</v>
      </c>
      <c r="F25" s="210">
        <v>18600</v>
      </c>
    </row>
    <row r="26" spans="1:9" ht="24.6">
      <c r="A26" s="199">
        <v>5</v>
      </c>
      <c r="B26" s="203" t="s">
        <v>215</v>
      </c>
      <c r="C26" s="222" t="s">
        <v>104</v>
      </c>
      <c r="D26" s="199" t="s">
        <v>236</v>
      </c>
      <c r="E26" s="199">
        <v>4</v>
      </c>
      <c r="F26" s="210">
        <v>23000</v>
      </c>
    </row>
    <row r="27" spans="1:9" ht="24.75" customHeight="1" thickBot="1">
      <c r="A27" s="34"/>
      <c r="B27" s="239"/>
      <c r="C27" s="74"/>
      <c r="D27" s="110"/>
      <c r="E27" s="240"/>
      <c r="F27" s="171">
        <v>501415</v>
      </c>
      <c r="H27" s="175">
        <f>SUM(F18:F26)</f>
        <v>501415</v>
      </c>
      <c r="I27" s="1" t="s">
        <v>217</v>
      </c>
    </row>
    <row r="28" spans="1:9" ht="25.2" thickTop="1">
      <c r="A28" s="46"/>
      <c r="B28" s="161" t="s">
        <v>238</v>
      </c>
      <c r="C28" s="46"/>
      <c r="D28" s="46"/>
      <c r="E28" s="28"/>
      <c r="F28" s="46"/>
    </row>
    <row r="29" spans="1:9" ht="24.6">
      <c r="A29" s="25">
        <v>1</v>
      </c>
      <c r="B29" s="53" t="s">
        <v>239</v>
      </c>
      <c r="C29" s="109"/>
      <c r="D29" s="109" t="s">
        <v>240</v>
      </c>
      <c r="E29" s="115"/>
      <c r="F29" s="162">
        <v>0</v>
      </c>
    </row>
    <row r="30" spans="1:9" ht="24.6">
      <c r="A30" s="25"/>
      <c r="B30" s="29" t="s">
        <v>241</v>
      </c>
      <c r="C30" s="29"/>
      <c r="D30" s="29" t="s">
        <v>242</v>
      </c>
      <c r="E30" s="25"/>
      <c r="F30" s="73">
        <v>133707.98000000001</v>
      </c>
    </row>
    <row r="31" spans="1:9" ht="24.6">
      <c r="A31" s="25"/>
      <c r="B31" s="29" t="s">
        <v>244</v>
      </c>
      <c r="C31" s="29"/>
      <c r="D31" s="29"/>
      <c r="E31" s="25"/>
      <c r="F31" s="73">
        <v>73800</v>
      </c>
    </row>
    <row r="32" spans="1:9" ht="24.6">
      <c r="A32" s="25"/>
      <c r="B32" s="29" t="s">
        <v>245</v>
      </c>
      <c r="C32" s="29"/>
      <c r="D32" s="29"/>
      <c r="E32" s="25"/>
      <c r="F32" s="73">
        <v>7596.82</v>
      </c>
    </row>
    <row r="33" spans="1:9" ht="24.6">
      <c r="A33" s="25"/>
      <c r="B33" s="29" t="s">
        <v>246</v>
      </c>
      <c r="C33" s="29"/>
      <c r="D33" s="53"/>
      <c r="E33" s="4"/>
      <c r="F33" s="49"/>
    </row>
    <row r="34" spans="1:9" ht="25.2" thickBot="1">
      <c r="A34" s="25"/>
      <c r="B34" s="29"/>
      <c r="C34" s="29" t="s">
        <v>247</v>
      </c>
      <c r="D34" s="74"/>
      <c r="E34" s="34"/>
      <c r="F34" s="171"/>
    </row>
    <row r="35" spans="1:9" s="249" customFormat="1" ht="25.8" thickTop="1" thickBot="1">
      <c r="A35" s="134"/>
      <c r="B35" s="246" t="s">
        <v>26</v>
      </c>
      <c r="C35" s="103"/>
      <c r="D35" s="103"/>
      <c r="E35" s="247"/>
      <c r="F35" s="103">
        <v>215104.80000000002</v>
      </c>
      <c r="H35" s="249">
        <f>SUM(F29:F32)</f>
        <v>215104.80000000002</v>
      </c>
      <c r="I35" s="249" t="s">
        <v>271</v>
      </c>
    </row>
    <row r="36" spans="1:9" ht="25.8" thickTop="1" thickBot="1">
      <c r="A36" s="29"/>
      <c r="B36" s="25" t="s">
        <v>248</v>
      </c>
      <c r="C36" s="64"/>
      <c r="D36" s="63"/>
      <c r="E36" s="105"/>
      <c r="F36" s="63">
        <v>767769.8</v>
      </c>
      <c r="H36" s="256">
        <f>SUM(H10:H35)</f>
        <v>767769.8</v>
      </c>
      <c r="I36" s="1" t="s">
        <v>272</v>
      </c>
    </row>
    <row r="37" spans="1:9" ht="25.2" thickTop="1"/>
    <row r="38" spans="1:9" ht="24.6">
      <c r="F38" s="249"/>
    </row>
    <row r="39" spans="1:9" ht="24.6">
      <c r="F39" s="249"/>
    </row>
    <row r="40" spans="1:9" ht="24.6">
      <c r="F40" s="249"/>
    </row>
    <row r="41" spans="1:9" ht="24.6"/>
    <row r="42" spans="1:9" ht="24.6"/>
    <row r="43" spans="1:9" ht="24.6"/>
    <row r="44" spans="1:9" ht="24.6"/>
    <row r="45" spans="1:9" ht="24.6"/>
    <row r="46" spans="1:9" ht="24.6"/>
    <row r="47" spans="1:9" ht="24.6"/>
    <row r="48" spans="1:9" ht="24.6"/>
    <row r="49" ht="24.6"/>
    <row r="50" ht="24.6"/>
    <row r="51" ht="24.6"/>
    <row r="52" ht="24.6"/>
    <row r="53" ht="24.6"/>
    <row r="54" ht="24.6"/>
    <row r="55" ht="24.6"/>
    <row r="56" ht="24.6"/>
    <row r="57" ht="24.6"/>
    <row r="58" ht="24.6"/>
    <row r="59" ht="24.6"/>
    <row r="60" ht="24.6"/>
    <row r="61" ht="24.6"/>
    <row r="62" ht="24.6"/>
    <row r="63" ht="24.6"/>
    <row r="64" ht="24.6"/>
    <row r="65" ht="24.6"/>
    <row r="66" ht="24.6"/>
    <row r="67" ht="24.6"/>
    <row r="68" ht="24.6"/>
    <row r="69" ht="24.6"/>
    <row r="70" ht="24.6"/>
    <row r="71" ht="24.6"/>
    <row r="72" ht="24.6"/>
    <row r="73" ht="24.6"/>
    <row r="74" ht="24.6"/>
    <row r="75" ht="24.6"/>
    <row r="76" ht="24.6"/>
    <row r="77" ht="24.6"/>
    <row r="78" ht="24.6"/>
    <row r="79" ht="24.6"/>
    <row r="80" ht="24.6"/>
    <row r="81" ht="24.6"/>
    <row r="82" ht="24.6"/>
    <row r="83" ht="24.6"/>
    <row r="84" ht="24.6"/>
    <row r="85" ht="24.6"/>
    <row r="86" ht="24.6"/>
    <row r="87" ht="24.6"/>
    <row r="88" ht="24.6"/>
    <row r="89" ht="24.6"/>
    <row r="90" ht="24.6"/>
    <row r="91" ht="24.6"/>
    <row r="92" ht="24.6"/>
    <row r="93" ht="24.6"/>
    <row r="94" ht="24.6"/>
    <row r="95" ht="24.6"/>
    <row r="96" ht="24.6"/>
    <row r="97" ht="24.6"/>
    <row r="98" ht="24.6"/>
    <row r="99" ht="24.6"/>
    <row r="100" ht="24.6"/>
    <row r="101" ht="24.6"/>
    <row r="102" ht="24.6"/>
    <row r="103" ht="24.6"/>
    <row r="104" ht="24.6"/>
    <row r="105" ht="24.6"/>
    <row r="106" ht="24.6"/>
    <row r="107" ht="24.6"/>
    <row r="108" ht="24.6"/>
    <row r="109" ht="24.6"/>
    <row r="110" ht="24.6"/>
    <row r="111" ht="24.6"/>
    <row r="112" ht="24.6"/>
    <row r="113" ht="24.6"/>
    <row r="114" ht="24.6"/>
    <row r="115" ht="24.6"/>
    <row r="116" ht="24.6"/>
    <row r="117" ht="24.6"/>
    <row r="118" ht="24.6"/>
    <row r="119" ht="24.6"/>
    <row r="120" ht="24.6"/>
    <row r="121" ht="24.6"/>
    <row r="122" ht="24.6"/>
    <row r="123" ht="24.6"/>
    <row r="124" ht="24.6"/>
    <row r="125" ht="24.6"/>
    <row r="126" ht="24.6"/>
    <row r="127" ht="24.6"/>
    <row r="128" ht="24.6"/>
    <row r="129" ht="24.6"/>
    <row r="130" ht="24.6"/>
    <row r="131" ht="24.6"/>
    <row r="132" ht="24.6"/>
    <row r="133" ht="24.6"/>
    <row r="134" ht="24.6"/>
    <row r="135" ht="24.6"/>
    <row r="136" ht="24.6"/>
    <row r="137" ht="24.6"/>
    <row r="138" ht="24.6"/>
    <row r="139" ht="24.6"/>
    <row r="140" ht="24.6"/>
    <row r="141" ht="24.6"/>
    <row r="142" ht="24.6"/>
    <row r="143" ht="24.6"/>
    <row r="144" ht="24.6"/>
    <row r="145" ht="24.6"/>
    <row r="146" ht="24.6"/>
    <row r="147" ht="24.6"/>
    <row r="148" ht="24.6"/>
    <row r="149" ht="24.6"/>
    <row r="150" ht="24.6"/>
    <row r="151" ht="24.6"/>
    <row r="152" ht="24.6"/>
    <row r="153" ht="24.6"/>
    <row r="154" ht="24.6"/>
    <row r="155" ht="24.6"/>
    <row r="156" ht="24.6"/>
    <row r="157" ht="24.6"/>
    <row r="158" ht="24.6"/>
    <row r="159" ht="24.6"/>
    <row r="160" ht="24.6"/>
    <row r="161" ht="24.6"/>
    <row r="162" ht="24.6"/>
    <row r="163" ht="24.6"/>
    <row r="164" ht="24.6"/>
    <row r="165" ht="24.6"/>
    <row r="166" ht="24.6"/>
    <row r="167" ht="24.6"/>
    <row r="168" ht="24.6"/>
    <row r="169" ht="24.6"/>
    <row r="170" ht="24.6"/>
    <row r="171" ht="24.6"/>
    <row r="172" ht="24.6"/>
    <row r="173" ht="24.6"/>
    <row r="174" ht="24.6"/>
    <row r="175" ht="24.6"/>
    <row r="176" ht="24.6"/>
    <row r="177" ht="24.6"/>
    <row r="178" ht="24.6"/>
    <row r="179" ht="24.6"/>
    <row r="180" ht="24.6"/>
    <row r="181" ht="24.6"/>
    <row r="182" ht="24.6"/>
    <row r="183" ht="24.6"/>
    <row r="184" ht="24.6"/>
    <row r="185" ht="24.6"/>
    <row r="186" ht="24.6"/>
    <row r="187" ht="24.6"/>
    <row r="188" ht="24.6"/>
    <row r="189" ht="24.6"/>
    <row r="190" ht="24.6"/>
    <row r="191" ht="24.6"/>
    <row r="192" ht="24.6"/>
    <row r="193" ht="24.6"/>
    <row r="194" ht="24.6"/>
    <row r="195" ht="24.6"/>
    <row r="196" ht="24.6"/>
    <row r="197" ht="24.6"/>
    <row r="198" ht="24.6"/>
    <row r="199" ht="24.6"/>
    <row r="200" ht="24.6"/>
    <row r="201" ht="24.6"/>
    <row r="202" ht="24.6"/>
    <row r="203" ht="24.6"/>
    <row r="204" ht="24.6"/>
    <row r="205" ht="24.6"/>
    <row r="206" ht="24.6"/>
    <row r="207" ht="24.6"/>
    <row r="208" ht="24.6"/>
    <row r="209" ht="24.6"/>
    <row r="210" ht="24.6"/>
    <row r="211" ht="24.6"/>
    <row r="212" ht="24.6"/>
    <row r="213" ht="24.6"/>
    <row r="214" ht="24.6"/>
    <row r="215" ht="24.6"/>
    <row r="216" ht="24.6"/>
    <row r="217" ht="24.6"/>
    <row r="218" ht="24.6"/>
    <row r="219" ht="24.6"/>
    <row r="220" ht="24.6"/>
    <row r="221" ht="24.6"/>
    <row r="222" ht="24.6"/>
    <row r="223" ht="24.6"/>
    <row r="224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</sheetData>
  <mergeCells count="5">
    <mergeCell ref="A1:F1"/>
    <mergeCell ref="A2:F2"/>
    <mergeCell ref="A3:F3"/>
    <mergeCell ref="D4:F4"/>
    <mergeCell ref="A12:F12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1" manualBreakCount="1">
    <brk id="2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F880-13B3-47A6-8C2A-893E227E3DBC}">
  <sheetPr codeName="Sheet10"/>
  <dimension ref="A1:AD984"/>
  <sheetViews>
    <sheetView zoomScale="90" zoomScaleNormal="90" zoomScaleSheetLayoutView="87" workbookViewId="0">
      <pane ySplit="6" topLeftCell="A76" activePane="bottomLeft" state="frozen"/>
      <selection activeCell="I147" sqref="I147"/>
      <selection pane="bottomLeft" activeCell="A4" sqref="A4"/>
    </sheetView>
  </sheetViews>
  <sheetFormatPr defaultColWidth="10.33203125" defaultRowHeight="25.5" customHeight="1"/>
  <cols>
    <col min="1" max="1" width="4.44140625" style="1" customWidth="1"/>
    <col min="2" max="2" width="21.6640625" style="1" customWidth="1"/>
    <col min="3" max="3" width="15" style="1" customWidth="1"/>
    <col min="4" max="4" width="15.44140625" style="1" customWidth="1"/>
    <col min="5" max="5" width="11.5546875" style="1" customWidth="1"/>
    <col min="6" max="6" width="7.44140625" style="1" customWidth="1"/>
    <col min="7" max="7" width="14.109375" style="1" customWidth="1"/>
    <col min="8" max="8" width="10.6640625" style="1" customWidth="1"/>
    <col min="9" max="9" width="13.44140625" style="1" customWidth="1"/>
    <col min="10" max="10" width="11.44140625" style="176" customWidth="1"/>
    <col min="11" max="11" width="15" style="177" customWidth="1"/>
    <col min="12" max="12" width="14.5546875" style="177" customWidth="1"/>
    <col min="13" max="13" width="10.33203125" style="1" customWidth="1"/>
    <col min="14" max="14" width="7.44140625" style="173" customWidth="1"/>
    <col min="15" max="15" width="12.88671875" style="1" customWidth="1"/>
    <col min="16" max="16" width="11.109375" style="1" customWidth="1"/>
    <col min="17" max="17" width="14" style="1" customWidth="1"/>
    <col min="18" max="18" width="33" style="1" customWidth="1"/>
    <col min="19" max="19" width="6.6640625" style="1" customWidth="1"/>
    <col min="20" max="20" width="19" style="2" customWidth="1"/>
    <col min="21" max="21" width="19.109375" style="1" customWidth="1"/>
    <col min="22" max="22" width="21.33203125" style="1" customWidth="1"/>
    <col min="23" max="23" width="32.5546875" style="1" customWidth="1"/>
    <col min="24" max="24" width="16.88671875" style="1" customWidth="1"/>
    <col min="25" max="25" width="16.33203125" style="1" customWidth="1"/>
    <col min="26" max="256" width="10.33203125" style="1"/>
    <col min="257" max="257" width="4.44140625" style="1" customWidth="1"/>
    <col min="258" max="258" width="21.6640625" style="1" customWidth="1"/>
    <col min="259" max="259" width="15" style="1" customWidth="1"/>
    <col min="260" max="260" width="15.44140625" style="1" customWidth="1"/>
    <col min="261" max="261" width="11.5546875" style="1" customWidth="1"/>
    <col min="262" max="262" width="7.44140625" style="1" customWidth="1"/>
    <col min="263" max="263" width="14.109375" style="1" customWidth="1"/>
    <col min="264" max="264" width="10.6640625" style="1" customWidth="1"/>
    <col min="265" max="265" width="13.44140625" style="1" customWidth="1"/>
    <col min="266" max="266" width="11.44140625" style="1" customWidth="1"/>
    <col min="267" max="267" width="15" style="1" customWidth="1"/>
    <col min="268" max="268" width="14.5546875" style="1" customWidth="1"/>
    <col min="269" max="269" width="10.33203125" style="1"/>
    <col min="270" max="270" width="7.44140625" style="1" customWidth="1"/>
    <col min="271" max="271" width="12.88671875" style="1" customWidth="1"/>
    <col min="272" max="272" width="11.109375" style="1" customWidth="1"/>
    <col min="273" max="273" width="14" style="1" customWidth="1"/>
    <col min="274" max="274" width="33" style="1" customWidth="1"/>
    <col min="275" max="275" width="6.6640625" style="1" customWidth="1"/>
    <col min="276" max="276" width="19" style="1" customWidth="1"/>
    <col min="277" max="277" width="19.109375" style="1" customWidth="1"/>
    <col min="278" max="278" width="21.33203125" style="1" customWidth="1"/>
    <col min="279" max="279" width="32.5546875" style="1" customWidth="1"/>
    <col min="280" max="280" width="16.88671875" style="1" customWidth="1"/>
    <col min="281" max="281" width="16.33203125" style="1" customWidth="1"/>
    <col min="282" max="512" width="10.33203125" style="1"/>
    <col min="513" max="513" width="4.44140625" style="1" customWidth="1"/>
    <col min="514" max="514" width="21.6640625" style="1" customWidth="1"/>
    <col min="515" max="515" width="15" style="1" customWidth="1"/>
    <col min="516" max="516" width="15.44140625" style="1" customWidth="1"/>
    <col min="517" max="517" width="11.5546875" style="1" customWidth="1"/>
    <col min="518" max="518" width="7.44140625" style="1" customWidth="1"/>
    <col min="519" max="519" width="14.109375" style="1" customWidth="1"/>
    <col min="520" max="520" width="10.6640625" style="1" customWidth="1"/>
    <col min="521" max="521" width="13.44140625" style="1" customWidth="1"/>
    <col min="522" max="522" width="11.44140625" style="1" customWidth="1"/>
    <col min="523" max="523" width="15" style="1" customWidth="1"/>
    <col min="524" max="524" width="14.5546875" style="1" customWidth="1"/>
    <col min="525" max="525" width="10.33203125" style="1"/>
    <col min="526" max="526" width="7.44140625" style="1" customWidth="1"/>
    <col min="527" max="527" width="12.88671875" style="1" customWidth="1"/>
    <col min="528" max="528" width="11.109375" style="1" customWidth="1"/>
    <col min="529" max="529" width="14" style="1" customWidth="1"/>
    <col min="530" max="530" width="33" style="1" customWidth="1"/>
    <col min="531" max="531" width="6.6640625" style="1" customWidth="1"/>
    <col min="532" max="532" width="19" style="1" customWidth="1"/>
    <col min="533" max="533" width="19.109375" style="1" customWidth="1"/>
    <col min="534" max="534" width="21.33203125" style="1" customWidth="1"/>
    <col min="535" max="535" width="32.5546875" style="1" customWidth="1"/>
    <col min="536" max="536" width="16.88671875" style="1" customWidth="1"/>
    <col min="537" max="537" width="16.33203125" style="1" customWidth="1"/>
    <col min="538" max="768" width="10.33203125" style="1"/>
    <col min="769" max="769" width="4.44140625" style="1" customWidth="1"/>
    <col min="770" max="770" width="21.6640625" style="1" customWidth="1"/>
    <col min="771" max="771" width="15" style="1" customWidth="1"/>
    <col min="772" max="772" width="15.44140625" style="1" customWidth="1"/>
    <col min="773" max="773" width="11.5546875" style="1" customWidth="1"/>
    <col min="774" max="774" width="7.44140625" style="1" customWidth="1"/>
    <col min="775" max="775" width="14.109375" style="1" customWidth="1"/>
    <col min="776" max="776" width="10.6640625" style="1" customWidth="1"/>
    <col min="777" max="777" width="13.44140625" style="1" customWidth="1"/>
    <col min="778" max="778" width="11.44140625" style="1" customWidth="1"/>
    <col min="779" max="779" width="15" style="1" customWidth="1"/>
    <col min="780" max="780" width="14.5546875" style="1" customWidth="1"/>
    <col min="781" max="781" width="10.33203125" style="1"/>
    <col min="782" max="782" width="7.44140625" style="1" customWidth="1"/>
    <col min="783" max="783" width="12.88671875" style="1" customWidth="1"/>
    <col min="784" max="784" width="11.109375" style="1" customWidth="1"/>
    <col min="785" max="785" width="14" style="1" customWidth="1"/>
    <col min="786" max="786" width="33" style="1" customWidth="1"/>
    <col min="787" max="787" width="6.6640625" style="1" customWidth="1"/>
    <col min="788" max="788" width="19" style="1" customWidth="1"/>
    <col min="789" max="789" width="19.109375" style="1" customWidth="1"/>
    <col min="790" max="790" width="21.33203125" style="1" customWidth="1"/>
    <col min="791" max="791" width="32.5546875" style="1" customWidth="1"/>
    <col min="792" max="792" width="16.88671875" style="1" customWidth="1"/>
    <col min="793" max="793" width="16.33203125" style="1" customWidth="1"/>
    <col min="794" max="1024" width="10.33203125" style="1"/>
    <col min="1025" max="1025" width="4.44140625" style="1" customWidth="1"/>
    <col min="1026" max="1026" width="21.6640625" style="1" customWidth="1"/>
    <col min="1027" max="1027" width="15" style="1" customWidth="1"/>
    <col min="1028" max="1028" width="15.44140625" style="1" customWidth="1"/>
    <col min="1029" max="1029" width="11.5546875" style="1" customWidth="1"/>
    <col min="1030" max="1030" width="7.44140625" style="1" customWidth="1"/>
    <col min="1031" max="1031" width="14.109375" style="1" customWidth="1"/>
    <col min="1032" max="1032" width="10.6640625" style="1" customWidth="1"/>
    <col min="1033" max="1033" width="13.44140625" style="1" customWidth="1"/>
    <col min="1034" max="1034" width="11.44140625" style="1" customWidth="1"/>
    <col min="1035" max="1035" width="15" style="1" customWidth="1"/>
    <col min="1036" max="1036" width="14.5546875" style="1" customWidth="1"/>
    <col min="1037" max="1037" width="10.33203125" style="1"/>
    <col min="1038" max="1038" width="7.44140625" style="1" customWidth="1"/>
    <col min="1039" max="1039" width="12.88671875" style="1" customWidth="1"/>
    <col min="1040" max="1040" width="11.109375" style="1" customWidth="1"/>
    <col min="1041" max="1041" width="14" style="1" customWidth="1"/>
    <col min="1042" max="1042" width="33" style="1" customWidth="1"/>
    <col min="1043" max="1043" width="6.6640625" style="1" customWidth="1"/>
    <col min="1044" max="1044" width="19" style="1" customWidth="1"/>
    <col min="1045" max="1045" width="19.109375" style="1" customWidth="1"/>
    <col min="1046" max="1046" width="21.33203125" style="1" customWidth="1"/>
    <col min="1047" max="1047" width="32.5546875" style="1" customWidth="1"/>
    <col min="1048" max="1048" width="16.88671875" style="1" customWidth="1"/>
    <col min="1049" max="1049" width="16.33203125" style="1" customWidth="1"/>
    <col min="1050" max="1280" width="10.33203125" style="1"/>
    <col min="1281" max="1281" width="4.44140625" style="1" customWidth="1"/>
    <col min="1282" max="1282" width="21.6640625" style="1" customWidth="1"/>
    <col min="1283" max="1283" width="15" style="1" customWidth="1"/>
    <col min="1284" max="1284" width="15.44140625" style="1" customWidth="1"/>
    <col min="1285" max="1285" width="11.5546875" style="1" customWidth="1"/>
    <col min="1286" max="1286" width="7.44140625" style="1" customWidth="1"/>
    <col min="1287" max="1287" width="14.109375" style="1" customWidth="1"/>
    <col min="1288" max="1288" width="10.6640625" style="1" customWidth="1"/>
    <col min="1289" max="1289" width="13.44140625" style="1" customWidth="1"/>
    <col min="1290" max="1290" width="11.44140625" style="1" customWidth="1"/>
    <col min="1291" max="1291" width="15" style="1" customWidth="1"/>
    <col min="1292" max="1292" width="14.5546875" style="1" customWidth="1"/>
    <col min="1293" max="1293" width="10.33203125" style="1"/>
    <col min="1294" max="1294" width="7.44140625" style="1" customWidth="1"/>
    <col min="1295" max="1295" width="12.88671875" style="1" customWidth="1"/>
    <col min="1296" max="1296" width="11.109375" style="1" customWidth="1"/>
    <col min="1297" max="1297" width="14" style="1" customWidth="1"/>
    <col min="1298" max="1298" width="33" style="1" customWidth="1"/>
    <col min="1299" max="1299" width="6.6640625" style="1" customWidth="1"/>
    <col min="1300" max="1300" width="19" style="1" customWidth="1"/>
    <col min="1301" max="1301" width="19.109375" style="1" customWidth="1"/>
    <col min="1302" max="1302" width="21.33203125" style="1" customWidth="1"/>
    <col min="1303" max="1303" width="32.5546875" style="1" customWidth="1"/>
    <col min="1304" max="1304" width="16.88671875" style="1" customWidth="1"/>
    <col min="1305" max="1305" width="16.33203125" style="1" customWidth="1"/>
    <col min="1306" max="1536" width="10.33203125" style="1"/>
    <col min="1537" max="1537" width="4.44140625" style="1" customWidth="1"/>
    <col min="1538" max="1538" width="21.6640625" style="1" customWidth="1"/>
    <col min="1539" max="1539" width="15" style="1" customWidth="1"/>
    <col min="1540" max="1540" width="15.44140625" style="1" customWidth="1"/>
    <col min="1541" max="1541" width="11.5546875" style="1" customWidth="1"/>
    <col min="1542" max="1542" width="7.44140625" style="1" customWidth="1"/>
    <col min="1543" max="1543" width="14.109375" style="1" customWidth="1"/>
    <col min="1544" max="1544" width="10.6640625" style="1" customWidth="1"/>
    <col min="1545" max="1545" width="13.44140625" style="1" customWidth="1"/>
    <col min="1546" max="1546" width="11.44140625" style="1" customWidth="1"/>
    <col min="1547" max="1547" width="15" style="1" customWidth="1"/>
    <col min="1548" max="1548" width="14.5546875" style="1" customWidth="1"/>
    <col min="1549" max="1549" width="10.33203125" style="1"/>
    <col min="1550" max="1550" width="7.44140625" style="1" customWidth="1"/>
    <col min="1551" max="1551" width="12.88671875" style="1" customWidth="1"/>
    <col min="1552" max="1552" width="11.109375" style="1" customWidth="1"/>
    <col min="1553" max="1553" width="14" style="1" customWidth="1"/>
    <col min="1554" max="1554" width="33" style="1" customWidth="1"/>
    <col min="1555" max="1555" width="6.6640625" style="1" customWidth="1"/>
    <col min="1556" max="1556" width="19" style="1" customWidth="1"/>
    <col min="1557" max="1557" width="19.109375" style="1" customWidth="1"/>
    <col min="1558" max="1558" width="21.33203125" style="1" customWidth="1"/>
    <col min="1559" max="1559" width="32.5546875" style="1" customWidth="1"/>
    <col min="1560" max="1560" width="16.88671875" style="1" customWidth="1"/>
    <col min="1561" max="1561" width="16.33203125" style="1" customWidth="1"/>
    <col min="1562" max="1792" width="10.33203125" style="1"/>
    <col min="1793" max="1793" width="4.44140625" style="1" customWidth="1"/>
    <col min="1794" max="1794" width="21.6640625" style="1" customWidth="1"/>
    <col min="1795" max="1795" width="15" style="1" customWidth="1"/>
    <col min="1796" max="1796" width="15.44140625" style="1" customWidth="1"/>
    <col min="1797" max="1797" width="11.5546875" style="1" customWidth="1"/>
    <col min="1798" max="1798" width="7.44140625" style="1" customWidth="1"/>
    <col min="1799" max="1799" width="14.109375" style="1" customWidth="1"/>
    <col min="1800" max="1800" width="10.6640625" style="1" customWidth="1"/>
    <col min="1801" max="1801" width="13.44140625" style="1" customWidth="1"/>
    <col min="1802" max="1802" width="11.44140625" style="1" customWidth="1"/>
    <col min="1803" max="1803" width="15" style="1" customWidth="1"/>
    <col min="1804" max="1804" width="14.5546875" style="1" customWidth="1"/>
    <col min="1805" max="1805" width="10.33203125" style="1"/>
    <col min="1806" max="1806" width="7.44140625" style="1" customWidth="1"/>
    <col min="1807" max="1807" width="12.88671875" style="1" customWidth="1"/>
    <col min="1808" max="1808" width="11.109375" style="1" customWidth="1"/>
    <col min="1809" max="1809" width="14" style="1" customWidth="1"/>
    <col min="1810" max="1810" width="33" style="1" customWidth="1"/>
    <col min="1811" max="1811" width="6.6640625" style="1" customWidth="1"/>
    <col min="1812" max="1812" width="19" style="1" customWidth="1"/>
    <col min="1813" max="1813" width="19.109375" style="1" customWidth="1"/>
    <col min="1814" max="1814" width="21.33203125" style="1" customWidth="1"/>
    <col min="1815" max="1815" width="32.5546875" style="1" customWidth="1"/>
    <col min="1816" max="1816" width="16.88671875" style="1" customWidth="1"/>
    <col min="1817" max="1817" width="16.33203125" style="1" customWidth="1"/>
    <col min="1818" max="2048" width="10.33203125" style="1"/>
    <col min="2049" max="2049" width="4.44140625" style="1" customWidth="1"/>
    <col min="2050" max="2050" width="21.6640625" style="1" customWidth="1"/>
    <col min="2051" max="2051" width="15" style="1" customWidth="1"/>
    <col min="2052" max="2052" width="15.44140625" style="1" customWidth="1"/>
    <col min="2053" max="2053" width="11.5546875" style="1" customWidth="1"/>
    <col min="2054" max="2054" width="7.44140625" style="1" customWidth="1"/>
    <col min="2055" max="2055" width="14.109375" style="1" customWidth="1"/>
    <col min="2056" max="2056" width="10.6640625" style="1" customWidth="1"/>
    <col min="2057" max="2057" width="13.44140625" style="1" customWidth="1"/>
    <col min="2058" max="2058" width="11.44140625" style="1" customWidth="1"/>
    <col min="2059" max="2059" width="15" style="1" customWidth="1"/>
    <col min="2060" max="2060" width="14.5546875" style="1" customWidth="1"/>
    <col min="2061" max="2061" width="10.33203125" style="1"/>
    <col min="2062" max="2062" width="7.44140625" style="1" customWidth="1"/>
    <col min="2063" max="2063" width="12.88671875" style="1" customWidth="1"/>
    <col min="2064" max="2064" width="11.109375" style="1" customWidth="1"/>
    <col min="2065" max="2065" width="14" style="1" customWidth="1"/>
    <col min="2066" max="2066" width="33" style="1" customWidth="1"/>
    <col min="2067" max="2067" width="6.6640625" style="1" customWidth="1"/>
    <col min="2068" max="2068" width="19" style="1" customWidth="1"/>
    <col min="2069" max="2069" width="19.109375" style="1" customWidth="1"/>
    <col min="2070" max="2070" width="21.33203125" style="1" customWidth="1"/>
    <col min="2071" max="2071" width="32.5546875" style="1" customWidth="1"/>
    <col min="2072" max="2072" width="16.88671875" style="1" customWidth="1"/>
    <col min="2073" max="2073" width="16.33203125" style="1" customWidth="1"/>
    <col min="2074" max="2304" width="10.33203125" style="1"/>
    <col min="2305" max="2305" width="4.44140625" style="1" customWidth="1"/>
    <col min="2306" max="2306" width="21.6640625" style="1" customWidth="1"/>
    <col min="2307" max="2307" width="15" style="1" customWidth="1"/>
    <col min="2308" max="2308" width="15.44140625" style="1" customWidth="1"/>
    <col min="2309" max="2309" width="11.5546875" style="1" customWidth="1"/>
    <col min="2310" max="2310" width="7.44140625" style="1" customWidth="1"/>
    <col min="2311" max="2311" width="14.109375" style="1" customWidth="1"/>
    <col min="2312" max="2312" width="10.6640625" style="1" customWidth="1"/>
    <col min="2313" max="2313" width="13.44140625" style="1" customWidth="1"/>
    <col min="2314" max="2314" width="11.44140625" style="1" customWidth="1"/>
    <col min="2315" max="2315" width="15" style="1" customWidth="1"/>
    <col min="2316" max="2316" width="14.5546875" style="1" customWidth="1"/>
    <col min="2317" max="2317" width="10.33203125" style="1"/>
    <col min="2318" max="2318" width="7.44140625" style="1" customWidth="1"/>
    <col min="2319" max="2319" width="12.88671875" style="1" customWidth="1"/>
    <col min="2320" max="2320" width="11.109375" style="1" customWidth="1"/>
    <col min="2321" max="2321" width="14" style="1" customWidth="1"/>
    <col min="2322" max="2322" width="33" style="1" customWidth="1"/>
    <col min="2323" max="2323" width="6.6640625" style="1" customWidth="1"/>
    <col min="2324" max="2324" width="19" style="1" customWidth="1"/>
    <col min="2325" max="2325" width="19.109375" style="1" customWidth="1"/>
    <col min="2326" max="2326" width="21.33203125" style="1" customWidth="1"/>
    <col min="2327" max="2327" width="32.5546875" style="1" customWidth="1"/>
    <col min="2328" max="2328" width="16.88671875" style="1" customWidth="1"/>
    <col min="2329" max="2329" width="16.33203125" style="1" customWidth="1"/>
    <col min="2330" max="2560" width="10.33203125" style="1"/>
    <col min="2561" max="2561" width="4.44140625" style="1" customWidth="1"/>
    <col min="2562" max="2562" width="21.6640625" style="1" customWidth="1"/>
    <col min="2563" max="2563" width="15" style="1" customWidth="1"/>
    <col min="2564" max="2564" width="15.44140625" style="1" customWidth="1"/>
    <col min="2565" max="2565" width="11.5546875" style="1" customWidth="1"/>
    <col min="2566" max="2566" width="7.44140625" style="1" customWidth="1"/>
    <col min="2567" max="2567" width="14.109375" style="1" customWidth="1"/>
    <col min="2568" max="2568" width="10.6640625" style="1" customWidth="1"/>
    <col min="2569" max="2569" width="13.44140625" style="1" customWidth="1"/>
    <col min="2570" max="2570" width="11.44140625" style="1" customWidth="1"/>
    <col min="2571" max="2571" width="15" style="1" customWidth="1"/>
    <col min="2572" max="2572" width="14.5546875" style="1" customWidth="1"/>
    <col min="2573" max="2573" width="10.33203125" style="1"/>
    <col min="2574" max="2574" width="7.44140625" style="1" customWidth="1"/>
    <col min="2575" max="2575" width="12.88671875" style="1" customWidth="1"/>
    <col min="2576" max="2576" width="11.109375" style="1" customWidth="1"/>
    <col min="2577" max="2577" width="14" style="1" customWidth="1"/>
    <col min="2578" max="2578" width="33" style="1" customWidth="1"/>
    <col min="2579" max="2579" width="6.6640625" style="1" customWidth="1"/>
    <col min="2580" max="2580" width="19" style="1" customWidth="1"/>
    <col min="2581" max="2581" width="19.109375" style="1" customWidth="1"/>
    <col min="2582" max="2582" width="21.33203125" style="1" customWidth="1"/>
    <col min="2583" max="2583" width="32.5546875" style="1" customWidth="1"/>
    <col min="2584" max="2584" width="16.88671875" style="1" customWidth="1"/>
    <col min="2585" max="2585" width="16.33203125" style="1" customWidth="1"/>
    <col min="2586" max="2816" width="10.33203125" style="1"/>
    <col min="2817" max="2817" width="4.44140625" style="1" customWidth="1"/>
    <col min="2818" max="2818" width="21.6640625" style="1" customWidth="1"/>
    <col min="2819" max="2819" width="15" style="1" customWidth="1"/>
    <col min="2820" max="2820" width="15.44140625" style="1" customWidth="1"/>
    <col min="2821" max="2821" width="11.5546875" style="1" customWidth="1"/>
    <col min="2822" max="2822" width="7.44140625" style="1" customWidth="1"/>
    <col min="2823" max="2823" width="14.109375" style="1" customWidth="1"/>
    <col min="2824" max="2824" width="10.6640625" style="1" customWidth="1"/>
    <col min="2825" max="2825" width="13.44140625" style="1" customWidth="1"/>
    <col min="2826" max="2826" width="11.44140625" style="1" customWidth="1"/>
    <col min="2827" max="2827" width="15" style="1" customWidth="1"/>
    <col min="2828" max="2828" width="14.5546875" style="1" customWidth="1"/>
    <col min="2829" max="2829" width="10.33203125" style="1"/>
    <col min="2830" max="2830" width="7.44140625" style="1" customWidth="1"/>
    <col min="2831" max="2831" width="12.88671875" style="1" customWidth="1"/>
    <col min="2832" max="2832" width="11.109375" style="1" customWidth="1"/>
    <col min="2833" max="2833" width="14" style="1" customWidth="1"/>
    <col min="2834" max="2834" width="33" style="1" customWidth="1"/>
    <col min="2835" max="2835" width="6.6640625" style="1" customWidth="1"/>
    <col min="2836" max="2836" width="19" style="1" customWidth="1"/>
    <col min="2837" max="2837" width="19.109375" style="1" customWidth="1"/>
    <col min="2838" max="2838" width="21.33203125" style="1" customWidth="1"/>
    <col min="2839" max="2839" width="32.5546875" style="1" customWidth="1"/>
    <col min="2840" max="2840" width="16.88671875" style="1" customWidth="1"/>
    <col min="2841" max="2841" width="16.33203125" style="1" customWidth="1"/>
    <col min="2842" max="3072" width="10.33203125" style="1"/>
    <col min="3073" max="3073" width="4.44140625" style="1" customWidth="1"/>
    <col min="3074" max="3074" width="21.6640625" style="1" customWidth="1"/>
    <col min="3075" max="3075" width="15" style="1" customWidth="1"/>
    <col min="3076" max="3076" width="15.44140625" style="1" customWidth="1"/>
    <col min="3077" max="3077" width="11.5546875" style="1" customWidth="1"/>
    <col min="3078" max="3078" width="7.44140625" style="1" customWidth="1"/>
    <col min="3079" max="3079" width="14.109375" style="1" customWidth="1"/>
    <col min="3080" max="3080" width="10.6640625" style="1" customWidth="1"/>
    <col min="3081" max="3081" width="13.44140625" style="1" customWidth="1"/>
    <col min="3082" max="3082" width="11.44140625" style="1" customWidth="1"/>
    <col min="3083" max="3083" width="15" style="1" customWidth="1"/>
    <col min="3084" max="3084" width="14.5546875" style="1" customWidth="1"/>
    <col min="3085" max="3085" width="10.33203125" style="1"/>
    <col min="3086" max="3086" width="7.44140625" style="1" customWidth="1"/>
    <col min="3087" max="3087" width="12.88671875" style="1" customWidth="1"/>
    <col min="3088" max="3088" width="11.109375" style="1" customWidth="1"/>
    <col min="3089" max="3089" width="14" style="1" customWidth="1"/>
    <col min="3090" max="3090" width="33" style="1" customWidth="1"/>
    <col min="3091" max="3091" width="6.6640625" style="1" customWidth="1"/>
    <col min="3092" max="3092" width="19" style="1" customWidth="1"/>
    <col min="3093" max="3093" width="19.109375" style="1" customWidth="1"/>
    <col min="3094" max="3094" width="21.33203125" style="1" customWidth="1"/>
    <col min="3095" max="3095" width="32.5546875" style="1" customWidth="1"/>
    <col min="3096" max="3096" width="16.88671875" style="1" customWidth="1"/>
    <col min="3097" max="3097" width="16.33203125" style="1" customWidth="1"/>
    <col min="3098" max="3328" width="10.33203125" style="1"/>
    <col min="3329" max="3329" width="4.44140625" style="1" customWidth="1"/>
    <col min="3330" max="3330" width="21.6640625" style="1" customWidth="1"/>
    <col min="3331" max="3331" width="15" style="1" customWidth="1"/>
    <col min="3332" max="3332" width="15.44140625" style="1" customWidth="1"/>
    <col min="3333" max="3333" width="11.5546875" style="1" customWidth="1"/>
    <col min="3334" max="3334" width="7.44140625" style="1" customWidth="1"/>
    <col min="3335" max="3335" width="14.109375" style="1" customWidth="1"/>
    <col min="3336" max="3336" width="10.6640625" style="1" customWidth="1"/>
    <col min="3337" max="3337" width="13.44140625" style="1" customWidth="1"/>
    <col min="3338" max="3338" width="11.44140625" style="1" customWidth="1"/>
    <col min="3339" max="3339" width="15" style="1" customWidth="1"/>
    <col min="3340" max="3340" width="14.5546875" style="1" customWidth="1"/>
    <col min="3341" max="3341" width="10.33203125" style="1"/>
    <col min="3342" max="3342" width="7.44140625" style="1" customWidth="1"/>
    <col min="3343" max="3343" width="12.88671875" style="1" customWidth="1"/>
    <col min="3344" max="3344" width="11.109375" style="1" customWidth="1"/>
    <col min="3345" max="3345" width="14" style="1" customWidth="1"/>
    <col min="3346" max="3346" width="33" style="1" customWidth="1"/>
    <col min="3347" max="3347" width="6.6640625" style="1" customWidth="1"/>
    <col min="3348" max="3348" width="19" style="1" customWidth="1"/>
    <col min="3349" max="3349" width="19.109375" style="1" customWidth="1"/>
    <col min="3350" max="3350" width="21.33203125" style="1" customWidth="1"/>
    <col min="3351" max="3351" width="32.5546875" style="1" customWidth="1"/>
    <col min="3352" max="3352" width="16.88671875" style="1" customWidth="1"/>
    <col min="3353" max="3353" width="16.33203125" style="1" customWidth="1"/>
    <col min="3354" max="3584" width="10.33203125" style="1"/>
    <col min="3585" max="3585" width="4.44140625" style="1" customWidth="1"/>
    <col min="3586" max="3586" width="21.6640625" style="1" customWidth="1"/>
    <col min="3587" max="3587" width="15" style="1" customWidth="1"/>
    <col min="3588" max="3588" width="15.44140625" style="1" customWidth="1"/>
    <col min="3589" max="3589" width="11.5546875" style="1" customWidth="1"/>
    <col min="3590" max="3590" width="7.44140625" style="1" customWidth="1"/>
    <col min="3591" max="3591" width="14.109375" style="1" customWidth="1"/>
    <col min="3592" max="3592" width="10.6640625" style="1" customWidth="1"/>
    <col min="3593" max="3593" width="13.44140625" style="1" customWidth="1"/>
    <col min="3594" max="3594" width="11.44140625" style="1" customWidth="1"/>
    <col min="3595" max="3595" width="15" style="1" customWidth="1"/>
    <col min="3596" max="3596" width="14.5546875" style="1" customWidth="1"/>
    <col min="3597" max="3597" width="10.33203125" style="1"/>
    <col min="3598" max="3598" width="7.44140625" style="1" customWidth="1"/>
    <col min="3599" max="3599" width="12.88671875" style="1" customWidth="1"/>
    <col min="3600" max="3600" width="11.109375" style="1" customWidth="1"/>
    <col min="3601" max="3601" width="14" style="1" customWidth="1"/>
    <col min="3602" max="3602" width="33" style="1" customWidth="1"/>
    <col min="3603" max="3603" width="6.6640625" style="1" customWidth="1"/>
    <col min="3604" max="3604" width="19" style="1" customWidth="1"/>
    <col min="3605" max="3605" width="19.109375" style="1" customWidth="1"/>
    <col min="3606" max="3606" width="21.33203125" style="1" customWidth="1"/>
    <col min="3607" max="3607" width="32.5546875" style="1" customWidth="1"/>
    <col min="3608" max="3608" width="16.88671875" style="1" customWidth="1"/>
    <col min="3609" max="3609" width="16.33203125" style="1" customWidth="1"/>
    <col min="3610" max="3840" width="10.33203125" style="1"/>
    <col min="3841" max="3841" width="4.44140625" style="1" customWidth="1"/>
    <col min="3842" max="3842" width="21.6640625" style="1" customWidth="1"/>
    <col min="3843" max="3843" width="15" style="1" customWidth="1"/>
    <col min="3844" max="3844" width="15.44140625" style="1" customWidth="1"/>
    <col min="3845" max="3845" width="11.5546875" style="1" customWidth="1"/>
    <col min="3846" max="3846" width="7.44140625" style="1" customWidth="1"/>
    <col min="3847" max="3847" width="14.109375" style="1" customWidth="1"/>
    <col min="3848" max="3848" width="10.6640625" style="1" customWidth="1"/>
    <col min="3849" max="3849" width="13.44140625" style="1" customWidth="1"/>
    <col min="3850" max="3850" width="11.44140625" style="1" customWidth="1"/>
    <col min="3851" max="3851" width="15" style="1" customWidth="1"/>
    <col min="3852" max="3852" width="14.5546875" style="1" customWidth="1"/>
    <col min="3853" max="3853" width="10.33203125" style="1"/>
    <col min="3854" max="3854" width="7.44140625" style="1" customWidth="1"/>
    <col min="3855" max="3855" width="12.88671875" style="1" customWidth="1"/>
    <col min="3856" max="3856" width="11.109375" style="1" customWidth="1"/>
    <col min="3857" max="3857" width="14" style="1" customWidth="1"/>
    <col min="3858" max="3858" width="33" style="1" customWidth="1"/>
    <col min="3859" max="3859" width="6.6640625" style="1" customWidth="1"/>
    <col min="3860" max="3860" width="19" style="1" customWidth="1"/>
    <col min="3861" max="3861" width="19.109375" style="1" customWidth="1"/>
    <col min="3862" max="3862" width="21.33203125" style="1" customWidth="1"/>
    <col min="3863" max="3863" width="32.5546875" style="1" customWidth="1"/>
    <col min="3864" max="3864" width="16.88671875" style="1" customWidth="1"/>
    <col min="3865" max="3865" width="16.33203125" style="1" customWidth="1"/>
    <col min="3866" max="4096" width="10.33203125" style="1"/>
    <col min="4097" max="4097" width="4.44140625" style="1" customWidth="1"/>
    <col min="4098" max="4098" width="21.6640625" style="1" customWidth="1"/>
    <col min="4099" max="4099" width="15" style="1" customWidth="1"/>
    <col min="4100" max="4100" width="15.44140625" style="1" customWidth="1"/>
    <col min="4101" max="4101" width="11.5546875" style="1" customWidth="1"/>
    <col min="4102" max="4102" width="7.44140625" style="1" customWidth="1"/>
    <col min="4103" max="4103" width="14.109375" style="1" customWidth="1"/>
    <col min="4104" max="4104" width="10.6640625" style="1" customWidth="1"/>
    <col min="4105" max="4105" width="13.44140625" style="1" customWidth="1"/>
    <col min="4106" max="4106" width="11.44140625" style="1" customWidth="1"/>
    <col min="4107" max="4107" width="15" style="1" customWidth="1"/>
    <col min="4108" max="4108" width="14.5546875" style="1" customWidth="1"/>
    <col min="4109" max="4109" width="10.33203125" style="1"/>
    <col min="4110" max="4110" width="7.44140625" style="1" customWidth="1"/>
    <col min="4111" max="4111" width="12.88671875" style="1" customWidth="1"/>
    <col min="4112" max="4112" width="11.109375" style="1" customWidth="1"/>
    <col min="4113" max="4113" width="14" style="1" customWidth="1"/>
    <col min="4114" max="4114" width="33" style="1" customWidth="1"/>
    <col min="4115" max="4115" width="6.6640625" style="1" customWidth="1"/>
    <col min="4116" max="4116" width="19" style="1" customWidth="1"/>
    <col min="4117" max="4117" width="19.109375" style="1" customWidth="1"/>
    <col min="4118" max="4118" width="21.33203125" style="1" customWidth="1"/>
    <col min="4119" max="4119" width="32.5546875" style="1" customWidth="1"/>
    <col min="4120" max="4120" width="16.88671875" style="1" customWidth="1"/>
    <col min="4121" max="4121" width="16.33203125" style="1" customWidth="1"/>
    <col min="4122" max="4352" width="10.33203125" style="1"/>
    <col min="4353" max="4353" width="4.44140625" style="1" customWidth="1"/>
    <col min="4354" max="4354" width="21.6640625" style="1" customWidth="1"/>
    <col min="4355" max="4355" width="15" style="1" customWidth="1"/>
    <col min="4356" max="4356" width="15.44140625" style="1" customWidth="1"/>
    <col min="4357" max="4357" width="11.5546875" style="1" customWidth="1"/>
    <col min="4358" max="4358" width="7.44140625" style="1" customWidth="1"/>
    <col min="4359" max="4359" width="14.109375" style="1" customWidth="1"/>
    <col min="4360" max="4360" width="10.6640625" style="1" customWidth="1"/>
    <col min="4361" max="4361" width="13.44140625" style="1" customWidth="1"/>
    <col min="4362" max="4362" width="11.44140625" style="1" customWidth="1"/>
    <col min="4363" max="4363" width="15" style="1" customWidth="1"/>
    <col min="4364" max="4364" width="14.5546875" style="1" customWidth="1"/>
    <col min="4365" max="4365" width="10.33203125" style="1"/>
    <col min="4366" max="4366" width="7.44140625" style="1" customWidth="1"/>
    <col min="4367" max="4367" width="12.88671875" style="1" customWidth="1"/>
    <col min="4368" max="4368" width="11.109375" style="1" customWidth="1"/>
    <col min="4369" max="4369" width="14" style="1" customWidth="1"/>
    <col min="4370" max="4370" width="33" style="1" customWidth="1"/>
    <col min="4371" max="4371" width="6.6640625" style="1" customWidth="1"/>
    <col min="4372" max="4372" width="19" style="1" customWidth="1"/>
    <col min="4373" max="4373" width="19.109375" style="1" customWidth="1"/>
    <col min="4374" max="4374" width="21.33203125" style="1" customWidth="1"/>
    <col min="4375" max="4375" width="32.5546875" style="1" customWidth="1"/>
    <col min="4376" max="4376" width="16.88671875" style="1" customWidth="1"/>
    <col min="4377" max="4377" width="16.33203125" style="1" customWidth="1"/>
    <col min="4378" max="4608" width="10.33203125" style="1"/>
    <col min="4609" max="4609" width="4.44140625" style="1" customWidth="1"/>
    <col min="4610" max="4610" width="21.6640625" style="1" customWidth="1"/>
    <col min="4611" max="4611" width="15" style="1" customWidth="1"/>
    <col min="4612" max="4612" width="15.44140625" style="1" customWidth="1"/>
    <col min="4613" max="4613" width="11.5546875" style="1" customWidth="1"/>
    <col min="4614" max="4614" width="7.44140625" style="1" customWidth="1"/>
    <col min="4615" max="4615" width="14.109375" style="1" customWidth="1"/>
    <col min="4616" max="4616" width="10.6640625" style="1" customWidth="1"/>
    <col min="4617" max="4617" width="13.44140625" style="1" customWidth="1"/>
    <col min="4618" max="4618" width="11.44140625" style="1" customWidth="1"/>
    <col min="4619" max="4619" width="15" style="1" customWidth="1"/>
    <col min="4620" max="4620" width="14.5546875" style="1" customWidth="1"/>
    <col min="4621" max="4621" width="10.33203125" style="1"/>
    <col min="4622" max="4622" width="7.44140625" style="1" customWidth="1"/>
    <col min="4623" max="4623" width="12.88671875" style="1" customWidth="1"/>
    <col min="4624" max="4624" width="11.109375" style="1" customWidth="1"/>
    <col min="4625" max="4625" width="14" style="1" customWidth="1"/>
    <col min="4626" max="4626" width="33" style="1" customWidth="1"/>
    <col min="4627" max="4627" width="6.6640625" style="1" customWidth="1"/>
    <col min="4628" max="4628" width="19" style="1" customWidth="1"/>
    <col min="4629" max="4629" width="19.109375" style="1" customWidth="1"/>
    <col min="4630" max="4630" width="21.33203125" style="1" customWidth="1"/>
    <col min="4631" max="4631" width="32.5546875" style="1" customWidth="1"/>
    <col min="4632" max="4632" width="16.88671875" style="1" customWidth="1"/>
    <col min="4633" max="4633" width="16.33203125" style="1" customWidth="1"/>
    <col min="4634" max="4864" width="10.33203125" style="1"/>
    <col min="4865" max="4865" width="4.44140625" style="1" customWidth="1"/>
    <col min="4866" max="4866" width="21.6640625" style="1" customWidth="1"/>
    <col min="4867" max="4867" width="15" style="1" customWidth="1"/>
    <col min="4868" max="4868" width="15.44140625" style="1" customWidth="1"/>
    <col min="4869" max="4869" width="11.5546875" style="1" customWidth="1"/>
    <col min="4870" max="4870" width="7.44140625" style="1" customWidth="1"/>
    <col min="4871" max="4871" width="14.109375" style="1" customWidth="1"/>
    <col min="4872" max="4872" width="10.6640625" style="1" customWidth="1"/>
    <col min="4873" max="4873" width="13.44140625" style="1" customWidth="1"/>
    <col min="4874" max="4874" width="11.44140625" style="1" customWidth="1"/>
    <col min="4875" max="4875" width="15" style="1" customWidth="1"/>
    <col min="4876" max="4876" width="14.5546875" style="1" customWidth="1"/>
    <col min="4877" max="4877" width="10.33203125" style="1"/>
    <col min="4878" max="4878" width="7.44140625" style="1" customWidth="1"/>
    <col min="4879" max="4879" width="12.88671875" style="1" customWidth="1"/>
    <col min="4880" max="4880" width="11.109375" style="1" customWidth="1"/>
    <col min="4881" max="4881" width="14" style="1" customWidth="1"/>
    <col min="4882" max="4882" width="33" style="1" customWidth="1"/>
    <col min="4883" max="4883" width="6.6640625" style="1" customWidth="1"/>
    <col min="4884" max="4884" width="19" style="1" customWidth="1"/>
    <col min="4885" max="4885" width="19.109375" style="1" customWidth="1"/>
    <col min="4886" max="4886" width="21.33203125" style="1" customWidth="1"/>
    <col min="4887" max="4887" width="32.5546875" style="1" customWidth="1"/>
    <col min="4888" max="4888" width="16.88671875" style="1" customWidth="1"/>
    <col min="4889" max="4889" width="16.33203125" style="1" customWidth="1"/>
    <col min="4890" max="5120" width="10.33203125" style="1"/>
    <col min="5121" max="5121" width="4.44140625" style="1" customWidth="1"/>
    <col min="5122" max="5122" width="21.6640625" style="1" customWidth="1"/>
    <col min="5123" max="5123" width="15" style="1" customWidth="1"/>
    <col min="5124" max="5124" width="15.44140625" style="1" customWidth="1"/>
    <col min="5125" max="5125" width="11.5546875" style="1" customWidth="1"/>
    <col min="5126" max="5126" width="7.44140625" style="1" customWidth="1"/>
    <col min="5127" max="5127" width="14.109375" style="1" customWidth="1"/>
    <col min="5128" max="5128" width="10.6640625" style="1" customWidth="1"/>
    <col min="5129" max="5129" width="13.44140625" style="1" customWidth="1"/>
    <col min="5130" max="5130" width="11.44140625" style="1" customWidth="1"/>
    <col min="5131" max="5131" width="15" style="1" customWidth="1"/>
    <col min="5132" max="5132" width="14.5546875" style="1" customWidth="1"/>
    <col min="5133" max="5133" width="10.33203125" style="1"/>
    <col min="5134" max="5134" width="7.44140625" style="1" customWidth="1"/>
    <col min="5135" max="5135" width="12.88671875" style="1" customWidth="1"/>
    <col min="5136" max="5136" width="11.109375" style="1" customWidth="1"/>
    <col min="5137" max="5137" width="14" style="1" customWidth="1"/>
    <col min="5138" max="5138" width="33" style="1" customWidth="1"/>
    <col min="5139" max="5139" width="6.6640625" style="1" customWidth="1"/>
    <col min="5140" max="5140" width="19" style="1" customWidth="1"/>
    <col min="5141" max="5141" width="19.109375" style="1" customWidth="1"/>
    <col min="5142" max="5142" width="21.33203125" style="1" customWidth="1"/>
    <col min="5143" max="5143" width="32.5546875" style="1" customWidth="1"/>
    <col min="5144" max="5144" width="16.88671875" style="1" customWidth="1"/>
    <col min="5145" max="5145" width="16.33203125" style="1" customWidth="1"/>
    <col min="5146" max="5376" width="10.33203125" style="1"/>
    <col min="5377" max="5377" width="4.44140625" style="1" customWidth="1"/>
    <col min="5378" max="5378" width="21.6640625" style="1" customWidth="1"/>
    <col min="5379" max="5379" width="15" style="1" customWidth="1"/>
    <col min="5380" max="5380" width="15.44140625" style="1" customWidth="1"/>
    <col min="5381" max="5381" width="11.5546875" style="1" customWidth="1"/>
    <col min="5382" max="5382" width="7.44140625" style="1" customWidth="1"/>
    <col min="5383" max="5383" width="14.109375" style="1" customWidth="1"/>
    <col min="5384" max="5384" width="10.6640625" style="1" customWidth="1"/>
    <col min="5385" max="5385" width="13.44140625" style="1" customWidth="1"/>
    <col min="5386" max="5386" width="11.44140625" style="1" customWidth="1"/>
    <col min="5387" max="5387" width="15" style="1" customWidth="1"/>
    <col min="5388" max="5388" width="14.5546875" style="1" customWidth="1"/>
    <col min="5389" max="5389" width="10.33203125" style="1"/>
    <col min="5390" max="5390" width="7.44140625" style="1" customWidth="1"/>
    <col min="5391" max="5391" width="12.88671875" style="1" customWidth="1"/>
    <col min="5392" max="5392" width="11.109375" style="1" customWidth="1"/>
    <col min="5393" max="5393" width="14" style="1" customWidth="1"/>
    <col min="5394" max="5394" width="33" style="1" customWidth="1"/>
    <col min="5395" max="5395" width="6.6640625" style="1" customWidth="1"/>
    <col min="5396" max="5396" width="19" style="1" customWidth="1"/>
    <col min="5397" max="5397" width="19.109375" style="1" customWidth="1"/>
    <col min="5398" max="5398" width="21.33203125" style="1" customWidth="1"/>
    <col min="5399" max="5399" width="32.5546875" style="1" customWidth="1"/>
    <col min="5400" max="5400" width="16.88671875" style="1" customWidth="1"/>
    <col min="5401" max="5401" width="16.33203125" style="1" customWidth="1"/>
    <col min="5402" max="5632" width="10.33203125" style="1"/>
    <col min="5633" max="5633" width="4.44140625" style="1" customWidth="1"/>
    <col min="5634" max="5634" width="21.6640625" style="1" customWidth="1"/>
    <col min="5635" max="5635" width="15" style="1" customWidth="1"/>
    <col min="5636" max="5636" width="15.44140625" style="1" customWidth="1"/>
    <col min="5637" max="5637" width="11.5546875" style="1" customWidth="1"/>
    <col min="5638" max="5638" width="7.44140625" style="1" customWidth="1"/>
    <col min="5639" max="5639" width="14.109375" style="1" customWidth="1"/>
    <col min="5640" max="5640" width="10.6640625" style="1" customWidth="1"/>
    <col min="5641" max="5641" width="13.44140625" style="1" customWidth="1"/>
    <col min="5642" max="5642" width="11.44140625" style="1" customWidth="1"/>
    <col min="5643" max="5643" width="15" style="1" customWidth="1"/>
    <col min="5644" max="5644" width="14.5546875" style="1" customWidth="1"/>
    <col min="5645" max="5645" width="10.33203125" style="1"/>
    <col min="5646" max="5646" width="7.44140625" style="1" customWidth="1"/>
    <col min="5647" max="5647" width="12.88671875" style="1" customWidth="1"/>
    <col min="5648" max="5648" width="11.109375" style="1" customWidth="1"/>
    <col min="5649" max="5649" width="14" style="1" customWidth="1"/>
    <col min="5650" max="5650" width="33" style="1" customWidth="1"/>
    <col min="5651" max="5651" width="6.6640625" style="1" customWidth="1"/>
    <col min="5652" max="5652" width="19" style="1" customWidth="1"/>
    <col min="5653" max="5653" width="19.109375" style="1" customWidth="1"/>
    <col min="5654" max="5654" width="21.33203125" style="1" customWidth="1"/>
    <col min="5655" max="5655" width="32.5546875" style="1" customWidth="1"/>
    <col min="5656" max="5656" width="16.88671875" style="1" customWidth="1"/>
    <col min="5657" max="5657" width="16.33203125" style="1" customWidth="1"/>
    <col min="5658" max="5888" width="10.33203125" style="1"/>
    <col min="5889" max="5889" width="4.44140625" style="1" customWidth="1"/>
    <col min="5890" max="5890" width="21.6640625" style="1" customWidth="1"/>
    <col min="5891" max="5891" width="15" style="1" customWidth="1"/>
    <col min="5892" max="5892" width="15.44140625" style="1" customWidth="1"/>
    <col min="5893" max="5893" width="11.5546875" style="1" customWidth="1"/>
    <col min="5894" max="5894" width="7.44140625" style="1" customWidth="1"/>
    <col min="5895" max="5895" width="14.109375" style="1" customWidth="1"/>
    <col min="5896" max="5896" width="10.6640625" style="1" customWidth="1"/>
    <col min="5897" max="5897" width="13.44140625" style="1" customWidth="1"/>
    <col min="5898" max="5898" width="11.44140625" style="1" customWidth="1"/>
    <col min="5899" max="5899" width="15" style="1" customWidth="1"/>
    <col min="5900" max="5900" width="14.5546875" style="1" customWidth="1"/>
    <col min="5901" max="5901" width="10.33203125" style="1"/>
    <col min="5902" max="5902" width="7.44140625" style="1" customWidth="1"/>
    <col min="5903" max="5903" width="12.88671875" style="1" customWidth="1"/>
    <col min="5904" max="5904" width="11.109375" style="1" customWidth="1"/>
    <col min="5905" max="5905" width="14" style="1" customWidth="1"/>
    <col min="5906" max="5906" width="33" style="1" customWidth="1"/>
    <col min="5907" max="5907" width="6.6640625" style="1" customWidth="1"/>
    <col min="5908" max="5908" width="19" style="1" customWidth="1"/>
    <col min="5909" max="5909" width="19.109375" style="1" customWidth="1"/>
    <col min="5910" max="5910" width="21.33203125" style="1" customWidth="1"/>
    <col min="5911" max="5911" width="32.5546875" style="1" customWidth="1"/>
    <col min="5912" max="5912" width="16.88671875" style="1" customWidth="1"/>
    <col min="5913" max="5913" width="16.33203125" style="1" customWidth="1"/>
    <col min="5914" max="6144" width="10.33203125" style="1"/>
    <col min="6145" max="6145" width="4.44140625" style="1" customWidth="1"/>
    <col min="6146" max="6146" width="21.6640625" style="1" customWidth="1"/>
    <col min="6147" max="6147" width="15" style="1" customWidth="1"/>
    <col min="6148" max="6148" width="15.44140625" style="1" customWidth="1"/>
    <col min="6149" max="6149" width="11.5546875" style="1" customWidth="1"/>
    <col min="6150" max="6150" width="7.44140625" style="1" customWidth="1"/>
    <col min="6151" max="6151" width="14.109375" style="1" customWidth="1"/>
    <col min="6152" max="6152" width="10.6640625" style="1" customWidth="1"/>
    <col min="6153" max="6153" width="13.44140625" style="1" customWidth="1"/>
    <col min="6154" max="6154" width="11.44140625" style="1" customWidth="1"/>
    <col min="6155" max="6155" width="15" style="1" customWidth="1"/>
    <col min="6156" max="6156" width="14.5546875" style="1" customWidth="1"/>
    <col min="6157" max="6157" width="10.33203125" style="1"/>
    <col min="6158" max="6158" width="7.44140625" style="1" customWidth="1"/>
    <col min="6159" max="6159" width="12.88671875" style="1" customWidth="1"/>
    <col min="6160" max="6160" width="11.109375" style="1" customWidth="1"/>
    <col min="6161" max="6161" width="14" style="1" customWidth="1"/>
    <col min="6162" max="6162" width="33" style="1" customWidth="1"/>
    <col min="6163" max="6163" width="6.6640625" style="1" customWidth="1"/>
    <col min="6164" max="6164" width="19" style="1" customWidth="1"/>
    <col min="6165" max="6165" width="19.109375" style="1" customWidth="1"/>
    <col min="6166" max="6166" width="21.33203125" style="1" customWidth="1"/>
    <col min="6167" max="6167" width="32.5546875" style="1" customWidth="1"/>
    <col min="6168" max="6168" width="16.88671875" style="1" customWidth="1"/>
    <col min="6169" max="6169" width="16.33203125" style="1" customWidth="1"/>
    <col min="6170" max="6400" width="10.33203125" style="1"/>
    <col min="6401" max="6401" width="4.44140625" style="1" customWidth="1"/>
    <col min="6402" max="6402" width="21.6640625" style="1" customWidth="1"/>
    <col min="6403" max="6403" width="15" style="1" customWidth="1"/>
    <col min="6404" max="6404" width="15.44140625" style="1" customWidth="1"/>
    <col min="6405" max="6405" width="11.5546875" style="1" customWidth="1"/>
    <col min="6406" max="6406" width="7.44140625" style="1" customWidth="1"/>
    <col min="6407" max="6407" width="14.109375" style="1" customWidth="1"/>
    <col min="6408" max="6408" width="10.6640625" style="1" customWidth="1"/>
    <col min="6409" max="6409" width="13.44140625" style="1" customWidth="1"/>
    <col min="6410" max="6410" width="11.44140625" style="1" customWidth="1"/>
    <col min="6411" max="6411" width="15" style="1" customWidth="1"/>
    <col min="6412" max="6412" width="14.5546875" style="1" customWidth="1"/>
    <col min="6413" max="6413" width="10.33203125" style="1"/>
    <col min="6414" max="6414" width="7.44140625" style="1" customWidth="1"/>
    <col min="6415" max="6415" width="12.88671875" style="1" customWidth="1"/>
    <col min="6416" max="6416" width="11.109375" style="1" customWidth="1"/>
    <col min="6417" max="6417" width="14" style="1" customWidth="1"/>
    <col min="6418" max="6418" width="33" style="1" customWidth="1"/>
    <col min="6419" max="6419" width="6.6640625" style="1" customWidth="1"/>
    <col min="6420" max="6420" width="19" style="1" customWidth="1"/>
    <col min="6421" max="6421" width="19.109375" style="1" customWidth="1"/>
    <col min="6422" max="6422" width="21.33203125" style="1" customWidth="1"/>
    <col min="6423" max="6423" width="32.5546875" style="1" customWidth="1"/>
    <col min="6424" max="6424" width="16.88671875" style="1" customWidth="1"/>
    <col min="6425" max="6425" width="16.33203125" style="1" customWidth="1"/>
    <col min="6426" max="6656" width="10.33203125" style="1"/>
    <col min="6657" max="6657" width="4.44140625" style="1" customWidth="1"/>
    <col min="6658" max="6658" width="21.6640625" style="1" customWidth="1"/>
    <col min="6659" max="6659" width="15" style="1" customWidth="1"/>
    <col min="6660" max="6660" width="15.44140625" style="1" customWidth="1"/>
    <col min="6661" max="6661" width="11.5546875" style="1" customWidth="1"/>
    <col min="6662" max="6662" width="7.44140625" style="1" customWidth="1"/>
    <col min="6663" max="6663" width="14.109375" style="1" customWidth="1"/>
    <col min="6664" max="6664" width="10.6640625" style="1" customWidth="1"/>
    <col min="6665" max="6665" width="13.44140625" style="1" customWidth="1"/>
    <col min="6666" max="6666" width="11.44140625" style="1" customWidth="1"/>
    <col min="6667" max="6667" width="15" style="1" customWidth="1"/>
    <col min="6668" max="6668" width="14.5546875" style="1" customWidth="1"/>
    <col min="6669" max="6669" width="10.33203125" style="1"/>
    <col min="6670" max="6670" width="7.44140625" style="1" customWidth="1"/>
    <col min="6671" max="6671" width="12.88671875" style="1" customWidth="1"/>
    <col min="6672" max="6672" width="11.109375" style="1" customWidth="1"/>
    <col min="6673" max="6673" width="14" style="1" customWidth="1"/>
    <col min="6674" max="6674" width="33" style="1" customWidth="1"/>
    <col min="6675" max="6675" width="6.6640625" style="1" customWidth="1"/>
    <col min="6676" max="6676" width="19" style="1" customWidth="1"/>
    <col min="6677" max="6677" width="19.109375" style="1" customWidth="1"/>
    <col min="6678" max="6678" width="21.33203125" style="1" customWidth="1"/>
    <col min="6679" max="6679" width="32.5546875" style="1" customWidth="1"/>
    <col min="6680" max="6680" width="16.88671875" style="1" customWidth="1"/>
    <col min="6681" max="6681" width="16.33203125" style="1" customWidth="1"/>
    <col min="6682" max="6912" width="10.33203125" style="1"/>
    <col min="6913" max="6913" width="4.44140625" style="1" customWidth="1"/>
    <col min="6914" max="6914" width="21.6640625" style="1" customWidth="1"/>
    <col min="6915" max="6915" width="15" style="1" customWidth="1"/>
    <col min="6916" max="6916" width="15.44140625" style="1" customWidth="1"/>
    <col min="6917" max="6917" width="11.5546875" style="1" customWidth="1"/>
    <col min="6918" max="6918" width="7.44140625" style="1" customWidth="1"/>
    <col min="6919" max="6919" width="14.109375" style="1" customWidth="1"/>
    <col min="6920" max="6920" width="10.6640625" style="1" customWidth="1"/>
    <col min="6921" max="6921" width="13.44140625" style="1" customWidth="1"/>
    <col min="6922" max="6922" width="11.44140625" style="1" customWidth="1"/>
    <col min="6923" max="6923" width="15" style="1" customWidth="1"/>
    <col min="6924" max="6924" width="14.5546875" style="1" customWidth="1"/>
    <col min="6925" max="6925" width="10.33203125" style="1"/>
    <col min="6926" max="6926" width="7.44140625" style="1" customWidth="1"/>
    <col min="6927" max="6927" width="12.88671875" style="1" customWidth="1"/>
    <col min="6928" max="6928" width="11.109375" style="1" customWidth="1"/>
    <col min="6929" max="6929" width="14" style="1" customWidth="1"/>
    <col min="6930" max="6930" width="33" style="1" customWidth="1"/>
    <col min="6931" max="6931" width="6.6640625" style="1" customWidth="1"/>
    <col min="6932" max="6932" width="19" style="1" customWidth="1"/>
    <col min="6933" max="6933" width="19.109375" style="1" customWidth="1"/>
    <col min="6934" max="6934" width="21.33203125" style="1" customWidth="1"/>
    <col min="6935" max="6935" width="32.5546875" style="1" customWidth="1"/>
    <col min="6936" max="6936" width="16.88671875" style="1" customWidth="1"/>
    <col min="6937" max="6937" width="16.33203125" style="1" customWidth="1"/>
    <col min="6938" max="7168" width="10.33203125" style="1"/>
    <col min="7169" max="7169" width="4.44140625" style="1" customWidth="1"/>
    <col min="7170" max="7170" width="21.6640625" style="1" customWidth="1"/>
    <col min="7171" max="7171" width="15" style="1" customWidth="1"/>
    <col min="7172" max="7172" width="15.44140625" style="1" customWidth="1"/>
    <col min="7173" max="7173" width="11.5546875" style="1" customWidth="1"/>
    <col min="7174" max="7174" width="7.44140625" style="1" customWidth="1"/>
    <col min="7175" max="7175" width="14.109375" style="1" customWidth="1"/>
    <col min="7176" max="7176" width="10.6640625" style="1" customWidth="1"/>
    <col min="7177" max="7177" width="13.44140625" style="1" customWidth="1"/>
    <col min="7178" max="7178" width="11.44140625" style="1" customWidth="1"/>
    <col min="7179" max="7179" width="15" style="1" customWidth="1"/>
    <col min="7180" max="7180" width="14.5546875" style="1" customWidth="1"/>
    <col min="7181" max="7181" width="10.33203125" style="1"/>
    <col min="7182" max="7182" width="7.44140625" style="1" customWidth="1"/>
    <col min="7183" max="7183" width="12.88671875" style="1" customWidth="1"/>
    <col min="7184" max="7184" width="11.109375" style="1" customWidth="1"/>
    <col min="7185" max="7185" width="14" style="1" customWidth="1"/>
    <col min="7186" max="7186" width="33" style="1" customWidth="1"/>
    <col min="7187" max="7187" width="6.6640625" style="1" customWidth="1"/>
    <col min="7188" max="7188" width="19" style="1" customWidth="1"/>
    <col min="7189" max="7189" width="19.109375" style="1" customWidth="1"/>
    <col min="7190" max="7190" width="21.33203125" style="1" customWidth="1"/>
    <col min="7191" max="7191" width="32.5546875" style="1" customWidth="1"/>
    <col min="7192" max="7192" width="16.88671875" style="1" customWidth="1"/>
    <col min="7193" max="7193" width="16.33203125" style="1" customWidth="1"/>
    <col min="7194" max="7424" width="10.33203125" style="1"/>
    <col min="7425" max="7425" width="4.44140625" style="1" customWidth="1"/>
    <col min="7426" max="7426" width="21.6640625" style="1" customWidth="1"/>
    <col min="7427" max="7427" width="15" style="1" customWidth="1"/>
    <col min="7428" max="7428" width="15.44140625" style="1" customWidth="1"/>
    <col min="7429" max="7429" width="11.5546875" style="1" customWidth="1"/>
    <col min="7430" max="7430" width="7.44140625" style="1" customWidth="1"/>
    <col min="7431" max="7431" width="14.109375" style="1" customWidth="1"/>
    <col min="7432" max="7432" width="10.6640625" style="1" customWidth="1"/>
    <col min="7433" max="7433" width="13.44140625" style="1" customWidth="1"/>
    <col min="7434" max="7434" width="11.44140625" style="1" customWidth="1"/>
    <col min="7435" max="7435" width="15" style="1" customWidth="1"/>
    <col min="7436" max="7436" width="14.5546875" style="1" customWidth="1"/>
    <col min="7437" max="7437" width="10.33203125" style="1"/>
    <col min="7438" max="7438" width="7.44140625" style="1" customWidth="1"/>
    <col min="7439" max="7439" width="12.88671875" style="1" customWidth="1"/>
    <col min="7440" max="7440" width="11.109375" style="1" customWidth="1"/>
    <col min="7441" max="7441" width="14" style="1" customWidth="1"/>
    <col min="7442" max="7442" width="33" style="1" customWidth="1"/>
    <col min="7443" max="7443" width="6.6640625" style="1" customWidth="1"/>
    <col min="7444" max="7444" width="19" style="1" customWidth="1"/>
    <col min="7445" max="7445" width="19.109375" style="1" customWidth="1"/>
    <col min="7446" max="7446" width="21.33203125" style="1" customWidth="1"/>
    <col min="7447" max="7447" width="32.5546875" style="1" customWidth="1"/>
    <col min="7448" max="7448" width="16.88671875" style="1" customWidth="1"/>
    <col min="7449" max="7449" width="16.33203125" style="1" customWidth="1"/>
    <col min="7450" max="7680" width="10.33203125" style="1"/>
    <col min="7681" max="7681" width="4.44140625" style="1" customWidth="1"/>
    <col min="7682" max="7682" width="21.6640625" style="1" customWidth="1"/>
    <col min="7683" max="7683" width="15" style="1" customWidth="1"/>
    <col min="7684" max="7684" width="15.44140625" style="1" customWidth="1"/>
    <col min="7685" max="7685" width="11.5546875" style="1" customWidth="1"/>
    <col min="7686" max="7686" width="7.44140625" style="1" customWidth="1"/>
    <col min="7687" max="7687" width="14.109375" style="1" customWidth="1"/>
    <col min="7688" max="7688" width="10.6640625" style="1" customWidth="1"/>
    <col min="7689" max="7689" width="13.44140625" style="1" customWidth="1"/>
    <col min="7690" max="7690" width="11.44140625" style="1" customWidth="1"/>
    <col min="7691" max="7691" width="15" style="1" customWidth="1"/>
    <col min="7692" max="7692" width="14.5546875" style="1" customWidth="1"/>
    <col min="7693" max="7693" width="10.33203125" style="1"/>
    <col min="7694" max="7694" width="7.44140625" style="1" customWidth="1"/>
    <col min="7695" max="7695" width="12.88671875" style="1" customWidth="1"/>
    <col min="7696" max="7696" width="11.109375" style="1" customWidth="1"/>
    <col min="7697" max="7697" width="14" style="1" customWidth="1"/>
    <col min="7698" max="7698" width="33" style="1" customWidth="1"/>
    <col min="7699" max="7699" width="6.6640625" style="1" customWidth="1"/>
    <col min="7700" max="7700" width="19" style="1" customWidth="1"/>
    <col min="7701" max="7701" width="19.109375" style="1" customWidth="1"/>
    <col min="7702" max="7702" width="21.33203125" style="1" customWidth="1"/>
    <col min="7703" max="7703" width="32.5546875" style="1" customWidth="1"/>
    <col min="7704" max="7704" width="16.88671875" style="1" customWidth="1"/>
    <col min="7705" max="7705" width="16.33203125" style="1" customWidth="1"/>
    <col min="7706" max="7936" width="10.33203125" style="1"/>
    <col min="7937" max="7937" width="4.44140625" style="1" customWidth="1"/>
    <col min="7938" max="7938" width="21.6640625" style="1" customWidth="1"/>
    <col min="7939" max="7939" width="15" style="1" customWidth="1"/>
    <col min="7940" max="7940" width="15.44140625" style="1" customWidth="1"/>
    <col min="7941" max="7941" width="11.5546875" style="1" customWidth="1"/>
    <col min="7942" max="7942" width="7.44140625" style="1" customWidth="1"/>
    <col min="7943" max="7943" width="14.109375" style="1" customWidth="1"/>
    <col min="7944" max="7944" width="10.6640625" style="1" customWidth="1"/>
    <col min="7945" max="7945" width="13.44140625" style="1" customWidth="1"/>
    <col min="7946" max="7946" width="11.44140625" style="1" customWidth="1"/>
    <col min="7947" max="7947" width="15" style="1" customWidth="1"/>
    <col min="7948" max="7948" width="14.5546875" style="1" customWidth="1"/>
    <col min="7949" max="7949" width="10.33203125" style="1"/>
    <col min="7950" max="7950" width="7.44140625" style="1" customWidth="1"/>
    <col min="7951" max="7951" width="12.88671875" style="1" customWidth="1"/>
    <col min="7952" max="7952" width="11.109375" style="1" customWidth="1"/>
    <col min="7953" max="7953" width="14" style="1" customWidth="1"/>
    <col min="7954" max="7954" width="33" style="1" customWidth="1"/>
    <col min="7955" max="7955" width="6.6640625" style="1" customWidth="1"/>
    <col min="7956" max="7956" width="19" style="1" customWidth="1"/>
    <col min="7957" max="7957" width="19.109375" style="1" customWidth="1"/>
    <col min="7958" max="7958" width="21.33203125" style="1" customWidth="1"/>
    <col min="7959" max="7959" width="32.5546875" style="1" customWidth="1"/>
    <col min="7960" max="7960" width="16.88671875" style="1" customWidth="1"/>
    <col min="7961" max="7961" width="16.33203125" style="1" customWidth="1"/>
    <col min="7962" max="8192" width="10.33203125" style="1"/>
    <col min="8193" max="8193" width="4.44140625" style="1" customWidth="1"/>
    <col min="8194" max="8194" width="21.6640625" style="1" customWidth="1"/>
    <col min="8195" max="8195" width="15" style="1" customWidth="1"/>
    <col min="8196" max="8196" width="15.44140625" style="1" customWidth="1"/>
    <col min="8197" max="8197" width="11.5546875" style="1" customWidth="1"/>
    <col min="8198" max="8198" width="7.44140625" style="1" customWidth="1"/>
    <col min="8199" max="8199" width="14.109375" style="1" customWidth="1"/>
    <col min="8200" max="8200" width="10.6640625" style="1" customWidth="1"/>
    <col min="8201" max="8201" width="13.44140625" style="1" customWidth="1"/>
    <col min="8202" max="8202" width="11.44140625" style="1" customWidth="1"/>
    <col min="8203" max="8203" width="15" style="1" customWidth="1"/>
    <col min="8204" max="8204" width="14.5546875" style="1" customWidth="1"/>
    <col min="8205" max="8205" width="10.33203125" style="1"/>
    <col min="8206" max="8206" width="7.44140625" style="1" customWidth="1"/>
    <col min="8207" max="8207" width="12.88671875" style="1" customWidth="1"/>
    <col min="8208" max="8208" width="11.109375" style="1" customWidth="1"/>
    <col min="8209" max="8209" width="14" style="1" customWidth="1"/>
    <col min="8210" max="8210" width="33" style="1" customWidth="1"/>
    <col min="8211" max="8211" width="6.6640625" style="1" customWidth="1"/>
    <col min="8212" max="8212" width="19" style="1" customWidth="1"/>
    <col min="8213" max="8213" width="19.109375" style="1" customWidth="1"/>
    <col min="8214" max="8214" width="21.33203125" style="1" customWidth="1"/>
    <col min="8215" max="8215" width="32.5546875" style="1" customWidth="1"/>
    <col min="8216" max="8216" width="16.88671875" style="1" customWidth="1"/>
    <col min="8217" max="8217" width="16.33203125" style="1" customWidth="1"/>
    <col min="8218" max="8448" width="10.33203125" style="1"/>
    <col min="8449" max="8449" width="4.44140625" style="1" customWidth="1"/>
    <col min="8450" max="8450" width="21.6640625" style="1" customWidth="1"/>
    <col min="8451" max="8451" width="15" style="1" customWidth="1"/>
    <col min="8452" max="8452" width="15.44140625" style="1" customWidth="1"/>
    <col min="8453" max="8453" width="11.5546875" style="1" customWidth="1"/>
    <col min="8454" max="8454" width="7.44140625" style="1" customWidth="1"/>
    <col min="8455" max="8455" width="14.109375" style="1" customWidth="1"/>
    <col min="8456" max="8456" width="10.6640625" style="1" customWidth="1"/>
    <col min="8457" max="8457" width="13.44140625" style="1" customWidth="1"/>
    <col min="8458" max="8458" width="11.44140625" style="1" customWidth="1"/>
    <col min="8459" max="8459" width="15" style="1" customWidth="1"/>
    <col min="8460" max="8460" width="14.5546875" style="1" customWidth="1"/>
    <col min="8461" max="8461" width="10.33203125" style="1"/>
    <col min="8462" max="8462" width="7.44140625" style="1" customWidth="1"/>
    <col min="8463" max="8463" width="12.88671875" style="1" customWidth="1"/>
    <col min="8464" max="8464" width="11.109375" style="1" customWidth="1"/>
    <col min="8465" max="8465" width="14" style="1" customWidth="1"/>
    <col min="8466" max="8466" width="33" style="1" customWidth="1"/>
    <col min="8467" max="8467" width="6.6640625" style="1" customWidth="1"/>
    <col min="8468" max="8468" width="19" style="1" customWidth="1"/>
    <col min="8469" max="8469" width="19.109375" style="1" customWidth="1"/>
    <col min="8470" max="8470" width="21.33203125" style="1" customWidth="1"/>
    <col min="8471" max="8471" width="32.5546875" style="1" customWidth="1"/>
    <col min="8472" max="8472" width="16.88671875" style="1" customWidth="1"/>
    <col min="8473" max="8473" width="16.33203125" style="1" customWidth="1"/>
    <col min="8474" max="8704" width="10.33203125" style="1"/>
    <col min="8705" max="8705" width="4.44140625" style="1" customWidth="1"/>
    <col min="8706" max="8706" width="21.6640625" style="1" customWidth="1"/>
    <col min="8707" max="8707" width="15" style="1" customWidth="1"/>
    <col min="8708" max="8708" width="15.44140625" style="1" customWidth="1"/>
    <col min="8709" max="8709" width="11.5546875" style="1" customWidth="1"/>
    <col min="8710" max="8710" width="7.44140625" style="1" customWidth="1"/>
    <col min="8711" max="8711" width="14.109375" style="1" customWidth="1"/>
    <col min="8712" max="8712" width="10.6640625" style="1" customWidth="1"/>
    <col min="8713" max="8713" width="13.44140625" style="1" customWidth="1"/>
    <col min="8714" max="8714" width="11.44140625" style="1" customWidth="1"/>
    <col min="8715" max="8715" width="15" style="1" customWidth="1"/>
    <col min="8716" max="8716" width="14.5546875" style="1" customWidth="1"/>
    <col min="8717" max="8717" width="10.33203125" style="1"/>
    <col min="8718" max="8718" width="7.44140625" style="1" customWidth="1"/>
    <col min="8719" max="8719" width="12.88671875" style="1" customWidth="1"/>
    <col min="8720" max="8720" width="11.109375" style="1" customWidth="1"/>
    <col min="8721" max="8721" width="14" style="1" customWidth="1"/>
    <col min="8722" max="8722" width="33" style="1" customWidth="1"/>
    <col min="8723" max="8723" width="6.6640625" style="1" customWidth="1"/>
    <col min="8724" max="8724" width="19" style="1" customWidth="1"/>
    <col min="8725" max="8725" width="19.109375" style="1" customWidth="1"/>
    <col min="8726" max="8726" width="21.33203125" style="1" customWidth="1"/>
    <col min="8727" max="8727" width="32.5546875" style="1" customWidth="1"/>
    <col min="8728" max="8728" width="16.88671875" style="1" customWidth="1"/>
    <col min="8729" max="8729" width="16.33203125" style="1" customWidth="1"/>
    <col min="8730" max="8960" width="10.33203125" style="1"/>
    <col min="8961" max="8961" width="4.44140625" style="1" customWidth="1"/>
    <col min="8962" max="8962" width="21.6640625" style="1" customWidth="1"/>
    <col min="8963" max="8963" width="15" style="1" customWidth="1"/>
    <col min="8964" max="8964" width="15.44140625" style="1" customWidth="1"/>
    <col min="8965" max="8965" width="11.5546875" style="1" customWidth="1"/>
    <col min="8966" max="8966" width="7.44140625" style="1" customWidth="1"/>
    <col min="8967" max="8967" width="14.109375" style="1" customWidth="1"/>
    <col min="8968" max="8968" width="10.6640625" style="1" customWidth="1"/>
    <col min="8969" max="8969" width="13.44140625" style="1" customWidth="1"/>
    <col min="8970" max="8970" width="11.44140625" style="1" customWidth="1"/>
    <col min="8971" max="8971" width="15" style="1" customWidth="1"/>
    <col min="8972" max="8972" width="14.5546875" style="1" customWidth="1"/>
    <col min="8973" max="8973" width="10.33203125" style="1"/>
    <col min="8974" max="8974" width="7.44140625" style="1" customWidth="1"/>
    <col min="8975" max="8975" width="12.88671875" style="1" customWidth="1"/>
    <col min="8976" max="8976" width="11.109375" style="1" customWidth="1"/>
    <col min="8977" max="8977" width="14" style="1" customWidth="1"/>
    <col min="8978" max="8978" width="33" style="1" customWidth="1"/>
    <col min="8979" max="8979" width="6.6640625" style="1" customWidth="1"/>
    <col min="8980" max="8980" width="19" style="1" customWidth="1"/>
    <col min="8981" max="8981" width="19.109375" style="1" customWidth="1"/>
    <col min="8982" max="8982" width="21.33203125" style="1" customWidth="1"/>
    <col min="8983" max="8983" width="32.5546875" style="1" customWidth="1"/>
    <col min="8984" max="8984" width="16.88671875" style="1" customWidth="1"/>
    <col min="8985" max="8985" width="16.33203125" style="1" customWidth="1"/>
    <col min="8986" max="9216" width="10.33203125" style="1"/>
    <col min="9217" max="9217" width="4.44140625" style="1" customWidth="1"/>
    <col min="9218" max="9218" width="21.6640625" style="1" customWidth="1"/>
    <col min="9219" max="9219" width="15" style="1" customWidth="1"/>
    <col min="9220" max="9220" width="15.44140625" style="1" customWidth="1"/>
    <col min="9221" max="9221" width="11.5546875" style="1" customWidth="1"/>
    <col min="9222" max="9222" width="7.44140625" style="1" customWidth="1"/>
    <col min="9223" max="9223" width="14.109375" style="1" customWidth="1"/>
    <col min="9224" max="9224" width="10.6640625" style="1" customWidth="1"/>
    <col min="9225" max="9225" width="13.44140625" style="1" customWidth="1"/>
    <col min="9226" max="9226" width="11.44140625" style="1" customWidth="1"/>
    <col min="9227" max="9227" width="15" style="1" customWidth="1"/>
    <col min="9228" max="9228" width="14.5546875" style="1" customWidth="1"/>
    <col min="9229" max="9229" width="10.33203125" style="1"/>
    <col min="9230" max="9230" width="7.44140625" style="1" customWidth="1"/>
    <col min="9231" max="9231" width="12.88671875" style="1" customWidth="1"/>
    <col min="9232" max="9232" width="11.109375" style="1" customWidth="1"/>
    <col min="9233" max="9233" width="14" style="1" customWidth="1"/>
    <col min="9234" max="9234" width="33" style="1" customWidth="1"/>
    <col min="9235" max="9235" width="6.6640625" style="1" customWidth="1"/>
    <col min="9236" max="9236" width="19" style="1" customWidth="1"/>
    <col min="9237" max="9237" width="19.109375" style="1" customWidth="1"/>
    <col min="9238" max="9238" width="21.33203125" style="1" customWidth="1"/>
    <col min="9239" max="9239" width="32.5546875" style="1" customWidth="1"/>
    <col min="9240" max="9240" width="16.88671875" style="1" customWidth="1"/>
    <col min="9241" max="9241" width="16.33203125" style="1" customWidth="1"/>
    <col min="9242" max="9472" width="10.33203125" style="1"/>
    <col min="9473" max="9473" width="4.44140625" style="1" customWidth="1"/>
    <col min="9474" max="9474" width="21.6640625" style="1" customWidth="1"/>
    <col min="9475" max="9475" width="15" style="1" customWidth="1"/>
    <col min="9476" max="9476" width="15.44140625" style="1" customWidth="1"/>
    <col min="9477" max="9477" width="11.5546875" style="1" customWidth="1"/>
    <col min="9478" max="9478" width="7.44140625" style="1" customWidth="1"/>
    <col min="9479" max="9479" width="14.109375" style="1" customWidth="1"/>
    <col min="9480" max="9480" width="10.6640625" style="1" customWidth="1"/>
    <col min="9481" max="9481" width="13.44140625" style="1" customWidth="1"/>
    <col min="9482" max="9482" width="11.44140625" style="1" customWidth="1"/>
    <col min="9483" max="9483" width="15" style="1" customWidth="1"/>
    <col min="9484" max="9484" width="14.5546875" style="1" customWidth="1"/>
    <col min="9485" max="9485" width="10.33203125" style="1"/>
    <col min="9486" max="9486" width="7.44140625" style="1" customWidth="1"/>
    <col min="9487" max="9487" width="12.88671875" style="1" customWidth="1"/>
    <col min="9488" max="9488" width="11.109375" style="1" customWidth="1"/>
    <col min="9489" max="9489" width="14" style="1" customWidth="1"/>
    <col min="9490" max="9490" width="33" style="1" customWidth="1"/>
    <col min="9491" max="9491" width="6.6640625" style="1" customWidth="1"/>
    <col min="9492" max="9492" width="19" style="1" customWidth="1"/>
    <col min="9493" max="9493" width="19.109375" style="1" customWidth="1"/>
    <col min="9494" max="9494" width="21.33203125" style="1" customWidth="1"/>
    <col min="9495" max="9495" width="32.5546875" style="1" customWidth="1"/>
    <col min="9496" max="9496" width="16.88671875" style="1" customWidth="1"/>
    <col min="9497" max="9497" width="16.33203125" style="1" customWidth="1"/>
    <col min="9498" max="9728" width="10.33203125" style="1"/>
    <col min="9729" max="9729" width="4.44140625" style="1" customWidth="1"/>
    <col min="9730" max="9730" width="21.6640625" style="1" customWidth="1"/>
    <col min="9731" max="9731" width="15" style="1" customWidth="1"/>
    <col min="9732" max="9732" width="15.44140625" style="1" customWidth="1"/>
    <col min="9733" max="9733" width="11.5546875" style="1" customWidth="1"/>
    <col min="9734" max="9734" width="7.44140625" style="1" customWidth="1"/>
    <col min="9735" max="9735" width="14.109375" style="1" customWidth="1"/>
    <col min="9736" max="9736" width="10.6640625" style="1" customWidth="1"/>
    <col min="9737" max="9737" width="13.44140625" style="1" customWidth="1"/>
    <col min="9738" max="9738" width="11.44140625" style="1" customWidth="1"/>
    <col min="9739" max="9739" width="15" style="1" customWidth="1"/>
    <col min="9740" max="9740" width="14.5546875" style="1" customWidth="1"/>
    <col min="9741" max="9741" width="10.33203125" style="1"/>
    <col min="9742" max="9742" width="7.44140625" style="1" customWidth="1"/>
    <col min="9743" max="9743" width="12.88671875" style="1" customWidth="1"/>
    <col min="9744" max="9744" width="11.109375" style="1" customWidth="1"/>
    <col min="9745" max="9745" width="14" style="1" customWidth="1"/>
    <col min="9746" max="9746" width="33" style="1" customWidth="1"/>
    <col min="9747" max="9747" width="6.6640625" style="1" customWidth="1"/>
    <col min="9748" max="9748" width="19" style="1" customWidth="1"/>
    <col min="9749" max="9749" width="19.109375" style="1" customWidth="1"/>
    <col min="9750" max="9750" width="21.33203125" style="1" customWidth="1"/>
    <col min="9751" max="9751" width="32.5546875" style="1" customWidth="1"/>
    <col min="9752" max="9752" width="16.88671875" style="1" customWidth="1"/>
    <col min="9753" max="9753" width="16.33203125" style="1" customWidth="1"/>
    <col min="9754" max="9984" width="10.33203125" style="1"/>
    <col min="9985" max="9985" width="4.44140625" style="1" customWidth="1"/>
    <col min="9986" max="9986" width="21.6640625" style="1" customWidth="1"/>
    <col min="9987" max="9987" width="15" style="1" customWidth="1"/>
    <col min="9988" max="9988" width="15.44140625" style="1" customWidth="1"/>
    <col min="9989" max="9989" width="11.5546875" style="1" customWidth="1"/>
    <col min="9990" max="9990" width="7.44140625" style="1" customWidth="1"/>
    <col min="9991" max="9991" width="14.109375" style="1" customWidth="1"/>
    <col min="9992" max="9992" width="10.6640625" style="1" customWidth="1"/>
    <col min="9993" max="9993" width="13.44140625" style="1" customWidth="1"/>
    <col min="9994" max="9994" width="11.44140625" style="1" customWidth="1"/>
    <col min="9995" max="9995" width="15" style="1" customWidth="1"/>
    <col min="9996" max="9996" width="14.5546875" style="1" customWidth="1"/>
    <col min="9997" max="9997" width="10.33203125" style="1"/>
    <col min="9998" max="9998" width="7.44140625" style="1" customWidth="1"/>
    <col min="9999" max="9999" width="12.88671875" style="1" customWidth="1"/>
    <col min="10000" max="10000" width="11.109375" style="1" customWidth="1"/>
    <col min="10001" max="10001" width="14" style="1" customWidth="1"/>
    <col min="10002" max="10002" width="33" style="1" customWidth="1"/>
    <col min="10003" max="10003" width="6.6640625" style="1" customWidth="1"/>
    <col min="10004" max="10004" width="19" style="1" customWidth="1"/>
    <col min="10005" max="10005" width="19.109375" style="1" customWidth="1"/>
    <col min="10006" max="10006" width="21.33203125" style="1" customWidth="1"/>
    <col min="10007" max="10007" width="32.5546875" style="1" customWidth="1"/>
    <col min="10008" max="10008" width="16.88671875" style="1" customWidth="1"/>
    <col min="10009" max="10009" width="16.33203125" style="1" customWidth="1"/>
    <col min="10010" max="10240" width="10.33203125" style="1"/>
    <col min="10241" max="10241" width="4.44140625" style="1" customWidth="1"/>
    <col min="10242" max="10242" width="21.6640625" style="1" customWidth="1"/>
    <col min="10243" max="10243" width="15" style="1" customWidth="1"/>
    <col min="10244" max="10244" width="15.44140625" style="1" customWidth="1"/>
    <col min="10245" max="10245" width="11.5546875" style="1" customWidth="1"/>
    <col min="10246" max="10246" width="7.44140625" style="1" customWidth="1"/>
    <col min="10247" max="10247" width="14.109375" style="1" customWidth="1"/>
    <col min="10248" max="10248" width="10.6640625" style="1" customWidth="1"/>
    <col min="10249" max="10249" width="13.44140625" style="1" customWidth="1"/>
    <col min="10250" max="10250" width="11.44140625" style="1" customWidth="1"/>
    <col min="10251" max="10251" width="15" style="1" customWidth="1"/>
    <col min="10252" max="10252" width="14.5546875" style="1" customWidth="1"/>
    <col min="10253" max="10253" width="10.33203125" style="1"/>
    <col min="10254" max="10254" width="7.44140625" style="1" customWidth="1"/>
    <col min="10255" max="10255" width="12.88671875" style="1" customWidth="1"/>
    <col min="10256" max="10256" width="11.109375" style="1" customWidth="1"/>
    <col min="10257" max="10257" width="14" style="1" customWidth="1"/>
    <col min="10258" max="10258" width="33" style="1" customWidth="1"/>
    <col min="10259" max="10259" width="6.6640625" style="1" customWidth="1"/>
    <col min="10260" max="10260" width="19" style="1" customWidth="1"/>
    <col min="10261" max="10261" width="19.109375" style="1" customWidth="1"/>
    <col min="10262" max="10262" width="21.33203125" style="1" customWidth="1"/>
    <col min="10263" max="10263" width="32.5546875" style="1" customWidth="1"/>
    <col min="10264" max="10264" width="16.88671875" style="1" customWidth="1"/>
    <col min="10265" max="10265" width="16.33203125" style="1" customWidth="1"/>
    <col min="10266" max="10496" width="10.33203125" style="1"/>
    <col min="10497" max="10497" width="4.44140625" style="1" customWidth="1"/>
    <col min="10498" max="10498" width="21.6640625" style="1" customWidth="1"/>
    <col min="10499" max="10499" width="15" style="1" customWidth="1"/>
    <col min="10500" max="10500" width="15.44140625" style="1" customWidth="1"/>
    <col min="10501" max="10501" width="11.5546875" style="1" customWidth="1"/>
    <col min="10502" max="10502" width="7.44140625" style="1" customWidth="1"/>
    <col min="10503" max="10503" width="14.109375" style="1" customWidth="1"/>
    <col min="10504" max="10504" width="10.6640625" style="1" customWidth="1"/>
    <col min="10505" max="10505" width="13.44140625" style="1" customWidth="1"/>
    <col min="10506" max="10506" width="11.44140625" style="1" customWidth="1"/>
    <col min="10507" max="10507" width="15" style="1" customWidth="1"/>
    <col min="10508" max="10508" width="14.5546875" style="1" customWidth="1"/>
    <col min="10509" max="10509" width="10.33203125" style="1"/>
    <col min="10510" max="10510" width="7.44140625" style="1" customWidth="1"/>
    <col min="10511" max="10511" width="12.88671875" style="1" customWidth="1"/>
    <col min="10512" max="10512" width="11.109375" style="1" customWidth="1"/>
    <col min="10513" max="10513" width="14" style="1" customWidth="1"/>
    <col min="10514" max="10514" width="33" style="1" customWidth="1"/>
    <col min="10515" max="10515" width="6.6640625" style="1" customWidth="1"/>
    <col min="10516" max="10516" width="19" style="1" customWidth="1"/>
    <col min="10517" max="10517" width="19.109375" style="1" customWidth="1"/>
    <col min="10518" max="10518" width="21.33203125" style="1" customWidth="1"/>
    <col min="10519" max="10519" width="32.5546875" style="1" customWidth="1"/>
    <col min="10520" max="10520" width="16.88671875" style="1" customWidth="1"/>
    <col min="10521" max="10521" width="16.33203125" style="1" customWidth="1"/>
    <col min="10522" max="10752" width="10.33203125" style="1"/>
    <col min="10753" max="10753" width="4.44140625" style="1" customWidth="1"/>
    <col min="10754" max="10754" width="21.6640625" style="1" customWidth="1"/>
    <col min="10755" max="10755" width="15" style="1" customWidth="1"/>
    <col min="10756" max="10756" width="15.44140625" style="1" customWidth="1"/>
    <col min="10757" max="10757" width="11.5546875" style="1" customWidth="1"/>
    <col min="10758" max="10758" width="7.44140625" style="1" customWidth="1"/>
    <col min="10759" max="10759" width="14.109375" style="1" customWidth="1"/>
    <col min="10760" max="10760" width="10.6640625" style="1" customWidth="1"/>
    <col min="10761" max="10761" width="13.44140625" style="1" customWidth="1"/>
    <col min="10762" max="10762" width="11.44140625" style="1" customWidth="1"/>
    <col min="10763" max="10763" width="15" style="1" customWidth="1"/>
    <col min="10764" max="10764" width="14.5546875" style="1" customWidth="1"/>
    <col min="10765" max="10765" width="10.33203125" style="1"/>
    <col min="10766" max="10766" width="7.44140625" style="1" customWidth="1"/>
    <col min="10767" max="10767" width="12.88671875" style="1" customWidth="1"/>
    <col min="10768" max="10768" width="11.109375" style="1" customWidth="1"/>
    <col min="10769" max="10769" width="14" style="1" customWidth="1"/>
    <col min="10770" max="10770" width="33" style="1" customWidth="1"/>
    <col min="10771" max="10771" width="6.6640625" style="1" customWidth="1"/>
    <col min="10772" max="10772" width="19" style="1" customWidth="1"/>
    <col min="10773" max="10773" width="19.109375" style="1" customWidth="1"/>
    <col min="10774" max="10774" width="21.33203125" style="1" customWidth="1"/>
    <col min="10775" max="10775" width="32.5546875" style="1" customWidth="1"/>
    <col min="10776" max="10776" width="16.88671875" style="1" customWidth="1"/>
    <col min="10777" max="10777" width="16.33203125" style="1" customWidth="1"/>
    <col min="10778" max="11008" width="10.33203125" style="1"/>
    <col min="11009" max="11009" width="4.44140625" style="1" customWidth="1"/>
    <col min="11010" max="11010" width="21.6640625" style="1" customWidth="1"/>
    <col min="11011" max="11011" width="15" style="1" customWidth="1"/>
    <col min="11012" max="11012" width="15.44140625" style="1" customWidth="1"/>
    <col min="11013" max="11013" width="11.5546875" style="1" customWidth="1"/>
    <col min="11014" max="11014" width="7.44140625" style="1" customWidth="1"/>
    <col min="11015" max="11015" width="14.109375" style="1" customWidth="1"/>
    <col min="11016" max="11016" width="10.6640625" style="1" customWidth="1"/>
    <col min="11017" max="11017" width="13.44140625" style="1" customWidth="1"/>
    <col min="11018" max="11018" width="11.44140625" style="1" customWidth="1"/>
    <col min="11019" max="11019" width="15" style="1" customWidth="1"/>
    <col min="11020" max="11020" width="14.5546875" style="1" customWidth="1"/>
    <col min="11021" max="11021" width="10.33203125" style="1"/>
    <col min="11022" max="11022" width="7.44140625" style="1" customWidth="1"/>
    <col min="11023" max="11023" width="12.88671875" style="1" customWidth="1"/>
    <col min="11024" max="11024" width="11.109375" style="1" customWidth="1"/>
    <col min="11025" max="11025" width="14" style="1" customWidth="1"/>
    <col min="11026" max="11026" width="33" style="1" customWidth="1"/>
    <col min="11027" max="11027" width="6.6640625" style="1" customWidth="1"/>
    <col min="11028" max="11028" width="19" style="1" customWidth="1"/>
    <col min="11029" max="11029" width="19.109375" style="1" customWidth="1"/>
    <col min="11030" max="11030" width="21.33203125" style="1" customWidth="1"/>
    <col min="11031" max="11031" width="32.5546875" style="1" customWidth="1"/>
    <col min="11032" max="11032" width="16.88671875" style="1" customWidth="1"/>
    <col min="11033" max="11033" width="16.33203125" style="1" customWidth="1"/>
    <col min="11034" max="11264" width="10.33203125" style="1"/>
    <col min="11265" max="11265" width="4.44140625" style="1" customWidth="1"/>
    <col min="11266" max="11266" width="21.6640625" style="1" customWidth="1"/>
    <col min="11267" max="11267" width="15" style="1" customWidth="1"/>
    <col min="11268" max="11268" width="15.44140625" style="1" customWidth="1"/>
    <col min="11269" max="11269" width="11.5546875" style="1" customWidth="1"/>
    <col min="11270" max="11270" width="7.44140625" style="1" customWidth="1"/>
    <col min="11271" max="11271" width="14.109375" style="1" customWidth="1"/>
    <col min="11272" max="11272" width="10.6640625" style="1" customWidth="1"/>
    <col min="11273" max="11273" width="13.44140625" style="1" customWidth="1"/>
    <col min="11274" max="11274" width="11.44140625" style="1" customWidth="1"/>
    <col min="11275" max="11275" width="15" style="1" customWidth="1"/>
    <col min="11276" max="11276" width="14.5546875" style="1" customWidth="1"/>
    <col min="11277" max="11277" width="10.33203125" style="1"/>
    <col min="11278" max="11278" width="7.44140625" style="1" customWidth="1"/>
    <col min="11279" max="11279" width="12.88671875" style="1" customWidth="1"/>
    <col min="11280" max="11280" width="11.109375" style="1" customWidth="1"/>
    <col min="11281" max="11281" width="14" style="1" customWidth="1"/>
    <col min="11282" max="11282" width="33" style="1" customWidth="1"/>
    <col min="11283" max="11283" width="6.6640625" style="1" customWidth="1"/>
    <col min="11284" max="11284" width="19" style="1" customWidth="1"/>
    <col min="11285" max="11285" width="19.109375" style="1" customWidth="1"/>
    <col min="11286" max="11286" width="21.33203125" style="1" customWidth="1"/>
    <col min="11287" max="11287" width="32.5546875" style="1" customWidth="1"/>
    <col min="11288" max="11288" width="16.88671875" style="1" customWidth="1"/>
    <col min="11289" max="11289" width="16.33203125" style="1" customWidth="1"/>
    <col min="11290" max="11520" width="10.33203125" style="1"/>
    <col min="11521" max="11521" width="4.44140625" style="1" customWidth="1"/>
    <col min="11522" max="11522" width="21.6640625" style="1" customWidth="1"/>
    <col min="11523" max="11523" width="15" style="1" customWidth="1"/>
    <col min="11524" max="11524" width="15.44140625" style="1" customWidth="1"/>
    <col min="11525" max="11525" width="11.5546875" style="1" customWidth="1"/>
    <col min="11526" max="11526" width="7.44140625" style="1" customWidth="1"/>
    <col min="11527" max="11527" width="14.109375" style="1" customWidth="1"/>
    <col min="11528" max="11528" width="10.6640625" style="1" customWidth="1"/>
    <col min="11529" max="11529" width="13.44140625" style="1" customWidth="1"/>
    <col min="11530" max="11530" width="11.44140625" style="1" customWidth="1"/>
    <col min="11531" max="11531" width="15" style="1" customWidth="1"/>
    <col min="11532" max="11532" width="14.5546875" style="1" customWidth="1"/>
    <col min="11533" max="11533" width="10.33203125" style="1"/>
    <col min="11534" max="11534" width="7.44140625" style="1" customWidth="1"/>
    <col min="11535" max="11535" width="12.88671875" style="1" customWidth="1"/>
    <col min="11536" max="11536" width="11.109375" style="1" customWidth="1"/>
    <col min="11537" max="11537" width="14" style="1" customWidth="1"/>
    <col min="11538" max="11538" width="33" style="1" customWidth="1"/>
    <col min="11539" max="11539" width="6.6640625" style="1" customWidth="1"/>
    <col min="11540" max="11540" width="19" style="1" customWidth="1"/>
    <col min="11541" max="11541" width="19.109375" style="1" customWidth="1"/>
    <col min="11542" max="11542" width="21.33203125" style="1" customWidth="1"/>
    <col min="11543" max="11543" width="32.5546875" style="1" customWidth="1"/>
    <col min="11544" max="11544" width="16.88671875" style="1" customWidth="1"/>
    <col min="11545" max="11545" width="16.33203125" style="1" customWidth="1"/>
    <col min="11546" max="11776" width="10.33203125" style="1"/>
    <col min="11777" max="11777" width="4.44140625" style="1" customWidth="1"/>
    <col min="11778" max="11778" width="21.6640625" style="1" customWidth="1"/>
    <col min="11779" max="11779" width="15" style="1" customWidth="1"/>
    <col min="11780" max="11780" width="15.44140625" style="1" customWidth="1"/>
    <col min="11781" max="11781" width="11.5546875" style="1" customWidth="1"/>
    <col min="11782" max="11782" width="7.44140625" style="1" customWidth="1"/>
    <col min="11783" max="11783" width="14.109375" style="1" customWidth="1"/>
    <col min="11784" max="11784" width="10.6640625" style="1" customWidth="1"/>
    <col min="11785" max="11785" width="13.44140625" style="1" customWidth="1"/>
    <col min="11786" max="11786" width="11.44140625" style="1" customWidth="1"/>
    <col min="11787" max="11787" width="15" style="1" customWidth="1"/>
    <col min="11788" max="11788" width="14.5546875" style="1" customWidth="1"/>
    <col min="11789" max="11789" width="10.33203125" style="1"/>
    <col min="11790" max="11790" width="7.44140625" style="1" customWidth="1"/>
    <col min="11791" max="11791" width="12.88671875" style="1" customWidth="1"/>
    <col min="11792" max="11792" width="11.109375" style="1" customWidth="1"/>
    <col min="11793" max="11793" width="14" style="1" customWidth="1"/>
    <col min="11794" max="11794" width="33" style="1" customWidth="1"/>
    <col min="11795" max="11795" width="6.6640625" style="1" customWidth="1"/>
    <col min="11796" max="11796" width="19" style="1" customWidth="1"/>
    <col min="11797" max="11797" width="19.109375" style="1" customWidth="1"/>
    <col min="11798" max="11798" width="21.33203125" style="1" customWidth="1"/>
    <col min="11799" max="11799" width="32.5546875" style="1" customWidth="1"/>
    <col min="11800" max="11800" width="16.88671875" style="1" customWidth="1"/>
    <col min="11801" max="11801" width="16.33203125" style="1" customWidth="1"/>
    <col min="11802" max="12032" width="10.33203125" style="1"/>
    <col min="12033" max="12033" width="4.44140625" style="1" customWidth="1"/>
    <col min="12034" max="12034" width="21.6640625" style="1" customWidth="1"/>
    <col min="12035" max="12035" width="15" style="1" customWidth="1"/>
    <col min="12036" max="12036" width="15.44140625" style="1" customWidth="1"/>
    <col min="12037" max="12037" width="11.5546875" style="1" customWidth="1"/>
    <col min="12038" max="12038" width="7.44140625" style="1" customWidth="1"/>
    <col min="12039" max="12039" width="14.109375" style="1" customWidth="1"/>
    <col min="12040" max="12040" width="10.6640625" style="1" customWidth="1"/>
    <col min="12041" max="12041" width="13.44140625" style="1" customWidth="1"/>
    <col min="12042" max="12042" width="11.44140625" style="1" customWidth="1"/>
    <col min="12043" max="12043" width="15" style="1" customWidth="1"/>
    <col min="12044" max="12044" width="14.5546875" style="1" customWidth="1"/>
    <col min="12045" max="12045" width="10.33203125" style="1"/>
    <col min="12046" max="12046" width="7.44140625" style="1" customWidth="1"/>
    <col min="12047" max="12047" width="12.88671875" style="1" customWidth="1"/>
    <col min="12048" max="12048" width="11.109375" style="1" customWidth="1"/>
    <col min="12049" max="12049" width="14" style="1" customWidth="1"/>
    <col min="12050" max="12050" width="33" style="1" customWidth="1"/>
    <col min="12051" max="12051" width="6.6640625" style="1" customWidth="1"/>
    <col min="12052" max="12052" width="19" style="1" customWidth="1"/>
    <col min="12053" max="12053" width="19.109375" style="1" customWidth="1"/>
    <col min="12054" max="12054" width="21.33203125" style="1" customWidth="1"/>
    <col min="12055" max="12055" width="32.5546875" style="1" customWidth="1"/>
    <col min="12056" max="12056" width="16.88671875" style="1" customWidth="1"/>
    <col min="12057" max="12057" width="16.33203125" style="1" customWidth="1"/>
    <col min="12058" max="12288" width="10.33203125" style="1"/>
    <col min="12289" max="12289" width="4.44140625" style="1" customWidth="1"/>
    <col min="12290" max="12290" width="21.6640625" style="1" customWidth="1"/>
    <col min="12291" max="12291" width="15" style="1" customWidth="1"/>
    <col min="12292" max="12292" width="15.44140625" style="1" customWidth="1"/>
    <col min="12293" max="12293" width="11.5546875" style="1" customWidth="1"/>
    <col min="12294" max="12294" width="7.44140625" style="1" customWidth="1"/>
    <col min="12295" max="12295" width="14.109375" style="1" customWidth="1"/>
    <col min="12296" max="12296" width="10.6640625" style="1" customWidth="1"/>
    <col min="12297" max="12297" width="13.44140625" style="1" customWidth="1"/>
    <col min="12298" max="12298" width="11.44140625" style="1" customWidth="1"/>
    <col min="12299" max="12299" width="15" style="1" customWidth="1"/>
    <col min="12300" max="12300" width="14.5546875" style="1" customWidth="1"/>
    <col min="12301" max="12301" width="10.33203125" style="1"/>
    <col min="12302" max="12302" width="7.44140625" style="1" customWidth="1"/>
    <col min="12303" max="12303" width="12.88671875" style="1" customWidth="1"/>
    <col min="12304" max="12304" width="11.109375" style="1" customWidth="1"/>
    <col min="12305" max="12305" width="14" style="1" customWidth="1"/>
    <col min="12306" max="12306" width="33" style="1" customWidth="1"/>
    <col min="12307" max="12307" width="6.6640625" style="1" customWidth="1"/>
    <col min="12308" max="12308" width="19" style="1" customWidth="1"/>
    <col min="12309" max="12309" width="19.109375" style="1" customWidth="1"/>
    <col min="12310" max="12310" width="21.33203125" style="1" customWidth="1"/>
    <col min="12311" max="12311" width="32.5546875" style="1" customWidth="1"/>
    <col min="12312" max="12312" width="16.88671875" style="1" customWidth="1"/>
    <col min="12313" max="12313" width="16.33203125" style="1" customWidth="1"/>
    <col min="12314" max="12544" width="10.33203125" style="1"/>
    <col min="12545" max="12545" width="4.44140625" style="1" customWidth="1"/>
    <col min="12546" max="12546" width="21.6640625" style="1" customWidth="1"/>
    <col min="12547" max="12547" width="15" style="1" customWidth="1"/>
    <col min="12548" max="12548" width="15.44140625" style="1" customWidth="1"/>
    <col min="12549" max="12549" width="11.5546875" style="1" customWidth="1"/>
    <col min="12550" max="12550" width="7.44140625" style="1" customWidth="1"/>
    <col min="12551" max="12551" width="14.109375" style="1" customWidth="1"/>
    <col min="12552" max="12552" width="10.6640625" style="1" customWidth="1"/>
    <col min="12553" max="12553" width="13.44140625" style="1" customWidth="1"/>
    <col min="12554" max="12554" width="11.44140625" style="1" customWidth="1"/>
    <col min="12555" max="12555" width="15" style="1" customWidth="1"/>
    <col min="12556" max="12556" width="14.5546875" style="1" customWidth="1"/>
    <col min="12557" max="12557" width="10.33203125" style="1"/>
    <col min="12558" max="12558" width="7.44140625" style="1" customWidth="1"/>
    <col min="12559" max="12559" width="12.88671875" style="1" customWidth="1"/>
    <col min="12560" max="12560" width="11.109375" style="1" customWidth="1"/>
    <col min="12561" max="12561" width="14" style="1" customWidth="1"/>
    <col min="12562" max="12562" width="33" style="1" customWidth="1"/>
    <col min="12563" max="12563" width="6.6640625" style="1" customWidth="1"/>
    <col min="12564" max="12564" width="19" style="1" customWidth="1"/>
    <col min="12565" max="12565" width="19.109375" style="1" customWidth="1"/>
    <col min="12566" max="12566" width="21.33203125" style="1" customWidth="1"/>
    <col min="12567" max="12567" width="32.5546875" style="1" customWidth="1"/>
    <col min="12568" max="12568" width="16.88671875" style="1" customWidth="1"/>
    <col min="12569" max="12569" width="16.33203125" style="1" customWidth="1"/>
    <col min="12570" max="12800" width="10.33203125" style="1"/>
    <col min="12801" max="12801" width="4.44140625" style="1" customWidth="1"/>
    <col min="12802" max="12802" width="21.6640625" style="1" customWidth="1"/>
    <col min="12803" max="12803" width="15" style="1" customWidth="1"/>
    <col min="12804" max="12804" width="15.44140625" style="1" customWidth="1"/>
    <col min="12805" max="12805" width="11.5546875" style="1" customWidth="1"/>
    <col min="12806" max="12806" width="7.44140625" style="1" customWidth="1"/>
    <col min="12807" max="12807" width="14.109375" style="1" customWidth="1"/>
    <col min="12808" max="12808" width="10.6640625" style="1" customWidth="1"/>
    <col min="12809" max="12809" width="13.44140625" style="1" customWidth="1"/>
    <col min="12810" max="12810" width="11.44140625" style="1" customWidth="1"/>
    <col min="12811" max="12811" width="15" style="1" customWidth="1"/>
    <col min="12812" max="12812" width="14.5546875" style="1" customWidth="1"/>
    <col min="12813" max="12813" width="10.33203125" style="1"/>
    <col min="12814" max="12814" width="7.44140625" style="1" customWidth="1"/>
    <col min="12815" max="12815" width="12.88671875" style="1" customWidth="1"/>
    <col min="12816" max="12816" width="11.109375" style="1" customWidth="1"/>
    <col min="12817" max="12817" width="14" style="1" customWidth="1"/>
    <col min="12818" max="12818" width="33" style="1" customWidth="1"/>
    <col min="12819" max="12819" width="6.6640625" style="1" customWidth="1"/>
    <col min="12820" max="12820" width="19" style="1" customWidth="1"/>
    <col min="12821" max="12821" width="19.109375" style="1" customWidth="1"/>
    <col min="12822" max="12822" width="21.33203125" style="1" customWidth="1"/>
    <col min="12823" max="12823" width="32.5546875" style="1" customWidth="1"/>
    <col min="12824" max="12824" width="16.88671875" style="1" customWidth="1"/>
    <col min="12825" max="12825" width="16.33203125" style="1" customWidth="1"/>
    <col min="12826" max="13056" width="10.33203125" style="1"/>
    <col min="13057" max="13057" width="4.44140625" style="1" customWidth="1"/>
    <col min="13058" max="13058" width="21.6640625" style="1" customWidth="1"/>
    <col min="13059" max="13059" width="15" style="1" customWidth="1"/>
    <col min="13060" max="13060" width="15.44140625" style="1" customWidth="1"/>
    <col min="13061" max="13061" width="11.5546875" style="1" customWidth="1"/>
    <col min="13062" max="13062" width="7.44140625" style="1" customWidth="1"/>
    <col min="13063" max="13063" width="14.109375" style="1" customWidth="1"/>
    <col min="13064" max="13064" width="10.6640625" style="1" customWidth="1"/>
    <col min="13065" max="13065" width="13.44140625" style="1" customWidth="1"/>
    <col min="13066" max="13066" width="11.44140625" style="1" customWidth="1"/>
    <col min="13067" max="13067" width="15" style="1" customWidth="1"/>
    <col min="13068" max="13068" width="14.5546875" style="1" customWidth="1"/>
    <col min="13069" max="13069" width="10.33203125" style="1"/>
    <col min="13070" max="13070" width="7.44140625" style="1" customWidth="1"/>
    <col min="13071" max="13071" width="12.88671875" style="1" customWidth="1"/>
    <col min="13072" max="13072" width="11.109375" style="1" customWidth="1"/>
    <col min="13073" max="13073" width="14" style="1" customWidth="1"/>
    <col min="13074" max="13074" width="33" style="1" customWidth="1"/>
    <col min="13075" max="13075" width="6.6640625" style="1" customWidth="1"/>
    <col min="13076" max="13076" width="19" style="1" customWidth="1"/>
    <col min="13077" max="13077" width="19.109375" style="1" customWidth="1"/>
    <col min="13078" max="13078" width="21.33203125" style="1" customWidth="1"/>
    <col min="13079" max="13079" width="32.5546875" style="1" customWidth="1"/>
    <col min="13080" max="13080" width="16.88671875" style="1" customWidth="1"/>
    <col min="13081" max="13081" width="16.33203125" style="1" customWidth="1"/>
    <col min="13082" max="13312" width="10.33203125" style="1"/>
    <col min="13313" max="13313" width="4.44140625" style="1" customWidth="1"/>
    <col min="13314" max="13314" width="21.6640625" style="1" customWidth="1"/>
    <col min="13315" max="13315" width="15" style="1" customWidth="1"/>
    <col min="13316" max="13316" width="15.44140625" style="1" customWidth="1"/>
    <col min="13317" max="13317" width="11.5546875" style="1" customWidth="1"/>
    <col min="13318" max="13318" width="7.44140625" style="1" customWidth="1"/>
    <col min="13319" max="13319" width="14.109375" style="1" customWidth="1"/>
    <col min="13320" max="13320" width="10.6640625" style="1" customWidth="1"/>
    <col min="13321" max="13321" width="13.44140625" style="1" customWidth="1"/>
    <col min="13322" max="13322" width="11.44140625" style="1" customWidth="1"/>
    <col min="13323" max="13323" width="15" style="1" customWidth="1"/>
    <col min="13324" max="13324" width="14.5546875" style="1" customWidth="1"/>
    <col min="13325" max="13325" width="10.33203125" style="1"/>
    <col min="13326" max="13326" width="7.44140625" style="1" customWidth="1"/>
    <col min="13327" max="13327" width="12.88671875" style="1" customWidth="1"/>
    <col min="13328" max="13328" width="11.109375" style="1" customWidth="1"/>
    <col min="13329" max="13329" width="14" style="1" customWidth="1"/>
    <col min="13330" max="13330" width="33" style="1" customWidth="1"/>
    <col min="13331" max="13331" width="6.6640625" style="1" customWidth="1"/>
    <col min="13332" max="13332" width="19" style="1" customWidth="1"/>
    <col min="13333" max="13333" width="19.109375" style="1" customWidth="1"/>
    <col min="13334" max="13334" width="21.33203125" style="1" customWidth="1"/>
    <col min="13335" max="13335" width="32.5546875" style="1" customWidth="1"/>
    <col min="13336" max="13336" width="16.88671875" style="1" customWidth="1"/>
    <col min="13337" max="13337" width="16.33203125" style="1" customWidth="1"/>
    <col min="13338" max="13568" width="10.33203125" style="1"/>
    <col min="13569" max="13569" width="4.44140625" style="1" customWidth="1"/>
    <col min="13570" max="13570" width="21.6640625" style="1" customWidth="1"/>
    <col min="13571" max="13571" width="15" style="1" customWidth="1"/>
    <col min="13572" max="13572" width="15.44140625" style="1" customWidth="1"/>
    <col min="13573" max="13573" width="11.5546875" style="1" customWidth="1"/>
    <col min="13574" max="13574" width="7.44140625" style="1" customWidth="1"/>
    <col min="13575" max="13575" width="14.109375" style="1" customWidth="1"/>
    <col min="13576" max="13576" width="10.6640625" style="1" customWidth="1"/>
    <col min="13577" max="13577" width="13.44140625" style="1" customWidth="1"/>
    <col min="13578" max="13578" width="11.44140625" style="1" customWidth="1"/>
    <col min="13579" max="13579" width="15" style="1" customWidth="1"/>
    <col min="13580" max="13580" width="14.5546875" style="1" customWidth="1"/>
    <col min="13581" max="13581" width="10.33203125" style="1"/>
    <col min="13582" max="13582" width="7.44140625" style="1" customWidth="1"/>
    <col min="13583" max="13583" width="12.88671875" style="1" customWidth="1"/>
    <col min="13584" max="13584" width="11.109375" style="1" customWidth="1"/>
    <col min="13585" max="13585" width="14" style="1" customWidth="1"/>
    <col min="13586" max="13586" width="33" style="1" customWidth="1"/>
    <col min="13587" max="13587" width="6.6640625" style="1" customWidth="1"/>
    <col min="13588" max="13588" width="19" style="1" customWidth="1"/>
    <col min="13589" max="13589" width="19.109375" style="1" customWidth="1"/>
    <col min="13590" max="13590" width="21.33203125" style="1" customWidth="1"/>
    <col min="13591" max="13591" width="32.5546875" style="1" customWidth="1"/>
    <col min="13592" max="13592" width="16.88671875" style="1" customWidth="1"/>
    <col min="13593" max="13593" width="16.33203125" style="1" customWidth="1"/>
    <col min="13594" max="13824" width="10.33203125" style="1"/>
    <col min="13825" max="13825" width="4.44140625" style="1" customWidth="1"/>
    <col min="13826" max="13826" width="21.6640625" style="1" customWidth="1"/>
    <col min="13827" max="13827" width="15" style="1" customWidth="1"/>
    <col min="13828" max="13828" width="15.44140625" style="1" customWidth="1"/>
    <col min="13829" max="13829" width="11.5546875" style="1" customWidth="1"/>
    <col min="13830" max="13830" width="7.44140625" style="1" customWidth="1"/>
    <col min="13831" max="13831" width="14.109375" style="1" customWidth="1"/>
    <col min="13832" max="13832" width="10.6640625" style="1" customWidth="1"/>
    <col min="13833" max="13833" width="13.44140625" style="1" customWidth="1"/>
    <col min="13834" max="13834" width="11.44140625" style="1" customWidth="1"/>
    <col min="13835" max="13835" width="15" style="1" customWidth="1"/>
    <col min="13836" max="13836" width="14.5546875" style="1" customWidth="1"/>
    <col min="13837" max="13837" width="10.33203125" style="1"/>
    <col min="13838" max="13838" width="7.44140625" style="1" customWidth="1"/>
    <col min="13839" max="13839" width="12.88671875" style="1" customWidth="1"/>
    <col min="13840" max="13840" width="11.109375" style="1" customWidth="1"/>
    <col min="13841" max="13841" width="14" style="1" customWidth="1"/>
    <col min="13842" max="13842" width="33" style="1" customWidth="1"/>
    <col min="13843" max="13843" width="6.6640625" style="1" customWidth="1"/>
    <col min="13844" max="13844" width="19" style="1" customWidth="1"/>
    <col min="13845" max="13845" width="19.109375" style="1" customWidth="1"/>
    <col min="13846" max="13846" width="21.33203125" style="1" customWidth="1"/>
    <col min="13847" max="13847" width="32.5546875" style="1" customWidth="1"/>
    <col min="13848" max="13848" width="16.88671875" style="1" customWidth="1"/>
    <col min="13849" max="13849" width="16.33203125" style="1" customWidth="1"/>
    <col min="13850" max="14080" width="10.33203125" style="1"/>
    <col min="14081" max="14081" width="4.44140625" style="1" customWidth="1"/>
    <col min="14082" max="14082" width="21.6640625" style="1" customWidth="1"/>
    <col min="14083" max="14083" width="15" style="1" customWidth="1"/>
    <col min="14084" max="14084" width="15.44140625" style="1" customWidth="1"/>
    <col min="14085" max="14085" width="11.5546875" style="1" customWidth="1"/>
    <col min="14086" max="14086" width="7.44140625" style="1" customWidth="1"/>
    <col min="14087" max="14087" width="14.109375" style="1" customWidth="1"/>
    <col min="14088" max="14088" width="10.6640625" style="1" customWidth="1"/>
    <col min="14089" max="14089" width="13.44140625" style="1" customWidth="1"/>
    <col min="14090" max="14090" width="11.44140625" style="1" customWidth="1"/>
    <col min="14091" max="14091" width="15" style="1" customWidth="1"/>
    <col min="14092" max="14092" width="14.5546875" style="1" customWidth="1"/>
    <col min="14093" max="14093" width="10.33203125" style="1"/>
    <col min="14094" max="14094" width="7.44140625" style="1" customWidth="1"/>
    <col min="14095" max="14095" width="12.88671875" style="1" customWidth="1"/>
    <col min="14096" max="14096" width="11.109375" style="1" customWidth="1"/>
    <col min="14097" max="14097" width="14" style="1" customWidth="1"/>
    <col min="14098" max="14098" width="33" style="1" customWidth="1"/>
    <col min="14099" max="14099" width="6.6640625" style="1" customWidth="1"/>
    <col min="14100" max="14100" width="19" style="1" customWidth="1"/>
    <col min="14101" max="14101" width="19.109375" style="1" customWidth="1"/>
    <col min="14102" max="14102" width="21.33203125" style="1" customWidth="1"/>
    <col min="14103" max="14103" width="32.5546875" style="1" customWidth="1"/>
    <col min="14104" max="14104" width="16.88671875" style="1" customWidth="1"/>
    <col min="14105" max="14105" width="16.33203125" style="1" customWidth="1"/>
    <col min="14106" max="14336" width="10.33203125" style="1"/>
    <col min="14337" max="14337" width="4.44140625" style="1" customWidth="1"/>
    <col min="14338" max="14338" width="21.6640625" style="1" customWidth="1"/>
    <col min="14339" max="14339" width="15" style="1" customWidth="1"/>
    <col min="14340" max="14340" width="15.44140625" style="1" customWidth="1"/>
    <col min="14341" max="14341" width="11.5546875" style="1" customWidth="1"/>
    <col min="14342" max="14342" width="7.44140625" style="1" customWidth="1"/>
    <col min="14343" max="14343" width="14.109375" style="1" customWidth="1"/>
    <col min="14344" max="14344" width="10.6640625" style="1" customWidth="1"/>
    <col min="14345" max="14345" width="13.44140625" style="1" customWidth="1"/>
    <col min="14346" max="14346" width="11.44140625" style="1" customWidth="1"/>
    <col min="14347" max="14347" width="15" style="1" customWidth="1"/>
    <col min="14348" max="14348" width="14.5546875" style="1" customWidth="1"/>
    <col min="14349" max="14349" width="10.33203125" style="1"/>
    <col min="14350" max="14350" width="7.44140625" style="1" customWidth="1"/>
    <col min="14351" max="14351" width="12.88671875" style="1" customWidth="1"/>
    <col min="14352" max="14352" width="11.109375" style="1" customWidth="1"/>
    <col min="14353" max="14353" width="14" style="1" customWidth="1"/>
    <col min="14354" max="14354" width="33" style="1" customWidth="1"/>
    <col min="14355" max="14355" width="6.6640625" style="1" customWidth="1"/>
    <col min="14356" max="14356" width="19" style="1" customWidth="1"/>
    <col min="14357" max="14357" width="19.109375" style="1" customWidth="1"/>
    <col min="14358" max="14358" width="21.33203125" style="1" customWidth="1"/>
    <col min="14359" max="14359" width="32.5546875" style="1" customWidth="1"/>
    <col min="14360" max="14360" width="16.88671875" style="1" customWidth="1"/>
    <col min="14361" max="14361" width="16.33203125" style="1" customWidth="1"/>
    <col min="14362" max="14592" width="10.33203125" style="1"/>
    <col min="14593" max="14593" width="4.44140625" style="1" customWidth="1"/>
    <col min="14594" max="14594" width="21.6640625" style="1" customWidth="1"/>
    <col min="14595" max="14595" width="15" style="1" customWidth="1"/>
    <col min="14596" max="14596" width="15.44140625" style="1" customWidth="1"/>
    <col min="14597" max="14597" width="11.5546875" style="1" customWidth="1"/>
    <col min="14598" max="14598" width="7.44140625" style="1" customWidth="1"/>
    <col min="14599" max="14599" width="14.109375" style="1" customWidth="1"/>
    <col min="14600" max="14600" width="10.6640625" style="1" customWidth="1"/>
    <col min="14601" max="14601" width="13.44140625" style="1" customWidth="1"/>
    <col min="14602" max="14602" width="11.44140625" style="1" customWidth="1"/>
    <col min="14603" max="14603" width="15" style="1" customWidth="1"/>
    <col min="14604" max="14604" width="14.5546875" style="1" customWidth="1"/>
    <col min="14605" max="14605" width="10.33203125" style="1"/>
    <col min="14606" max="14606" width="7.44140625" style="1" customWidth="1"/>
    <col min="14607" max="14607" width="12.88671875" style="1" customWidth="1"/>
    <col min="14608" max="14608" width="11.109375" style="1" customWidth="1"/>
    <col min="14609" max="14609" width="14" style="1" customWidth="1"/>
    <col min="14610" max="14610" width="33" style="1" customWidth="1"/>
    <col min="14611" max="14611" width="6.6640625" style="1" customWidth="1"/>
    <col min="14612" max="14612" width="19" style="1" customWidth="1"/>
    <col min="14613" max="14613" width="19.109375" style="1" customWidth="1"/>
    <col min="14614" max="14614" width="21.33203125" style="1" customWidth="1"/>
    <col min="14615" max="14615" width="32.5546875" style="1" customWidth="1"/>
    <col min="14616" max="14616" width="16.88671875" style="1" customWidth="1"/>
    <col min="14617" max="14617" width="16.33203125" style="1" customWidth="1"/>
    <col min="14618" max="14848" width="10.33203125" style="1"/>
    <col min="14849" max="14849" width="4.44140625" style="1" customWidth="1"/>
    <col min="14850" max="14850" width="21.6640625" style="1" customWidth="1"/>
    <col min="14851" max="14851" width="15" style="1" customWidth="1"/>
    <col min="14852" max="14852" width="15.44140625" style="1" customWidth="1"/>
    <col min="14853" max="14853" width="11.5546875" style="1" customWidth="1"/>
    <col min="14854" max="14854" width="7.44140625" style="1" customWidth="1"/>
    <col min="14855" max="14855" width="14.109375" style="1" customWidth="1"/>
    <col min="14856" max="14856" width="10.6640625" style="1" customWidth="1"/>
    <col min="14857" max="14857" width="13.44140625" style="1" customWidth="1"/>
    <col min="14858" max="14858" width="11.44140625" style="1" customWidth="1"/>
    <col min="14859" max="14859" width="15" style="1" customWidth="1"/>
    <col min="14860" max="14860" width="14.5546875" style="1" customWidth="1"/>
    <col min="14861" max="14861" width="10.33203125" style="1"/>
    <col min="14862" max="14862" width="7.44140625" style="1" customWidth="1"/>
    <col min="14863" max="14863" width="12.88671875" style="1" customWidth="1"/>
    <col min="14864" max="14864" width="11.109375" style="1" customWidth="1"/>
    <col min="14865" max="14865" width="14" style="1" customWidth="1"/>
    <col min="14866" max="14866" width="33" style="1" customWidth="1"/>
    <col min="14867" max="14867" width="6.6640625" style="1" customWidth="1"/>
    <col min="14868" max="14868" width="19" style="1" customWidth="1"/>
    <col min="14869" max="14869" width="19.109375" style="1" customWidth="1"/>
    <col min="14870" max="14870" width="21.33203125" style="1" customWidth="1"/>
    <col min="14871" max="14871" width="32.5546875" style="1" customWidth="1"/>
    <col min="14872" max="14872" width="16.88671875" style="1" customWidth="1"/>
    <col min="14873" max="14873" width="16.33203125" style="1" customWidth="1"/>
    <col min="14874" max="15104" width="10.33203125" style="1"/>
    <col min="15105" max="15105" width="4.44140625" style="1" customWidth="1"/>
    <col min="15106" max="15106" width="21.6640625" style="1" customWidth="1"/>
    <col min="15107" max="15107" width="15" style="1" customWidth="1"/>
    <col min="15108" max="15108" width="15.44140625" style="1" customWidth="1"/>
    <col min="15109" max="15109" width="11.5546875" style="1" customWidth="1"/>
    <col min="15110" max="15110" width="7.44140625" style="1" customWidth="1"/>
    <col min="15111" max="15111" width="14.109375" style="1" customWidth="1"/>
    <col min="15112" max="15112" width="10.6640625" style="1" customWidth="1"/>
    <col min="15113" max="15113" width="13.44140625" style="1" customWidth="1"/>
    <col min="15114" max="15114" width="11.44140625" style="1" customWidth="1"/>
    <col min="15115" max="15115" width="15" style="1" customWidth="1"/>
    <col min="15116" max="15116" width="14.5546875" style="1" customWidth="1"/>
    <col min="15117" max="15117" width="10.33203125" style="1"/>
    <col min="15118" max="15118" width="7.44140625" style="1" customWidth="1"/>
    <col min="15119" max="15119" width="12.88671875" style="1" customWidth="1"/>
    <col min="15120" max="15120" width="11.109375" style="1" customWidth="1"/>
    <col min="15121" max="15121" width="14" style="1" customWidth="1"/>
    <col min="15122" max="15122" width="33" style="1" customWidth="1"/>
    <col min="15123" max="15123" width="6.6640625" style="1" customWidth="1"/>
    <col min="15124" max="15124" width="19" style="1" customWidth="1"/>
    <col min="15125" max="15125" width="19.109375" style="1" customWidth="1"/>
    <col min="15126" max="15126" width="21.33203125" style="1" customWidth="1"/>
    <col min="15127" max="15127" width="32.5546875" style="1" customWidth="1"/>
    <col min="15128" max="15128" width="16.88671875" style="1" customWidth="1"/>
    <col min="15129" max="15129" width="16.33203125" style="1" customWidth="1"/>
    <col min="15130" max="15360" width="10.33203125" style="1"/>
    <col min="15361" max="15361" width="4.44140625" style="1" customWidth="1"/>
    <col min="15362" max="15362" width="21.6640625" style="1" customWidth="1"/>
    <col min="15363" max="15363" width="15" style="1" customWidth="1"/>
    <col min="15364" max="15364" width="15.44140625" style="1" customWidth="1"/>
    <col min="15365" max="15365" width="11.5546875" style="1" customWidth="1"/>
    <col min="15366" max="15366" width="7.44140625" style="1" customWidth="1"/>
    <col min="15367" max="15367" width="14.109375" style="1" customWidth="1"/>
    <col min="15368" max="15368" width="10.6640625" style="1" customWidth="1"/>
    <col min="15369" max="15369" width="13.44140625" style="1" customWidth="1"/>
    <col min="15370" max="15370" width="11.44140625" style="1" customWidth="1"/>
    <col min="15371" max="15371" width="15" style="1" customWidth="1"/>
    <col min="15372" max="15372" width="14.5546875" style="1" customWidth="1"/>
    <col min="15373" max="15373" width="10.33203125" style="1"/>
    <col min="15374" max="15374" width="7.44140625" style="1" customWidth="1"/>
    <col min="15375" max="15375" width="12.88671875" style="1" customWidth="1"/>
    <col min="15376" max="15376" width="11.109375" style="1" customWidth="1"/>
    <col min="15377" max="15377" width="14" style="1" customWidth="1"/>
    <col min="15378" max="15378" width="33" style="1" customWidth="1"/>
    <col min="15379" max="15379" width="6.6640625" style="1" customWidth="1"/>
    <col min="15380" max="15380" width="19" style="1" customWidth="1"/>
    <col min="15381" max="15381" width="19.109375" style="1" customWidth="1"/>
    <col min="15382" max="15382" width="21.33203125" style="1" customWidth="1"/>
    <col min="15383" max="15383" width="32.5546875" style="1" customWidth="1"/>
    <col min="15384" max="15384" width="16.88671875" style="1" customWidth="1"/>
    <col min="15385" max="15385" width="16.33203125" style="1" customWidth="1"/>
    <col min="15386" max="15616" width="10.33203125" style="1"/>
    <col min="15617" max="15617" width="4.44140625" style="1" customWidth="1"/>
    <col min="15618" max="15618" width="21.6640625" style="1" customWidth="1"/>
    <col min="15619" max="15619" width="15" style="1" customWidth="1"/>
    <col min="15620" max="15620" width="15.44140625" style="1" customWidth="1"/>
    <col min="15621" max="15621" width="11.5546875" style="1" customWidth="1"/>
    <col min="15622" max="15622" width="7.44140625" style="1" customWidth="1"/>
    <col min="15623" max="15623" width="14.109375" style="1" customWidth="1"/>
    <col min="15624" max="15624" width="10.6640625" style="1" customWidth="1"/>
    <col min="15625" max="15625" width="13.44140625" style="1" customWidth="1"/>
    <col min="15626" max="15626" width="11.44140625" style="1" customWidth="1"/>
    <col min="15627" max="15627" width="15" style="1" customWidth="1"/>
    <col min="15628" max="15628" width="14.5546875" style="1" customWidth="1"/>
    <col min="15629" max="15629" width="10.33203125" style="1"/>
    <col min="15630" max="15630" width="7.44140625" style="1" customWidth="1"/>
    <col min="15631" max="15631" width="12.88671875" style="1" customWidth="1"/>
    <col min="15632" max="15632" width="11.109375" style="1" customWidth="1"/>
    <col min="15633" max="15633" width="14" style="1" customWidth="1"/>
    <col min="15634" max="15634" width="33" style="1" customWidth="1"/>
    <col min="15635" max="15635" width="6.6640625" style="1" customWidth="1"/>
    <col min="15636" max="15636" width="19" style="1" customWidth="1"/>
    <col min="15637" max="15637" width="19.109375" style="1" customWidth="1"/>
    <col min="15638" max="15638" width="21.33203125" style="1" customWidth="1"/>
    <col min="15639" max="15639" width="32.5546875" style="1" customWidth="1"/>
    <col min="15640" max="15640" width="16.88671875" style="1" customWidth="1"/>
    <col min="15641" max="15641" width="16.33203125" style="1" customWidth="1"/>
    <col min="15642" max="15872" width="10.33203125" style="1"/>
    <col min="15873" max="15873" width="4.44140625" style="1" customWidth="1"/>
    <col min="15874" max="15874" width="21.6640625" style="1" customWidth="1"/>
    <col min="15875" max="15875" width="15" style="1" customWidth="1"/>
    <col min="15876" max="15876" width="15.44140625" style="1" customWidth="1"/>
    <col min="15877" max="15877" width="11.5546875" style="1" customWidth="1"/>
    <col min="15878" max="15878" width="7.44140625" style="1" customWidth="1"/>
    <col min="15879" max="15879" width="14.109375" style="1" customWidth="1"/>
    <col min="15880" max="15880" width="10.6640625" style="1" customWidth="1"/>
    <col min="15881" max="15881" width="13.44140625" style="1" customWidth="1"/>
    <col min="15882" max="15882" width="11.44140625" style="1" customWidth="1"/>
    <col min="15883" max="15883" width="15" style="1" customWidth="1"/>
    <col min="15884" max="15884" width="14.5546875" style="1" customWidth="1"/>
    <col min="15885" max="15885" width="10.33203125" style="1"/>
    <col min="15886" max="15886" width="7.44140625" style="1" customWidth="1"/>
    <col min="15887" max="15887" width="12.88671875" style="1" customWidth="1"/>
    <col min="15888" max="15888" width="11.109375" style="1" customWidth="1"/>
    <col min="15889" max="15889" width="14" style="1" customWidth="1"/>
    <col min="15890" max="15890" width="33" style="1" customWidth="1"/>
    <col min="15891" max="15891" width="6.6640625" style="1" customWidth="1"/>
    <col min="15892" max="15892" width="19" style="1" customWidth="1"/>
    <col min="15893" max="15893" width="19.109375" style="1" customWidth="1"/>
    <col min="15894" max="15894" width="21.33203125" style="1" customWidth="1"/>
    <col min="15895" max="15895" width="32.5546875" style="1" customWidth="1"/>
    <col min="15896" max="15896" width="16.88671875" style="1" customWidth="1"/>
    <col min="15897" max="15897" width="16.33203125" style="1" customWidth="1"/>
    <col min="15898" max="16128" width="10.33203125" style="1"/>
    <col min="16129" max="16129" width="4.44140625" style="1" customWidth="1"/>
    <col min="16130" max="16130" width="21.6640625" style="1" customWidth="1"/>
    <col min="16131" max="16131" width="15" style="1" customWidth="1"/>
    <col min="16132" max="16132" width="15.44140625" style="1" customWidth="1"/>
    <col min="16133" max="16133" width="11.5546875" style="1" customWidth="1"/>
    <col min="16134" max="16134" width="7.44140625" style="1" customWidth="1"/>
    <col min="16135" max="16135" width="14.109375" style="1" customWidth="1"/>
    <col min="16136" max="16136" width="10.6640625" style="1" customWidth="1"/>
    <col min="16137" max="16137" width="13.44140625" style="1" customWidth="1"/>
    <col min="16138" max="16138" width="11.44140625" style="1" customWidth="1"/>
    <col min="16139" max="16139" width="15" style="1" customWidth="1"/>
    <col min="16140" max="16140" width="14.5546875" style="1" customWidth="1"/>
    <col min="16141" max="16141" width="10.33203125" style="1"/>
    <col min="16142" max="16142" width="7.44140625" style="1" customWidth="1"/>
    <col min="16143" max="16143" width="12.88671875" style="1" customWidth="1"/>
    <col min="16144" max="16144" width="11.109375" style="1" customWidth="1"/>
    <col min="16145" max="16145" width="14" style="1" customWidth="1"/>
    <col min="16146" max="16146" width="33" style="1" customWidth="1"/>
    <col min="16147" max="16147" width="6.6640625" style="1" customWidth="1"/>
    <col min="16148" max="16148" width="19" style="1" customWidth="1"/>
    <col min="16149" max="16149" width="19.109375" style="1" customWidth="1"/>
    <col min="16150" max="16150" width="21.33203125" style="1" customWidth="1"/>
    <col min="16151" max="16151" width="32.5546875" style="1" customWidth="1"/>
    <col min="16152" max="16152" width="16.88671875" style="1" customWidth="1"/>
    <col min="16153" max="16153" width="16.33203125" style="1" customWidth="1"/>
    <col min="16154" max="16384" width="10.33203125" style="1"/>
  </cols>
  <sheetData>
    <row r="1" spans="1:30" ht="24.6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</row>
    <row r="2" spans="1:30" ht="24.6">
      <c r="A2" s="726" t="s">
        <v>1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</row>
    <row r="3" spans="1:30" ht="24.6">
      <c r="A3" s="727" t="s">
        <v>2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</row>
    <row r="4" spans="1:30" ht="24.6">
      <c r="A4" s="3" t="s">
        <v>3</v>
      </c>
      <c r="B4" s="3" t="s">
        <v>4</v>
      </c>
      <c r="C4" s="3" t="s">
        <v>5</v>
      </c>
      <c r="D4" s="4" t="s">
        <v>6</v>
      </c>
      <c r="E4" s="728" t="s">
        <v>7</v>
      </c>
      <c r="F4" s="729"/>
      <c r="G4" s="729"/>
      <c r="H4" s="729"/>
      <c r="I4" s="730"/>
      <c r="J4" s="740" t="s">
        <v>8</v>
      </c>
      <c r="K4" s="741"/>
      <c r="L4" s="742"/>
      <c r="M4" s="728" t="s">
        <v>9</v>
      </c>
      <c r="N4" s="729"/>
      <c r="O4" s="729"/>
      <c r="P4" s="729"/>
      <c r="Q4" s="730"/>
      <c r="R4" s="9" t="s">
        <v>10</v>
      </c>
      <c r="T4" s="1" t="s">
        <v>11</v>
      </c>
      <c r="U4" s="10"/>
      <c r="V4" s="11" t="s">
        <v>12</v>
      </c>
      <c r="W4" s="11" t="s">
        <v>13</v>
      </c>
      <c r="X4" s="12" t="s">
        <v>14</v>
      </c>
      <c r="Y4" s="1" t="s">
        <v>15</v>
      </c>
      <c r="Z4" s="1" t="s">
        <v>16</v>
      </c>
      <c r="AA4" s="1" t="s">
        <v>17</v>
      </c>
      <c r="AB4" s="1" t="s">
        <v>18</v>
      </c>
      <c r="AC4" s="1" t="s">
        <v>19</v>
      </c>
      <c r="AD4" s="1" t="s">
        <v>10</v>
      </c>
    </row>
    <row r="5" spans="1:30" ht="24.6">
      <c r="A5" s="3"/>
      <c r="B5" s="13"/>
      <c r="C5" s="3"/>
      <c r="D5" s="14" t="s">
        <v>20</v>
      </c>
      <c r="E5" s="9" t="s">
        <v>21</v>
      </c>
      <c r="F5" s="9" t="s">
        <v>22</v>
      </c>
      <c r="G5" s="5"/>
      <c r="H5" s="6" t="s">
        <v>23</v>
      </c>
      <c r="I5" s="7"/>
      <c r="J5" s="15"/>
      <c r="K5" s="16"/>
      <c r="L5" s="8"/>
      <c r="M5" s="9" t="s">
        <v>21</v>
      </c>
      <c r="N5" s="9" t="s">
        <v>22</v>
      </c>
      <c r="O5" s="17"/>
      <c r="P5" s="17" t="s">
        <v>23</v>
      </c>
      <c r="Q5" s="7"/>
      <c r="R5" s="18"/>
      <c r="T5" s="19"/>
      <c r="U5" s="20"/>
      <c r="V5" s="21"/>
      <c r="W5" s="21"/>
      <c r="X5" s="22"/>
      <c r="Y5" s="19"/>
      <c r="Z5" s="23"/>
      <c r="AA5" s="19"/>
      <c r="AB5" s="19"/>
      <c r="AC5" s="19"/>
      <c r="AD5" s="19"/>
    </row>
    <row r="6" spans="1:30" ht="24.6">
      <c r="A6" s="3"/>
      <c r="B6" s="3"/>
      <c r="C6" s="3"/>
      <c r="D6" s="24"/>
      <c r="E6" s="18"/>
      <c r="F6" s="18"/>
      <c r="G6" s="7" t="s">
        <v>24</v>
      </c>
      <c r="H6" s="25" t="s">
        <v>25</v>
      </c>
      <c r="I6" s="25" t="s">
        <v>26</v>
      </c>
      <c r="J6" s="26" t="s">
        <v>27</v>
      </c>
      <c r="K6" s="16" t="s">
        <v>28</v>
      </c>
      <c r="L6" s="8" t="s">
        <v>29</v>
      </c>
      <c r="M6" s="18"/>
      <c r="N6" s="18"/>
      <c r="O6" s="27" t="s">
        <v>24</v>
      </c>
      <c r="P6" s="28" t="s">
        <v>25</v>
      </c>
      <c r="Q6" s="28" t="s">
        <v>26</v>
      </c>
      <c r="R6" s="29"/>
    </row>
    <row r="7" spans="1:30" ht="24.6">
      <c r="A7" s="3"/>
      <c r="B7" s="30" t="s">
        <v>30</v>
      </c>
      <c r="C7" s="3"/>
      <c r="D7" s="24"/>
      <c r="E7" s="18"/>
      <c r="F7" s="18"/>
      <c r="G7" s="7"/>
      <c r="H7" s="25"/>
      <c r="I7" s="25"/>
      <c r="J7" s="26"/>
      <c r="K7" s="16"/>
      <c r="L7" s="8"/>
      <c r="M7" s="18"/>
      <c r="N7" s="18"/>
      <c r="O7" s="27"/>
      <c r="P7" s="28"/>
      <c r="Q7" s="28"/>
      <c r="R7" s="29"/>
    </row>
    <row r="8" spans="1:30" ht="15.75" customHeight="1" thickBot="1">
      <c r="A8" s="3">
        <v>1</v>
      </c>
      <c r="B8" s="30"/>
      <c r="C8" s="3"/>
      <c r="D8" s="31"/>
      <c r="E8" s="32"/>
      <c r="F8" s="32"/>
      <c r="G8" s="33"/>
      <c r="H8" s="34"/>
      <c r="I8" s="34"/>
      <c r="J8" s="35"/>
      <c r="K8" s="36"/>
      <c r="L8" s="37"/>
      <c r="M8" s="32"/>
      <c r="N8" s="32"/>
      <c r="O8" s="33"/>
      <c r="P8" s="34"/>
      <c r="Q8" s="34"/>
      <c r="R8" s="29"/>
    </row>
    <row r="9" spans="1:30" ht="20.25" customHeight="1" thickTop="1" thickBot="1">
      <c r="A9" s="3"/>
      <c r="B9" s="3" t="s">
        <v>26</v>
      </c>
      <c r="C9" s="3"/>
      <c r="D9" s="38"/>
      <c r="E9" s="39"/>
      <c r="F9" s="39"/>
      <c r="G9" s="40"/>
      <c r="H9" s="41"/>
      <c r="I9" s="41"/>
      <c r="J9" s="42"/>
      <c r="K9" s="43"/>
      <c r="L9" s="44"/>
      <c r="M9" s="39"/>
      <c r="N9" s="39"/>
      <c r="O9" s="40"/>
      <c r="P9" s="41"/>
      <c r="Q9" s="41"/>
      <c r="R9" s="29"/>
    </row>
    <row r="10" spans="1:30" ht="25.2" thickTop="1">
      <c r="A10" s="29"/>
      <c r="B10" s="45" t="s">
        <v>31</v>
      </c>
      <c r="C10" s="29"/>
      <c r="D10" s="46"/>
      <c r="E10" s="46"/>
      <c r="F10" s="46"/>
      <c r="G10" s="46"/>
      <c r="H10" s="46"/>
      <c r="I10" s="46"/>
      <c r="J10" s="47"/>
      <c r="K10" s="48"/>
      <c r="L10" s="48"/>
      <c r="M10" s="46"/>
      <c r="N10" s="28"/>
      <c r="O10" s="46"/>
      <c r="P10" s="46"/>
      <c r="Q10" s="46"/>
      <c r="R10" s="29"/>
    </row>
    <row r="11" spans="1:30" ht="24.6">
      <c r="A11" s="25">
        <v>1</v>
      </c>
      <c r="B11" s="29" t="s">
        <v>32</v>
      </c>
      <c r="C11" s="29"/>
      <c r="D11" s="49"/>
      <c r="E11" s="25"/>
      <c r="F11" s="25"/>
      <c r="G11" s="49"/>
      <c r="H11" s="49"/>
      <c r="I11" s="49"/>
      <c r="J11" s="26"/>
      <c r="K11" s="50"/>
      <c r="L11" s="51"/>
      <c r="M11" s="25"/>
      <c r="N11" s="25"/>
      <c r="O11" s="49"/>
      <c r="P11" s="52"/>
      <c r="Q11" s="52"/>
      <c r="R11" s="29"/>
    </row>
    <row r="12" spans="1:30" ht="25.2" thickBot="1">
      <c r="A12" s="25"/>
      <c r="B12" s="29"/>
      <c r="C12" s="29"/>
      <c r="D12" s="49"/>
      <c r="E12" s="25"/>
      <c r="F12" s="25"/>
      <c r="G12" s="49"/>
      <c r="H12" s="49"/>
      <c r="I12" s="49"/>
      <c r="J12" s="26"/>
      <c r="K12" s="16"/>
      <c r="L12" s="51"/>
      <c r="M12" s="25"/>
      <c r="N12" s="25"/>
      <c r="O12" s="52"/>
      <c r="P12" s="52"/>
      <c r="Q12" s="52"/>
      <c r="R12" s="53"/>
    </row>
    <row r="13" spans="1:30" ht="25.8" thickTop="1" thickBot="1">
      <c r="A13" s="29"/>
      <c r="B13" s="25" t="s">
        <v>26</v>
      </c>
      <c r="C13" s="29"/>
      <c r="D13" s="54">
        <v>0</v>
      </c>
      <c r="E13" s="54"/>
      <c r="F13" s="54"/>
      <c r="G13" s="54">
        <v>0</v>
      </c>
      <c r="H13" s="54">
        <v>0</v>
      </c>
      <c r="I13" s="54">
        <v>0</v>
      </c>
      <c r="J13" s="55"/>
      <c r="K13" s="55"/>
      <c r="L13" s="55"/>
      <c r="M13" s="54"/>
      <c r="N13" s="56"/>
      <c r="O13" s="54">
        <v>0</v>
      </c>
      <c r="P13" s="54">
        <v>0</v>
      </c>
      <c r="Q13" s="54">
        <v>0</v>
      </c>
      <c r="R13" s="29"/>
    </row>
    <row r="14" spans="1:30" ht="25.2" thickTop="1">
      <c r="A14" s="29"/>
      <c r="B14" s="45" t="s">
        <v>33</v>
      </c>
      <c r="C14" s="29"/>
      <c r="D14" s="57"/>
      <c r="E14" s="46"/>
      <c r="F14" s="46"/>
      <c r="G14" s="57"/>
      <c r="H14" s="57"/>
      <c r="I14" s="57"/>
      <c r="J14" s="47"/>
      <c r="K14" s="48"/>
      <c r="L14" s="58"/>
      <c r="M14" s="46"/>
      <c r="N14" s="28"/>
      <c r="O14" s="57"/>
      <c r="P14" s="57"/>
      <c r="Q14" s="57"/>
      <c r="R14" s="46"/>
    </row>
    <row r="15" spans="1:30" ht="24.6">
      <c r="A15" s="25"/>
      <c r="B15" s="25"/>
      <c r="C15" s="29"/>
      <c r="D15" s="59"/>
      <c r="E15" s="29"/>
      <c r="F15" s="29"/>
      <c r="G15" s="59" t="s">
        <v>34</v>
      </c>
      <c r="H15" s="59" t="s">
        <v>34</v>
      </c>
      <c r="I15" s="59" t="s">
        <v>34</v>
      </c>
      <c r="J15" s="60"/>
      <c r="K15" s="61"/>
      <c r="L15" s="62"/>
      <c r="M15" s="29"/>
      <c r="N15" s="25"/>
      <c r="O15" s="59" t="s">
        <v>34</v>
      </c>
      <c r="P15" s="59" t="s">
        <v>34</v>
      </c>
      <c r="Q15" s="59" t="s">
        <v>34</v>
      </c>
      <c r="R15" s="29"/>
    </row>
    <row r="16" spans="1:30" ht="25.2" thickBot="1">
      <c r="A16" s="29"/>
      <c r="B16" s="25" t="s">
        <v>26</v>
      </c>
      <c r="C16" s="29"/>
      <c r="D16" s="63">
        <v>0</v>
      </c>
      <c r="E16" s="64"/>
      <c r="F16" s="64"/>
      <c r="G16" s="63">
        <v>0</v>
      </c>
      <c r="H16" s="63">
        <v>0</v>
      </c>
      <c r="I16" s="63">
        <v>0</v>
      </c>
      <c r="J16" s="65"/>
      <c r="K16" s="66"/>
      <c r="L16" s="67"/>
      <c r="M16" s="64"/>
      <c r="N16" s="41"/>
      <c r="O16" s="63">
        <v>0</v>
      </c>
      <c r="P16" s="63">
        <v>0</v>
      </c>
      <c r="Q16" s="63">
        <v>0</v>
      </c>
      <c r="R16" s="29"/>
      <c r="V16" s="49"/>
    </row>
    <row r="17" spans="1:20" ht="25.2" thickTop="1">
      <c r="A17" s="29"/>
      <c r="B17" s="45" t="s">
        <v>35</v>
      </c>
      <c r="C17" s="29"/>
      <c r="D17" s="46"/>
      <c r="E17" s="46"/>
      <c r="F17" s="46"/>
      <c r="G17" s="46"/>
      <c r="H17" s="46"/>
      <c r="I17" s="46"/>
      <c r="J17" s="47"/>
      <c r="K17" s="48"/>
      <c r="L17" s="48"/>
      <c r="M17" s="46"/>
      <c r="N17" s="28"/>
      <c r="O17" s="46"/>
      <c r="P17" s="46"/>
      <c r="Q17" s="46"/>
      <c r="R17" s="46"/>
    </row>
    <row r="18" spans="1:20" ht="24.6">
      <c r="A18" s="25">
        <v>1</v>
      </c>
      <c r="B18" s="29" t="s">
        <v>36</v>
      </c>
      <c r="C18" s="29"/>
      <c r="D18" s="49">
        <v>0</v>
      </c>
      <c r="E18" s="68"/>
      <c r="F18" s="25"/>
      <c r="G18" s="59">
        <v>0</v>
      </c>
      <c r="H18" s="59">
        <v>0</v>
      </c>
      <c r="I18" s="59">
        <v>0</v>
      </c>
      <c r="J18" s="69"/>
      <c r="K18" s="70"/>
      <c r="L18" s="71"/>
      <c r="M18" s="68"/>
      <c r="N18" s="25"/>
      <c r="O18" s="72">
        <v>0</v>
      </c>
      <c r="P18" s="73">
        <v>0</v>
      </c>
      <c r="Q18" s="73">
        <v>0</v>
      </c>
      <c r="R18" s="29"/>
    </row>
    <row r="19" spans="1:20" ht="25.2" thickBot="1">
      <c r="A19" s="29"/>
      <c r="B19" s="29"/>
      <c r="C19" s="29"/>
      <c r="D19" s="74"/>
      <c r="E19" s="74"/>
      <c r="F19" s="74"/>
      <c r="G19" s="34"/>
      <c r="H19" s="74"/>
      <c r="I19" s="74"/>
      <c r="J19" s="75"/>
      <c r="K19" s="76"/>
      <c r="L19" s="77"/>
      <c r="M19" s="74"/>
      <c r="N19" s="34"/>
      <c r="O19" s="74"/>
      <c r="P19" s="74"/>
      <c r="Q19" s="74"/>
      <c r="R19" s="53"/>
    </row>
    <row r="20" spans="1:20" ht="25.8" thickTop="1" thickBot="1">
      <c r="A20" s="29"/>
      <c r="B20" s="25" t="s">
        <v>26</v>
      </c>
      <c r="C20" s="29"/>
      <c r="D20" s="54">
        <v>0</v>
      </c>
      <c r="E20" s="54"/>
      <c r="F20" s="54"/>
      <c r="G20" s="54">
        <v>0</v>
      </c>
      <c r="H20" s="54">
        <v>0</v>
      </c>
      <c r="I20" s="54">
        <v>0</v>
      </c>
      <c r="J20" s="55"/>
      <c r="K20" s="55"/>
      <c r="L20" s="55"/>
      <c r="M20" s="54"/>
      <c r="N20" s="56"/>
      <c r="O20" s="54">
        <v>0</v>
      </c>
      <c r="P20" s="54">
        <v>0</v>
      </c>
      <c r="Q20" s="54">
        <v>0</v>
      </c>
      <c r="R20" s="53"/>
    </row>
    <row r="21" spans="1:20" ht="25.2" thickTop="1">
      <c r="A21" s="29"/>
      <c r="B21" s="45" t="s">
        <v>37</v>
      </c>
      <c r="C21" s="29"/>
      <c r="D21" s="57"/>
      <c r="E21" s="46"/>
      <c r="F21" s="46"/>
      <c r="G21" s="57"/>
      <c r="H21" s="57"/>
      <c r="I21" s="57"/>
      <c r="J21" s="47"/>
      <c r="K21" s="48"/>
      <c r="L21" s="58"/>
      <c r="M21" s="46"/>
      <c r="N21" s="28"/>
      <c r="O21" s="57"/>
      <c r="P21" s="57"/>
      <c r="Q21" s="57"/>
      <c r="R21" s="29"/>
    </row>
    <row r="22" spans="1:20" ht="25.2" thickBot="1">
      <c r="A22" s="25">
        <v>1</v>
      </c>
      <c r="B22" s="25"/>
      <c r="C22" s="29"/>
      <c r="D22" s="78"/>
      <c r="E22" s="74"/>
      <c r="F22" s="74"/>
      <c r="G22" s="78"/>
      <c r="H22" s="78"/>
      <c r="I22" s="78"/>
      <c r="J22" s="75"/>
      <c r="K22" s="76"/>
      <c r="L22" s="77"/>
      <c r="M22" s="74"/>
      <c r="N22" s="34"/>
      <c r="O22" s="78"/>
      <c r="P22" s="78"/>
      <c r="Q22" s="78"/>
      <c r="R22" s="29"/>
    </row>
    <row r="23" spans="1:20" ht="25.8" thickTop="1" thickBot="1">
      <c r="A23" s="25"/>
      <c r="B23" s="25" t="s">
        <v>26</v>
      </c>
      <c r="C23" s="29"/>
      <c r="D23" s="54"/>
      <c r="E23" s="79"/>
      <c r="F23" s="79"/>
      <c r="G23" s="54"/>
      <c r="H23" s="54"/>
      <c r="I23" s="54"/>
      <c r="J23" s="80"/>
      <c r="K23" s="81"/>
      <c r="L23" s="55"/>
      <c r="M23" s="79"/>
      <c r="N23" s="82"/>
      <c r="O23" s="54"/>
      <c r="P23" s="54"/>
      <c r="Q23" s="54"/>
      <c r="R23" s="46"/>
    </row>
    <row r="24" spans="1:20" ht="25.2" thickTop="1">
      <c r="A24" s="25"/>
      <c r="B24" s="45" t="s">
        <v>38</v>
      </c>
      <c r="C24" s="29"/>
      <c r="D24" s="57"/>
      <c r="E24" s="46"/>
      <c r="F24" s="46"/>
      <c r="G24" s="57"/>
      <c r="H24" s="57"/>
      <c r="I24" s="57"/>
      <c r="J24" s="47"/>
      <c r="K24" s="48"/>
      <c r="L24" s="58"/>
      <c r="M24" s="46"/>
      <c r="N24" s="28"/>
      <c r="O24" s="57"/>
      <c r="P24" s="57"/>
      <c r="Q24" s="57"/>
      <c r="R24" s="46"/>
    </row>
    <row r="25" spans="1:20" ht="25.2" thickBot="1">
      <c r="A25" s="25">
        <v>1</v>
      </c>
      <c r="B25" s="25"/>
      <c r="C25" s="29"/>
      <c r="D25" s="78"/>
      <c r="E25" s="74"/>
      <c r="F25" s="74"/>
      <c r="G25" s="78"/>
      <c r="H25" s="78"/>
      <c r="I25" s="78"/>
      <c r="J25" s="75"/>
      <c r="K25" s="76"/>
      <c r="L25" s="77"/>
      <c r="M25" s="74"/>
      <c r="N25" s="34"/>
      <c r="O25" s="78"/>
      <c r="P25" s="78"/>
      <c r="Q25" s="78"/>
      <c r="R25" s="46"/>
    </row>
    <row r="26" spans="1:20" ht="25.8" thickTop="1" thickBot="1">
      <c r="A26" s="25"/>
      <c r="B26" s="25" t="s">
        <v>26</v>
      </c>
      <c r="C26" s="29"/>
      <c r="D26" s="63"/>
      <c r="E26" s="64"/>
      <c r="F26" s="64"/>
      <c r="G26" s="63"/>
      <c r="H26" s="63"/>
      <c r="I26" s="63"/>
      <c r="J26" s="65"/>
      <c r="K26" s="66"/>
      <c r="L26" s="67"/>
      <c r="M26" s="64"/>
      <c r="N26" s="41"/>
      <c r="O26" s="63"/>
      <c r="P26" s="63"/>
      <c r="Q26" s="63"/>
      <c r="R26" s="46"/>
    </row>
    <row r="27" spans="1:20" ht="25.2" thickTop="1">
      <c r="A27" s="29"/>
      <c r="B27" s="45" t="s">
        <v>39</v>
      </c>
      <c r="C27" s="29"/>
      <c r="D27" s="46"/>
      <c r="E27" s="46"/>
      <c r="F27" s="46"/>
      <c r="G27" s="46"/>
      <c r="H27" s="46"/>
      <c r="I27" s="46"/>
      <c r="J27" s="47"/>
      <c r="K27" s="48"/>
      <c r="L27" s="48"/>
      <c r="M27" s="46"/>
      <c r="N27" s="28"/>
      <c r="O27" s="46"/>
      <c r="P27" s="46"/>
      <c r="Q27" s="46"/>
      <c r="R27" s="46"/>
    </row>
    <row r="28" spans="1:20" ht="24.6">
      <c r="A28" s="25">
        <v>1</v>
      </c>
      <c r="B28" s="29" t="s">
        <v>40</v>
      </c>
      <c r="C28" s="29"/>
      <c r="D28" s="49">
        <v>0</v>
      </c>
      <c r="E28" s="68"/>
      <c r="F28" s="25"/>
      <c r="G28" s="52">
        <v>0</v>
      </c>
      <c r="H28" s="59">
        <v>0</v>
      </c>
      <c r="I28" s="52">
        <v>0</v>
      </c>
      <c r="J28" s="69"/>
      <c r="K28" s="70"/>
      <c r="L28" s="83"/>
      <c r="M28" s="68"/>
      <c r="N28" s="25"/>
      <c r="O28" s="72">
        <v>0</v>
      </c>
      <c r="P28" s="73">
        <v>0</v>
      </c>
      <c r="Q28" s="73">
        <v>0</v>
      </c>
      <c r="R28" s="29" t="s">
        <v>41</v>
      </c>
    </row>
    <row r="29" spans="1:20" ht="24.6">
      <c r="A29" s="25">
        <v>2</v>
      </c>
      <c r="B29" s="29" t="s">
        <v>42</v>
      </c>
      <c r="C29" s="29"/>
      <c r="D29" s="49">
        <v>535</v>
      </c>
      <c r="E29" s="25"/>
      <c r="F29" s="25"/>
      <c r="G29" s="52">
        <v>0</v>
      </c>
      <c r="H29" s="59">
        <v>0</v>
      </c>
      <c r="I29" s="52">
        <v>0</v>
      </c>
      <c r="J29" s="69">
        <v>25084</v>
      </c>
      <c r="K29" s="84" t="s">
        <v>43</v>
      </c>
      <c r="L29" s="85">
        <v>535</v>
      </c>
      <c r="M29" s="25"/>
      <c r="N29" s="25"/>
      <c r="O29" s="72">
        <v>0</v>
      </c>
      <c r="P29" s="73">
        <v>0</v>
      </c>
      <c r="Q29" s="73">
        <v>0</v>
      </c>
      <c r="R29" s="29"/>
    </row>
    <row r="30" spans="1:20" s="96" customFormat="1" ht="24.6">
      <c r="A30" s="86">
        <v>3</v>
      </c>
      <c r="B30" s="87" t="s">
        <v>44</v>
      </c>
      <c r="C30" s="88"/>
      <c r="D30" s="89">
        <v>1070</v>
      </c>
      <c r="E30" s="90"/>
      <c r="F30" s="86"/>
      <c r="G30" s="91">
        <v>0</v>
      </c>
      <c r="H30" s="92">
        <v>0</v>
      </c>
      <c r="I30" s="91">
        <v>0</v>
      </c>
      <c r="J30" s="93">
        <v>25111</v>
      </c>
      <c r="K30" s="94" t="s">
        <v>45</v>
      </c>
      <c r="L30" s="95">
        <v>1070</v>
      </c>
      <c r="M30" s="90"/>
      <c r="N30" s="86"/>
      <c r="O30" s="72">
        <v>0</v>
      </c>
      <c r="P30" s="73">
        <v>0</v>
      </c>
      <c r="Q30" s="73">
        <v>0</v>
      </c>
      <c r="R30" s="87"/>
      <c r="T30" s="97"/>
    </row>
    <row r="31" spans="1:20" ht="24.6">
      <c r="A31" s="25">
        <v>4</v>
      </c>
      <c r="B31" s="29" t="s">
        <v>46</v>
      </c>
      <c r="C31" s="29"/>
      <c r="D31" s="98">
        <v>535</v>
      </c>
      <c r="E31" s="28"/>
      <c r="F31" s="28"/>
      <c r="G31" s="99"/>
      <c r="H31" s="59"/>
      <c r="I31" s="52"/>
      <c r="J31" s="69">
        <v>25111</v>
      </c>
      <c r="K31" s="70" t="s">
        <v>47</v>
      </c>
      <c r="L31" s="100">
        <v>535</v>
      </c>
      <c r="M31" s="28"/>
      <c r="N31" s="28"/>
      <c r="O31" s="72">
        <v>0</v>
      </c>
      <c r="P31" s="101">
        <v>0</v>
      </c>
      <c r="Q31" s="101">
        <v>0</v>
      </c>
      <c r="R31" s="102" t="s">
        <v>48</v>
      </c>
    </row>
    <row r="32" spans="1:20" ht="25.2" thickBot="1">
      <c r="A32" s="29"/>
      <c r="B32" s="25" t="s">
        <v>26</v>
      </c>
      <c r="C32" s="29"/>
      <c r="D32" s="103">
        <v>2140</v>
      </c>
      <c r="E32" s="63"/>
      <c r="F32" s="63"/>
      <c r="G32" s="103">
        <v>0</v>
      </c>
      <c r="H32" s="103">
        <v>0</v>
      </c>
      <c r="I32" s="103">
        <v>0</v>
      </c>
      <c r="J32" s="67"/>
      <c r="K32" s="67"/>
      <c r="L32" s="104">
        <f>SUM(L29:L31)</f>
        <v>2140</v>
      </c>
      <c r="M32" s="63"/>
      <c r="N32" s="105"/>
      <c r="O32" s="106">
        <v>0</v>
      </c>
      <c r="P32" s="107">
        <v>0</v>
      </c>
      <c r="Q32" s="107">
        <v>0</v>
      </c>
      <c r="R32" s="53"/>
    </row>
    <row r="33" spans="1:18" ht="25.2" thickTop="1">
      <c r="A33" s="29"/>
      <c r="B33" s="45" t="s">
        <v>49</v>
      </c>
      <c r="C33" s="29"/>
      <c r="D33" s="57"/>
      <c r="E33" s="108"/>
      <c r="F33" s="108"/>
      <c r="G33" s="57"/>
      <c r="H33" s="57"/>
      <c r="I33" s="57"/>
      <c r="J33" s="47"/>
      <c r="K33" s="48"/>
      <c r="L33" s="58"/>
      <c r="M33" s="46"/>
      <c r="N33" s="28"/>
      <c r="O33" s="57"/>
      <c r="P33" s="57"/>
      <c r="Q33" s="57"/>
      <c r="R33" s="29"/>
    </row>
    <row r="34" spans="1:18" ht="16.5" customHeight="1" thickBot="1">
      <c r="A34" s="25">
        <v>1</v>
      </c>
      <c r="B34" s="25"/>
      <c r="C34" s="29"/>
      <c r="D34" s="78"/>
      <c r="E34" s="74"/>
      <c r="F34" s="74"/>
      <c r="G34" s="78"/>
      <c r="H34" s="78"/>
      <c r="I34" s="78"/>
      <c r="J34" s="75"/>
      <c r="K34" s="76"/>
      <c r="L34" s="77"/>
      <c r="M34" s="74"/>
      <c r="N34" s="34"/>
      <c r="O34" s="78"/>
      <c r="P34" s="78"/>
      <c r="Q34" s="78"/>
      <c r="R34" s="29"/>
    </row>
    <row r="35" spans="1:18" ht="25.8" thickTop="1" thickBot="1">
      <c r="A35" s="25"/>
      <c r="B35" s="25" t="s">
        <v>26</v>
      </c>
      <c r="C35" s="29"/>
      <c r="D35" s="54"/>
      <c r="E35" s="64"/>
      <c r="F35" s="64"/>
      <c r="G35" s="54"/>
      <c r="H35" s="54"/>
      <c r="I35" s="54"/>
      <c r="J35" s="80"/>
      <c r="K35" s="81"/>
      <c r="L35" s="55"/>
      <c r="M35" s="79"/>
      <c r="N35" s="82"/>
      <c r="O35" s="54"/>
      <c r="P35" s="54"/>
      <c r="Q35" s="54"/>
      <c r="R35" s="29"/>
    </row>
    <row r="36" spans="1:18" ht="25.2" thickTop="1">
      <c r="A36" s="25"/>
      <c r="B36" s="45" t="s">
        <v>50</v>
      </c>
      <c r="C36" s="29"/>
      <c r="D36" s="57"/>
      <c r="E36" s="109"/>
      <c r="F36" s="109"/>
      <c r="G36" s="57"/>
      <c r="H36" s="57"/>
      <c r="I36" s="57"/>
      <c r="J36" s="47"/>
      <c r="K36" s="48"/>
      <c r="L36" s="58"/>
      <c r="M36" s="46"/>
      <c r="N36" s="28"/>
      <c r="O36" s="57"/>
      <c r="P36" s="57"/>
      <c r="Q36" s="57"/>
      <c r="R36" s="29"/>
    </row>
    <row r="37" spans="1:18" ht="25.2" thickBot="1">
      <c r="A37" s="25"/>
      <c r="B37" s="25"/>
      <c r="C37" s="29"/>
      <c r="D37" s="78"/>
      <c r="E37" s="74"/>
      <c r="F37" s="74"/>
      <c r="G37" s="78">
        <v>0</v>
      </c>
      <c r="H37" s="78">
        <v>0</v>
      </c>
      <c r="I37" s="78">
        <v>0</v>
      </c>
      <c r="J37" s="75"/>
      <c r="K37" s="76"/>
      <c r="L37" s="77"/>
      <c r="M37" s="74"/>
      <c r="N37" s="34"/>
      <c r="O37" s="110">
        <v>0</v>
      </c>
      <c r="P37" s="110">
        <v>0</v>
      </c>
      <c r="Q37" s="110">
        <v>0</v>
      </c>
      <c r="R37" s="29"/>
    </row>
    <row r="38" spans="1:18" ht="25.2" thickTop="1">
      <c r="A38" s="25"/>
      <c r="B38" s="25" t="s">
        <v>26</v>
      </c>
      <c r="C38" s="29"/>
      <c r="D38" s="111">
        <v>0</v>
      </c>
      <c r="E38" s="46"/>
      <c r="F38" s="46"/>
      <c r="G38" s="111">
        <v>0</v>
      </c>
      <c r="H38" s="111"/>
      <c r="I38" s="111">
        <v>0</v>
      </c>
      <c r="J38" s="112"/>
      <c r="K38" s="113"/>
      <c r="L38" s="114"/>
      <c r="M38" s="109"/>
      <c r="N38" s="115"/>
      <c r="O38" s="111">
        <v>0</v>
      </c>
      <c r="P38" s="111"/>
      <c r="Q38" s="111">
        <v>0</v>
      </c>
      <c r="R38" s="53"/>
    </row>
    <row r="39" spans="1:18" ht="24.6">
      <c r="A39" s="25"/>
      <c r="B39" s="45" t="s">
        <v>51</v>
      </c>
      <c r="C39" s="29"/>
      <c r="D39" s="59"/>
      <c r="E39" s="109"/>
      <c r="F39" s="109"/>
      <c r="G39" s="59"/>
      <c r="H39" s="59"/>
      <c r="I39" s="59"/>
      <c r="J39" s="60"/>
      <c r="K39" s="61"/>
      <c r="L39" s="62"/>
      <c r="M39" s="29"/>
      <c r="N39" s="25"/>
      <c r="O39" s="59"/>
      <c r="P39" s="59"/>
      <c r="Q39" s="59"/>
      <c r="R39" s="29"/>
    </row>
    <row r="40" spans="1:18" ht="25.2" thickBot="1">
      <c r="A40" s="25">
        <v>1</v>
      </c>
      <c r="B40" s="25"/>
      <c r="C40" s="29"/>
      <c r="D40" s="78"/>
      <c r="E40" s="74"/>
      <c r="F40" s="74"/>
      <c r="G40" s="78"/>
      <c r="H40" s="78"/>
      <c r="I40" s="78"/>
      <c r="J40" s="75"/>
      <c r="K40" s="76"/>
      <c r="L40" s="77"/>
      <c r="M40" s="74"/>
      <c r="N40" s="34"/>
      <c r="O40" s="78"/>
      <c r="P40" s="78"/>
      <c r="Q40" s="78"/>
      <c r="R40" s="29"/>
    </row>
    <row r="41" spans="1:18" ht="25.8" thickTop="1" thickBot="1">
      <c r="A41" s="25"/>
      <c r="B41" s="25" t="s">
        <v>26</v>
      </c>
      <c r="C41" s="29"/>
      <c r="D41" s="63"/>
      <c r="E41" s="79"/>
      <c r="F41" s="79"/>
      <c r="G41" s="63"/>
      <c r="H41" s="63"/>
      <c r="I41" s="63"/>
      <c r="J41" s="65"/>
      <c r="K41" s="66"/>
      <c r="L41" s="67"/>
      <c r="M41" s="64"/>
      <c r="N41" s="41"/>
      <c r="O41" s="63"/>
      <c r="P41" s="63"/>
      <c r="Q41" s="63"/>
      <c r="R41" s="29"/>
    </row>
    <row r="42" spans="1:18" ht="25.2" thickTop="1">
      <c r="A42" s="29"/>
      <c r="B42" s="45" t="s">
        <v>52</v>
      </c>
      <c r="C42" s="29"/>
      <c r="D42" s="57"/>
      <c r="E42" s="28"/>
      <c r="F42" s="28"/>
      <c r="G42" s="57"/>
      <c r="H42" s="57"/>
      <c r="I42" s="57"/>
      <c r="J42" s="47"/>
      <c r="K42" s="48"/>
      <c r="L42" s="58"/>
      <c r="M42" s="46"/>
      <c r="N42" s="28"/>
      <c r="O42" s="57"/>
      <c r="P42" s="57"/>
      <c r="Q42" s="57"/>
      <c r="R42" s="29"/>
    </row>
    <row r="43" spans="1:18" ht="24.6">
      <c r="A43" s="29"/>
      <c r="B43" s="116" t="s">
        <v>53</v>
      </c>
      <c r="C43" s="29"/>
      <c r="D43" s="57"/>
      <c r="E43" s="25"/>
      <c r="F43" s="25"/>
      <c r="G43" s="57"/>
      <c r="H43" s="57"/>
      <c r="I43" s="57"/>
      <c r="J43" s="47"/>
      <c r="K43" s="48"/>
      <c r="L43" s="58"/>
      <c r="M43" s="46"/>
      <c r="N43" s="28"/>
      <c r="O43" s="57"/>
      <c r="P43" s="57"/>
      <c r="Q43" s="57"/>
      <c r="R43" s="29"/>
    </row>
    <row r="44" spans="1:18" ht="24.6">
      <c r="A44" s="25">
        <v>1</v>
      </c>
      <c r="B44" s="29" t="s">
        <v>54</v>
      </c>
      <c r="C44" s="25" t="s">
        <v>55</v>
      </c>
      <c r="D44" s="49">
        <v>0</v>
      </c>
      <c r="E44" s="25"/>
      <c r="F44" s="25"/>
      <c r="G44" s="49">
        <v>0</v>
      </c>
      <c r="H44" s="49">
        <v>0</v>
      </c>
      <c r="I44" s="49">
        <v>0</v>
      </c>
      <c r="J44" s="26"/>
      <c r="K44" s="117"/>
      <c r="L44" s="118"/>
      <c r="M44" s="25"/>
      <c r="N44" s="25"/>
      <c r="O44" s="72">
        <f t="shared" ref="O44:O49" si="0">D44</f>
        <v>0</v>
      </c>
      <c r="P44" s="73">
        <v>0</v>
      </c>
      <c r="Q44" s="73">
        <f t="shared" ref="Q44:Q49" si="1">D44</f>
        <v>0</v>
      </c>
      <c r="R44" s="29" t="s">
        <v>56</v>
      </c>
    </row>
    <row r="45" spans="1:18" ht="24.6">
      <c r="A45" s="25">
        <v>2</v>
      </c>
      <c r="B45" s="119" t="s">
        <v>57</v>
      </c>
      <c r="C45" s="25">
        <v>259</v>
      </c>
      <c r="D45" s="49">
        <v>0</v>
      </c>
      <c r="E45" s="25"/>
      <c r="F45" s="25"/>
      <c r="G45" s="49">
        <v>0</v>
      </c>
      <c r="H45" s="49">
        <v>0</v>
      </c>
      <c r="I45" s="49">
        <v>0</v>
      </c>
      <c r="J45" s="26"/>
      <c r="K45" s="16"/>
      <c r="L45" s="118"/>
      <c r="M45" s="25"/>
      <c r="N45" s="25"/>
      <c r="O45" s="72">
        <f t="shared" si="0"/>
        <v>0</v>
      </c>
      <c r="P45" s="73">
        <v>0</v>
      </c>
      <c r="Q45" s="73">
        <f t="shared" si="1"/>
        <v>0</v>
      </c>
      <c r="R45" s="29" t="s">
        <v>58</v>
      </c>
    </row>
    <row r="46" spans="1:18" ht="24.6">
      <c r="A46" s="25">
        <v>3</v>
      </c>
      <c r="B46" s="119" t="s">
        <v>57</v>
      </c>
      <c r="C46" s="25">
        <v>260</v>
      </c>
      <c r="D46" s="49"/>
      <c r="E46" s="25"/>
      <c r="F46" s="25"/>
      <c r="G46" s="49">
        <v>0</v>
      </c>
      <c r="H46" s="49">
        <v>0</v>
      </c>
      <c r="I46" s="49">
        <v>0</v>
      </c>
      <c r="J46" s="26"/>
      <c r="K46" s="16"/>
      <c r="L46" s="118"/>
      <c r="M46" s="25"/>
      <c r="N46" s="25"/>
      <c r="O46" s="72">
        <f t="shared" si="0"/>
        <v>0</v>
      </c>
      <c r="P46" s="73">
        <v>0</v>
      </c>
      <c r="Q46" s="73">
        <f t="shared" si="1"/>
        <v>0</v>
      </c>
      <c r="R46" s="29"/>
    </row>
    <row r="47" spans="1:18" ht="24.6">
      <c r="A47" s="25">
        <v>4</v>
      </c>
      <c r="B47" s="119" t="s">
        <v>57</v>
      </c>
      <c r="C47" s="25" t="s">
        <v>59</v>
      </c>
      <c r="D47" s="49">
        <v>0</v>
      </c>
      <c r="E47" s="25"/>
      <c r="F47" s="25"/>
      <c r="G47" s="49">
        <v>0</v>
      </c>
      <c r="H47" s="49">
        <v>0</v>
      </c>
      <c r="I47" s="49">
        <v>0</v>
      </c>
      <c r="J47" s="26"/>
      <c r="K47" s="16"/>
      <c r="L47" s="118"/>
      <c r="M47" s="25"/>
      <c r="N47" s="25"/>
      <c r="O47" s="72">
        <f t="shared" si="0"/>
        <v>0</v>
      </c>
      <c r="P47" s="73">
        <v>0</v>
      </c>
      <c r="Q47" s="73">
        <f t="shared" si="1"/>
        <v>0</v>
      </c>
      <c r="R47" s="29" t="s">
        <v>60</v>
      </c>
    </row>
    <row r="48" spans="1:18" ht="24.6">
      <c r="A48" s="25">
        <v>5</v>
      </c>
      <c r="B48" s="119" t="s">
        <v>57</v>
      </c>
      <c r="C48" s="25" t="s">
        <v>61</v>
      </c>
      <c r="D48" s="49">
        <v>0</v>
      </c>
      <c r="E48" s="25"/>
      <c r="F48" s="25"/>
      <c r="G48" s="49">
        <v>0</v>
      </c>
      <c r="H48" s="49">
        <v>0</v>
      </c>
      <c r="I48" s="49">
        <v>0</v>
      </c>
      <c r="J48" s="26"/>
      <c r="K48" s="16"/>
      <c r="L48" s="118"/>
      <c r="M48" s="25"/>
      <c r="N48" s="25"/>
      <c r="O48" s="72">
        <f t="shared" si="0"/>
        <v>0</v>
      </c>
      <c r="P48" s="73">
        <v>0</v>
      </c>
      <c r="Q48" s="73">
        <f t="shared" si="1"/>
        <v>0</v>
      </c>
      <c r="R48" s="29"/>
    </row>
    <row r="49" spans="1:18" ht="24.6">
      <c r="A49" s="25">
        <v>6</v>
      </c>
      <c r="B49" s="29" t="s">
        <v>62</v>
      </c>
      <c r="C49" s="25" t="s">
        <v>63</v>
      </c>
      <c r="D49" s="49">
        <v>0</v>
      </c>
      <c r="E49" s="25"/>
      <c r="F49" s="25"/>
      <c r="G49" s="49">
        <v>0</v>
      </c>
      <c r="H49" s="49">
        <v>0</v>
      </c>
      <c r="I49" s="49">
        <v>0</v>
      </c>
      <c r="J49" s="69"/>
      <c r="K49" s="70"/>
      <c r="L49" s="83"/>
      <c r="M49" s="25"/>
      <c r="N49" s="25"/>
      <c r="O49" s="72">
        <f t="shared" si="0"/>
        <v>0</v>
      </c>
      <c r="P49" s="73">
        <v>0</v>
      </c>
      <c r="Q49" s="73">
        <f t="shared" si="1"/>
        <v>0</v>
      </c>
      <c r="R49" s="29" t="s">
        <v>64</v>
      </c>
    </row>
    <row r="50" spans="1:18" ht="24.6">
      <c r="A50" s="25">
        <v>7</v>
      </c>
      <c r="B50" s="29" t="s">
        <v>65</v>
      </c>
      <c r="C50" s="25">
        <v>267</v>
      </c>
      <c r="D50" s="49">
        <v>1215</v>
      </c>
      <c r="E50" s="25"/>
      <c r="F50" s="25"/>
      <c r="G50" s="49">
        <v>0</v>
      </c>
      <c r="H50" s="49">
        <v>0</v>
      </c>
      <c r="I50" s="49">
        <v>0</v>
      </c>
      <c r="J50" s="69">
        <v>25086</v>
      </c>
      <c r="K50" s="70" t="s">
        <v>66</v>
      </c>
      <c r="L50" s="83">
        <v>1215</v>
      </c>
      <c r="M50" s="25"/>
      <c r="N50" s="25"/>
      <c r="O50" s="72">
        <f>D50+G50-L50</f>
        <v>0</v>
      </c>
      <c r="P50" s="72">
        <f t="shared" ref="P50:Q61" si="2">E50+H50-M50</f>
        <v>0</v>
      </c>
      <c r="Q50" s="72">
        <f t="shared" si="2"/>
        <v>0</v>
      </c>
      <c r="R50" s="29" t="s">
        <v>67</v>
      </c>
    </row>
    <row r="51" spans="1:18" ht="24.6">
      <c r="A51" s="25">
        <v>8</v>
      </c>
      <c r="B51" s="29" t="s">
        <v>68</v>
      </c>
      <c r="C51" s="120">
        <v>268</v>
      </c>
      <c r="D51" s="49">
        <v>0</v>
      </c>
      <c r="E51" s="25"/>
      <c r="F51" s="25"/>
      <c r="G51" s="49">
        <v>0</v>
      </c>
      <c r="H51" s="49">
        <v>0</v>
      </c>
      <c r="I51" s="49">
        <v>0</v>
      </c>
      <c r="J51" s="121"/>
      <c r="K51" s="121"/>
      <c r="L51" s="121"/>
      <c r="M51" s="25"/>
      <c r="N51" s="25"/>
      <c r="O51" s="72">
        <f t="shared" ref="O51:O62" si="3">D51+G51-L51</f>
        <v>0</v>
      </c>
      <c r="P51" s="73">
        <v>0</v>
      </c>
      <c r="Q51" s="72">
        <f t="shared" si="2"/>
        <v>0</v>
      </c>
      <c r="R51" s="29" t="s">
        <v>69</v>
      </c>
    </row>
    <row r="52" spans="1:18" ht="24.6">
      <c r="A52" s="25">
        <v>9</v>
      </c>
      <c r="B52" s="29" t="s">
        <v>70</v>
      </c>
      <c r="C52" s="25" t="s">
        <v>71</v>
      </c>
      <c r="D52" s="49">
        <v>2430</v>
      </c>
      <c r="E52" s="25"/>
      <c r="F52" s="25"/>
      <c r="G52" s="49">
        <v>0</v>
      </c>
      <c r="H52" s="49">
        <v>0</v>
      </c>
      <c r="I52" s="49">
        <v>0</v>
      </c>
      <c r="J52" s="69">
        <v>25090</v>
      </c>
      <c r="K52" s="70" t="s">
        <v>72</v>
      </c>
      <c r="L52" s="83">
        <v>2430</v>
      </c>
      <c r="M52" s="25"/>
      <c r="N52" s="25"/>
      <c r="O52" s="72">
        <f t="shared" si="3"/>
        <v>0</v>
      </c>
      <c r="P52" s="73">
        <v>0</v>
      </c>
      <c r="Q52" s="72">
        <f t="shared" si="2"/>
        <v>0</v>
      </c>
      <c r="R52" s="29"/>
    </row>
    <row r="53" spans="1:18" ht="24.6">
      <c r="A53" s="25">
        <v>10</v>
      </c>
      <c r="B53" s="29" t="s">
        <v>73</v>
      </c>
      <c r="C53" s="120">
        <v>84282</v>
      </c>
      <c r="D53" s="49">
        <v>2430</v>
      </c>
      <c r="E53" s="25" t="s">
        <v>74</v>
      </c>
      <c r="F53" s="25">
        <v>1</v>
      </c>
      <c r="G53" s="49">
        <v>2430</v>
      </c>
      <c r="H53" s="49">
        <v>0</v>
      </c>
      <c r="I53" s="49">
        <v>2430</v>
      </c>
      <c r="J53" s="69">
        <v>25111</v>
      </c>
      <c r="K53" s="70" t="s">
        <v>75</v>
      </c>
      <c r="L53" s="83">
        <v>4860</v>
      </c>
      <c r="M53" s="122"/>
      <c r="N53" s="123"/>
      <c r="O53" s="72">
        <f>D53+G53-L53</f>
        <v>0</v>
      </c>
      <c r="P53" s="73">
        <v>0</v>
      </c>
      <c r="Q53" s="72">
        <f>D53+I53-L53</f>
        <v>0</v>
      </c>
      <c r="R53" s="29"/>
    </row>
    <row r="54" spans="1:18" ht="24.6">
      <c r="A54" s="25">
        <v>11</v>
      </c>
      <c r="B54" s="29" t="s">
        <v>76</v>
      </c>
      <c r="C54" s="25">
        <v>281</v>
      </c>
      <c r="D54" s="49">
        <v>0</v>
      </c>
      <c r="E54" s="25"/>
      <c r="F54" s="25"/>
      <c r="G54" s="49">
        <v>0</v>
      </c>
      <c r="H54" s="49">
        <v>0</v>
      </c>
      <c r="I54" s="49">
        <v>0</v>
      </c>
      <c r="J54" s="69"/>
      <c r="K54" s="70"/>
      <c r="L54" s="83"/>
      <c r="M54" s="25"/>
      <c r="N54" s="25"/>
      <c r="O54" s="72">
        <f t="shared" si="3"/>
        <v>0</v>
      </c>
      <c r="P54" s="73">
        <v>0</v>
      </c>
      <c r="Q54" s="72">
        <f t="shared" si="2"/>
        <v>0</v>
      </c>
      <c r="R54" s="29" t="s">
        <v>77</v>
      </c>
    </row>
    <row r="55" spans="1:18" ht="24.6">
      <c r="A55" s="25">
        <v>12</v>
      </c>
      <c r="B55" s="29" t="s">
        <v>57</v>
      </c>
      <c r="C55" s="25">
        <v>280</v>
      </c>
      <c r="D55" s="49">
        <v>0</v>
      </c>
      <c r="E55" s="25"/>
      <c r="F55" s="25"/>
      <c r="G55" s="49">
        <v>0</v>
      </c>
      <c r="H55" s="49">
        <v>0</v>
      </c>
      <c r="I55" s="49">
        <v>0</v>
      </c>
      <c r="J55" s="69"/>
      <c r="K55" s="70"/>
      <c r="L55" s="83"/>
      <c r="M55" s="25"/>
      <c r="N55" s="25"/>
      <c r="O55" s="72">
        <f t="shared" si="3"/>
        <v>0</v>
      </c>
      <c r="P55" s="73">
        <v>0</v>
      </c>
      <c r="Q55" s="72">
        <f t="shared" si="2"/>
        <v>0</v>
      </c>
      <c r="R55" s="29"/>
    </row>
    <row r="56" spans="1:18" ht="24.6">
      <c r="A56" s="25">
        <v>13</v>
      </c>
      <c r="B56" s="29" t="s">
        <v>78</v>
      </c>
      <c r="C56" s="25" t="s">
        <v>79</v>
      </c>
      <c r="D56" s="49">
        <v>2430</v>
      </c>
      <c r="E56" s="25"/>
      <c r="F56" s="25"/>
      <c r="G56" s="49">
        <v>0</v>
      </c>
      <c r="H56" s="49">
        <v>0</v>
      </c>
      <c r="I56" s="49">
        <v>0</v>
      </c>
      <c r="J56" s="69">
        <v>25086</v>
      </c>
      <c r="K56" s="70" t="s">
        <v>80</v>
      </c>
      <c r="L56" s="83">
        <v>2430</v>
      </c>
      <c r="M56" s="25"/>
      <c r="N56" s="25"/>
      <c r="O56" s="72">
        <f t="shared" si="3"/>
        <v>0</v>
      </c>
      <c r="P56" s="73">
        <v>0</v>
      </c>
      <c r="Q56" s="72">
        <f t="shared" si="2"/>
        <v>0</v>
      </c>
      <c r="R56" s="29"/>
    </row>
    <row r="57" spans="1:18" ht="24.6">
      <c r="A57" s="25">
        <v>14</v>
      </c>
      <c r="B57" s="29" t="s">
        <v>81</v>
      </c>
      <c r="C57" s="25" t="s">
        <v>82</v>
      </c>
      <c r="D57" s="49">
        <v>0</v>
      </c>
      <c r="E57" s="25"/>
      <c r="F57" s="25"/>
      <c r="G57" s="49">
        <v>0</v>
      </c>
      <c r="H57" s="49">
        <v>0</v>
      </c>
      <c r="I57" s="49">
        <v>0</v>
      </c>
      <c r="J57" s="69"/>
      <c r="K57" s="70"/>
      <c r="L57" s="83"/>
      <c r="M57" s="25"/>
      <c r="N57" s="25"/>
      <c r="O57" s="72">
        <f t="shared" si="3"/>
        <v>0</v>
      </c>
      <c r="P57" s="73">
        <v>0</v>
      </c>
      <c r="Q57" s="72">
        <f t="shared" si="2"/>
        <v>0</v>
      </c>
      <c r="R57" s="29"/>
    </row>
    <row r="58" spans="1:18" ht="24.6">
      <c r="A58" s="25">
        <v>15</v>
      </c>
      <c r="B58" s="29" t="s">
        <v>83</v>
      </c>
      <c r="C58" s="25">
        <v>277</v>
      </c>
      <c r="D58" s="49">
        <v>1215</v>
      </c>
      <c r="E58" s="25"/>
      <c r="F58" s="25"/>
      <c r="G58" s="49">
        <v>0</v>
      </c>
      <c r="H58" s="49">
        <v>0</v>
      </c>
      <c r="I58" s="49">
        <v>0</v>
      </c>
      <c r="J58" s="69">
        <v>25111</v>
      </c>
      <c r="K58" s="70" t="s">
        <v>84</v>
      </c>
      <c r="L58" s="83">
        <v>1215</v>
      </c>
      <c r="M58" s="25"/>
      <c r="N58" s="25"/>
      <c r="O58" s="72">
        <f t="shared" si="3"/>
        <v>0</v>
      </c>
      <c r="P58" s="73">
        <v>0</v>
      </c>
      <c r="Q58" s="72">
        <f t="shared" si="2"/>
        <v>0</v>
      </c>
      <c r="R58" s="29"/>
    </row>
    <row r="59" spans="1:18" ht="24.6">
      <c r="A59" s="25">
        <v>16</v>
      </c>
      <c r="B59" s="29" t="s">
        <v>85</v>
      </c>
      <c r="C59" s="25" t="s">
        <v>86</v>
      </c>
      <c r="D59" s="49">
        <v>0</v>
      </c>
      <c r="E59" s="25"/>
      <c r="F59" s="25"/>
      <c r="G59" s="49">
        <v>0</v>
      </c>
      <c r="H59" s="49">
        <v>0</v>
      </c>
      <c r="I59" s="49">
        <v>0</v>
      </c>
      <c r="J59" s="26"/>
      <c r="K59" s="16"/>
      <c r="L59" s="118"/>
      <c r="M59" s="25"/>
      <c r="N59" s="25"/>
      <c r="O59" s="72">
        <f t="shared" si="3"/>
        <v>0</v>
      </c>
      <c r="P59" s="73">
        <v>0</v>
      </c>
      <c r="Q59" s="72">
        <f t="shared" si="2"/>
        <v>0</v>
      </c>
      <c r="R59" s="29" t="s">
        <v>87</v>
      </c>
    </row>
    <row r="60" spans="1:18" ht="24.6">
      <c r="A60" s="25">
        <v>17</v>
      </c>
      <c r="B60" s="29" t="s">
        <v>57</v>
      </c>
      <c r="C60" s="25" t="s">
        <v>88</v>
      </c>
      <c r="D60" s="49">
        <v>0</v>
      </c>
      <c r="E60" s="25"/>
      <c r="F60" s="25"/>
      <c r="G60" s="49">
        <v>0</v>
      </c>
      <c r="H60" s="49">
        <v>0</v>
      </c>
      <c r="I60" s="49">
        <v>0</v>
      </c>
      <c r="J60" s="26"/>
      <c r="K60" s="16"/>
      <c r="L60" s="118"/>
      <c r="M60" s="25"/>
      <c r="N60" s="25"/>
      <c r="O60" s="72">
        <f t="shared" si="3"/>
        <v>0</v>
      </c>
      <c r="P60" s="73">
        <v>0</v>
      </c>
      <c r="Q60" s="72">
        <f t="shared" si="2"/>
        <v>0</v>
      </c>
      <c r="R60" s="29"/>
    </row>
    <row r="61" spans="1:18" ht="24.6">
      <c r="A61" s="25"/>
      <c r="B61" s="116" t="s">
        <v>89</v>
      </c>
      <c r="C61" s="29"/>
      <c r="D61" s="29"/>
      <c r="E61" s="25"/>
      <c r="F61" s="25"/>
      <c r="G61" s="29">
        <v>0</v>
      </c>
      <c r="H61" s="49"/>
      <c r="I61" s="49">
        <v>0</v>
      </c>
      <c r="J61" s="26"/>
      <c r="K61" s="16"/>
      <c r="L61" s="118"/>
      <c r="M61" s="25"/>
      <c r="N61" s="25"/>
      <c r="O61" s="72">
        <f t="shared" si="3"/>
        <v>0</v>
      </c>
      <c r="P61" s="49"/>
      <c r="Q61" s="72">
        <f t="shared" si="2"/>
        <v>0</v>
      </c>
      <c r="R61" s="29"/>
    </row>
    <row r="62" spans="1:18" ht="24.6">
      <c r="A62" s="25">
        <v>1</v>
      </c>
      <c r="B62" s="29" t="s">
        <v>57</v>
      </c>
      <c r="C62" s="25" t="s">
        <v>90</v>
      </c>
      <c r="D62" s="49">
        <v>0</v>
      </c>
      <c r="E62" s="25"/>
      <c r="F62" s="25"/>
      <c r="G62" s="49">
        <v>0</v>
      </c>
      <c r="H62" s="49">
        <v>0</v>
      </c>
      <c r="I62" s="49">
        <v>0</v>
      </c>
      <c r="J62" s="26"/>
      <c r="K62" s="16"/>
      <c r="L62" s="118"/>
      <c r="M62" s="25"/>
      <c r="N62" s="25"/>
      <c r="O62" s="72">
        <f t="shared" si="3"/>
        <v>0</v>
      </c>
      <c r="P62" s="73">
        <v>0</v>
      </c>
      <c r="Q62" s="73">
        <f t="shared" ref="Q62:Q72" si="4">D62+I62</f>
        <v>0</v>
      </c>
      <c r="R62" s="29" t="s">
        <v>91</v>
      </c>
    </row>
    <row r="63" spans="1:18" ht="24.6">
      <c r="A63" s="25">
        <v>2</v>
      </c>
      <c r="B63" s="119" t="s">
        <v>57</v>
      </c>
      <c r="C63" s="25" t="s">
        <v>92</v>
      </c>
      <c r="D63" s="49"/>
      <c r="E63" s="25"/>
      <c r="F63" s="25"/>
      <c r="G63" s="49">
        <v>0</v>
      </c>
      <c r="H63" s="49"/>
      <c r="I63" s="49">
        <v>0</v>
      </c>
      <c r="J63" s="26"/>
      <c r="K63" s="16"/>
      <c r="L63" s="118"/>
      <c r="M63" s="25"/>
      <c r="N63" s="25"/>
      <c r="O63" s="72">
        <f t="shared" ref="O63:O72" si="5">D63+G63</f>
        <v>0</v>
      </c>
      <c r="P63" s="49"/>
      <c r="Q63" s="73">
        <f t="shared" si="4"/>
        <v>0</v>
      </c>
      <c r="R63" s="29"/>
    </row>
    <row r="64" spans="1:18" ht="24.6">
      <c r="A64" s="25">
        <v>3</v>
      </c>
      <c r="B64" s="29" t="s">
        <v>93</v>
      </c>
      <c r="C64" s="25" t="s">
        <v>94</v>
      </c>
      <c r="D64" s="49">
        <v>0</v>
      </c>
      <c r="E64" s="25"/>
      <c r="F64" s="25"/>
      <c r="G64" s="89">
        <v>0</v>
      </c>
      <c r="H64" s="89">
        <v>0</v>
      </c>
      <c r="I64" s="89">
        <v>0</v>
      </c>
      <c r="J64" s="69"/>
      <c r="K64" s="84"/>
      <c r="L64" s="83"/>
      <c r="M64" s="25"/>
      <c r="N64" s="25"/>
      <c r="O64" s="72">
        <f t="shared" si="5"/>
        <v>0</v>
      </c>
      <c r="P64" s="73">
        <v>0</v>
      </c>
      <c r="Q64" s="73">
        <f t="shared" si="4"/>
        <v>0</v>
      </c>
      <c r="R64" s="29"/>
    </row>
    <row r="65" spans="1:20" ht="24.6">
      <c r="A65" s="25">
        <v>4</v>
      </c>
      <c r="B65" s="119" t="s">
        <v>57</v>
      </c>
      <c r="C65" s="25" t="s">
        <v>95</v>
      </c>
      <c r="D65" s="52">
        <v>0</v>
      </c>
      <c r="E65" s="25"/>
      <c r="F65" s="25"/>
      <c r="G65" s="49">
        <v>0</v>
      </c>
      <c r="H65" s="49"/>
      <c r="I65" s="49">
        <v>0</v>
      </c>
      <c r="J65" s="69"/>
      <c r="K65" s="84"/>
      <c r="L65" s="83"/>
      <c r="M65" s="25"/>
      <c r="N65" s="25"/>
      <c r="O65" s="72">
        <f t="shared" si="5"/>
        <v>0</v>
      </c>
      <c r="P65" s="49"/>
      <c r="Q65" s="73">
        <f t="shared" si="4"/>
        <v>0</v>
      </c>
      <c r="R65" s="29"/>
    </row>
    <row r="66" spans="1:20" ht="24.6">
      <c r="A66" s="25">
        <v>5</v>
      </c>
      <c r="B66" s="29" t="s">
        <v>40</v>
      </c>
      <c r="C66" s="25" t="s">
        <v>96</v>
      </c>
      <c r="D66" s="49">
        <v>0</v>
      </c>
      <c r="E66" s="25"/>
      <c r="F66" s="25"/>
      <c r="G66" s="49">
        <v>0</v>
      </c>
      <c r="H66" s="49">
        <v>0</v>
      </c>
      <c r="I66" s="49">
        <v>0</v>
      </c>
      <c r="J66" s="69"/>
      <c r="K66" s="70"/>
      <c r="L66" s="83"/>
      <c r="M66" s="25"/>
      <c r="N66" s="25"/>
      <c r="O66" s="72">
        <f t="shared" si="5"/>
        <v>0</v>
      </c>
      <c r="P66" s="73">
        <v>0</v>
      </c>
      <c r="Q66" s="73">
        <f t="shared" si="4"/>
        <v>0</v>
      </c>
      <c r="R66" s="29" t="s">
        <v>41</v>
      </c>
    </row>
    <row r="67" spans="1:20" ht="24.6">
      <c r="A67" s="25"/>
      <c r="B67" s="53"/>
      <c r="C67" s="25"/>
      <c r="D67" s="49"/>
      <c r="E67" s="25"/>
      <c r="F67" s="25"/>
      <c r="G67" s="49">
        <v>0</v>
      </c>
      <c r="H67" s="49"/>
      <c r="I67" s="49">
        <v>0</v>
      </c>
      <c r="J67" s="69"/>
      <c r="K67" s="70"/>
      <c r="L67" s="83"/>
      <c r="M67" s="25"/>
      <c r="N67" s="25"/>
      <c r="O67" s="72">
        <f t="shared" si="5"/>
        <v>0</v>
      </c>
      <c r="P67" s="49"/>
      <c r="Q67" s="73">
        <f t="shared" si="4"/>
        <v>0</v>
      </c>
      <c r="R67" s="29"/>
    </row>
    <row r="68" spans="1:20" ht="24.6">
      <c r="A68" s="25"/>
      <c r="B68" s="124" t="s">
        <v>97</v>
      </c>
      <c r="C68" s="29"/>
      <c r="D68" s="29"/>
      <c r="E68" s="25"/>
      <c r="F68" s="25"/>
      <c r="G68" s="29">
        <v>0</v>
      </c>
      <c r="H68" s="49"/>
      <c r="I68" s="49">
        <v>0</v>
      </c>
      <c r="J68" s="26"/>
      <c r="K68" s="16"/>
      <c r="L68" s="118"/>
      <c r="M68" s="25"/>
      <c r="N68" s="25"/>
      <c r="O68" s="72">
        <f t="shared" si="5"/>
        <v>0</v>
      </c>
      <c r="P68" s="49"/>
      <c r="Q68" s="73">
        <f t="shared" si="4"/>
        <v>0</v>
      </c>
      <c r="R68" s="29"/>
    </row>
    <row r="69" spans="1:20" ht="24.6">
      <c r="A69" s="25">
        <v>1</v>
      </c>
      <c r="B69" s="125" t="s">
        <v>98</v>
      </c>
      <c r="C69" s="25" t="s">
        <v>99</v>
      </c>
      <c r="D69" s="49">
        <v>0</v>
      </c>
      <c r="E69" s="68"/>
      <c r="F69" s="25"/>
      <c r="G69" s="49">
        <v>0</v>
      </c>
      <c r="H69" s="49">
        <v>0</v>
      </c>
      <c r="I69" s="49">
        <v>0</v>
      </c>
      <c r="J69" s="69"/>
      <c r="K69" s="70"/>
      <c r="L69" s="83"/>
      <c r="M69" s="25"/>
      <c r="N69" s="25"/>
      <c r="O69" s="72">
        <f t="shared" si="5"/>
        <v>0</v>
      </c>
      <c r="P69" s="73">
        <v>0</v>
      </c>
      <c r="Q69" s="73">
        <f t="shared" si="4"/>
        <v>0</v>
      </c>
      <c r="R69" s="29" t="s">
        <v>100</v>
      </c>
      <c r="T69" s="2" t="s">
        <v>101</v>
      </c>
    </row>
    <row r="70" spans="1:20" ht="24.6">
      <c r="A70" s="25"/>
      <c r="B70" s="116" t="s">
        <v>102</v>
      </c>
      <c r="C70" s="29"/>
      <c r="D70" s="29"/>
      <c r="E70" s="25"/>
      <c r="F70" s="25"/>
      <c r="G70" s="29">
        <v>0</v>
      </c>
      <c r="H70" s="49"/>
      <c r="I70" s="49">
        <v>0</v>
      </c>
      <c r="J70" s="69"/>
      <c r="K70" s="70"/>
      <c r="L70" s="83"/>
      <c r="M70" s="25"/>
      <c r="N70" s="25"/>
      <c r="O70" s="72">
        <f t="shared" si="5"/>
        <v>0</v>
      </c>
      <c r="P70" s="49"/>
      <c r="Q70" s="73">
        <f t="shared" si="4"/>
        <v>0</v>
      </c>
      <c r="R70" s="29"/>
    </row>
    <row r="71" spans="1:20" ht="20.25" customHeight="1">
      <c r="A71" s="25">
        <v>1</v>
      </c>
      <c r="B71" s="29" t="s">
        <v>36</v>
      </c>
      <c r="C71" s="29"/>
      <c r="D71" s="49">
        <v>0</v>
      </c>
      <c r="E71" s="25"/>
      <c r="F71" s="25"/>
      <c r="G71" s="49">
        <v>0</v>
      </c>
      <c r="H71" s="49">
        <v>0</v>
      </c>
      <c r="I71" s="49">
        <v>0</v>
      </c>
      <c r="J71" s="69"/>
      <c r="K71" s="84"/>
      <c r="L71" s="83"/>
      <c r="M71" s="25"/>
      <c r="N71" s="25"/>
      <c r="O71" s="72">
        <f t="shared" si="5"/>
        <v>0</v>
      </c>
      <c r="P71" s="73">
        <v>0</v>
      </c>
      <c r="Q71" s="73">
        <f t="shared" si="4"/>
        <v>0</v>
      </c>
      <c r="R71" s="29" t="s">
        <v>103</v>
      </c>
    </row>
    <row r="72" spans="1:20" ht="24.6">
      <c r="A72" s="25"/>
      <c r="B72" s="116" t="s">
        <v>104</v>
      </c>
      <c r="C72" s="29"/>
      <c r="D72" s="29"/>
      <c r="E72" s="25"/>
      <c r="F72" s="25"/>
      <c r="G72" s="49">
        <v>0</v>
      </c>
      <c r="H72" s="49"/>
      <c r="I72" s="49">
        <v>0</v>
      </c>
      <c r="J72" s="69"/>
      <c r="K72" s="84"/>
      <c r="L72" s="83"/>
      <c r="M72" s="25"/>
      <c r="N72" s="25"/>
      <c r="O72" s="72">
        <f t="shared" si="5"/>
        <v>0</v>
      </c>
      <c r="P72" s="49"/>
      <c r="Q72" s="73">
        <f t="shared" si="4"/>
        <v>0</v>
      </c>
      <c r="R72" s="29"/>
    </row>
    <row r="73" spans="1:20" ht="24.6">
      <c r="A73" s="25">
        <v>1</v>
      </c>
      <c r="B73" s="29" t="s">
        <v>105</v>
      </c>
      <c r="C73" s="29"/>
      <c r="D73" s="49">
        <v>5000</v>
      </c>
      <c r="E73" s="126" t="s">
        <v>74</v>
      </c>
      <c r="F73" s="25">
        <v>1</v>
      </c>
      <c r="G73" s="49">
        <v>5000</v>
      </c>
      <c r="H73" s="49">
        <v>0</v>
      </c>
      <c r="I73" s="49">
        <v>5000</v>
      </c>
      <c r="J73" s="69">
        <v>25107</v>
      </c>
      <c r="K73" s="70" t="s">
        <v>106</v>
      </c>
      <c r="L73" s="83">
        <v>10000</v>
      </c>
      <c r="M73" s="126"/>
      <c r="N73" s="25"/>
      <c r="O73" s="72">
        <f>D73+G73-L73</f>
        <v>0</v>
      </c>
      <c r="P73" s="73">
        <v>0</v>
      </c>
      <c r="Q73" s="73">
        <f>D73+I73-L73</f>
        <v>0</v>
      </c>
      <c r="R73" s="29"/>
    </row>
    <row r="74" spans="1:20" ht="24.6">
      <c r="A74" s="25">
        <v>2</v>
      </c>
      <c r="B74" s="29" t="s">
        <v>105</v>
      </c>
      <c r="C74" s="29"/>
      <c r="D74" s="49">
        <v>4650</v>
      </c>
      <c r="E74" s="126" t="s">
        <v>74</v>
      </c>
      <c r="F74" s="25">
        <v>1</v>
      </c>
      <c r="G74" s="49">
        <v>4650</v>
      </c>
      <c r="H74" s="49">
        <v>0</v>
      </c>
      <c r="I74" s="49">
        <v>4650</v>
      </c>
      <c r="J74" s="69">
        <v>25107</v>
      </c>
      <c r="K74" s="70" t="s">
        <v>107</v>
      </c>
      <c r="L74" s="83">
        <v>9300</v>
      </c>
      <c r="M74" s="126"/>
      <c r="N74" s="25"/>
      <c r="O74" s="72">
        <f>D74+G74-L74</f>
        <v>0</v>
      </c>
      <c r="P74" s="73">
        <v>0</v>
      </c>
      <c r="Q74" s="73">
        <f>D74+I74-L74</f>
        <v>0</v>
      </c>
      <c r="R74" s="29" t="s">
        <v>108</v>
      </c>
    </row>
    <row r="75" spans="1:20" ht="24.6">
      <c r="A75" s="25">
        <v>3</v>
      </c>
      <c r="B75" s="29" t="s">
        <v>109</v>
      </c>
      <c r="C75" s="53"/>
      <c r="D75" s="127">
        <v>3450</v>
      </c>
      <c r="E75" s="25"/>
      <c r="F75" s="25"/>
      <c r="G75" s="127">
        <v>0</v>
      </c>
      <c r="H75" s="127">
        <v>0</v>
      </c>
      <c r="I75" s="49">
        <v>0</v>
      </c>
      <c r="J75" s="128">
        <v>25085</v>
      </c>
      <c r="K75" s="129" t="s">
        <v>110</v>
      </c>
      <c r="L75" s="130">
        <v>3450</v>
      </c>
      <c r="M75" s="25"/>
      <c r="N75" s="25"/>
      <c r="O75" s="72">
        <f>D75+G75-L75</f>
        <v>0</v>
      </c>
      <c r="P75" s="73">
        <v>0</v>
      </c>
      <c r="Q75" s="73">
        <f>D75+I75-L75</f>
        <v>0</v>
      </c>
      <c r="R75" s="29" t="s">
        <v>111</v>
      </c>
    </row>
    <row r="76" spans="1:20" ht="24.6">
      <c r="A76" s="25">
        <v>4</v>
      </c>
      <c r="B76" s="29" t="s">
        <v>112</v>
      </c>
      <c r="C76" s="29"/>
      <c r="D76" s="49">
        <v>3795</v>
      </c>
      <c r="E76" s="25"/>
      <c r="F76" s="25"/>
      <c r="G76" s="49">
        <v>0</v>
      </c>
      <c r="H76" s="49">
        <v>0</v>
      </c>
      <c r="I76" s="49">
        <v>0</v>
      </c>
      <c r="J76" s="128">
        <v>25086</v>
      </c>
      <c r="K76" s="129" t="s">
        <v>113</v>
      </c>
      <c r="L76" s="130">
        <v>3795</v>
      </c>
      <c r="M76" s="25"/>
      <c r="N76" s="25"/>
      <c r="O76" s="72">
        <f>D76+G76-L76</f>
        <v>0</v>
      </c>
      <c r="P76" s="73">
        <v>0</v>
      </c>
      <c r="Q76" s="73">
        <f>D76+I76-L76</f>
        <v>0</v>
      </c>
      <c r="R76" s="131" t="s">
        <v>114</v>
      </c>
    </row>
    <row r="77" spans="1:20" ht="25.5" customHeight="1">
      <c r="A77" s="25">
        <v>5</v>
      </c>
      <c r="B77" s="132" t="s">
        <v>115</v>
      </c>
      <c r="C77" s="132"/>
      <c r="D77" s="133">
        <v>8000</v>
      </c>
      <c r="E77" s="29"/>
      <c r="F77" s="29"/>
      <c r="G77" s="134">
        <v>0</v>
      </c>
      <c r="H77" s="134">
        <v>0</v>
      </c>
      <c r="I77" s="134">
        <v>0</v>
      </c>
      <c r="J77" s="128">
        <v>25086</v>
      </c>
      <c r="K77" s="129" t="s">
        <v>116</v>
      </c>
      <c r="L77" s="130">
        <v>8000</v>
      </c>
      <c r="M77" s="29"/>
      <c r="N77" s="25"/>
      <c r="O77" s="72">
        <f>D77+G77-L77</f>
        <v>0</v>
      </c>
      <c r="P77" s="73">
        <v>0</v>
      </c>
      <c r="Q77" s="73">
        <f>D77+I77-L77</f>
        <v>0</v>
      </c>
    </row>
    <row r="78" spans="1:20" ht="25.2" thickBot="1">
      <c r="A78" s="29"/>
      <c r="B78" s="25" t="s">
        <v>26</v>
      </c>
      <c r="C78" s="74"/>
      <c r="D78" s="78">
        <f>SUM(D44:D77)</f>
        <v>34615</v>
      </c>
      <c r="E78" s="78"/>
      <c r="F78" s="78"/>
      <c r="G78" s="78">
        <f>SUM(G44:G77)</f>
        <v>12080</v>
      </c>
      <c r="H78" s="78">
        <f>SUM(H44:H77)</f>
        <v>0</v>
      </c>
      <c r="I78" s="78">
        <f>SUM(I44:I77)</f>
        <v>12080</v>
      </c>
      <c r="J78" s="77"/>
      <c r="K78" s="77"/>
      <c r="L78" s="77">
        <f>SUM(L44:L77)</f>
        <v>46695</v>
      </c>
      <c r="M78" s="78"/>
      <c r="N78" s="135"/>
      <c r="O78" s="106">
        <f>SUM(O44:O77)</f>
        <v>0</v>
      </c>
      <c r="P78" s="78">
        <v>0</v>
      </c>
      <c r="Q78" s="136">
        <f>SUM(Q44:Q77)</f>
        <v>0</v>
      </c>
      <c r="R78" s="29"/>
    </row>
    <row r="79" spans="1:20" ht="25.2" thickTop="1">
      <c r="A79" s="29"/>
      <c r="B79" s="116" t="s">
        <v>117</v>
      </c>
      <c r="C79" s="46"/>
      <c r="D79" s="46"/>
      <c r="E79" s="28"/>
      <c r="F79" s="28"/>
      <c r="G79" s="46"/>
      <c r="H79" s="46"/>
      <c r="I79" s="46"/>
      <c r="J79" s="137"/>
      <c r="K79" s="138"/>
      <c r="L79" s="139"/>
      <c r="M79" s="28"/>
      <c r="N79" s="28"/>
      <c r="O79" s="72">
        <v>0</v>
      </c>
      <c r="P79" s="46"/>
      <c r="Q79" s="140">
        <v>0</v>
      </c>
      <c r="R79" s="46"/>
    </row>
    <row r="80" spans="1:20" ht="24.6">
      <c r="A80" s="29"/>
      <c r="B80" s="116" t="s">
        <v>118</v>
      </c>
      <c r="C80" s="46"/>
      <c r="D80" s="46"/>
      <c r="E80" s="25"/>
      <c r="F80" s="28"/>
      <c r="G80" s="46"/>
      <c r="H80" s="46"/>
      <c r="I80" s="46"/>
      <c r="J80" s="137"/>
      <c r="K80" s="138"/>
      <c r="L80" s="139"/>
      <c r="M80" s="28"/>
      <c r="N80" s="28"/>
      <c r="O80" s="72">
        <v>0</v>
      </c>
      <c r="P80" s="46"/>
      <c r="Q80" s="73">
        <v>0</v>
      </c>
      <c r="R80" s="29"/>
    </row>
    <row r="81" spans="1:18" ht="24.6">
      <c r="A81" s="25">
        <v>1</v>
      </c>
      <c r="B81" s="119" t="s">
        <v>119</v>
      </c>
      <c r="C81" s="46"/>
      <c r="D81" s="98">
        <v>0</v>
      </c>
      <c r="E81" s="25"/>
      <c r="F81" s="28"/>
      <c r="G81" s="49">
        <v>0</v>
      </c>
      <c r="H81" s="49">
        <v>0</v>
      </c>
      <c r="I81" s="49">
        <v>0</v>
      </c>
      <c r="J81" s="26"/>
      <c r="K81" s="16"/>
      <c r="L81" s="118">
        <v>0</v>
      </c>
      <c r="M81" s="119"/>
      <c r="N81" s="28"/>
      <c r="O81" s="72">
        <v>0</v>
      </c>
      <c r="P81" s="141">
        <v>0</v>
      </c>
      <c r="Q81" s="73">
        <v>0</v>
      </c>
      <c r="R81" s="29" t="s">
        <v>120</v>
      </c>
    </row>
    <row r="82" spans="1:18" ht="24.6">
      <c r="A82" s="25"/>
      <c r="B82" s="29" t="s">
        <v>120</v>
      </c>
      <c r="C82" s="46"/>
      <c r="D82" s="98"/>
      <c r="E82" s="25"/>
      <c r="F82" s="28"/>
      <c r="G82" s="49"/>
      <c r="H82" s="49"/>
      <c r="I82" s="49"/>
      <c r="J82" s="26"/>
      <c r="K82" s="16"/>
      <c r="L82" s="118"/>
      <c r="M82" s="25"/>
      <c r="N82" s="28"/>
      <c r="O82" s="72">
        <v>0</v>
      </c>
      <c r="P82" s="46"/>
      <c r="Q82" s="73">
        <v>0</v>
      </c>
      <c r="R82" s="29"/>
    </row>
    <row r="83" spans="1:18" ht="24.6">
      <c r="A83" s="25">
        <v>2</v>
      </c>
      <c r="B83" s="119" t="s">
        <v>121</v>
      </c>
      <c r="C83" s="46"/>
      <c r="D83" s="98">
        <v>6000</v>
      </c>
      <c r="E83" s="25"/>
      <c r="F83" s="25"/>
      <c r="G83" s="49">
        <v>0</v>
      </c>
      <c r="H83" s="49">
        <v>0</v>
      </c>
      <c r="I83" s="49">
        <v>0</v>
      </c>
      <c r="J83" s="69">
        <v>25086</v>
      </c>
      <c r="K83" s="70" t="s">
        <v>122</v>
      </c>
      <c r="L83" s="83">
        <v>6000</v>
      </c>
      <c r="M83" s="25"/>
      <c r="N83" s="25"/>
      <c r="O83" s="72">
        <v>0</v>
      </c>
      <c r="P83" s="73">
        <v>0</v>
      </c>
      <c r="Q83" s="73">
        <v>0</v>
      </c>
      <c r="R83" s="29"/>
    </row>
    <row r="84" spans="1:18" ht="24.6">
      <c r="A84" s="29"/>
      <c r="B84" s="45" t="s">
        <v>123</v>
      </c>
      <c r="C84" s="46"/>
      <c r="D84" s="46"/>
      <c r="E84" s="28"/>
      <c r="F84" s="28"/>
      <c r="G84" s="46"/>
      <c r="H84" s="46"/>
      <c r="I84" s="49"/>
      <c r="J84" s="142"/>
      <c r="K84" s="143"/>
      <c r="L84" s="144"/>
      <c r="M84" s="28"/>
      <c r="N84" s="28"/>
      <c r="O84" s="72">
        <v>0</v>
      </c>
      <c r="P84" s="46"/>
      <c r="Q84" s="73">
        <v>0</v>
      </c>
      <c r="R84" s="29"/>
    </row>
    <row r="85" spans="1:18" ht="24.6">
      <c r="A85" s="25">
        <v>1</v>
      </c>
      <c r="B85" s="29" t="s">
        <v>124</v>
      </c>
      <c r="C85" s="29"/>
      <c r="D85" s="49">
        <v>600</v>
      </c>
      <c r="E85" s="25"/>
      <c r="F85" s="25"/>
      <c r="G85" s="49">
        <v>0</v>
      </c>
      <c r="H85" s="49">
        <v>0</v>
      </c>
      <c r="I85" s="49">
        <v>0</v>
      </c>
      <c r="J85" s="69">
        <v>25110</v>
      </c>
      <c r="K85" s="70" t="s">
        <v>125</v>
      </c>
      <c r="L85" s="83">
        <v>600</v>
      </c>
      <c r="M85" s="25"/>
      <c r="N85" s="25"/>
      <c r="O85" s="72">
        <v>0</v>
      </c>
      <c r="P85" s="73">
        <v>0</v>
      </c>
      <c r="Q85" s="73">
        <v>0</v>
      </c>
      <c r="R85" s="29"/>
    </row>
    <row r="86" spans="1:18" ht="24.6">
      <c r="A86" s="25">
        <v>2</v>
      </c>
      <c r="B86" s="29" t="s">
        <v>40</v>
      </c>
      <c r="C86" s="29"/>
      <c r="D86" s="49">
        <v>0</v>
      </c>
      <c r="E86" s="25"/>
      <c r="F86" s="25"/>
      <c r="G86" s="49">
        <v>0</v>
      </c>
      <c r="H86" s="49">
        <v>0</v>
      </c>
      <c r="I86" s="49">
        <v>0</v>
      </c>
      <c r="J86" s="69"/>
      <c r="K86" s="70"/>
      <c r="L86" s="83"/>
      <c r="M86" s="25"/>
      <c r="N86" s="25"/>
      <c r="O86" s="72">
        <v>0</v>
      </c>
      <c r="P86" s="73">
        <v>0</v>
      </c>
      <c r="Q86" s="73">
        <v>0</v>
      </c>
      <c r="R86" s="29" t="s">
        <v>126</v>
      </c>
    </row>
    <row r="87" spans="1:18" ht="24.6">
      <c r="A87" s="25"/>
      <c r="B87" s="124" t="s">
        <v>127</v>
      </c>
      <c r="C87" s="29"/>
      <c r="D87" s="49"/>
      <c r="E87" s="25"/>
      <c r="F87" s="25"/>
      <c r="G87" s="49"/>
      <c r="H87" s="29"/>
      <c r="I87" s="49"/>
      <c r="J87" s="26"/>
      <c r="K87" s="16"/>
      <c r="L87" s="118"/>
      <c r="M87" s="25"/>
      <c r="N87" s="25"/>
      <c r="O87" s="72">
        <v>0</v>
      </c>
      <c r="P87" s="49"/>
      <c r="Q87" s="73">
        <v>0</v>
      </c>
      <c r="R87" s="29"/>
    </row>
    <row r="88" spans="1:18" ht="24.6">
      <c r="A88" s="25">
        <v>1</v>
      </c>
      <c r="B88" s="119" t="s">
        <v>128</v>
      </c>
      <c r="C88" s="29"/>
      <c r="D88" s="49"/>
      <c r="E88" s="25"/>
      <c r="F88" s="25"/>
      <c r="G88" s="49">
        <v>0</v>
      </c>
      <c r="H88" s="49">
        <v>0</v>
      </c>
      <c r="I88" s="49">
        <v>0</v>
      </c>
      <c r="J88" s="26"/>
      <c r="K88" s="16"/>
      <c r="L88" s="118"/>
      <c r="M88" s="25"/>
      <c r="N88" s="25"/>
      <c r="O88" s="72">
        <v>0</v>
      </c>
      <c r="P88" s="73">
        <v>0</v>
      </c>
      <c r="Q88" s="73">
        <v>0</v>
      </c>
      <c r="R88" s="29" t="s">
        <v>129</v>
      </c>
    </row>
    <row r="89" spans="1:18" ht="24.6">
      <c r="A89" s="25">
        <v>2</v>
      </c>
      <c r="B89" s="29" t="s">
        <v>130</v>
      </c>
      <c r="C89" s="29"/>
      <c r="D89" s="49">
        <v>550</v>
      </c>
      <c r="E89" s="25"/>
      <c r="F89" s="25"/>
      <c r="G89" s="49">
        <v>0</v>
      </c>
      <c r="H89" s="49">
        <v>0</v>
      </c>
      <c r="I89" s="49">
        <v>0</v>
      </c>
      <c r="J89" s="69">
        <v>25110</v>
      </c>
      <c r="K89" s="70" t="s">
        <v>131</v>
      </c>
      <c r="L89" s="83">
        <v>550</v>
      </c>
      <c r="M89" s="25"/>
      <c r="N89" s="25"/>
      <c r="O89" s="72">
        <v>0</v>
      </c>
      <c r="P89" s="73">
        <v>0</v>
      </c>
      <c r="Q89" s="73">
        <v>0</v>
      </c>
      <c r="R89" s="29"/>
    </row>
    <row r="90" spans="1:18" ht="24.6">
      <c r="A90" s="25">
        <v>3</v>
      </c>
      <c r="B90" s="29" t="s">
        <v>132</v>
      </c>
      <c r="C90" s="29"/>
      <c r="D90" s="49">
        <v>1100</v>
      </c>
      <c r="E90" s="25"/>
      <c r="F90" s="25"/>
      <c r="G90" s="89">
        <v>0</v>
      </c>
      <c r="H90" s="49">
        <v>0</v>
      </c>
      <c r="I90" s="49">
        <v>0</v>
      </c>
      <c r="J90" s="69">
        <v>25111</v>
      </c>
      <c r="K90" s="70" t="s">
        <v>133</v>
      </c>
      <c r="L90" s="83">
        <v>1100</v>
      </c>
      <c r="M90" s="25"/>
      <c r="N90" s="25"/>
      <c r="O90" s="72">
        <v>0</v>
      </c>
      <c r="P90" s="73">
        <v>0</v>
      </c>
      <c r="Q90" s="73">
        <v>0</v>
      </c>
      <c r="R90" s="29"/>
    </row>
    <row r="91" spans="1:18" ht="24.6">
      <c r="A91" s="25">
        <v>4</v>
      </c>
      <c r="B91" s="29" t="s">
        <v>134</v>
      </c>
      <c r="C91" s="29"/>
      <c r="D91" s="49">
        <v>1650</v>
      </c>
      <c r="E91" s="25"/>
      <c r="F91" s="25"/>
      <c r="G91" s="89">
        <v>0</v>
      </c>
      <c r="H91" s="49">
        <v>0</v>
      </c>
      <c r="I91" s="49">
        <v>0</v>
      </c>
      <c r="J91" s="69">
        <v>25111</v>
      </c>
      <c r="K91" s="84" t="s">
        <v>135</v>
      </c>
      <c r="L91" s="83">
        <v>1650</v>
      </c>
      <c r="M91" s="25"/>
      <c r="N91" s="25"/>
      <c r="O91" s="72">
        <v>0</v>
      </c>
      <c r="P91" s="73">
        <v>0</v>
      </c>
      <c r="Q91" s="73">
        <v>0</v>
      </c>
      <c r="R91" s="29"/>
    </row>
    <row r="92" spans="1:18" ht="24.6">
      <c r="A92" s="25"/>
      <c r="B92" s="116" t="s">
        <v>136</v>
      </c>
      <c r="C92" s="29"/>
      <c r="D92" s="49"/>
      <c r="E92" s="25"/>
      <c r="F92" s="25"/>
      <c r="G92" s="89"/>
      <c r="H92" s="29"/>
      <c r="I92" s="49"/>
      <c r="J92" s="69"/>
      <c r="K92" s="70"/>
      <c r="L92" s="83"/>
      <c r="M92" s="25"/>
      <c r="N92" s="25"/>
      <c r="O92" s="72">
        <v>0</v>
      </c>
      <c r="P92" s="49"/>
      <c r="Q92" s="73">
        <v>0</v>
      </c>
      <c r="R92" s="29"/>
    </row>
    <row r="93" spans="1:18" ht="24.6">
      <c r="A93" s="25">
        <v>1</v>
      </c>
      <c r="B93" s="29" t="s">
        <v>137</v>
      </c>
      <c r="C93" s="29"/>
      <c r="D93" s="49">
        <v>5000</v>
      </c>
      <c r="E93" s="25"/>
      <c r="F93" s="25"/>
      <c r="G93" s="89"/>
      <c r="H93" s="49"/>
      <c r="I93" s="49"/>
      <c r="J93" s="69">
        <v>25111</v>
      </c>
      <c r="K93" s="70" t="s">
        <v>138</v>
      </c>
      <c r="L93" s="83">
        <v>5000</v>
      </c>
      <c r="M93" s="68"/>
      <c r="N93" s="25"/>
      <c r="O93" s="72">
        <v>0</v>
      </c>
      <c r="P93" s="73">
        <v>0</v>
      </c>
      <c r="Q93" s="73">
        <v>0</v>
      </c>
      <c r="R93" s="29" t="s">
        <v>139</v>
      </c>
    </row>
    <row r="94" spans="1:18" ht="24.6">
      <c r="A94" s="25"/>
      <c r="B94" s="29"/>
      <c r="C94" s="29"/>
      <c r="D94" s="49"/>
      <c r="E94" s="25"/>
      <c r="F94" s="25"/>
      <c r="G94" s="49"/>
      <c r="H94" s="49"/>
      <c r="I94" s="49"/>
      <c r="J94" s="69"/>
      <c r="K94" s="70"/>
      <c r="L94" s="83"/>
      <c r="M94" s="25"/>
      <c r="N94" s="25"/>
      <c r="O94" s="72">
        <v>0</v>
      </c>
      <c r="P94" s="49"/>
      <c r="Q94" s="73">
        <v>0</v>
      </c>
      <c r="R94" s="29"/>
    </row>
    <row r="95" spans="1:18" ht="24.6">
      <c r="A95" s="25"/>
      <c r="B95" s="116" t="s">
        <v>140</v>
      </c>
      <c r="C95" s="29"/>
      <c r="D95" s="49"/>
      <c r="E95" s="25"/>
      <c r="F95" s="25"/>
      <c r="G95" s="49"/>
      <c r="H95" s="49"/>
      <c r="I95" s="49"/>
      <c r="J95" s="69"/>
      <c r="K95" s="84"/>
      <c r="L95" s="83"/>
      <c r="M95" s="25"/>
      <c r="N95" s="25"/>
      <c r="O95" s="72">
        <v>0</v>
      </c>
      <c r="P95" s="49"/>
      <c r="Q95" s="73">
        <v>0</v>
      </c>
      <c r="R95" s="29"/>
    </row>
    <row r="96" spans="1:18" ht="24.6">
      <c r="A96" s="25">
        <v>1</v>
      </c>
      <c r="B96" s="29" t="s">
        <v>141</v>
      </c>
      <c r="C96" s="29"/>
      <c r="D96" s="49">
        <v>0</v>
      </c>
      <c r="E96" s="25"/>
      <c r="F96" s="25"/>
      <c r="G96" s="49">
        <v>0</v>
      </c>
      <c r="H96" s="49">
        <v>0</v>
      </c>
      <c r="I96" s="49">
        <v>0</v>
      </c>
      <c r="J96" s="69"/>
      <c r="K96" s="70"/>
      <c r="L96" s="83"/>
      <c r="M96" s="25"/>
      <c r="N96" s="25"/>
      <c r="O96" s="72">
        <v>0</v>
      </c>
      <c r="P96" s="73">
        <v>0</v>
      </c>
      <c r="Q96" s="73">
        <v>0</v>
      </c>
      <c r="R96" s="29"/>
    </row>
    <row r="97" spans="1:18" ht="24.6">
      <c r="A97" s="25"/>
      <c r="B97" s="116" t="s">
        <v>142</v>
      </c>
      <c r="C97" s="29"/>
      <c r="D97" s="49"/>
      <c r="E97" s="25"/>
      <c r="F97" s="25"/>
      <c r="G97" s="49"/>
      <c r="H97" s="29"/>
      <c r="I97" s="49">
        <v>0</v>
      </c>
      <c r="J97" s="69"/>
      <c r="K97" s="70"/>
      <c r="L97" s="83"/>
      <c r="M97" s="25"/>
      <c r="N97" s="25"/>
      <c r="O97" s="72">
        <v>0</v>
      </c>
      <c r="P97" s="49"/>
      <c r="Q97" s="73">
        <v>0</v>
      </c>
      <c r="R97" s="29"/>
    </row>
    <row r="98" spans="1:18" ht="24.6">
      <c r="A98" s="25">
        <v>1</v>
      </c>
      <c r="B98" s="29" t="s">
        <v>143</v>
      </c>
      <c r="C98" s="29"/>
      <c r="D98" s="49">
        <v>0</v>
      </c>
      <c r="E98" s="25"/>
      <c r="F98" s="25"/>
      <c r="G98" s="49">
        <v>0</v>
      </c>
      <c r="H98" s="49">
        <v>0</v>
      </c>
      <c r="I98" s="49">
        <v>0</v>
      </c>
      <c r="J98" s="69"/>
      <c r="K98" s="70"/>
      <c r="L98" s="83"/>
      <c r="M98" s="25"/>
      <c r="N98" s="25"/>
      <c r="O98" s="72">
        <v>0</v>
      </c>
      <c r="P98" s="73">
        <v>0</v>
      </c>
      <c r="Q98" s="73">
        <v>0</v>
      </c>
      <c r="R98" s="29" t="s">
        <v>64</v>
      </c>
    </row>
    <row r="99" spans="1:18" ht="24.6">
      <c r="A99" s="25"/>
      <c r="B99" s="29"/>
      <c r="C99" s="29"/>
      <c r="D99" s="49"/>
      <c r="E99" s="25"/>
      <c r="F99" s="25"/>
      <c r="G99" s="49"/>
      <c r="H99" s="49"/>
      <c r="I99" s="49"/>
      <c r="J99" s="26"/>
      <c r="K99" s="16"/>
      <c r="L99" s="118"/>
      <c r="M99" s="25"/>
      <c r="N99" s="25"/>
      <c r="O99" s="72">
        <v>0</v>
      </c>
      <c r="P99" s="49"/>
      <c r="Q99" s="73">
        <v>0</v>
      </c>
      <c r="R99" s="29"/>
    </row>
    <row r="100" spans="1:18" ht="24.6">
      <c r="A100" s="25">
        <v>2</v>
      </c>
      <c r="B100" s="29" t="s">
        <v>144</v>
      </c>
      <c r="C100" s="29"/>
      <c r="D100" s="49">
        <v>0</v>
      </c>
      <c r="E100" s="25"/>
      <c r="F100" s="25"/>
      <c r="G100" s="49">
        <v>0</v>
      </c>
      <c r="H100" s="49">
        <v>0</v>
      </c>
      <c r="I100" s="49">
        <v>0</v>
      </c>
      <c r="J100" s="145"/>
      <c r="K100" s="146"/>
      <c r="L100" s="147"/>
      <c r="M100" s="25"/>
      <c r="N100" s="25"/>
      <c r="O100" s="72">
        <v>0</v>
      </c>
      <c r="P100" s="73">
        <v>0</v>
      </c>
      <c r="Q100" s="73">
        <v>0</v>
      </c>
      <c r="R100" s="29" t="s">
        <v>145</v>
      </c>
    </row>
    <row r="101" spans="1:18" ht="24.6">
      <c r="A101" s="25"/>
      <c r="B101" s="29"/>
      <c r="C101" s="29"/>
      <c r="D101" s="49"/>
      <c r="E101" s="25"/>
      <c r="F101" s="25"/>
      <c r="G101" s="49"/>
      <c r="H101" s="49"/>
      <c r="I101" s="49"/>
      <c r="J101" s="26"/>
      <c r="K101" s="16"/>
      <c r="L101" s="118"/>
      <c r="M101" s="25"/>
      <c r="N101" s="25"/>
      <c r="O101" s="72">
        <v>0</v>
      </c>
      <c r="P101" s="49"/>
      <c r="Q101" s="73">
        <v>0</v>
      </c>
      <c r="R101" s="29"/>
    </row>
    <row r="102" spans="1:18" ht="24.6">
      <c r="A102" s="25">
        <v>3</v>
      </c>
      <c r="B102" s="29" t="s">
        <v>146</v>
      </c>
      <c r="C102" s="29"/>
      <c r="D102" s="49">
        <v>0</v>
      </c>
      <c r="E102" s="25"/>
      <c r="F102" s="25"/>
      <c r="G102" s="52">
        <v>0</v>
      </c>
      <c r="H102" s="49">
        <v>0</v>
      </c>
      <c r="I102" s="49">
        <v>0</v>
      </c>
      <c r="J102" s="69"/>
      <c r="K102" s="70"/>
      <c r="L102" s="83"/>
      <c r="M102" s="25"/>
      <c r="N102" s="25"/>
      <c r="O102" s="72">
        <v>0</v>
      </c>
      <c r="P102" s="73">
        <v>0</v>
      </c>
      <c r="Q102" s="73">
        <v>0</v>
      </c>
      <c r="R102" s="29"/>
    </row>
    <row r="103" spans="1:18" ht="24.6">
      <c r="A103" s="25"/>
      <c r="B103" s="29"/>
      <c r="C103" s="29"/>
      <c r="D103" s="49">
        <v>0</v>
      </c>
      <c r="E103" s="25"/>
      <c r="F103" s="25"/>
      <c r="G103" s="52"/>
      <c r="H103" s="49"/>
      <c r="I103" s="49"/>
      <c r="J103" s="26"/>
      <c r="K103" s="16"/>
      <c r="L103" s="118"/>
      <c r="M103" s="25"/>
      <c r="N103" s="25"/>
      <c r="O103" s="72">
        <v>0</v>
      </c>
      <c r="P103" s="49"/>
      <c r="Q103" s="73">
        <v>0</v>
      </c>
      <c r="R103" s="29"/>
    </row>
    <row r="104" spans="1:18" ht="24.6">
      <c r="A104" s="25">
        <v>4</v>
      </c>
      <c r="B104" s="29" t="s">
        <v>147</v>
      </c>
      <c r="C104" s="29"/>
      <c r="D104" s="49">
        <v>0</v>
      </c>
      <c r="E104" s="25"/>
      <c r="F104" s="25"/>
      <c r="G104" s="72">
        <v>0</v>
      </c>
      <c r="H104" s="73">
        <v>0</v>
      </c>
      <c r="I104" s="73">
        <v>0</v>
      </c>
      <c r="J104" s="69"/>
      <c r="K104" s="70"/>
      <c r="L104" s="83"/>
      <c r="M104" s="25"/>
      <c r="N104" s="25"/>
      <c r="O104" s="72">
        <v>0</v>
      </c>
      <c r="P104" s="73">
        <v>0</v>
      </c>
      <c r="Q104" s="73">
        <v>0</v>
      </c>
      <c r="R104" s="29" t="s">
        <v>148</v>
      </c>
    </row>
    <row r="105" spans="1:18" ht="24.6">
      <c r="A105" s="25">
        <v>5</v>
      </c>
      <c r="B105" s="29" t="s">
        <v>149</v>
      </c>
      <c r="C105" s="29"/>
      <c r="D105" s="49">
        <v>0</v>
      </c>
      <c r="E105" s="25"/>
      <c r="F105" s="25"/>
      <c r="G105" s="72"/>
      <c r="H105" s="73"/>
      <c r="I105" s="73"/>
      <c r="J105" s="69"/>
      <c r="K105" s="70"/>
      <c r="L105" s="83"/>
      <c r="M105" s="25"/>
      <c r="N105" s="25"/>
      <c r="O105" s="72">
        <v>0</v>
      </c>
      <c r="P105" s="73">
        <v>0</v>
      </c>
      <c r="Q105" s="73">
        <v>0</v>
      </c>
      <c r="R105" s="29" t="s">
        <v>150</v>
      </c>
    </row>
    <row r="106" spans="1:18" ht="24.6">
      <c r="A106" s="25">
        <v>6</v>
      </c>
      <c r="B106" s="29" t="s">
        <v>151</v>
      </c>
      <c r="C106" s="29"/>
      <c r="D106" s="49"/>
      <c r="E106" s="25"/>
      <c r="F106" s="25"/>
      <c r="G106" s="72"/>
      <c r="H106" s="73"/>
      <c r="I106" s="73"/>
      <c r="J106" s="69"/>
      <c r="K106" s="70"/>
      <c r="L106" s="83"/>
      <c r="M106" s="25"/>
      <c r="N106" s="25"/>
      <c r="O106" s="72">
        <v>0</v>
      </c>
      <c r="P106" s="73"/>
      <c r="Q106" s="73">
        <v>0</v>
      </c>
      <c r="R106" s="29" t="s">
        <v>152</v>
      </c>
    </row>
    <row r="107" spans="1:18" ht="24.6">
      <c r="A107" s="25">
        <v>7</v>
      </c>
      <c r="B107" s="29" t="s">
        <v>153</v>
      </c>
      <c r="C107" s="29"/>
      <c r="D107" s="49"/>
      <c r="E107" s="25"/>
      <c r="F107" s="25"/>
      <c r="G107" s="72"/>
      <c r="H107" s="73"/>
      <c r="I107" s="73"/>
      <c r="J107" s="69"/>
      <c r="K107" s="70"/>
      <c r="L107" s="83"/>
      <c r="M107" s="25"/>
      <c r="N107" s="25"/>
      <c r="O107" s="72">
        <v>0</v>
      </c>
      <c r="P107" s="73"/>
      <c r="Q107" s="73">
        <v>0</v>
      </c>
      <c r="R107" s="29" t="s">
        <v>64</v>
      </c>
    </row>
    <row r="108" spans="1:18" ht="24.6">
      <c r="A108" s="25">
        <v>8</v>
      </c>
      <c r="B108" s="29" t="s">
        <v>154</v>
      </c>
      <c r="C108" s="29"/>
      <c r="D108" s="49"/>
      <c r="E108" s="25"/>
      <c r="F108" s="25"/>
      <c r="G108" s="72"/>
      <c r="H108" s="73"/>
      <c r="I108" s="73"/>
      <c r="J108" s="69"/>
      <c r="K108" s="70"/>
      <c r="L108" s="83"/>
      <c r="M108" s="25"/>
      <c r="N108" s="25"/>
      <c r="O108" s="72">
        <v>0</v>
      </c>
      <c r="P108" s="73"/>
      <c r="Q108" s="73">
        <v>0</v>
      </c>
      <c r="R108" s="29" t="s">
        <v>155</v>
      </c>
    </row>
    <row r="109" spans="1:18" ht="24.6">
      <c r="A109" s="25">
        <v>9</v>
      </c>
      <c r="B109" s="29" t="s">
        <v>156</v>
      </c>
      <c r="C109" s="29"/>
      <c r="D109" s="49"/>
      <c r="E109" s="25"/>
      <c r="F109" s="25"/>
      <c r="G109" s="72"/>
      <c r="H109" s="73"/>
      <c r="I109" s="73"/>
      <c r="J109" s="69"/>
      <c r="K109" s="70"/>
      <c r="L109" s="83"/>
      <c r="M109" s="25"/>
      <c r="N109" s="25"/>
      <c r="O109" s="72">
        <v>0</v>
      </c>
      <c r="P109" s="73"/>
      <c r="Q109" s="73">
        <v>0</v>
      </c>
      <c r="R109" s="29" t="s">
        <v>64</v>
      </c>
    </row>
    <row r="110" spans="1:18" ht="24.6">
      <c r="A110" s="25">
        <v>10</v>
      </c>
      <c r="B110" s="29" t="s">
        <v>157</v>
      </c>
      <c r="C110" s="29"/>
      <c r="D110" s="49"/>
      <c r="E110" s="25"/>
      <c r="F110" s="25"/>
      <c r="G110" s="72"/>
      <c r="H110" s="73"/>
      <c r="I110" s="73"/>
      <c r="J110" s="69"/>
      <c r="K110" s="70"/>
      <c r="L110" s="83"/>
      <c r="M110" s="25"/>
      <c r="N110" s="25"/>
      <c r="O110" s="72">
        <v>0</v>
      </c>
      <c r="P110" s="73"/>
      <c r="Q110" s="73">
        <v>0</v>
      </c>
      <c r="R110" s="29" t="s">
        <v>158</v>
      </c>
    </row>
    <row r="111" spans="1:18" ht="24.6">
      <c r="A111" s="25">
        <v>11</v>
      </c>
      <c r="B111" s="148" t="s">
        <v>159</v>
      </c>
      <c r="C111" s="29"/>
      <c r="D111" s="49">
        <v>0</v>
      </c>
      <c r="E111" s="25"/>
      <c r="F111" s="25"/>
      <c r="G111" s="72">
        <v>0</v>
      </c>
      <c r="H111" s="73">
        <v>0</v>
      </c>
      <c r="I111" s="73">
        <v>0</v>
      </c>
      <c r="J111" s="69"/>
      <c r="K111" s="83"/>
      <c r="L111" s="83"/>
      <c r="M111" s="25"/>
      <c r="N111" s="25"/>
      <c r="O111" s="72">
        <v>0</v>
      </c>
      <c r="P111" s="73">
        <v>0</v>
      </c>
      <c r="Q111" s="73">
        <v>0</v>
      </c>
      <c r="R111" s="29"/>
    </row>
    <row r="112" spans="1:18" ht="24.6">
      <c r="A112" s="25">
        <v>12</v>
      </c>
      <c r="B112" s="29" t="s">
        <v>160</v>
      </c>
      <c r="C112" s="29"/>
      <c r="D112" s="49">
        <v>0</v>
      </c>
      <c r="E112" s="25"/>
      <c r="F112" s="25"/>
      <c r="G112" s="72">
        <v>0</v>
      </c>
      <c r="H112" s="73">
        <v>0</v>
      </c>
      <c r="I112" s="73">
        <v>0</v>
      </c>
      <c r="J112" s="69"/>
      <c r="K112" s="70"/>
      <c r="L112" s="83"/>
      <c r="M112" s="25"/>
      <c r="N112" s="25"/>
      <c r="O112" s="72">
        <v>0</v>
      </c>
      <c r="P112" s="73">
        <v>0</v>
      </c>
      <c r="Q112" s="73">
        <v>0</v>
      </c>
      <c r="R112" s="149" t="s">
        <v>161</v>
      </c>
    </row>
    <row r="113" spans="1:18" ht="24.6">
      <c r="A113" s="25">
        <v>13</v>
      </c>
      <c r="B113" s="148" t="s">
        <v>162</v>
      </c>
      <c r="C113" s="29"/>
      <c r="D113" s="49">
        <v>0</v>
      </c>
      <c r="E113" s="25"/>
      <c r="F113" s="25"/>
      <c r="G113" s="72">
        <v>0</v>
      </c>
      <c r="H113" s="73">
        <v>0</v>
      </c>
      <c r="I113" s="73">
        <v>0</v>
      </c>
      <c r="J113" s="69"/>
      <c r="K113" s="70"/>
      <c r="L113" s="150"/>
      <c r="M113" s="25"/>
      <c r="N113" s="25"/>
      <c r="O113" s="72">
        <v>0</v>
      </c>
      <c r="P113" s="73">
        <v>0</v>
      </c>
      <c r="Q113" s="73">
        <v>0</v>
      </c>
      <c r="R113" s="29" t="s">
        <v>163</v>
      </c>
    </row>
    <row r="114" spans="1:18" ht="24.6">
      <c r="A114" s="25">
        <v>14</v>
      </c>
      <c r="B114" s="148" t="s">
        <v>164</v>
      </c>
      <c r="C114" s="29"/>
      <c r="D114" s="49">
        <v>0</v>
      </c>
      <c r="E114" s="25"/>
      <c r="F114" s="25"/>
      <c r="G114" s="72">
        <v>0</v>
      </c>
      <c r="H114" s="73">
        <v>0</v>
      </c>
      <c r="I114" s="73">
        <v>0</v>
      </c>
      <c r="J114" s="69"/>
      <c r="K114" s="70"/>
      <c r="L114" s="150"/>
      <c r="M114" s="25"/>
      <c r="N114" s="25"/>
      <c r="O114" s="72">
        <v>0</v>
      </c>
      <c r="P114" s="73">
        <v>0</v>
      </c>
      <c r="Q114" s="73">
        <v>0</v>
      </c>
      <c r="R114" s="29" t="s">
        <v>165</v>
      </c>
    </row>
    <row r="115" spans="1:18" ht="24.6">
      <c r="A115" s="25">
        <v>15</v>
      </c>
      <c r="B115" s="148" t="s">
        <v>166</v>
      </c>
      <c r="C115" s="29"/>
      <c r="D115" s="49">
        <v>0</v>
      </c>
      <c r="E115" s="25"/>
      <c r="F115" s="25"/>
      <c r="G115" s="72">
        <v>0</v>
      </c>
      <c r="H115" s="73">
        <v>0</v>
      </c>
      <c r="I115" s="73">
        <v>0</v>
      </c>
      <c r="J115" s="69"/>
      <c r="K115" s="70"/>
      <c r="L115" s="150"/>
      <c r="M115" s="25"/>
      <c r="N115" s="25"/>
      <c r="O115" s="72">
        <v>0</v>
      </c>
      <c r="P115" s="73">
        <v>0</v>
      </c>
      <c r="Q115" s="73">
        <v>0</v>
      </c>
      <c r="R115" s="29" t="s">
        <v>64</v>
      </c>
    </row>
    <row r="116" spans="1:18" ht="18.75" customHeight="1">
      <c r="A116" s="3">
        <v>16</v>
      </c>
      <c r="B116" s="151" t="s">
        <v>167</v>
      </c>
      <c r="C116" s="29"/>
      <c r="D116" s="49">
        <v>0</v>
      </c>
      <c r="E116" s="25"/>
      <c r="F116" s="25"/>
      <c r="G116" s="72">
        <v>0</v>
      </c>
      <c r="H116" s="73">
        <v>0</v>
      </c>
      <c r="I116" s="73">
        <v>0</v>
      </c>
      <c r="J116" s="69"/>
      <c r="K116" s="70"/>
      <c r="L116" s="150"/>
      <c r="M116" s="25"/>
      <c r="N116" s="25"/>
      <c r="O116" s="72">
        <v>0</v>
      </c>
      <c r="P116" s="73">
        <v>0</v>
      </c>
      <c r="Q116" s="73">
        <v>0</v>
      </c>
      <c r="R116" s="29" t="s">
        <v>145</v>
      </c>
    </row>
    <row r="117" spans="1:18" ht="25.2" thickBot="1">
      <c r="A117" s="29"/>
      <c r="B117" s="25" t="s">
        <v>26</v>
      </c>
      <c r="C117" s="64"/>
      <c r="D117" s="63">
        <f>SUM(D81:D116)</f>
        <v>14900</v>
      </c>
      <c r="E117" s="63"/>
      <c r="F117" s="63"/>
      <c r="G117" s="63">
        <v>0</v>
      </c>
      <c r="H117" s="63">
        <v>0</v>
      </c>
      <c r="I117" s="63">
        <v>0</v>
      </c>
      <c r="J117" s="67"/>
      <c r="K117" s="67"/>
      <c r="L117" s="67">
        <f>SUM(L81:L116)</f>
        <v>14900</v>
      </c>
      <c r="M117" s="63"/>
      <c r="N117" s="105"/>
      <c r="O117" s="106">
        <v>0</v>
      </c>
      <c r="P117" s="63">
        <v>0</v>
      </c>
      <c r="Q117" s="136">
        <v>0</v>
      </c>
      <c r="R117" s="29"/>
    </row>
    <row r="118" spans="1:18" ht="25.2" thickTop="1">
      <c r="A118" s="29"/>
      <c r="B118" s="25"/>
      <c r="C118" s="46"/>
      <c r="D118" s="57"/>
      <c r="E118" s="46"/>
      <c r="F118" s="46"/>
      <c r="G118" s="57"/>
      <c r="H118" s="57"/>
      <c r="I118" s="57"/>
      <c r="J118" s="137"/>
      <c r="K118" s="48"/>
      <c r="L118" s="58"/>
      <c r="M118" s="46"/>
      <c r="N118" s="28"/>
      <c r="O118" s="57"/>
      <c r="P118" s="57"/>
      <c r="Q118" s="57"/>
      <c r="R118" s="46"/>
    </row>
    <row r="119" spans="1:18" ht="24.6">
      <c r="A119" s="29"/>
      <c r="B119" s="45" t="s">
        <v>168</v>
      </c>
      <c r="C119" s="29"/>
      <c r="D119" s="59"/>
      <c r="E119" s="29"/>
      <c r="F119" s="29"/>
      <c r="G119" s="59"/>
      <c r="H119" s="59"/>
      <c r="I119" s="59"/>
      <c r="J119" s="26"/>
      <c r="K119" s="61"/>
      <c r="L119" s="62"/>
      <c r="M119" s="29"/>
      <c r="N119" s="25"/>
      <c r="O119" s="59"/>
      <c r="P119" s="59"/>
      <c r="Q119" s="59"/>
      <c r="R119" s="46"/>
    </row>
    <row r="120" spans="1:18" ht="25.2" thickBot="1">
      <c r="A120" s="25">
        <v>1</v>
      </c>
      <c r="B120" s="25"/>
      <c r="C120" s="74"/>
      <c r="D120" s="78"/>
      <c r="E120" s="74"/>
      <c r="F120" s="74"/>
      <c r="G120" s="78"/>
      <c r="H120" s="78"/>
      <c r="I120" s="78"/>
      <c r="J120" s="35"/>
      <c r="K120" s="76"/>
      <c r="L120" s="77"/>
      <c r="M120" s="74"/>
      <c r="N120" s="34"/>
      <c r="O120" s="78"/>
      <c r="P120" s="78"/>
      <c r="Q120" s="78"/>
      <c r="R120" s="46"/>
    </row>
    <row r="121" spans="1:18" ht="25.8" thickTop="1" thickBot="1">
      <c r="A121" s="29"/>
      <c r="B121" s="25" t="s">
        <v>26</v>
      </c>
      <c r="C121" s="64"/>
      <c r="D121" s="63"/>
      <c r="E121" s="64"/>
      <c r="F121" s="64"/>
      <c r="G121" s="63"/>
      <c r="H121" s="63"/>
      <c r="I121" s="63"/>
      <c r="J121" s="42"/>
      <c r="K121" s="66"/>
      <c r="L121" s="67"/>
      <c r="M121" s="64"/>
      <c r="N121" s="41"/>
      <c r="O121" s="63"/>
      <c r="P121" s="63"/>
      <c r="Q121" s="63"/>
      <c r="R121" s="46"/>
    </row>
    <row r="122" spans="1:18" ht="25.2" thickTop="1">
      <c r="A122" s="29"/>
      <c r="B122" s="45" t="s">
        <v>169</v>
      </c>
      <c r="C122" s="46"/>
      <c r="D122" s="57"/>
      <c r="E122" s="46"/>
      <c r="F122" s="46"/>
      <c r="G122" s="57"/>
      <c r="H122" s="57"/>
      <c r="I122" s="57"/>
      <c r="J122" s="137"/>
      <c r="K122" s="48"/>
      <c r="L122" s="58"/>
      <c r="M122" s="46"/>
      <c r="N122" s="28"/>
      <c r="O122" s="57"/>
      <c r="P122" s="57"/>
      <c r="Q122" s="57"/>
      <c r="R122" s="46"/>
    </row>
    <row r="123" spans="1:18" ht="25.2" thickBot="1">
      <c r="A123" s="25">
        <v>1</v>
      </c>
      <c r="B123" s="25"/>
      <c r="C123" s="74"/>
      <c r="D123" s="78"/>
      <c r="E123" s="74"/>
      <c r="F123" s="74"/>
      <c r="G123" s="78"/>
      <c r="H123" s="78"/>
      <c r="I123" s="78"/>
      <c r="J123" s="35"/>
      <c r="K123" s="76"/>
      <c r="L123" s="77"/>
      <c r="M123" s="74"/>
      <c r="N123" s="34"/>
      <c r="O123" s="78"/>
      <c r="P123" s="78"/>
      <c r="Q123" s="78"/>
      <c r="R123" s="46"/>
    </row>
    <row r="124" spans="1:18" ht="25.8" thickTop="1" thickBot="1">
      <c r="A124" s="29"/>
      <c r="B124" s="25" t="s">
        <v>26</v>
      </c>
      <c r="C124" s="79"/>
      <c r="D124" s="54"/>
      <c r="E124" s="79"/>
      <c r="F124" s="79"/>
      <c r="G124" s="54"/>
      <c r="H124" s="54"/>
      <c r="I124" s="54"/>
      <c r="J124" s="152"/>
      <c r="K124" s="81"/>
      <c r="L124" s="55"/>
      <c r="M124" s="79"/>
      <c r="N124" s="82"/>
      <c r="O124" s="54"/>
      <c r="P124" s="54"/>
      <c r="Q124" s="54"/>
      <c r="R124" s="46"/>
    </row>
    <row r="125" spans="1:18" ht="25.2" thickTop="1">
      <c r="A125" s="29"/>
      <c r="B125" s="45" t="s">
        <v>170</v>
      </c>
      <c r="C125" s="46"/>
      <c r="D125" s="57"/>
      <c r="E125" s="46"/>
      <c r="F125" s="46"/>
      <c r="G125" s="57"/>
      <c r="H125" s="57"/>
      <c r="I125" s="57"/>
      <c r="J125" s="137"/>
      <c r="K125" s="48"/>
      <c r="L125" s="58"/>
      <c r="M125" s="46"/>
      <c r="N125" s="28"/>
      <c r="O125" s="57"/>
      <c r="P125" s="57"/>
      <c r="Q125" s="57"/>
      <c r="R125" s="46"/>
    </row>
    <row r="126" spans="1:18" ht="25.2" thickBot="1">
      <c r="A126" s="25">
        <v>1</v>
      </c>
      <c r="B126" s="25"/>
      <c r="C126" s="74"/>
      <c r="D126" s="78"/>
      <c r="E126" s="74"/>
      <c r="F126" s="74"/>
      <c r="G126" s="78"/>
      <c r="H126" s="78"/>
      <c r="I126" s="78"/>
      <c r="J126" s="35"/>
      <c r="K126" s="76"/>
      <c r="L126" s="77"/>
      <c r="M126" s="74"/>
      <c r="N126" s="34"/>
      <c r="O126" s="78"/>
      <c r="P126" s="78"/>
      <c r="Q126" s="78"/>
      <c r="R126" s="46"/>
    </row>
    <row r="127" spans="1:18" ht="25.8" thickTop="1" thickBot="1">
      <c r="A127" s="29"/>
      <c r="B127" s="25" t="s">
        <v>26</v>
      </c>
      <c r="C127" s="64"/>
      <c r="D127" s="63"/>
      <c r="E127" s="64"/>
      <c r="F127" s="64"/>
      <c r="G127" s="63"/>
      <c r="H127" s="63"/>
      <c r="I127" s="63"/>
      <c r="J127" s="42"/>
      <c r="K127" s="66"/>
      <c r="L127" s="67"/>
      <c r="M127" s="64"/>
      <c r="N127" s="41"/>
      <c r="O127" s="63"/>
      <c r="P127" s="63"/>
      <c r="Q127" s="63"/>
      <c r="R127" s="46"/>
    </row>
    <row r="128" spans="1:18" ht="25.2" thickTop="1">
      <c r="A128" s="29"/>
      <c r="B128" s="116" t="s">
        <v>171</v>
      </c>
      <c r="C128" s="46"/>
      <c r="D128" s="46"/>
      <c r="E128" s="46"/>
      <c r="F128" s="46"/>
      <c r="G128" s="46"/>
      <c r="H128" s="46"/>
      <c r="I128" s="46"/>
      <c r="J128" s="137"/>
      <c r="K128" s="48"/>
      <c r="L128" s="48"/>
      <c r="M128" s="46"/>
      <c r="N128" s="28"/>
      <c r="O128" s="46"/>
      <c r="P128" s="46"/>
      <c r="Q128" s="46"/>
      <c r="R128" s="46"/>
    </row>
    <row r="129" spans="1:20" ht="24.6">
      <c r="A129" s="29"/>
      <c r="B129" s="116" t="s">
        <v>53</v>
      </c>
      <c r="C129" s="46"/>
      <c r="D129" s="46"/>
      <c r="E129" s="46"/>
      <c r="F129" s="46"/>
      <c r="G129" s="46"/>
      <c r="H129" s="46"/>
      <c r="I129" s="46"/>
      <c r="J129" s="137"/>
      <c r="K129" s="48"/>
      <c r="L129" s="48"/>
      <c r="M129" s="46"/>
      <c r="N129" s="28"/>
      <c r="O129" s="46"/>
      <c r="P129" s="46"/>
      <c r="Q129" s="46"/>
      <c r="R129" s="46"/>
    </row>
    <row r="130" spans="1:20" s="96" customFormat="1" ht="24.6">
      <c r="A130" s="86">
        <v>1</v>
      </c>
      <c r="B130" s="87" t="s">
        <v>54</v>
      </c>
      <c r="C130" s="87"/>
      <c r="D130" s="89">
        <v>0</v>
      </c>
      <c r="E130" s="87"/>
      <c r="F130" s="87" t="s">
        <v>172</v>
      </c>
      <c r="G130" s="89">
        <v>0</v>
      </c>
      <c r="H130" s="89">
        <v>0</v>
      </c>
      <c r="I130" s="89">
        <v>0</v>
      </c>
      <c r="J130" s="153"/>
      <c r="K130" s="154"/>
      <c r="L130" s="155"/>
      <c r="M130" s="87"/>
      <c r="N130" s="86" t="s">
        <v>172</v>
      </c>
      <c r="O130" s="72">
        <v>0</v>
      </c>
      <c r="P130" s="73">
        <v>0</v>
      </c>
      <c r="Q130" s="73">
        <v>0</v>
      </c>
      <c r="R130" s="87" t="s">
        <v>173</v>
      </c>
      <c r="T130" s="97"/>
    </row>
    <row r="131" spans="1:20" ht="24.6">
      <c r="A131" s="25">
        <v>2</v>
      </c>
      <c r="B131" s="29" t="s">
        <v>174</v>
      </c>
      <c r="C131" s="29"/>
      <c r="D131" s="49">
        <v>0</v>
      </c>
      <c r="E131" s="29"/>
      <c r="F131" s="156"/>
      <c r="G131" s="157">
        <v>0</v>
      </c>
      <c r="H131" s="157">
        <v>0</v>
      </c>
      <c r="I131" s="157">
        <v>0</v>
      </c>
      <c r="J131" s="26"/>
      <c r="K131" s="16"/>
      <c r="L131" s="51"/>
      <c r="M131" s="29"/>
      <c r="N131" s="25"/>
      <c r="O131" s="72">
        <v>0</v>
      </c>
      <c r="P131" s="73">
        <v>0</v>
      </c>
      <c r="Q131" s="73">
        <v>0</v>
      </c>
      <c r="R131" s="29" t="s">
        <v>173</v>
      </c>
    </row>
    <row r="132" spans="1:20" ht="24.6">
      <c r="A132" s="25">
        <v>3</v>
      </c>
      <c r="B132" s="29" t="s">
        <v>175</v>
      </c>
      <c r="C132" s="29"/>
      <c r="D132" s="49">
        <v>0</v>
      </c>
      <c r="E132" s="29"/>
      <c r="F132" s="29"/>
      <c r="G132" s="49">
        <v>0</v>
      </c>
      <c r="H132" s="49">
        <v>0</v>
      </c>
      <c r="I132" s="49">
        <v>0</v>
      </c>
      <c r="J132" s="26"/>
      <c r="K132" s="61"/>
      <c r="L132" s="51"/>
      <c r="M132" s="29"/>
      <c r="N132" s="25"/>
      <c r="O132" s="72">
        <v>0</v>
      </c>
      <c r="P132" s="73">
        <v>0</v>
      </c>
      <c r="Q132" s="73">
        <v>0</v>
      </c>
      <c r="R132" s="29" t="s">
        <v>176</v>
      </c>
    </row>
    <row r="133" spans="1:20" ht="24.6">
      <c r="A133" s="25"/>
      <c r="B133" s="29" t="s">
        <v>177</v>
      </c>
      <c r="C133" s="29"/>
      <c r="D133" s="49"/>
      <c r="E133" s="29"/>
      <c r="F133" s="29"/>
      <c r="G133" s="49">
        <v>0</v>
      </c>
      <c r="H133" s="49">
        <v>0</v>
      </c>
      <c r="I133" s="49">
        <v>0</v>
      </c>
      <c r="J133" s="26"/>
      <c r="K133" s="61"/>
      <c r="L133" s="51"/>
      <c r="M133" s="29"/>
      <c r="N133" s="25"/>
      <c r="O133" s="72">
        <v>0</v>
      </c>
      <c r="P133" s="73">
        <v>0</v>
      </c>
      <c r="Q133" s="73">
        <v>0</v>
      </c>
      <c r="R133" s="29" t="s">
        <v>178</v>
      </c>
    </row>
    <row r="134" spans="1:20" ht="24.6">
      <c r="A134" s="25"/>
      <c r="B134" s="29"/>
      <c r="C134" s="29"/>
      <c r="D134" s="49"/>
      <c r="E134" s="29"/>
      <c r="F134" s="29"/>
      <c r="G134" s="49"/>
      <c r="H134" s="49"/>
      <c r="I134" s="49"/>
      <c r="J134" s="26"/>
      <c r="K134" s="61"/>
      <c r="L134" s="51"/>
      <c r="M134" s="29"/>
      <c r="N134" s="25"/>
      <c r="O134" s="72"/>
      <c r="P134" s="73"/>
      <c r="Q134" s="73"/>
      <c r="R134" s="29" t="s">
        <v>179</v>
      </c>
    </row>
    <row r="135" spans="1:20" ht="24.6">
      <c r="A135" s="25">
        <v>4</v>
      </c>
      <c r="B135" s="29" t="s">
        <v>62</v>
      </c>
      <c r="C135" s="29"/>
      <c r="D135" s="49">
        <v>0</v>
      </c>
      <c r="E135" s="29"/>
      <c r="F135" s="29"/>
      <c r="G135" s="49">
        <v>0</v>
      </c>
      <c r="H135" s="49">
        <v>0</v>
      </c>
      <c r="I135" s="49">
        <v>0</v>
      </c>
      <c r="J135" s="26"/>
      <c r="K135" s="16"/>
      <c r="L135" s="51"/>
      <c r="M135" s="29"/>
      <c r="N135" s="25"/>
      <c r="O135" s="72">
        <v>0</v>
      </c>
      <c r="P135" s="73">
        <v>0</v>
      </c>
      <c r="Q135" s="73">
        <v>0</v>
      </c>
      <c r="R135" s="29"/>
    </row>
    <row r="136" spans="1:20" ht="24.6">
      <c r="A136" s="25">
        <v>5</v>
      </c>
      <c r="B136" s="29" t="s">
        <v>180</v>
      </c>
      <c r="C136" s="29"/>
      <c r="D136" s="49">
        <v>0</v>
      </c>
      <c r="E136" s="29"/>
      <c r="F136" s="29" t="s">
        <v>172</v>
      </c>
      <c r="G136" s="49">
        <v>0</v>
      </c>
      <c r="H136" s="49">
        <v>0</v>
      </c>
      <c r="I136" s="49">
        <v>0</v>
      </c>
      <c r="J136" s="26"/>
      <c r="K136" s="61"/>
      <c r="L136" s="51"/>
      <c r="M136" s="29"/>
      <c r="N136" s="25" t="s">
        <v>172</v>
      </c>
      <c r="O136" s="72">
        <v>0</v>
      </c>
      <c r="P136" s="73">
        <v>0</v>
      </c>
      <c r="Q136" s="73">
        <v>0</v>
      </c>
      <c r="R136" s="29" t="s">
        <v>176</v>
      </c>
    </row>
    <row r="137" spans="1:20" ht="24.6">
      <c r="A137" s="25"/>
      <c r="B137" s="29" t="s">
        <v>181</v>
      </c>
      <c r="C137" s="29"/>
      <c r="D137" s="49"/>
      <c r="E137" s="29"/>
      <c r="F137" s="29"/>
      <c r="G137" s="49"/>
      <c r="H137" s="49"/>
      <c r="I137" s="49"/>
      <c r="J137" s="26"/>
      <c r="K137" s="61"/>
      <c r="L137" s="51"/>
      <c r="M137" s="29"/>
      <c r="N137" s="25"/>
      <c r="O137" s="59"/>
      <c r="P137" s="49"/>
      <c r="Q137" s="59"/>
      <c r="R137" s="29" t="s">
        <v>178</v>
      </c>
    </row>
    <row r="138" spans="1:20" ht="24.6">
      <c r="A138" s="25"/>
      <c r="B138" s="29"/>
      <c r="C138" s="29"/>
      <c r="D138" s="49"/>
      <c r="E138" s="29"/>
      <c r="F138" s="29"/>
      <c r="G138" s="49"/>
      <c r="H138" s="49"/>
      <c r="I138" s="49"/>
      <c r="J138" s="26"/>
      <c r="K138" s="61"/>
      <c r="L138" s="51"/>
      <c r="M138" s="29"/>
      <c r="N138" s="25"/>
      <c r="O138" s="59"/>
      <c r="P138" s="49"/>
      <c r="Q138" s="59"/>
      <c r="R138" s="29" t="s">
        <v>179</v>
      </c>
    </row>
    <row r="139" spans="1:20" ht="24.6">
      <c r="A139" s="25"/>
      <c r="B139" s="29"/>
      <c r="C139" s="29"/>
      <c r="D139" s="49"/>
      <c r="E139" s="29"/>
      <c r="F139" s="29"/>
      <c r="G139" s="49"/>
      <c r="H139" s="49"/>
      <c r="I139" s="49"/>
      <c r="J139" s="26"/>
      <c r="K139" s="61"/>
      <c r="L139" s="51"/>
      <c r="M139" s="29"/>
      <c r="N139" s="25"/>
      <c r="O139" s="59"/>
      <c r="P139" s="49"/>
      <c r="Q139" s="59"/>
      <c r="R139" s="29" t="s">
        <v>182</v>
      </c>
    </row>
    <row r="140" spans="1:20" ht="24.6">
      <c r="A140" s="25">
        <v>6</v>
      </c>
      <c r="B140" s="29" t="s">
        <v>183</v>
      </c>
      <c r="C140" s="29"/>
      <c r="D140" s="158" t="s">
        <v>172</v>
      </c>
      <c r="E140" s="29"/>
      <c r="F140" s="29"/>
      <c r="G140" s="49">
        <v>0</v>
      </c>
      <c r="H140" s="49">
        <v>0</v>
      </c>
      <c r="I140" s="49">
        <v>0</v>
      </c>
      <c r="J140" s="26"/>
      <c r="K140" s="61"/>
      <c r="L140" s="51"/>
      <c r="M140" s="29"/>
      <c r="N140" s="25"/>
      <c r="O140" s="159">
        <v>0</v>
      </c>
      <c r="P140" s="73">
        <v>0</v>
      </c>
      <c r="Q140" s="73">
        <v>0</v>
      </c>
      <c r="R140" s="29" t="s">
        <v>184</v>
      </c>
    </row>
    <row r="141" spans="1:20" ht="24.6">
      <c r="A141" s="25"/>
      <c r="B141" s="29"/>
      <c r="C141" s="29"/>
      <c r="D141" s="49"/>
      <c r="E141" s="29"/>
      <c r="F141" s="29"/>
      <c r="G141" s="49"/>
      <c r="H141" s="49"/>
      <c r="I141" s="49"/>
      <c r="J141" s="26"/>
      <c r="K141" s="61"/>
      <c r="L141" s="51"/>
      <c r="M141" s="29"/>
      <c r="N141" s="25"/>
      <c r="O141" s="59"/>
      <c r="P141" s="49"/>
      <c r="Q141" s="59"/>
      <c r="R141" s="29" t="s">
        <v>185</v>
      </c>
    </row>
    <row r="142" spans="1:20" ht="24.6">
      <c r="A142" s="25"/>
      <c r="B142" s="29"/>
      <c r="C142" s="29"/>
      <c r="D142" s="49"/>
      <c r="E142" s="29"/>
      <c r="F142" s="29"/>
      <c r="G142" s="49"/>
      <c r="H142" s="49"/>
      <c r="I142" s="49"/>
      <c r="J142" s="26"/>
      <c r="K142" s="61"/>
      <c r="L142" s="51"/>
      <c r="M142" s="29"/>
      <c r="N142" s="25"/>
      <c r="O142" s="59"/>
      <c r="P142" s="49"/>
      <c r="Q142" s="59"/>
      <c r="R142" s="29" t="s">
        <v>186</v>
      </c>
    </row>
    <row r="143" spans="1:20" ht="24.6">
      <c r="A143" s="25">
        <v>7</v>
      </c>
      <c r="B143" s="29" t="s">
        <v>70</v>
      </c>
      <c r="C143" s="29"/>
      <c r="D143" s="49">
        <v>0</v>
      </c>
      <c r="E143" s="29"/>
      <c r="F143" s="29"/>
      <c r="G143" s="49">
        <v>0</v>
      </c>
      <c r="H143" s="49">
        <v>0</v>
      </c>
      <c r="I143" s="49">
        <v>0</v>
      </c>
      <c r="J143" s="26"/>
      <c r="K143" s="16"/>
      <c r="L143" s="51"/>
      <c r="M143" s="29"/>
      <c r="N143" s="25"/>
      <c r="O143" s="72">
        <v>0</v>
      </c>
      <c r="P143" s="73">
        <v>0</v>
      </c>
      <c r="Q143" s="73">
        <v>0</v>
      </c>
      <c r="R143" s="29" t="s">
        <v>187</v>
      </c>
    </row>
    <row r="144" spans="1:20" ht="24.6">
      <c r="A144" s="25">
        <v>8</v>
      </c>
      <c r="B144" s="29" t="s">
        <v>188</v>
      </c>
      <c r="C144" s="29"/>
      <c r="D144" s="49">
        <v>0</v>
      </c>
      <c r="E144" s="29"/>
      <c r="F144" s="29"/>
      <c r="G144" s="49">
        <v>0</v>
      </c>
      <c r="H144" s="49">
        <v>0</v>
      </c>
      <c r="I144" s="49">
        <v>0</v>
      </c>
      <c r="J144" s="26"/>
      <c r="K144" s="16"/>
      <c r="L144" s="51"/>
      <c r="M144" s="29"/>
      <c r="N144" s="25"/>
      <c r="O144" s="72">
        <v>0</v>
      </c>
      <c r="P144" s="73">
        <v>0</v>
      </c>
      <c r="Q144" s="73">
        <v>0</v>
      </c>
      <c r="R144" s="29" t="s">
        <v>187</v>
      </c>
    </row>
    <row r="145" spans="1:20" ht="24.6">
      <c r="A145" s="25">
        <v>9</v>
      </c>
      <c r="B145" s="29" t="s">
        <v>189</v>
      </c>
      <c r="C145" s="29"/>
      <c r="D145" s="49">
        <v>0</v>
      </c>
      <c r="E145" s="29"/>
      <c r="F145" s="29"/>
      <c r="G145" s="49">
        <v>0</v>
      </c>
      <c r="H145" s="49">
        <v>0</v>
      </c>
      <c r="I145" s="49">
        <v>0</v>
      </c>
      <c r="J145" s="26"/>
      <c r="K145" s="61"/>
      <c r="L145" s="51"/>
      <c r="M145" s="29"/>
      <c r="N145" s="25"/>
      <c r="O145" s="72">
        <v>0</v>
      </c>
      <c r="P145" s="73">
        <v>0</v>
      </c>
      <c r="Q145" s="73">
        <v>0</v>
      </c>
      <c r="R145" s="29" t="s">
        <v>190</v>
      </c>
      <c r="T145" s="2" t="s">
        <v>191</v>
      </c>
    </row>
    <row r="146" spans="1:20" ht="24.6">
      <c r="A146" s="25"/>
      <c r="B146" s="29"/>
      <c r="C146" s="29"/>
      <c r="D146" s="49"/>
      <c r="E146" s="29"/>
      <c r="F146" s="29"/>
      <c r="G146" s="49"/>
      <c r="H146" s="49"/>
      <c r="I146" s="49"/>
      <c r="J146" s="26"/>
      <c r="K146" s="61"/>
      <c r="L146" s="51"/>
      <c r="M146" s="29"/>
      <c r="N146" s="25"/>
      <c r="O146" s="59"/>
      <c r="P146" s="49"/>
      <c r="Q146" s="59"/>
      <c r="R146" s="29" t="s">
        <v>192</v>
      </c>
    </row>
    <row r="147" spans="1:20" ht="24.6">
      <c r="A147" s="25"/>
      <c r="B147" s="29"/>
      <c r="C147" s="29"/>
      <c r="D147" s="49"/>
      <c r="E147" s="29"/>
      <c r="F147" s="29"/>
      <c r="G147" s="49"/>
      <c r="H147" s="49"/>
      <c r="I147" s="49"/>
      <c r="J147" s="26"/>
      <c r="K147" s="61"/>
      <c r="L147" s="51"/>
      <c r="M147" s="29"/>
      <c r="N147" s="25"/>
      <c r="O147" s="59"/>
      <c r="P147" s="49"/>
      <c r="Q147" s="59"/>
      <c r="R147" s="29" t="s">
        <v>187</v>
      </c>
    </row>
    <row r="148" spans="1:20" ht="24.6">
      <c r="A148" s="25">
        <v>10</v>
      </c>
      <c r="B148" s="29" t="s">
        <v>193</v>
      </c>
      <c r="C148" s="29"/>
      <c r="D148" s="49">
        <v>0</v>
      </c>
      <c r="E148" s="29"/>
      <c r="F148" s="29"/>
      <c r="G148" s="49">
        <v>0</v>
      </c>
      <c r="H148" s="49">
        <v>0</v>
      </c>
      <c r="I148" s="49">
        <v>0</v>
      </c>
      <c r="J148" s="26"/>
      <c r="K148" s="61"/>
      <c r="L148" s="51"/>
      <c r="M148" s="29"/>
      <c r="N148" s="25"/>
      <c r="O148" s="72">
        <v>0</v>
      </c>
      <c r="P148" s="73">
        <v>0</v>
      </c>
      <c r="Q148" s="73">
        <v>0</v>
      </c>
      <c r="R148" s="29" t="s">
        <v>194</v>
      </c>
    </row>
    <row r="149" spans="1:20" ht="24.6">
      <c r="A149" s="25">
        <v>11</v>
      </c>
      <c r="B149" s="29" t="s">
        <v>78</v>
      </c>
      <c r="C149" s="29"/>
      <c r="D149" s="49"/>
      <c r="E149" s="29"/>
      <c r="F149" s="29"/>
      <c r="G149" s="49">
        <v>0</v>
      </c>
      <c r="H149" s="49">
        <v>0</v>
      </c>
      <c r="I149" s="49">
        <v>0</v>
      </c>
      <c r="J149" s="160"/>
      <c r="K149" s="50"/>
      <c r="L149" s="51"/>
      <c r="M149" s="29"/>
      <c r="N149" s="25"/>
      <c r="O149" s="72">
        <v>0</v>
      </c>
      <c r="P149" s="73">
        <v>0</v>
      </c>
      <c r="Q149" s="73">
        <v>0</v>
      </c>
      <c r="R149" s="29" t="s">
        <v>195</v>
      </c>
    </row>
    <row r="150" spans="1:20" ht="24.6">
      <c r="A150" s="25">
        <v>12</v>
      </c>
      <c r="B150" s="29" t="s">
        <v>196</v>
      </c>
      <c r="C150" s="29"/>
      <c r="D150" s="49">
        <v>0</v>
      </c>
      <c r="E150" s="29"/>
      <c r="F150" s="29"/>
      <c r="G150" s="49">
        <v>0</v>
      </c>
      <c r="H150" s="49">
        <v>0</v>
      </c>
      <c r="I150" s="49">
        <v>0</v>
      </c>
      <c r="J150" s="26"/>
      <c r="K150" s="16"/>
      <c r="L150" s="51"/>
      <c r="M150" s="29"/>
      <c r="N150" s="25"/>
      <c r="O150" s="72">
        <v>0</v>
      </c>
      <c r="P150" s="73">
        <v>0</v>
      </c>
      <c r="Q150" s="73">
        <v>0</v>
      </c>
      <c r="R150" s="29"/>
    </row>
    <row r="151" spans="1:20" ht="24.6">
      <c r="A151" s="25">
        <v>13</v>
      </c>
      <c r="B151" s="29" t="s">
        <v>83</v>
      </c>
      <c r="C151" s="29"/>
      <c r="D151" s="49"/>
      <c r="E151" s="29"/>
      <c r="F151" s="29"/>
      <c r="G151" s="49">
        <v>0</v>
      </c>
      <c r="H151" s="49">
        <v>0</v>
      </c>
      <c r="I151" s="49">
        <v>0</v>
      </c>
      <c r="J151" s="26"/>
      <c r="K151" s="50"/>
      <c r="L151" s="51"/>
      <c r="M151" s="29"/>
      <c r="N151" s="25"/>
      <c r="O151" s="72">
        <v>0</v>
      </c>
      <c r="P151" s="73">
        <v>0</v>
      </c>
      <c r="Q151" s="73">
        <v>0</v>
      </c>
      <c r="R151" s="29" t="s">
        <v>195</v>
      </c>
    </row>
    <row r="152" spans="1:20" ht="24.6">
      <c r="A152" s="25">
        <v>14</v>
      </c>
      <c r="B152" s="29" t="s">
        <v>85</v>
      </c>
      <c r="C152" s="29"/>
      <c r="D152" s="49">
        <v>0</v>
      </c>
      <c r="E152" s="29"/>
      <c r="F152" s="29" t="s">
        <v>172</v>
      </c>
      <c r="G152" s="49">
        <v>0</v>
      </c>
      <c r="H152" s="49">
        <v>0</v>
      </c>
      <c r="I152" s="49">
        <v>0</v>
      </c>
      <c r="J152" s="26"/>
      <c r="K152" s="61"/>
      <c r="L152" s="51"/>
      <c r="M152" s="29"/>
      <c r="N152" s="25" t="s">
        <v>172</v>
      </c>
      <c r="O152" s="72">
        <v>0</v>
      </c>
      <c r="P152" s="73">
        <v>0</v>
      </c>
      <c r="Q152" s="73">
        <v>0</v>
      </c>
      <c r="R152" s="29"/>
    </row>
    <row r="153" spans="1:20" ht="24.6">
      <c r="A153" s="25">
        <v>15</v>
      </c>
      <c r="B153" s="29" t="s">
        <v>197</v>
      </c>
      <c r="C153" s="29"/>
      <c r="D153" s="49">
        <v>0</v>
      </c>
      <c r="E153" s="29"/>
      <c r="F153" s="29"/>
      <c r="G153" s="49">
        <v>0</v>
      </c>
      <c r="H153" s="49">
        <v>0</v>
      </c>
      <c r="I153" s="49">
        <v>0</v>
      </c>
      <c r="J153" s="26"/>
      <c r="K153" s="61"/>
      <c r="L153" s="51"/>
      <c r="M153" s="29"/>
      <c r="N153" s="25"/>
      <c r="O153" s="72">
        <v>0</v>
      </c>
      <c r="P153" s="73">
        <v>0</v>
      </c>
      <c r="Q153" s="73">
        <v>0</v>
      </c>
      <c r="R153" s="29" t="s">
        <v>198</v>
      </c>
    </row>
    <row r="154" spans="1:20" ht="24.6">
      <c r="A154" s="25">
        <v>16</v>
      </c>
      <c r="B154" s="29" t="s">
        <v>199</v>
      </c>
      <c r="C154" s="29"/>
      <c r="D154" s="49"/>
      <c r="E154" s="29"/>
      <c r="F154" s="29"/>
      <c r="G154" s="49">
        <v>0</v>
      </c>
      <c r="H154" s="49">
        <v>0</v>
      </c>
      <c r="I154" s="49">
        <v>0</v>
      </c>
      <c r="J154" s="26"/>
      <c r="K154" s="61"/>
      <c r="L154" s="51"/>
      <c r="M154" s="29"/>
      <c r="N154" s="25"/>
      <c r="O154" s="72">
        <v>0</v>
      </c>
      <c r="P154" s="73">
        <v>0</v>
      </c>
      <c r="Q154" s="73">
        <v>0</v>
      </c>
      <c r="R154" s="29" t="s">
        <v>200</v>
      </c>
    </row>
    <row r="155" spans="1:20" ht="24.6">
      <c r="A155" s="25"/>
      <c r="B155" s="116" t="s">
        <v>89</v>
      </c>
      <c r="C155" s="29"/>
      <c r="D155" s="49"/>
      <c r="E155" s="29"/>
      <c r="F155" s="29"/>
      <c r="G155" s="49"/>
      <c r="H155" s="49"/>
      <c r="I155" s="49"/>
      <c r="J155" s="26"/>
      <c r="K155" s="61"/>
      <c r="L155" s="51"/>
      <c r="M155" s="29"/>
      <c r="N155" s="25"/>
      <c r="O155" s="59"/>
      <c r="P155" s="49"/>
      <c r="Q155" s="59"/>
      <c r="R155" s="29"/>
    </row>
    <row r="156" spans="1:20" ht="24" customHeight="1">
      <c r="A156" s="25">
        <v>16</v>
      </c>
      <c r="B156" s="29" t="s">
        <v>62</v>
      </c>
      <c r="C156" s="29"/>
      <c r="D156" s="49"/>
      <c r="E156" s="29"/>
      <c r="F156" s="29"/>
      <c r="G156" s="49">
        <v>0</v>
      </c>
      <c r="H156" s="49">
        <v>0</v>
      </c>
      <c r="I156" s="49">
        <v>0</v>
      </c>
      <c r="J156" s="26"/>
      <c r="K156" s="16"/>
      <c r="L156" s="51"/>
      <c r="M156" s="29"/>
      <c r="N156" s="25"/>
      <c r="O156" s="72">
        <v>0</v>
      </c>
      <c r="P156" s="73">
        <v>0</v>
      </c>
      <c r="Q156" s="73">
        <v>0</v>
      </c>
      <c r="R156" s="29"/>
    </row>
    <row r="157" spans="1:20" ht="22.5" customHeight="1">
      <c r="A157" s="25">
        <v>17</v>
      </c>
      <c r="B157" s="25" t="s">
        <v>57</v>
      </c>
      <c r="C157" s="29"/>
      <c r="D157" s="49"/>
      <c r="E157" s="29"/>
      <c r="F157" s="29"/>
      <c r="G157" s="49">
        <v>0</v>
      </c>
      <c r="H157" s="49">
        <v>0</v>
      </c>
      <c r="I157" s="49">
        <v>0</v>
      </c>
      <c r="J157" s="26"/>
      <c r="K157" s="16"/>
      <c r="L157" s="51"/>
      <c r="M157" s="29"/>
      <c r="N157" s="25"/>
      <c r="O157" s="72">
        <v>0</v>
      </c>
      <c r="P157" s="73">
        <v>0</v>
      </c>
      <c r="Q157" s="73">
        <v>0</v>
      </c>
      <c r="R157" s="29"/>
    </row>
    <row r="158" spans="1:20" ht="22.5" customHeight="1">
      <c r="A158" s="25">
        <v>18</v>
      </c>
      <c r="B158" s="29" t="s">
        <v>93</v>
      </c>
      <c r="C158" s="29"/>
      <c r="D158" s="49"/>
      <c r="E158" s="29"/>
      <c r="F158" s="29"/>
      <c r="G158" s="49">
        <v>0</v>
      </c>
      <c r="H158" s="49">
        <v>0</v>
      </c>
      <c r="I158" s="49">
        <v>0</v>
      </c>
      <c r="J158" s="26"/>
      <c r="K158" s="61"/>
      <c r="L158" s="51"/>
      <c r="M158" s="29"/>
      <c r="N158" s="25"/>
      <c r="O158" s="59">
        <v>0</v>
      </c>
      <c r="P158" s="49">
        <v>0</v>
      </c>
      <c r="Q158" s="59">
        <v>0</v>
      </c>
      <c r="R158" s="29" t="s">
        <v>201</v>
      </c>
    </row>
    <row r="159" spans="1:20" ht="24.6">
      <c r="A159" s="25"/>
      <c r="B159" s="29"/>
      <c r="C159" s="29"/>
      <c r="D159" s="49"/>
      <c r="E159" s="29"/>
      <c r="F159" s="29"/>
      <c r="G159" s="49"/>
      <c r="H159" s="49"/>
      <c r="I159" s="49"/>
      <c r="J159" s="26"/>
      <c r="K159" s="61"/>
      <c r="L159" s="51"/>
      <c r="M159" s="29"/>
      <c r="N159" s="25"/>
      <c r="O159" s="59"/>
      <c r="P159" s="49"/>
      <c r="Q159" s="59"/>
      <c r="R159" s="29" t="s">
        <v>202</v>
      </c>
    </row>
    <row r="160" spans="1:20" ht="24.6">
      <c r="A160" s="25">
        <v>19</v>
      </c>
      <c r="B160" s="25" t="s">
        <v>57</v>
      </c>
      <c r="C160" s="29"/>
      <c r="D160" s="49"/>
      <c r="E160" s="29"/>
      <c r="F160" s="29"/>
      <c r="G160" s="49"/>
      <c r="H160" s="49"/>
      <c r="I160" s="49"/>
      <c r="J160" s="26"/>
      <c r="K160" s="61"/>
      <c r="L160" s="51"/>
      <c r="M160" s="29"/>
      <c r="N160" s="25"/>
      <c r="O160" s="59"/>
      <c r="P160" s="49"/>
      <c r="Q160" s="59"/>
      <c r="R160" s="29"/>
    </row>
    <row r="161" spans="1:18" ht="24.6">
      <c r="A161" s="25">
        <v>20</v>
      </c>
      <c r="B161" s="29" t="s">
        <v>40</v>
      </c>
      <c r="C161" s="29"/>
      <c r="D161" s="49"/>
      <c r="E161" s="29"/>
      <c r="F161" s="29"/>
      <c r="G161" s="49">
        <v>0</v>
      </c>
      <c r="H161" s="49">
        <v>0</v>
      </c>
      <c r="I161" s="49">
        <v>0</v>
      </c>
      <c r="J161" s="26"/>
      <c r="K161" s="61"/>
      <c r="L161" s="51"/>
      <c r="M161" s="29"/>
      <c r="N161" s="25"/>
      <c r="O161" s="72">
        <v>0</v>
      </c>
      <c r="P161" s="73">
        <v>0</v>
      </c>
      <c r="Q161" s="73">
        <v>0</v>
      </c>
      <c r="R161" s="29" t="s">
        <v>203</v>
      </c>
    </row>
    <row r="162" spans="1:18" ht="24.6">
      <c r="A162" s="28"/>
      <c r="B162" s="124" t="s">
        <v>97</v>
      </c>
      <c r="C162" s="29"/>
      <c r="D162" s="49"/>
      <c r="E162" s="29"/>
      <c r="F162" s="29"/>
      <c r="G162" s="49"/>
      <c r="H162" s="49"/>
      <c r="I162" s="49"/>
      <c r="J162" s="26"/>
      <c r="K162" s="61"/>
      <c r="L162" s="51"/>
      <c r="M162" s="29"/>
      <c r="N162" s="25"/>
      <c r="O162" s="59"/>
      <c r="P162" s="49"/>
      <c r="Q162" s="59"/>
      <c r="R162" s="29"/>
    </row>
    <row r="163" spans="1:18" ht="24.6">
      <c r="A163" s="28">
        <v>21</v>
      </c>
      <c r="B163" s="119" t="s">
        <v>98</v>
      </c>
      <c r="C163" s="29"/>
      <c r="D163" s="49"/>
      <c r="E163" s="29"/>
      <c r="F163" s="29"/>
      <c r="G163" s="49">
        <v>0</v>
      </c>
      <c r="H163" s="49">
        <v>0</v>
      </c>
      <c r="I163" s="49">
        <v>0</v>
      </c>
      <c r="J163" s="26"/>
      <c r="K163" s="16"/>
      <c r="L163" s="51"/>
      <c r="M163" s="29"/>
      <c r="N163" s="25"/>
      <c r="O163" s="72">
        <v>0</v>
      </c>
      <c r="P163" s="73">
        <v>0</v>
      </c>
      <c r="Q163" s="73">
        <v>0</v>
      </c>
      <c r="R163" s="29"/>
    </row>
    <row r="164" spans="1:18" ht="24.6">
      <c r="A164" s="28"/>
      <c r="B164" s="161" t="s">
        <v>204</v>
      </c>
      <c r="C164" s="29"/>
      <c r="D164" s="49"/>
      <c r="E164" s="29"/>
      <c r="F164" s="29"/>
      <c r="G164" s="49"/>
      <c r="H164" s="49"/>
      <c r="I164" s="49"/>
      <c r="J164" s="26"/>
      <c r="K164" s="61"/>
      <c r="L164" s="51"/>
      <c r="M164" s="29"/>
      <c r="N164" s="25"/>
      <c r="O164" s="59"/>
      <c r="P164" s="49"/>
      <c r="Q164" s="59"/>
      <c r="R164" s="29"/>
    </row>
    <row r="165" spans="1:18" ht="24.6">
      <c r="A165" s="28">
        <v>1</v>
      </c>
      <c r="B165" s="46" t="s">
        <v>166</v>
      </c>
      <c r="C165" s="29"/>
      <c r="D165" s="49"/>
      <c r="E165" s="29"/>
      <c r="F165" s="29"/>
      <c r="G165" s="49">
        <v>0</v>
      </c>
      <c r="H165" s="49">
        <v>0</v>
      </c>
      <c r="I165" s="49">
        <v>0</v>
      </c>
      <c r="J165" s="26"/>
      <c r="K165" s="61"/>
      <c r="L165" s="51"/>
      <c r="M165" s="29"/>
      <c r="N165" s="25"/>
      <c r="O165" s="72">
        <v>0</v>
      </c>
      <c r="P165" s="73">
        <v>0</v>
      </c>
      <c r="Q165" s="73">
        <v>0</v>
      </c>
      <c r="R165" s="29"/>
    </row>
    <row r="166" spans="1:18" ht="24.6">
      <c r="A166" s="28">
        <v>2</v>
      </c>
      <c r="B166" s="46" t="s">
        <v>167</v>
      </c>
      <c r="C166" s="29"/>
      <c r="D166" s="49"/>
      <c r="E166" s="29"/>
      <c r="F166" s="29"/>
      <c r="G166" s="49">
        <v>0</v>
      </c>
      <c r="H166" s="49">
        <v>0</v>
      </c>
      <c r="I166" s="49">
        <v>0</v>
      </c>
      <c r="J166" s="26"/>
      <c r="K166" s="61"/>
      <c r="L166" s="51"/>
      <c r="M166" s="29"/>
      <c r="N166" s="25"/>
      <c r="O166" s="72">
        <v>0</v>
      </c>
      <c r="P166" s="73">
        <v>0</v>
      </c>
      <c r="Q166" s="73">
        <v>0</v>
      </c>
      <c r="R166" s="29"/>
    </row>
    <row r="167" spans="1:18" ht="24.6">
      <c r="A167" s="28"/>
      <c r="B167" s="161" t="s">
        <v>205</v>
      </c>
      <c r="C167" s="109"/>
      <c r="D167" s="162"/>
      <c r="E167" s="109"/>
      <c r="F167" s="109"/>
      <c r="G167" s="162"/>
      <c r="H167" s="162"/>
      <c r="I167" s="162"/>
      <c r="J167" s="163"/>
      <c r="K167" s="113"/>
      <c r="L167" s="164"/>
      <c r="M167" s="109"/>
      <c r="N167" s="115"/>
      <c r="O167" s="59"/>
      <c r="P167" s="162"/>
      <c r="Q167" s="111"/>
      <c r="R167" s="29"/>
    </row>
    <row r="168" spans="1:18" ht="24.6">
      <c r="A168" s="28">
        <v>1</v>
      </c>
      <c r="B168" s="46" t="s">
        <v>32</v>
      </c>
      <c r="C168" s="29"/>
      <c r="D168" s="49"/>
      <c r="E168" s="29"/>
      <c r="F168" s="29"/>
      <c r="G168" s="49">
        <v>0</v>
      </c>
      <c r="H168" s="49">
        <v>0</v>
      </c>
      <c r="I168" s="49">
        <v>0</v>
      </c>
      <c r="J168" s="26"/>
      <c r="K168" s="61"/>
      <c r="L168" s="51"/>
      <c r="M168" s="29"/>
      <c r="N168" s="25"/>
      <c r="O168" s="72">
        <v>0</v>
      </c>
      <c r="P168" s="73">
        <v>0</v>
      </c>
      <c r="Q168" s="73">
        <v>0</v>
      </c>
      <c r="R168" s="29" t="s">
        <v>206</v>
      </c>
    </row>
    <row r="169" spans="1:18" ht="25.2" thickBot="1">
      <c r="A169" s="28">
        <v>2</v>
      </c>
      <c r="B169" s="46" t="s">
        <v>207</v>
      </c>
      <c r="C169" s="109"/>
      <c r="D169" s="162"/>
      <c r="E169" s="109"/>
      <c r="F169" s="109"/>
      <c r="G169" s="49">
        <v>0</v>
      </c>
      <c r="H169" s="49">
        <v>0</v>
      </c>
      <c r="I169" s="49">
        <v>0</v>
      </c>
      <c r="J169" s="163"/>
      <c r="K169" s="113"/>
      <c r="L169" s="164"/>
      <c r="M169" s="109"/>
      <c r="N169" s="115"/>
      <c r="O169" s="72">
        <v>0</v>
      </c>
      <c r="P169" s="73">
        <v>0</v>
      </c>
      <c r="Q169" s="73">
        <v>0</v>
      </c>
      <c r="R169" s="29"/>
    </row>
    <row r="170" spans="1:18" ht="25.8" thickTop="1" thickBot="1">
      <c r="A170" s="46"/>
      <c r="B170" s="28" t="s">
        <v>26</v>
      </c>
      <c r="C170" s="79"/>
      <c r="D170" s="165"/>
      <c r="E170" s="165"/>
      <c r="F170" s="165"/>
      <c r="G170" s="165">
        <v>0</v>
      </c>
      <c r="H170" s="165">
        <v>0</v>
      </c>
      <c r="I170" s="165">
        <v>0</v>
      </c>
      <c r="J170" s="166"/>
      <c r="K170" s="166"/>
      <c r="L170" s="166"/>
      <c r="M170" s="165"/>
      <c r="N170" s="167"/>
      <c r="O170" s="165">
        <v>0</v>
      </c>
      <c r="P170" s="165">
        <v>0</v>
      </c>
      <c r="Q170" s="165">
        <v>0</v>
      </c>
      <c r="R170" s="29"/>
    </row>
    <row r="171" spans="1:18" ht="25.2" thickTop="1">
      <c r="A171" s="46"/>
      <c r="B171" s="168" t="s">
        <v>208</v>
      </c>
      <c r="C171" s="46"/>
      <c r="D171" s="98"/>
      <c r="E171" s="46"/>
      <c r="F171" s="46"/>
      <c r="G171" s="57"/>
      <c r="H171" s="57"/>
      <c r="I171" s="57"/>
      <c r="J171" s="137"/>
      <c r="K171" s="48"/>
      <c r="L171" s="169"/>
      <c r="M171" s="46"/>
      <c r="N171" s="28"/>
      <c r="O171" s="57"/>
      <c r="P171" s="57"/>
      <c r="Q171" s="57"/>
      <c r="R171" s="46"/>
    </row>
    <row r="172" spans="1:18" ht="25.2" thickBot="1">
      <c r="A172" s="28">
        <v>1</v>
      </c>
      <c r="B172" s="28"/>
      <c r="C172" s="74"/>
      <c r="D172" s="110"/>
      <c r="E172" s="74"/>
      <c r="F172" s="74"/>
      <c r="G172" s="78"/>
      <c r="H172" s="78"/>
      <c r="I172" s="78"/>
      <c r="J172" s="35"/>
      <c r="K172" s="76"/>
      <c r="L172" s="170"/>
      <c r="M172" s="74"/>
      <c r="N172" s="34"/>
      <c r="O172" s="78"/>
      <c r="P172" s="78"/>
      <c r="Q172" s="78"/>
      <c r="R172" s="46"/>
    </row>
    <row r="173" spans="1:18" ht="25.2" thickTop="1">
      <c r="A173" s="46"/>
      <c r="B173" s="28" t="s">
        <v>26</v>
      </c>
      <c r="C173" s="109"/>
      <c r="D173" s="162"/>
      <c r="E173" s="109"/>
      <c r="F173" s="109"/>
      <c r="G173" s="111"/>
      <c r="H173" s="111"/>
      <c r="I173" s="111"/>
      <c r="J173" s="163"/>
      <c r="K173" s="113"/>
      <c r="L173" s="164"/>
      <c r="M173" s="109"/>
      <c r="N173" s="115"/>
      <c r="O173" s="111"/>
      <c r="P173" s="111"/>
      <c r="Q173" s="111"/>
      <c r="R173" s="46"/>
    </row>
    <row r="174" spans="1:18" ht="24.6">
      <c r="A174" s="46"/>
      <c r="B174" s="168" t="s">
        <v>209</v>
      </c>
      <c r="C174" s="29"/>
      <c r="D174" s="49"/>
      <c r="E174" s="29"/>
      <c r="F174" s="29"/>
      <c r="G174" s="59"/>
      <c r="H174" s="59"/>
      <c r="I174" s="59"/>
      <c r="J174" s="26"/>
      <c r="K174" s="61"/>
      <c r="L174" s="51"/>
      <c r="M174" s="29"/>
      <c r="N174" s="25"/>
      <c r="O174" s="59"/>
      <c r="P174" s="59"/>
      <c r="Q174" s="59"/>
      <c r="R174" s="46"/>
    </row>
    <row r="175" spans="1:18" ht="29.25" customHeight="1" thickBot="1">
      <c r="A175" s="115">
        <v>1</v>
      </c>
      <c r="B175" s="115"/>
      <c r="C175" s="74"/>
      <c r="D175" s="110"/>
      <c r="E175" s="74"/>
      <c r="F175" s="74"/>
      <c r="G175" s="78"/>
      <c r="H175" s="78"/>
      <c r="I175" s="78"/>
      <c r="J175" s="35"/>
      <c r="K175" s="76"/>
      <c r="L175" s="170"/>
      <c r="M175" s="74"/>
      <c r="N175" s="34"/>
      <c r="O175" s="78"/>
      <c r="P175" s="78"/>
      <c r="Q175" s="78"/>
      <c r="R175" s="109"/>
    </row>
    <row r="176" spans="1:18" ht="26.25" customHeight="1" thickTop="1" thickBot="1">
      <c r="A176" s="29"/>
      <c r="B176" s="25" t="s">
        <v>26</v>
      </c>
      <c r="C176" s="64"/>
      <c r="D176" s="171"/>
      <c r="E176" s="64"/>
      <c r="F176" s="64"/>
      <c r="G176" s="63"/>
      <c r="H176" s="63"/>
      <c r="I176" s="63"/>
      <c r="J176" s="42"/>
      <c r="K176" s="66"/>
      <c r="L176" s="172"/>
      <c r="M176" s="64"/>
      <c r="N176" s="41"/>
      <c r="O176" s="63"/>
      <c r="P176" s="63"/>
      <c r="Q176" s="63"/>
      <c r="R176" s="29"/>
    </row>
    <row r="177" spans="1:23" ht="24.75" customHeight="1" thickTop="1">
      <c r="A177" s="46"/>
      <c r="B177" s="168" t="s">
        <v>210</v>
      </c>
      <c r="C177" s="46"/>
      <c r="D177" s="98"/>
      <c r="E177" s="46"/>
      <c r="F177" s="46"/>
      <c r="G177" s="46"/>
      <c r="H177" s="46"/>
      <c r="I177" s="46"/>
      <c r="J177" s="137"/>
      <c r="K177" s="48"/>
      <c r="L177" s="48"/>
      <c r="M177" s="46"/>
      <c r="N177" s="28"/>
      <c r="O177" s="46"/>
      <c r="P177" s="46"/>
      <c r="Q177" s="46"/>
      <c r="R177" s="46"/>
    </row>
    <row r="178" spans="1:23" ht="24" customHeight="1">
      <c r="A178" s="25"/>
      <c r="B178" s="29"/>
      <c r="C178" s="29"/>
      <c r="D178" s="49"/>
      <c r="E178" s="29"/>
      <c r="F178" s="29"/>
      <c r="G178" s="49">
        <v>0</v>
      </c>
      <c r="H178" s="49">
        <v>0</v>
      </c>
      <c r="I178" s="59">
        <v>0</v>
      </c>
      <c r="J178" s="26"/>
      <c r="K178" s="61"/>
      <c r="L178" s="51"/>
      <c r="M178" s="29"/>
      <c r="N178" s="25"/>
      <c r="O178" s="72">
        <v>0</v>
      </c>
      <c r="P178" s="73">
        <v>0</v>
      </c>
      <c r="Q178" s="73">
        <v>0</v>
      </c>
      <c r="R178" s="29"/>
    </row>
    <row r="179" spans="1:23" ht="24.75" customHeight="1" thickBot="1">
      <c r="A179" s="34"/>
      <c r="B179" s="34" t="s">
        <v>26</v>
      </c>
      <c r="C179" s="74"/>
      <c r="D179" s="110"/>
      <c r="E179" s="74"/>
      <c r="F179" s="74"/>
      <c r="G179" s="78">
        <v>0</v>
      </c>
      <c r="H179" s="78">
        <v>0</v>
      </c>
      <c r="I179" s="78">
        <v>0</v>
      </c>
      <c r="J179" s="75"/>
      <c r="K179" s="76"/>
      <c r="L179" s="170"/>
      <c r="M179" s="74"/>
      <c r="N179" s="34"/>
      <c r="O179" s="110">
        <v>0</v>
      </c>
      <c r="P179" s="110">
        <v>0</v>
      </c>
      <c r="Q179" s="110">
        <v>0</v>
      </c>
      <c r="R179" s="74"/>
    </row>
    <row r="180" spans="1:23" ht="24.75" customHeight="1" thickTop="1">
      <c r="A180" s="14"/>
      <c r="B180" s="173"/>
      <c r="D180" s="174"/>
      <c r="G180" s="175"/>
      <c r="H180" s="175"/>
      <c r="I180" s="175"/>
      <c r="L180" s="178"/>
      <c r="O180" s="174"/>
      <c r="P180" s="174"/>
      <c r="Q180" s="174"/>
      <c r="R180" s="179"/>
    </row>
    <row r="181" spans="1:23" ht="24.75" customHeight="1">
      <c r="A181" s="731" t="s">
        <v>211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3"/>
    </row>
    <row r="182" spans="1:23" ht="24.75" customHeight="1">
      <c r="A182" s="46">
        <v>1</v>
      </c>
      <c r="B182" s="180" t="s">
        <v>32</v>
      </c>
      <c r="C182" s="46" t="s">
        <v>104</v>
      </c>
      <c r="D182" s="98">
        <v>4650</v>
      </c>
      <c r="E182" s="141" t="s">
        <v>212</v>
      </c>
      <c r="F182" s="141">
        <v>2</v>
      </c>
      <c r="G182" s="141">
        <v>9300</v>
      </c>
      <c r="H182" s="141" t="s">
        <v>172</v>
      </c>
      <c r="I182" s="141">
        <v>9300</v>
      </c>
      <c r="J182" s="137"/>
      <c r="K182" s="48"/>
      <c r="L182" s="48"/>
      <c r="M182" s="46" t="s">
        <v>213</v>
      </c>
      <c r="N182" s="28">
        <v>3</v>
      </c>
      <c r="O182" s="57">
        <f>SUM(D182+I182-L182)</f>
        <v>13950</v>
      </c>
      <c r="P182" s="28" t="s">
        <v>172</v>
      </c>
      <c r="Q182" s="57">
        <f>O182</f>
        <v>13950</v>
      </c>
      <c r="R182" s="46" t="s">
        <v>214</v>
      </c>
    </row>
    <row r="183" spans="1:23" ht="24" customHeight="1">
      <c r="A183" s="25">
        <v>2</v>
      </c>
      <c r="B183" s="29" t="s">
        <v>215</v>
      </c>
      <c r="C183" s="29" t="s">
        <v>104</v>
      </c>
      <c r="D183" s="49">
        <v>5750</v>
      </c>
      <c r="E183" s="134" t="s">
        <v>212</v>
      </c>
      <c r="F183" s="134">
        <v>2</v>
      </c>
      <c r="G183" s="134">
        <v>11500</v>
      </c>
      <c r="H183" s="134">
        <v>0</v>
      </c>
      <c r="I183" s="134">
        <v>11500</v>
      </c>
      <c r="J183" s="26"/>
      <c r="K183" s="61"/>
      <c r="L183" s="51"/>
      <c r="M183" s="46" t="s">
        <v>213</v>
      </c>
      <c r="N183" s="25">
        <v>3</v>
      </c>
      <c r="O183" s="57">
        <f>SUM(D183+I183-L183)</f>
        <v>17250</v>
      </c>
      <c r="P183" s="73">
        <v>0</v>
      </c>
      <c r="Q183" s="57">
        <f>O183</f>
        <v>17250</v>
      </c>
      <c r="R183" s="29" t="s">
        <v>214</v>
      </c>
    </row>
    <row r="184" spans="1:23" ht="24.75" customHeight="1" thickBot="1">
      <c r="A184" s="34"/>
      <c r="B184" s="34" t="s">
        <v>26</v>
      </c>
      <c r="C184" s="74"/>
      <c r="D184" s="110">
        <f>SUM(D182:D183)</f>
        <v>10400</v>
      </c>
      <c r="E184" s="74"/>
      <c r="F184" s="74"/>
      <c r="G184" s="78">
        <f>SUM(G182:G183)</f>
        <v>20800</v>
      </c>
      <c r="H184" s="78">
        <f>SUM(H182:H183)</f>
        <v>0</v>
      </c>
      <c r="I184" s="78">
        <f>SUM(I182:I183)</f>
        <v>20800</v>
      </c>
      <c r="J184" s="75"/>
      <c r="K184" s="76"/>
      <c r="L184" s="170"/>
      <c r="M184" s="74"/>
      <c r="N184" s="34"/>
      <c r="O184" s="110">
        <f>SUM(O182:O183)</f>
        <v>31200</v>
      </c>
      <c r="P184" s="110">
        <v>0</v>
      </c>
      <c r="Q184" s="110">
        <f>SUM(Q182:Q183)</f>
        <v>31200</v>
      </c>
      <c r="R184" s="74"/>
    </row>
    <row r="185" spans="1:23" ht="24.75" customHeight="1" thickTop="1">
      <c r="A185" s="14"/>
      <c r="B185" s="173"/>
      <c r="D185" s="174"/>
      <c r="G185" s="175"/>
      <c r="H185" s="175"/>
      <c r="I185" s="175"/>
      <c r="L185" s="178"/>
      <c r="O185" s="174"/>
      <c r="P185" s="174"/>
      <c r="Q185" s="174"/>
      <c r="R185" s="179"/>
    </row>
    <row r="186" spans="1:23" ht="24.6">
      <c r="A186" s="734" t="s">
        <v>216</v>
      </c>
      <c r="B186" s="735"/>
      <c r="C186" s="735"/>
      <c r="D186" s="735"/>
      <c r="E186" s="735"/>
      <c r="F186" s="735"/>
      <c r="G186" s="735"/>
      <c r="H186" s="735"/>
      <c r="I186" s="735"/>
      <c r="J186" s="735"/>
      <c r="K186" s="735"/>
      <c r="L186" s="735"/>
      <c r="M186" s="735"/>
      <c r="N186" s="735"/>
      <c r="O186" s="735"/>
      <c r="P186" s="735"/>
      <c r="Q186" s="735"/>
      <c r="R186" s="736"/>
    </row>
    <row r="187" spans="1:23" ht="29.25" customHeight="1">
      <c r="A187" s="115"/>
      <c r="B187" s="115"/>
      <c r="C187" s="181"/>
      <c r="D187" s="182"/>
      <c r="E187" s="181"/>
      <c r="F187" s="181"/>
      <c r="G187" s="183"/>
      <c r="H187" s="183"/>
      <c r="I187" s="183"/>
      <c r="J187" s="184"/>
      <c r="K187" s="185"/>
      <c r="L187" s="186"/>
      <c r="M187" s="181"/>
      <c r="N187" s="187"/>
      <c r="O187" s="183"/>
      <c r="P187" s="183"/>
      <c r="Q187" s="183"/>
      <c r="R187" s="109"/>
    </row>
    <row r="188" spans="1:23" ht="29.25" customHeight="1" thickBot="1">
      <c r="A188" s="115"/>
      <c r="B188" s="115"/>
      <c r="C188" s="64"/>
      <c r="D188" s="171"/>
      <c r="E188" s="64"/>
      <c r="F188" s="64"/>
      <c r="G188" s="63"/>
      <c r="H188" s="63"/>
      <c r="I188" s="63"/>
      <c r="J188" s="42"/>
      <c r="K188" s="66"/>
      <c r="L188" s="172"/>
      <c r="M188" s="64"/>
      <c r="N188" s="41"/>
      <c r="O188" s="63"/>
      <c r="P188" s="63"/>
      <c r="Q188" s="63"/>
      <c r="R188" s="109"/>
    </row>
    <row r="189" spans="1:23" ht="26.25" customHeight="1" thickTop="1" thickBot="1">
      <c r="A189" s="29"/>
      <c r="B189" s="25" t="s">
        <v>26</v>
      </c>
      <c r="C189" s="64"/>
      <c r="D189" s="171"/>
      <c r="E189" s="64"/>
      <c r="F189" s="64"/>
      <c r="G189" s="63">
        <f>SUM(G187:G187)</f>
        <v>0</v>
      </c>
      <c r="H189" s="63">
        <f>SUM(H187:H187)</f>
        <v>0</v>
      </c>
      <c r="I189" s="63">
        <f>SUM(I187:I187)</f>
        <v>0</v>
      </c>
      <c r="J189" s="42"/>
      <c r="K189" s="66"/>
      <c r="L189" s="172"/>
      <c r="M189" s="64"/>
      <c r="N189" s="41"/>
      <c r="O189" s="63">
        <f>SUM(O187:O187)</f>
        <v>0</v>
      </c>
      <c r="P189" s="63">
        <f>SUM(P187:P187)</f>
        <v>0</v>
      </c>
      <c r="Q189" s="63">
        <f>SUM(Q187:Q187)</f>
        <v>0</v>
      </c>
      <c r="R189" s="29"/>
    </row>
    <row r="190" spans="1:23" ht="24.75" customHeight="1" thickTop="1">
      <c r="A190" s="4"/>
      <c r="B190" s="188" t="s">
        <v>217</v>
      </c>
      <c r="C190" s="53"/>
      <c r="D190" s="127"/>
      <c r="E190" s="53"/>
      <c r="F190" s="53"/>
      <c r="G190" s="183"/>
      <c r="H190" s="183"/>
      <c r="I190" s="183"/>
      <c r="J190" s="189"/>
      <c r="K190" s="185"/>
      <c r="L190" s="186"/>
      <c r="M190" s="53"/>
      <c r="N190" s="4"/>
      <c r="O190" s="127"/>
      <c r="P190" s="127"/>
      <c r="Q190" s="127"/>
      <c r="R190" s="181"/>
    </row>
    <row r="191" spans="1:23" s="96" customFormat="1" ht="24.75" customHeight="1">
      <c r="A191" s="190">
        <v>1</v>
      </c>
      <c r="B191" s="191" t="s">
        <v>68</v>
      </c>
      <c r="C191" s="192">
        <v>268</v>
      </c>
      <c r="D191" s="193">
        <v>1215</v>
      </c>
      <c r="E191" s="190" t="s">
        <v>218</v>
      </c>
      <c r="F191" s="194">
        <v>97</v>
      </c>
      <c r="G191" s="193">
        <v>109485</v>
      </c>
      <c r="H191" s="193" t="s">
        <v>172</v>
      </c>
      <c r="I191" s="193">
        <v>109485</v>
      </c>
      <c r="J191" s="195"/>
      <c r="K191" s="196"/>
      <c r="L191" s="197"/>
      <c r="M191" s="190" t="s">
        <v>219</v>
      </c>
      <c r="N191" s="190">
        <v>98</v>
      </c>
      <c r="O191" s="198">
        <f>SUM(D191+G191)</f>
        <v>110700</v>
      </c>
      <c r="P191" s="198" t="s">
        <v>172</v>
      </c>
      <c r="Q191" s="198">
        <f>SUM(D191+I191)</f>
        <v>110700</v>
      </c>
      <c r="R191" s="192" t="s">
        <v>220</v>
      </c>
      <c r="T191" s="97">
        <v>82995</v>
      </c>
    </row>
    <row r="192" spans="1:23" ht="24.75" customHeight="1">
      <c r="A192" s="199"/>
      <c r="B192" s="200" t="s">
        <v>221</v>
      </c>
      <c r="C192" s="201" t="s">
        <v>222</v>
      </c>
      <c r="D192" s="202">
        <v>0</v>
      </c>
      <c r="E192" s="203"/>
      <c r="F192" s="204" t="s">
        <v>172</v>
      </c>
      <c r="G192" s="202">
        <v>19700</v>
      </c>
      <c r="H192" s="202">
        <v>0</v>
      </c>
      <c r="I192" s="202">
        <v>19700</v>
      </c>
      <c r="J192" s="205"/>
      <c r="K192" s="206"/>
      <c r="L192" s="207">
        <v>0</v>
      </c>
      <c r="M192" s="208"/>
      <c r="N192" s="209" t="s">
        <v>172</v>
      </c>
      <c r="O192" s="198">
        <v>19700</v>
      </c>
      <c r="P192" s="210">
        <v>0</v>
      </c>
      <c r="Q192" s="210">
        <v>19700</v>
      </c>
      <c r="R192" s="203" t="s">
        <v>184</v>
      </c>
      <c r="V192" s="211"/>
      <c r="W192" s="211"/>
    </row>
    <row r="193" spans="1:22" ht="24.75" customHeight="1">
      <c r="A193" s="199"/>
      <c r="B193" s="201"/>
      <c r="C193" s="201" t="s">
        <v>223</v>
      </c>
      <c r="D193" s="202"/>
      <c r="E193" s="203"/>
      <c r="F193" s="204" t="s">
        <v>172</v>
      </c>
      <c r="G193" s="202">
        <v>19700</v>
      </c>
      <c r="H193" s="202">
        <v>0</v>
      </c>
      <c r="I193" s="202">
        <v>19700</v>
      </c>
      <c r="J193" s="205"/>
      <c r="K193" s="206"/>
      <c r="L193" s="207">
        <v>0</v>
      </c>
      <c r="M193" s="203"/>
      <c r="N193" s="199" t="s">
        <v>172</v>
      </c>
      <c r="O193" s="198">
        <v>19700</v>
      </c>
      <c r="P193" s="210">
        <v>0</v>
      </c>
      <c r="Q193" s="210">
        <v>19700</v>
      </c>
      <c r="R193" s="203" t="s">
        <v>185</v>
      </c>
      <c r="V193" s="211"/>
    </row>
    <row r="194" spans="1:22" ht="24.75" customHeight="1">
      <c r="A194" s="199"/>
      <c r="B194" s="201"/>
      <c r="C194" s="201" t="s">
        <v>224</v>
      </c>
      <c r="D194" s="202"/>
      <c r="E194" s="203"/>
      <c r="F194" s="204" t="s">
        <v>172</v>
      </c>
      <c r="G194" s="202">
        <v>19700</v>
      </c>
      <c r="H194" s="202">
        <v>0</v>
      </c>
      <c r="I194" s="202">
        <v>19700</v>
      </c>
      <c r="J194" s="205"/>
      <c r="K194" s="206"/>
      <c r="L194" s="207">
        <v>0</v>
      </c>
      <c r="M194" s="203"/>
      <c r="N194" s="199" t="s">
        <v>172</v>
      </c>
      <c r="O194" s="198">
        <v>19700</v>
      </c>
      <c r="P194" s="210">
        <v>0</v>
      </c>
      <c r="Q194" s="210">
        <v>19700</v>
      </c>
      <c r="R194" s="203" t="s">
        <v>186</v>
      </c>
    </row>
    <row r="195" spans="1:22" ht="24.75" customHeight="1">
      <c r="A195" s="199">
        <v>2</v>
      </c>
      <c r="B195" s="200" t="s">
        <v>225</v>
      </c>
      <c r="C195" s="203"/>
      <c r="D195" s="202"/>
      <c r="E195" s="199" t="s">
        <v>226</v>
      </c>
      <c r="F195" s="204">
        <v>88</v>
      </c>
      <c r="G195" s="202">
        <v>193600</v>
      </c>
      <c r="H195" s="202">
        <v>0</v>
      </c>
      <c r="I195" s="202">
        <v>193600</v>
      </c>
      <c r="J195" s="205"/>
      <c r="K195" s="206"/>
      <c r="L195" s="207"/>
      <c r="M195" s="199" t="s">
        <v>226</v>
      </c>
      <c r="N195" s="199">
        <v>88</v>
      </c>
      <c r="O195" s="198">
        <v>193600</v>
      </c>
      <c r="P195" s="210">
        <v>0</v>
      </c>
      <c r="Q195" s="210">
        <v>193600</v>
      </c>
      <c r="R195" s="203" t="s">
        <v>227</v>
      </c>
    </row>
    <row r="196" spans="1:22" ht="24.75" customHeight="1">
      <c r="A196" s="199"/>
      <c r="B196" s="200"/>
      <c r="C196" s="203"/>
      <c r="D196" s="202"/>
      <c r="E196" s="199"/>
      <c r="F196" s="204"/>
      <c r="G196" s="202"/>
      <c r="H196" s="202"/>
      <c r="I196" s="202"/>
      <c r="J196" s="205"/>
      <c r="L196" s="207"/>
      <c r="M196" s="199"/>
      <c r="N196" s="199"/>
      <c r="O196" s="198"/>
      <c r="P196" s="210"/>
      <c r="Q196" s="210"/>
      <c r="R196" s="203" t="s">
        <v>228</v>
      </c>
    </row>
    <row r="197" spans="1:22" ht="24.75" customHeight="1">
      <c r="A197" s="199">
        <v>3</v>
      </c>
      <c r="B197" s="200" t="s">
        <v>85</v>
      </c>
      <c r="C197" s="203" t="s">
        <v>86</v>
      </c>
      <c r="D197" s="202">
        <v>0</v>
      </c>
      <c r="E197" s="199" t="s">
        <v>229</v>
      </c>
      <c r="F197" s="204">
        <v>7</v>
      </c>
      <c r="G197" s="202">
        <v>30800</v>
      </c>
      <c r="H197" s="202">
        <v>0</v>
      </c>
      <c r="I197" s="202">
        <v>30800</v>
      </c>
      <c r="J197" s="205"/>
      <c r="K197" s="206"/>
      <c r="L197" s="207"/>
      <c r="M197" s="203" t="s">
        <v>229</v>
      </c>
      <c r="N197" s="199">
        <v>7</v>
      </c>
      <c r="O197" s="198">
        <v>30800</v>
      </c>
      <c r="P197" s="210">
        <v>0</v>
      </c>
      <c r="Q197" s="210">
        <v>30800</v>
      </c>
      <c r="R197" s="203" t="s">
        <v>230</v>
      </c>
    </row>
    <row r="198" spans="1:22" ht="24.75" customHeight="1">
      <c r="A198" s="115"/>
      <c r="B198" s="212"/>
      <c r="C198" s="109"/>
      <c r="D198" s="162"/>
      <c r="E198" s="115"/>
      <c r="F198" s="213"/>
      <c r="G198" s="162"/>
      <c r="H198" s="214"/>
      <c r="I198" s="214"/>
      <c r="J198" s="215"/>
      <c r="K198" s="216"/>
      <c r="L198" s="217"/>
      <c r="M198" s="218"/>
      <c r="N198" s="219"/>
      <c r="O198" s="220"/>
      <c r="P198" s="221"/>
      <c r="Q198" s="221"/>
      <c r="R198" s="218" t="s">
        <v>231</v>
      </c>
    </row>
    <row r="199" spans="1:22" s="96" customFormat="1" ht="24.75" customHeight="1">
      <c r="A199" s="190"/>
      <c r="B199" s="191" t="s">
        <v>232</v>
      </c>
      <c r="C199" s="192" t="s">
        <v>194</v>
      </c>
      <c r="D199" s="193">
        <v>0</v>
      </c>
      <c r="E199" s="192"/>
      <c r="F199" s="192"/>
      <c r="G199" s="193">
        <v>64400</v>
      </c>
      <c r="H199" s="193">
        <v>0</v>
      </c>
      <c r="I199" s="193">
        <v>64400</v>
      </c>
      <c r="J199" s="195"/>
      <c r="K199" s="196"/>
      <c r="L199" s="197">
        <v>0</v>
      </c>
      <c r="M199" s="192"/>
      <c r="N199" s="190"/>
      <c r="O199" s="198">
        <v>64400</v>
      </c>
      <c r="P199" s="210">
        <v>0</v>
      </c>
      <c r="Q199" s="210">
        <v>64400</v>
      </c>
      <c r="R199" s="192" t="s">
        <v>233</v>
      </c>
      <c r="T199" s="97"/>
    </row>
    <row r="200" spans="1:22" ht="24.6">
      <c r="A200" s="199">
        <v>4</v>
      </c>
      <c r="B200" s="203" t="s">
        <v>32</v>
      </c>
      <c r="C200" s="222" t="s">
        <v>104</v>
      </c>
      <c r="D200" s="202"/>
      <c r="E200" s="223" t="s">
        <v>234</v>
      </c>
      <c r="F200" s="224">
        <v>4</v>
      </c>
      <c r="G200" s="225">
        <v>18600</v>
      </c>
      <c r="H200" s="225">
        <v>0</v>
      </c>
      <c r="I200" s="225">
        <v>18600</v>
      </c>
      <c r="J200" s="226"/>
      <c r="K200" s="227"/>
      <c r="L200" s="228"/>
      <c r="M200" s="199" t="s">
        <v>234</v>
      </c>
      <c r="N200" s="199">
        <v>4</v>
      </c>
      <c r="O200" s="198">
        <f>D200+G200</f>
        <v>18600</v>
      </c>
      <c r="P200" s="210">
        <v>0</v>
      </c>
      <c r="Q200" s="210">
        <f>D200+I200</f>
        <v>18600</v>
      </c>
      <c r="R200" s="203" t="s">
        <v>235</v>
      </c>
    </row>
    <row r="201" spans="1:22" ht="24.6">
      <c r="A201" s="199">
        <v>5</v>
      </c>
      <c r="B201" s="203" t="s">
        <v>215</v>
      </c>
      <c r="C201" s="222" t="s">
        <v>104</v>
      </c>
      <c r="D201" s="202"/>
      <c r="E201" s="199" t="s">
        <v>236</v>
      </c>
      <c r="F201" s="199">
        <v>4</v>
      </c>
      <c r="G201" s="202">
        <v>23000</v>
      </c>
      <c r="H201" s="202">
        <v>0</v>
      </c>
      <c r="I201" s="202">
        <v>23000</v>
      </c>
      <c r="J201" s="226"/>
      <c r="K201" s="227"/>
      <c r="L201" s="228"/>
      <c r="M201" s="199" t="s">
        <v>236</v>
      </c>
      <c r="N201" s="199">
        <v>4</v>
      </c>
      <c r="O201" s="198">
        <f>D201+G201</f>
        <v>23000</v>
      </c>
      <c r="P201" s="210">
        <v>0</v>
      </c>
      <c r="Q201" s="210">
        <f>D201+I201</f>
        <v>23000</v>
      </c>
      <c r="R201" s="203" t="s">
        <v>237</v>
      </c>
    </row>
    <row r="202" spans="1:22" s="96" customFormat="1" ht="24.75" customHeight="1">
      <c r="A202" s="229"/>
      <c r="B202" s="230"/>
      <c r="C202" s="231"/>
      <c r="D202" s="232"/>
      <c r="E202" s="231"/>
      <c r="F202" s="231"/>
      <c r="G202" s="232"/>
      <c r="H202" s="232"/>
      <c r="I202" s="232"/>
      <c r="J202" s="233"/>
      <c r="K202" s="234"/>
      <c r="L202" s="235"/>
      <c r="M202" s="231"/>
      <c r="N202" s="229"/>
      <c r="O202" s="236"/>
      <c r="P202" s="237"/>
      <c r="Q202" s="237"/>
      <c r="R202" s="238"/>
      <c r="T202" s="97"/>
    </row>
    <row r="203" spans="1:22" ht="24.75" customHeight="1" thickBot="1">
      <c r="A203" s="34"/>
      <c r="B203" s="239"/>
      <c r="C203" s="74"/>
      <c r="D203" s="110">
        <v>1215</v>
      </c>
      <c r="E203" s="110"/>
      <c r="F203" s="110"/>
      <c r="G203" s="110">
        <f>SUM(G191:G201)</f>
        <v>498985</v>
      </c>
      <c r="H203" s="110">
        <v>0</v>
      </c>
      <c r="I203" s="110">
        <f>SUM(I191:I201)</f>
        <v>498985</v>
      </c>
      <c r="J203" s="170"/>
      <c r="K203" s="170"/>
      <c r="L203" s="170">
        <v>0</v>
      </c>
      <c r="M203" s="110"/>
      <c r="N203" s="240"/>
      <c r="O203" s="171">
        <f>SUM(O191:O201)</f>
        <v>500200</v>
      </c>
      <c r="P203" s="171">
        <v>0</v>
      </c>
      <c r="Q203" s="171">
        <f>SUM(Q191:Q201)</f>
        <v>500200</v>
      </c>
      <c r="R203" s="208"/>
    </row>
    <row r="204" spans="1:22" ht="25.2" thickTop="1">
      <c r="A204" s="46"/>
      <c r="B204" s="161" t="s">
        <v>238</v>
      </c>
      <c r="C204" s="46"/>
      <c r="D204" s="46"/>
      <c r="E204" s="46"/>
      <c r="F204" s="46"/>
      <c r="G204" s="46"/>
      <c r="H204" s="46"/>
      <c r="I204" s="46"/>
      <c r="J204" s="47"/>
      <c r="K204" s="48"/>
      <c r="L204" s="48"/>
      <c r="M204" s="46"/>
      <c r="N204" s="28"/>
      <c r="O204" s="46"/>
      <c r="P204" s="46"/>
      <c r="Q204" s="46"/>
      <c r="R204" s="46"/>
    </row>
    <row r="205" spans="1:22" ht="24.6">
      <c r="A205" s="25">
        <v>1</v>
      </c>
      <c r="B205" s="53" t="s">
        <v>239</v>
      </c>
      <c r="C205" s="109"/>
      <c r="D205" s="109"/>
      <c r="E205" s="109" t="s">
        <v>240</v>
      </c>
      <c r="F205" s="109"/>
      <c r="G205" s="162"/>
      <c r="H205" s="109"/>
      <c r="I205" s="162">
        <v>0</v>
      </c>
      <c r="J205" s="112"/>
      <c r="K205" s="113"/>
      <c r="L205" s="241"/>
      <c r="M205" s="109" t="s">
        <v>240</v>
      </c>
      <c r="N205" s="115"/>
      <c r="O205" s="49"/>
      <c r="P205" s="127"/>
      <c r="Q205" s="162">
        <v>0</v>
      </c>
      <c r="R205" s="29"/>
    </row>
    <row r="206" spans="1:22" ht="24.6">
      <c r="A206" s="25"/>
      <c r="B206" s="29" t="s">
        <v>241</v>
      </c>
      <c r="C206" s="29"/>
      <c r="D206" s="29"/>
      <c r="E206" s="25" t="s">
        <v>242</v>
      </c>
      <c r="F206" s="29"/>
      <c r="G206" s="49">
        <v>133707.98000000001</v>
      </c>
      <c r="H206" s="134">
        <v>0</v>
      </c>
      <c r="I206" s="49">
        <v>133707.98000000001</v>
      </c>
      <c r="J206" s="60"/>
      <c r="K206" s="61"/>
      <c r="L206" s="242"/>
      <c r="M206" s="29" t="s">
        <v>242</v>
      </c>
      <c r="N206" s="25"/>
      <c r="O206" s="72">
        <v>133707.98000000001</v>
      </c>
      <c r="P206" s="73">
        <v>0</v>
      </c>
      <c r="Q206" s="73">
        <v>133707.98000000001</v>
      </c>
      <c r="R206" s="29" t="s">
        <v>243</v>
      </c>
    </row>
    <row r="207" spans="1:22" ht="24.6">
      <c r="A207" s="25"/>
      <c r="B207" s="29" t="s">
        <v>244</v>
      </c>
      <c r="C207" s="29"/>
      <c r="D207" s="29"/>
      <c r="E207" s="29"/>
      <c r="F207" s="29"/>
      <c r="G207" s="49">
        <v>73800</v>
      </c>
      <c r="H207" s="134">
        <v>0</v>
      </c>
      <c r="I207" s="49">
        <v>73800</v>
      </c>
      <c r="J207" s="60"/>
      <c r="K207" s="61"/>
      <c r="L207" s="242"/>
      <c r="M207" s="29"/>
      <c r="N207" s="25"/>
      <c r="O207" s="72">
        <v>73800</v>
      </c>
      <c r="P207" s="73">
        <v>0</v>
      </c>
      <c r="Q207" s="73">
        <v>73800</v>
      </c>
      <c r="R207" s="29"/>
    </row>
    <row r="208" spans="1:22" ht="24.6">
      <c r="A208" s="25"/>
      <c r="B208" s="29" t="s">
        <v>245</v>
      </c>
      <c r="C208" s="29"/>
      <c r="D208" s="29"/>
      <c r="E208" s="29"/>
      <c r="F208" s="29"/>
      <c r="G208" s="49">
        <v>7596.82</v>
      </c>
      <c r="H208" s="134">
        <v>0</v>
      </c>
      <c r="I208" s="89">
        <v>7596.82</v>
      </c>
      <c r="J208" s="60"/>
      <c r="K208" s="61"/>
      <c r="L208" s="242"/>
      <c r="M208" s="29"/>
      <c r="N208" s="25"/>
      <c r="O208" s="72">
        <v>7596.82</v>
      </c>
      <c r="P208" s="73">
        <v>0</v>
      </c>
      <c r="Q208" s="73">
        <v>7596.82</v>
      </c>
      <c r="R208" s="29" t="s">
        <v>243</v>
      </c>
    </row>
    <row r="209" spans="1:21" ht="24.6">
      <c r="A209" s="25"/>
      <c r="B209" s="29" t="s">
        <v>246</v>
      </c>
      <c r="C209" s="29"/>
      <c r="D209" s="53"/>
      <c r="E209" s="53"/>
      <c r="F209" s="53"/>
      <c r="G209" s="127"/>
      <c r="H209" s="53"/>
      <c r="I209" s="127"/>
      <c r="J209" s="243"/>
      <c r="K209" s="244"/>
      <c r="L209" s="245"/>
      <c r="M209" s="53"/>
      <c r="N209" s="4"/>
      <c r="O209" s="127"/>
      <c r="P209" s="127"/>
      <c r="Q209" s="49"/>
      <c r="R209" s="29"/>
      <c r="U209" s="1">
        <v>763210.28</v>
      </c>
    </row>
    <row r="210" spans="1:21" ht="25.2" thickBot="1">
      <c r="A210" s="25"/>
      <c r="B210" s="29"/>
      <c r="C210" s="29" t="s">
        <v>247</v>
      </c>
      <c r="D210" s="74"/>
      <c r="E210" s="74"/>
      <c r="F210" s="74"/>
      <c r="G210" s="74"/>
      <c r="H210" s="74"/>
      <c r="I210" s="74"/>
      <c r="J210" s="75"/>
      <c r="K210" s="76"/>
      <c r="L210" s="76"/>
      <c r="M210" s="74"/>
      <c r="N210" s="34"/>
      <c r="O210" s="110"/>
      <c r="P210" s="74"/>
      <c r="Q210" s="171"/>
      <c r="R210" s="29"/>
    </row>
    <row r="211" spans="1:21" s="249" customFormat="1" ht="25.8" thickTop="1" thickBot="1">
      <c r="A211" s="134"/>
      <c r="B211" s="246" t="s">
        <v>26</v>
      </c>
      <c r="C211" s="103"/>
      <c r="D211" s="103">
        <v>0</v>
      </c>
      <c r="E211" s="103"/>
      <c r="F211" s="103"/>
      <c r="G211" s="103">
        <f>SUM(G206:G210)</f>
        <v>215104.80000000002</v>
      </c>
      <c r="H211" s="103">
        <v>0</v>
      </c>
      <c r="I211" s="103">
        <v>215104.80000000002</v>
      </c>
      <c r="J211" s="104"/>
      <c r="K211" s="104"/>
      <c r="L211" s="104">
        <v>0</v>
      </c>
      <c r="M211" s="103"/>
      <c r="N211" s="247"/>
      <c r="O211" s="103">
        <v>215104.80000000002</v>
      </c>
      <c r="P211" s="103">
        <v>0</v>
      </c>
      <c r="Q211" s="103">
        <v>215104.80000000002</v>
      </c>
      <c r="R211" s="248"/>
    </row>
    <row r="212" spans="1:21" ht="25.8" thickTop="1" thickBot="1">
      <c r="A212" s="29"/>
      <c r="B212" s="25" t="s">
        <v>248</v>
      </c>
      <c r="C212" s="64"/>
      <c r="D212" s="63">
        <f>SUM(D32+D78+D117+D184+D189+D203+D211)</f>
        <v>63270</v>
      </c>
      <c r="E212" s="63"/>
      <c r="F212" s="63"/>
      <c r="G212" s="63">
        <f>SUM(G32+G78+G117+G170+G184+G189+G203+G211)</f>
        <v>746969.8</v>
      </c>
      <c r="H212" s="63">
        <v>0</v>
      </c>
      <c r="I212" s="63">
        <f>SUM(I9+I13+I16+I20+I23+I26+I32+I35+I37+I41+I78+I117+I121+I124+I127+I170+I176+I179+I184+I189+I203+I211)</f>
        <v>746969.8</v>
      </c>
      <c r="J212" s="67"/>
      <c r="K212" s="67"/>
      <c r="L212" s="67">
        <f>SUM(L32+L78+L117)</f>
        <v>63735</v>
      </c>
      <c r="M212" s="63"/>
      <c r="N212" s="105"/>
      <c r="O212" s="63">
        <f>SUM(O32+O78+O117+O184+O189+O203+O211)</f>
        <v>746504.8</v>
      </c>
      <c r="P212" s="63">
        <f>SUM(P32+P78+P117+P184+P189+P203+P211)</f>
        <v>0</v>
      </c>
      <c r="Q212" s="63">
        <f>SUM(Q32+Q78+Q117+Q184+Q189+Q203+Q211)</f>
        <v>746504.8</v>
      </c>
      <c r="R212" s="59"/>
      <c r="T212" s="63"/>
    </row>
    <row r="213" spans="1:21" ht="25.2" thickTop="1"/>
    <row r="214" spans="1:21" ht="24.6">
      <c r="K214" s="250"/>
      <c r="Q214" s="249"/>
    </row>
    <row r="215" spans="1:21" ht="24.6">
      <c r="K215" s="251"/>
      <c r="Q215" s="249"/>
    </row>
    <row r="216" spans="1:21" ht="24.6">
      <c r="F216" s="1">
        <v>1010.6000000000058</v>
      </c>
      <c r="K216" s="250"/>
      <c r="Q216" s="249"/>
    </row>
    <row r="217" spans="1:21" ht="24.6">
      <c r="K217" s="250"/>
      <c r="L217" s="252"/>
    </row>
    <row r="218" spans="1:21" ht="24.6">
      <c r="H218" s="253"/>
      <c r="K218" s="250"/>
    </row>
    <row r="219" spans="1:21" ht="24.6"/>
    <row r="220" spans="1:21" ht="24.6"/>
    <row r="221" spans="1:21" ht="24.6"/>
    <row r="222" spans="1:21" ht="24.6"/>
    <row r="223" spans="1:21" ht="24.6"/>
    <row r="224" spans="1:21" ht="24.6"/>
    <row r="225" ht="24.6"/>
    <row r="226" ht="24.6"/>
    <row r="227" ht="24.6"/>
    <row r="228" ht="24.6"/>
    <row r="229" ht="24.6"/>
    <row r="230" ht="24.6"/>
    <row r="231" ht="24.6"/>
    <row r="232" ht="24.6"/>
    <row r="233" ht="24.6"/>
    <row r="234" ht="24.6"/>
    <row r="235" ht="24.6"/>
    <row r="236" ht="24.6"/>
    <row r="237" ht="24.6"/>
    <row r="238" ht="24.6"/>
    <row r="239" ht="24.6"/>
    <row r="240" ht="24.6"/>
    <row r="241" ht="24.6"/>
    <row r="242" ht="24.6"/>
    <row r="243" ht="24.6"/>
    <row r="244" ht="24.6"/>
    <row r="245" ht="24.6"/>
    <row r="246" ht="24.6"/>
    <row r="247" ht="24.6"/>
    <row r="248" ht="24.6"/>
    <row r="249" ht="24.6"/>
    <row r="250" ht="24.6"/>
    <row r="251" ht="24.6"/>
    <row r="252" ht="24.6"/>
    <row r="253" ht="24.6"/>
    <row r="254" ht="24.6"/>
    <row r="255" ht="24.6"/>
    <row r="256" ht="24.6"/>
    <row r="257" ht="24.6"/>
    <row r="258" ht="24.6"/>
    <row r="259" ht="24.6"/>
    <row r="260" ht="24.6"/>
    <row r="261" ht="24.6"/>
    <row r="262" ht="24.6"/>
    <row r="263" ht="24.6"/>
    <row r="264" ht="24.6"/>
    <row r="265" ht="24.6"/>
    <row r="266" ht="24.6"/>
    <row r="267" ht="24.6"/>
    <row r="268" ht="24.6"/>
    <row r="269" ht="24.6"/>
    <row r="270" ht="24.6"/>
    <row r="271" ht="24.6"/>
    <row r="272" ht="24.6"/>
    <row r="273" ht="24.6"/>
    <row r="274" ht="24.6"/>
    <row r="275" ht="24.6"/>
    <row r="276" ht="24.6"/>
    <row r="277" ht="24.6"/>
    <row r="278" ht="24.6"/>
    <row r="279" ht="24.6"/>
    <row r="280" ht="24.6"/>
    <row r="281" ht="24.6"/>
    <row r="282" ht="24.6"/>
    <row r="283" ht="24.6"/>
    <row r="284" ht="24.6"/>
    <row r="285" ht="24.6"/>
    <row r="286" ht="24.6"/>
    <row r="287" ht="24.6"/>
    <row r="288" ht="24.6"/>
    <row r="289" ht="24.6"/>
    <row r="290" ht="24.6"/>
    <row r="291" ht="24.6"/>
    <row r="292" ht="24.6"/>
    <row r="293" ht="24.6"/>
    <row r="294" ht="24.6"/>
    <row r="295" ht="24.6"/>
    <row r="296" ht="24.6"/>
    <row r="297" ht="24.6"/>
    <row r="298" ht="24.6"/>
    <row r="299" ht="24.6"/>
    <row r="300" ht="24.6"/>
    <row r="301" ht="24.6"/>
    <row r="302" ht="24.6"/>
    <row r="303" ht="24.6"/>
    <row r="304" ht="24.6"/>
    <row r="305" ht="24.6"/>
    <row r="306" ht="24.6"/>
    <row r="307" ht="24.6"/>
    <row r="308" ht="24.6"/>
    <row r="309" ht="24.6"/>
    <row r="310" ht="24.6"/>
    <row r="311" ht="24.6"/>
    <row r="312" ht="24.6"/>
    <row r="313" ht="24.6"/>
    <row r="314" ht="24.6"/>
    <row r="315" ht="24.6"/>
    <row r="316" ht="24.6"/>
    <row r="317" ht="24.6"/>
    <row r="318" ht="24.6"/>
    <row r="319" ht="24.6"/>
    <row r="320" ht="24.6"/>
    <row r="321" ht="24.6"/>
    <row r="322" ht="24.6"/>
    <row r="323" ht="24.6"/>
    <row r="324" ht="24.6"/>
    <row r="325" ht="24.6"/>
    <row r="326" ht="24.6"/>
    <row r="327" ht="24.6"/>
    <row r="328" ht="24.6"/>
    <row r="329" ht="24.6"/>
    <row r="330" ht="24.6"/>
    <row r="331" ht="24.6"/>
    <row r="332" ht="24.6"/>
    <row r="333" ht="24.6"/>
    <row r="334" ht="24.6"/>
    <row r="335" ht="24.6"/>
    <row r="336" ht="24.6"/>
    <row r="337" ht="24.6"/>
    <row r="338" ht="24.6"/>
    <row r="339" ht="24.6"/>
    <row r="340" ht="24.6"/>
    <row r="341" ht="24.6"/>
    <row r="342" ht="24.6"/>
    <row r="343" ht="24.6"/>
    <row r="344" ht="24.6"/>
    <row r="345" ht="24.6"/>
    <row r="346" ht="24.6"/>
    <row r="347" ht="24.6"/>
    <row r="348" ht="24.6"/>
    <row r="349" ht="24.6"/>
    <row r="350" ht="24.6"/>
    <row r="351" ht="24.6"/>
    <row r="352" ht="24.6"/>
    <row r="353" ht="24.6"/>
    <row r="354" ht="24.6"/>
    <row r="355" ht="24.6"/>
    <row r="356" ht="24.6"/>
    <row r="357" ht="24.6"/>
    <row r="358" ht="24.6"/>
    <row r="359" ht="24.6"/>
    <row r="360" ht="24.6"/>
    <row r="361" ht="24.6"/>
    <row r="362" ht="24.6"/>
    <row r="363" ht="24.6"/>
    <row r="364" ht="24.6"/>
    <row r="365" ht="24.6"/>
    <row r="366" ht="24.6"/>
    <row r="367" ht="24.6"/>
    <row r="368" ht="24.6"/>
    <row r="369" ht="24.6"/>
    <row r="370" ht="24.6"/>
    <row r="371" ht="24.6"/>
    <row r="372" ht="24.6"/>
    <row r="373" ht="24.6"/>
    <row r="374" ht="24.6"/>
    <row r="375" ht="24.6"/>
    <row r="376" ht="24.6"/>
    <row r="377" ht="24.6"/>
    <row r="378" ht="24.6"/>
    <row r="379" ht="24.6"/>
    <row r="380" ht="24.6"/>
    <row r="381" ht="24.6"/>
    <row r="382" ht="24.6"/>
    <row r="383" ht="24.6"/>
    <row r="384" ht="24.6"/>
    <row r="385" ht="24.6"/>
    <row r="386" ht="24.6"/>
    <row r="387" ht="24.6"/>
    <row r="388" ht="24.6"/>
    <row r="389" ht="24.6"/>
    <row r="390" ht="24.6"/>
    <row r="391" ht="24.6"/>
    <row r="392" ht="24.6"/>
    <row r="393" ht="24.6"/>
    <row r="394" ht="24.6"/>
    <row r="395" ht="24.6"/>
    <row r="396" ht="24.6"/>
    <row r="397" ht="24.6"/>
    <row r="398" ht="24.6"/>
    <row r="399" ht="24.6"/>
    <row r="400" ht="24.6"/>
    <row r="401" ht="24.6"/>
    <row r="402" ht="24.6"/>
    <row r="403" ht="24.6"/>
    <row r="404" ht="24.6"/>
    <row r="405" ht="24.6"/>
    <row r="406" ht="24.6"/>
    <row r="407" ht="24.6"/>
    <row r="408" ht="24.6"/>
    <row r="409" ht="24.6"/>
    <row r="410" ht="24.6"/>
    <row r="411" ht="24.6"/>
    <row r="412" ht="24.6"/>
    <row r="413" ht="24.6"/>
    <row r="414" ht="24.6"/>
    <row r="415" ht="24.6"/>
    <row r="416" ht="24.6"/>
    <row r="417" ht="24.6"/>
    <row r="418" ht="24.6"/>
    <row r="419" ht="24.6"/>
    <row r="420" ht="24.6"/>
    <row r="421" ht="24.6"/>
    <row r="422" ht="24.6"/>
    <row r="423" ht="24.6"/>
    <row r="424" ht="24.6"/>
    <row r="425" ht="24.6"/>
    <row r="426" ht="24.6"/>
    <row r="427" ht="24.6"/>
    <row r="428" ht="24.6"/>
    <row r="429" ht="24.6"/>
    <row r="430" ht="24.6"/>
    <row r="431" ht="24.6"/>
    <row r="432" ht="24.6"/>
    <row r="433" ht="24.6"/>
    <row r="434" ht="24.6"/>
    <row r="435" ht="24.6"/>
    <row r="436" ht="24.6"/>
    <row r="437" ht="24.6"/>
    <row r="438" ht="24.6"/>
    <row r="439" ht="24.6"/>
    <row r="440" ht="24.6"/>
    <row r="441" ht="24.6"/>
    <row r="442" ht="24.6"/>
    <row r="443" ht="24.6"/>
    <row r="444" ht="24.6"/>
    <row r="445" ht="24.6"/>
    <row r="446" ht="24.6"/>
    <row r="447" ht="24.6"/>
    <row r="448" ht="24.6"/>
    <row r="449" ht="24.6"/>
    <row r="450" ht="24.6"/>
    <row r="451" ht="24.6"/>
    <row r="452" ht="24.6"/>
    <row r="453" ht="24.6"/>
    <row r="454" ht="24.6"/>
    <row r="455" ht="24.6"/>
    <row r="456" ht="24.6"/>
    <row r="457" ht="24.6"/>
    <row r="458" ht="24.6"/>
    <row r="459" ht="24.6"/>
    <row r="460" ht="24.6"/>
    <row r="461" ht="24.6"/>
    <row r="462" ht="24.6"/>
    <row r="463" ht="24.6"/>
    <row r="464" ht="24.6"/>
    <row r="465" ht="24.6"/>
    <row r="466" ht="24.6"/>
    <row r="467" ht="24.6"/>
    <row r="468" ht="24.6"/>
    <row r="469" ht="24.6"/>
    <row r="470" ht="24.6"/>
    <row r="471" ht="24.6"/>
    <row r="472" ht="24.6"/>
    <row r="473" ht="24.6"/>
    <row r="474" ht="24.6"/>
    <row r="475" ht="24.6"/>
    <row r="476" ht="24.6"/>
    <row r="477" ht="24.6"/>
    <row r="478" ht="24.6"/>
    <row r="479" ht="24.6"/>
    <row r="480" ht="24.6"/>
    <row r="481" ht="24.6"/>
    <row r="482" ht="24.6"/>
    <row r="483" ht="24.6"/>
    <row r="484" ht="24.6"/>
    <row r="485" ht="24.6"/>
    <row r="486" ht="24.6"/>
    <row r="487" ht="24.6"/>
    <row r="488" ht="24.6"/>
    <row r="489" ht="24.6"/>
    <row r="490" ht="24.6"/>
    <row r="491" ht="24.6"/>
    <row r="492" ht="24.6"/>
    <row r="493" ht="24.6"/>
    <row r="494" ht="24.6"/>
    <row r="495" ht="24.6"/>
    <row r="496" ht="24.6"/>
    <row r="497" ht="24.6"/>
    <row r="498" ht="24.6"/>
    <row r="499" ht="24.6"/>
    <row r="500" ht="24.6"/>
    <row r="501" ht="24.6"/>
    <row r="502" ht="24.6"/>
    <row r="503" ht="24.6"/>
    <row r="504" ht="24.6"/>
    <row r="505" ht="24.6"/>
    <row r="506" ht="24.6"/>
    <row r="507" ht="24.6"/>
    <row r="508" ht="24.6"/>
    <row r="509" ht="24.6"/>
    <row r="510" ht="24.6"/>
    <row r="511" ht="24.6"/>
    <row r="512" ht="24.6"/>
    <row r="513" ht="24.6"/>
    <row r="514" ht="24.6"/>
    <row r="515" ht="24.6"/>
    <row r="516" ht="24.6"/>
    <row r="517" ht="24.6"/>
    <row r="518" ht="24.6"/>
    <row r="519" ht="24.6"/>
    <row r="520" ht="24.6"/>
    <row r="521" ht="24.6"/>
    <row r="522" ht="24.6"/>
    <row r="523" ht="24.6"/>
    <row r="524" ht="24.6"/>
    <row r="525" ht="24.6"/>
    <row r="526" ht="24.6"/>
    <row r="527" ht="24.6"/>
    <row r="528" ht="24.6"/>
    <row r="529" ht="24.6"/>
    <row r="530" ht="24.6"/>
    <row r="531" ht="24.6"/>
    <row r="532" ht="24.6"/>
    <row r="533" ht="24.6"/>
    <row r="534" ht="24.6"/>
    <row r="535" ht="24.6"/>
    <row r="536" ht="24.6"/>
    <row r="537" ht="24.6"/>
    <row r="538" ht="24.6"/>
    <row r="539" ht="24.6"/>
    <row r="540" ht="24.6"/>
    <row r="541" ht="24.6"/>
    <row r="542" ht="24.6"/>
    <row r="543" ht="24.6"/>
    <row r="544" ht="24.6"/>
    <row r="545" ht="24.6"/>
    <row r="546" ht="24.6"/>
    <row r="547" ht="24.6"/>
    <row r="548" ht="24.6"/>
    <row r="549" ht="24.6"/>
    <row r="550" ht="24.6"/>
    <row r="551" ht="24.6"/>
    <row r="552" ht="24.6"/>
    <row r="553" ht="24.6"/>
    <row r="554" ht="24.6"/>
    <row r="555" ht="24.6"/>
    <row r="556" ht="24.6"/>
    <row r="557" ht="24.6"/>
    <row r="558" ht="24.6"/>
    <row r="559" ht="24.6"/>
    <row r="560" ht="24.6"/>
    <row r="561" ht="24.6"/>
    <row r="562" ht="24.6"/>
    <row r="563" ht="24.6"/>
    <row r="564" ht="24.6"/>
    <row r="565" ht="24.6"/>
    <row r="566" ht="24.6"/>
    <row r="567" ht="24.6"/>
    <row r="568" ht="24.6"/>
    <row r="569" ht="24.6"/>
    <row r="570" ht="24.6"/>
    <row r="571" ht="24.6"/>
    <row r="572" ht="24.6"/>
    <row r="573" ht="24.6"/>
    <row r="574" ht="24.6"/>
    <row r="575" ht="24.6"/>
    <row r="576" ht="24.6"/>
    <row r="577" ht="24.6"/>
    <row r="578" ht="24.6"/>
    <row r="579" ht="24.6"/>
    <row r="580" ht="24.6"/>
    <row r="581" ht="24.6"/>
    <row r="582" ht="24.6"/>
    <row r="583" ht="24.6"/>
    <row r="584" ht="24.6"/>
    <row r="585" ht="24.6"/>
    <row r="586" ht="24.6"/>
    <row r="587" ht="24.6"/>
    <row r="588" ht="24.6"/>
    <row r="589" ht="24.6"/>
    <row r="590" ht="24.6"/>
    <row r="591" ht="24.6"/>
    <row r="592" ht="24.6"/>
    <row r="593" ht="24.6"/>
    <row r="594" ht="24.6"/>
    <row r="595" ht="24.6"/>
    <row r="596" ht="24.6"/>
    <row r="597" ht="24.6"/>
    <row r="598" ht="24.6"/>
    <row r="599" ht="24.6"/>
    <row r="600" ht="24.6"/>
    <row r="601" ht="24.6"/>
    <row r="602" ht="24.6"/>
    <row r="603" ht="24.6"/>
    <row r="604" ht="24.6"/>
    <row r="605" ht="24.6"/>
    <row r="606" ht="24.6"/>
    <row r="607" ht="24.6"/>
    <row r="608" ht="24.6"/>
    <row r="609" ht="24.6"/>
    <row r="610" ht="24.6"/>
    <row r="611" ht="24.6"/>
    <row r="612" ht="24.6"/>
    <row r="613" ht="24.6"/>
    <row r="614" ht="24.6"/>
    <row r="615" ht="24.6"/>
    <row r="616" ht="24.6"/>
    <row r="617" ht="24.6"/>
    <row r="618" ht="24.6"/>
    <row r="619" ht="24.6"/>
    <row r="620" ht="24.6"/>
    <row r="621" ht="24.6"/>
    <row r="622" ht="24.6"/>
    <row r="623" ht="24.6"/>
    <row r="624" ht="24.6"/>
    <row r="625" ht="24.6"/>
    <row r="626" ht="24.6"/>
    <row r="627" ht="24.6"/>
    <row r="628" ht="24.6"/>
    <row r="629" ht="24.6"/>
    <row r="630" ht="24.6"/>
    <row r="631" ht="24.6"/>
    <row r="632" ht="24.6"/>
    <row r="633" ht="24.6"/>
    <row r="634" ht="24.6"/>
    <row r="635" ht="24.6"/>
    <row r="636" ht="24.6"/>
    <row r="637" ht="24.6"/>
    <row r="638" ht="24.6"/>
    <row r="639" ht="24.6"/>
    <row r="640" ht="24.6"/>
    <row r="641" ht="24.6"/>
    <row r="642" ht="24.6"/>
    <row r="643" ht="24.6"/>
    <row r="644" ht="24.6"/>
    <row r="645" ht="24.6"/>
    <row r="646" ht="24.6"/>
    <row r="647" ht="24.6"/>
    <row r="648" ht="24.6"/>
    <row r="649" ht="24.6"/>
    <row r="650" ht="24.6"/>
    <row r="651" ht="24.6"/>
    <row r="652" ht="24.6"/>
    <row r="653" ht="24.6"/>
    <row r="654" ht="24.6"/>
    <row r="655" ht="24.6"/>
    <row r="656" ht="24.6"/>
    <row r="657" ht="24.6"/>
    <row r="658" ht="24.6"/>
    <row r="659" ht="24.6"/>
    <row r="660" ht="24.6"/>
    <row r="661" ht="24.6"/>
    <row r="662" ht="24.6"/>
    <row r="663" ht="24.6"/>
    <row r="664" ht="24.6"/>
    <row r="665" ht="24.6"/>
    <row r="666" ht="24.6"/>
    <row r="667" ht="24.6"/>
    <row r="668" ht="24.6"/>
    <row r="669" ht="24.6"/>
    <row r="670" ht="24.6"/>
    <row r="671" ht="24.6"/>
    <row r="672" ht="24.6"/>
    <row r="673" ht="24.6"/>
    <row r="674" ht="24.6"/>
    <row r="675" ht="24.6"/>
    <row r="676" ht="24.6"/>
    <row r="677" ht="24.6"/>
    <row r="678" ht="24.6"/>
    <row r="679" ht="24.6"/>
    <row r="680" ht="24.6"/>
    <row r="681" ht="24.6"/>
    <row r="682" ht="24.6"/>
    <row r="683" ht="24.6"/>
    <row r="684" ht="24.6"/>
    <row r="685" ht="24.6"/>
    <row r="686" ht="24.6"/>
    <row r="687" ht="24.6"/>
    <row r="688" ht="24.6"/>
    <row r="689" ht="24.6"/>
    <row r="690" ht="24.6"/>
    <row r="691" ht="24.6"/>
    <row r="692" ht="24.6"/>
    <row r="693" ht="24.6"/>
    <row r="694" ht="24.6"/>
    <row r="695" ht="24.6"/>
    <row r="696" ht="24.6"/>
    <row r="697" ht="24.6"/>
    <row r="698" ht="24.6"/>
    <row r="699" ht="24.6"/>
    <row r="700" ht="24.6"/>
    <row r="701" ht="24.6"/>
    <row r="702" ht="24.6"/>
    <row r="703" ht="24.6"/>
    <row r="704" ht="24.6"/>
    <row r="705" ht="24.6"/>
    <row r="706" ht="24.6"/>
    <row r="707" ht="24.6"/>
    <row r="708" ht="24.6"/>
    <row r="709" ht="24.6"/>
    <row r="710" ht="24.6"/>
    <row r="711" ht="24.6"/>
    <row r="712" ht="24.6"/>
    <row r="713" ht="24.6"/>
    <row r="714" ht="24.6"/>
    <row r="715" ht="24.6"/>
    <row r="716" ht="24.6"/>
    <row r="717" ht="24.6"/>
    <row r="718" ht="24.6"/>
    <row r="719" ht="24.6"/>
    <row r="720" ht="24.6"/>
    <row r="721" ht="24.6"/>
    <row r="722" ht="24.6"/>
    <row r="723" ht="24.6"/>
    <row r="724" ht="24.6"/>
    <row r="725" ht="24.6"/>
    <row r="726" ht="24.6"/>
    <row r="727" ht="24.6"/>
    <row r="728" ht="24.6"/>
    <row r="729" ht="24.6"/>
    <row r="730" ht="24.6"/>
    <row r="731" ht="24.6"/>
    <row r="732" ht="24.6"/>
    <row r="733" ht="24.6"/>
    <row r="734" ht="24.6"/>
    <row r="735" ht="24.6"/>
    <row r="736" ht="24.6"/>
    <row r="737" ht="24.6"/>
    <row r="738" ht="24.6"/>
    <row r="739" ht="24.6"/>
    <row r="740" ht="24.6"/>
    <row r="741" ht="24.6"/>
    <row r="742" ht="24.6"/>
    <row r="743" ht="24.6"/>
    <row r="744" ht="24.6"/>
    <row r="745" ht="24.6"/>
    <row r="746" ht="24.6"/>
    <row r="747" ht="24.6"/>
    <row r="748" ht="24.6"/>
    <row r="749" ht="24.6"/>
    <row r="750" ht="24.6"/>
    <row r="751" ht="24.6"/>
    <row r="752" ht="24.6"/>
    <row r="753" ht="24.6"/>
    <row r="754" ht="24.6"/>
    <row r="755" ht="24.6"/>
    <row r="756" ht="24.6"/>
    <row r="757" ht="24.6"/>
    <row r="758" ht="24.6"/>
    <row r="759" ht="24.6"/>
    <row r="760" ht="24.6"/>
    <row r="761" ht="24.6"/>
    <row r="762" ht="24.6"/>
    <row r="763" ht="24.6"/>
    <row r="764" ht="24.6"/>
    <row r="765" ht="24.6"/>
    <row r="766" ht="24.6"/>
    <row r="767" ht="24.6"/>
    <row r="768" ht="24.6"/>
    <row r="769" ht="24.6"/>
    <row r="770" ht="24.6"/>
    <row r="771" ht="24.6"/>
    <row r="772" ht="24.6"/>
    <row r="773" ht="24.6"/>
    <row r="774" ht="24.6"/>
    <row r="775" ht="24.6"/>
    <row r="776" ht="24.6"/>
    <row r="777" ht="24.6"/>
    <row r="778" ht="24.6"/>
    <row r="779" ht="24.6"/>
    <row r="780" ht="24.6"/>
    <row r="781" ht="24.6"/>
    <row r="782" ht="24.6"/>
    <row r="783" ht="24.6"/>
    <row r="784" ht="24.6"/>
    <row r="785" ht="24.6"/>
    <row r="786" ht="24.6"/>
    <row r="787" ht="24.6"/>
    <row r="788" ht="24.6"/>
    <row r="789" ht="24.6"/>
    <row r="790" ht="24.6"/>
    <row r="791" ht="24.6"/>
    <row r="792" ht="24.6"/>
    <row r="793" ht="24.6"/>
    <row r="794" ht="24.6"/>
    <row r="795" ht="24.6"/>
    <row r="796" ht="24.6"/>
    <row r="797" ht="24.6"/>
    <row r="798" ht="24.6"/>
    <row r="799" ht="24.6"/>
    <row r="800" ht="24.6"/>
    <row r="801" ht="24.6"/>
    <row r="802" ht="24.6"/>
    <row r="803" ht="24.6"/>
    <row r="804" ht="24.6"/>
    <row r="805" ht="24.6"/>
    <row r="806" ht="24.6"/>
    <row r="807" ht="24.6"/>
    <row r="808" ht="24.6"/>
    <row r="809" ht="24.6"/>
    <row r="810" ht="24.6"/>
    <row r="811" ht="24.6"/>
    <row r="812" ht="24.6"/>
    <row r="813" ht="24.6"/>
    <row r="814" ht="24.6"/>
    <row r="815" ht="24.6"/>
    <row r="816" ht="24.6"/>
    <row r="817" ht="24.6"/>
    <row r="818" ht="24.6"/>
    <row r="819" ht="24.6"/>
    <row r="820" ht="24.6"/>
    <row r="821" ht="24.6"/>
    <row r="822" ht="24.6"/>
    <row r="823" ht="24.6"/>
    <row r="824" ht="24.6"/>
    <row r="825" ht="24.6"/>
    <row r="826" ht="24.6"/>
    <row r="827" ht="24.6"/>
    <row r="828" ht="24.6"/>
    <row r="829" ht="24.6"/>
    <row r="830" ht="24.6"/>
    <row r="831" ht="24.6"/>
    <row r="832" ht="24.6"/>
    <row r="833" ht="24.6"/>
    <row r="834" ht="24.6"/>
    <row r="835" ht="24.6"/>
    <row r="836" ht="24.6"/>
    <row r="837" ht="24.6"/>
    <row r="838" ht="24.6"/>
    <row r="839" ht="24.6"/>
    <row r="840" ht="24.6"/>
    <row r="841" ht="24.6"/>
    <row r="842" ht="24.6"/>
    <row r="843" ht="24.6"/>
    <row r="844" ht="24.6"/>
    <row r="845" ht="24.6"/>
    <row r="846" ht="24.6"/>
    <row r="847" ht="24.6"/>
    <row r="848" ht="24.6"/>
    <row r="849" ht="24.6"/>
    <row r="850" ht="24.6"/>
    <row r="851" ht="24.6"/>
    <row r="852" ht="24.6"/>
    <row r="853" ht="24.6"/>
    <row r="854" ht="24.6"/>
    <row r="855" ht="24.6"/>
    <row r="856" ht="24.6"/>
    <row r="857" ht="24.6"/>
    <row r="858" ht="24.6"/>
    <row r="859" ht="24.6"/>
    <row r="860" ht="24.6"/>
    <row r="861" ht="24.6"/>
    <row r="862" ht="24.6"/>
    <row r="863" ht="24.6"/>
    <row r="864" ht="24.6"/>
    <row r="865" ht="24.6"/>
    <row r="866" ht="24.6"/>
    <row r="867" ht="24.6"/>
    <row r="868" ht="24.6"/>
    <row r="869" ht="24.6"/>
    <row r="870" ht="24.6"/>
    <row r="871" ht="24.6"/>
    <row r="872" ht="24.6"/>
    <row r="873" ht="24.6"/>
    <row r="874" ht="24.6"/>
    <row r="875" ht="24.6"/>
    <row r="876" ht="24.6"/>
    <row r="877" ht="24.6"/>
    <row r="878" ht="24.6"/>
    <row r="879" ht="24.6"/>
    <row r="880" ht="24.6"/>
    <row r="881" ht="24.6"/>
    <row r="882" ht="24.6"/>
    <row r="883" ht="24.6"/>
    <row r="884" ht="24.6"/>
    <row r="885" ht="24.6"/>
    <row r="886" ht="24.6"/>
    <row r="887" ht="24.6"/>
    <row r="888" ht="24.6"/>
    <row r="889" ht="24.6"/>
    <row r="890" ht="24.6"/>
    <row r="891" ht="24.6"/>
    <row r="892" ht="24.6"/>
    <row r="893" ht="24.6"/>
    <row r="894" ht="24.6"/>
    <row r="895" ht="24.6"/>
    <row r="896" ht="24.6"/>
    <row r="897" ht="24.6"/>
    <row r="898" ht="24.6"/>
    <row r="899" ht="24.6"/>
    <row r="900" ht="24.6"/>
    <row r="901" ht="24.6"/>
    <row r="902" ht="24.6"/>
    <row r="903" ht="24.6"/>
    <row r="904" ht="24.6"/>
    <row r="905" ht="24.6"/>
    <row r="906" ht="24.6"/>
    <row r="907" ht="24.6"/>
    <row r="908" ht="24.6"/>
    <row r="909" ht="24.6"/>
    <row r="910" ht="24.6"/>
    <row r="911" ht="24.6"/>
    <row r="912" ht="24.6"/>
    <row r="913" ht="24.6"/>
    <row r="914" ht="24.6"/>
    <row r="915" ht="24.6"/>
    <row r="916" ht="24.6"/>
    <row r="917" ht="24.6"/>
    <row r="918" ht="24.6"/>
    <row r="919" ht="24.6"/>
    <row r="920" ht="24.6"/>
    <row r="921" ht="24.6"/>
    <row r="922" ht="24.6"/>
    <row r="923" ht="24.6"/>
    <row r="924" ht="24.6"/>
    <row r="925" ht="24.6"/>
    <row r="926" ht="24.6"/>
    <row r="927" ht="24.6"/>
    <row r="928" ht="24.6"/>
    <row r="929" ht="24.6"/>
    <row r="930" ht="24.6"/>
    <row r="931" ht="24.6"/>
    <row r="932" ht="24.6"/>
    <row r="933" ht="24.6"/>
    <row r="934" ht="24.6"/>
    <row r="935" ht="24.6"/>
    <row r="936" ht="24.6"/>
    <row r="937" ht="24.6"/>
    <row r="938" ht="24.6"/>
    <row r="939" ht="24.6"/>
    <row r="940" ht="24.6"/>
    <row r="941" ht="24.6"/>
    <row r="942" ht="24.6"/>
    <row r="943" ht="24.6"/>
    <row r="944" ht="24.6"/>
    <row r="945" ht="24.6"/>
    <row r="946" ht="24.6"/>
    <row r="947" ht="24.6"/>
    <row r="948" ht="24.6"/>
    <row r="949" ht="24.6"/>
    <row r="950" ht="24.6"/>
    <row r="951" ht="24.6"/>
    <row r="952" ht="24.6"/>
    <row r="953" ht="24.6"/>
    <row r="954" ht="24.6"/>
    <row r="955" ht="24.6"/>
    <row r="956" ht="24.6"/>
    <row r="957" ht="24.6"/>
    <row r="958" ht="24.6"/>
    <row r="959" ht="24.6"/>
    <row r="960" ht="24.6"/>
    <row r="961" ht="24.6"/>
    <row r="962" ht="24.6"/>
    <row r="963" ht="24.6"/>
    <row r="964" ht="24.6"/>
    <row r="965" ht="24.6"/>
    <row r="966" ht="24.6"/>
    <row r="967" ht="24.6"/>
    <row r="968" ht="24.6"/>
    <row r="969" ht="24.6"/>
    <row r="970" ht="24.6"/>
    <row r="971" ht="24.6"/>
    <row r="972" ht="24.6"/>
    <row r="973" ht="24.6"/>
    <row r="974" ht="24.6"/>
    <row r="975" ht="24.6"/>
    <row r="976" ht="24.6"/>
    <row r="977" ht="24.6"/>
    <row r="978" ht="24.6"/>
    <row r="979" ht="24.6"/>
    <row r="980" ht="24.6"/>
    <row r="981" ht="24.6"/>
    <row r="982" ht="24.6"/>
    <row r="983" ht="24.6"/>
    <row r="984" ht="24.6"/>
  </sheetData>
  <mergeCells count="8">
    <mergeCell ref="A181:R181"/>
    <mergeCell ref="A186:R186"/>
    <mergeCell ref="A1:R1"/>
    <mergeCell ref="A2:R2"/>
    <mergeCell ref="A3:R3"/>
    <mergeCell ref="E4:I4"/>
    <mergeCell ref="J4:L4"/>
    <mergeCell ref="M4:Q4"/>
  </mergeCells>
  <pageMargins left="0.11811023622047245" right="0.11811023622047245" top="0.31496062992125984" bottom="0.11811023622047245" header="0.19685039370078741" footer="0.11811023622047245"/>
  <pageSetup paperSize="9" scale="65" orientation="landscape" r:id="rId1"/>
  <headerFooter>
    <oddHeader>&amp;Rหน้าที่ &amp;P</oddHeader>
  </headerFooter>
  <rowBreaks count="2" manualBreakCount="2">
    <brk id="148" max="29" man="1"/>
    <brk id="202" max="16383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38</vt:i4>
      </vt:variant>
    </vt:vector>
  </HeadingPairs>
  <TitlesOfParts>
    <vt:vector size="77" baseType="lpstr">
      <vt:lpstr>มิย.69</vt:lpstr>
      <vt:lpstr>รับชำระ มิย.69</vt:lpstr>
      <vt:lpstr>แนบ มิย.69</vt:lpstr>
      <vt:lpstr>เรียง มิย.69</vt:lpstr>
      <vt:lpstr>เรียง พ.ค.69</vt:lpstr>
      <vt:lpstr>แนบ พ.ค.69</vt:lpstr>
      <vt:lpstr>รับชำระ พ.ค.69</vt:lpstr>
      <vt:lpstr>พ.ค.69</vt:lpstr>
      <vt:lpstr>(ท่าส่ง) พ.ค.69</vt:lpstr>
      <vt:lpstr>เรียง เมย.69</vt:lpstr>
      <vt:lpstr>แนบ เมย.69</vt:lpstr>
      <vt:lpstr>รับชำระ เมย.69</vt:lpstr>
      <vt:lpstr>เมย.69</vt:lpstr>
      <vt:lpstr>(ท่าส่ง) เม.ย.69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  <vt:lpstr>'(ท่าส่ง) พ.ค.69'!Print_Titles</vt:lpstr>
      <vt:lpstr>เมย.69!Print_Titles</vt:lpstr>
      <vt:lpstr>'เรียง เมย.69'!Print_Titles</vt:lpstr>
      <vt:lpstr>'เรียง กพ.69'!Print_Titles</vt:lpstr>
      <vt:lpstr>'เรียง ตค.68'!Print_Titles</vt:lpstr>
      <vt:lpstr>'เรียง ธค.68'!Print_Titles</vt:lpstr>
      <vt:lpstr>'เรียง พ.ค.69'!Print_Titles</vt:lpstr>
      <vt:lpstr>'เรียง พย.68'!Print_Titles</vt:lpstr>
      <vt:lpstr>'เรียง มค.69'!Print_Titles</vt:lpstr>
      <vt:lpstr>'เรียง มิย.69'!Print_Titles</vt:lpstr>
      <vt:lpstr>'เรียง มีค.69'!Print_Titles</vt:lpstr>
      <vt:lpstr>'แนบ เมย.69'!Print_Titles</vt:lpstr>
      <vt:lpstr>'แนบ กพ.69'!Print_Titles</vt:lpstr>
      <vt:lpstr>'แนบ ตค.68'!Print_Titles</vt:lpstr>
      <vt:lpstr>'แนบ ธค.68'!Print_Titles</vt:lpstr>
      <vt:lpstr>'แนบ พ.ค.69'!Print_Titles</vt:lpstr>
      <vt:lpstr>'แนบ พย.68'!Print_Titles</vt:lpstr>
      <vt:lpstr>'แนบ มค.69'!Print_Titles</vt:lpstr>
      <vt:lpstr>'แนบ มิย.69'!Print_Titles</vt:lpstr>
      <vt:lpstr>'แนบ มีค.69'!Print_Titles</vt:lpstr>
      <vt:lpstr>กพ.69!Print_Titles</vt:lpstr>
      <vt:lpstr>กย.68!Print_Titles</vt:lpstr>
      <vt:lpstr>ตค.68!Print_Titles</vt:lpstr>
      <vt:lpstr>ธค.68!Print_Titles</vt:lpstr>
      <vt:lpstr>พ.ค.69!Print_Titles</vt:lpstr>
      <vt:lpstr>พย.68!Print_Titles</vt:lpstr>
      <vt:lpstr>มค.69!Print_Titles</vt:lpstr>
      <vt:lpstr>มิย.69!Print_Titles</vt:lpstr>
      <vt:lpstr>มีค.69!Print_Titles</vt:lpstr>
      <vt:lpstr>'รับชำระ เมย.69'!Print_Titles</vt:lpstr>
      <vt:lpstr>'รับชำระ กพ.69'!Print_Titles</vt:lpstr>
      <vt:lpstr>'รับชำระ ตค.68'!Print_Titles</vt:lpstr>
      <vt:lpstr>'รับชำระ ธค.68'!Print_Titles</vt:lpstr>
      <vt:lpstr>'รับชำระ พ.ค.69'!Print_Titles</vt:lpstr>
      <vt:lpstr>'รับชำระ พย.68'!Print_Titles</vt:lpstr>
      <vt:lpstr>'รับชำระ มค.69'!Print_Titles</vt:lpstr>
      <vt:lpstr>'รับชำระ มิย.69'!Print_Titles</vt:lpstr>
      <vt:lpstr>'รับชำระ มีค.69'!Print_Titles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dcterms:created xsi:type="dcterms:W3CDTF">2025-10-06T08:33:54Z</dcterms:created>
  <dcterms:modified xsi:type="dcterms:W3CDTF">2026-08-14T07:03:10Z</dcterms:modified>
</cp:coreProperties>
</file>